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tables/table6.xml" ContentType="application/vnd.openxmlformats-officedocument.spreadsheetml.table+xml"/>
  <Override PartName="/xl/worksheets/sheet11.xml" ContentType="application/vnd.openxmlformats-officedocument.spreadsheetml.worksheet+xml"/>
  <Override PartName="/xl/tables/table7.xml" ContentType="application/vnd.openxmlformats-officedocument.spreadsheetml.table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slicerCaches/slicerCache1.xml" ContentType="application/vnd.ms-excel.slicerCache+xml"/>
  <Override PartName="/xl/slicerCaches/slicerCache2.xml" ContentType="application/vnd.ms-excel.slicerCache+xml"/>
  <Override PartName="/xl/slicers/slicer1.xml" ContentType="application/vnd.ms-excel.slicer+xml"/>
  <Override PartName="/xl/drawings/drawing2.xml" ContentType="application/vnd.openxmlformats-officedocument.drawing+xml"/>
  <Override PartName="/xl/slicerCaches/slicerCache3.xml" ContentType="application/vnd.ms-excel.slicerCache+xml"/>
  <Override PartName="/xl/slicerCaches/slicerCache4.xml" ContentType="application/vnd.ms-excel.slicerCache+xml"/>
  <Override PartName="/xl/slicers/slicer2.xml" ContentType="application/vnd.ms-excel.slicer+xml"/>
  <Override PartName="/xl/drawings/drawing3.xml" ContentType="application/vnd.openxmlformats-officedocument.drawing+xml"/>
  <Override PartName="/xl/slicerCaches/slicerCache5.xml" ContentType="application/vnd.ms-excel.slicerCache+xml"/>
  <Override PartName="/xl/slicerCaches/slicerCache6.xml" ContentType="application/vnd.ms-excel.slicerCache+xml"/>
  <Override PartName="/xl/slicers/slicer3.xml" ContentType="application/vnd.ms-excel.slicer+xml"/>
  <Override PartName="/xl/drawings/drawing4.xml" ContentType="application/vnd.openxmlformats-officedocument.drawing+xml"/>
  <Override PartName="/xl/slicerCaches/slicerCache7.xml" ContentType="application/vnd.ms-excel.slicerCache+xml"/>
  <Override PartName="/xl/slicerCaches/slicerCache8.xml" ContentType="application/vnd.ms-excel.slicerCache+xml"/>
  <Override PartName="/xl/slicers/slicer4.xml" ContentType="application/vnd.ms-excel.slicer+xml"/>
  <Override PartName="/xl/drawings/drawing5.xml" ContentType="application/vnd.openxmlformats-officedocument.drawing+xml"/>
  <Override PartName="/xl/slicerCaches/slicerCache9.xml" ContentType="application/vnd.ms-excel.slicerCache+xml"/>
  <Override PartName="/xl/slicerCaches/slicerCache10.xml" ContentType="application/vnd.ms-excel.slicerCache+xml"/>
  <Override PartName="/xl/slicers/slicer5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Overview" sheetId="2" state="visible" r:id="rId2"/>
    <sheet xmlns:r="http://schemas.openxmlformats.org/officeDocument/2006/relationships" name="Dashboard" sheetId="3" state="visible" r:id="rId3"/>
    <sheet xmlns:r="http://schemas.openxmlformats.org/officeDocument/2006/relationships" name="Watch List" sheetId="4" state="visible" r:id="rId4"/>
    <sheet xmlns:r="http://schemas.openxmlformats.org/officeDocument/2006/relationships" name="Year 7" sheetId="5" state="visible" r:id="rId5"/>
    <sheet xmlns:r="http://schemas.openxmlformats.org/officeDocument/2006/relationships" name="Year 8" sheetId="6" state="visible" r:id="rId6"/>
    <sheet xmlns:r="http://schemas.openxmlformats.org/officeDocument/2006/relationships" name="Year 9" sheetId="7" state="visible" r:id="rId7"/>
    <sheet xmlns:r="http://schemas.openxmlformats.org/officeDocument/2006/relationships" name="Year 10" sheetId="8" state="visible" r:id="rId8"/>
    <sheet xmlns:r="http://schemas.openxmlformats.org/officeDocument/2006/relationships" name="Year 11" sheetId="9" state="visible" r:id="rId9"/>
    <sheet xmlns:r="http://schemas.openxmlformats.org/officeDocument/2006/relationships" name="Assessment Info" sheetId="10" state="visible" r:id="rId10"/>
    <sheet xmlns:r="http://schemas.openxmlformats.org/officeDocument/2006/relationships" name="Settings" sheetId="11" state="visible" r:id="rId11"/>
    <sheet xmlns:r="http://schemas.openxmlformats.org/officeDocument/2006/relationships" name="Calc" sheetId="12" state="hidden" r:id="rId12"/>
  </sheets>
  <definedNames>
    <definedName name="YearNames">Calc!$B$3:$B$7</definedName>
    <definedName name="MeasureList">Calc!$E$3:$E$5</definedName>
    <definedName name="_Stanine">'Assessment Info'!$U$5:$V$13</definedName>
    <definedName name="AcademicYear">Settings!$C$5</definedName>
    <definedName name="SchoolName">Settings!$C$6</definedName>
    <definedName name="WlGap">Settings!$C$9</definedName>
    <definedName name="WlMinTests">Settings!$C$10</definedName>
    <definedName name="WlLowMean">Settings!$C$11</definedName>
    <definedName name="ClassSlotsY7">Calc!$S$3:$S$10</definedName>
    <definedName name="ClassSlotsY8">Calc!$T$3:$T$10</definedName>
    <definedName name="ClassSlotsY9">Calc!$U$3:$U$10</definedName>
    <definedName name="ClassSlotsY10">Calc!$V$3:$V$10</definedName>
    <definedName name="ClassSlotsY11">Calc!$W$3:$W$10</definedName>
    <definedName name="SelYear">Dashboard!$C$4</definedName>
    <definedName name="SelMeasure">Dashboard!$C$5</definedName>
    <definedName name="SelTest">Dashboard!$C$6</definedName>
    <definedName name="SelClass">Dashboard!$C$7</definedName>
    <definedName name="dYear">MATCH(SelYear,YearNames,0)</definedName>
    <definedName name="dData">CHOOSE(dYear,tblY7[#Data],tblY8[#Data],tblY9[#Data],tblY10[#Data],tblY11[#Data])</definedName>
    <definedName name="dHdr">CHOOSE(dYear,tblY7[#Headers],tblY8[#Headers],tblY9[#Headers],tblY10[#Headers],tblY11[#Headers])</definedName>
    <definedName name="dClass">CHOOSE(dYear,tblY7[Class],tblY8[Class],tblY9[Class],tblY10[Class],tblY11[Class])</definedName>
    <definedName name="dLast">CHOOSE(dYear,tblY7[Preferred Last name],tblY8[Preferred Last name],tblY9[Preferred Last name],tblY10[Preferred Last name],tblY11[Preferred Last name])</definedName>
    <definedName name="dFirst">CHOOSE(dYear,tblY7[Preferred First name],tblY8[Preferred First name],tblY9[Preferred First name],tblY10[Preferred First name],tblY11[Preferred First name])</definedName>
    <definedName name="dMean">CHOOSE(dYear,tblY7[Mean Stanine],tblY8[Mean Stanine],tblY9[Mean Stanine],tblY10[Mean Stanine],tblY11[Mean Stanine])</definedName>
    <definedName name="dVs">CHOOSE(dYear,tblY7[vs KS2 Band],tblY8[vs KS2 Band],tblY9[vs KS2 Band],tblY10[vs KS2 Band],tblY11[vs KS2 Band])</definedName>
    <definedName name="dKS2">CHOOSE(dYear,tblY7[Avg KS2 Band],tblY8[Avg KS2 Band],tblY9[Avg KS2 Band],tblY10[Avg KS2 Band],tblY11[Avg KS2 Band])</definedName>
    <definedName name="dPP">CHOOSE(dYear,tblY7[PP Deprivation],tblY8[PP Deprivation],tblY9[PP Deprivation],tblY10[PP Deprivation],tblY11[PP Deprivation])</definedName>
    <definedName name="dSEN">CHOOSE(dYear,tblY7[SEN Status Code],tblY8[SEN Status Code],tblY9[SEN Status Code],tblY10[SEN Status Code],tblY11[SEN Status Code])</definedName>
    <definedName name="dSex">CHOOSE(dYear,tblY7[Sex Code],tblY8[Sex Code],tblY9[Sex Code],tblY10[Sex Code],tblY11[Sex Code])</definedName>
    <definedName name="dTests">CHOOSE(dYear,tblY7[Tests Sat],tblY8[Tests Sat],tblY9[Tests Sat],tblY10[Tests Sat],tblY11[Tests Sat])</definedName>
    <definedName name="dRaw">INDEX(dData,0,MATCH(SelTest&amp;CHAR(10)&amp;"Raw Score",dHdr,0))</definedName>
    <definedName name="dStn">INDEX(dData,0,MATCH(SelTest&amp;CHAR(10)&amp;"Stanine",dHdr,0))</definedName>
    <definedName name="dHasTest">ISNUMBER(MATCH(SelTest&amp;CHAR(10)&amp;"Raw Score",dHdr,0))</definedName>
    <definedName name="dMax">INDEX(tblAssessments[Max Marks],MATCH(SelYear&amp;"|"&amp;SelTest,tblAssessments[Name Key],0))</definedName>
    <definedName name="dTestCount">Calc!$AA$64</definedName>
    <definedName name="DashTests">OFFSET(Calc!$AA$3,0,0,MAX(1,MIN(60,Calc!$AA$64)),1)</definedName>
    <definedName name="DashClasses">OFFSET(Calc!$Y$3,0,0,MAX(1,Calc!$Y$12),1)</definedName>
    <definedName name="WlYear">'Watch List'!$C$4</definedName>
    <definedName name="wYear">MATCH(WlYear,YearNames,0)</definedName>
    <definedName name="wData">CHOOSE(wYear,tblY7[#Data],tblY8[#Data],tblY9[#Data],tblY10[#Data],tblY11[#Data])</definedName>
    <definedName name="wHdr">CHOOSE(wYear,tblY7[#Headers],tblY8[#Headers],tblY9[#Headers],tblY10[#Headers],tblY11[#Headers])</definedName>
    <definedName name="wLast">CHOOSE(wYear,tblY7[Preferred Last name],tblY8[Preferred Last name],tblY9[Preferred Last name],tblY10[Preferred Last name],tblY11[Preferred Last name])</definedName>
    <definedName name="wFirst">CHOOSE(wYear,tblY7[Preferred First name],tblY8[Preferred First name],tblY9[Preferred First name],tblY10[Preferred First name],tblY11[Preferred First name])</definedName>
    <definedName name="wClass">CHOOSE(wYear,tblY7[Class],tblY8[Class],tblY9[Class],tblY10[Class],tblY11[Class])</definedName>
    <definedName name="wKS2">CHOOSE(wYear,tblY7[Avg KS2 Band],tblY8[Avg KS2 Band],tblY9[Avg KS2 Band],tblY10[Avg KS2 Band],tblY11[Avg KS2 Band])</definedName>
    <definedName name="wTests">CHOOSE(wYear,tblY7[Tests Sat],tblY8[Tests Sat],tblY9[Tests Sat],tblY10[Tests Sat],tblY11[Tests Sat])</definedName>
    <definedName name="wMean">CHOOSE(wYear,tblY7[Mean Stanine],tblY8[Mean Stanine],tblY9[Mean Stanine],tblY10[Mean Stanine],tblY11[Mean Stanine])</definedName>
    <definedName name="wVs">CHOOSE(wYear,tblY7[vs KS2 Band],tblY8[vs KS2 Band],tblY9[vs KS2 Band],tblY10[vs KS2 Band],tblY11[vs KS2 Band])</definedName>
    <definedName name="wLatest">INDEX(Calc!$AF$3:$AF$7,wYear)</definedName>
    <definedName name="wlCount">Calc!$BA$67</definedName>
    <definedName name="_xlnm.Print_Titles" localSheetId="4">'Year 7'!$1:$1,'Year 7'!$A:$C</definedName>
    <definedName name="_xlnm.Print_Titles" localSheetId="5">'Year 8'!$1:$1,'Year 8'!$A:$C</definedName>
    <definedName name="_xlnm.Print_Titles" localSheetId="6">'Year 9'!$1:$1,'Year 9'!$A:$C</definedName>
    <definedName name="_xlnm.Print_Titles" localSheetId="7">'Year 10'!$1:$1,'Year 10'!$A:$C</definedName>
    <definedName name="_xlnm.Print_Titles" localSheetId="8">'Year 11'!$1:$1,'Year 11'!$A:$C</definedName>
    <definedName name="chTrendCats" localSheetId="11">OFFSET(Calc!$AK$3,0,0,MAX(1,MIN(60,Calc!$AA$64)),1)</definedName>
    <definedName name="chTrendYear" localSheetId="11">OFFSET(Calc!$AL$3,0,0,MAX(1,MIN(60,Calc!$AA$64)),1)</definedName>
    <definedName name="chTrendClass" localSheetId="11">OFFSET(Calc!$AM$3,0,0,MAX(1,MIN(60,Calc!$AA$64)),1)</definedName>
    <definedName name="chClassCats" localSheetId="11">OFFSET(Calc!$AO$3,0,0,1+Calc!$Y$12,1)</definedName>
    <definedName name="chClassVals" localSheetId="11">OFFSET(Calc!$AP$3,0,0,1+Calc!$Y$12,1)</definedName>
    <definedName name="Slicer_Class_Y7">#N/A</definedName>
    <definedName name="Slicer_KS2_Band_Y7">#N/A</definedName>
    <definedName name="Slicer_Class_Y8">#N/A</definedName>
    <definedName name="Slicer_KS2_Band_Y8">#N/A</definedName>
    <definedName name="Slicer_Class_Y9">#N/A</definedName>
    <definedName name="Slicer_KS2_Band_Y9">#N/A</definedName>
    <definedName name="Slicer_Class_Y10">#N/A</definedName>
    <definedName name="Slicer_KS2_Band_Y10">#N/A</definedName>
    <definedName name="Slicer_Class_Y11">#N/A</definedName>
    <definedName name="Slicer_KS2_Band_Y11">#N/A</definedName>
  </definedNames>
  <calcPr calcId="124519" fullCalcOnLoad="1"/>
  <extLst>
    <ext xmlns:x15="http://schemas.microsoft.com/office/spreadsheetml/2010/11/main" uri="{46BE6895-7355-4a93-B00E-2C351335B9C9}">
      <x15:slicerCaches xmlns:x14="http://schemas.microsoft.com/office/spreadsheetml/2009/9/main">
        <x14:slicerCache xmlns:r="http://schemas.openxmlformats.org/officeDocument/2006/relationships" r:id="rId15"/>
        <x14:slicerCache xmlns:r="http://schemas.openxmlformats.org/officeDocument/2006/relationships" r:id="rId16"/>
        <x14:slicerCache xmlns:r="http://schemas.openxmlformats.org/officeDocument/2006/relationships" r:id="rId17"/>
        <x14:slicerCache xmlns:r="http://schemas.openxmlformats.org/officeDocument/2006/relationships" r:id="rId18"/>
        <x14:slicerCache xmlns:r="http://schemas.openxmlformats.org/officeDocument/2006/relationships" r:id="rId19"/>
        <x14:slicerCache xmlns:r="http://schemas.openxmlformats.org/officeDocument/2006/relationships" r:id="rId20"/>
        <x14:slicerCache xmlns:r="http://schemas.openxmlformats.org/officeDocument/2006/relationships" r:id="rId21"/>
        <x14:slicerCache xmlns:r="http://schemas.openxmlformats.org/officeDocument/2006/relationships" r:id="rId22"/>
        <x14:slicerCache xmlns:r="http://schemas.openxmlformats.org/officeDocument/2006/relationships" r:id="rId23"/>
        <x14:slicerCache xmlns:r="http://schemas.openxmlformats.org/officeDocument/2006/relationships" r:id="rId24"/>
      </x15:slicerCaches>
    </ext>
  </extLst>
</workbook>
</file>

<file path=xl/styles.xml><?xml version="1.0" encoding="utf-8"?>
<styleSheet xmlns="http://schemas.openxmlformats.org/spreadsheetml/2006/main">
  <numFmts count="7">
    <numFmt numFmtId="164" formatCode="0.0"/>
    <numFmt numFmtId="165" formatCode="+0.0;-0.0;0.0"/>
    <numFmt numFmtId="166" formatCode="yyyy-mm-dd"/>
    <numFmt numFmtId="167" formatCode="dd/mm/yyyy"/>
    <numFmt numFmtId="168" formatCode="+0;-0;0"/>
    <numFmt numFmtId="169" formatCode="+0.0&quot; pts&quot;;-0.0&quot; pts&quot;;0.0&quot; pts&quot;"/>
    <numFmt numFmtId="170" formatCode="dd/mm/yy"/>
  </numFmts>
  <fonts count="21">
    <font>
      <name val="Arial"/>
      <family val="2"/>
      <sz val="10"/>
    </font>
    <font>
      <name val="Arial"/>
      <b val="1"/>
      <color rgb="00B42318"/>
      <sz val="10"/>
    </font>
    <font>
      <name val="Arial"/>
      <color rgb="000B0B0B"/>
      <sz val="10"/>
    </font>
    <font>
      <name val="Arial"/>
      <b val="1"/>
      <color rgb="00FFFFFF"/>
      <sz val="9"/>
    </font>
    <font>
      <name val="Arial"/>
      <b val="1"/>
      <color rgb="000B0B0B"/>
      <sz val="9"/>
    </font>
    <font>
      <name val="Arial"/>
      <b val="1"/>
      <color rgb="00FFFFFF"/>
      <sz val="16"/>
    </font>
    <font>
      <name val="Arial"/>
      <i val="1"/>
      <color rgb="0052514E"/>
      <sz val="10"/>
    </font>
    <font>
      <name val="Arial"/>
      <b val="1"/>
      <color rgb="000D366B"/>
      <sz val="12"/>
    </font>
    <font>
      <name val="Arial"/>
      <b val="1"/>
      <color rgb="000B0B0B"/>
      <sz val="10"/>
    </font>
    <font>
      <name val="Arial"/>
      <color rgb="0052514E"/>
      <sz val="9"/>
    </font>
    <font>
      <name val="Arial"/>
      <b val="1"/>
      <color rgb="000B0B0B"/>
      <sz val="11"/>
    </font>
    <font>
      <name val="Arial"/>
      <color rgb="00898781"/>
      <sz val="9"/>
    </font>
    <font>
      <name val="Arial"/>
      <b val="1"/>
      <color rgb="0052514E"/>
      <sz val="9"/>
    </font>
    <font>
      <name val="Arial"/>
      <b val="1"/>
      <color rgb="000D366B"/>
      <sz val="20"/>
    </font>
    <font>
      <name val="Arial"/>
      <color rgb="0052514E"/>
      <sz val="10"/>
    </font>
    <font>
      <name val="Arial"/>
      <b val="1"/>
      <color rgb="0052514E"/>
      <sz val="10"/>
    </font>
    <font>
      <name val="Arial"/>
      <i val="1"/>
      <color rgb="0052514E"/>
      <sz val="9"/>
    </font>
    <font>
      <name val="Arial"/>
      <b val="1"/>
      <color rgb="000D366B"/>
      <sz val="11"/>
    </font>
    <font>
      <name val="Arial"/>
      <color rgb="0052514E"/>
      <sz val="11"/>
    </font>
    <font>
      <name val="Arial"/>
      <b val="1"/>
      <color rgb="00FFFFFF"/>
      <sz val="11"/>
    </font>
    <font>
      <name val="Arial"/>
      <color rgb="00256ABF"/>
      <sz val="10"/>
    </font>
  </fonts>
  <fills count="10">
    <fill>
      <patternFill/>
    </fill>
    <fill>
      <patternFill patternType="gray125"/>
    </fill>
    <fill>
      <patternFill patternType="solid">
        <fgColor rgb="000D366B"/>
      </patternFill>
    </fill>
    <fill>
      <patternFill patternType="solid">
        <fgColor rgb="00256ABF"/>
      </patternFill>
    </fill>
    <fill>
      <patternFill patternType="solid">
        <fgColor rgb="00CDE2FB"/>
      </patternFill>
    </fill>
    <fill>
      <patternFill patternType="solid">
        <fgColor rgb="00E1E0D9"/>
      </patternFill>
    </fill>
    <fill>
      <patternFill patternType="solid">
        <fgColor rgb="00F4F5F5"/>
      </patternFill>
    </fill>
    <fill>
      <patternFill patternType="solid">
        <fgColor rgb="00F5F5F4"/>
      </patternFill>
    </fill>
    <fill>
      <patternFill patternType="solid">
        <fgColor rgb="00FFF3BF"/>
      </patternFill>
    </fill>
    <fill>
      <patternFill patternType="solid">
        <fgColor rgb="00B42318"/>
      </patternFill>
    </fill>
  </fills>
  <borders count="8">
    <border>
      <left/>
      <right/>
      <top/>
      <bottom/>
      <diagonal/>
    </border>
    <border>
      <left style="thin">
        <color rgb="00E1E0D9"/>
      </left>
      <right style="thin">
        <color rgb="00E1E0D9"/>
      </right>
      <top style="thin">
        <color rgb="00E1E0D9"/>
      </top>
      <bottom style="thin">
        <color rgb="00E1E0D9"/>
      </bottom>
    </border>
    <border>
      <bottom style="thin">
        <color rgb="00C3C2B7"/>
      </bottom>
    </border>
    <border>
      <top style="thin">
        <color rgb="00C3C2B7"/>
      </top>
    </border>
    <border>
      <left/>
      <right/>
      <top style="thin">
        <color rgb="00E1E0D9"/>
      </top>
      <bottom/>
      <diagonal/>
    </border>
    <border>
      <left/>
      <right style="thin">
        <color rgb="00E1E0D9"/>
      </right>
      <top style="thin">
        <color rgb="00E1E0D9"/>
      </top>
      <bottom/>
      <diagonal/>
    </border>
    <border>
      <left/>
      <right style="thin">
        <color rgb="00E1E0D9"/>
      </right>
      <top style="thin">
        <color rgb="00E1E0D9"/>
      </top>
      <bottom style="thin">
        <color rgb="00E1E0D9"/>
      </bottom>
      <diagonal/>
    </border>
    <border>
      <left/>
      <right/>
      <top style="thin">
        <color rgb="00E1E0D9"/>
      </top>
      <bottom style="thin">
        <color rgb="00E1E0D9"/>
      </bottom>
      <diagonal/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0" fillId="2" borderId="0" pivotButton="0" quotePrefix="0" xfId="0"/>
    <xf numFmtId="0" fontId="5" fillId="2" borderId="0" applyAlignment="1" pivotButton="0" quotePrefix="0" xfId="0">
      <alignment horizontal="left" vertical="center"/>
    </xf>
    <xf numFmtId="0" fontId="18" fillId="0" borderId="0" applyAlignment="1" pivotButton="0" quotePrefix="0" xfId="0">
      <alignment horizontal="left" vertical="center"/>
    </xf>
    <xf numFmtId="0" fontId="19" fillId="9" borderId="0" pivotButton="0" quotePrefix="0" xfId="0"/>
    <xf numFmtId="0" fontId="0" fillId="9" borderId="0" pivotButton="0" quotePrefix="0" xfId="0"/>
    <xf numFmtId="0" fontId="7" fillId="0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1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3" fontId="2" fillId="0" borderId="1" applyAlignment="1" pivotButton="0" quotePrefix="0" xfId="0">
      <alignment horizontal="center" vertical="center"/>
    </xf>
    <xf numFmtId="0" fontId="2" fillId="0" borderId="1" pivotButton="0" quotePrefix="0" xfId="0"/>
    <xf numFmtId="0" fontId="20" fillId="0" borderId="1" pivotButton="0" quotePrefix="0" xfId="0"/>
    <xf numFmtId="0" fontId="2" fillId="0" borderId="0" applyAlignment="1" pivotButton="0" quotePrefix="0" xfId="0">
      <alignment horizontal="left" vertical="top" wrapText="1"/>
    </xf>
    <xf numFmtId="0" fontId="0" fillId="0" borderId="6" pivotButton="0" quotePrefix="0" xfId="0"/>
    <xf numFmtId="0" fontId="8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12" fillId="7" borderId="0" applyAlignment="1" pivotButton="0" quotePrefix="0" xfId="0">
      <alignment horizontal="left" vertical="center"/>
    </xf>
    <xf numFmtId="0" fontId="0" fillId="7" borderId="0" pivotButton="0" quotePrefix="0" xfId="0"/>
    <xf numFmtId="1" fontId="13" fillId="7" borderId="0" applyAlignment="1" pivotButton="0" quotePrefix="0" xfId="0">
      <alignment horizontal="left" vertical="center"/>
    </xf>
    <xf numFmtId="3" fontId="13" fillId="7" borderId="0" applyAlignment="1" pivotButton="0" quotePrefix="0" xfId="0">
      <alignment horizontal="left" vertical="center"/>
    </xf>
    <xf numFmtId="0" fontId="7" fillId="4" borderId="0" pivotButton="0" quotePrefix="0" xfId="0"/>
    <xf numFmtId="0" fontId="9" fillId="4" borderId="0" pivotButton="0" quotePrefix="0" xfId="0"/>
    <xf numFmtId="0" fontId="0" fillId="4" borderId="0" pivotButton="0" quotePrefix="0" xfId="0"/>
    <xf numFmtId="0" fontId="12" fillId="4" borderId="0" pivotButton="0" quotePrefix="0" xfId="0"/>
    <xf numFmtId="0" fontId="8" fillId="0" borderId="2" pivotButton="0" quotePrefix="0" xfId="0"/>
    <xf numFmtId="1" fontId="8" fillId="0" borderId="3" applyAlignment="1" pivotButton="0" quotePrefix="0" xfId="0">
      <alignment horizontal="center" vertical="center"/>
    </xf>
    <xf numFmtId="164" fontId="8" fillId="0" borderId="3" applyAlignment="1" pivotButton="0" quotePrefix="0" xfId="0">
      <alignment horizontal="center" vertical="center"/>
    </xf>
    <xf numFmtId="165" fontId="8" fillId="0" borderId="3" applyAlignment="1" pivotButton="0" quotePrefix="0" xfId="0">
      <alignment horizontal="center" vertical="center"/>
    </xf>
    <xf numFmtId="9" fontId="8" fillId="0" borderId="3" applyAlignment="1" pivotButton="0" quotePrefix="0" xfId="0">
      <alignment horizontal="center" vertical="center"/>
    </xf>
    <xf numFmtId="0" fontId="2" fillId="0" borderId="0" pivotButton="0" quotePrefix="0" xfId="0"/>
    <xf numFmtId="0" fontId="2" fillId="0" borderId="0" applyAlignment="1" pivotButton="0" quotePrefix="0" xfId="0">
      <alignment horizontal="left" vertical="center"/>
    </xf>
    <xf numFmtId="1" fontId="2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9" fontId="2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left" vertical="top" wrapText="1"/>
    </xf>
    <xf numFmtId="0" fontId="8" fillId="0" borderId="0" pivotButton="0" quotePrefix="0" xfId="0"/>
    <xf numFmtId="0" fontId="10" fillId="8" borderId="1" applyAlignment="1" applyProtection="1" pivotButton="0" quotePrefix="0" xfId="0">
      <alignment horizontal="left" vertical="center"/>
      <protection locked="0" hidden="0"/>
    </xf>
    <xf numFmtId="0" fontId="0" fillId="0" borderId="6" applyProtection="1" pivotButton="0" quotePrefix="0" xfId="0">
      <protection locked="0" hidden="0"/>
    </xf>
    <xf numFmtId="9" fontId="13" fillId="7" borderId="0" applyAlignment="1" pivotButton="0" quotePrefix="0" xfId="0">
      <alignment horizontal="left" vertical="center"/>
    </xf>
    <xf numFmtId="0" fontId="0" fillId="0" borderId="7" applyProtection="1" pivotButton="0" quotePrefix="0" xfId="0">
      <protection locked="0" hidden="0"/>
    </xf>
    <xf numFmtId="0" fontId="6" fillId="0" borderId="0" pivotButton="0" quotePrefix="0" xfId="0"/>
    <xf numFmtId="0" fontId="8" fillId="7" borderId="2" pivotButton="0" quotePrefix="0" xfId="0"/>
    <xf numFmtId="0" fontId="0" fillId="7" borderId="2" pivotButton="0" quotePrefix="0" xfId="0"/>
    <xf numFmtId="1" fontId="8" fillId="7" borderId="2" applyAlignment="1" pivotButton="0" quotePrefix="0" xfId="0">
      <alignment horizontal="center" vertical="center"/>
    </xf>
    <xf numFmtId="164" fontId="8" fillId="7" borderId="2" applyAlignment="1" pivotButton="0" quotePrefix="0" xfId="0">
      <alignment horizontal="center" vertical="center"/>
    </xf>
    <xf numFmtId="9" fontId="8" fillId="7" borderId="2" applyAlignment="1" pivotButton="0" quotePrefix="0" xfId="0">
      <alignment horizontal="center" vertical="center"/>
    </xf>
    <xf numFmtId="168" fontId="2" fillId="0" borderId="0" applyAlignment="1" pivotButton="0" quotePrefix="0" xfId="0">
      <alignment horizontal="center" vertical="center"/>
    </xf>
    <xf numFmtId="0" fontId="14" fillId="0" borderId="0" pivotButton="0" quotePrefix="0" xfId="0"/>
    <xf numFmtId="9" fontId="14" fillId="0" borderId="0" applyAlignment="1" pivotButton="0" quotePrefix="0" xfId="0">
      <alignment horizontal="center" vertical="center"/>
    </xf>
    <xf numFmtId="0" fontId="15" fillId="0" borderId="3" pivotButton="0" quotePrefix="0" xfId="0"/>
    <xf numFmtId="0" fontId="0" fillId="0" borderId="3" pivotButton="0" quotePrefix="0" xfId="0"/>
    <xf numFmtId="169" fontId="15" fillId="0" borderId="3" applyAlignment="1" pivotButton="0" quotePrefix="0" xfId="0">
      <alignment horizontal="center" vertical="center"/>
    </xf>
    <xf numFmtId="165" fontId="15" fillId="0" borderId="3" applyAlignment="1" pivotButton="0" quotePrefix="0" xfId="0">
      <alignment horizontal="center" vertical="center"/>
    </xf>
    <xf numFmtId="0" fontId="16" fillId="0" borderId="0" pivotButton="0" quotePrefix="0" xfId="0"/>
    <xf numFmtId="170" fontId="2" fillId="0" borderId="0" applyAlignment="1" pivotButton="0" quotePrefix="0" xfId="0">
      <alignment horizontal="center" vertical="center"/>
    </xf>
    <xf numFmtId="9" fontId="8" fillId="0" borderId="0" applyAlignment="1" pivotButton="0" quotePrefix="0" xfId="0">
      <alignment horizontal="center" vertical="center"/>
    </xf>
    <xf numFmtId="0" fontId="17" fillId="0" borderId="0" pivotButton="0" quotePrefix="0" xfId="0"/>
    <xf numFmtId="0" fontId="3" fillId="2" borderId="1" applyAlignment="1" pivotButton="0" quotePrefix="0" xfId="0">
      <alignment horizontal="left" vertical="bottom" wrapText="1"/>
    </xf>
    <xf numFmtId="0" fontId="3" fillId="2" borderId="1" applyAlignment="1" pivotButton="0" quotePrefix="0" xfId="0">
      <alignment horizontal="center" vertical="bottom" textRotation="90" wrapText="1"/>
    </xf>
    <xf numFmtId="0" fontId="3" fillId="3" borderId="1" applyAlignment="1" pivotButton="0" quotePrefix="0" xfId="0">
      <alignment horizontal="center" vertical="bottom" textRotation="90" wrapText="1"/>
    </xf>
    <xf numFmtId="0" fontId="4" fillId="4" borderId="1" applyAlignment="1" pivotButton="0" quotePrefix="0" xfId="0">
      <alignment horizontal="center" vertical="bottom" textRotation="90" wrapText="1"/>
    </xf>
    <xf numFmtId="0" fontId="4" fillId="5" borderId="1" applyAlignment="1" pivotButton="0" quotePrefix="0" xfId="0">
      <alignment horizontal="center" vertical="bottom" textRotation="90" wrapText="1"/>
    </xf>
    <xf numFmtId="49" fontId="2" fillId="0" borderId="0" pivotButton="0" quotePrefix="0" xfId="0"/>
    <xf numFmtId="0" fontId="2" fillId="0" borderId="0" applyAlignment="1" pivotButton="0" quotePrefix="0" xfId="0">
      <alignment horizontal="center" vertical="center"/>
    </xf>
    <xf numFmtId="1" fontId="2" fillId="6" borderId="0" applyAlignment="1" pivotButton="0" quotePrefix="0" xfId="0">
      <alignment horizontal="center" vertical="center"/>
    </xf>
    <xf numFmtId="164" fontId="2" fillId="6" borderId="0" applyAlignment="1" pivotButton="0" quotePrefix="0" xfId="0">
      <alignment horizontal="center" vertical="center"/>
    </xf>
    <xf numFmtId="165" fontId="2" fillId="6" borderId="0" applyAlignment="1" pivotButton="0" quotePrefix="0" xfId="0">
      <alignment horizontal="center" vertical="center"/>
    </xf>
    <xf numFmtId="0" fontId="2" fillId="0" borderId="1" applyAlignment="1" pivotButton="0" quotePrefix="0" xfId="0">
      <alignment horizontal="left" vertical="center"/>
    </xf>
    <xf numFmtId="167" fontId="2" fillId="0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center" vertical="center"/>
    </xf>
    <xf numFmtId="9" fontId="2" fillId="7" borderId="1" applyAlignment="1" pivotButton="0" quotePrefix="0" xfId="0">
      <alignment horizontal="center" vertical="center"/>
    </xf>
    <xf numFmtId="164" fontId="2" fillId="7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left" vertical="center"/>
    </xf>
    <xf numFmtId="2" fontId="2" fillId="0" borderId="1" applyAlignment="1" pivotButton="0" quotePrefix="0" xfId="0">
      <alignment horizontal="center" vertical="center"/>
    </xf>
    <xf numFmtId="164" fontId="10" fillId="8" borderId="1" applyAlignment="1" applyProtection="1" pivotButton="0" quotePrefix="0" xfId="0">
      <alignment horizontal="left" vertical="center"/>
      <protection locked="0" hidden="0"/>
    </xf>
    <xf numFmtId="0" fontId="2" fillId="8" borderId="1" applyProtection="1" pivotButton="0" quotePrefix="0" xfId="0">
      <protection locked="0" hidden="0"/>
    </xf>
    <xf numFmtId="0" fontId="11" fillId="0" borderId="1" pivotButton="0" quotePrefix="0" xfId="0"/>
    <xf numFmtId="0" fontId="1" fillId="0" borderId="0" pivotButton="0" quotePrefix="0" xfId="0"/>
    <xf numFmtId="0" fontId="4" fillId="0" borderId="0" pivotButton="0" quotePrefix="0" xfId="0"/>
    <xf numFmtId="167" fontId="0" fillId="0" borderId="0" pivotButton="0" quotePrefix="0" xfId="0"/>
    <xf numFmtId="9" fontId="0" fillId="0" borderId="0" pivotButton="0" quotePrefix="0" xfId="0"/>
  </cellXfs>
  <cellStyles count="1">
    <cellStyle name="Normal" xfId="0" builtinId="0" hidden="0"/>
  </cellStyles>
  <dxfs count="9">
    <dxf>
      <fill>
        <patternFill patternType="solid">
          <bgColor rgb="009EC5F4"/>
        </patternFill>
      </fill>
    </dxf>
    <dxf>
      <fill>
        <patternFill patternType="solid">
          <bgColor rgb="00CDE2FB"/>
        </patternFill>
      </fill>
    </dxf>
    <dxf>
      <fill>
        <patternFill patternType="solid">
          <bgColor rgb="00F2C4C3"/>
        </patternFill>
      </fill>
    </dxf>
    <dxf>
      <fill>
        <patternFill patternType="solid">
          <bgColor rgb="00FBE4E3"/>
        </patternFill>
      </fill>
    </dxf>
    <dxf>
      <fill>
        <patternFill patternType="solid">
          <bgColor rgb="00FDEBC4"/>
        </patternFill>
      </fill>
    </dxf>
    <dxf>
      <fill>
        <patternFill patternType="solid">
          <bgColor rgb="00FFFFFF"/>
        </patternFill>
      </fill>
    </dxf>
    <dxf>
      <numFmt numFmtId="200" formatCode="0.0"/>
    </dxf>
    <dxf>
      <border>
        <bottom style="thin">
          <color rgb="00E1E0D9"/>
        </bottom>
      </border>
    </dxf>
    <dxf>
      <font>
        <name val="Arial"/>
        <b val="1"/>
        <color rgb="00B42318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15" Type="http://schemas.microsoft.com/office/2007/relationships/slicerCache" Target="slicerCaches/slicerCache1.xml"/><Relationship Id="rId16" Type="http://schemas.microsoft.com/office/2007/relationships/slicerCache" Target="slicerCaches/slicerCache2.xml"/><Relationship Id="rId17" Type="http://schemas.microsoft.com/office/2007/relationships/slicerCache" Target="slicerCaches/slicerCache3.xml"/><Relationship Id="rId18" Type="http://schemas.microsoft.com/office/2007/relationships/slicerCache" Target="slicerCaches/slicerCache4.xml"/><Relationship Id="rId19" Type="http://schemas.microsoft.com/office/2007/relationships/slicerCache" Target="slicerCaches/slicerCache5.xml"/><Relationship Id="rId20" Type="http://schemas.microsoft.com/office/2007/relationships/slicerCache" Target="slicerCaches/slicerCache6.xml"/><Relationship Id="rId21" Type="http://schemas.microsoft.com/office/2007/relationships/slicerCache" Target="slicerCaches/slicerCache7.xml"/><Relationship Id="rId22" Type="http://schemas.microsoft.com/office/2007/relationships/slicerCache" Target="slicerCaches/slicerCache8.xml"/><Relationship Id="rId23" Type="http://schemas.microsoft.com/office/2007/relationships/slicerCache" Target="slicerCaches/slicerCache9.xml"/><Relationship Id="rId24" Type="http://schemas.microsoft.com/office/2007/relationships/slicerCache" Target="slicerCaches/slicerCache10.xml"/><Relationship Id="rId25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Mean % by class, selected test</a:t>
            </a:r>
          </a:p>
        </rich>
      </tx>
    </title>
    <plotArea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2A78D6"/>
            </a:solidFill>
            <a:ln xmlns:a="http://schemas.openxmlformats.org/drawingml/2006/main">
              <a:noFill/>
              <a:prstDash val="solid"/>
            </a:ln>
          </spPr>
          <dPt>
            <idx val="0"/>
            <spPr>
              <a:solidFill xmlns:a="http://schemas.openxmlformats.org/drawingml/2006/main">
                <a:srgbClr val="898781"/>
              </a:solidFill>
              <a:ln xmlns:a="http://schemas.openxmlformats.org/drawingml/2006/main">
                <a:noFill/>
                <a:prstDash val="solid"/>
              </a:ln>
            </spPr>
          </dPt>
          <dLbls>
            <numFmt formatCode="0%" sourceLinked="0"/>
            <txPr>
              <a:bodyPr xmlns:a="http://schemas.openxmlformats.org/drawingml/2006/main"/>
              <a:p xmlns:a="http://schemas.openxmlformats.org/drawingml/2006/main">
                <a:pPr>
                  <a:defRPr sz="900">
                    <a:solidFill>
                      <a:srgbClr val="0B0B0B"/>
                    </a:solidFill>
                    <a:latin typeface="Arial"/>
                  </a:defRPr>
                </a:pPr>
                <a:r>
                  <a:t/>
                </a:r>
                <a:endParaRPr/>
              </a:p>
            </txPr>
            <showLegendKey val="0"/>
            <showVal val="1"/>
            <showCatName val="0"/>
            <showSerName val="0"/>
          </dLbls>
          <cat>
            <strRef>
              <f>Calc!chClassCats</f>
            </strRef>
          </cat>
          <val>
            <numRef>
              <f>Calc!chClassVals</f>
            </numRef>
          </val>
        </ser>
        <gapWidth val="6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  <crosses val="max"/>
        <majorUnit val="0.25"/>
      </valAx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Stanine spread, selected test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Calc!$AS$2</f>
            </strRef>
          </tx>
          <spPr>
            <a:solidFill xmlns:a="http://schemas.openxmlformats.org/drawingml/2006/main">
              <a:srgbClr val="2A78D6"/>
            </a:solidFill>
            <a:ln xmlns:a="http://schemas.openxmlformats.org/drawingml/2006/main">
              <a:noFill/>
              <a:prstDash val="solid"/>
            </a:ln>
          </spPr>
          <cat>
            <numRef>
              <f>Calc!$AR$3:$AR$11</f>
            </numRef>
          </cat>
          <val>
            <numRef>
              <f>Calc!$AS$3:$AS$11</f>
            </numRef>
          </val>
        </ser>
        <ser>
          <idx val="1"/>
          <order val="1"/>
          <tx>
            <strRef>
              <f>Calc!$AT$2</f>
            </strRef>
          </tx>
          <spPr>
            <a:solidFill xmlns:a="http://schemas.openxmlformats.org/drawingml/2006/main">
              <a:srgbClr val="C3C2B7"/>
            </a:solidFill>
            <a:ln xmlns:a="http://schemas.openxmlformats.org/drawingml/2006/main">
              <a:noFill/>
              <a:prstDash val="solid"/>
            </a:ln>
          </spPr>
          <cat>
            <numRef>
              <f>Calc!$AR$3:$AR$11</f>
            </numRef>
          </cat>
          <val>
            <numRef>
              <f>Calc!$AT$3:$AT$11</f>
            </numRef>
          </val>
        </ser>
        <gapWidth val="5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900">
              <a:solidFill>
                <a:srgbClr val="52514E"/>
              </a:solidFill>
              <a:latin typeface="Arial"/>
            </a:defRPr>
          </a:pPr>
          <a:r>
            <a:t/>
          </a:r>
          <a:endParaRPr/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Focus class and whole year: mean stanine by test</a:t>
            </a:r>
          </a:p>
        </rich>
      </tx>
    </title>
    <plotArea>
      <lineChart>
        <grouping val="standard"/>
        <ser>
          <idx val="0"/>
          <order val="0"/>
          <tx>
            <strRef>
              <f>Calc!$AL$2</f>
            </strRef>
          </tx>
          <spPr>
            <a:ln xmlns:a="http://schemas.openxmlformats.org/drawingml/2006/main" w="28575">
              <a:solidFill>
                <a:srgbClr val="898781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898781"/>
              </a:solidFill>
              <a:ln xmlns:a="http://schemas.openxmlformats.org/drawingml/2006/main">
                <a:solidFill>
                  <a:srgbClr val="FFFFFF"/>
                </a:solidFill>
                <a:prstDash val="solid"/>
              </a:ln>
            </spPr>
          </marker>
          <cat>
            <strRef>
              <f>Calc!chTrendCats</f>
            </strRef>
          </cat>
          <val>
            <numRef>
              <f>Calc!chTrendYear</f>
            </numRef>
          </val>
          <smooth val="0"/>
        </ser>
        <ser>
          <idx val="1"/>
          <order val="1"/>
          <tx>
            <strRef>
              <f>Dashboard!$C$7</f>
            </strRef>
          </tx>
          <spPr>
            <a:ln xmlns:a="http://schemas.openxmlformats.org/drawingml/2006/main" w="254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2A78D6"/>
              </a:solidFill>
              <a:ln xmlns:a="http://schemas.openxmlformats.org/drawingml/2006/main">
                <a:solidFill>
                  <a:srgbClr val="FFFFFF"/>
                </a:solidFill>
                <a:prstDash val="solid"/>
              </a:ln>
            </spPr>
          </marker>
          <cat>
            <strRef>
              <f>Calc!chTrendCats</f>
            </strRef>
          </cat>
          <val>
            <numRef>
              <f>Calc!chTrendClass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ax val="9"/>
          <min val="1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  <majorUnit val="1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900">
              <a:solidFill>
                <a:srgbClr val="52514E"/>
              </a:solidFill>
              <a:latin typeface="Arial"/>
            </a:defRPr>
          </a:pPr>
          <a:r>
            <a:t/>
          </a:r>
          <a:endParaRPr/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oneCellAnchor>
    <from>
      <col>17</col>
      <colOff>0</colOff>
      <row>8</row>
      <rowOff>0</rowOff>
    </from>
    <ext cx="576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17</col>
      <colOff>0</colOff>
      <row>22</row>
      <rowOff>0</rowOff>
    </from>
    <ext cx="576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17</col>
      <colOff>0</colOff>
      <row>42</row>
      <rowOff>0</rowOff>
    </from>
    <ext cx="5760000" cy="342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twoCellAnchor xmlns:a="http://schemas.openxmlformats.org/drawingml/2006/main" editAs="absolute">
    <from>
      <col>9</col>
      <colOff>0</colOff>
      <row>0</row>
      <rowOff>76200</rowOff>
    </from>
    <to>
      <col>10</col>
      <colOff>285750</colOff>
      <row>0</row>
      <rowOff>304800</rowOff>
    </to>
    <sp macro="[0]!ShowManageTests" textlink="">
      <nvSpPr>
        <cNvPr id="1003" name="btnShowManageTests_1" descr="Runs ShowManageTests"/>
        <cNvSpPr/>
      </nvSpPr>
      <spPr>
        <a:xfrm>
          <a:off x="67341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txBody>
    </sp>
    <clientData/>
  </twoCellAnchor>
  <twoCellAnchor xmlns:a="http://schemas.openxmlformats.org/drawingml/2006/main" editAs="absolute">
    <from>
      <col>10</col>
      <colOff>361950</colOff>
      <row>0</row>
      <rowOff>76200</rowOff>
    </from>
    <to>
      <col>11</col>
      <colOff>647700</colOff>
      <row>0</row>
      <rowOff>304800</rowOff>
    </to>
    <sp macro="[0]!GoToOverview" textlink="">
      <nvSpPr>
        <cNvPr id="1004" name="btnGoToOverview_2" descr="Runs GoToOverview"/>
        <cNvSpPr/>
      </nvSpPr>
      <spPr>
        <a:xfrm>
          <a:off x="77628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Overview</a:t>
          </a:r>
        </a:p>
      </txBody>
    </sp>
    <clientData/>
  </twoCellAnchor>
  <twoCellAnchor xmlns:a="http://schemas.openxmlformats.org/drawingml/2006/main" editAs="absolute">
    <from>
      <col>12</col>
      <colOff>57150</colOff>
      <row>0</row>
      <rowOff>76200</rowOff>
    </from>
    <to>
      <col>13</col>
      <colOff>342900</colOff>
      <row>0</row>
      <rowOff>304800</rowOff>
    </to>
    <sp macro="[0]!GoToWatchList" textlink="">
      <nvSpPr>
        <cNvPr id="1005" name="btnGoToWatchList_3" descr="Runs GoToWatchList"/>
        <cNvSpPr/>
      </nvSpPr>
      <spPr>
        <a:xfrm>
          <a:off x="87915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txBody>
    </sp>
    <clientData/>
  </twoCellAnchor>
  <twoCellAnchor xmlns:a="http://schemas.openxmlformats.org/drawingml/2006/main" editAs="absolute">
    <from>
      <col>13</col>
      <colOff>419100</colOff>
      <row>0</row>
      <rowOff>76200</rowOff>
    </from>
    <to>
      <col>15</col>
      <colOff>38100</colOff>
      <row>0</row>
      <rowOff>304800</rowOff>
    </to>
    <sp macro="[0]!GoToStart" textlink="">
      <nvSpPr>
        <cNvPr id="1006" name="btnGoToStart_4" descr="Runs GoToStart"/>
        <cNvSpPr/>
      </nvSpPr>
      <spPr>
        <a:xfrm>
          <a:off x="98202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txBody>
    </sp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7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7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7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8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8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8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9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9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9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10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10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10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11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11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11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323850</xdr:colOff>
      <xdr:row>0</xdr:row>
      <xdr:rowOff>76200</xdr:rowOff>
    </xdr:from>
    <xdr:to>
      <xdr:col>14</xdr:col>
      <xdr:colOff>742950</xdr:colOff>
      <xdr:row>0</xdr:row>
      <xdr:rowOff>304800</xdr:rowOff>
    </xdr:to>
    <xdr:sp macro="[0]!ShowManageTests" textlink="">
      <xdr:nvSpPr>
        <xdr:cNvPr id="1000" name="btnShowManageTests_1" descr="Runs ShowManageTests"/>
        <xdr:cNvSpPr/>
      </xdr:nvSpPr>
      <xdr:spPr>
        <a:xfrm>
          <a:off x="105251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14</xdr:col>
      <xdr:colOff>819150</xdr:colOff>
      <xdr:row>0</xdr:row>
      <xdr:rowOff>76200</xdr:rowOff>
    </xdr:from>
    <xdr:to>
      <xdr:col>14</xdr:col>
      <xdr:colOff>1771650</xdr:colOff>
      <xdr:row>0</xdr:row>
      <xdr:rowOff>304800</xdr:rowOff>
    </xdr:to>
    <xdr:sp macro="[0]!GoToStart" textlink="">
      <xdr:nvSpPr>
        <xdr:cNvPr id="1001" name="btnGoToStart_2" descr="Runs GoToStart"/>
        <xdr:cNvSpPr/>
      </xdr:nvSpPr>
      <xdr:spPr>
        <a:xfrm>
          <a:off x="115538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285750</xdr:colOff>
      <xdr:row>0</xdr:row>
      <xdr:rowOff>76200</xdr:rowOff>
    </xdr:from>
    <xdr:to>
      <xdr:col>7</xdr:col>
      <xdr:colOff>38100</xdr:colOff>
      <xdr:row>0</xdr:row>
      <xdr:rowOff>304800</xdr:rowOff>
    </xdr:to>
    <xdr:sp macro="[0]!GoToStart" textlink="">
      <xdr:nvSpPr>
        <xdr:cNvPr id="1000" name="btnGoToStart_1" descr="Runs GoToStart"/>
        <xdr:cNvSpPr/>
      </xdr:nvSpPr>
      <xdr:spPr>
        <a:xfrm>
          <a:off x="68199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428625</xdr:colOff>
      <xdr:row>0</xdr:row>
      <xdr:rowOff>76200</xdr:rowOff>
    </xdr:from>
    <xdr:to>
      <xdr:col>10</xdr:col>
      <xdr:colOff>47625</xdr:colOff>
      <xdr:row>0</xdr:row>
      <xdr:rowOff>304800</xdr:rowOff>
    </xdr:to>
    <xdr:sp macro="[0]!GoToDashboard" textlink="">
      <xdr:nvSpPr>
        <xdr:cNvPr id="1000" name="btnGoToDashboard_1" descr="Runs GoToDashboard"/>
        <xdr:cNvSpPr/>
      </xdr:nvSpPr>
      <xdr:spPr>
        <a:xfrm>
          <a:off x="58293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10</xdr:col>
      <xdr:colOff>123825</xdr:colOff>
      <xdr:row>0</xdr:row>
      <xdr:rowOff>76200</xdr:rowOff>
    </xdr:from>
    <xdr:to>
      <xdr:col>11</xdr:col>
      <xdr:colOff>409575</xdr:colOff>
      <xdr:row>0</xdr:row>
      <xdr:rowOff>304800</xdr:rowOff>
    </xdr:to>
    <xdr:sp macro="[0]!GoToWatchList" textlink="">
      <xdr:nvSpPr>
        <xdr:cNvPr id="1001" name="btnGoToWatchList_2" descr="Runs GoToWatchList"/>
        <xdr:cNvSpPr/>
      </xdr:nvSpPr>
      <xdr:spPr>
        <a:xfrm>
          <a:off x="68580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xdr:txBody>
    </xdr:sp>
    <xdr:clientData/>
  </xdr:twoCellAnchor>
  <xdr:twoCellAnchor editAs="absolute">
    <xdr:from>
      <xdr:col>11</xdr:col>
      <xdr:colOff>485775</xdr:colOff>
      <xdr:row>0</xdr:row>
      <xdr:rowOff>76200</xdr:rowOff>
    </xdr:from>
    <xdr:to>
      <xdr:col>13</xdr:col>
      <xdr:colOff>38100</xdr:colOff>
      <xdr:row>0</xdr:row>
      <xdr:rowOff>304800</xdr:rowOff>
    </xdr:to>
    <xdr:sp macro="[0]!GoToStart" textlink="">
      <xdr:nvSpPr>
        <xdr:cNvPr id="1002" name="btnGoToStart_3" descr="Runs GoToStart"/>
        <xdr:cNvSpPr/>
      </xdr:nvSpPr>
      <xdr:spPr>
        <a:xfrm>
          <a:off x="78867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495300</xdr:colOff>
      <xdr:row>0</xdr:row>
      <xdr:rowOff>76200</xdr:rowOff>
    </xdr:from>
    <xdr:to>
      <xdr:col>7</xdr:col>
      <xdr:colOff>781050</xdr:colOff>
      <xdr:row>0</xdr:row>
      <xdr:rowOff>304800</xdr:rowOff>
    </xdr:to>
    <xdr:sp macro="[0]!GoToDashboard" textlink="">
      <xdr:nvSpPr>
        <xdr:cNvPr id="1000" name="btnGoToDashboard_1" descr="Runs GoToDashboard"/>
        <xdr:cNvSpPr/>
      </xdr:nvSpPr>
      <xdr:spPr>
        <a:xfrm>
          <a:off x="54959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8</xdr:col>
      <xdr:colOff>57150</xdr:colOff>
      <xdr:row>0</xdr:row>
      <xdr:rowOff>76200</xdr:rowOff>
    </xdr:from>
    <xdr:to>
      <xdr:col>8</xdr:col>
      <xdr:colOff>1009650</xdr:colOff>
      <xdr:row>0</xdr:row>
      <xdr:rowOff>304800</xdr:rowOff>
    </xdr:to>
    <xdr:sp macro="[0]!GoToOverview" textlink="">
      <xdr:nvSpPr>
        <xdr:cNvPr id="1001" name="btnGoToOverview_2" descr="Runs GoToOverview"/>
        <xdr:cNvSpPr/>
      </xdr:nvSpPr>
      <xdr:spPr>
        <a:xfrm>
          <a:off x="65246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Overview</a:t>
          </a:r>
        </a:p>
      </xdr:txBody>
    </xdr:sp>
    <xdr:clientData/>
  </xdr:twoCellAnchor>
  <xdr:twoCellAnchor editAs="absolute">
    <xdr:from>
      <xdr:col>8</xdr:col>
      <xdr:colOff>1085850</xdr:colOff>
      <xdr:row>0</xdr:row>
      <xdr:rowOff>76200</xdr:rowOff>
    </xdr:from>
    <xdr:to>
      <xdr:col>9</xdr:col>
      <xdr:colOff>38100</xdr:colOff>
      <xdr:row>0</xdr:row>
      <xdr:rowOff>304800</xdr:rowOff>
    </xdr:to>
    <xdr:sp macro="[0]!GoToStart" textlink="">
      <xdr:nvSpPr>
        <xdr:cNvPr id="1002" name="btnGoToStart_3" descr="Runs GoToStart"/>
        <xdr:cNvSpPr/>
      </xdr:nvSpPr>
      <xdr:spPr>
        <a:xfrm>
          <a:off x="75533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3</xdr:row>
      <xdr:rowOff>152400</xdr:rowOff>
    </xdr:from>
    <xdr:to>
      <xdr:col>1</xdr:col>
      <xdr:colOff>1257300</xdr:colOff>
      <xdr:row>4</xdr:row>
      <xdr:rowOff>219075</xdr:rowOff>
    </xdr:to>
    <xdr:sp macro="[0]!ShowManageTests" textlink="">
      <xdr:nvSpPr>
        <xdr:cNvPr id="1000" name="btnShowManageTests_1" descr="Runs ShowManageTests"/>
        <xdr:cNvSpPr/>
      </xdr:nvSpPr>
      <xdr:spPr>
        <a:xfrm>
          <a:off x="1714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1352550</xdr:colOff>
      <xdr:row>3</xdr:row>
      <xdr:rowOff>152400</xdr:rowOff>
    </xdr:from>
    <xdr:to>
      <xdr:col>3</xdr:col>
      <xdr:colOff>304800</xdr:colOff>
      <xdr:row>4</xdr:row>
      <xdr:rowOff>219075</xdr:rowOff>
    </xdr:to>
    <xdr:sp macro="[0]!UpdateStudentsFromExport" textlink="">
      <xdr:nvSpPr>
        <xdr:cNvPr id="1001" name="btnUpdateStudentsFromExport_2" descr="Runs UpdateStudentsFromExport"/>
        <xdr:cNvSpPr/>
      </xdr:nvSpPr>
      <xdr:spPr>
        <a:xfrm>
          <a:off x="14859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Update students</a:t>
          </a:r>
        </a:p>
      </xdr:txBody>
    </xdr:sp>
    <xdr:clientData/>
  </xdr:twoCellAnchor>
  <xdr:twoCellAnchor editAs="absolute">
    <xdr:from>
      <xdr:col>3</xdr:col>
      <xdr:colOff>400050</xdr:colOff>
      <xdr:row>3</xdr:row>
      <xdr:rowOff>152400</xdr:rowOff>
    </xdr:from>
    <xdr:to>
      <xdr:col>5</xdr:col>
      <xdr:colOff>19050</xdr:colOff>
      <xdr:row>4</xdr:row>
      <xdr:rowOff>219075</xdr:rowOff>
    </xdr:to>
    <xdr:sp macro="[0]!GoToOverview" textlink="">
      <xdr:nvSpPr>
        <xdr:cNvPr id="1002" name="btnGoToOverview_3" descr="Runs GoToOverview"/>
        <xdr:cNvSpPr/>
      </xdr:nvSpPr>
      <xdr:spPr>
        <a:xfrm>
          <a:off x="28003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Class overview</a:t>
          </a:r>
        </a:p>
      </xdr:txBody>
    </xdr:sp>
    <xdr:clientData/>
  </xdr:twoCellAnchor>
  <xdr:twoCellAnchor editAs="absolute">
    <xdr:from>
      <xdr:col>5</xdr:col>
      <xdr:colOff>114300</xdr:colOff>
      <xdr:row>3</xdr:row>
      <xdr:rowOff>152400</xdr:rowOff>
    </xdr:from>
    <xdr:to>
      <xdr:col>6</xdr:col>
      <xdr:colOff>400050</xdr:colOff>
      <xdr:row>4</xdr:row>
      <xdr:rowOff>219075</xdr:rowOff>
    </xdr:to>
    <xdr:sp macro="[0]!GoToDashboard" textlink="">
      <xdr:nvSpPr>
        <xdr:cNvPr id="1003" name="btnGoToDashboard_4" descr="Runs GoToDashboard"/>
        <xdr:cNvSpPr/>
      </xdr:nvSpPr>
      <xdr:spPr>
        <a:xfrm>
          <a:off x="41148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6</xdr:col>
      <xdr:colOff>495300</xdr:colOff>
      <xdr:row>3</xdr:row>
      <xdr:rowOff>152400</xdr:rowOff>
    </xdr:from>
    <xdr:to>
      <xdr:col>6</xdr:col>
      <xdr:colOff>1714500</xdr:colOff>
      <xdr:row>4</xdr:row>
      <xdr:rowOff>219075</xdr:rowOff>
    </xdr:to>
    <xdr:sp macro="[0]!GoToWatchList" textlink="">
      <xdr:nvSpPr>
        <xdr:cNvPr id="1004" name="btnGoToWatchList_5" descr="Runs GoToWatchList"/>
        <xdr:cNvSpPr/>
      </xdr:nvSpPr>
      <xdr:spPr>
        <a:xfrm>
          <a:off x="54292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xdr:txBody>
    </xdr:sp>
    <xdr:clientData/>
  </xdr:twoCellAnchor>
  <xdr:twoCellAnchor editAs="absolute">
    <xdr:from>
      <xdr:col>6</xdr:col>
      <xdr:colOff>1809750</xdr:colOff>
      <xdr:row>3</xdr:row>
      <xdr:rowOff>152400</xdr:rowOff>
    </xdr:from>
    <xdr:to>
      <xdr:col>7</xdr:col>
      <xdr:colOff>762000</xdr:colOff>
      <xdr:row>4</xdr:row>
      <xdr:rowOff>219075</xdr:rowOff>
    </xdr:to>
    <xdr:sp macro="[0]!GoToSettings" textlink="">
      <xdr:nvSpPr>
        <xdr:cNvPr id="1005" name="btnGoToSettings_6" descr="Runs GoToSettings"/>
        <xdr:cNvSpPr/>
      </xdr:nvSpPr>
      <xdr:spPr>
        <a:xfrm>
          <a:off x="67437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Settings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7" xr10:uid="{459E884D-AF2A-5E7A-978F-2070A4372859}" sourceName="Class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7" xr10:uid="{EAC99B30-8C94-5AC2-8608-4F35DFE1B45F}" sourceName="KS2 band">
  <extLst>
    <x:ext xmlns:x15="http://schemas.microsoft.com/office/spreadsheetml/2010/11/main" uri="{2F2917AC-EB37-4324-AD4E-5DD8C200BD13}">
      <x15:tableSlicerCache tableId="1" column="9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8" xr10:uid="{F51D6ADB-C082-5080-B865-B08A198E4735}" sourceName="Class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8" xr10:uid="{56987B36-2A76-5972-A583-E5F7B98ED1D0}" sourceName="KS2 band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9" xr10:uid="{F06F45CF-1CD5-5B6E-B9EB-FCAB83065B64}" sourceName="Class">
  <extLst>
    <x:ext xmlns:x15="http://schemas.microsoft.com/office/spreadsheetml/2010/11/main" uri="{2F2917AC-EB37-4324-AD4E-5DD8C200BD13}">
      <x15:tableSlicerCache tableId="3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9" xr10:uid="{184449B5-BBFC-5FEE-AFC5-50D440B052DD}" sourceName="KS2 band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10" xr10:uid="{4988FFA0-0340-55EB-8464-C2ABFB0798F3}" sourceName="Clas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10" xr10:uid="{81749821-E2F6-5C29-B210-01C353AE310A}" sourceName="KS2 band">
  <extLst>
    <x:ext xmlns:x15="http://schemas.microsoft.com/office/spreadsheetml/2010/11/main" uri="{2F2917AC-EB37-4324-AD4E-5DD8C200BD13}">
      <x15:tableSlicerCache tableId="4" column="9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11" xr10:uid="{07DA8BA2-51FF-584F-8800-CB8ABD150093}" sourceName="Class">
  <extLst>
    <x:ext xmlns:x15="http://schemas.microsoft.com/office/spreadsheetml/2010/11/main" uri="{2F2917AC-EB37-4324-AD4E-5DD8C200BD13}">
      <x15:tableSlicerCache tableId="5" column="10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11" xr10:uid="{4081D256-CD66-51E4-9A45-1900366F67E9}" sourceName="KS2 band">
  <extLst>
    <x:ext xmlns:x15="http://schemas.microsoft.com/office/spreadsheetml/2010/11/main" uri="{2F2917AC-EB37-4324-AD4E-5DD8C200BD13}">
      <x15:tableSlicerCache tableId="5" column="9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7" xr10:uid="{D40A900E-8AC2-5741-86D2-F39CC6B52D6C}" cache="Slicer_Class_Y7" caption="Class" columnCount="2" rowHeight="180000"/>
  <slicer name="KS2 band Y7" xr10:uid="{136E8388-3454-53F8-BB10-58125B86736F}" cache="Slicer_KS2_Band_Y7" caption="KS2 band" columnCount="3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8" xr10:uid="{7864745B-A799-5AAB-BC0F-C9CC67988C62}" cache="Slicer_Class_Y8" caption="Class" columnCount="2" rowHeight="180000"/>
  <slicer name="KS2 band Y8" xr10:uid="{241C133D-DC48-5759-9171-78ED1C85CF32}" cache="Slicer_KS2_Band_Y8" caption="KS2 band" columnCount="3" rowHeight="180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9" xr10:uid="{B6942A54-9527-5C93-9C42-635D95314EA9}" cache="Slicer_Class_Y9" caption="Class" columnCount="2" rowHeight="180000"/>
  <slicer name="KS2 band Y9" xr10:uid="{151BD481-8DBF-59E4-811A-66C1DE37CD49}" cache="Slicer_KS2_Band_Y9" caption="KS2 band" columnCount="3" rowHeight="180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10" xr10:uid="{0A2CAA3B-9518-5E9F-AC54-25DBC99ADB6A}" cache="Slicer_Class_Y10" caption="Class" columnCount="2" rowHeight="180000"/>
  <slicer name="KS2 band Y10" xr10:uid="{BCB59843-DD83-5C9C-B5E9-9C1501B71539}" cache="Slicer_KS2_Band_Y10" caption="KS2 band" columnCount="3" rowHeight="180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11" xr10:uid="{64833ADC-5430-5142-B21A-9B651EFE0E51}" cache="Slicer_Class_Y11" caption="Class" columnCount="2" rowHeight="180000"/>
  <slicer name="KS2 band Y11" xr10:uid="{506D604A-20C2-5B60-83A8-BD7872FE6EAB}" cache="Slicer_KS2_Band_Y11" caption="KS2 band" columnCount="3" rowHeight="180000"/>
</slicers>
</file>

<file path=xl/tables/table1.xml><?xml version="1.0" encoding="utf-8"?>
<table xmlns="http://schemas.openxmlformats.org/spreadsheetml/2006/main" id="1" name="tblY7" displayName="tblY7" ref="A1:U132" headerRowCount="1">
  <autoFilter ref="A1:U132"/>
  <tableColumns count="21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IF(ISNUMBER(tblY7[[#This Row],[Avg KS2]]),IFERROR(VLOOKUP(STANDARDIZE(tblY7[[#This Row],[Avg KS2]],AVERAGE(tblY7[[Avg KS2]]),_xlfn.STDEV.P(tblY7[[Avg KS2]])),_Stanine,2),5),"")</calculatedColumnFormula>
    </tableColumn>
    <tableColumn id="10" name="Class"/>
    <tableColumn id="11" name="Tests Sat">
      <calculatedColumnFormula>IF(tblY7[[#This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IF(AND(ISNUMBER(tblY7[[#This Row],[Mean Stanine]]),ISNUMBER(tblY7[[#This Row],[Avg KS2 Band]])),tblY7[[#This Row],[Mean Stanine]]-tblY7[[#This Row],[Avg KS2 Band]],"")</calculatedColumnFormula>
    </tableColumn>
    <tableColumn id="14" name="7B01 - Cells_x000a_Raw Score"/>
    <tableColumn id="15" name="7B01 - Cells_x000a_Stanine">
      <calculatedColumnFormula>IF(ISNUMBER(tblY7[[#This Row],[7B01 - Cells
Raw Score]]),IFERROR(VLOOKUP(STANDARDIZE(tblY7[[#This Row],[7B01 - Cells
Raw Score]],AVERAGE(tblY7[[7B01 - Cells
Raw Score]]),_xlfn.STDEV.P(tblY7[[7B01 - Cells
Raw Score]])),_Stanine,2),5),"")</calculatedColumnFormula>
    </tableColumn>
    <tableColumn id="16" name="7C01 - Particles_x000a_Raw Score"/>
    <tableColumn id="17" name="7C01 - Particles_x000a_Stanine">
      <calculatedColumnFormula>IF(ISNUMBER(tblY7[[#This Row],[7C01 - Particles
Raw Score]]),IFERROR(VLOOKUP(STANDARDIZE(tblY7[[#This Row],[7C01 - Particles
Raw Score]],AVERAGE(tblY7[[7C01 - Particles
Raw Score]]),_xlfn.STDEV.P(tblY7[[7C01 - Particles
Raw Score]])),_Stanine,2),5),"")</calculatedColumnFormula>
    </tableColumn>
    <tableColumn id="18" name="7P01 - Forces_x000a_Raw Score"/>
    <tableColumn id="19" name="7P01 - Forces_x000a_Stanine">
      <calculatedColumnFormula>IF(ISNUMBER(tblY7[[#This Row],[7P01 - Forces
Raw Score]]),IFERROR(VLOOKUP(STANDARDIZE(tblY7[[#This Row],[7P01 - Forces
Raw Score]],AVERAGE(tblY7[[7P01 - Forces
Raw Score]]),_xlfn.STDEV.P(tblY7[[7P01 - Forces
Raw Score]])),_Stanine,2),5),"")</calculatedColumnFormula>
    </tableColumn>
    <tableColumn id="20" name="7B02 - Organ Systems_x000a_Raw Score"/>
    <tableColumn id="21" name="7B02 - Organ Systems_x000a_Stanine">
      <calculatedColumnFormula>IF(ISNUMBER(tblY7[[#This Row],[7B02 - Organ Systems
Raw Score]]),IFERROR(VLOOKUP(STANDARDIZE(tblY7[[#This Row],[7B02 - Organ Systems
Raw Score]],AVERAGE(tblY7[[7B02 - Organ Systems
Raw Score]]),_xlfn.STDEV.P(tblY7[[7B02 - Organ Systems
Raw Score]])),_Stanine,2),5),"")</calculatedColumnFormula>
    </tableColumn>
  </tableColumns>
  <tableStyleInfo name="TableStyleLight1" showRowStripes="1"/>
</table>
</file>

<file path=xl/tables/table2.xml><?xml version="1.0" encoding="utf-8"?>
<table xmlns="http://schemas.openxmlformats.org/spreadsheetml/2006/main" id="2" name="tblY8" displayName="tblY8" ref="A1:W94" headerRowCount="1">
  <autoFilter ref="A1:W94"/>
  <tableColumns count="23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IF(ISNUMBER(tblY8[[#This Row],[Avg KS2]]),IFERROR(VLOOKUP(STANDARDIZE(tblY8[[#This Row],[Avg KS2]],AVERAGE(tblY8[[Avg KS2]]),_xlfn.STDEV.P(tblY8[[Avg KS2]])),_Stanine,2),5),"")</calculatedColumnFormula>
    </tableColumn>
    <tableColumn id="10" name="Class"/>
    <tableColumn id="11" name="Tests Sat">
      <calculatedColumnFormula>IF(tblY8[[#This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IF(AND(ISNUMBER(tblY8[[#This Row],[Mean Stanine]]),ISNUMBER(tblY8[[#This Row],[Avg KS2 Band]])),tblY8[[#This Row],[Mean Stanine]]-tblY8[[#This Row],[Avg KS2 Band]],"")</calculatedColumnFormula>
    </tableColumn>
    <tableColumn id="14" name="8C01 - Periodic Table_x000a_Raw Score"/>
    <tableColumn id="15" name="8C01 - Periodic Table_x000a_Stanine">
      <calculatedColumnFormula>IF(ISNUMBER(tblY8[[#This Row],[8C01 - Periodic Table
Raw Score]]),IFERROR(VLOOKUP(STANDARDIZE(tblY8[[#This Row],[8C01 - Periodic Table
Raw Score]],AVERAGE(tblY8[[8C01 - Periodic Table
Raw Score]]),_xlfn.STDEV.P(tblY8[[8C01 - Periodic Table
Raw Score]])),_Stanine,2),5),"")</calculatedColumnFormula>
    </tableColumn>
    <tableColumn id="16" name="8P01 - Energy_x000a_Raw Score"/>
    <tableColumn id="17" name="8P01 - Energy_x000a_Stanine">
      <calculatedColumnFormula>IF(ISNUMBER(tblY8[[#This Row],[8P01 - Energy
Raw Score]]),IFERROR(VLOOKUP(STANDARDIZE(tblY8[[#This Row],[8P01 - Energy
Raw Score]],AVERAGE(tblY8[[8P01 - Energy
Raw Score]]),_xlfn.STDEV.P(tblY8[[8P01 - Energy
Raw Score]])),_Stanine,2),5),"")</calculatedColumnFormula>
    </tableColumn>
    <tableColumn id="18" name="8B01 - Digestion_x000a_Raw Score"/>
    <tableColumn id="19" name="8B01 - Digestion_x000a_Stanine">
      <calculatedColumnFormula>IF(ISNUMBER(tblY8[[#This Row],[8B01 - Digestion
Raw Score]]),IFERROR(VLOOKUP(STANDARDIZE(tblY8[[#This Row],[8B01 - Digestion
Raw Score]],AVERAGE(tblY8[[8B01 - Digestion
Raw Score]]),_xlfn.STDEV.P(tblY8[[8B01 - Digestion
Raw Score]])),_Stanine,2),5),"")</calculatedColumnFormula>
    </tableColumn>
    <tableColumn id="20" name="8C02 - Metals and Acids_x000a_Raw Score"/>
    <tableColumn id="21" name="8C02 - Metals and Acids_x000a_Stanine">
      <calculatedColumnFormula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calculatedColumnFormula>
    </tableColumn>
    <tableColumn id="22" name="8P02 - Light_x000a_Raw Score"/>
    <tableColumn id="23" name="8P02 - Light_x000a_Stanine">
      <calculatedColumnFormula>IF(ISNUMBER(tblY8[[#This Row],[8P02 - Light
Raw Score]]),IFERROR(VLOOKUP(STANDARDIZE(tblY8[[#This Row],[8P02 - Light
Raw Score]],AVERAGE(tblY8[[8P02 - Light
Raw Score]]),_xlfn.STDEV.P(tblY8[[8P02 - Light
Raw Score]])),_Stanine,2),5),"")</calculatedColumnFormula>
    </tableColumn>
  </tableColumns>
  <tableStyleInfo name="TableStyleLight1" showRowStripes="1"/>
</table>
</file>

<file path=xl/tables/table3.xml><?xml version="1.0" encoding="utf-8"?>
<table xmlns="http://schemas.openxmlformats.org/spreadsheetml/2006/main" id="3" name="tblY9" displayName="tblY9" ref="A1:U126" headerRowCount="1">
  <autoFilter ref="A1:U126"/>
  <tableColumns count="21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IF(ISNUMBER(tblY9[[#This Row],[Avg KS2]]),IFERROR(VLOOKUP(STANDARDIZE(tblY9[[#This Row],[Avg KS2]],AVERAGE(tblY9[[Avg KS2]]),_xlfn.STDEV.P(tblY9[[Avg KS2]])),_Stanine,2),5),"")</calculatedColumnFormula>
    </tableColumn>
    <tableColumn id="10" name="Class"/>
    <tableColumn id="11" name="Tests Sat">
      <calculatedColumnFormula>IF(tblY9[[#This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IF(AND(ISNUMBER(tblY9[[#This Row],[Mean Stanine]]),ISNUMBER(tblY9[[#This Row],[Avg KS2 Band]])),tblY9[[#This Row],[Mean Stanine]]-tblY9[[#This Row],[Avg KS2 Band]],"")</calculatedColumnFormula>
    </tableColumn>
    <tableColumn id="14" name="9B01 - Genetics_x000a_Raw Score"/>
    <tableColumn id="15" name="9B01 - Genetics_x000a_Stanine">
      <calculatedColumnFormula>IF(ISNUMBER(tblY9[[#This Row],[9B01 - Genetics
Raw Score]]),IFERROR(VLOOKUP(STANDARDIZE(tblY9[[#This Row],[9B01 - Genetics
Raw Score]],AVERAGE(tblY9[[9B01 - Genetics
Raw Score]]),_xlfn.STDEV.P(tblY9[[9B01 - Genetics
Raw Score]])),_Stanine,2),5),"")</calculatedColumnFormula>
    </tableColumn>
    <tableColumn id="16" name="9C01 - Chemical Reactions_x000a_Raw Score"/>
    <tableColumn id="17" name="9C01 - Chemical Reactions_x000a_Stanine">
      <calculatedColumnFormula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calculatedColumnFormula>
    </tableColumn>
    <tableColumn id="18" name="9P01 - Electricity_x000a_Raw Score"/>
    <tableColumn id="19" name="9P01 - Electricity_x000a_Stanine">
      <calculatedColumnFormula>IF(ISNUMBER(tblY9[[#This Row],[9P01 - Electricity
Raw Score]]),IFERROR(VLOOKUP(STANDARDIZE(tblY9[[#This Row],[9P01 - Electricity
Raw Score]],AVERAGE(tblY9[[9P01 - Electricity
Raw Score]]),_xlfn.STDEV.P(tblY9[[9P01 - Electricity
Raw Score]])),_Stanine,2),5),"")</calculatedColumnFormula>
    </tableColumn>
    <tableColumn id="20" name="9B02 - Ecology_x000a_Raw Score"/>
    <tableColumn id="21" name="9B02 - Ecology_x000a_Stanine">
      <calculatedColumnFormula>IF(ISNUMBER(tblY9[[#This Row],[9B02 - Ecology
Raw Score]]),IFERROR(VLOOKUP(STANDARDIZE(tblY9[[#This Row],[9B02 - Ecology
Raw Score]],AVERAGE(tblY9[[9B02 - Ecology
Raw Score]]),_xlfn.STDEV.P(tblY9[[9B02 - Ecology
Raw Score]])),_Stanine,2),5),"")</calculatedColumnFormula>
    </tableColumn>
  </tableColumns>
  <tableStyleInfo name="TableStyleLight1" showRowStripes="1"/>
</table>
</file>

<file path=xl/tables/table4.xml><?xml version="1.0" encoding="utf-8"?>
<table xmlns="http://schemas.openxmlformats.org/spreadsheetml/2006/main" id="4" name="tblY10" displayName="tblY10" ref="A1:W118" headerRowCount="1">
  <autoFilter ref="A1:W118"/>
  <tableColumns count="23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IF(ISNUMBER(tblY10[[#This Row],[Avg KS2]]),IFERROR(VLOOKUP(STANDARDIZE(tblY10[[#This Row],[Avg KS2]],AVERAGE(tblY10[[Avg KS2]]),_xlfn.STDEV.P(tblY10[[Avg KS2]])),_Stanine,2),5),"")</calculatedColumnFormula>
    </tableColumn>
    <tableColumn id="10" name="Class"/>
    <tableColumn id="11" name="Tests Sat">
      <calculatedColumnFormula>IF(tblY10[[#This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IF(AND(ISNUMBER(tblY10[[#This Row],[Mean Stanine]]),ISNUMBER(tblY10[[#This Row],[Avg KS2 Band]])),tblY10[[#This Row],[Mean Stanine]]-tblY10[[#This Row],[Avg KS2 Band]],"")</calculatedColumnFormula>
    </tableColumn>
    <tableColumn id="14" name="4B01 - Cell Biology_x000a_Raw Score"/>
    <tableColumn id="15" name="4B01 - Cell Biology_x000a_Stanine">
      <calculatedColumnFormula>IF(ISNUMBER(tblY10[[#This Row],[4B01 - Cell Biology
Raw Score]]),IFERROR(VLOOKUP(STANDARDIZE(tblY10[[#This Row],[4B01 - Cell Biology
Raw Score]],AVERAGE(tblY10[[4B01 - Cell Biology
Raw Score]]),_xlfn.STDEV.P(tblY10[[4B01 - Cell Biology
Raw Score]])),_Stanine,2),5),"")</calculatedColumnFormula>
    </tableColumn>
    <tableColumn id="16" name="4C01 - Atomic Structure_x000a_Raw Score"/>
    <tableColumn id="17" name="4C01 - Atomic Structure_x000a_Stanine">
      <calculatedColumnFormula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calculatedColumnFormula>
    </tableColumn>
    <tableColumn id="18" name="4P01 - Energy_x000a_Raw Score"/>
    <tableColumn id="19" name="4P01 - Energy_x000a_Stanine">
      <calculatedColumnFormula>IF(ISNUMBER(tblY10[[#This Row],[4P01 - Energy
Raw Score]]),IFERROR(VLOOKUP(STANDARDIZE(tblY10[[#This Row],[4P01 - Energy
Raw Score]],AVERAGE(tblY10[[4P01 - Energy
Raw Score]]),_xlfn.STDEV.P(tblY10[[4P01 - Energy
Raw Score]])),_Stanine,2),5),"")</calculatedColumnFormula>
    </tableColumn>
    <tableColumn id="20" name="4B02 - Organisation_x000a_Raw Score"/>
    <tableColumn id="21" name="4B02 - Organisation_x000a_Stanine">
      <calculatedColumnFormula>IF(ISNUMBER(tblY10[[#This Row],[4B02 - Organisation
Raw Score]]),IFERROR(VLOOKUP(STANDARDIZE(tblY10[[#This Row],[4B02 - Organisation
Raw Score]],AVERAGE(tblY10[[4B02 - Organisation
Raw Score]]),_xlfn.STDEV.P(tblY10[[4B02 - Organisation
Raw Score]])),_Stanine,2),5),"")</calculatedColumnFormula>
    </tableColumn>
    <tableColumn id="22" name="4C02 - Bonding_x000a_Raw Score"/>
    <tableColumn id="23" name="4C02 - Bonding_x000a_Stanine">
      <calculatedColumnFormula>IF(ISNUMBER(tblY10[[#This Row],[4C02 - Bonding
Raw Score]]),IFERROR(VLOOKUP(STANDARDIZE(tblY10[[#This Row],[4C02 - Bonding
Raw Score]],AVERAGE(tblY10[[4C02 - Bonding
Raw Score]]),_xlfn.STDEV.P(tblY10[[4C02 - Bonding
Raw Score]])),_Stanine,2),5),"")</calculatedColumnFormula>
    </tableColumn>
  </tableColumns>
  <tableStyleInfo name="TableStyleLight1" showRowStripes="1"/>
</table>
</file>

<file path=xl/tables/table5.xml><?xml version="1.0" encoding="utf-8"?>
<table xmlns="http://schemas.openxmlformats.org/spreadsheetml/2006/main" id="5" name="tblY11" displayName="tblY11" ref="A1:Y107" headerRowCount="1">
  <autoFilter ref="A1:Y107"/>
  <tableColumns count="25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IF(ISNUMBER(tblY11[[#This Row],[Avg KS2]]),IFERROR(VLOOKUP(STANDARDIZE(tblY11[[#This Row],[Avg KS2]],AVERAGE(tblY11[[Avg KS2]]),_xlfn.STDEV.P(tblY11[[Avg KS2]])),_Stanine,2),5),"")</calculatedColumnFormula>
    </tableColumn>
    <tableColumn id="10" name="Class"/>
    <tableColumn id="11" name="Tests Sat">
      <calculatedColumnFormula>IF(tblY11[[#This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IF(AND(ISNUMBER(tblY11[[#This Row],[Mean Stanine]]),ISNUMBER(tblY11[[#This Row],[Avg KS2 Band]])),tblY11[[#This Row],[Mean Stanine]]-tblY11[[#This Row],[Avg KS2 Band]],"")</calculatedColumnFormula>
    </tableColumn>
    <tableColumn id="14" name="4B05 - Homeostasis_x000a_Raw Score"/>
    <tableColumn id="15" name="4B05 - Homeostasis_x000a_Stanine">
      <calculatedColumnFormula>IF(ISNUMBER(tblY11[[#This Row],[4B05 - Homeostasis
Raw Score]]),IFERROR(VLOOKUP(STANDARDIZE(tblY11[[#This Row],[4B05 - Homeostasis
Raw Score]],AVERAGE(tblY11[[4B05 - Homeostasis
Raw Score]]),_xlfn.STDEV.P(tblY11[[4B05 - Homeostasis
Raw Score]])),_Stanine,2),5),"")</calculatedColumnFormula>
    </tableColumn>
    <tableColumn id="16" name="4C09 - Organic Chemistry_x000a_Raw Score"/>
    <tableColumn id="17" name="4C09 - Organic Chemistry_x000a_Stanine">
      <calculatedColumnFormula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calculatedColumnFormula>
    </tableColumn>
    <tableColumn id="18" name="4P06 - Waves_x000a_Raw Score"/>
    <tableColumn id="19" name="4P06 - Waves_x000a_Stanine">
      <calculatedColumnFormula>IF(ISNUMBER(tblY11[[#This Row],[4P06 - Waves
Raw Score]]),IFERROR(VLOOKUP(STANDARDIZE(tblY11[[#This Row],[4P06 - Waves
Raw Score]],AVERAGE(tblY11[[4P06 - Waves
Raw Score]]),_xlfn.STDEV.P(tblY11[[4P06 - Waves
Raw Score]])),_Stanine,2),5),"")</calculatedColumnFormula>
    </tableColumn>
    <tableColumn id="20" name="4B06 - Inheritance_x000a_Raw Score"/>
    <tableColumn id="21" name="4B06 - Inheritance_x000a_Stanine">
      <calculatedColumnFormula>IF(ISNUMBER(tblY11[[#This Row],[4B06 - Inheritance
Raw Score]]),IFERROR(VLOOKUP(STANDARDIZE(tblY11[[#This Row],[4B06 - Inheritance
Raw Score]],AVERAGE(tblY11[[4B06 - Inheritance
Raw Score]]),_xlfn.STDEV.P(tblY11[[4B06 - Inheritance
Raw Score]])),_Stanine,2),5),"")</calculatedColumnFormula>
    </tableColumn>
    <tableColumn id="22" name="4C10 - Chemical Analysis_x000a_Raw Score"/>
    <tableColumn id="23" name="4C10 - Chemical Analysis_x000a_Stanine">
      <calculatedColumnFormula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calculatedColumnFormula>
    </tableColumn>
    <tableColumn id="24" name="4P07 - Magnetism_x000a_Raw Score"/>
    <tableColumn id="25" name="4P07 - Magnetism_x000a_Stanine">
      <calculatedColumnFormula>IF(ISNUMBER(tblY11[[#This Row],[4P07 - Magnetism
Raw Score]]),IFERROR(VLOOKUP(STANDARDIZE(tblY11[[#This Row],[4P07 - Magnetism
Raw Score]],AVERAGE(tblY11[[4P07 - Magnetism
Raw Score]]),_xlfn.STDEV.P(tblY11[[4P07 - Magnetism
Raw Score]])),_Stanine,2),5),"")</calculatedColumnFormula>
    </tableColumn>
  </tableColumns>
  <tableStyleInfo name="TableStyleLight1" showRowStripes="1"/>
</table>
</file>

<file path=xl/tables/table6.xml><?xml version="1.0" encoding="utf-8"?>
<table xmlns="http://schemas.openxmlformats.org/spreadsheetml/2006/main" id="6" name="tblAssessments" displayName="tblAssessments" ref="A4:S28" headerRowCount="1">
  <autoFilter ref="A4:S28"/>
  <tableColumns count="19">
    <tableColumn id="1" name="Year Group"/>
    <tableColumn id="2" name="Code"/>
    <tableColumn id="3" name="Title"/>
    <tableColumn id="4" name="Test Name"/>
    <tableColumn id="5" name="Max Marks"/>
    <tableColumn id="6" name="Date"/>
    <tableColumn id="7" name="Students">
      <calculatedColumnFormula>IF(tblAssessments[[#This Row],[Year Index]]=0,"",COUNTA(CHOOSE(tblAssessments[[#This Row],[Year Index]],tblY7[Preferred Last name],tblY8[Preferred Last name],tblY9[Preferred Last name],tblY10[Preferred Last name],tblY11[Preferred Last name])))</calculatedColumnFormula>
    </tableColumn>
    <tableColumn id="8" name="Sat">
      <calculatedColumnFormula>IF(tblAssessments[[#This Row],[Raw Col]]=0,"",COUNT(INDEX(CHOOSE(tblAssessments[[#This Row],[Year Index]],tblY7[#Data],tblY8[#Data],tblY9[#Data],tblY10[#Data],tblY11[#Data]),0,tblAssessments[[#This Row],[Raw Col]])))</calculatedColumnFormula>
    </tableColumn>
    <tableColumn id="9" name="Absent">
      <calculatedColumnFormula>IF(tblAssessments[[#This Row],[Raw Col]]=0,"",COUNTIF(INDEX(CHOOSE(tblAssessments[[#This Row],[Year Index]],tblY7[#Data],tblY8[#Data],tblY9[#Data],tblY10[#Data],tblY11[#Data]),0,tblAssessments[[#This Row],[Raw Col]]),"A"))</calculatedColumnFormula>
    </tableColumn>
    <tableColumn id="10" name="Not Entered">
      <calculatedColumnFormula>IF(tblAssessments[[#This Row],[Raw Col]]=0,"",tblAssessments[[#This Row],[Students]]-tblAssessments[[#This Row],[Sat]]-tblAssessments[[#This Row],[Absent]])</calculatedColumnFormula>
    </tableColumn>
    <tableColumn id="11" name="Completion">
      <calculatedColumnFormula>IF(OR(tblAssessments[[#This Row],[Raw Col]]=0,N(tblAssessments[[#This Row],[Students]])=0),"",(tblAssessments[[#This Row],[Sat]]+tblAssessments[[#This Row],[Absent]])/tblAssessments[[#This Row],[Students]])</calculatedColumnFormula>
    </tableColumn>
    <tableColumn id="12" name="Year Mean">
      <calculatedColumnFormula>IF(N(tblAssessments[[#This Row],[Sat]])=0,"",AVERAGE(INDEX(CHOOSE(tblAssessments[[#This Row],[Year Index]],tblY7[#Data],tblY8[#Data],tblY9[#Data],tblY10[#Data],tblY11[#Data]),0,tblAssessments[[#This Row],[Raw Col]])))</calculatedColumnFormula>
    </tableColumn>
    <tableColumn id="13" name="Year Mean %">
      <calculatedColumnFormula>IF(OR(tblAssessments[[#This Row],[Year Mean]]="",N(tblAssessments[[#This Row],[Max Marks]])=0),"",tblAssessments[[#This Row],[Year Mean]]/tblAssessments[[#This Row],[Max Marks]])</calculatedColumnFormula>
    </tableColumn>
    <tableColumn id="14" name="Year SD">
      <calculatedColumnFormula>IF(N(tblAssessments[[#This Row],[Sat]])=0,"",_xlfn.STDEV.P(INDEX(CHOOSE(tblAssessments[[#This Row],[Year Index]],tblY7[#Data],tblY8[#Data],tblY9[#Data],tblY10[#Data],tblY11[#Data]),0,tblAssessments[[#This Row],[Raw Col]])))</calculatedColumnFormula>
    </tableColumn>
    <tableColumn id="15" name="Check">
      <calculatedColumnFormula>IF(tblAssessments[[#This Row],[Test Name]]="","",IF(tblAssessments[[#This Row],[Year Index]]=0,"Unknown year group",IF(tblAssessments[[#This Row],[Raw Col]]=0,"Columns not found on the year sheet","OK")))</calculatedColumnFormula>
    </tableColumn>
    <tableColumn id="16" name="Year Index">
      <calculatedColumnFormula>IFERROR(MATCH(tblAssessments[[#This Row],[Year Group]],YearNames,0),0)</calculatedColumnFormula>
    </tableColumn>
    <tableColumn id="17" name="Raw Col">
      <calculatedColumnFormula>IF(tblAssessments[[#This Row],[Year Index]]=0,0,IFERROR(MATCH(tblAssessments[[#This Row],[Test Name]]&amp;CHAR(10)&amp;"Raw Score",CHOOSE(tblAssessments[[#This Row],[Year Index]],tblY7[#Headers],tblY8[#Headers],tblY9[#Headers],tblY10[#Headers],tblY11[#Headers]),0),0))</calculatedColumnFormula>
    </tableColumn>
    <tableColumn id="18" name="Seq Key">
      <calculatedColumnFormula>tblAssessments[[#This Row],[Year Group]]&amp;"|"&amp;COUNTIF(INDEX(tblAssessments[Year Group],1):tblAssessments[[#This Row],[Year Group]],tblAssessments[[#This Row],[Year Group]])</calculatedColumnFormula>
    </tableColumn>
    <tableColumn id="19" name="Name Key">
      <calculatedColumnFormula>tblAssessments[[#This Row],[Year Group]]&amp;"|"&amp;tblAssessments[[#This Row],[Test Name]]</calculatedColumnFormula>
    </tableColumn>
  </tableColumns>
  <tableStyleInfo name="TableStyleLight1" showRowStripes="1"/>
</table>
</file>

<file path=xl/tables/table7.xml><?xml version="1.0" encoding="utf-8"?>
<table xmlns="http://schemas.openxmlformats.org/spreadsheetml/2006/main" id="7" name="tblTeachers" displayName="tblTeachers" ref="B24:E52" headerRowCount="1">
  <autoFilter ref="B24:E52"/>
  <tableColumns count="4">
    <tableColumn id="1" name="Year Group"/>
    <tableColumn id="2" name="Class"/>
    <tableColumn id="3" name="Teacher"/>
    <tableColumn id="4" name="Key">
      <calculatedColumnFormula>tblTeachers[[#This Row],[Year Group]]&amp;"|"&amp;tblTeachers[[#This Row],[Class]]</calculatedColumnFormula>
    </tableColumn>
  </tableColumns>
  <tableStyleInfo name="TableStyleLight1" showRow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.xml.rels><?xml version='1.0' encoding='UTF-8' standalone='yes'?>
<Relationships xmlns="http://schemas.openxmlformats.org/package/2006/relationships"><Relationship Type="http://schemas.openxmlformats.org/officeDocument/2006/relationships/table" Target="/xl/tables/table1.xml" Id="rId1"/><Relationship Id="rId2" Type="http://schemas.microsoft.com/office/2007/relationships/slicer" Target="../slicers/slicer1.xml"/><Relationship Id="rId3" Type="http://schemas.openxmlformats.org/officeDocument/2006/relationships/drawing" Target="../drawings/drawing2.xml"/></Relationships>
</file>

<file path=xl/worksheets/_rels/sheet6.xml.rels><?xml version='1.0' encoding='UTF-8' standalone='yes'?>
<Relationships xmlns="http://schemas.openxmlformats.org/package/2006/relationships"><Relationship Type="http://schemas.openxmlformats.org/officeDocument/2006/relationships/table" Target="/xl/tables/table2.xml" Id="rId1"/><Relationship Id="rId2" Type="http://schemas.microsoft.com/office/2007/relationships/slicer" Target="../slicers/slicer2.xml"/><Relationship Id="rId3" Type="http://schemas.openxmlformats.org/officeDocument/2006/relationships/drawing" Target="../drawings/drawing3.xml"/></Relationships>
</file>

<file path=xl/worksheets/_rels/sheet7.xml.rels><?xml version='1.0' encoding='UTF-8' standalone='yes'?>
<Relationships xmlns="http://schemas.openxmlformats.org/package/2006/relationships"><Relationship Type="http://schemas.openxmlformats.org/officeDocument/2006/relationships/table" Target="/xl/tables/table3.xml" Id="rId1"/><Relationship Id="rId2" Type="http://schemas.microsoft.com/office/2007/relationships/slicer" Target="../slicers/slicer3.xml"/><Relationship Id="rId3" Type="http://schemas.openxmlformats.org/officeDocument/2006/relationships/drawing" Target="../drawings/drawing4.xml"/></Relationships>
</file>

<file path=xl/worksheets/_rels/sheet8.xml.rels><?xml version='1.0' encoding='UTF-8' standalone='yes'?>
<Relationships xmlns="http://schemas.openxmlformats.org/package/2006/relationships"><Relationship Type="http://schemas.openxmlformats.org/officeDocument/2006/relationships/table" Target="/xl/tables/table4.xml" Id="rId1"/><Relationship Id="rId2" Type="http://schemas.microsoft.com/office/2007/relationships/slicer" Target="../slicers/slicer4.xml"/><Relationship Id="rId3" Type="http://schemas.openxmlformats.org/officeDocument/2006/relationships/drawing" Target="../drawings/drawing5.xml"/></Relationships>
</file>

<file path=xl/worksheets/_rels/sheet9.xml.rels><?xml version='1.0' encoding='UTF-8' standalone='yes'?>
<Relationships xmlns="http://schemas.openxmlformats.org/package/2006/relationships"><Relationship Type="http://schemas.openxmlformats.org/officeDocument/2006/relationships/table" Target="/xl/tables/table5.xml" Id="rId1"/><Relationship Id="rId2" Type="http://schemas.microsoft.com/office/2007/relationships/slicer" Target="../slicers/slicer5.xml"/><Relationship Id="rId3" Type="http://schemas.openxmlformats.org/officeDocument/2006/relationships/drawing" Target="../drawings/drawing6.xml"/></Relationships>
</file>

<file path=xl/worksheets/_rels/sheet10.xml.rels><?xml version='1.0' encoding='UTF-8' standalone='yes'?>
<Relationships xmlns="http://schemas.openxmlformats.org/package/2006/relationships"><Relationship Type="http://schemas.openxmlformats.org/officeDocument/2006/relationships/table" Target="/xl/tables/table6.xml" Id="rId1"/><Relationship Id="rId2" Type="http://schemas.openxmlformats.org/officeDocument/2006/relationships/drawing" Target="../drawings/drawing7.xml"/></Relationships>
</file>

<file path=xl/worksheets/_rels/sheet11.xml.rels><?xml version='1.0' encoding='UTF-8' standalone='yes'?>
<Relationships xmlns="http://schemas.openxmlformats.org/package/2006/relationships"><Relationship Type="http://schemas.openxmlformats.org/officeDocument/2006/relationships/table" Target="/xl/tables/table7.xml" Id="rId1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>
  <sheetPr codeName="shStart">
    <tabColor rgb="000D366B"/>
    <outlinePr summaryBelow="1" summaryRight="1"/>
    <pageSetUpPr fitToPage="1"/>
  </sheetPr>
  <dimension ref="A1:L4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2" customWidth="1" min="2" max="2"/>
    <col width="12" customWidth="1" min="3" max="3"/>
    <col width="12" customWidth="1" min="4" max="4"/>
    <col width="12" customWidth="1" min="5" max="5"/>
    <col width="14" customWidth="1" min="6" max="6"/>
    <col width="34" customWidth="1" min="7" max="7"/>
    <col width="16" customWidth="1" min="8" max="8"/>
    <col width="2" customWidth="1" min="9" max="9"/>
    <col width="12" customWidth="1" min="10" max="10"/>
    <col width="12" customWidth="1" min="11" max="11"/>
    <col width="2" customWidth="1" min="12" max="12"/>
  </cols>
  <sheetData>
    <row r="1" ht="30" customHeight="1">
      <c r="A1" s="1" t="n"/>
      <c r="B1" s="2" t="inlineStr">
        <is>
          <t>Science Mastery Quiz Tracker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2">
      <c r="B2" s="3" t="str">
        <f>IF(SchoolName="","",SchoolName&amp;"   ·   ")&amp;"Years 7 to 11   ·   "&amp;AcademicYear</f>
        <v>Science   ·   Years 7 to 11   ·   2026-27</v>
      </c>
    </row>
    <row r="3">
      <c r="B3" s="4" t="inlineStr">
        <is>
          <t>DEMO FILE - every student, class and score in this workbook is made up.</t>
        </is>
      </c>
      <c r="C3" s="5" t="n"/>
      <c r="D3" s="5" t="n"/>
      <c r="E3" s="5" t="n"/>
      <c r="F3" s="5" t="n"/>
      <c r="G3" s="5" t="n"/>
      <c r="H3" s="5" t="n"/>
    </row>
    <row r="4" ht="20" customHeight="1"/>
    <row r="5" ht="20" customHeight="1"/>
    <row r="7">
      <c r="B7" s="6" t="inlineStr">
        <is>
          <t>Year groups</t>
        </is>
      </c>
    </row>
    <row r="8" ht="22" customHeight="1">
      <c r="B8" s="7" t="inlineStr">
        <is>
          <t>Year group</t>
        </is>
      </c>
      <c r="C8" s="7" t="inlineStr">
        <is>
          <t>Leaves in</t>
        </is>
      </c>
      <c r="D8" s="7" t="inlineStr">
        <is>
          <t>Students</t>
        </is>
      </c>
      <c r="E8" s="7" t="inlineStr">
        <is>
          <t>Tests set</t>
        </is>
      </c>
      <c r="F8" s="7" t="inlineStr">
        <is>
          <t>Scores entered</t>
        </is>
      </c>
      <c r="G8" s="7" t="inlineStr">
        <is>
          <t>Latest test</t>
        </is>
      </c>
      <c r="H8" s="7" t="inlineStr">
        <is>
          <t>Open</t>
        </is>
      </c>
    </row>
    <row r="9">
      <c r="B9" s="8" t="inlineStr">
        <is>
          <t>Year 7</t>
        </is>
      </c>
      <c r="C9" s="9">
        <f>Settings!C15</f>
        <v>2031</v>
      </c>
      <c r="D9" s="10">
        <f>COUNTA(tblY7[Preferred Last name])</f>
        <v>131</v>
      </c>
      <c r="E9" s="10">
        <f>Calc!AI3</f>
        <v>4</v>
      </c>
      <c r="F9" s="11">
        <f>SUMPRODUCT((RIGHT(tblY7[#Headers],10)=CHAR(10)&amp;"Raw Score")*ISNUMBER(tblY7[#Data]))</f>
        <v>506</v>
      </c>
      <c r="G9" s="12" t="str">
        <f>IF(Calc!AF3="","-",Calc!AF3)</f>
        <v>7B02 - Organ Systems</v>
      </c>
      <c r="H9" s="13" t="str">
        <f>HYPERLINK("#'Year 7'!A1","Open Year 7")</f>
        <v>Open Year 7</v>
      </c>
    </row>
    <row r="10">
      <c r="B10" s="8" t="inlineStr">
        <is>
          <t>Year 8</t>
        </is>
      </c>
      <c r="C10" s="9">
        <f>Settings!C16</f>
        <v>2030</v>
      </c>
      <c r="D10" s="10">
        <f>COUNTA(tblY8[Preferred Last name])</f>
        <v>93</v>
      </c>
      <c r="E10" s="10">
        <f>Calc!AI4</f>
        <v>5</v>
      </c>
      <c r="F10" s="11">
        <f>SUMPRODUCT((RIGHT(tblY8[#Headers],10)=CHAR(10)&amp;"Raw Score")*ISNUMBER(tblY8[#Data]))</f>
        <v>403</v>
      </c>
      <c r="G10" s="12" t="str">
        <f>IF(Calc!AF4="","-",Calc!AF4)</f>
        <v>8P02 - Light</v>
      </c>
      <c r="H10" s="13" t="str">
        <f>HYPERLINK("#'Year 8'!A1","Open Year 8")</f>
        <v>Open Year 8</v>
      </c>
    </row>
    <row r="11">
      <c r="B11" s="8" t="inlineStr">
        <is>
          <t>Year 9</t>
        </is>
      </c>
      <c r="C11" s="9">
        <f>Settings!C17</f>
        <v>2029</v>
      </c>
      <c r="D11" s="10">
        <f>COUNTA(tblY9[Preferred Last name])</f>
        <v>125</v>
      </c>
      <c r="E11" s="10">
        <f>Calc!AI5</f>
        <v>4</v>
      </c>
      <c r="F11" s="11">
        <f>SUMPRODUCT((RIGHT(tblY9[#Headers],10)=CHAR(10)&amp;"Raw Score")*ISNUMBER(tblY9[#Data]))</f>
        <v>486</v>
      </c>
      <c r="G11" s="12" t="str">
        <f>IF(Calc!AF5="","-",Calc!AF5)</f>
        <v>9B02 - Ecology</v>
      </c>
      <c r="H11" s="13" t="str">
        <f>HYPERLINK("#'Year 9'!A1","Open Year 9")</f>
        <v>Open Year 9</v>
      </c>
    </row>
    <row r="12">
      <c r="B12" s="8" t="inlineStr">
        <is>
          <t>Year 10</t>
        </is>
      </c>
      <c r="C12" s="9">
        <f>Settings!C18</f>
        <v>2028</v>
      </c>
      <c r="D12" s="10">
        <f>COUNTA(tblY10[Preferred Last name])</f>
        <v>117</v>
      </c>
      <c r="E12" s="10">
        <f>Calc!AI6</f>
        <v>5</v>
      </c>
      <c r="F12" s="11">
        <f>SUMPRODUCT((RIGHT(tblY10[#Headers],10)=CHAR(10)&amp;"Raw Score")*ISNUMBER(tblY10[#Data]))</f>
        <v>522</v>
      </c>
      <c r="G12" s="12" t="str">
        <f>IF(Calc!AF6="","-",Calc!AF6)</f>
        <v>4C02 - Bonding</v>
      </c>
      <c r="H12" s="13" t="str">
        <f>HYPERLINK("#'Year 10'!A1","Open Year 10")</f>
        <v>Open Year 10</v>
      </c>
    </row>
    <row r="13">
      <c r="B13" s="8" t="inlineStr">
        <is>
          <t>Year 11</t>
        </is>
      </c>
      <c r="C13" s="9">
        <f>Settings!C19</f>
        <v>2027</v>
      </c>
      <c r="D13" s="10">
        <f>COUNTA(tblY11[Preferred Last name])</f>
        <v>106</v>
      </c>
      <c r="E13" s="10">
        <f>Calc!AI7</f>
        <v>6</v>
      </c>
      <c r="F13" s="11">
        <f>SUMPRODUCT((RIGHT(tblY11[#Headers],10)=CHAR(10)&amp;"Raw Score")*ISNUMBER(tblY11[#Data]))</f>
        <v>613</v>
      </c>
      <c r="G13" s="12" t="str">
        <f>IF(Calc!AF7="","-",Calc!AF7)</f>
        <v>4P07 - Magnetism</v>
      </c>
      <c r="H13" s="13" t="str">
        <f>HYPERLINK("#'Year 11'!A1","Open Year 11")</f>
        <v>Open Year 11</v>
      </c>
    </row>
    <row r="16">
      <c r="B16" s="6" t="inlineStr">
        <is>
          <t>For class teachers</t>
        </is>
      </c>
    </row>
    <row r="17" ht="17.5" customHeight="1">
      <c r="B17" s="14" t="inlineStr">
        <is>
          <t>1.   Open your year group's sheet and click your class in the Class slicer (top left).</t>
        </is>
      </c>
    </row>
    <row r="18" ht="32" customHeight="1">
      <c r="B18" s="14" t="inlineStr">
        <is>
          <t>2.   Type each student's mark in the test's Raw Score column. Type A for absent; leave the cell empty if they have not sat it yet.</t>
        </is>
      </c>
    </row>
    <row r="19" ht="17.5" customHeight="1">
      <c r="B19" s="14" t="inlineStr">
        <is>
          <t>3.   The Stanine column fills itself in. Do not type in the grey columns.</t>
        </is>
      </c>
    </row>
    <row r="20" ht="17.5" customHeight="1">
      <c r="B20" s="14" t="inlineStr">
        <is>
          <t>4.   This works in Excel on the web too. Only the buttons need the desktop app.</t>
        </is>
      </c>
    </row>
    <row r="22">
      <c r="B22" s="6" t="inlineStr">
        <is>
          <t>For the data lead</t>
        </is>
      </c>
    </row>
    <row r="23" ht="32" customHeight="1">
      <c r="B23" s="14" t="inlineStr">
        <is>
          <t>1.   Manage tests adds a test to a year group: two new columns plus a row in the register. The same form edits a title, maximum mark or date, and removes a test added by mistake.</t>
        </is>
      </c>
    </row>
    <row r="24" ht="32" customHeight="1">
      <c r="B24" s="14" t="inlineStr">
        <is>
          <t>2.   Update students reads a new 'All Students' export from the MIS: new students are added, classes and details are updated, scores are never touched. Students missing from the export are listed, not deleted.</t>
        </is>
      </c>
    </row>
    <row r="25" ht="17.5" customHeight="1">
      <c r="B25" s="14" t="inlineStr">
        <is>
          <t>3.   Class overview, Dashboard and Watch list update by themselves as marks go in.</t>
        </is>
      </c>
    </row>
    <row r="26" ht="17.5" customHeight="1">
      <c r="B26" s="14" t="inlineStr">
        <is>
          <t>4.   Type teachers' names on the Settings sheet to show them on the dashboards.</t>
        </is>
      </c>
    </row>
    <row r="28">
      <c r="B28" s="6" t="inlineStr">
        <is>
          <t>Reading stanines</t>
        </is>
      </c>
    </row>
    <row r="29" ht="20" customHeight="1">
      <c r="B29" s="7" t="inlineStr">
        <is>
          <t>Stanine</t>
        </is>
      </c>
      <c r="C29" s="7" t="inlineStr">
        <is>
          <t>Meaning</t>
        </is>
      </c>
      <c r="D29" s="15" t="n"/>
      <c r="E29" s="7" t="inlineStr">
        <is>
          <t>Share of students</t>
        </is>
      </c>
      <c r="F29" s="15" t="n"/>
      <c r="G29" s="7" t="inlineStr">
        <is>
          <t>Icon</t>
        </is>
      </c>
    </row>
    <row r="30">
      <c r="B30" s="16" t="n">
        <v>1</v>
      </c>
      <c r="C30" s="12" t="inlineStr">
        <is>
          <t>Very low</t>
        </is>
      </c>
      <c r="D30" s="15" t="n"/>
      <c r="E30" s="10" t="inlineStr">
        <is>
          <t>about 4%</t>
        </is>
      </c>
      <c r="F30" s="15" t="n"/>
      <c r="G30" s="10" t="n">
        <v>1</v>
      </c>
    </row>
    <row r="31">
      <c r="B31" s="16" t="n">
        <v>2</v>
      </c>
      <c r="C31" s="12" t="inlineStr">
        <is>
          <t>Low</t>
        </is>
      </c>
      <c r="D31" s="15" t="n"/>
      <c r="E31" s="10" t="inlineStr">
        <is>
          <t>about 7%</t>
        </is>
      </c>
      <c r="F31" s="15" t="n"/>
      <c r="G31" s="10" t="n">
        <v>2</v>
      </c>
    </row>
    <row r="32">
      <c r="B32" s="16" t="n">
        <v>3</v>
      </c>
      <c r="C32" s="12" t="inlineStr">
        <is>
          <t>Below average</t>
        </is>
      </c>
      <c r="D32" s="15" t="n"/>
      <c r="E32" s="10" t="inlineStr">
        <is>
          <t>about 12%</t>
        </is>
      </c>
      <c r="F32" s="15" t="n"/>
      <c r="G32" s="10" t="n">
        <v>3</v>
      </c>
    </row>
    <row r="33">
      <c r="B33" s="16" t="n">
        <v>4</v>
      </c>
      <c r="C33" s="12" t="inlineStr">
        <is>
          <t>Slightly below average</t>
        </is>
      </c>
      <c r="D33" s="15" t="n"/>
      <c r="E33" s="10" t="inlineStr">
        <is>
          <t>about 17%</t>
        </is>
      </c>
      <c r="F33" s="15" t="n"/>
      <c r="G33" s="10" t="n">
        <v>4</v>
      </c>
    </row>
    <row r="34">
      <c r="B34" s="16" t="n">
        <v>5</v>
      </c>
      <c r="C34" s="12" t="inlineStr">
        <is>
          <t>Average</t>
        </is>
      </c>
      <c r="D34" s="15" t="n"/>
      <c r="E34" s="10" t="inlineStr">
        <is>
          <t>about 20%</t>
        </is>
      </c>
      <c r="F34" s="15" t="n"/>
      <c r="G34" s="10" t="n">
        <v>5</v>
      </c>
    </row>
    <row r="35">
      <c r="B35" s="16" t="n">
        <v>6</v>
      </c>
      <c r="C35" s="12" t="inlineStr">
        <is>
          <t>Slightly above average</t>
        </is>
      </c>
      <c r="D35" s="15" t="n"/>
      <c r="E35" s="10" t="inlineStr">
        <is>
          <t>about 17%</t>
        </is>
      </c>
      <c r="F35" s="15" t="n"/>
      <c r="G35" s="10" t="n">
        <v>6</v>
      </c>
    </row>
    <row r="36">
      <c r="B36" s="16" t="n">
        <v>7</v>
      </c>
      <c r="C36" s="12" t="inlineStr">
        <is>
          <t>Above average</t>
        </is>
      </c>
      <c r="D36" s="15" t="n"/>
      <c r="E36" s="10" t="inlineStr">
        <is>
          <t>about 12%</t>
        </is>
      </c>
      <c r="F36" s="15" t="n"/>
      <c r="G36" s="10" t="n">
        <v>7</v>
      </c>
    </row>
    <row r="37">
      <c r="B37" s="16" t="n">
        <v>8</v>
      </c>
      <c r="C37" s="12" t="inlineStr">
        <is>
          <t>High</t>
        </is>
      </c>
      <c r="D37" s="15" t="n"/>
      <c r="E37" s="10" t="inlineStr">
        <is>
          <t>about 7%</t>
        </is>
      </c>
      <c r="F37" s="15" t="n"/>
      <c r="G37" s="10" t="n">
        <v>8</v>
      </c>
    </row>
    <row r="38">
      <c r="B38" s="16" t="n">
        <v>9</v>
      </c>
      <c r="C38" s="12" t="inlineStr">
        <is>
          <t>Very high</t>
        </is>
      </c>
      <c r="D38" s="15" t="n"/>
      <c r="E38" s="10" t="inlineStr">
        <is>
          <t>about 4%</t>
        </is>
      </c>
      <c r="F38" s="15" t="n"/>
      <c r="G38" s="10" t="n">
        <v>9</v>
      </c>
    </row>
    <row r="40">
      <c r="B40" s="6" t="inlineStr">
        <is>
          <t>Good to know</t>
        </is>
      </c>
    </row>
    <row r="41" ht="32" customHeight="1">
      <c r="B41" s="14" t="inlineStr">
        <is>
          <t>•   A stanine compares a student with their whole year group on that test: 5 is average, 1-3 below, 7-9 above. Stanines from different tests, classes and year groups can be compared directly.</t>
        </is>
      </c>
    </row>
    <row r="42" ht="32" customHeight="1">
      <c r="B42" s="14" t="inlineStr">
        <is>
          <t>•   Stanines settle once every class has entered its marks for a test; until then they are relative to the students entered so far.</t>
        </is>
      </c>
    </row>
    <row r="43" ht="17.5" customHeight="1">
      <c r="B43" s="14" t="inlineStr">
        <is>
          <t>•   A whole year group always averages about stanine 5, so compare year groups using mean %. Compare classes using both.</t>
        </is>
      </c>
    </row>
    <row r="44" ht="32" customHeight="1">
      <c r="B44" s="14" t="inlineStr">
        <is>
          <t>•   Avg KS2 is the mean of each student's KS2 maths and reading scaled scores (or the one that exists). Its band is a stanine within the year group, so 'vs KS2 band' shows progress from the starting point.</t>
        </is>
      </c>
    </row>
    <row r="45" ht="17.5" customHeight="1">
      <c r="B45" s="14" t="inlineStr">
        <is>
          <t>•   This workbook holds personal data about children. Keep it in a staff-only location.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33">
    <mergeCell ref="C34:D34"/>
    <mergeCell ref="C30:D30"/>
    <mergeCell ref="C33:D33"/>
    <mergeCell ref="E33:F33"/>
    <mergeCell ref="B24:H24"/>
    <mergeCell ref="B20:H20"/>
    <mergeCell ref="C35:D35"/>
    <mergeCell ref="B45:H45"/>
    <mergeCell ref="E35:F35"/>
    <mergeCell ref="C29:D29"/>
    <mergeCell ref="B26:H26"/>
    <mergeCell ref="E38:F38"/>
    <mergeCell ref="E29:F29"/>
    <mergeCell ref="B41:H41"/>
    <mergeCell ref="B25:H25"/>
    <mergeCell ref="C31:D31"/>
    <mergeCell ref="E31:F31"/>
    <mergeCell ref="E34:F34"/>
    <mergeCell ref="E30:F30"/>
    <mergeCell ref="B18:H18"/>
    <mergeCell ref="B43:H43"/>
    <mergeCell ref="C36:D36"/>
    <mergeCell ref="E36:F36"/>
    <mergeCell ref="B42:H42"/>
    <mergeCell ref="B23:H23"/>
    <mergeCell ref="C32:D32"/>
    <mergeCell ref="B17:H17"/>
    <mergeCell ref="C38:D38"/>
    <mergeCell ref="E32:F32"/>
    <mergeCell ref="B44:H44"/>
    <mergeCell ref="C37:D37"/>
    <mergeCell ref="E37:F37"/>
    <mergeCell ref="B19:H19"/>
  </mergeCells>
  <conditionalFormatting sqref="G30:G38">
    <cfRule type="iconSet" priority="1">
      <iconSet iconSet="3TrafficLights1">
        <cfvo type="percent" val="0"/>
        <cfvo type="num" val="4"/>
        <cfvo type="num" val="7"/>
      </iconSet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Overview">
    <tabColor rgb="002A78D6"/>
    <outlinePr summaryBelow="1" summaryRight="1"/>
    <pageSetUpPr fitToPage="1"/>
  </sheetPr>
  <dimension ref="A1:N7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" customWidth="1" min="1" max="1"/>
    <col width="20" customWidth="1" min="2" max="2"/>
    <col width="14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10" customWidth="1" min="9" max="9"/>
    <col width="10" customWidth="1" min="10" max="10"/>
    <col width="10" customWidth="1" min="11" max="11"/>
    <col width="10" customWidth="1" min="12" max="12"/>
    <col width="11" customWidth="1" min="13" max="13"/>
    <col width="2" customWidth="1" min="14" max="14"/>
  </cols>
  <sheetData>
    <row r="1" ht="30" customHeight="1">
      <c r="A1" s="1" t="n"/>
      <c r="B1" s="2" t="inlineStr">
        <is>
          <t>Class overview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>
      <c r="B2" s="17" t="inlineStr">
        <is>
          <t>How every class in every year group is doing, from all the tests entered so far. Blue = above the year group, red = below.</t>
        </is>
      </c>
    </row>
    <row r="4">
      <c r="B4" s="18" t="inlineStr">
        <is>
          <t>Students</t>
        </is>
      </c>
      <c r="C4" s="19" t="n"/>
      <c r="D4" s="18" t="inlineStr">
        <is>
          <t>Tests set</t>
        </is>
      </c>
      <c r="E4" s="19" t="n"/>
      <c r="F4" s="19" t="n"/>
      <c r="G4" s="18" t="inlineStr">
        <is>
          <t>Scores entered</t>
        </is>
      </c>
      <c r="H4" s="19" t="n"/>
      <c r="I4" s="19" t="n"/>
      <c r="J4" s="18" t="inlineStr">
        <is>
          <t>Tests still being marked</t>
        </is>
      </c>
      <c r="K4" s="19" t="n"/>
      <c r="L4" s="19" t="n"/>
      <c r="M4" s="19" t="n"/>
    </row>
    <row r="5">
      <c r="B5" s="20">
        <f>COUNTA(tblY7[Preferred Last name])+COUNTA(tblY8[Preferred Last name])+COUNTA(tblY9[Preferred Last name])+COUNTA(tblY10[Preferred Last name])+COUNTA(tblY11[Preferred Last name])</f>
        <v>572</v>
      </c>
      <c r="C5" s="19" t="n"/>
      <c r="D5" s="20">
        <f>COUNTA(tblAssessments[Test Name])</f>
        <v>24</v>
      </c>
      <c r="E5" s="19" t="n"/>
      <c r="F5" s="19" t="n"/>
      <c r="G5" s="21">
        <f>SUM(tblAssessments[Sat])</f>
        <v>2530</v>
      </c>
      <c r="H5" s="19" t="n"/>
      <c r="I5" s="19" t="n"/>
      <c r="J5" s="20">
        <f>COUNTIFS(tblAssessments[Completion],"&lt;1",tblAssessments[Test Name],"&lt;&gt;")</f>
        <v>2</v>
      </c>
      <c r="K5" s="19" t="n"/>
      <c r="L5" s="19" t="n"/>
      <c r="M5" s="19" t="n"/>
    </row>
    <row r="6"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19" t="n"/>
      <c r="M6" s="19" t="n"/>
    </row>
    <row r="7">
      <c r="B7" s="19" t="n"/>
      <c r="C7" s="19" t="n"/>
      <c r="D7" s="19" t="n"/>
      <c r="E7" s="19" t="n"/>
      <c r="F7" s="19" t="n"/>
      <c r="G7" s="19" t="n"/>
      <c r="H7" s="19" t="n"/>
      <c r="I7" s="19" t="n"/>
      <c r="J7" s="19" t="n"/>
      <c r="K7" s="19" t="n"/>
      <c r="L7" s="19" t="n"/>
      <c r="M7" s="19" t="n"/>
    </row>
    <row r="9" ht="22" customHeight="1">
      <c r="B9" s="22" t="inlineStr">
        <is>
          <t>Year 7</t>
        </is>
      </c>
      <c r="C9" s="23" t="str">
        <f>"Leaves "&amp;Settings!$C$15&amp;"   ·   "&amp;COUNTA(tblY7[Preferred Last name])&amp;" students   ·   "&amp;Calc!$AI$3&amp;" tests"</f>
        <v>Leaves 2031   ·   131 students   ·   4 tests</v>
      </c>
      <c r="D9" s="24" t="n"/>
      <c r="E9" s="24" t="n"/>
      <c r="F9" s="24" t="n"/>
      <c r="G9" s="24" t="n"/>
      <c r="H9" s="25" t="str">
        <f>IF(Calc!$AF$3="","No tests yet","Latest test: "&amp;Calc!$AF$3&amp;IF(ISNUMBER(Calc!$AH$3),"  ("&amp;TEXT(Calc!$AH$3,"dd/mm/yyyy")&amp;")",""))</f>
        <v>Latest test: 7B02 - Organ Systems  (03/11/2026)</v>
      </c>
      <c r="I9" s="24" t="n"/>
      <c r="J9" s="24" t="n"/>
      <c r="K9" s="24" t="n"/>
      <c r="L9" s="24" t="n"/>
      <c r="M9" s="24" t="n"/>
    </row>
    <row r="10" ht="30" customHeight="1">
      <c r="B10" s="7" t="inlineStr">
        <is>
          <t>Class</t>
        </is>
      </c>
      <c r="C10" s="7" t="inlineStr">
        <is>
          <t>Teacher</t>
        </is>
      </c>
      <c r="D10" s="7" t="inlineStr">
        <is>
          <t>Students</t>
        </is>
      </c>
      <c r="E10" s="7" t="inlineStr">
        <is>
          <t>KS2 band
(mean)</t>
        </is>
      </c>
      <c r="F10" s="7" t="inlineStr">
        <is>
          <t>Tests sat
(mean)</t>
        </is>
      </c>
      <c r="G10" s="7" t="inlineStr">
        <is>
          <t>Mean
stanine</t>
        </is>
      </c>
      <c r="H10" s="7" t="inlineStr">
        <is>
          <t>vs KS2
band</t>
        </is>
      </c>
      <c r="I10" s="7" t="inlineStr">
        <is>
          <t>Results at
stanine 7-9</t>
        </is>
      </c>
      <c r="J10" s="7" t="inlineStr">
        <is>
          <t>Results at
stanine 1-3</t>
        </is>
      </c>
      <c r="K10" s="7" t="inlineStr">
        <is>
          <t>Latest test
mean %</t>
        </is>
      </c>
      <c r="L10" s="7" t="inlineStr">
        <is>
          <t>Latest test
mean stanine</t>
        </is>
      </c>
      <c r="M10" s="7" t="inlineStr">
        <is>
          <t>Latest test
completion</t>
        </is>
      </c>
    </row>
    <row r="11">
      <c r="B11" s="26" t="inlineStr">
        <is>
          <t>Whole year</t>
        </is>
      </c>
      <c r="D11" s="27">
        <f>IFERROR(COUNTA(tblY7[Preferred Last name]),"")</f>
        <v>131</v>
      </c>
      <c r="E11" s="28">
        <f>IFERROR(AVERAGE(tblY7[Avg KS2 Band]),"")</f>
        <v>5.06106870229008</v>
      </c>
      <c r="F11" s="28">
        <f>IFERROR(AVERAGE(tblY7[Tests Sat]),"")</f>
        <v>3.86259541984733</v>
      </c>
      <c r="G11" s="28">
        <f>IFERROR(AVERAGE(tblY7[Mean Stanine]),"")</f>
        <v>5.00381679389313</v>
      </c>
      <c r="H11" s="29">
        <f>IFERROR(AVERAGE(tblY7[vs KS2 Band]),"")</f>
        <v>-0.0572519083969466</v>
      </c>
      <c r="I11" s="30">
        <f>IFERROR(SUMPRODUCT((RIGHT(tblY7[#Headers],8)=CHAR(10)&amp;"Stanine")*ISNUMBER(tblY7[#Data])*(tblY7[#Data]&gt;=7))/SUMPRODUCT((RIGHT(tblY7[#Headers],8)=CHAR(10)&amp;"Stanine")*ISNUMBER(tblY7[#Data])),"")</f>
        <v>0.24901185770751</v>
      </c>
      <c r="J11" s="30">
        <f>IFERROR(SUMPRODUCT((RIGHT(tblY7[#Headers],8)=CHAR(10)&amp;"Stanine")*ISNUMBER(tblY7[#Data])*(tblY7[#Data]&lt;=3))/SUMPRODUCT((RIGHT(tblY7[#Headers],8)=CHAR(10)&amp;"Stanine")*ISNUMBER(tblY7[#Data])),"")</f>
        <v>0.207509881422925</v>
      </c>
      <c r="K11" s="30">
        <f>IFERROR(IF(Calc!$AF$3="","",AVERAGE(INDEX(tblY7[#Data],0,MATCH(Calc!$AF$3&amp;CHAR(10)&amp;"Raw Score",tblY7[#Headers],0)))/Calc!$AG$3),"")</f>
        <v>0.53740157480315</v>
      </c>
      <c r="L11" s="28">
        <f>IFERROR(IF(Calc!$AF$3="","",AVERAGE(INDEX(tblY7[#Data],0,MATCH(Calc!$AF$3&amp;CHAR(10)&amp;"Stanine",tblY7[#Headers],0)))),"")</f>
        <v>4.99212598425197</v>
      </c>
      <c r="M11" s="30">
        <f>IFERROR(IF(Calc!$AF$3="","",(COUNTIFS(INDEX(tblY7[#Data],0,MATCH(Calc!$AF$3&amp;CHAR(10)&amp;"Raw Score",tblY7[#Headers],0)),"&gt;=0")+COUNTIFS(INDEX(tblY7[#Data],0,MATCH(Calc!$AF$3&amp;CHAR(10)&amp;"Raw Score",tblY7[#Headers],0)),"A"))/COUNTA(tblY7[Preferred Last name])),"")</f>
        <v>1</v>
      </c>
    </row>
    <row r="12">
      <c r="B12" s="31" t="str">
        <f>Calc!S3</f>
        <v>7A/Sc1</v>
      </c>
      <c r="C12" s="32" t="str">
        <f>IF($B12="","",IFERROR(INDEX(tblTeachers[Teacher],MATCH("Year 7"&amp;"|"&amp;$B12,tblTeachers[Key],0))&amp;"",""))</f>
        <v>Ms Adeyemi</v>
      </c>
      <c r="D12" s="33">
        <f>IF($B12="","",IFERROR(COUNTIF(tblY7[Class],$B12),""))</f>
        <v>30</v>
      </c>
      <c r="E12" s="34">
        <f>IF($B12="","",IFERROR(AVERAGEIFS(tblY7[Avg KS2 Band],tblY7[Class],$B12),""))</f>
        <v>5.7</v>
      </c>
      <c r="F12" s="34">
        <f>IF($B12="","",IFERROR(AVERAGEIFS(tblY7[Tests Sat],tblY7[Class],$B12),""))</f>
        <v>3.83333333333333</v>
      </c>
      <c r="G12" s="34">
        <f>IF($B12="","",IFERROR(AVERAGEIFS(tblY7[Mean Stanine],tblY7[Class],$B12),""))</f>
        <v>5.79166666666667</v>
      </c>
      <c r="H12" s="35">
        <f>IF($B12="","",IFERROR(AVERAGEIFS(tblY7[vs KS2 Band],tblY7[Class],$B12),""))</f>
        <v>0.0916666666666667</v>
      </c>
      <c r="I12" s="36">
        <f>IF($B12="","",IFERROR(SUMPRODUCT((tblY7[Class]=$B12)*(RIGHT(tblY7[#Headers],8)=CHAR(10)&amp;"Stanine")*ISNUMBER(tblY7[#Data])*(tblY7[#Data]&gt;=7))/SUMPRODUCT((tblY7[Class]=$B12)*(RIGHT(tblY7[#Headers],8)=CHAR(10)&amp;"Stanine")*ISNUMBER(tblY7[#Data])),""))</f>
        <v>0.373913043478261</v>
      </c>
      <c r="J12" s="36">
        <f>IF($B12="","",IFERROR(SUMPRODUCT((tblY7[Class]=$B12)*(RIGHT(tblY7[#Headers],8)=CHAR(10)&amp;"Stanine")*ISNUMBER(tblY7[#Data])*(tblY7[#Data]&lt;=3))/SUMPRODUCT((tblY7[Class]=$B12)*(RIGHT(tblY7[#Headers],8)=CHAR(10)&amp;"Stanine")*ISNUMBER(tblY7[#Data])),""))</f>
        <v>0.0956521739130435</v>
      </c>
      <c r="K12" s="36">
        <f>IF($B12="","",IFERROR(IF(Calc!$AF$3="","",AVERAGEIFS(INDEX(tblY7[#Data],0,MATCH(Calc!$AF$3&amp;CHAR(10)&amp;"Raw Score",tblY7[#Headers],0)),tblY7[Class],$B12)/Calc!$AG$3),""))</f>
        <v>0.600985221674877</v>
      </c>
      <c r="L12" s="34">
        <f>IF($B12="","",IFERROR(IF(Calc!$AF$3="","",AVERAGEIFS(INDEX(tblY7[#Data],0,MATCH(Calc!$AF$3&amp;CHAR(10)&amp;"Stanine",tblY7[#Headers],0)),tblY7[Class],$B12)),""))</f>
        <v>5.6551724137931</v>
      </c>
      <c r="M12" s="36">
        <f>IF($B12="","",IFERROR(IF(Calc!$AF$3="","",(COUNTIFS(INDEX(tblY7[#Data],0,MATCH(Calc!$AF$3&amp;CHAR(10)&amp;"Raw Score",tblY7[#Headers],0)),"&gt;=0",tblY7[Class],$B12)+COUNTIFS(INDEX(tblY7[#Data],0,MATCH(Calc!$AF$3&amp;CHAR(10)&amp;"Raw Score",tblY7[#Headers],0)),"A",tblY7[Class],$B12))/COUNTIF(tblY7[Class],$B12)),""))</f>
        <v>1</v>
      </c>
    </row>
    <row r="13">
      <c r="B13" s="31" t="str">
        <f>Calc!S4</f>
        <v>7A/Sc2</v>
      </c>
      <c r="C13" s="32" t="str">
        <f>IF($B13="","",IFERROR(INDEX(tblTeachers[Teacher],MATCH("Year 7"&amp;"|"&amp;$B13,tblTeachers[Key],0))&amp;"",""))</f>
        <v>Dr Clarke</v>
      </c>
      <c r="D13" s="33">
        <f>IF($B13="","",IFERROR(COUNTIF(tblY7[Class],$B13),""))</f>
        <v>30</v>
      </c>
      <c r="E13" s="34">
        <f>IF($B13="","",IFERROR(AVERAGEIFS(tblY7[Avg KS2 Band],tblY7[Class],$B13),""))</f>
        <v>5.03333333333333</v>
      </c>
      <c r="F13" s="34">
        <f>IF($B13="","",IFERROR(AVERAGEIFS(tblY7[Tests Sat],tblY7[Class],$B13),""))</f>
        <v>3.86666666666667</v>
      </c>
      <c r="G13" s="34">
        <f>IF($B13="","",IFERROR(AVERAGEIFS(tblY7[Mean Stanine],tblY7[Class],$B13),""))</f>
        <v>4.58888888888889</v>
      </c>
      <c r="H13" s="35">
        <f>IF($B13="","",IFERROR(AVERAGEIFS(tblY7[vs KS2 Band],tblY7[Class],$B13),""))</f>
        <v>-0.444444444444445</v>
      </c>
      <c r="I13" s="36">
        <f>IF($B13="","",IFERROR(SUMPRODUCT((tblY7[Class]=$B13)*(RIGHT(tblY7[#Headers],8)=CHAR(10)&amp;"Stanine")*ISNUMBER(tblY7[#Data])*(tblY7[#Data]&gt;=7))/SUMPRODUCT((tblY7[Class]=$B13)*(RIGHT(tblY7[#Headers],8)=CHAR(10)&amp;"Stanine")*ISNUMBER(tblY7[#Data])),""))</f>
        <v>0.163793103448276</v>
      </c>
      <c r="J13" s="36">
        <f>IF($B13="","",IFERROR(SUMPRODUCT((tblY7[Class]=$B13)*(RIGHT(tblY7[#Headers],8)=CHAR(10)&amp;"Stanine")*ISNUMBER(tblY7[#Data])*(tblY7[#Data]&lt;=3))/SUMPRODUCT((tblY7[Class]=$B13)*(RIGHT(tblY7[#Headers],8)=CHAR(10)&amp;"Stanine")*ISNUMBER(tblY7[#Data])),""))</f>
        <v>0.241379310344828</v>
      </c>
      <c r="K13" s="36">
        <f>IF($B13="","",IFERROR(IF(Calc!$AF$3="","",AVERAGEIFS(INDEX(tblY7[#Data],0,MATCH(Calc!$AF$3&amp;CHAR(10)&amp;"Raw Score",tblY7[#Headers],0)),tblY7[Class],$B13)/Calc!$AG$3),""))</f>
        <v>0.508928571428571</v>
      </c>
      <c r="L13" s="34">
        <f>IF($B13="","",IFERROR(IF(Calc!$AF$3="","",AVERAGEIFS(INDEX(tblY7[#Data],0,MATCH(Calc!$AF$3&amp;CHAR(10)&amp;"Stanine",tblY7[#Headers],0)),tblY7[Class],$B13)),""))</f>
        <v>4.60714285714286</v>
      </c>
      <c r="M13" s="36">
        <f>IF($B13="","",IFERROR(IF(Calc!$AF$3="","",(COUNTIFS(INDEX(tblY7[#Data],0,MATCH(Calc!$AF$3&amp;CHAR(10)&amp;"Raw Score",tblY7[#Headers],0)),"&gt;=0",tblY7[Class],$B13)+COUNTIFS(INDEX(tblY7[#Data],0,MATCH(Calc!$AF$3&amp;CHAR(10)&amp;"Raw Score",tblY7[#Headers],0)),"A",tblY7[Class],$B13))/COUNTIF(tblY7[Class],$B13)),""))</f>
        <v>1</v>
      </c>
    </row>
    <row r="14">
      <c r="B14" s="31" t="str">
        <f>Calc!S5</f>
        <v>7B/Sc1</v>
      </c>
      <c r="C14" s="32" t="str">
        <f>IF($B14="","",IFERROR(INDEX(tblTeachers[Teacher],MATCH("Year 7"&amp;"|"&amp;$B14,tblTeachers[Key],0))&amp;"",""))</f>
        <v>Mr Walsh</v>
      </c>
      <c r="D14" s="33">
        <f>IF($B14="","",IFERROR(COUNTIF(tblY7[Class],$B14),""))</f>
        <v>27</v>
      </c>
      <c r="E14" s="34">
        <f>IF($B14="","",IFERROR(AVERAGEIFS(tblY7[Avg KS2 Band],tblY7[Class],$B14),""))</f>
        <v>5.74074074074074</v>
      </c>
      <c r="F14" s="34">
        <f>IF($B14="","",IFERROR(AVERAGEIFS(tblY7[Tests Sat],tblY7[Class],$B14),""))</f>
        <v>3.92592592592593</v>
      </c>
      <c r="G14" s="34">
        <f>IF($B14="","",IFERROR(AVERAGEIFS(tblY7[Mean Stanine],tblY7[Class],$B14),""))</f>
        <v>6.03395061728395</v>
      </c>
      <c r="H14" s="35">
        <f>IF($B14="","",IFERROR(AVERAGEIFS(tblY7[vs KS2 Band],tblY7[Class],$B14),""))</f>
        <v>0.29320987654321</v>
      </c>
      <c r="I14" s="36">
        <f>IF($B14="","",IFERROR(SUMPRODUCT((tblY7[Class]=$B14)*(RIGHT(tblY7[#Headers],8)=CHAR(10)&amp;"Stanine")*ISNUMBER(tblY7[#Data])*(tblY7[#Data]&gt;=7))/SUMPRODUCT((tblY7[Class]=$B14)*(RIGHT(tblY7[#Headers],8)=CHAR(10)&amp;"Stanine")*ISNUMBER(tblY7[#Data])),""))</f>
        <v>0.433962264150943</v>
      </c>
      <c r="J14" s="36">
        <f>IF($B14="","",IFERROR(SUMPRODUCT((tblY7[Class]=$B14)*(RIGHT(tblY7[#Headers],8)=CHAR(10)&amp;"Stanine")*ISNUMBER(tblY7[#Data])*(tblY7[#Data]&lt;=3))/SUMPRODUCT((tblY7[Class]=$B14)*(RIGHT(tblY7[#Headers],8)=CHAR(10)&amp;"Stanine")*ISNUMBER(tblY7[#Data])),""))</f>
        <v>0.0754716981132075</v>
      </c>
      <c r="K14" s="36">
        <f>IF($B14="","",IFERROR(IF(Calc!$AF$3="","",AVERAGEIFS(INDEX(tblY7[#Data],0,MATCH(Calc!$AF$3&amp;CHAR(10)&amp;"Raw Score",tblY7[#Headers],0)),tblY7[Class],$B14)/Calc!$AG$3),""))</f>
        <v>0.648148148148148</v>
      </c>
      <c r="L14" s="34">
        <f>IF($B14="","",IFERROR(IF(Calc!$AF$3="","",AVERAGEIFS(INDEX(tblY7[#Data],0,MATCH(Calc!$AF$3&amp;CHAR(10)&amp;"Stanine",tblY7[#Headers],0)),tblY7[Class],$B14)),""))</f>
        <v>6.14814814814815</v>
      </c>
      <c r="M14" s="36">
        <f>IF($B14="","",IFERROR(IF(Calc!$AF$3="","",(COUNTIFS(INDEX(tblY7[#Data],0,MATCH(Calc!$AF$3&amp;CHAR(10)&amp;"Raw Score",tblY7[#Headers],0)),"&gt;=0",tblY7[Class],$B14)+COUNTIFS(INDEX(tblY7[#Data],0,MATCH(Calc!$AF$3&amp;CHAR(10)&amp;"Raw Score",tblY7[#Headers],0)),"A",tblY7[Class],$B14))/COUNTIF(tblY7[Class],$B14)),""))</f>
        <v>1</v>
      </c>
    </row>
    <row r="15">
      <c r="B15" s="31" t="str">
        <f>Calc!S6</f>
        <v>7B/Sc2</v>
      </c>
      <c r="C15" s="32" t="str">
        <f>IF($B15="","",IFERROR(INDEX(tblTeachers[Teacher],MATCH("Year 7"&amp;"|"&amp;$B15,tblTeachers[Key],0))&amp;"",""))</f>
        <v>Ms Novak</v>
      </c>
      <c r="D15" s="33">
        <f>IF($B15="","",IFERROR(COUNTIF(tblY7[Class],$B15),""))</f>
        <v>26</v>
      </c>
      <c r="E15" s="34">
        <f>IF($B15="","",IFERROR(AVERAGEIFS(tblY7[Avg KS2 Band],tblY7[Class],$B15),""))</f>
        <v>4.61538461538462</v>
      </c>
      <c r="F15" s="34">
        <f>IF($B15="","",IFERROR(AVERAGEIFS(tblY7[Tests Sat],tblY7[Class],$B15),""))</f>
        <v>3.92307692307692</v>
      </c>
      <c r="G15" s="34">
        <f>IF($B15="","",IFERROR(AVERAGEIFS(tblY7[Mean Stanine],tblY7[Class],$B15),""))</f>
        <v>4.49358974358974</v>
      </c>
      <c r="H15" s="35">
        <f>IF($B15="","",IFERROR(AVERAGEIFS(tblY7[vs KS2 Band],tblY7[Class],$B15),""))</f>
        <v>-0.121794871794872</v>
      </c>
      <c r="I15" s="36">
        <f>IF($B15="","",IFERROR(SUMPRODUCT((tblY7[Class]=$B15)*(RIGHT(tblY7[#Headers],8)=CHAR(10)&amp;"Stanine")*ISNUMBER(tblY7[#Data])*(tblY7[#Data]&gt;=7))/SUMPRODUCT((tblY7[Class]=$B15)*(RIGHT(tblY7[#Headers],8)=CHAR(10)&amp;"Stanine")*ISNUMBER(tblY7[#Data])),""))</f>
        <v>0.127450980392157</v>
      </c>
      <c r="J15" s="36">
        <f>IF($B15="","",IFERROR(SUMPRODUCT((tblY7[Class]=$B15)*(RIGHT(tblY7[#Headers],8)=CHAR(10)&amp;"Stanine")*ISNUMBER(tblY7[#Data])*(tblY7[#Data]&lt;=3))/SUMPRODUCT((tblY7[Class]=$B15)*(RIGHT(tblY7[#Headers],8)=CHAR(10)&amp;"Stanine")*ISNUMBER(tblY7[#Data])),""))</f>
        <v>0.303921568627451</v>
      </c>
      <c r="K15" s="36">
        <f>IF($B15="","",IFERROR(IF(Calc!$AF$3="","",AVERAGEIFS(INDEX(tblY7[#Data],0,MATCH(Calc!$AF$3&amp;CHAR(10)&amp;"Raw Score",tblY7[#Headers],0)),tblY7[Class],$B15)/Calc!$AG$3),""))</f>
        <v>0.485714285714286</v>
      </c>
      <c r="L15" s="34">
        <f>IF($B15="","",IFERROR(IF(Calc!$AF$3="","",AVERAGEIFS(INDEX(tblY7[#Data],0,MATCH(Calc!$AF$3&amp;CHAR(10)&amp;"Stanine",tblY7[#Headers],0)),tblY7[Class],$B15)),""))</f>
        <v>4.44</v>
      </c>
      <c r="M15" s="36">
        <f>IF($B15="","",IFERROR(IF(Calc!$AF$3="","",(COUNTIFS(INDEX(tblY7[#Data],0,MATCH(Calc!$AF$3&amp;CHAR(10)&amp;"Raw Score",tblY7[#Headers],0)),"&gt;=0",tblY7[Class],$B15)+COUNTIFS(INDEX(tblY7[#Data],0,MATCH(Calc!$AF$3&amp;CHAR(10)&amp;"Raw Score",tblY7[#Headers],0)),"A",tblY7[Class],$B15))/COUNTIF(tblY7[Class],$B15)),""))</f>
        <v>1</v>
      </c>
    </row>
    <row r="16">
      <c r="B16" s="31" t="str">
        <f>Calc!S7</f>
        <v>7B/Sc3</v>
      </c>
      <c r="C16" s="32" t="str">
        <f>IF($B16="","",IFERROR(INDEX(tblTeachers[Teacher],MATCH("Year 7"&amp;"|"&amp;$B16,tblTeachers[Key],0))&amp;"",""))</f>
        <v>Ms Rahman</v>
      </c>
      <c r="D16" s="33">
        <f>IF($B16="","",IFERROR(COUNTIF(tblY7[Class],$B16),""))</f>
        <v>18</v>
      </c>
      <c r="E16" s="34">
        <f>IF($B16="","",IFERROR(AVERAGEIFS(tblY7[Avg KS2 Band],tblY7[Class],$B16),""))</f>
        <v>3.66666666666667</v>
      </c>
      <c r="F16" s="34">
        <f>IF($B16="","",IFERROR(AVERAGEIFS(tblY7[Tests Sat],tblY7[Class],$B16),""))</f>
        <v>3.72222222222222</v>
      </c>
      <c r="G16" s="34">
        <f>IF($B16="","",IFERROR(AVERAGEIFS(tblY7[Mean Stanine],tblY7[Class],$B16),""))</f>
        <v>3.57407407407407</v>
      </c>
      <c r="H16" s="35">
        <f>IF($B16="","",IFERROR(AVERAGEIFS(tblY7[vs KS2 Band],tblY7[Class],$B16),""))</f>
        <v>-0.0925925925925926</v>
      </c>
      <c r="I16" s="36">
        <f>IF($B16="","",IFERROR(SUMPRODUCT((tblY7[Class]=$B16)*(RIGHT(tblY7[#Headers],8)=CHAR(10)&amp;"Stanine")*ISNUMBER(tblY7[#Data])*(tblY7[#Data]&gt;=7))/SUMPRODUCT((tblY7[Class]=$B16)*(RIGHT(tblY7[#Headers],8)=CHAR(10)&amp;"Stanine")*ISNUMBER(tblY7[#Data])),""))</f>
        <v>0.0746268656716418</v>
      </c>
      <c r="J16" s="36">
        <f>IF($B16="","",IFERROR(SUMPRODUCT((tblY7[Class]=$B16)*(RIGHT(tblY7[#Headers],8)=CHAR(10)&amp;"Stanine")*ISNUMBER(tblY7[#Data])*(tblY7[#Data]&lt;=3))/SUMPRODUCT((tblY7[Class]=$B16)*(RIGHT(tblY7[#Headers],8)=CHAR(10)&amp;"Stanine")*ISNUMBER(tblY7[#Data])),""))</f>
        <v>0.402985074626866</v>
      </c>
      <c r="K16" s="36">
        <f>IF($B16="","",IFERROR(IF(Calc!$AF$3="","",AVERAGEIFS(INDEX(tblY7[#Data],0,MATCH(Calc!$AF$3&amp;CHAR(10)&amp;"Raw Score",tblY7[#Headers],0)),tblY7[Class],$B16)/Calc!$AG$3),""))</f>
        <v>0.384920634920635</v>
      </c>
      <c r="L16" s="34">
        <f>IF($B16="","",IFERROR(IF(Calc!$AF$3="","",AVERAGEIFS(INDEX(tblY7[#Data],0,MATCH(Calc!$AF$3&amp;CHAR(10)&amp;"Stanine",tblY7[#Headers],0)),tblY7[Class],$B16)),""))</f>
        <v>3.55555555555556</v>
      </c>
      <c r="M16" s="36">
        <f>IF($B16="","",IFERROR(IF(Calc!$AF$3="","",(COUNTIFS(INDEX(tblY7[#Data],0,MATCH(Calc!$AF$3&amp;CHAR(10)&amp;"Raw Score",tblY7[#Headers],0)),"&gt;=0",tblY7[Class],$B16)+COUNTIFS(INDEX(tblY7[#Data],0,MATCH(Calc!$AF$3&amp;CHAR(10)&amp;"Raw Score",tblY7[#Headers],0)),"A",tblY7[Class],$B16))/COUNTIF(tblY7[Class],$B16)),""))</f>
        <v>1</v>
      </c>
    </row>
    <row r="17">
      <c r="B17" s="31" t="str">
        <f>Calc!S8</f>
        <v/>
      </c>
      <c r="C17" s="32" t="str">
        <f>IF($B17="","",IFERROR(INDEX(tblTeachers[Teacher],MATCH("Year 7"&amp;"|"&amp;$B17,tblTeachers[Key],0))&amp;"",""))</f>
        <v/>
      </c>
      <c r="D17" s="33" t="str">
        <f>IF($B17="","",IFERROR(COUNTIF(tblY7[Class],$B17),""))</f>
        <v/>
      </c>
      <c r="E17" s="34" t="str">
        <f>IF($B17="","",IFERROR(AVERAGEIFS(tblY7[Avg KS2 Band],tblY7[Class],$B17),""))</f>
        <v/>
      </c>
      <c r="F17" s="34" t="str">
        <f>IF($B17="","",IFERROR(AVERAGEIFS(tblY7[Tests Sat],tblY7[Class],$B17),""))</f>
        <v/>
      </c>
      <c r="G17" s="34" t="str">
        <f>IF($B17="","",IFERROR(AVERAGEIFS(tblY7[Mean Stanine],tblY7[Class],$B17),""))</f>
        <v/>
      </c>
      <c r="H17" s="35" t="str">
        <f>IF($B17="","",IFERROR(AVERAGEIFS(tblY7[vs KS2 Band],tblY7[Class],$B17),""))</f>
        <v/>
      </c>
      <c r="I17" s="36" t="str">
        <f>IF($B17="","",IFERROR(SUMPRODUCT((tblY7[Class]=$B17)*(RIGHT(tblY7[#Headers],8)=CHAR(10)&amp;"Stanine")*ISNUMBER(tblY7[#Data])*(tblY7[#Data]&gt;=7))/SUMPRODUCT((tblY7[Class]=$B17)*(RIGHT(tblY7[#Headers],8)=CHAR(10)&amp;"Stanine")*ISNUMBER(tblY7[#Data])),""))</f>
        <v/>
      </c>
      <c r="J17" s="36" t="str">
        <f>IF($B17="","",IFERROR(SUMPRODUCT((tblY7[Class]=$B17)*(RIGHT(tblY7[#Headers],8)=CHAR(10)&amp;"Stanine")*ISNUMBER(tblY7[#Data])*(tblY7[#Data]&lt;=3))/SUMPRODUCT((tblY7[Class]=$B17)*(RIGHT(tblY7[#Headers],8)=CHAR(10)&amp;"Stanine")*ISNUMBER(tblY7[#Data])),""))</f>
        <v/>
      </c>
      <c r="K17" s="36" t="str">
        <f>IF($B17="","",IFERROR(IF(Calc!$AF$3="","",AVERAGEIFS(INDEX(tblY7[#Data],0,MATCH(Calc!$AF$3&amp;CHAR(10)&amp;"Raw Score",tblY7[#Headers],0)),tblY7[Class],$B17)/Calc!$AG$3),""))</f>
        <v/>
      </c>
      <c r="L17" s="34" t="str">
        <f>IF($B17="","",IFERROR(IF(Calc!$AF$3="","",AVERAGEIFS(INDEX(tblY7[#Data],0,MATCH(Calc!$AF$3&amp;CHAR(10)&amp;"Stanine",tblY7[#Headers],0)),tblY7[Class],$B17)),""))</f>
        <v/>
      </c>
      <c r="M17" s="36" t="str">
        <f>IF($B17="","",IFERROR(IF(Calc!$AF$3="","",(COUNTIFS(INDEX(tblY7[#Data],0,MATCH(Calc!$AF$3&amp;CHAR(10)&amp;"Raw Score",tblY7[#Headers],0)),"&gt;=0",tblY7[Class],$B17)+COUNTIFS(INDEX(tblY7[#Data],0,MATCH(Calc!$AF$3&amp;CHAR(10)&amp;"Raw Score",tblY7[#Headers],0)),"A",tblY7[Class],$B17))/COUNTIF(tblY7[Class],$B17)),""))</f>
        <v/>
      </c>
    </row>
    <row r="18">
      <c r="B18" s="31" t="str">
        <f>Calc!S9</f>
        <v/>
      </c>
      <c r="C18" s="32" t="str">
        <f>IF($B18="","",IFERROR(INDEX(tblTeachers[Teacher],MATCH("Year 7"&amp;"|"&amp;$B18,tblTeachers[Key],0))&amp;"",""))</f>
        <v/>
      </c>
      <c r="D18" s="33" t="str">
        <f>IF($B18="","",IFERROR(COUNTIF(tblY7[Class],$B18),""))</f>
        <v/>
      </c>
      <c r="E18" s="34" t="str">
        <f>IF($B18="","",IFERROR(AVERAGEIFS(tblY7[Avg KS2 Band],tblY7[Class],$B18),""))</f>
        <v/>
      </c>
      <c r="F18" s="34" t="str">
        <f>IF($B18="","",IFERROR(AVERAGEIFS(tblY7[Tests Sat],tblY7[Class],$B18),""))</f>
        <v/>
      </c>
      <c r="G18" s="34" t="str">
        <f>IF($B18="","",IFERROR(AVERAGEIFS(tblY7[Mean Stanine],tblY7[Class],$B18),""))</f>
        <v/>
      </c>
      <c r="H18" s="35" t="str">
        <f>IF($B18="","",IFERROR(AVERAGEIFS(tblY7[vs KS2 Band],tblY7[Class],$B18),""))</f>
        <v/>
      </c>
      <c r="I18" s="36" t="str">
        <f>IF($B18="","",IFERROR(SUMPRODUCT((tblY7[Class]=$B18)*(RIGHT(tblY7[#Headers],8)=CHAR(10)&amp;"Stanine")*ISNUMBER(tblY7[#Data])*(tblY7[#Data]&gt;=7))/SUMPRODUCT((tblY7[Class]=$B18)*(RIGHT(tblY7[#Headers],8)=CHAR(10)&amp;"Stanine")*ISNUMBER(tblY7[#Data])),""))</f>
        <v/>
      </c>
      <c r="J18" s="36" t="str">
        <f>IF($B18="","",IFERROR(SUMPRODUCT((tblY7[Class]=$B18)*(RIGHT(tblY7[#Headers],8)=CHAR(10)&amp;"Stanine")*ISNUMBER(tblY7[#Data])*(tblY7[#Data]&lt;=3))/SUMPRODUCT((tblY7[Class]=$B18)*(RIGHT(tblY7[#Headers],8)=CHAR(10)&amp;"Stanine")*ISNUMBER(tblY7[#Data])),""))</f>
        <v/>
      </c>
      <c r="K18" s="36" t="str">
        <f>IF($B18="","",IFERROR(IF(Calc!$AF$3="","",AVERAGEIFS(INDEX(tblY7[#Data],0,MATCH(Calc!$AF$3&amp;CHAR(10)&amp;"Raw Score",tblY7[#Headers],0)),tblY7[Class],$B18)/Calc!$AG$3),""))</f>
        <v/>
      </c>
      <c r="L18" s="34" t="str">
        <f>IF($B18="","",IFERROR(IF(Calc!$AF$3="","",AVERAGEIFS(INDEX(tblY7[#Data],0,MATCH(Calc!$AF$3&amp;CHAR(10)&amp;"Stanine",tblY7[#Headers],0)),tblY7[Class],$B18)),""))</f>
        <v/>
      </c>
      <c r="M18" s="36" t="str">
        <f>IF($B18="","",IFERROR(IF(Calc!$AF$3="","",(COUNTIFS(INDEX(tblY7[#Data],0,MATCH(Calc!$AF$3&amp;CHAR(10)&amp;"Raw Score",tblY7[#Headers],0)),"&gt;=0",tblY7[Class],$B18)+COUNTIFS(INDEX(tblY7[#Data],0,MATCH(Calc!$AF$3&amp;CHAR(10)&amp;"Raw Score",tblY7[#Headers],0)),"A",tblY7[Class],$B18))/COUNTIF(tblY7[Class],$B18)),""))</f>
        <v/>
      </c>
    </row>
    <row r="19">
      <c r="B19" s="31" t="str">
        <f>Calc!S10</f>
        <v/>
      </c>
      <c r="C19" s="32" t="str">
        <f>IF($B19="","",IFERROR(INDEX(tblTeachers[Teacher],MATCH("Year 7"&amp;"|"&amp;$B19,tblTeachers[Key],0))&amp;"",""))</f>
        <v/>
      </c>
      <c r="D19" s="33" t="str">
        <f>IF($B19="","",IFERROR(COUNTIF(tblY7[Class],$B19),""))</f>
        <v/>
      </c>
      <c r="E19" s="34" t="str">
        <f>IF($B19="","",IFERROR(AVERAGEIFS(tblY7[Avg KS2 Band],tblY7[Class],$B19),""))</f>
        <v/>
      </c>
      <c r="F19" s="34" t="str">
        <f>IF($B19="","",IFERROR(AVERAGEIFS(tblY7[Tests Sat],tblY7[Class],$B19),""))</f>
        <v/>
      </c>
      <c r="G19" s="34" t="str">
        <f>IF($B19="","",IFERROR(AVERAGEIFS(tblY7[Mean Stanine],tblY7[Class],$B19),""))</f>
        <v/>
      </c>
      <c r="H19" s="35" t="str">
        <f>IF($B19="","",IFERROR(AVERAGEIFS(tblY7[vs KS2 Band],tblY7[Class],$B19),""))</f>
        <v/>
      </c>
      <c r="I19" s="36" t="str">
        <f>IF($B19="","",IFERROR(SUMPRODUCT((tblY7[Class]=$B19)*(RIGHT(tblY7[#Headers],8)=CHAR(10)&amp;"Stanine")*ISNUMBER(tblY7[#Data])*(tblY7[#Data]&gt;=7))/SUMPRODUCT((tblY7[Class]=$B19)*(RIGHT(tblY7[#Headers],8)=CHAR(10)&amp;"Stanine")*ISNUMBER(tblY7[#Data])),""))</f>
        <v/>
      </c>
      <c r="J19" s="36" t="str">
        <f>IF($B19="","",IFERROR(SUMPRODUCT((tblY7[Class]=$B19)*(RIGHT(tblY7[#Headers],8)=CHAR(10)&amp;"Stanine")*ISNUMBER(tblY7[#Data])*(tblY7[#Data]&lt;=3))/SUMPRODUCT((tblY7[Class]=$B19)*(RIGHT(tblY7[#Headers],8)=CHAR(10)&amp;"Stanine")*ISNUMBER(tblY7[#Data])),""))</f>
        <v/>
      </c>
      <c r="K19" s="36" t="str">
        <f>IF($B19="","",IFERROR(IF(Calc!$AF$3="","",AVERAGEIFS(INDEX(tblY7[#Data],0,MATCH(Calc!$AF$3&amp;CHAR(10)&amp;"Raw Score",tblY7[#Headers],0)),tblY7[Class],$B19)/Calc!$AG$3),""))</f>
        <v/>
      </c>
      <c r="L19" s="34" t="str">
        <f>IF($B19="","",IFERROR(IF(Calc!$AF$3="","",AVERAGEIFS(INDEX(tblY7[#Data],0,MATCH(Calc!$AF$3&amp;CHAR(10)&amp;"Stanine",tblY7[#Headers],0)),tblY7[Class],$B19)),""))</f>
        <v/>
      </c>
      <c r="M19" s="36" t="str">
        <f>IF($B19="","",IFERROR(IF(Calc!$AF$3="","",(COUNTIFS(INDEX(tblY7[#Data],0,MATCH(Calc!$AF$3&amp;CHAR(10)&amp;"Raw Score",tblY7[#Headers],0)),"&gt;=0",tblY7[Class],$B19)+COUNTIFS(INDEX(tblY7[#Data],0,MATCH(Calc!$AF$3&amp;CHAR(10)&amp;"Raw Score",tblY7[#Headers],0)),"A",tblY7[Class],$B19))/COUNTIF(tblY7[Class],$B19)),""))</f>
        <v/>
      </c>
    </row>
    <row r="21" ht="22" customHeight="1">
      <c r="B21" s="22" t="inlineStr">
        <is>
          <t>Year 8</t>
        </is>
      </c>
      <c r="C21" s="23" t="str">
        <f>"Leaves "&amp;Settings!$C$16&amp;"   ·   "&amp;COUNTA(tblY8[Preferred Last name])&amp;" students   ·   "&amp;Calc!$AI$4&amp;" tests"</f>
        <v>Leaves 2030   ·   93 students   ·   5 tests</v>
      </c>
      <c r="D21" s="24" t="n"/>
      <c r="E21" s="24" t="n"/>
      <c r="F21" s="24" t="n"/>
      <c r="G21" s="24" t="n"/>
      <c r="H21" s="25" t="str">
        <f>IF(Calc!$AF$4="","No tests yet","Latest test: "&amp;Calc!$AF$4&amp;IF(ISNUMBER(Calc!$AH$4),"  ("&amp;TEXT(Calc!$AH$4,"dd/mm/yyyy")&amp;")",""))</f>
        <v>Latest test: 8P02 - Light  (18/11/2026)</v>
      </c>
      <c r="I21" s="24" t="n"/>
      <c r="J21" s="24" t="n"/>
      <c r="K21" s="24" t="n"/>
      <c r="L21" s="24" t="n"/>
      <c r="M21" s="24" t="n"/>
    </row>
    <row r="22" ht="30" customHeight="1">
      <c r="B22" s="7" t="inlineStr">
        <is>
          <t>Class</t>
        </is>
      </c>
      <c r="C22" s="7" t="inlineStr">
        <is>
          <t>Teacher</t>
        </is>
      </c>
      <c r="D22" s="7" t="inlineStr">
        <is>
          <t>Students</t>
        </is>
      </c>
      <c r="E22" s="7" t="inlineStr">
        <is>
          <t>KS2 band
(mean)</t>
        </is>
      </c>
      <c r="F22" s="7" t="inlineStr">
        <is>
          <t>Tests sat
(mean)</t>
        </is>
      </c>
      <c r="G22" s="7" t="inlineStr">
        <is>
          <t>Mean
stanine</t>
        </is>
      </c>
      <c r="H22" s="7" t="inlineStr">
        <is>
          <t>vs KS2
band</t>
        </is>
      </c>
      <c r="I22" s="7" t="inlineStr">
        <is>
          <t>Results at
stanine 7-9</t>
        </is>
      </c>
      <c r="J22" s="7" t="inlineStr">
        <is>
          <t>Results at
stanine 1-3</t>
        </is>
      </c>
      <c r="K22" s="7" t="inlineStr">
        <is>
          <t>Latest test
mean %</t>
        </is>
      </c>
      <c r="L22" s="7" t="inlineStr">
        <is>
          <t>Latest test
mean stanine</t>
        </is>
      </c>
      <c r="M22" s="7" t="inlineStr">
        <is>
          <t>Latest test
completion</t>
        </is>
      </c>
    </row>
    <row r="23">
      <c r="B23" s="26" t="inlineStr">
        <is>
          <t>Whole year</t>
        </is>
      </c>
      <c r="D23" s="27">
        <f>IFERROR(COUNTA(tblY8[Preferred Last name]),"")</f>
        <v>93</v>
      </c>
      <c r="E23" s="28">
        <f>IFERROR(AVERAGE(tblY8[Avg KS2 Band]),"")</f>
        <v>4.97849462365591</v>
      </c>
      <c r="F23" s="28">
        <f>IFERROR(AVERAGE(tblY8[Tests Sat]),"")</f>
        <v>4.33333333333333</v>
      </c>
      <c r="G23" s="28">
        <f>IFERROR(AVERAGE(tblY8[Mean Stanine]),"")</f>
        <v>4.94426523297491</v>
      </c>
      <c r="H23" s="29">
        <f>IFERROR(AVERAGE(tblY8[vs KS2 Band]),"")</f>
        <v>-0.0342293906810036</v>
      </c>
      <c r="I23" s="30">
        <f>IFERROR(SUMPRODUCT((RIGHT(tblY8[#Headers],8)=CHAR(10)&amp;"Stanine")*ISNUMBER(tblY8[#Data])*(tblY8[#Data]&gt;=7))/SUMPRODUCT((RIGHT(tblY8[#Headers],8)=CHAR(10)&amp;"Stanine")*ISNUMBER(tblY8[#Data])),"")</f>
        <v>0.270471464019851</v>
      </c>
      <c r="J23" s="30">
        <f>IFERROR(SUMPRODUCT((RIGHT(tblY8[#Headers],8)=CHAR(10)&amp;"Stanine")*ISNUMBER(tblY8[#Data])*(tblY8[#Data]&lt;=3))/SUMPRODUCT((RIGHT(tblY8[#Headers],8)=CHAR(10)&amp;"Stanine")*ISNUMBER(tblY8[#Data])),"")</f>
        <v>0.235732009925558</v>
      </c>
      <c r="K23" s="30">
        <f>IFERROR(IF(Calc!$AF$4="","",AVERAGE(INDEX(tblY8[#Data],0,MATCH(Calc!$AF$4&amp;CHAR(10)&amp;"Raw Score",tblY8[#Headers],0)))/Calc!$AG$4),"")</f>
        <v>0.511666666666667</v>
      </c>
      <c r="L23" s="28">
        <f>IFERROR(IF(Calc!$AF$4="","",AVERAGE(INDEX(tblY8[#Data],0,MATCH(Calc!$AF$4&amp;CHAR(10)&amp;"Stanine",tblY8[#Headers],0)))),"")</f>
        <v>5.02</v>
      </c>
      <c r="M23" s="30">
        <f>IFERROR(IF(Calc!$AF$4="","",(COUNTIFS(INDEX(tblY8[#Data],0,MATCH(Calc!$AF$4&amp;CHAR(10)&amp;"Raw Score",tblY8[#Headers],0)),"&gt;=0")+COUNTIFS(INDEX(tblY8[#Data],0,MATCH(Calc!$AF$4&amp;CHAR(10)&amp;"Raw Score",tblY8[#Headers],0)),"A"))/COUNTA(tblY8[Preferred Last name])),"")</f>
        <v>0.591397849462366</v>
      </c>
    </row>
    <row r="24">
      <c r="B24" s="31" t="str">
        <f>Calc!T3</f>
        <v>8A/Sc1</v>
      </c>
      <c r="C24" s="32" t="str">
        <f>IF($B24="","",IFERROR(INDEX(tblTeachers[Teacher],MATCH("Year 8"&amp;"|"&amp;$B24,tblTeachers[Key],0))&amp;"",""))</f>
        <v>Mr Owen</v>
      </c>
      <c r="D24" s="33">
        <f>IF($B24="","",IFERROR(COUNTIF(tblY8[Class],$B24),""))</f>
        <v>28</v>
      </c>
      <c r="E24" s="34">
        <f>IF($B24="","",IFERROR(AVERAGEIFS(tblY8[Avg KS2 Band],tblY8[Class],$B24),""))</f>
        <v>6.42857142857143</v>
      </c>
      <c r="F24" s="34">
        <f>IF($B24="","",IFERROR(AVERAGEIFS(tblY8[Tests Sat],tblY8[Class],$B24),""))</f>
        <v>4.64285714285714</v>
      </c>
      <c r="G24" s="34">
        <f>IF($B24="","",IFERROR(AVERAGEIFS(tblY8[Mean Stanine],tblY8[Class],$B24),""))</f>
        <v>6.39166666666667</v>
      </c>
      <c r="H24" s="35">
        <f>IF($B24="","",IFERROR(AVERAGEIFS(tblY8[vs KS2 Band],tblY8[Class],$B24),""))</f>
        <v>-0.0369047619047619</v>
      </c>
      <c r="I24" s="36">
        <f>IF($B24="","",IFERROR(SUMPRODUCT((tblY8[Class]=$B24)*(RIGHT(tblY8[#Headers],8)=CHAR(10)&amp;"Stanine")*ISNUMBER(tblY8[#Data])*(tblY8[#Data]&gt;=7))/SUMPRODUCT((tblY8[Class]=$B24)*(RIGHT(tblY8[#Headers],8)=CHAR(10)&amp;"Stanine")*ISNUMBER(tblY8[#Data])),""))</f>
        <v>0.523076923076923</v>
      </c>
      <c r="J24" s="36">
        <f>IF($B24="","",IFERROR(SUMPRODUCT((tblY8[Class]=$B24)*(RIGHT(tblY8[#Headers],8)=CHAR(10)&amp;"Stanine")*ISNUMBER(tblY8[#Data])*(tblY8[#Data]&lt;=3))/SUMPRODUCT((tblY8[Class]=$B24)*(RIGHT(tblY8[#Headers],8)=CHAR(10)&amp;"Stanine")*ISNUMBER(tblY8[#Data])),""))</f>
        <v>0.0153846153846154</v>
      </c>
      <c r="K24" s="36">
        <f>IF($B24="","",IFERROR(IF(Calc!$AF$4="","",AVERAGEIFS(INDEX(tblY8[#Data],0,MATCH(Calc!$AF$4&amp;CHAR(10)&amp;"Raw Score",tblY8[#Headers],0)),tblY8[Class],$B24)/Calc!$AG$4),""))</f>
        <v>0.628472222222222</v>
      </c>
      <c r="L24" s="34">
        <f>IF($B24="","",IFERROR(IF(Calc!$AF$4="","",AVERAGEIFS(INDEX(tblY8[#Data],0,MATCH(Calc!$AF$4&amp;CHAR(10)&amp;"Stanine",tblY8[#Headers],0)),tblY8[Class],$B24)),""))</f>
        <v>6.125</v>
      </c>
      <c r="M24" s="36">
        <f>IF($B24="","",IFERROR(IF(Calc!$AF$4="","",(COUNTIFS(INDEX(tblY8[#Data],0,MATCH(Calc!$AF$4&amp;CHAR(10)&amp;"Raw Score",tblY8[#Headers],0)),"&gt;=0",tblY8[Class],$B24)+COUNTIFS(INDEX(tblY8[#Data],0,MATCH(Calc!$AF$4&amp;CHAR(10)&amp;"Raw Score",tblY8[#Headers],0)),"A",tblY8[Class],$B24))/COUNTIF(tblY8[Class],$B24)),""))</f>
        <v>1</v>
      </c>
    </row>
    <row r="25">
      <c r="B25" s="31" t="str">
        <f>Calc!T4</f>
        <v>8A/Sc2</v>
      </c>
      <c r="C25" s="32" t="str">
        <f>IF($B25="","",IFERROR(INDEX(tblTeachers[Teacher],MATCH("Year 8"&amp;"|"&amp;$B25,tblTeachers[Key],0))&amp;"",""))</f>
        <v>Mr Hughes</v>
      </c>
      <c r="D25" s="33">
        <f>IF($B25="","",IFERROR(COUNTIF(tblY8[Class],$B25),""))</f>
        <v>25</v>
      </c>
      <c r="E25" s="34">
        <f>IF($B25="","",IFERROR(AVERAGEIFS(tblY8[Avg KS2 Band],tblY8[Class],$B25),""))</f>
        <v>4.8</v>
      </c>
      <c r="F25" s="34">
        <f>IF($B25="","",IFERROR(AVERAGEIFS(tblY8[Tests Sat],tblY8[Class],$B25),""))</f>
        <v>4.76</v>
      </c>
      <c r="G25" s="34">
        <f>IF($B25="","",IFERROR(AVERAGEIFS(tblY8[Mean Stanine],tblY8[Class],$B25),""))</f>
        <v>4.586</v>
      </c>
      <c r="H25" s="35">
        <f>IF($B25="","",IFERROR(AVERAGEIFS(tblY8[vs KS2 Band],tblY8[Class],$B25),""))</f>
        <v>-0.214</v>
      </c>
      <c r="I25" s="36">
        <f>IF($B25="","",IFERROR(SUMPRODUCT((tblY8[Class]=$B25)*(RIGHT(tblY8[#Headers],8)=CHAR(10)&amp;"Stanine")*ISNUMBER(tblY8[#Data])*(tblY8[#Data]&gt;=7))/SUMPRODUCT((tblY8[Class]=$B25)*(RIGHT(tblY8[#Headers],8)=CHAR(10)&amp;"Stanine")*ISNUMBER(tblY8[#Data])),""))</f>
        <v>0.176470588235294</v>
      </c>
      <c r="J25" s="36">
        <f>IF($B25="","",IFERROR(SUMPRODUCT((tblY8[Class]=$B25)*(RIGHT(tblY8[#Headers],8)=CHAR(10)&amp;"Stanine")*ISNUMBER(tblY8[#Data])*(tblY8[#Data]&lt;=3))/SUMPRODUCT((tblY8[Class]=$B25)*(RIGHT(tblY8[#Headers],8)=CHAR(10)&amp;"Stanine")*ISNUMBER(tblY8[#Data])),""))</f>
        <v>0.285714285714286</v>
      </c>
      <c r="K25" s="36">
        <f>IF($B25="","",IFERROR(IF(Calc!$AF$4="","",AVERAGEIFS(INDEX(tblY8[#Data],0,MATCH(Calc!$AF$4&amp;CHAR(10)&amp;"Raw Score",tblY8[#Headers],0)),tblY8[Class],$B25)/Calc!$AG$4),""))</f>
        <v>0.420138888888889</v>
      </c>
      <c r="L25" s="34">
        <f>IF($B25="","",IFERROR(IF(Calc!$AF$4="","",AVERAGEIFS(INDEX(tblY8[#Data],0,MATCH(Calc!$AF$4&amp;CHAR(10)&amp;"Stanine",tblY8[#Headers],0)),tblY8[Class],$B25)),""))</f>
        <v>4.16666666666667</v>
      </c>
      <c r="M25" s="36">
        <f>IF($B25="","",IFERROR(IF(Calc!$AF$4="","",(COUNTIFS(INDEX(tblY8[#Data],0,MATCH(Calc!$AF$4&amp;CHAR(10)&amp;"Raw Score",tblY8[#Headers],0)),"&gt;=0",tblY8[Class],$B25)+COUNTIFS(INDEX(tblY8[#Data],0,MATCH(Calc!$AF$4&amp;CHAR(10)&amp;"Raw Score",tblY8[#Headers],0)),"A",tblY8[Class],$B25))/COUNTIF(tblY8[Class],$B25)),""))</f>
        <v>1</v>
      </c>
    </row>
    <row r="26">
      <c r="B26" s="31" t="str">
        <f>Calc!T5</f>
        <v>8A/Sc3</v>
      </c>
      <c r="C26" s="32" t="str">
        <f>IF($B26="","",IFERROR(INDEX(tblTeachers[Teacher],MATCH("Year 8"&amp;"|"&amp;$B26,tblTeachers[Key],0))&amp;"",""))</f>
        <v>Mr Owen</v>
      </c>
      <c r="D26" s="33">
        <f>IF($B26="","",IFERROR(COUNTIF(tblY8[Class],$B26),""))</f>
        <v>22</v>
      </c>
      <c r="E26" s="34">
        <f>IF($B26="","",IFERROR(AVERAGEIFS(tblY8[Avg KS2 Band],tblY8[Class],$B26),""))</f>
        <v>4.86363636363636</v>
      </c>
      <c r="F26" s="34">
        <f>IF($B26="","",IFERROR(AVERAGEIFS(tblY8[Tests Sat],tblY8[Class],$B26),""))</f>
        <v>3.81818181818182</v>
      </c>
      <c r="G26" s="34">
        <f>IF($B26="","",IFERROR(AVERAGEIFS(tblY8[Mean Stanine],tblY8[Class],$B26),""))</f>
        <v>4.875</v>
      </c>
      <c r="H26" s="35">
        <f>IF($B26="","",IFERROR(AVERAGEIFS(tblY8[vs KS2 Band],tblY8[Class],$B26),""))</f>
        <v>0.0113636363636364</v>
      </c>
      <c r="I26" s="36">
        <f>IF($B26="","",IFERROR(SUMPRODUCT((tblY8[Class]=$B26)*(RIGHT(tblY8[#Headers],8)=CHAR(10)&amp;"Stanine")*ISNUMBER(tblY8[#Data])*(tblY8[#Data]&gt;=7))/SUMPRODUCT((tblY8[Class]=$B26)*(RIGHT(tblY8[#Headers],8)=CHAR(10)&amp;"Stanine")*ISNUMBER(tblY8[#Data])),""))</f>
        <v>0.202380952380952</v>
      </c>
      <c r="J26" s="36">
        <f>IF($B26="","",IFERROR(SUMPRODUCT((tblY8[Class]=$B26)*(RIGHT(tblY8[#Headers],8)=CHAR(10)&amp;"Stanine")*ISNUMBER(tblY8[#Data])*(tblY8[#Data]&lt;=3))/SUMPRODUCT((tblY8[Class]=$B26)*(RIGHT(tblY8[#Headers],8)=CHAR(10)&amp;"Stanine")*ISNUMBER(tblY8[#Data])),""))</f>
        <v>0.226190476190476</v>
      </c>
      <c r="K26" s="36" t="str">
        <f>IF($B26="","",IFERROR(IF(Calc!$AF$4="","",AVERAGEIFS(INDEX(tblY8[#Data],0,MATCH(Calc!$AF$4&amp;CHAR(10)&amp;"Raw Score",tblY8[#Headers],0)),tblY8[Class],$B26)/Calc!$AG$4),""))</f>
        <v/>
      </c>
      <c r="L26" s="34" t="str">
        <f>IF($B26="","",IFERROR(IF(Calc!$AF$4="","",AVERAGEIFS(INDEX(tblY8[#Data],0,MATCH(Calc!$AF$4&amp;CHAR(10)&amp;"Stanine",tblY8[#Headers],0)),tblY8[Class],$B26)),""))</f>
        <v/>
      </c>
      <c r="M26" s="36">
        <f>IF($B26="","",IFERROR(IF(Calc!$AF$4="","",(COUNTIFS(INDEX(tblY8[#Data],0,MATCH(Calc!$AF$4&amp;CHAR(10)&amp;"Raw Score",tblY8[#Headers],0)),"&gt;=0",tblY8[Class],$B26)+COUNTIFS(INDEX(tblY8[#Data],0,MATCH(Calc!$AF$4&amp;CHAR(10)&amp;"Raw Score",tblY8[#Headers],0)),"A",tblY8[Class],$B26))/COUNTIF(tblY8[Class],$B26)),""))</f>
        <v>0</v>
      </c>
    </row>
    <row r="27">
      <c r="B27" s="31" t="str">
        <f>Calc!T6</f>
        <v>8A/Sc4</v>
      </c>
      <c r="C27" s="32" t="str">
        <f>IF($B27="","",IFERROR(INDEX(tblTeachers[Teacher],MATCH("Year 8"&amp;"|"&amp;$B27,tblTeachers[Key],0))&amp;"",""))</f>
        <v>Ms Adeyemi</v>
      </c>
      <c r="D27" s="33">
        <f>IF($B27="","",IFERROR(COUNTIF(tblY8[Class],$B27),""))</f>
        <v>16</v>
      </c>
      <c r="E27" s="34">
        <f>IF($B27="","",IFERROR(AVERAGEIFS(tblY8[Avg KS2 Band],tblY8[Class],$B27),""))</f>
        <v>3.3125</v>
      </c>
      <c r="F27" s="34">
        <f>IF($B27="","",IFERROR(AVERAGEIFS(tblY8[Tests Sat],tblY8[Class],$B27),""))</f>
        <v>3.8125</v>
      </c>
      <c r="G27" s="34">
        <f>IF($B27="","",IFERROR(AVERAGEIFS(tblY8[Mean Stanine],tblY8[Class],$B27),""))</f>
        <v>3.421875</v>
      </c>
      <c r="H27" s="35">
        <f>IF($B27="","",IFERROR(AVERAGEIFS(tblY8[vs KS2 Band],tblY8[Class],$B27),""))</f>
        <v>0.109375</v>
      </c>
      <c r="I27" s="36">
        <f>IF($B27="","",IFERROR(SUMPRODUCT((tblY8[Class]=$B27)*(RIGHT(tblY8[#Headers],8)=CHAR(10)&amp;"Stanine")*ISNUMBER(tblY8[#Data])*(tblY8[#Data]&gt;=7))/SUMPRODUCT((tblY8[Class]=$B27)*(RIGHT(tblY8[#Headers],8)=CHAR(10)&amp;"Stanine")*ISNUMBER(tblY8[#Data])),""))</f>
        <v>0.0491803278688525</v>
      </c>
      <c r="J27" s="36">
        <f>IF($B27="","",IFERROR(SUMPRODUCT((tblY8[Class]=$B27)*(RIGHT(tblY8[#Headers],8)=CHAR(10)&amp;"Stanine")*ISNUMBER(tblY8[#Data])*(tblY8[#Data]&lt;=3))/SUMPRODUCT((tblY8[Class]=$B27)*(RIGHT(tblY8[#Headers],8)=CHAR(10)&amp;"Stanine")*ISNUMBER(tblY8[#Data])),""))</f>
        <v>0.524590163934426</v>
      </c>
      <c r="K27" s="36" t="str">
        <f>IF($B27="","",IFERROR(IF(Calc!$AF$4="","",AVERAGEIFS(INDEX(tblY8[#Data],0,MATCH(Calc!$AF$4&amp;CHAR(10)&amp;"Raw Score",tblY8[#Headers],0)),tblY8[Class],$B27)/Calc!$AG$4),""))</f>
        <v/>
      </c>
      <c r="L27" s="34" t="str">
        <f>IF($B27="","",IFERROR(IF(Calc!$AF$4="","",AVERAGEIFS(INDEX(tblY8[#Data],0,MATCH(Calc!$AF$4&amp;CHAR(10)&amp;"Stanine",tblY8[#Headers],0)),tblY8[Class],$B27)),""))</f>
        <v/>
      </c>
      <c r="M27" s="36">
        <f>IF($B27="","",IFERROR(IF(Calc!$AF$4="","",(COUNTIFS(INDEX(tblY8[#Data],0,MATCH(Calc!$AF$4&amp;CHAR(10)&amp;"Raw Score",tblY8[#Headers],0)),"&gt;=0",tblY8[Class],$B27)+COUNTIFS(INDEX(tblY8[#Data],0,MATCH(Calc!$AF$4&amp;CHAR(10)&amp;"Raw Score",tblY8[#Headers],0)),"A",tblY8[Class],$B27))/COUNTIF(tblY8[Class],$B27)),""))</f>
        <v>0</v>
      </c>
    </row>
    <row r="28">
      <c r="B28" s="31" t="str">
        <f>Calc!T7</f>
        <v>Science Support</v>
      </c>
      <c r="C28" s="32" t="str">
        <f>IF($B28="","",IFERROR(INDEX(tblTeachers[Teacher],MATCH("Year 8"&amp;"|"&amp;$B28,tblTeachers[Key],0))&amp;"",""))</f>
        <v>Mrs Evans</v>
      </c>
      <c r="D28" s="33">
        <f>IF($B28="","",IFERROR(COUNTIF(tblY8[Class],$B28),""))</f>
        <v>2</v>
      </c>
      <c r="E28" s="34">
        <f>IF($B28="","",IFERROR(AVERAGEIFS(tblY8[Avg KS2 Band],tblY8[Class],$B28),""))</f>
        <v>1.5</v>
      </c>
      <c r="F28" s="34">
        <f>IF($B28="","",IFERROR(AVERAGEIFS(tblY8[Tests Sat],tblY8[Class],$B28),""))</f>
        <v>4.5</v>
      </c>
      <c r="G28" s="34">
        <f>IF($B28="","",IFERROR(AVERAGEIFS(tblY8[Mean Stanine],tblY8[Class],$B28),""))</f>
        <v>2.1</v>
      </c>
      <c r="H28" s="35">
        <f>IF($B28="","",IFERROR(AVERAGEIFS(tblY8[vs KS2 Band],tblY8[Class],$B28),""))</f>
        <v>0.6</v>
      </c>
      <c r="I28" s="36">
        <f>IF($B28="","",IFERROR(SUMPRODUCT((tblY8[Class]=$B28)*(RIGHT(tblY8[#Headers],8)=CHAR(10)&amp;"Stanine")*ISNUMBER(tblY8[#Data])*(tblY8[#Data]&gt;=7))/SUMPRODUCT((tblY8[Class]=$B28)*(RIGHT(tblY8[#Headers],8)=CHAR(10)&amp;"Stanine")*ISNUMBER(tblY8[#Data])),""))</f>
        <v>0</v>
      </c>
      <c r="J28" s="36">
        <f>IF($B28="","",IFERROR(SUMPRODUCT((tblY8[Class]=$B28)*(RIGHT(tblY8[#Headers],8)=CHAR(10)&amp;"Stanine")*ISNUMBER(tblY8[#Data])*(tblY8[#Data]&lt;=3))/SUMPRODUCT((tblY8[Class]=$B28)*(RIGHT(tblY8[#Headers],8)=CHAR(10)&amp;"Stanine")*ISNUMBER(tblY8[#Data])),""))</f>
        <v>0.888888888888889</v>
      </c>
      <c r="K28" s="36">
        <f>IF($B28="","",IFERROR(IF(Calc!$AF$4="","",AVERAGEIFS(INDEX(tblY8[#Data],0,MATCH(Calc!$AF$4&amp;CHAR(10)&amp;"Raw Score",tblY8[#Headers],0)),tblY8[Class],$B28)/Calc!$AG$4),""))</f>
        <v>0.208333333333333</v>
      </c>
      <c r="L28" s="34">
        <f>IF($B28="","",IFERROR(IF(Calc!$AF$4="","",AVERAGEIFS(INDEX(tblY8[#Data],0,MATCH(Calc!$AF$4&amp;CHAR(10)&amp;"Stanine",tblY8[#Headers],0)),tblY8[Class],$B28)),""))</f>
        <v>2</v>
      </c>
      <c r="M28" s="36">
        <f>IF($B28="","",IFERROR(IF(Calc!$AF$4="","",(COUNTIFS(INDEX(tblY8[#Data],0,MATCH(Calc!$AF$4&amp;CHAR(10)&amp;"Raw Score",tblY8[#Headers],0)),"&gt;=0",tblY8[Class],$B28)+COUNTIFS(INDEX(tblY8[#Data],0,MATCH(Calc!$AF$4&amp;CHAR(10)&amp;"Raw Score",tblY8[#Headers],0)),"A",tblY8[Class],$B28))/COUNTIF(tblY8[Class],$B28)),""))</f>
        <v>1</v>
      </c>
    </row>
    <row r="29">
      <c r="B29" s="31" t="str">
        <f>Calc!T8</f>
        <v/>
      </c>
      <c r="C29" s="32" t="str">
        <f>IF($B29="","",IFERROR(INDEX(tblTeachers[Teacher],MATCH("Year 8"&amp;"|"&amp;$B29,tblTeachers[Key],0))&amp;"",""))</f>
        <v/>
      </c>
      <c r="D29" s="33" t="str">
        <f>IF($B29="","",IFERROR(COUNTIF(tblY8[Class],$B29),""))</f>
        <v/>
      </c>
      <c r="E29" s="34" t="str">
        <f>IF($B29="","",IFERROR(AVERAGEIFS(tblY8[Avg KS2 Band],tblY8[Class],$B29),""))</f>
        <v/>
      </c>
      <c r="F29" s="34" t="str">
        <f>IF($B29="","",IFERROR(AVERAGEIFS(tblY8[Tests Sat],tblY8[Class],$B29),""))</f>
        <v/>
      </c>
      <c r="G29" s="34" t="str">
        <f>IF($B29="","",IFERROR(AVERAGEIFS(tblY8[Mean Stanine],tblY8[Class],$B29),""))</f>
        <v/>
      </c>
      <c r="H29" s="35" t="str">
        <f>IF($B29="","",IFERROR(AVERAGEIFS(tblY8[vs KS2 Band],tblY8[Class],$B29),""))</f>
        <v/>
      </c>
      <c r="I29" s="36" t="str">
        <f>IF($B29="","",IFERROR(SUMPRODUCT((tblY8[Class]=$B29)*(RIGHT(tblY8[#Headers],8)=CHAR(10)&amp;"Stanine")*ISNUMBER(tblY8[#Data])*(tblY8[#Data]&gt;=7))/SUMPRODUCT((tblY8[Class]=$B29)*(RIGHT(tblY8[#Headers],8)=CHAR(10)&amp;"Stanine")*ISNUMBER(tblY8[#Data])),""))</f>
        <v/>
      </c>
      <c r="J29" s="36" t="str">
        <f>IF($B29="","",IFERROR(SUMPRODUCT((tblY8[Class]=$B29)*(RIGHT(tblY8[#Headers],8)=CHAR(10)&amp;"Stanine")*ISNUMBER(tblY8[#Data])*(tblY8[#Data]&lt;=3))/SUMPRODUCT((tblY8[Class]=$B29)*(RIGHT(tblY8[#Headers],8)=CHAR(10)&amp;"Stanine")*ISNUMBER(tblY8[#Data])),""))</f>
        <v/>
      </c>
      <c r="K29" s="36" t="str">
        <f>IF($B29="","",IFERROR(IF(Calc!$AF$4="","",AVERAGEIFS(INDEX(tblY8[#Data],0,MATCH(Calc!$AF$4&amp;CHAR(10)&amp;"Raw Score",tblY8[#Headers],0)),tblY8[Class],$B29)/Calc!$AG$4),""))</f>
        <v/>
      </c>
      <c r="L29" s="34" t="str">
        <f>IF($B29="","",IFERROR(IF(Calc!$AF$4="","",AVERAGEIFS(INDEX(tblY8[#Data],0,MATCH(Calc!$AF$4&amp;CHAR(10)&amp;"Stanine",tblY8[#Headers],0)),tblY8[Class],$B29)),""))</f>
        <v/>
      </c>
      <c r="M29" s="36" t="str">
        <f>IF($B29="","",IFERROR(IF(Calc!$AF$4="","",(COUNTIFS(INDEX(tblY8[#Data],0,MATCH(Calc!$AF$4&amp;CHAR(10)&amp;"Raw Score",tblY8[#Headers],0)),"&gt;=0",tblY8[Class],$B29)+COUNTIFS(INDEX(tblY8[#Data],0,MATCH(Calc!$AF$4&amp;CHAR(10)&amp;"Raw Score",tblY8[#Headers],0)),"A",tblY8[Class],$B29))/COUNTIF(tblY8[Class],$B29)),""))</f>
        <v/>
      </c>
    </row>
    <row r="30">
      <c r="B30" s="31" t="str">
        <f>Calc!T9</f>
        <v/>
      </c>
      <c r="C30" s="32" t="str">
        <f>IF($B30="","",IFERROR(INDEX(tblTeachers[Teacher],MATCH("Year 8"&amp;"|"&amp;$B30,tblTeachers[Key],0))&amp;"",""))</f>
        <v/>
      </c>
      <c r="D30" s="33" t="str">
        <f>IF($B30="","",IFERROR(COUNTIF(tblY8[Class],$B30),""))</f>
        <v/>
      </c>
      <c r="E30" s="34" t="str">
        <f>IF($B30="","",IFERROR(AVERAGEIFS(tblY8[Avg KS2 Band],tblY8[Class],$B30),""))</f>
        <v/>
      </c>
      <c r="F30" s="34" t="str">
        <f>IF($B30="","",IFERROR(AVERAGEIFS(tblY8[Tests Sat],tblY8[Class],$B30),""))</f>
        <v/>
      </c>
      <c r="G30" s="34" t="str">
        <f>IF($B30="","",IFERROR(AVERAGEIFS(tblY8[Mean Stanine],tblY8[Class],$B30),""))</f>
        <v/>
      </c>
      <c r="H30" s="35" t="str">
        <f>IF($B30="","",IFERROR(AVERAGEIFS(tblY8[vs KS2 Band],tblY8[Class],$B30),""))</f>
        <v/>
      </c>
      <c r="I30" s="36" t="str">
        <f>IF($B30="","",IFERROR(SUMPRODUCT((tblY8[Class]=$B30)*(RIGHT(tblY8[#Headers],8)=CHAR(10)&amp;"Stanine")*ISNUMBER(tblY8[#Data])*(tblY8[#Data]&gt;=7))/SUMPRODUCT((tblY8[Class]=$B30)*(RIGHT(tblY8[#Headers],8)=CHAR(10)&amp;"Stanine")*ISNUMBER(tblY8[#Data])),""))</f>
        <v/>
      </c>
      <c r="J30" s="36" t="str">
        <f>IF($B30="","",IFERROR(SUMPRODUCT((tblY8[Class]=$B30)*(RIGHT(tblY8[#Headers],8)=CHAR(10)&amp;"Stanine")*ISNUMBER(tblY8[#Data])*(tblY8[#Data]&lt;=3))/SUMPRODUCT((tblY8[Class]=$B30)*(RIGHT(tblY8[#Headers],8)=CHAR(10)&amp;"Stanine")*ISNUMBER(tblY8[#Data])),""))</f>
        <v/>
      </c>
      <c r="K30" s="36" t="str">
        <f>IF($B30="","",IFERROR(IF(Calc!$AF$4="","",AVERAGEIFS(INDEX(tblY8[#Data],0,MATCH(Calc!$AF$4&amp;CHAR(10)&amp;"Raw Score",tblY8[#Headers],0)),tblY8[Class],$B30)/Calc!$AG$4),""))</f>
        <v/>
      </c>
      <c r="L30" s="34" t="str">
        <f>IF($B30="","",IFERROR(IF(Calc!$AF$4="","",AVERAGEIFS(INDEX(tblY8[#Data],0,MATCH(Calc!$AF$4&amp;CHAR(10)&amp;"Stanine",tblY8[#Headers],0)),tblY8[Class],$B30)),""))</f>
        <v/>
      </c>
      <c r="M30" s="36" t="str">
        <f>IF($B30="","",IFERROR(IF(Calc!$AF$4="","",(COUNTIFS(INDEX(tblY8[#Data],0,MATCH(Calc!$AF$4&amp;CHAR(10)&amp;"Raw Score",tblY8[#Headers],0)),"&gt;=0",tblY8[Class],$B30)+COUNTIFS(INDEX(tblY8[#Data],0,MATCH(Calc!$AF$4&amp;CHAR(10)&amp;"Raw Score",tblY8[#Headers],0)),"A",tblY8[Class],$B30))/COUNTIF(tblY8[Class],$B30)),""))</f>
        <v/>
      </c>
    </row>
    <row r="31">
      <c r="B31" s="31" t="str">
        <f>Calc!T10</f>
        <v/>
      </c>
      <c r="C31" s="32" t="str">
        <f>IF($B31="","",IFERROR(INDEX(tblTeachers[Teacher],MATCH("Year 8"&amp;"|"&amp;$B31,tblTeachers[Key],0))&amp;"",""))</f>
        <v/>
      </c>
      <c r="D31" s="33" t="str">
        <f>IF($B31="","",IFERROR(COUNTIF(tblY8[Class],$B31),""))</f>
        <v/>
      </c>
      <c r="E31" s="34" t="str">
        <f>IF($B31="","",IFERROR(AVERAGEIFS(tblY8[Avg KS2 Band],tblY8[Class],$B31),""))</f>
        <v/>
      </c>
      <c r="F31" s="34" t="str">
        <f>IF($B31="","",IFERROR(AVERAGEIFS(tblY8[Tests Sat],tblY8[Class],$B31),""))</f>
        <v/>
      </c>
      <c r="G31" s="34" t="str">
        <f>IF($B31="","",IFERROR(AVERAGEIFS(tblY8[Mean Stanine],tblY8[Class],$B31),""))</f>
        <v/>
      </c>
      <c r="H31" s="35" t="str">
        <f>IF($B31="","",IFERROR(AVERAGEIFS(tblY8[vs KS2 Band],tblY8[Class],$B31),""))</f>
        <v/>
      </c>
      <c r="I31" s="36" t="str">
        <f>IF($B31="","",IFERROR(SUMPRODUCT((tblY8[Class]=$B31)*(RIGHT(tblY8[#Headers],8)=CHAR(10)&amp;"Stanine")*ISNUMBER(tblY8[#Data])*(tblY8[#Data]&gt;=7))/SUMPRODUCT((tblY8[Class]=$B31)*(RIGHT(tblY8[#Headers],8)=CHAR(10)&amp;"Stanine")*ISNUMBER(tblY8[#Data])),""))</f>
        <v/>
      </c>
      <c r="J31" s="36" t="str">
        <f>IF($B31="","",IFERROR(SUMPRODUCT((tblY8[Class]=$B31)*(RIGHT(tblY8[#Headers],8)=CHAR(10)&amp;"Stanine")*ISNUMBER(tblY8[#Data])*(tblY8[#Data]&lt;=3))/SUMPRODUCT((tblY8[Class]=$B31)*(RIGHT(tblY8[#Headers],8)=CHAR(10)&amp;"Stanine")*ISNUMBER(tblY8[#Data])),""))</f>
        <v/>
      </c>
      <c r="K31" s="36" t="str">
        <f>IF($B31="","",IFERROR(IF(Calc!$AF$4="","",AVERAGEIFS(INDEX(tblY8[#Data],0,MATCH(Calc!$AF$4&amp;CHAR(10)&amp;"Raw Score",tblY8[#Headers],0)),tblY8[Class],$B31)/Calc!$AG$4),""))</f>
        <v/>
      </c>
      <c r="L31" s="34" t="str">
        <f>IF($B31="","",IFERROR(IF(Calc!$AF$4="","",AVERAGEIFS(INDEX(tblY8[#Data],0,MATCH(Calc!$AF$4&amp;CHAR(10)&amp;"Stanine",tblY8[#Headers],0)),tblY8[Class],$B31)),""))</f>
        <v/>
      </c>
      <c r="M31" s="36" t="str">
        <f>IF($B31="","",IFERROR(IF(Calc!$AF$4="","",(COUNTIFS(INDEX(tblY8[#Data],0,MATCH(Calc!$AF$4&amp;CHAR(10)&amp;"Raw Score",tblY8[#Headers],0)),"&gt;=0",tblY8[Class],$B31)+COUNTIFS(INDEX(tblY8[#Data],0,MATCH(Calc!$AF$4&amp;CHAR(10)&amp;"Raw Score",tblY8[#Headers],0)),"A",tblY8[Class],$B31))/COUNTIF(tblY8[Class],$B31)),""))</f>
        <v/>
      </c>
    </row>
    <row r="33" ht="22" customHeight="1">
      <c r="B33" s="22" t="inlineStr">
        <is>
          <t>Year 9</t>
        </is>
      </c>
      <c r="C33" s="23" t="str">
        <f>"Leaves "&amp;Settings!$C$17&amp;"   ·   "&amp;COUNTA(tblY9[Preferred Last name])&amp;" students   ·   "&amp;Calc!$AI$5&amp;" tests"</f>
        <v>Leaves 2029   ·   125 students   ·   4 tests</v>
      </c>
      <c r="D33" s="24" t="n"/>
      <c r="E33" s="24" t="n"/>
      <c r="F33" s="24" t="n"/>
      <c r="G33" s="24" t="n"/>
      <c r="H33" s="25" t="str">
        <f>IF(Calc!$AF$5="","No tests yet","Latest test: "&amp;Calc!$AF$5&amp;IF(ISNUMBER(Calc!$AH$5),"  ("&amp;TEXT(Calc!$AH$5,"dd/mm/yyyy")&amp;")",""))</f>
        <v>Latest test: 9B02 - Ecology  (05/11/2026)</v>
      </c>
      <c r="I33" s="24" t="n"/>
      <c r="J33" s="24" t="n"/>
      <c r="K33" s="24" t="n"/>
      <c r="L33" s="24" t="n"/>
      <c r="M33" s="24" t="n"/>
    </row>
    <row r="34" ht="30" customHeight="1">
      <c r="B34" s="7" t="inlineStr">
        <is>
          <t>Class</t>
        </is>
      </c>
      <c r="C34" s="7" t="inlineStr">
        <is>
          <t>Teacher</t>
        </is>
      </c>
      <c r="D34" s="7" t="inlineStr">
        <is>
          <t>Students</t>
        </is>
      </c>
      <c r="E34" s="7" t="inlineStr">
        <is>
          <t>KS2 band
(mean)</t>
        </is>
      </c>
      <c r="F34" s="7" t="inlineStr">
        <is>
          <t>Tests sat
(mean)</t>
        </is>
      </c>
      <c r="G34" s="7" t="inlineStr">
        <is>
          <t>Mean
stanine</t>
        </is>
      </c>
      <c r="H34" s="7" t="inlineStr">
        <is>
          <t>vs KS2
band</t>
        </is>
      </c>
      <c r="I34" s="7" t="inlineStr">
        <is>
          <t>Results at
stanine 7-9</t>
        </is>
      </c>
      <c r="J34" s="7" t="inlineStr">
        <is>
          <t>Results at
stanine 1-3</t>
        </is>
      </c>
      <c r="K34" s="7" t="inlineStr">
        <is>
          <t>Latest test
mean %</t>
        </is>
      </c>
      <c r="L34" s="7" t="inlineStr">
        <is>
          <t>Latest test
mean stanine</t>
        </is>
      </c>
      <c r="M34" s="7" t="inlineStr">
        <is>
          <t>Latest test
completion</t>
        </is>
      </c>
    </row>
    <row r="35">
      <c r="B35" s="26" t="inlineStr">
        <is>
          <t>Whole year</t>
        </is>
      </c>
      <c r="D35" s="27">
        <f>IFERROR(COUNTA(tblY9[Preferred Last name]),"")</f>
        <v>125</v>
      </c>
      <c r="E35" s="28">
        <f>IFERROR(AVERAGE(tblY9[Avg KS2 Band]),"")</f>
        <v>5.00806451612903</v>
      </c>
      <c r="F35" s="28">
        <f>IFERROR(AVERAGE(tblY9[Tests Sat]),"")</f>
        <v>3.888</v>
      </c>
      <c r="G35" s="28">
        <f>IFERROR(AVERAGE(tblY9[Mean Stanine]),"")</f>
        <v>5.02133333333333</v>
      </c>
      <c r="H35" s="29">
        <f>IFERROR(AVERAGE(tblY9[vs KS2 Band]),"")</f>
        <v>0.0114247311827957</v>
      </c>
      <c r="I35" s="30">
        <f>IFERROR(SUMPRODUCT((RIGHT(tblY9[#Headers],8)=CHAR(10)&amp;"Stanine")*ISNUMBER(tblY9[#Data])*(tblY9[#Data]&gt;=7))/SUMPRODUCT((RIGHT(tblY9[#Headers],8)=CHAR(10)&amp;"Stanine")*ISNUMBER(tblY9[#Data])),"")</f>
        <v>0.273662551440329</v>
      </c>
      <c r="J35" s="30">
        <f>IFERROR(SUMPRODUCT((RIGHT(tblY9[#Headers],8)=CHAR(10)&amp;"Stanine")*ISNUMBER(tblY9[#Data])*(tblY9[#Data]&lt;=3))/SUMPRODUCT((RIGHT(tblY9[#Headers],8)=CHAR(10)&amp;"Stanine")*ISNUMBER(tblY9[#Data])),"")</f>
        <v>0.261316872427984</v>
      </c>
      <c r="K35" s="30">
        <f>IFERROR(IF(Calc!$AF$5="","",AVERAGE(INDEX(tblY9[#Data],0,MATCH(Calc!$AF$5&amp;CHAR(10)&amp;"Raw Score",tblY9[#Headers],0)))/Calc!$AG$5),"")</f>
        <v>0.632131147540984</v>
      </c>
      <c r="L35" s="28">
        <f>IFERROR(IF(Calc!$AF$5="","",AVERAGE(INDEX(tblY9[#Data],0,MATCH(Calc!$AF$5&amp;CHAR(10)&amp;"Stanine",tblY9[#Headers],0)))),"")</f>
        <v>5.09016393442623</v>
      </c>
      <c r="M35" s="30">
        <f>IFERROR(IF(Calc!$AF$5="","",(COUNTIFS(INDEX(tblY9[#Data],0,MATCH(Calc!$AF$5&amp;CHAR(10)&amp;"Raw Score",tblY9[#Headers],0)),"&gt;=0")+COUNTIFS(INDEX(tblY9[#Data],0,MATCH(Calc!$AF$5&amp;CHAR(10)&amp;"Raw Score",tblY9[#Headers],0)),"A"))/COUNTA(tblY9[Preferred Last name])),"")</f>
        <v>1</v>
      </c>
    </row>
    <row r="36">
      <c r="B36" s="31" t="str">
        <f>Calc!U3</f>
        <v>9A/Sc1</v>
      </c>
      <c r="C36" s="32" t="str">
        <f>IF($B36="","",IFERROR(INDEX(tblTeachers[Teacher],MATCH("Year 9"&amp;"|"&amp;$B36,tblTeachers[Key],0))&amp;"",""))</f>
        <v>Ms Rahman</v>
      </c>
      <c r="D36" s="33">
        <f>IF($B36="","",IFERROR(COUNTIF(tblY9[Class],$B36),""))</f>
        <v>22</v>
      </c>
      <c r="E36" s="34">
        <f>IF($B36="","",IFERROR(AVERAGEIFS(tblY9[Avg KS2 Band],tblY9[Class],$B36),""))</f>
        <v>5.86363636363636</v>
      </c>
      <c r="F36" s="34">
        <f>IF($B36="","",IFERROR(AVERAGEIFS(tblY9[Tests Sat],tblY9[Class],$B36),""))</f>
        <v>3.86363636363636</v>
      </c>
      <c r="G36" s="34">
        <f>IF($B36="","",IFERROR(AVERAGEIFS(tblY9[Mean Stanine],tblY9[Class],$B36),""))</f>
        <v>5.70075757575758</v>
      </c>
      <c r="H36" s="35">
        <f>IF($B36="","",IFERROR(AVERAGEIFS(tblY9[vs KS2 Band],tblY9[Class],$B36),""))</f>
        <v>-0.162878787878788</v>
      </c>
      <c r="I36" s="36">
        <f>IF($B36="","",IFERROR(SUMPRODUCT((tblY9[Class]=$B36)*(RIGHT(tblY9[#Headers],8)=CHAR(10)&amp;"Stanine")*ISNUMBER(tblY9[#Data])*(tblY9[#Data]&gt;=7))/SUMPRODUCT((tblY9[Class]=$B36)*(RIGHT(tblY9[#Headers],8)=CHAR(10)&amp;"Stanine")*ISNUMBER(tblY9[#Data])),""))</f>
        <v>0.317647058823529</v>
      </c>
      <c r="J36" s="36">
        <f>IF($B36="","",IFERROR(SUMPRODUCT((tblY9[Class]=$B36)*(RIGHT(tblY9[#Headers],8)=CHAR(10)&amp;"Stanine")*ISNUMBER(tblY9[#Data])*(tblY9[#Data]&lt;=3))/SUMPRODUCT((tblY9[Class]=$B36)*(RIGHT(tblY9[#Headers],8)=CHAR(10)&amp;"Stanine")*ISNUMBER(tblY9[#Data])),""))</f>
        <v>0.105882352941176</v>
      </c>
      <c r="K36" s="36">
        <f>IF($B36="","",IFERROR(IF(Calc!$AF$5="","",AVERAGEIFS(INDEX(tblY9[#Data],0,MATCH(Calc!$AF$5&amp;CHAR(10)&amp;"Raw Score",tblY9[#Headers],0)),tblY9[Class],$B36)/Calc!$AG$5),""))</f>
        <v>0.670476190476191</v>
      </c>
      <c r="L36" s="34">
        <f>IF($B36="","",IFERROR(IF(Calc!$AF$5="","",AVERAGEIFS(INDEX(tblY9[#Data],0,MATCH(Calc!$AF$5&amp;CHAR(10)&amp;"Stanine",tblY9[#Headers],0)),tblY9[Class],$B36)),""))</f>
        <v>5.52380952380952</v>
      </c>
      <c r="M36" s="36">
        <f>IF($B36="","",IFERROR(IF(Calc!$AF$5="","",(COUNTIFS(INDEX(tblY9[#Data],0,MATCH(Calc!$AF$5&amp;CHAR(10)&amp;"Raw Score",tblY9[#Headers],0)),"&gt;=0",tblY9[Class],$B36)+COUNTIFS(INDEX(tblY9[#Data],0,MATCH(Calc!$AF$5&amp;CHAR(10)&amp;"Raw Score",tblY9[#Headers],0)),"A",tblY9[Class],$B36))/COUNTIF(tblY9[Class],$B36)),""))</f>
        <v>1</v>
      </c>
    </row>
    <row r="37">
      <c r="B37" s="31" t="str">
        <f>Calc!U4</f>
        <v>9A/Sc2</v>
      </c>
      <c r="C37" s="32" t="str">
        <f>IF($B37="","",IFERROR(INDEX(tblTeachers[Teacher],MATCH("Year 9"&amp;"|"&amp;$B37,tblTeachers[Key],0))&amp;"",""))</f>
        <v>Mr Hughes</v>
      </c>
      <c r="D37" s="33">
        <f>IF($B37="","",IFERROR(COUNTIF(tblY9[Class],$B37),""))</f>
        <v>25</v>
      </c>
      <c r="E37" s="34">
        <f>IF($B37="","",IFERROR(AVERAGEIFS(tblY9[Avg KS2 Band],tblY9[Class],$B37),""))</f>
        <v>4.48</v>
      </c>
      <c r="F37" s="34">
        <f>IF($B37="","",IFERROR(AVERAGEIFS(tblY9[Tests Sat],tblY9[Class],$B37),""))</f>
        <v>3.88</v>
      </c>
      <c r="G37" s="34">
        <f>IF($B37="","",IFERROR(AVERAGEIFS(tblY9[Mean Stanine],tblY9[Class],$B37),""))</f>
        <v>4.46666666666667</v>
      </c>
      <c r="H37" s="35">
        <f>IF($B37="","",IFERROR(AVERAGEIFS(tblY9[vs KS2 Band],tblY9[Class],$B37),""))</f>
        <v>-0.0133333333333333</v>
      </c>
      <c r="I37" s="36">
        <f>IF($B37="","",IFERROR(SUMPRODUCT((tblY9[Class]=$B37)*(RIGHT(tblY9[#Headers],8)=CHAR(10)&amp;"Stanine")*ISNUMBER(tblY9[#Data])*(tblY9[#Data]&gt;=7))/SUMPRODUCT((tblY9[Class]=$B37)*(RIGHT(tblY9[#Headers],8)=CHAR(10)&amp;"Stanine")*ISNUMBER(tblY9[#Data])),""))</f>
        <v>0.154639175257732</v>
      </c>
      <c r="J37" s="36">
        <f>IF($B37="","",IFERROR(SUMPRODUCT((tblY9[Class]=$B37)*(RIGHT(tblY9[#Headers],8)=CHAR(10)&amp;"Stanine")*ISNUMBER(tblY9[#Data])*(tblY9[#Data]&lt;=3))/SUMPRODUCT((tblY9[Class]=$B37)*(RIGHT(tblY9[#Headers],8)=CHAR(10)&amp;"Stanine")*ISNUMBER(tblY9[#Data])),""))</f>
        <v>0.350515463917526</v>
      </c>
      <c r="K37" s="36">
        <f>IF($B37="","",IFERROR(IF(Calc!$AF$5="","",AVERAGEIFS(INDEX(tblY9[#Data],0,MATCH(Calc!$AF$5&amp;CHAR(10)&amp;"Raw Score",tblY9[#Headers],0)),tblY9[Class],$B37)/Calc!$AG$5),""))</f>
        <v>0.576</v>
      </c>
      <c r="L37" s="34">
        <f>IF($B37="","",IFERROR(IF(Calc!$AF$5="","",AVERAGEIFS(INDEX(tblY9[#Data],0,MATCH(Calc!$AF$5&amp;CHAR(10)&amp;"Stanine",tblY9[#Headers],0)),tblY9[Class],$B37)),""))</f>
        <v>4.44</v>
      </c>
      <c r="M37" s="36">
        <f>IF($B37="","",IFERROR(IF(Calc!$AF$5="","",(COUNTIFS(INDEX(tblY9[#Data],0,MATCH(Calc!$AF$5&amp;CHAR(10)&amp;"Raw Score",tblY9[#Headers],0)),"&gt;=0",tblY9[Class],$B37)+COUNTIFS(INDEX(tblY9[#Data],0,MATCH(Calc!$AF$5&amp;CHAR(10)&amp;"Raw Score",tblY9[#Headers],0)),"A",tblY9[Class],$B37))/COUNTIF(tblY9[Class],$B37)),""))</f>
        <v>1</v>
      </c>
    </row>
    <row r="38">
      <c r="B38" s="31" t="str">
        <f>Calc!U5</f>
        <v>9A/Sc3</v>
      </c>
      <c r="C38" s="32" t="str">
        <f>IF($B38="","",IFERROR(INDEX(tblTeachers[Teacher],MATCH("Year 9"&amp;"|"&amp;$B38,tblTeachers[Key],0))&amp;"",""))</f>
        <v>Mrs Singh</v>
      </c>
      <c r="D38" s="33">
        <f>IF($B38="","",IFERROR(COUNTIF(tblY9[Class],$B38),""))</f>
        <v>19</v>
      </c>
      <c r="E38" s="34">
        <f>IF($B38="","",IFERROR(AVERAGEIFS(tblY9[Avg KS2 Band],tblY9[Class],$B38),""))</f>
        <v>4.05263157894737</v>
      </c>
      <c r="F38" s="34">
        <f>IF($B38="","",IFERROR(AVERAGEIFS(tblY9[Tests Sat],tblY9[Class],$B38),""))</f>
        <v>3.94736842105263</v>
      </c>
      <c r="G38" s="34">
        <f>IF($B38="","",IFERROR(AVERAGEIFS(tblY9[Mean Stanine],tblY9[Class],$B38),""))</f>
        <v>3.89912280701754</v>
      </c>
      <c r="H38" s="35">
        <f>IF($B38="","",IFERROR(AVERAGEIFS(tblY9[vs KS2 Band],tblY9[Class],$B38),""))</f>
        <v>-0.153508771929825</v>
      </c>
      <c r="I38" s="36">
        <f>IF($B38="","",IFERROR(SUMPRODUCT((tblY9[Class]=$B38)*(RIGHT(tblY9[#Headers],8)=CHAR(10)&amp;"Stanine")*ISNUMBER(tblY9[#Data])*(tblY9[#Data]&gt;=7))/SUMPRODUCT((tblY9[Class]=$B38)*(RIGHT(tblY9[#Headers],8)=CHAR(10)&amp;"Stanine")*ISNUMBER(tblY9[#Data])),""))</f>
        <v>0.16</v>
      </c>
      <c r="J38" s="36">
        <f>IF($B38="","",IFERROR(SUMPRODUCT((tblY9[Class]=$B38)*(RIGHT(tblY9[#Headers],8)=CHAR(10)&amp;"Stanine")*ISNUMBER(tblY9[#Data])*(tblY9[#Data]&lt;=3))/SUMPRODUCT((tblY9[Class]=$B38)*(RIGHT(tblY9[#Headers],8)=CHAR(10)&amp;"Stanine")*ISNUMBER(tblY9[#Data])),""))</f>
        <v>0.493333333333333</v>
      </c>
      <c r="K38" s="36">
        <f>IF($B38="","",IFERROR(IF(Calc!$AF$5="","",AVERAGEIFS(INDEX(tblY9[#Data],0,MATCH(Calc!$AF$5&amp;CHAR(10)&amp;"Raw Score",tblY9[#Headers],0)),tblY9[Class],$B38)/Calc!$AG$5),""))</f>
        <v>0.526315789473684</v>
      </c>
      <c r="L38" s="34">
        <f>IF($B38="","",IFERROR(IF(Calc!$AF$5="","",AVERAGEIFS(INDEX(tblY9[#Data],0,MATCH(Calc!$AF$5&amp;CHAR(10)&amp;"Stanine",tblY9[#Headers],0)),tblY9[Class],$B38)),""))</f>
        <v>4</v>
      </c>
      <c r="M38" s="36">
        <f>IF($B38="","",IFERROR(IF(Calc!$AF$5="","",(COUNTIFS(INDEX(tblY9[#Data],0,MATCH(Calc!$AF$5&amp;CHAR(10)&amp;"Raw Score",tblY9[#Headers],0)),"&gt;=0",tblY9[Class],$B38)+COUNTIFS(INDEX(tblY9[#Data],0,MATCH(Calc!$AF$5&amp;CHAR(10)&amp;"Raw Score",tblY9[#Headers],0)),"A",tblY9[Class],$B38))/COUNTIF(tblY9[Class],$B38)),""))</f>
        <v>1</v>
      </c>
    </row>
    <row r="39">
      <c r="B39" s="31" t="str">
        <f>Calc!U6</f>
        <v>9B/Sc1</v>
      </c>
      <c r="C39" s="32" t="str">
        <f>IF($B39="","",IFERROR(INDEX(tblTeachers[Teacher],MATCH("Year 9"&amp;"|"&amp;$B39,tblTeachers[Key],0))&amp;"",""))</f>
        <v>Ms Rahman</v>
      </c>
      <c r="D39" s="33">
        <f>IF($B39="","",IFERROR(COUNTIF(tblY9[Class],$B39),""))</f>
        <v>27</v>
      </c>
      <c r="E39" s="34">
        <f>IF($B39="","",IFERROR(AVERAGEIFS(tblY9[Avg KS2 Band],tblY9[Class],$B39),""))</f>
        <v>6</v>
      </c>
      <c r="F39" s="34">
        <f>IF($B39="","",IFERROR(AVERAGEIFS(tblY9[Tests Sat],tblY9[Class],$B39),""))</f>
        <v>3.85185185185185</v>
      </c>
      <c r="G39" s="34">
        <f>IF($B39="","",IFERROR(AVERAGEIFS(tblY9[Mean Stanine],tblY9[Class],$B39),""))</f>
        <v>6.1820987654321</v>
      </c>
      <c r="H39" s="35">
        <f>IF($B39="","",IFERROR(AVERAGEIFS(tblY9[vs KS2 Band],tblY9[Class],$B39),""))</f>
        <v>0.217948717948718</v>
      </c>
      <c r="I39" s="36">
        <f>IF($B39="","",IFERROR(SUMPRODUCT((tblY9[Class]=$B39)*(RIGHT(tblY9[#Headers],8)=CHAR(10)&amp;"Stanine")*ISNUMBER(tblY9[#Data])*(tblY9[#Data]&gt;=7))/SUMPRODUCT((tblY9[Class]=$B39)*(RIGHT(tblY9[#Headers],8)=CHAR(10)&amp;"Stanine")*ISNUMBER(tblY9[#Data])),""))</f>
        <v>0.423076923076923</v>
      </c>
      <c r="J39" s="36">
        <f>IF($B39="","",IFERROR(SUMPRODUCT((tblY9[Class]=$B39)*(RIGHT(tblY9[#Headers],8)=CHAR(10)&amp;"Stanine")*ISNUMBER(tblY9[#Data])*(tblY9[#Data]&lt;=3))/SUMPRODUCT((tblY9[Class]=$B39)*(RIGHT(tblY9[#Headers],8)=CHAR(10)&amp;"Stanine")*ISNUMBER(tblY9[#Data])),""))</f>
        <v>0.0288461538461538</v>
      </c>
      <c r="K39" s="36">
        <f>IF($B39="","",IFERROR(IF(Calc!$AF$5="","",AVERAGEIFS(INDEX(tblY9[#Data],0,MATCH(Calc!$AF$5&amp;CHAR(10)&amp;"Raw Score",tblY9[#Headers],0)),tblY9[Class],$B39)/Calc!$AG$5),""))</f>
        <v>0.7616</v>
      </c>
      <c r="L39" s="34">
        <f>IF($B39="","",IFERROR(IF(Calc!$AF$5="","",AVERAGEIFS(INDEX(tblY9[#Data],0,MATCH(Calc!$AF$5&amp;CHAR(10)&amp;"Stanine",tblY9[#Headers],0)),tblY9[Class],$B39)),""))</f>
        <v>6.36</v>
      </c>
      <c r="M39" s="36">
        <f>IF($B39="","",IFERROR(IF(Calc!$AF$5="","",(COUNTIFS(INDEX(tblY9[#Data],0,MATCH(Calc!$AF$5&amp;CHAR(10)&amp;"Raw Score",tblY9[#Headers],0)),"&gt;=0",tblY9[Class],$B39)+COUNTIFS(INDEX(tblY9[#Data],0,MATCH(Calc!$AF$5&amp;CHAR(10)&amp;"Raw Score",tblY9[#Headers],0)),"A",tblY9[Class],$B39))/COUNTIF(tblY9[Class],$B39)),""))</f>
        <v>1</v>
      </c>
    </row>
    <row r="40">
      <c r="B40" s="31" t="str">
        <f>Calc!U7</f>
        <v>9B/Sc2</v>
      </c>
      <c r="C40" s="32" t="str">
        <f>IF($B40="","",IFERROR(INDEX(tblTeachers[Teacher],MATCH("Year 9"&amp;"|"&amp;$B40,tblTeachers[Key],0))&amp;"",""))</f>
        <v>Mr Owen</v>
      </c>
      <c r="D40" s="33">
        <f>IF($B40="","",IFERROR(COUNTIF(tblY9[Class],$B40),""))</f>
        <v>29</v>
      </c>
      <c r="E40" s="34">
        <f>IF($B40="","",IFERROR(AVERAGEIFS(tblY9[Avg KS2 Band],tblY9[Class],$B40),""))</f>
        <v>4.96551724137931</v>
      </c>
      <c r="F40" s="34">
        <f>IF($B40="","",IFERROR(AVERAGEIFS(tblY9[Tests Sat],tblY9[Class],$B40),""))</f>
        <v>3.89655172413793</v>
      </c>
      <c r="G40" s="34">
        <f>IF($B40="","",IFERROR(AVERAGEIFS(tblY9[Mean Stanine],tblY9[Class],$B40),""))</f>
        <v>5.05459770114943</v>
      </c>
      <c r="H40" s="35">
        <f>IF($B40="","",IFERROR(AVERAGEIFS(tblY9[vs KS2 Band],tblY9[Class],$B40),""))</f>
        <v>0.0890804597701149</v>
      </c>
      <c r="I40" s="36">
        <f>IF($B40="","",IFERROR(SUMPRODUCT((tblY9[Class]=$B40)*(RIGHT(tblY9[#Headers],8)=CHAR(10)&amp;"Stanine")*ISNUMBER(tblY9[#Data])*(tblY9[#Data]&gt;=7))/SUMPRODUCT((tblY9[Class]=$B40)*(RIGHT(tblY9[#Headers],8)=CHAR(10)&amp;"Stanine")*ISNUMBER(tblY9[#Data])),""))</f>
        <v>0.309734513274336</v>
      </c>
      <c r="J40" s="36">
        <f>IF($B40="","",IFERROR(SUMPRODUCT((tblY9[Class]=$B40)*(RIGHT(tblY9[#Headers],8)=CHAR(10)&amp;"Stanine")*ISNUMBER(tblY9[#Data])*(tblY9[#Data]&lt;=3))/SUMPRODUCT((tblY9[Class]=$B40)*(RIGHT(tblY9[#Headers],8)=CHAR(10)&amp;"Stanine")*ISNUMBER(tblY9[#Data])),""))</f>
        <v>0.283185840707965</v>
      </c>
      <c r="K40" s="36">
        <f>IF($B40="","",IFERROR(IF(Calc!$AF$5="","",AVERAGEIFS(INDEX(tblY9[#Data],0,MATCH(Calc!$AF$5&amp;CHAR(10)&amp;"Raw Score",tblY9[#Headers],0)),tblY9[Class],$B40)/Calc!$AG$5),""))</f>
        <v>0.657931034482759</v>
      </c>
      <c r="L40" s="34">
        <f>IF($B40="","",IFERROR(IF(Calc!$AF$5="","",AVERAGEIFS(INDEX(tblY9[#Data],0,MATCH(Calc!$AF$5&amp;CHAR(10)&amp;"Stanine",tblY9[#Headers],0)),tblY9[Class],$B40)),""))</f>
        <v>5.37931034482759</v>
      </c>
      <c r="M40" s="36">
        <f>IF($B40="","",IFERROR(IF(Calc!$AF$5="","",(COUNTIFS(INDEX(tblY9[#Data],0,MATCH(Calc!$AF$5&amp;CHAR(10)&amp;"Raw Score",tblY9[#Headers],0)),"&gt;=0",tblY9[Class],$B40)+COUNTIFS(INDEX(tblY9[#Data],0,MATCH(Calc!$AF$5&amp;CHAR(10)&amp;"Raw Score",tblY9[#Headers],0)),"A",tblY9[Class],$B40))/COUNTIF(tblY9[Class],$B40)),""))</f>
        <v>1</v>
      </c>
    </row>
    <row r="41">
      <c r="B41" s="31" t="str">
        <f>Calc!U8</f>
        <v>Science Support</v>
      </c>
      <c r="C41" s="32" t="str">
        <f>IF($B41="","",IFERROR(INDEX(tblTeachers[Teacher],MATCH("Year 9"&amp;"|"&amp;$B41,tblTeachers[Key],0))&amp;"",""))</f>
        <v>Mr Walsh</v>
      </c>
      <c r="D41" s="33">
        <f>IF($B41="","",IFERROR(COUNTIF(tblY9[Class],$B41),""))</f>
        <v>3</v>
      </c>
      <c r="E41" s="34">
        <f>IF($B41="","",IFERROR(AVERAGEIFS(tblY9[Avg KS2 Band],tblY9[Class],$B41),""))</f>
        <v>1</v>
      </c>
      <c r="F41" s="34">
        <f>IF($B41="","",IFERROR(AVERAGEIFS(tblY9[Tests Sat],tblY9[Class],$B41),""))</f>
        <v>4</v>
      </c>
      <c r="G41" s="34">
        <f>IF($B41="","",IFERROR(AVERAGEIFS(tblY9[Mean Stanine],tblY9[Class],$B41),""))</f>
        <v>1</v>
      </c>
      <c r="H41" s="35">
        <f>IF($B41="","",IFERROR(AVERAGEIFS(tblY9[vs KS2 Band],tblY9[Class],$B41),""))</f>
        <v>0</v>
      </c>
      <c r="I41" s="36">
        <f>IF($B41="","",IFERROR(SUMPRODUCT((tblY9[Class]=$B41)*(RIGHT(tblY9[#Headers],8)=CHAR(10)&amp;"Stanine")*ISNUMBER(tblY9[#Data])*(tblY9[#Data]&gt;=7))/SUMPRODUCT((tblY9[Class]=$B41)*(RIGHT(tblY9[#Headers],8)=CHAR(10)&amp;"Stanine")*ISNUMBER(tblY9[#Data])),""))</f>
        <v>0</v>
      </c>
      <c r="J41" s="36">
        <f>IF($B41="","",IFERROR(SUMPRODUCT((tblY9[Class]=$B41)*(RIGHT(tblY9[#Headers],8)=CHAR(10)&amp;"Stanine")*ISNUMBER(tblY9[#Data])*(tblY9[#Data]&lt;=3))/SUMPRODUCT((tblY9[Class]=$B41)*(RIGHT(tblY9[#Headers],8)=CHAR(10)&amp;"Stanine")*ISNUMBER(tblY9[#Data])),""))</f>
        <v>1</v>
      </c>
      <c r="K41" s="36">
        <f>IF($B41="","",IFERROR(IF(Calc!$AF$5="","",AVERAGEIFS(INDEX(tblY9[#Data],0,MATCH(Calc!$AF$5&amp;CHAR(10)&amp;"Raw Score",tblY9[#Headers],0)),tblY9[Class],$B41)/Calc!$AG$5),""))</f>
        <v>0.173333333333333</v>
      </c>
      <c r="L41" s="34">
        <f>IF($B41="","",IFERROR(IF(Calc!$AF$5="","",AVERAGEIFS(INDEX(tblY9[#Data],0,MATCH(Calc!$AF$5&amp;CHAR(10)&amp;"Stanine",tblY9[#Headers],0)),tblY9[Class],$B41)),""))</f>
        <v>1</v>
      </c>
      <c r="M41" s="36">
        <f>IF($B41="","",IFERROR(IF(Calc!$AF$5="","",(COUNTIFS(INDEX(tblY9[#Data],0,MATCH(Calc!$AF$5&amp;CHAR(10)&amp;"Raw Score",tblY9[#Headers],0)),"&gt;=0",tblY9[Class],$B41)+COUNTIFS(INDEX(tblY9[#Data],0,MATCH(Calc!$AF$5&amp;CHAR(10)&amp;"Raw Score",tblY9[#Headers],0)),"A",tblY9[Class],$B41))/COUNTIF(tblY9[Class],$B41)),""))</f>
        <v>1</v>
      </c>
    </row>
    <row r="42">
      <c r="B42" s="31" t="str">
        <f>Calc!U9</f>
        <v/>
      </c>
      <c r="C42" s="32" t="str">
        <f>IF($B42="","",IFERROR(INDEX(tblTeachers[Teacher],MATCH("Year 9"&amp;"|"&amp;$B42,tblTeachers[Key],0))&amp;"",""))</f>
        <v/>
      </c>
      <c r="D42" s="33" t="str">
        <f>IF($B42="","",IFERROR(COUNTIF(tblY9[Class],$B42),""))</f>
        <v/>
      </c>
      <c r="E42" s="34" t="str">
        <f>IF($B42="","",IFERROR(AVERAGEIFS(tblY9[Avg KS2 Band],tblY9[Class],$B42),""))</f>
        <v/>
      </c>
      <c r="F42" s="34" t="str">
        <f>IF($B42="","",IFERROR(AVERAGEIFS(tblY9[Tests Sat],tblY9[Class],$B42),""))</f>
        <v/>
      </c>
      <c r="G42" s="34" t="str">
        <f>IF($B42="","",IFERROR(AVERAGEIFS(tblY9[Mean Stanine],tblY9[Class],$B42),""))</f>
        <v/>
      </c>
      <c r="H42" s="35" t="str">
        <f>IF($B42="","",IFERROR(AVERAGEIFS(tblY9[vs KS2 Band],tblY9[Class],$B42),""))</f>
        <v/>
      </c>
      <c r="I42" s="36" t="str">
        <f>IF($B42="","",IFERROR(SUMPRODUCT((tblY9[Class]=$B42)*(RIGHT(tblY9[#Headers],8)=CHAR(10)&amp;"Stanine")*ISNUMBER(tblY9[#Data])*(tblY9[#Data]&gt;=7))/SUMPRODUCT((tblY9[Class]=$B42)*(RIGHT(tblY9[#Headers],8)=CHAR(10)&amp;"Stanine")*ISNUMBER(tblY9[#Data])),""))</f>
        <v/>
      </c>
      <c r="J42" s="36" t="str">
        <f>IF($B42="","",IFERROR(SUMPRODUCT((tblY9[Class]=$B42)*(RIGHT(tblY9[#Headers],8)=CHAR(10)&amp;"Stanine")*ISNUMBER(tblY9[#Data])*(tblY9[#Data]&lt;=3))/SUMPRODUCT((tblY9[Class]=$B42)*(RIGHT(tblY9[#Headers],8)=CHAR(10)&amp;"Stanine")*ISNUMBER(tblY9[#Data])),""))</f>
        <v/>
      </c>
      <c r="K42" s="36" t="str">
        <f>IF($B42="","",IFERROR(IF(Calc!$AF$5="","",AVERAGEIFS(INDEX(tblY9[#Data],0,MATCH(Calc!$AF$5&amp;CHAR(10)&amp;"Raw Score",tblY9[#Headers],0)),tblY9[Class],$B42)/Calc!$AG$5),""))</f>
        <v/>
      </c>
      <c r="L42" s="34" t="str">
        <f>IF($B42="","",IFERROR(IF(Calc!$AF$5="","",AVERAGEIFS(INDEX(tblY9[#Data],0,MATCH(Calc!$AF$5&amp;CHAR(10)&amp;"Stanine",tblY9[#Headers],0)),tblY9[Class],$B42)),""))</f>
        <v/>
      </c>
      <c r="M42" s="36" t="str">
        <f>IF($B42="","",IFERROR(IF(Calc!$AF$5="","",(COUNTIFS(INDEX(tblY9[#Data],0,MATCH(Calc!$AF$5&amp;CHAR(10)&amp;"Raw Score",tblY9[#Headers],0)),"&gt;=0",tblY9[Class],$B42)+COUNTIFS(INDEX(tblY9[#Data],0,MATCH(Calc!$AF$5&amp;CHAR(10)&amp;"Raw Score",tblY9[#Headers],0)),"A",tblY9[Class],$B42))/COUNTIF(tblY9[Class],$B42)),""))</f>
        <v/>
      </c>
    </row>
    <row r="43">
      <c r="B43" s="31" t="str">
        <f>Calc!U10</f>
        <v/>
      </c>
      <c r="C43" s="32" t="str">
        <f>IF($B43="","",IFERROR(INDEX(tblTeachers[Teacher],MATCH("Year 9"&amp;"|"&amp;$B43,tblTeachers[Key],0))&amp;"",""))</f>
        <v/>
      </c>
      <c r="D43" s="33" t="str">
        <f>IF($B43="","",IFERROR(COUNTIF(tblY9[Class],$B43),""))</f>
        <v/>
      </c>
      <c r="E43" s="34" t="str">
        <f>IF($B43="","",IFERROR(AVERAGEIFS(tblY9[Avg KS2 Band],tblY9[Class],$B43),""))</f>
        <v/>
      </c>
      <c r="F43" s="34" t="str">
        <f>IF($B43="","",IFERROR(AVERAGEIFS(tblY9[Tests Sat],tblY9[Class],$B43),""))</f>
        <v/>
      </c>
      <c r="G43" s="34" t="str">
        <f>IF($B43="","",IFERROR(AVERAGEIFS(tblY9[Mean Stanine],tblY9[Class],$B43),""))</f>
        <v/>
      </c>
      <c r="H43" s="35" t="str">
        <f>IF($B43="","",IFERROR(AVERAGEIFS(tblY9[vs KS2 Band],tblY9[Class],$B43),""))</f>
        <v/>
      </c>
      <c r="I43" s="36" t="str">
        <f>IF($B43="","",IFERROR(SUMPRODUCT((tblY9[Class]=$B43)*(RIGHT(tblY9[#Headers],8)=CHAR(10)&amp;"Stanine")*ISNUMBER(tblY9[#Data])*(tblY9[#Data]&gt;=7))/SUMPRODUCT((tblY9[Class]=$B43)*(RIGHT(tblY9[#Headers],8)=CHAR(10)&amp;"Stanine")*ISNUMBER(tblY9[#Data])),""))</f>
        <v/>
      </c>
      <c r="J43" s="36" t="str">
        <f>IF($B43="","",IFERROR(SUMPRODUCT((tblY9[Class]=$B43)*(RIGHT(tblY9[#Headers],8)=CHAR(10)&amp;"Stanine")*ISNUMBER(tblY9[#Data])*(tblY9[#Data]&lt;=3))/SUMPRODUCT((tblY9[Class]=$B43)*(RIGHT(tblY9[#Headers],8)=CHAR(10)&amp;"Stanine")*ISNUMBER(tblY9[#Data])),""))</f>
        <v/>
      </c>
      <c r="K43" s="36" t="str">
        <f>IF($B43="","",IFERROR(IF(Calc!$AF$5="","",AVERAGEIFS(INDEX(tblY9[#Data],0,MATCH(Calc!$AF$5&amp;CHAR(10)&amp;"Raw Score",tblY9[#Headers],0)),tblY9[Class],$B43)/Calc!$AG$5),""))</f>
        <v/>
      </c>
      <c r="L43" s="34" t="str">
        <f>IF($B43="","",IFERROR(IF(Calc!$AF$5="","",AVERAGEIFS(INDEX(tblY9[#Data],0,MATCH(Calc!$AF$5&amp;CHAR(10)&amp;"Stanine",tblY9[#Headers],0)),tblY9[Class],$B43)),""))</f>
        <v/>
      </c>
      <c r="M43" s="36" t="str">
        <f>IF($B43="","",IFERROR(IF(Calc!$AF$5="","",(COUNTIFS(INDEX(tblY9[#Data],0,MATCH(Calc!$AF$5&amp;CHAR(10)&amp;"Raw Score",tblY9[#Headers],0)),"&gt;=0",tblY9[Class],$B43)+COUNTIFS(INDEX(tblY9[#Data],0,MATCH(Calc!$AF$5&amp;CHAR(10)&amp;"Raw Score",tblY9[#Headers],0)),"A",tblY9[Class],$B43))/COUNTIF(tblY9[Class],$B43)),""))</f>
        <v/>
      </c>
    </row>
    <row r="45" ht="22" customHeight="1">
      <c r="B45" s="22" t="inlineStr">
        <is>
          <t>Year 10</t>
        </is>
      </c>
      <c r="C45" s="23" t="str">
        <f>"Leaves "&amp;Settings!$C$18&amp;"   ·   "&amp;COUNTA(tblY10[Preferred Last name])&amp;" students   ·   "&amp;Calc!$AI$6&amp;" tests"</f>
        <v>Leaves 2028   ·   117 students   ·   5 tests</v>
      </c>
      <c r="D45" s="24" t="n"/>
      <c r="E45" s="24" t="n"/>
      <c r="F45" s="24" t="n"/>
      <c r="G45" s="24" t="n"/>
      <c r="H45" s="25" t="str">
        <f>IF(Calc!$AF$6="","No tests yet","Latest test: "&amp;Calc!$AF$6&amp;IF(ISNUMBER(Calc!$AH$6),"  ("&amp;TEXT(Calc!$AH$6,"dd/mm/yyyy")&amp;")",""))</f>
        <v>Latest test: 4C02 - Bonding  (20/11/2026)</v>
      </c>
      <c r="I45" s="24" t="n"/>
      <c r="J45" s="24" t="n"/>
      <c r="K45" s="24" t="n"/>
      <c r="L45" s="24" t="n"/>
      <c r="M45" s="24" t="n"/>
    </row>
    <row r="46" ht="30" customHeight="1">
      <c r="B46" s="7" t="inlineStr">
        <is>
          <t>Class</t>
        </is>
      </c>
      <c r="C46" s="7" t="inlineStr">
        <is>
          <t>Teacher</t>
        </is>
      </c>
      <c r="D46" s="7" t="inlineStr">
        <is>
          <t>Students</t>
        </is>
      </c>
      <c r="E46" s="7" t="inlineStr">
        <is>
          <t>KS2 band
(mean)</t>
        </is>
      </c>
      <c r="F46" s="7" t="inlineStr">
        <is>
          <t>Tests sat
(mean)</t>
        </is>
      </c>
      <c r="G46" s="7" t="inlineStr">
        <is>
          <t>Mean
stanine</t>
        </is>
      </c>
      <c r="H46" s="7" t="inlineStr">
        <is>
          <t>vs KS2
band</t>
        </is>
      </c>
      <c r="I46" s="7" t="inlineStr">
        <is>
          <t>Results at
stanine 7-9</t>
        </is>
      </c>
      <c r="J46" s="7" t="inlineStr">
        <is>
          <t>Results at
stanine 1-3</t>
        </is>
      </c>
      <c r="K46" s="7" t="inlineStr">
        <is>
          <t>Latest test
mean %</t>
        </is>
      </c>
      <c r="L46" s="7" t="inlineStr">
        <is>
          <t>Latest test
mean stanine</t>
        </is>
      </c>
      <c r="M46" s="7" t="inlineStr">
        <is>
          <t>Latest test
completion</t>
        </is>
      </c>
    </row>
    <row r="47">
      <c r="B47" s="26" t="inlineStr">
        <is>
          <t>Whole year</t>
        </is>
      </c>
      <c r="D47" s="27">
        <f>IFERROR(COUNTA(tblY10[Preferred Last name]),"")</f>
        <v>117</v>
      </c>
      <c r="E47" s="28">
        <f>IFERROR(AVERAGE(tblY10[Avg KS2 Band]),"")</f>
        <v>5.02586206896552</v>
      </c>
      <c r="F47" s="28">
        <f>IFERROR(AVERAGE(tblY10[Tests Sat]),"")</f>
        <v>4.46153846153846</v>
      </c>
      <c r="G47" s="28">
        <f>IFERROR(AVERAGE(tblY10[Mean Stanine]),"")</f>
        <v>5.00897435897436</v>
      </c>
      <c r="H47" s="29">
        <f>IFERROR(AVERAGE(tblY10[vs KS2 Band]),"")</f>
        <v>0.0176724137931034</v>
      </c>
      <c r="I47" s="30">
        <f>IFERROR(SUMPRODUCT((RIGHT(tblY10[#Headers],8)=CHAR(10)&amp;"Stanine")*ISNUMBER(tblY10[#Data])*(tblY10[#Data]&gt;=7))/SUMPRODUCT((RIGHT(tblY10[#Headers],8)=CHAR(10)&amp;"Stanine")*ISNUMBER(tblY10[#Data])),"")</f>
        <v>0.270114942528736</v>
      </c>
      <c r="J47" s="30">
        <f>IFERROR(SUMPRODUCT((RIGHT(tblY10[#Headers],8)=CHAR(10)&amp;"Stanine")*ISNUMBER(tblY10[#Data])*(tblY10[#Data]&lt;=3))/SUMPRODUCT((RIGHT(tblY10[#Headers],8)=CHAR(10)&amp;"Stanine")*ISNUMBER(tblY10[#Data])),"")</f>
        <v>0.258620689655172</v>
      </c>
      <c r="K47" s="30">
        <f>IFERROR(IF(Calc!$AF$6="","",AVERAGE(INDEX(tblY10[#Data],0,MATCH(Calc!$AF$6&amp;CHAR(10)&amp;"Raw Score",tblY10[#Headers],0)))/Calc!$AG$6),"")</f>
        <v>0.549096622152396</v>
      </c>
      <c r="L47" s="28">
        <f>IFERROR(IF(Calc!$AF$6="","",AVERAGE(INDEX(tblY10[#Data],0,MATCH(Calc!$AF$6&amp;CHAR(10)&amp;"Stanine",tblY10[#Headers],0)))),"")</f>
        <v>4.97014925373134</v>
      </c>
      <c r="M47" s="30">
        <f>IFERROR(IF(Calc!$AF$6="","",(COUNTIFS(INDEX(tblY10[#Data],0,MATCH(Calc!$AF$6&amp;CHAR(10)&amp;"Raw Score",tblY10[#Headers],0)),"&gt;=0")+COUNTIFS(INDEX(tblY10[#Data],0,MATCH(Calc!$AF$6&amp;CHAR(10)&amp;"Raw Score",tblY10[#Headers],0)),"A"))/COUNTA(tblY10[Preferred Last name])),"")</f>
        <v>0.615384615384615</v>
      </c>
    </row>
    <row r="48">
      <c r="B48" s="31" t="str">
        <f>Calc!V3</f>
        <v>10S/Sc1</v>
      </c>
      <c r="C48" s="32" t="str">
        <f>IF($B48="","",IFERROR(INDEX(tblTeachers[Teacher],MATCH("Year 10"&amp;"|"&amp;$B48,tblTeachers[Key],0))&amp;"",""))</f>
        <v>Mr Walsh</v>
      </c>
      <c r="D48" s="33">
        <f>IF($B48="","",IFERROR(COUNTIF(tblY10[Class],$B48),""))</f>
        <v>29</v>
      </c>
      <c r="E48" s="34">
        <f>IF($B48="","",IFERROR(AVERAGEIFS(tblY10[Avg KS2 Band],tblY10[Class],$B48),""))</f>
        <v>6.55172413793104</v>
      </c>
      <c r="F48" s="34">
        <f>IF($B48="","",IFERROR(AVERAGEIFS(tblY10[Tests Sat],tblY10[Class],$B48),""))</f>
        <v>4.79310344827586</v>
      </c>
      <c r="G48" s="34">
        <f>IF($B48="","",IFERROR(AVERAGEIFS(tblY10[Mean Stanine],tblY10[Class],$B48),""))</f>
        <v>6.5735632183908</v>
      </c>
      <c r="H48" s="35">
        <f>IF($B48="","",IFERROR(AVERAGEIFS(tblY10[vs KS2 Band],tblY10[Class],$B48),""))</f>
        <v>0.0218390804597701</v>
      </c>
      <c r="I48" s="36">
        <f>IF($B48="","",IFERROR(SUMPRODUCT((tblY10[Class]=$B48)*(RIGHT(tblY10[#Headers],8)=CHAR(10)&amp;"Stanine")*ISNUMBER(tblY10[#Data])*(tblY10[#Data]&gt;=7))/SUMPRODUCT((tblY10[Class]=$B48)*(RIGHT(tblY10[#Headers],8)=CHAR(10)&amp;"Stanine")*ISNUMBER(tblY10[#Data])),""))</f>
        <v>0.575539568345324</v>
      </c>
      <c r="J48" s="36">
        <f>IF($B48="","",IFERROR(SUMPRODUCT((tblY10[Class]=$B48)*(RIGHT(tblY10[#Headers],8)=CHAR(10)&amp;"Stanine")*ISNUMBER(tblY10[#Data])*(tblY10[#Data]&lt;=3))/SUMPRODUCT((tblY10[Class]=$B48)*(RIGHT(tblY10[#Headers],8)=CHAR(10)&amp;"Stanine")*ISNUMBER(tblY10[#Data])),""))</f>
        <v>0.0575539568345324</v>
      </c>
      <c r="K48" s="36">
        <f>IF($B48="","",IFERROR(IF(Calc!$AF$6="","",AVERAGEIFS(INDEX(tblY10[#Data],0,MATCH(Calc!$AF$6&amp;CHAR(10)&amp;"Raw Score",tblY10[#Headers],0)),tblY10[Class],$B48)/Calc!$AG$6),""))</f>
        <v>0.682395644283122</v>
      </c>
      <c r="L48" s="34">
        <f>IF($B48="","",IFERROR(IF(Calc!$AF$6="","",AVERAGEIFS(INDEX(tblY10[#Data],0,MATCH(Calc!$AF$6&amp;CHAR(10)&amp;"Stanine",tblY10[#Headers],0)),tblY10[Class],$B48)),""))</f>
        <v>6.13793103448276</v>
      </c>
      <c r="M48" s="36">
        <f>IF($B48="","",IFERROR(IF(Calc!$AF$6="","",(COUNTIFS(INDEX(tblY10[#Data],0,MATCH(Calc!$AF$6&amp;CHAR(10)&amp;"Raw Score",tblY10[#Headers],0)),"&gt;=0",tblY10[Class],$B48)+COUNTIFS(INDEX(tblY10[#Data],0,MATCH(Calc!$AF$6&amp;CHAR(10)&amp;"Raw Score",tblY10[#Headers],0)),"A",tblY10[Class],$B48))/COUNTIF(tblY10[Class],$B48)),""))</f>
        <v>1</v>
      </c>
    </row>
    <row r="49">
      <c r="B49" s="31" t="str">
        <f>Calc!V4</f>
        <v>10S/Sc2</v>
      </c>
      <c r="C49" s="32" t="str">
        <f>IF($B49="","",IFERROR(INDEX(tblTeachers[Teacher],MATCH("Year 10"&amp;"|"&amp;$B49,tblTeachers[Key],0))&amp;"",""))</f>
        <v>Mr Owen</v>
      </c>
      <c r="D49" s="33">
        <f>IF($B49="","",IFERROR(COUNTIF(tblY10[Class],$B49),""))</f>
        <v>28</v>
      </c>
      <c r="E49" s="34">
        <f>IF($B49="","",IFERROR(AVERAGEIFS(tblY10[Avg KS2 Band],tblY10[Class],$B49),""))</f>
        <v>5.17857142857143</v>
      </c>
      <c r="F49" s="34">
        <f>IF($B49="","",IFERROR(AVERAGEIFS(tblY10[Tests Sat],tblY10[Class],$B49),""))</f>
        <v>4.67857142857143</v>
      </c>
      <c r="G49" s="34">
        <f>IF($B49="","",IFERROR(AVERAGEIFS(tblY10[Mean Stanine],tblY10[Class],$B49),""))</f>
        <v>5.35416666666667</v>
      </c>
      <c r="H49" s="35">
        <f>IF($B49="","",IFERROR(AVERAGEIFS(tblY10[vs KS2 Band],tblY10[Class],$B49),""))</f>
        <v>0.175595238095238</v>
      </c>
      <c r="I49" s="36">
        <f>IF($B49="","",IFERROR(SUMPRODUCT((tblY10[Class]=$B49)*(RIGHT(tblY10[#Headers],8)=CHAR(10)&amp;"Stanine")*ISNUMBER(tblY10[#Data])*(tblY10[#Data]&gt;=7))/SUMPRODUCT((tblY10[Class]=$B49)*(RIGHT(tblY10[#Headers],8)=CHAR(10)&amp;"Stanine")*ISNUMBER(tblY10[#Data])),""))</f>
        <v>0.244274809160305</v>
      </c>
      <c r="J49" s="36">
        <f>IF($B49="","",IFERROR(SUMPRODUCT((tblY10[Class]=$B49)*(RIGHT(tblY10[#Headers],8)=CHAR(10)&amp;"Stanine")*ISNUMBER(tblY10[#Data])*(tblY10[#Data]&lt;=3))/SUMPRODUCT((tblY10[Class]=$B49)*(RIGHT(tblY10[#Headers],8)=CHAR(10)&amp;"Stanine")*ISNUMBER(tblY10[#Data])),""))</f>
        <v>0.137404580152672</v>
      </c>
      <c r="K49" s="36">
        <f>IF($B49="","",IFERROR(IF(Calc!$AF$6="","",AVERAGEIFS(INDEX(tblY10[#Data],0,MATCH(Calc!$AF$6&amp;CHAR(10)&amp;"Raw Score",tblY10[#Headers],0)),tblY10[Class],$B49)/Calc!$AG$6),""))</f>
        <v>0.535087719298246</v>
      </c>
      <c r="L49" s="34">
        <f>IF($B49="","",IFERROR(IF(Calc!$AF$6="","",AVERAGEIFS(INDEX(tblY10[#Data],0,MATCH(Calc!$AF$6&amp;CHAR(10)&amp;"Stanine",tblY10[#Headers],0)),tblY10[Class],$B49)),""))</f>
        <v>4.83333333333333</v>
      </c>
      <c r="M49" s="36">
        <f>IF($B49="","",IFERROR(IF(Calc!$AF$6="","",(COUNTIFS(INDEX(tblY10[#Data],0,MATCH(Calc!$AF$6&amp;CHAR(10)&amp;"Raw Score",tblY10[#Headers],0)),"&gt;=0",tblY10[Class],$B49)+COUNTIFS(INDEX(tblY10[#Data],0,MATCH(Calc!$AF$6&amp;CHAR(10)&amp;"Raw Score",tblY10[#Headers],0)),"A",tblY10[Class],$B49))/COUNTIF(tblY10[Class],$B49)),""))</f>
        <v>1</v>
      </c>
    </row>
    <row r="50">
      <c r="B50" s="31" t="str">
        <f>Calc!V5</f>
        <v>10S/Sc3</v>
      </c>
      <c r="C50" s="32" t="str">
        <f>IF($B50="","",IFERROR(INDEX(tblTeachers[Teacher],MATCH("Year 10"&amp;"|"&amp;$B50,tblTeachers[Key],0))&amp;"",""))</f>
        <v>Mrs Singh</v>
      </c>
      <c r="D50" s="33">
        <f>IF($B50="","",IFERROR(COUNTIF(tblY10[Class],$B50),""))</f>
        <v>23</v>
      </c>
      <c r="E50" s="34">
        <f>IF($B50="","",IFERROR(AVERAGEIFS(tblY10[Avg KS2 Band],tblY10[Class],$B50),""))</f>
        <v>5</v>
      </c>
      <c r="F50" s="34">
        <f>IF($B50="","",IFERROR(AVERAGEIFS(tblY10[Tests Sat],tblY10[Class],$B50),""))</f>
        <v>3.95652173913043</v>
      </c>
      <c r="G50" s="34">
        <f>IF($B50="","",IFERROR(AVERAGEIFS(tblY10[Mean Stanine],tblY10[Class],$B50),""))</f>
        <v>5</v>
      </c>
      <c r="H50" s="35">
        <f>IF($B50="","",IFERROR(AVERAGEIFS(tblY10[vs KS2 Band],tblY10[Class],$B50),""))</f>
        <v>0</v>
      </c>
      <c r="I50" s="36">
        <f>IF($B50="","",IFERROR(SUMPRODUCT((tblY10[Class]=$B50)*(RIGHT(tblY10[#Headers],8)=CHAR(10)&amp;"Stanine")*ISNUMBER(tblY10[#Data])*(tblY10[#Data]&gt;=7))/SUMPRODUCT((tblY10[Class]=$B50)*(RIGHT(tblY10[#Headers],8)=CHAR(10)&amp;"Stanine")*ISNUMBER(tblY10[#Data])),""))</f>
        <v>0.21978021978022</v>
      </c>
      <c r="J50" s="36">
        <f>IF($B50="","",IFERROR(SUMPRODUCT((tblY10[Class]=$B50)*(RIGHT(tblY10[#Headers],8)=CHAR(10)&amp;"Stanine")*ISNUMBER(tblY10[#Data])*(tblY10[#Data]&lt;=3))/SUMPRODUCT((tblY10[Class]=$B50)*(RIGHT(tblY10[#Headers],8)=CHAR(10)&amp;"Stanine")*ISNUMBER(tblY10[#Data])),""))</f>
        <v>0.21978021978022</v>
      </c>
      <c r="K50" s="36" t="str">
        <f>IF($B50="","",IFERROR(IF(Calc!$AF$6="","",AVERAGEIFS(INDEX(tblY10[#Data],0,MATCH(Calc!$AF$6&amp;CHAR(10)&amp;"Raw Score",tblY10[#Headers],0)),tblY10[Class],$B50)/Calc!$AG$6),""))</f>
        <v/>
      </c>
      <c r="L50" s="34" t="str">
        <f>IF($B50="","",IFERROR(IF(Calc!$AF$6="","",AVERAGEIFS(INDEX(tblY10[#Data],0,MATCH(Calc!$AF$6&amp;CHAR(10)&amp;"Stanine",tblY10[#Headers],0)),tblY10[Class],$B50)),""))</f>
        <v/>
      </c>
      <c r="M50" s="36">
        <f>IF($B50="","",IFERROR(IF(Calc!$AF$6="","",(COUNTIFS(INDEX(tblY10[#Data],0,MATCH(Calc!$AF$6&amp;CHAR(10)&amp;"Raw Score",tblY10[#Headers],0)),"&gt;=0",tblY10[Class],$B50)+COUNTIFS(INDEX(tblY10[#Data],0,MATCH(Calc!$AF$6&amp;CHAR(10)&amp;"Raw Score",tblY10[#Headers],0)),"A",tblY10[Class],$B50))/COUNTIF(tblY10[Class],$B50)),""))</f>
        <v>0</v>
      </c>
    </row>
    <row r="51">
      <c r="B51" s="31" t="str">
        <f>Calc!V6</f>
        <v>10S/Sc4</v>
      </c>
      <c r="C51" s="32" t="str">
        <f>IF($B51="","",IFERROR(INDEX(tblTeachers[Teacher],MATCH("Year 10"&amp;"|"&amp;$B51,tblTeachers[Key],0))&amp;"",""))</f>
        <v>Mr Owen</v>
      </c>
      <c r="D51" s="33">
        <f>IF($B51="","",IFERROR(COUNTIF(tblY10[Class],$B51),""))</f>
        <v>22</v>
      </c>
      <c r="E51" s="34">
        <f>IF($B51="","",IFERROR(AVERAGEIFS(tblY10[Avg KS2 Band],tblY10[Class],$B51),""))</f>
        <v>3.81818181818182</v>
      </c>
      <c r="F51" s="34">
        <f>IF($B51="","",IFERROR(AVERAGEIFS(tblY10[Tests Sat],tblY10[Class],$B51),""))</f>
        <v>4</v>
      </c>
      <c r="G51" s="34">
        <f>IF($B51="","",IFERROR(AVERAGEIFS(tblY10[Mean Stanine],tblY10[Class],$B51),""))</f>
        <v>3.97727272727273</v>
      </c>
      <c r="H51" s="35">
        <f>IF($B51="","",IFERROR(AVERAGEIFS(tblY10[vs KS2 Band],tblY10[Class],$B51),""))</f>
        <v>0.159090909090909</v>
      </c>
      <c r="I51" s="36">
        <f>IF($B51="","",IFERROR(SUMPRODUCT((tblY10[Class]=$B51)*(RIGHT(tblY10[#Headers],8)=CHAR(10)&amp;"Stanine")*ISNUMBER(tblY10[#Data])*(tblY10[#Data]&gt;=7))/SUMPRODUCT((tblY10[Class]=$B51)*(RIGHT(tblY10[#Headers],8)=CHAR(10)&amp;"Stanine")*ISNUMBER(tblY10[#Data])),""))</f>
        <v>0.0909090909090909</v>
      </c>
      <c r="J51" s="36">
        <f>IF($B51="","",IFERROR(SUMPRODUCT((tblY10[Class]=$B51)*(RIGHT(tblY10[#Headers],8)=CHAR(10)&amp;"Stanine")*ISNUMBER(tblY10[#Data])*(tblY10[#Data]&lt;=3))/SUMPRODUCT((tblY10[Class]=$B51)*(RIGHT(tblY10[#Headers],8)=CHAR(10)&amp;"Stanine")*ISNUMBER(tblY10[#Data])),""))</f>
        <v>0.409090909090909</v>
      </c>
      <c r="K51" s="36" t="str">
        <f>IF($B51="","",IFERROR(IF(Calc!$AF$6="","",AVERAGEIFS(INDEX(tblY10[#Data],0,MATCH(Calc!$AF$6&amp;CHAR(10)&amp;"Raw Score",tblY10[#Headers],0)),tblY10[Class],$B51)/Calc!$AG$6),""))</f>
        <v/>
      </c>
      <c r="L51" s="34" t="str">
        <f>IF($B51="","",IFERROR(IF(Calc!$AF$6="","",AVERAGEIFS(INDEX(tblY10[#Data],0,MATCH(Calc!$AF$6&amp;CHAR(10)&amp;"Stanine",tblY10[#Headers],0)),tblY10[Class],$B51)),""))</f>
        <v/>
      </c>
      <c r="M51" s="36">
        <f>IF($B51="","",IFERROR(IF(Calc!$AF$6="","",(COUNTIFS(INDEX(tblY10[#Data],0,MATCH(Calc!$AF$6&amp;CHAR(10)&amp;"Raw Score",tblY10[#Headers],0)),"&gt;=0",tblY10[Class],$B51)+COUNTIFS(INDEX(tblY10[#Data],0,MATCH(Calc!$AF$6&amp;CHAR(10)&amp;"Raw Score",tblY10[#Headers],0)),"A",tblY10[Class],$B51))/COUNTIF(tblY10[Class],$B51)),""))</f>
        <v>0</v>
      </c>
    </row>
    <row r="52">
      <c r="B52" s="31" t="str">
        <f>Calc!V7</f>
        <v>10S/Sc5</v>
      </c>
      <c r="C52" s="32" t="str">
        <f>IF($B52="","",IFERROR(INDEX(tblTeachers[Teacher],MATCH("Year 10"&amp;"|"&amp;$B52,tblTeachers[Key],0))&amp;"",""))</f>
        <v>Mr Hughes</v>
      </c>
      <c r="D52" s="33">
        <f>IF($B52="","",IFERROR(COUNTIF(tblY10[Class],$B52),""))</f>
        <v>12</v>
      </c>
      <c r="E52" s="34">
        <f>IF($B52="","",IFERROR(AVERAGEIFS(tblY10[Avg KS2 Band],tblY10[Class],$B52),""))</f>
        <v>3.83333333333333</v>
      </c>
      <c r="F52" s="34">
        <f>IF($B52="","",IFERROR(AVERAGEIFS(tblY10[Tests Sat],tblY10[Class],$B52),""))</f>
        <v>4.83333333333333</v>
      </c>
      <c r="G52" s="34">
        <f>IF($B52="","",IFERROR(AVERAGEIFS(tblY10[Mean Stanine],tblY10[Class],$B52),""))</f>
        <v>3.13333333333333</v>
      </c>
      <c r="H52" s="35">
        <f>IF($B52="","",IFERROR(AVERAGEIFS(tblY10[vs KS2 Band],tblY10[Class],$B52),""))</f>
        <v>-0.7</v>
      </c>
      <c r="I52" s="36">
        <f>IF($B52="","",IFERROR(SUMPRODUCT((tblY10[Class]=$B52)*(RIGHT(tblY10[#Headers],8)=CHAR(10)&amp;"Stanine")*ISNUMBER(tblY10[#Data])*(tblY10[#Data]&gt;=7))/SUMPRODUCT((tblY10[Class]=$B52)*(RIGHT(tblY10[#Headers],8)=CHAR(10)&amp;"Stanine")*ISNUMBER(tblY10[#Data])),""))</f>
        <v>0.0172413793103448</v>
      </c>
      <c r="J52" s="36">
        <f>IF($B52="","",IFERROR(SUMPRODUCT((tblY10[Class]=$B52)*(RIGHT(tblY10[#Headers],8)=CHAR(10)&amp;"Stanine")*ISNUMBER(tblY10[#Data])*(tblY10[#Data]&lt;=3))/SUMPRODUCT((tblY10[Class]=$B52)*(RIGHT(tblY10[#Headers],8)=CHAR(10)&amp;"Stanine")*ISNUMBER(tblY10[#Data])),""))</f>
        <v>0.672413793103448</v>
      </c>
      <c r="K52" s="36">
        <f>IF($B52="","",IFERROR(IF(Calc!$AF$6="","",AVERAGEIFS(INDEX(tblY10[#Data],0,MATCH(Calc!$AF$6&amp;CHAR(10)&amp;"Raw Score",tblY10[#Headers],0)),tblY10[Class],$B52)/Calc!$AG$6),""))</f>
        <v>0.330143540669856</v>
      </c>
      <c r="L52" s="34">
        <f>IF($B52="","",IFERROR(IF(Calc!$AF$6="","",AVERAGEIFS(INDEX(tblY10[#Data],0,MATCH(Calc!$AF$6&amp;CHAR(10)&amp;"Stanine",tblY10[#Headers],0)),tblY10[Class],$B52)),""))</f>
        <v>3.09090909090909</v>
      </c>
      <c r="M52" s="36">
        <f>IF($B52="","",IFERROR(IF(Calc!$AF$6="","",(COUNTIFS(INDEX(tblY10[#Data],0,MATCH(Calc!$AF$6&amp;CHAR(10)&amp;"Raw Score",tblY10[#Headers],0)),"&gt;=0",tblY10[Class],$B52)+COUNTIFS(INDEX(tblY10[#Data],0,MATCH(Calc!$AF$6&amp;CHAR(10)&amp;"Raw Score",tblY10[#Headers],0)),"A",tblY10[Class],$B52))/COUNTIF(tblY10[Class],$B52)),""))</f>
        <v>1</v>
      </c>
    </row>
    <row r="53">
      <c r="B53" s="31" t="str">
        <f>Calc!V8</f>
        <v>Science Support</v>
      </c>
      <c r="C53" s="32" t="str">
        <f>IF($B53="","",IFERROR(INDEX(tblTeachers[Teacher],MATCH("Year 10"&amp;"|"&amp;$B53,tblTeachers[Key],0))&amp;"",""))</f>
        <v>Mr Walsh</v>
      </c>
      <c r="D53" s="33">
        <f>IF($B53="","",IFERROR(COUNTIF(tblY10[Class],$B53),""))</f>
        <v>3</v>
      </c>
      <c r="E53" s="34">
        <f>IF($B53="","",IFERROR(AVERAGEIFS(tblY10[Avg KS2 Band],tblY10[Class],$B53),""))</f>
        <v>1.5</v>
      </c>
      <c r="F53" s="34">
        <f>IF($B53="","",IFERROR(AVERAGEIFS(tblY10[Tests Sat],tblY10[Class],$B53),""))</f>
        <v>5</v>
      </c>
      <c r="G53" s="34">
        <f>IF($B53="","",IFERROR(AVERAGEIFS(tblY10[Mean Stanine],tblY10[Class],$B53),""))</f>
        <v>1.8</v>
      </c>
      <c r="H53" s="35">
        <f>IF($B53="","",IFERROR(AVERAGEIFS(tblY10[vs KS2 Band],tblY10[Class],$B53),""))</f>
        <v>0.7</v>
      </c>
      <c r="I53" s="36">
        <f>IF($B53="","",IFERROR(SUMPRODUCT((tblY10[Class]=$B53)*(RIGHT(tblY10[#Headers],8)=CHAR(10)&amp;"Stanine")*ISNUMBER(tblY10[#Data])*(tblY10[#Data]&gt;=7))/SUMPRODUCT((tblY10[Class]=$B53)*(RIGHT(tblY10[#Headers],8)=CHAR(10)&amp;"Stanine")*ISNUMBER(tblY10[#Data])),""))</f>
        <v>0</v>
      </c>
      <c r="J53" s="36">
        <f>IF($B53="","",IFERROR(SUMPRODUCT((tblY10[Class]=$B53)*(RIGHT(tblY10[#Headers],8)=CHAR(10)&amp;"Stanine")*ISNUMBER(tblY10[#Data])*(tblY10[#Data]&lt;=3))/SUMPRODUCT((tblY10[Class]=$B53)*(RIGHT(tblY10[#Headers],8)=CHAR(10)&amp;"Stanine")*ISNUMBER(tblY10[#Data])),""))</f>
        <v>0.933333333333333</v>
      </c>
      <c r="K53" s="36">
        <f>IF($B53="","",IFERROR(IF(Calc!$AF$6="","",AVERAGEIFS(INDEX(tblY10[#Data],0,MATCH(Calc!$AF$6&amp;CHAR(10)&amp;"Raw Score",tblY10[#Headers],0)),tblY10[Class],$B53)/Calc!$AG$6),""))</f>
        <v>0.175438596491228</v>
      </c>
      <c r="L53" s="34">
        <f>IF($B53="","",IFERROR(IF(Calc!$AF$6="","",AVERAGEIFS(INDEX(tblY10[#Data],0,MATCH(Calc!$AF$6&amp;CHAR(10)&amp;"Stanine",tblY10[#Headers],0)),tblY10[Class],$B53)),""))</f>
        <v>1.66666666666667</v>
      </c>
      <c r="M53" s="36">
        <f>IF($B53="","",IFERROR(IF(Calc!$AF$6="","",(COUNTIFS(INDEX(tblY10[#Data],0,MATCH(Calc!$AF$6&amp;CHAR(10)&amp;"Raw Score",tblY10[#Headers],0)),"&gt;=0",tblY10[Class],$B53)+COUNTIFS(INDEX(tblY10[#Data],0,MATCH(Calc!$AF$6&amp;CHAR(10)&amp;"Raw Score",tblY10[#Headers],0)),"A",tblY10[Class],$B53))/COUNTIF(tblY10[Class],$B53)),""))</f>
        <v>1</v>
      </c>
    </row>
    <row r="54">
      <c r="B54" s="31" t="str">
        <f>Calc!V9</f>
        <v/>
      </c>
      <c r="C54" s="32" t="str">
        <f>IF($B54="","",IFERROR(INDEX(tblTeachers[Teacher],MATCH("Year 10"&amp;"|"&amp;$B54,tblTeachers[Key],0))&amp;"",""))</f>
        <v/>
      </c>
      <c r="D54" s="33" t="str">
        <f>IF($B54="","",IFERROR(COUNTIF(tblY10[Class],$B54),""))</f>
        <v/>
      </c>
      <c r="E54" s="34" t="str">
        <f>IF($B54="","",IFERROR(AVERAGEIFS(tblY10[Avg KS2 Band],tblY10[Class],$B54),""))</f>
        <v/>
      </c>
      <c r="F54" s="34" t="str">
        <f>IF($B54="","",IFERROR(AVERAGEIFS(tblY10[Tests Sat],tblY10[Class],$B54),""))</f>
        <v/>
      </c>
      <c r="G54" s="34" t="str">
        <f>IF($B54="","",IFERROR(AVERAGEIFS(tblY10[Mean Stanine],tblY10[Class],$B54),""))</f>
        <v/>
      </c>
      <c r="H54" s="35" t="str">
        <f>IF($B54="","",IFERROR(AVERAGEIFS(tblY10[vs KS2 Band],tblY10[Class],$B54),""))</f>
        <v/>
      </c>
      <c r="I54" s="36" t="str">
        <f>IF($B54="","",IFERROR(SUMPRODUCT((tblY10[Class]=$B54)*(RIGHT(tblY10[#Headers],8)=CHAR(10)&amp;"Stanine")*ISNUMBER(tblY10[#Data])*(tblY10[#Data]&gt;=7))/SUMPRODUCT((tblY10[Class]=$B54)*(RIGHT(tblY10[#Headers],8)=CHAR(10)&amp;"Stanine")*ISNUMBER(tblY10[#Data])),""))</f>
        <v/>
      </c>
      <c r="J54" s="36" t="str">
        <f>IF($B54="","",IFERROR(SUMPRODUCT((tblY10[Class]=$B54)*(RIGHT(tblY10[#Headers],8)=CHAR(10)&amp;"Stanine")*ISNUMBER(tblY10[#Data])*(tblY10[#Data]&lt;=3))/SUMPRODUCT((tblY10[Class]=$B54)*(RIGHT(tblY10[#Headers],8)=CHAR(10)&amp;"Stanine")*ISNUMBER(tblY10[#Data])),""))</f>
        <v/>
      </c>
      <c r="K54" s="36" t="str">
        <f>IF($B54="","",IFERROR(IF(Calc!$AF$6="","",AVERAGEIFS(INDEX(tblY10[#Data],0,MATCH(Calc!$AF$6&amp;CHAR(10)&amp;"Raw Score",tblY10[#Headers],0)),tblY10[Class],$B54)/Calc!$AG$6),""))</f>
        <v/>
      </c>
      <c r="L54" s="34" t="str">
        <f>IF($B54="","",IFERROR(IF(Calc!$AF$6="","",AVERAGEIFS(INDEX(tblY10[#Data],0,MATCH(Calc!$AF$6&amp;CHAR(10)&amp;"Stanine",tblY10[#Headers],0)),tblY10[Class],$B54)),""))</f>
        <v/>
      </c>
      <c r="M54" s="36" t="str">
        <f>IF($B54="","",IFERROR(IF(Calc!$AF$6="","",(COUNTIFS(INDEX(tblY10[#Data],0,MATCH(Calc!$AF$6&amp;CHAR(10)&amp;"Raw Score",tblY10[#Headers],0)),"&gt;=0",tblY10[Class],$B54)+COUNTIFS(INDEX(tblY10[#Data],0,MATCH(Calc!$AF$6&amp;CHAR(10)&amp;"Raw Score",tblY10[#Headers],0)),"A",tblY10[Class],$B54))/COUNTIF(tblY10[Class],$B54)),""))</f>
        <v/>
      </c>
    </row>
    <row r="55">
      <c r="B55" s="31" t="str">
        <f>Calc!V10</f>
        <v/>
      </c>
      <c r="C55" s="32" t="str">
        <f>IF($B55="","",IFERROR(INDEX(tblTeachers[Teacher],MATCH("Year 10"&amp;"|"&amp;$B55,tblTeachers[Key],0))&amp;"",""))</f>
        <v/>
      </c>
      <c r="D55" s="33" t="str">
        <f>IF($B55="","",IFERROR(COUNTIF(tblY10[Class],$B55),""))</f>
        <v/>
      </c>
      <c r="E55" s="34" t="str">
        <f>IF($B55="","",IFERROR(AVERAGEIFS(tblY10[Avg KS2 Band],tblY10[Class],$B55),""))</f>
        <v/>
      </c>
      <c r="F55" s="34" t="str">
        <f>IF($B55="","",IFERROR(AVERAGEIFS(tblY10[Tests Sat],tblY10[Class],$B55),""))</f>
        <v/>
      </c>
      <c r="G55" s="34" t="str">
        <f>IF($B55="","",IFERROR(AVERAGEIFS(tblY10[Mean Stanine],tblY10[Class],$B55),""))</f>
        <v/>
      </c>
      <c r="H55" s="35" t="str">
        <f>IF($B55="","",IFERROR(AVERAGEIFS(tblY10[vs KS2 Band],tblY10[Class],$B55),""))</f>
        <v/>
      </c>
      <c r="I55" s="36" t="str">
        <f>IF($B55="","",IFERROR(SUMPRODUCT((tblY10[Class]=$B55)*(RIGHT(tblY10[#Headers],8)=CHAR(10)&amp;"Stanine")*ISNUMBER(tblY10[#Data])*(tblY10[#Data]&gt;=7))/SUMPRODUCT((tblY10[Class]=$B55)*(RIGHT(tblY10[#Headers],8)=CHAR(10)&amp;"Stanine")*ISNUMBER(tblY10[#Data])),""))</f>
        <v/>
      </c>
      <c r="J55" s="36" t="str">
        <f>IF($B55="","",IFERROR(SUMPRODUCT((tblY10[Class]=$B55)*(RIGHT(tblY10[#Headers],8)=CHAR(10)&amp;"Stanine")*ISNUMBER(tblY10[#Data])*(tblY10[#Data]&lt;=3))/SUMPRODUCT((tblY10[Class]=$B55)*(RIGHT(tblY10[#Headers],8)=CHAR(10)&amp;"Stanine")*ISNUMBER(tblY10[#Data])),""))</f>
        <v/>
      </c>
      <c r="K55" s="36" t="str">
        <f>IF($B55="","",IFERROR(IF(Calc!$AF$6="","",AVERAGEIFS(INDEX(tblY10[#Data],0,MATCH(Calc!$AF$6&amp;CHAR(10)&amp;"Raw Score",tblY10[#Headers],0)),tblY10[Class],$B55)/Calc!$AG$6),""))</f>
        <v/>
      </c>
      <c r="L55" s="34" t="str">
        <f>IF($B55="","",IFERROR(IF(Calc!$AF$6="","",AVERAGEIFS(INDEX(tblY10[#Data],0,MATCH(Calc!$AF$6&amp;CHAR(10)&amp;"Stanine",tblY10[#Headers],0)),tblY10[Class],$B55)),""))</f>
        <v/>
      </c>
      <c r="M55" s="36" t="str">
        <f>IF($B55="","",IFERROR(IF(Calc!$AF$6="","",(COUNTIFS(INDEX(tblY10[#Data],0,MATCH(Calc!$AF$6&amp;CHAR(10)&amp;"Raw Score",tblY10[#Headers],0)),"&gt;=0",tblY10[Class],$B55)+COUNTIFS(INDEX(tblY10[#Data],0,MATCH(Calc!$AF$6&amp;CHAR(10)&amp;"Raw Score",tblY10[#Headers],0)),"A",tblY10[Class],$B55))/COUNTIF(tblY10[Class],$B55)),""))</f>
        <v/>
      </c>
    </row>
    <row r="57" ht="22" customHeight="1">
      <c r="B57" s="22" t="inlineStr">
        <is>
          <t>Year 11</t>
        </is>
      </c>
      <c r="C57" s="23" t="str">
        <f>"Leaves "&amp;Settings!$C$19&amp;"   ·   "&amp;COUNTA(tblY11[Preferred Last name])&amp;" students   ·   "&amp;Calc!$AI$7&amp;" tests"</f>
        <v>Leaves 2027   ·   106 students   ·   6 tests</v>
      </c>
      <c r="D57" s="24" t="n"/>
      <c r="E57" s="24" t="n"/>
      <c r="F57" s="24" t="n"/>
      <c r="G57" s="24" t="n"/>
      <c r="H57" s="25" t="str">
        <f>IF(Calc!$AF$7="","No tests yet","Latest test: "&amp;Calc!$AF$7&amp;IF(ISNUMBER(Calc!$AH$7),"  ("&amp;TEXT(Calc!$AH$7,"dd/mm/yyyy")&amp;")",""))</f>
        <v>Latest test: 4P07 - Magnetism  (05/12/2026)</v>
      </c>
      <c r="I57" s="24" t="n"/>
      <c r="J57" s="24" t="n"/>
      <c r="K57" s="24" t="n"/>
      <c r="L57" s="24" t="n"/>
      <c r="M57" s="24" t="n"/>
    </row>
    <row r="58" ht="30" customHeight="1">
      <c r="B58" s="7" t="inlineStr">
        <is>
          <t>Class</t>
        </is>
      </c>
      <c r="C58" s="7" t="inlineStr">
        <is>
          <t>Teacher</t>
        </is>
      </c>
      <c r="D58" s="7" t="inlineStr">
        <is>
          <t>Students</t>
        </is>
      </c>
      <c r="E58" s="7" t="inlineStr">
        <is>
          <t>KS2 band
(mean)</t>
        </is>
      </c>
      <c r="F58" s="7" t="inlineStr">
        <is>
          <t>Tests sat
(mean)</t>
        </is>
      </c>
      <c r="G58" s="7" t="inlineStr">
        <is>
          <t>Mean
stanine</t>
        </is>
      </c>
      <c r="H58" s="7" t="inlineStr">
        <is>
          <t>vs KS2
band</t>
        </is>
      </c>
      <c r="I58" s="7" t="inlineStr">
        <is>
          <t>Results at
stanine 7-9</t>
        </is>
      </c>
      <c r="J58" s="7" t="inlineStr">
        <is>
          <t>Results at
stanine 1-3</t>
        </is>
      </c>
      <c r="K58" s="7" t="inlineStr">
        <is>
          <t>Latest test
mean %</t>
        </is>
      </c>
      <c r="L58" s="7" t="inlineStr">
        <is>
          <t>Latest test
mean stanine</t>
        </is>
      </c>
      <c r="M58" s="7" t="inlineStr">
        <is>
          <t>Latest test
completion</t>
        </is>
      </c>
    </row>
    <row r="59">
      <c r="B59" s="26" t="inlineStr">
        <is>
          <t>Whole year</t>
        </is>
      </c>
      <c r="D59" s="27">
        <f>IFERROR(COUNTA(tblY11[Preferred Last name]),"")</f>
        <v>106</v>
      </c>
      <c r="E59" s="28">
        <f>IFERROR(AVERAGE(tblY11[Avg KS2 Band]),"")</f>
        <v>4.91428571428572</v>
      </c>
      <c r="F59" s="28">
        <f>IFERROR(AVERAGE(tblY11[Tests Sat]),"")</f>
        <v>5.78301886792453</v>
      </c>
      <c r="G59" s="28">
        <f>IFERROR(AVERAGE(tblY11[Mean Stanine]),"")</f>
        <v>4.98616352201258</v>
      </c>
      <c r="H59" s="29">
        <f>IFERROR(AVERAGE(tblY11[vs KS2 Band]),"")</f>
        <v>0.0717460317460317</v>
      </c>
      <c r="I59" s="30">
        <f>IFERROR(SUMPRODUCT((RIGHT(tblY11[#Headers],8)=CHAR(10)&amp;"Stanine")*ISNUMBER(tblY11[#Data])*(tblY11[#Data]&gt;=7))/SUMPRODUCT((RIGHT(tblY11[#Headers],8)=CHAR(10)&amp;"Stanine")*ISNUMBER(tblY11[#Data])),"")</f>
        <v>0.269168026101142</v>
      </c>
      <c r="J59" s="30">
        <f>IFERROR(SUMPRODUCT((RIGHT(tblY11[#Headers],8)=CHAR(10)&amp;"Stanine")*ISNUMBER(tblY11[#Data])*(tblY11[#Data]&lt;=3))/SUMPRODUCT((RIGHT(tblY11[#Headers],8)=CHAR(10)&amp;"Stanine")*ISNUMBER(tblY11[#Data])),"")</f>
        <v>0.274061990212072</v>
      </c>
      <c r="K59" s="30">
        <f>IFERROR(IF(Calc!$AF$7="","",AVERAGE(INDEX(tblY11[#Data],0,MATCH(Calc!$AF$7&amp;CHAR(10)&amp;"Raw Score",tblY11[#Headers],0)))/Calc!$AG$7),"")</f>
        <v>0.436517181129878</v>
      </c>
      <c r="L59" s="28">
        <f>IFERROR(IF(Calc!$AF$7="","",AVERAGE(INDEX(tblY11[#Data],0,MATCH(Calc!$AF$7&amp;CHAR(10)&amp;"Stanine",tblY11[#Headers],0)))),"")</f>
        <v>5.03960396039604</v>
      </c>
      <c r="M59" s="30">
        <f>IFERROR(IF(Calc!$AF$7="","",(COUNTIFS(INDEX(tblY11[#Data],0,MATCH(Calc!$AF$7&amp;CHAR(10)&amp;"Raw Score",tblY11[#Headers],0)),"&gt;=0")+COUNTIFS(INDEX(tblY11[#Data],0,MATCH(Calc!$AF$7&amp;CHAR(10)&amp;"Raw Score",tblY11[#Headers],0)),"A"))/COUNTA(tblY11[Preferred Last name])),"")</f>
        <v>1</v>
      </c>
    </row>
    <row r="60">
      <c r="B60" s="31" t="str">
        <f>Calc!W3</f>
        <v>11S/Sc1</v>
      </c>
      <c r="C60" s="32" t="str">
        <f>IF($B60="","",IFERROR(INDEX(tblTeachers[Teacher],MATCH("Year 11"&amp;"|"&amp;$B60,tblTeachers[Key],0))&amp;"",""))</f>
        <v>Ms Rahman</v>
      </c>
      <c r="D60" s="33">
        <f>IF($B60="","",IFERROR(COUNTIF(tblY11[Class],$B60),""))</f>
        <v>28</v>
      </c>
      <c r="E60" s="34">
        <f>IF($B60="","",IFERROR(AVERAGEIFS(tblY11[Avg KS2 Band],tblY11[Class],$B60),""))</f>
        <v>6.67857142857143</v>
      </c>
      <c r="F60" s="34">
        <f>IF($B60="","",IFERROR(AVERAGEIFS(tblY11[Tests Sat],tblY11[Class],$B60),""))</f>
        <v>5.75</v>
      </c>
      <c r="G60" s="34">
        <f>IF($B60="","",IFERROR(AVERAGEIFS(tblY11[Mean Stanine],tblY11[Class],$B60),""))</f>
        <v>6.70595238095238</v>
      </c>
      <c r="H60" s="35">
        <f>IF($B60="","",IFERROR(AVERAGEIFS(tblY11[vs KS2 Band],tblY11[Class],$B60),""))</f>
        <v>0.0273809523809523</v>
      </c>
      <c r="I60" s="36">
        <f>IF($B60="","",IFERROR(SUMPRODUCT((tblY11[Class]=$B60)*(RIGHT(tblY11[#Headers],8)=CHAR(10)&amp;"Stanine")*ISNUMBER(tblY11[#Data])*(tblY11[#Data]&gt;=7))/SUMPRODUCT((tblY11[Class]=$B60)*(RIGHT(tblY11[#Headers],8)=CHAR(10)&amp;"Stanine")*ISNUMBER(tblY11[#Data])),""))</f>
        <v>0.546583850931677</v>
      </c>
      <c r="J60" s="36">
        <f>IF($B60="","",IFERROR(SUMPRODUCT((tblY11[Class]=$B60)*(RIGHT(tblY11[#Headers],8)=CHAR(10)&amp;"Stanine")*ISNUMBER(tblY11[#Data])*(tblY11[#Data]&lt;=3))/SUMPRODUCT((tblY11[Class]=$B60)*(RIGHT(tblY11[#Headers],8)=CHAR(10)&amp;"Stanine")*ISNUMBER(tblY11[#Data])),""))</f>
        <v>0</v>
      </c>
      <c r="K60" s="36">
        <f>IF($B60="","",IFERROR(IF(Calc!$AF$7="","",AVERAGEIFS(INDEX(tblY11[#Data],0,MATCH(Calc!$AF$7&amp;CHAR(10)&amp;"Raw Score",tblY11[#Headers],0)),tblY11[Class],$B60)/Calc!$AG$7),""))</f>
        <v>0.628540305010893</v>
      </c>
      <c r="L60" s="34">
        <f>IF($B60="","",IFERROR(IF(Calc!$AF$7="","",AVERAGEIFS(INDEX(tblY11[#Data],0,MATCH(Calc!$AF$7&amp;CHAR(10)&amp;"Stanine",tblY11[#Headers],0)),tblY11[Class],$B60)),""))</f>
        <v>6.77777777777778</v>
      </c>
      <c r="M60" s="36">
        <f>IF($B60="","",IFERROR(IF(Calc!$AF$7="","",(COUNTIFS(INDEX(tblY11[#Data],0,MATCH(Calc!$AF$7&amp;CHAR(10)&amp;"Raw Score",tblY11[#Headers],0)),"&gt;=0",tblY11[Class],$B60)+COUNTIFS(INDEX(tblY11[#Data],0,MATCH(Calc!$AF$7&amp;CHAR(10)&amp;"Raw Score",tblY11[#Headers],0)),"A",tblY11[Class],$B60))/COUNTIF(tblY11[Class],$B60)),""))</f>
        <v>1</v>
      </c>
    </row>
    <row r="61">
      <c r="B61" s="31" t="str">
        <f>Calc!W4</f>
        <v>11S/Sc2</v>
      </c>
      <c r="C61" s="32" t="str">
        <f>IF($B61="","",IFERROR(INDEX(tblTeachers[Teacher],MATCH("Year 11"&amp;"|"&amp;$B61,tblTeachers[Key],0))&amp;"",""))</f>
        <v>Mrs Evans</v>
      </c>
      <c r="D61" s="33">
        <f>IF($B61="","",IFERROR(COUNTIF(tblY11[Class],$B61),""))</f>
        <v>26</v>
      </c>
      <c r="E61" s="34">
        <f>IF($B61="","",IFERROR(AVERAGEIFS(tblY11[Avg KS2 Band],tblY11[Class],$B61),""))</f>
        <v>5.57692307692308</v>
      </c>
      <c r="F61" s="34">
        <f>IF($B61="","",IFERROR(AVERAGEIFS(tblY11[Tests Sat],tblY11[Class],$B61),""))</f>
        <v>5.80769230769231</v>
      </c>
      <c r="G61" s="34">
        <f>IF($B61="","",IFERROR(AVERAGEIFS(tblY11[Mean Stanine],tblY11[Class],$B61),""))</f>
        <v>5.83974358974359</v>
      </c>
      <c r="H61" s="35">
        <f>IF($B61="","",IFERROR(AVERAGEIFS(tblY11[vs KS2 Band],tblY11[Class],$B61),""))</f>
        <v>0.262820512820513</v>
      </c>
      <c r="I61" s="36">
        <f>IF($B61="","",IFERROR(SUMPRODUCT((tblY11[Class]=$B61)*(RIGHT(tblY11[#Headers],8)=CHAR(10)&amp;"Stanine")*ISNUMBER(tblY11[#Data])*(tblY11[#Data]&gt;=7))/SUMPRODUCT((tblY11[Class]=$B61)*(RIGHT(tblY11[#Headers],8)=CHAR(10)&amp;"Stanine")*ISNUMBER(tblY11[#Data])),""))</f>
        <v>0.364238410596026</v>
      </c>
      <c r="J61" s="36">
        <f>IF($B61="","",IFERROR(SUMPRODUCT((tblY11[Class]=$B61)*(RIGHT(tblY11[#Headers],8)=CHAR(10)&amp;"Stanine")*ISNUMBER(tblY11[#Data])*(tblY11[#Data]&lt;=3))/SUMPRODUCT((tblY11[Class]=$B61)*(RIGHT(tblY11[#Headers],8)=CHAR(10)&amp;"Stanine")*ISNUMBER(tblY11[#Data])),""))</f>
        <v>0.0463576158940397</v>
      </c>
      <c r="K61" s="36">
        <f>IF($B61="","",IFERROR(IF(Calc!$AF$7="","",AVERAGEIFS(INDEX(tblY11[#Data],0,MATCH(Calc!$AF$7&amp;CHAR(10)&amp;"Raw Score",tblY11[#Headers],0)),tblY11[Class],$B61)/Calc!$AG$7),""))</f>
        <v>0.515294117647059</v>
      </c>
      <c r="L61" s="34">
        <f>IF($B61="","",IFERROR(IF(Calc!$AF$7="","",AVERAGEIFS(INDEX(tblY11[#Data],0,MATCH(Calc!$AF$7&amp;CHAR(10)&amp;"Stanine",tblY11[#Headers],0)),tblY11[Class],$B61)),""))</f>
        <v>5.84</v>
      </c>
      <c r="M61" s="36">
        <f>IF($B61="","",IFERROR(IF(Calc!$AF$7="","",(COUNTIFS(INDEX(tblY11[#Data],0,MATCH(Calc!$AF$7&amp;CHAR(10)&amp;"Raw Score",tblY11[#Headers],0)),"&gt;=0",tblY11[Class],$B61)+COUNTIFS(INDEX(tblY11[#Data],0,MATCH(Calc!$AF$7&amp;CHAR(10)&amp;"Raw Score",tblY11[#Headers],0)),"A",tblY11[Class],$B61))/COUNTIF(tblY11[Class],$B61)),""))</f>
        <v>1</v>
      </c>
    </row>
    <row r="62">
      <c r="B62" s="31" t="str">
        <f>Calc!W5</f>
        <v>11S/Sc3</v>
      </c>
      <c r="C62" s="32" t="str">
        <f>IF($B62="","",IFERROR(INDEX(tblTeachers[Teacher],MATCH("Year 11"&amp;"|"&amp;$B62,tblTeachers[Key],0))&amp;"",""))</f>
        <v>Mr Owen</v>
      </c>
      <c r="D62" s="33">
        <f>IF($B62="","",IFERROR(COUNTIF(tblY11[Class],$B62),""))</f>
        <v>21</v>
      </c>
      <c r="E62" s="34">
        <f>IF($B62="","",IFERROR(AVERAGEIFS(tblY11[Avg KS2 Band],tblY11[Class],$B62),""))</f>
        <v>4.25</v>
      </c>
      <c r="F62" s="34">
        <f>IF($B62="","",IFERROR(AVERAGEIFS(tblY11[Tests Sat],tblY11[Class],$B62),""))</f>
        <v>5.80952380952381</v>
      </c>
      <c r="G62" s="34">
        <f>IF($B62="","",IFERROR(AVERAGEIFS(tblY11[Mean Stanine],tblY11[Class],$B62),""))</f>
        <v>4.31904761904762</v>
      </c>
      <c r="H62" s="35">
        <f>IF($B62="","",IFERROR(AVERAGEIFS(tblY11[vs KS2 Band],tblY11[Class],$B62),""))</f>
        <v>0.035</v>
      </c>
      <c r="I62" s="36">
        <f>IF($B62="","",IFERROR(SUMPRODUCT((tblY11[Class]=$B62)*(RIGHT(tblY11[#Headers],8)=CHAR(10)&amp;"Stanine")*ISNUMBER(tblY11[#Data])*(tblY11[#Data]&gt;=7))/SUMPRODUCT((tblY11[Class]=$B62)*(RIGHT(tblY11[#Headers],8)=CHAR(10)&amp;"Stanine")*ISNUMBER(tblY11[#Data])),""))</f>
        <v>0.172131147540984</v>
      </c>
      <c r="J62" s="36">
        <f>IF($B62="","",IFERROR(SUMPRODUCT((tblY11[Class]=$B62)*(RIGHT(tblY11[#Headers],8)=CHAR(10)&amp;"Stanine")*ISNUMBER(tblY11[#Data])*(tblY11[#Data]&lt;=3))/SUMPRODUCT((tblY11[Class]=$B62)*(RIGHT(tblY11[#Headers],8)=CHAR(10)&amp;"Stanine")*ISNUMBER(tblY11[#Data])),""))</f>
        <v>0.368852459016393</v>
      </c>
      <c r="K62" s="36">
        <f>IF($B62="","",IFERROR(IF(Calc!$AF$7="","",AVERAGEIFS(INDEX(tblY11[#Data],0,MATCH(Calc!$AF$7&amp;CHAR(10)&amp;"Raw Score",tblY11[#Headers],0)),tblY11[Class],$B62)/Calc!$AG$7),""))</f>
        <v>0.382352941176471</v>
      </c>
      <c r="L62" s="34">
        <f>IF($B62="","",IFERROR(IF(Calc!$AF$7="","",AVERAGEIFS(INDEX(tblY11[#Data],0,MATCH(Calc!$AF$7&amp;CHAR(10)&amp;"Stanine",tblY11[#Headers],0)),tblY11[Class],$B62)),""))</f>
        <v>4.47368421052632</v>
      </c>
      <c r="M62" s="36">
        <f>IF($B62="","",IFERROR(IF(Calc!$AF$7="","",(COUNTIFS(INDEX(tblY11[#Data],0,MATCH(Calc!$AF$7&amp;CHAR(10)&amp;"Raw Score",tblY11[#Headers],0)),"&gt;=0",tblY11[Class],$B62)+COUNTIFS(INDEX(tblY11[#Data],0,MATCH(Calc!$AF$7&amp;CHAR(10)&amp;"Raw Score",tblY11[#Headers],0)),"A",tblY11[Class],$B62))/COUNTIF(tblY11[Class],$B62)),""))</f>
        <v>1</v>
      </c>
    </row>
    <row r="63">
      <c r="B63" s="31" t="str">
        <f>Calc!W6</f>
        <v>11S/Sc4</v>
      </c>
      <c r="C63" s="32" t="str">
        <f>IF($B63="","",IFERROR(INDEX(tblTeachers[Teacher],MATCH("Year 11"&amp;"|"&amp;$B63,tblTeachers[Key],0))&amp;"",""))</f>
        <v>Mrs Singh</v>
      </c>
      <c r="D63" s="33">
        <f>IF($B63="","",IFERROR(COUNTIF(tblY11[Class],$B63),""))</f>
        <v>13</v>
      </c>
      <c r="E63" s="34">
        <f>IF($B63="","",IFERROR(AVERAGEIFS(tblY11[Avg KS2 Band],tblY11[Class],$B63),""))</f>
        <v>3.76923076923077</v>
      </c>
      <c r="F63" s="34">
        <f>IF($B63="","",IFERROR(AVERAGEIFS(tblY11[Tests Sat],tblY11[Class],$B63),""))</f>
        <v>5.76923076923077</v>
      </c>
      <c r="G63" s="34">
        <f>IF($B63="","",IFERROR(AVERAGEIFS(tblY11[Mean Stanine],tblY11[Class],$B63),""))</f>
        <v>3.58205128205128</v>
      </c>
      <c r="H63" s="35">
        <f>IF($B63="","",IFERROR(AVERAGEIFS(tblY11[vs KS2 Band],tblY11[Class],$B63),""))</f>
        <v>-0.187179487179487</v>
      </c>
      <c r="I63" s="36">
        <f>IF($B63="","",IFERROR(SUMPRODUCT((tblY11[Class]=$B63)*(RIGHT(tblY11[#Headers],8)=CHAR(10)&amp;"Stanine")*ISNUMBER(tblY11[#Data])*(tblY11[#Data]&gt;=7))/SUMPRODUCT((tblY11[Class]=$B63)*(RIGHT(tblY11[#Headers],8)=CHAR(10)&amp;"Stanine")*ISNUMBER(tblY11[#Data])),""))</f>
        <v>0.0133333333333333</v>
      </c>
      <c r="J63" s="36">
        <f>IF($B63="","",IFERROR(SUMPRODUCT((tblY11[Class]=$B63)*(RIGHT(tblY11[#Headers],8)=CHAR(10)&amp;"Stanine")*ISNUMBER(tblY11[#Data])*(tblY11[#Data]&lt;=3))/SUMPRODUCT((tblY11[Class]=$B63)*(RIGHT(tblY11[#Headers],8)=CHAR(10)&amp;"Stanine")*ISNUMBER(tblY11[#Data])),""))</f>
        <v>0.506666666666667</v>
      </c>
      <c r="K63" s="36">
        <f>IF($B63="","",IFERROR(IF(Calc!$AF$7="","",AVERAGEIFS(INDEX(tblY11[#Data],0,MATCH(Calc!$AF$7&amp;CHAR(10)&amp;"Raw Score",tblY11[#Headers],0)),tblY11[Class],$B63)/Calc!$AG$7),""))</f>
        <v>0.305429864253394</v>
      </c>
      <c r="L63" s="34">
        <f>IF($B63="","",IFERROR(IF(Calc!$AF$7="","",AVERAGEIFS(INDEX(tblY11[#Data],0,MATCH(Calc!$AF$7&amp;CHAR(10)&amp;"Stanine",tblY11[#Headers],0)),tblY11[Class],$B63)),""))</f>
        <v>3.84615384615385</v>
      </c>
      <c r="M63" s="36">
        <f>IF($B63="","",IFERROR(IF(Calc!$AF$7="","",(COUNTIFS(INDEX(tblY11[#Data],0,MATCH(Calc!$AF$7&amp;CHAR(10)&amp;"Raw Score",tblY11[#Headers],0)),"&gt;=0",tblY11[Class],$B63)+COUNTIFS(INDEX(tblY11[#Data],0,MATCH(Calc!$AF$7&amp;CHAR(10)&amp;"Raw Score",tblY11[#Headers],0)),"A",tblY11[Class],$B63))/COUNTIF(tblY11[Class],$B63)),""))</f>
        <v>1</v>
      </c>
    </row>
    <row r="64">
      <c r="B64" s="31" t="str">
        <f>Calc!W7</f>
        <v>11S/Sc5</v>
      </c>
      <c r="C64" s="32" t="str">
        <f>IF($B64="","",IFERROR(INDEX(tblTeachers[Teacher],MATCH("Year 11"&amp;"|"&amp;$B64,tblTeachers[Key],0))&amp;"",""))</f>
        <v>Ms Novak</v>
      </c>
      <c r="D64" s="33">
        <f>IF($B64="","",IFERROR(COUNTIF(tblY11[Class],$B64),""))</f>
        <v>13</v>
      </c>
      <c r="E64" s="34">
        <f>IF($B64="","",IFERROR(AVERAGEIFS(tblY11[Avg KS2 Band],tblY11[Class],$B64),""))</f>
        <v>2.84615384615385</v>
      </c>
      <c r="F64" s="34">
        <f>IF($B64="","",IFERROR(AVERAGEIFS(tblY11[Tests Sat],tblY11[Class],$B64),""))</f>
        <v>6</v>
      </c>
      <c r="G64" s="34">
        <f>IF($B64="","",IFERROR(AVERAGEIFS(tblY11[Mean Stanine],tblY11[Class],$B64),""))</f>
        <v>3.01282051282051</v>
      </c>
      <c r="H64" s="35">
        <f>IF($B64="","",IFERROR(AVERAGEIFS(tblY11[vs KS2 Band],tblY11[Class],$B64),""))</f>
        <v>0.166666666666667</v>
      </c>
      <c r="I64" s="36">
        <f>IF($B64="","",IFERROR(SUMPRODUCT((tblY11[Class]=$B64)*(RIGHT(tblY11[#Headers],8)=CHAR(10)&amp;"Stanine")*ISNUMBER(tblY11[#Data])*(tblY11[#Data]&gt;=7))/SUMPRODUCT((tblY11[Class]=$B64)*(RIGHT(tblY11[#Headers],8)=CHAR(10)&amp;"Stanine")*ISNUMBER(tblY11[#Data])),""))</f>
        <v>0</v>
      </c>
      <c r="J64" s="36">
        <f>IF($B64="","",IFERROR(SUMPRODUCT((tblY11[Class]=$B64)*(RIGHT(tblY11[#Headers],8)=CHAR(10)&amp;"Stanine")*ISNUMBER(tblY11[#Data])*(tblY11[#Data]&lt;=3))/SUMPRODUCT((tblY11[Class]=$B64)*(RIGHT(tblY11[#Headers],8)=CHAR(10)&amp;"Stanine")*ISNUMBER(tblY11[#Data])),""))</f>
        <v>0.717948717948718</v>
      </c>
      <c r="K64" s="36">
        <f>IF($B64="","",IFERROR(IF(Calc!$AF$7="","",AVERAGEIFS(INDEX(tblY11[#Data],0,MATCH(Calc!$AF$7&amp;CHAR(10)&amp;"Raw Score",tblY11[#Headers],0)),tblY11[Class],$B64)/Calc!$AG$7),""))</f>
        <v>0.190045248868778</v>
      </c>
      <c r="L64" s="34">
        <f>IF($B64="","",IFERROR(IF(Calc!$AF$7="","",AVERAGEIFS(INDEX(tblY11[#Data],0,MATCH(Calc!$AF$7&amp;CHAR(10)&amp;"Stanine",tblY11[#Headers],0)),tblY11[Class],$B64)),""))</f>
        <v>2.76923076923077</v>
      </c>
      <c r="M64" s="36">
        <f>IF($B64="","",IFERROR(IF(Calc!$AF$7="","",(COUNTIFS(INDEX(tblY11[#Data],0,MATCH(Calc!$AF$7&amp;CHAR(10)&amp;"Raw Score",tblY11[#Headers],0)),"&gt;=0",tblY11[Class],$B64)+COUNTIFS(INDEX(tblY11[#Data],0,MATCH(Calc!$AF$7&amp;CHAR(10)&amp;"Raw Score",tblY11[#Headers],0)),"A",tblY11[Class],$B64))/COUNTIF(tblY11[Class],$B64)),""))</f>
        <v>1</v>
      </c>
    </row>
    <row r="65">
      <c r="B65" s="31" t="str">
        <f>Calc!W8</f>
        <v>Science Support</v>
      </c>
      <c r="C65" s="32" t="str">
        <f>IF($B65="","",IFERROR(INDEX(tblTeachers[Teacher],MATCH("Year 11"&amp;"|"&amp;$B65,tblTeachers[Key],0))&amp;"",""))</f>
        <v>Ms Novak</v>
      </c>
      <c r="D65" s="33">
        <f>IF($B65="","",IFERROR(COUNTIF(tblY11[Class],$B65),""))</f>
        <v>5</v>
      </c>
      <c r="E65" s="34">
        <f>IF($B65="","",IFERROR(AVERAGEIFS(tblY11[Avg KS2 Band],tblY11[Class],$B65),""))</f>
        <v>2.6</v>
      </c>
      <c r="F65" s="34">
        <f>IF($B65="","",IFERROR(AVERAGEIFS(tblY11[Tests Sat],tblY11[Class],$B65),""))</f>
        <v>5.2</v>
      </c>
      <c r="G65" s="34">
        <f>IF($B65="","",IFERROR(AVERAGEIFS(tblY11[Mean Stanine],tblY11[Class],$B65),""))</f>
        <v>2.5</v>
      </c>
      <c r="H65" s="35">
        <f>IF($B65="","",IFERROR(AVERAGEIFS(tblY11[vs KS2 Band],tblY11[Class],$B65),""))</f>
        <v>-0.1</v>
      </c>
      <c r="I65" s="36">
        <f>IF($B65="","",IFERROR(SUMPRODUCT((tblY11[Class]=$B65)*(RIGHT(tblY11[#Headers],8)=CHAR(10)&amp;"Stanine")*ISNUMBER(tblY11[#Data])*(tblY11[#Data]&gt;=7))/SUMPRODUCT((tblY11[Class]=$B65)*(RIGHT(tblY11[#Headers],8)=CHAR(10)&amp;"Stanine")*ISNUMBER(tblY11[#Data])),""))</f>
        <v>0</v>
      </c>
      <c r="J65" s="36">
        <f>IF($B65="","",IFERROR(SUMPRODUCT((tblY11[Class]=$B65)*(RIGHT(tblY11[#Headers],8)=CHAR(10)&amp;"Stanine")*ISNUMBER(tblY11[#Data])*(tblY11[#Data]&lt;=3))/SUMPRODUCT((tblY11[Class]=$B65)*(RIGHT(tblY11[#Headers],8)=CHAR(10)&amp;"Stanine")*ISNUMBER(tblY11[#Data])),""))</f>
        <v>0.846153846153846</v>
      </c>
      <c r="K65" s="36">
        <f>IF($B65="","",IFERROR(IF(Calc!$AF$7="","",AVERAGEIFS(INDEX(tblY11[#Data],0,MATCH(Calc!$AF$7&amp;CHAR(10)&amp;"Raw Score",tblY11[#Headers],0)),tblY11[Class],$B65)/Calc!$AG$7),""))</f>
        <v>0.132352941176471</v>
      </c>
      <c r="L65" s="34">
        <f>IF($B65="","",IFERROR(IF(Calc!$AF$7="","",AVERAGEIFS(INDEX(tblY11[#Data],0,MATCH(Calc!$AF$7&amp;CHAR(10)&amp;"Stanine",tblY11[#Headers],0)),tblY11[Class],$B65)),""))</f>
        <v>2.25</v>
      </c>
      <c r="M65" s="36">
        <f>IF($B65="","",IFERROR(IF(Calc!$AF$7="","",(COUNTIFS(INDEX(tblY11[#Data],0,MATCH(Calc!$AF$7&amp;CHAR(10)&amp;"Raw Score",tblY11[#Headers],0)),"&gt;=0",tblY11[Class],$B65)+COUNTIFS(INDEX(tblY11[#Data],0,MATCH(Calc!$AF$7&amp;CHAR(10)&amp;"Raw Score",tblY11[#Headers],0)),"A",tblY11[Class],$B65))/COUNTIF(tblY11[Class],$B65)),""))</f>
        <v>1</v>
      </c>
    </row>
    <row r="66">
      <c r="B66" s="31" t="str">
        <f>Calc!W9</f>
        <v/>
      </c>
      <c r="C66" s="32" t="str">
        <f>IF($B66="","",IFERROR(INDEX(tblTeachers[Teacher],MATCH("Year 11"&amp;"|"&amp;$B66,tblTeachers[Key],0))&amp;"",""))</f>
        <v/>
      </c>
      <c r="D66" s="33" t="str">
        <f>IF($B66="","",IFERROR(COUNTIF(tblY11[Class],$B66),""))</f>
        <v/>
      </c>
      <c r="E66" s="34" t="str">
        <f>IF($B66="","",IFERROR(AVERAGEIFS(tblY11[Avg KS2 Band],tblY11[Class],$B66),""))</f>
        <v/>
      </c>
      <c r="F66" s="34" t="str">
        <f>IF($B66="","",IFERROR(AVERAGEIFS(tblY11[Tests Sat],tblY11[Class],$B66),""))</f>
        <v/>
      </c>
      <c r="G66" s="34" t="str">
        <f>IF($B66="","",IFERROR(AVERAGEIFS(tblY11[Mean Stanine],tblY11[Class],$B66),""))</f>
        <v/>
      </c>
      <c r="H66" s="35" t="str">
        <f>IF($B66="","",IFERROR(AVERAGEIFS(tblY11[vs KS2 Band],tblY11[Class],$B66),""))</f>
        <v/>
      </c>
      <c r="I66" s="36" t="str">
        <f>IF($B66="","",IFERROR(SUMPRODUCT((tblY11[Class]=$B66)*(RIGHT(tblY11[#Headers],8)=CHAR(10)&amp;"Stanine")*ISNUMBER(tblY11[#Data])*(tblY11[#Data]&gt;=7))/SUMPRODUCT((tblY11[Class]=$B66)*(RIGHT(tblY11[#Headers],8)=CHAR(10)&amp;"Stanine")*ISNUMBER(tblY11[#Data])),""))</f>
        <v/>
      </c>
      <c r="J66" s="36" t="str">
        <f>IF($B66="","",IFERROR(SUMPRODUCT((tblY11[Class]=$B66)*(RIGHT(tblY11[#Headers],8)=CHAR(10)&amp;"Stanine")*ISNUMBER(tblY11[#Data])*(tblY11[#Data]&lt;=3))/SUMPRODUCT((tblY11[Class]=$B66)*(RIGHT(tblY11[#Headers],8)=CHAR(10)&amp;"Stanine")*ISNUMBER(tblY11[#Data])),""))</f>
        <v/>
      </c>
      <c r="K66" s="36" t="str">
        <f>IF($B66="","",IFERROR(IF(Calc!$AF$7="","",AVERAGEIFS(INDEX(tblY11[#Data],0,MATCH(Calc!$AF$7&amp;CHAR(10)&amp;"Raw Score",tblY11[#Headers],0)),tblY11[Class],$B66)/Calc!$AG$7),""))</f>
        <v/>
      </c>
      <c r="L66" s="34" t="str">
        <f>IF($B66="","",IFERROR(IF(Calc!$AF$7="","",AVERAGEIFS(INDEX(tblY11[#Data],0,MATCH(Calc!$AF$7&amp;CHAR(10)&amp;"Stanine",tblY11[#Headers],0)),tblY11[Class],$B66)),""))</f>
        <v/>
      </c>
      <c r="M66" s="36" t="str">
        <f>IF($B66="","",IFERROR(IF(Calc!$AF$7="","",(COUNTIFS(INDEX(tblY11[#Data],0,MATCH(Calc!$AF$7&amp;CHAR(10)&amp;"Raw Score",tblY11[#Headers],0)),"&gt;=0",tblY11[Class],$B66)+COUNTIFS(INDEX(tblY11[#Data],0,MATCH(Calc!$AF$7&amp;CHAR(10)&amp;"Raw Score",tblY11[#Headers],0)),"A",tblY11[Class],$B66))/COUNTIF(tblY11[Class],$B66)),""))</f>
        <v/>
      </c>
    </row>
    <row r="67">
      <c r="B67" s="31" t="str">
        <f>Calc!W10</f>
        <v/>
      </c>
      <c r="C67" s="32" t="str">
        <f>IF($B67="","",IFERROR(INDEX(tblTeachers[Teacher],MATCH("Year 11"&amp;"|"&amp;$B67,tblTeachers[Key],0))&amp;"",""))</f>
        <v/>
      </c>
      <c r="D67" s="33" t="str">
        <f>IF($B67="","",IFERROR(COUNTIF(tblY11[Class],$B67),""))</f>
        <v/>
      </c>
      <c r="E67" s="34" t="str">
        <f>IF($B67="","",IFERROR(AVERAGEIFS(tblY11[Avg KS2 Band],tblY11[Class],$B67),""))</f>
        <v/>
      </c>
      <c r="F67" s="34" t="str">
        <f>IF($B67="","",IFERROR(AVERAGEIFS(tblY11[Tests Sat],tblY11[Class],$B67),""))</f>
        <v/>
      </c>
      <c r="G67" s="34" t="str">
        <f>IF($B67="","",IFERROR(AVERAGEIFS(tblY11[Mean Stanine],tblY11[Class],$B67),""))</f>
        <v/>
      </c>
      <c r="H67" s="35" t="str">
        <f>IF($B67="","",IFERROR(AVERAGEIFS(tblY11[vs KS2 Band],tblY11[Class],$B67),""))</f>
        <v/>
      </c>
      <c r="I67" s="36" t="str">
        <f>IF($B67="","",IFERROR(SUMPRODUCT((tblY11[Class]=$B67)*(RIGHT(tblY11[#Headers],8)=CHAR(10)&amp;"Stanine")*ISNUMBER(tblY11[#Data])*(tblY11[#Data]&gt;=7))/SUMPRODUCT((tblY11[Class]=$B67)*(RIGHT(tblY11[#Headers],8)=CHAR(10)&amp;"Stanine")*ISNUMBER(tblY11[#Data])),""))</f>
        <v/>
      </c>
      <c r="J67" s="36" t="str">
        <f>IF($B67="","",IFERROR(SUMPRODUCT((tblY11[Class]=$B67)*(RIGHT(tblY11[#Headers],8)=CHAR(10)&amp;"Stanine")*ISNUMBER(tblY11[#Data])*(tblY11[#Data]&lt;=3))/SUMPRODUCT((tblY11[Class]=$B67)*(RIGHT(tblY11[#Headers],8)=CHAR(10)&amp;"Stanine")*ISNUMBER(tblY11[#Data])),""))</f>
        <v/>
      </c>
      <c r="K67" s="36" t="str">
        <f>IF($B67="","",IFERROR(IF(Calc!$AF$7="","",AVERAGEIFS(INDEX(tblY11[#Data],0,MATCH(Calc!$AF$7&amp;CHAR(10)&amp;"Raw Score",tblY11[#Headers],0)),tblY11[Class],$B67)/Calc!$AG$7),""))</f>
        <v/>
      </c>
      <c r="L67" s="34" t="str">
        <f>IF($B67="","",IFERROR(IF(Calc!$AF$7="","",AVERAGEIFS(INDEX(tblY11[#Data],0,MATCH(Calc!$AF$7&amp;CHAR(10)&amp;"Stanine",tblY11[#Headers],0)),tblY11[Class],$B67)),""))</f>
        <v/>
      </c>
      <c r="M67" s="36" t="str">
        <f>IF($B67="","",IFERROR(IF(Calc!$AF$7="","",(COUNTIFS(INDEX(tblY11[#Data],0,MATCH(Calc!$AF$7&amp;CHAR(10)&amp;"Raw Score",tblY11[#Headers],0)),"&gt;=0",tblY11[Class],$B67)+COUNTIFS(INDEX(tblY11[#Data],0,MATCH(Calc!$AF$7&amp;CHAR(10)&amp;"Raw Score",tblY11[#Headers],0)),"A",tblY11[Class],$B67))/COUNTIF(tblY11[Class],$B67)),""))</f>
        <v/>
      </c>
    </row>
    <row r="69">
      <c r="B69" s="37" t="inlineStr">
        <is>
          <t>How to read this: 'Mean stanine' compares a class with its whole year group (5 = the year average). 'vs KS2 band' compares the class's stanines with the same students' KS2 bands, so it shows progress from their starting point. Results at 7-9 and 1-3 count every test result, not students.</t>
        </is>
      </c>
    </row>
    <row r="70"/>
    <row r="71"/>
    <row r="72"/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9">
    <mergeCell ref="G5:I7"/>
    <mergeCell ref="D4:F4"/>
    <mergeCell ref="J4:M4"/>
    <mergeCell ref="B5:C7"/>
    <mergeCell ref="G4:I4"/>
    <mergeCell ref="D5:F7"/>
    <mergeCell ref="J5:M7"/>
    <mergeCell ref="B69:M72"/>
    <mergeCell ref="B4:C4"/>
  </mergeCells>
  <conditionalFormatting sqref="G12:G19">
    <cfRule type="expression" priority="1" dxfId="0" stopIfTrue="1">
      <formula>AND(ISNUMBER(G12),ISNUMBER(5),G12-5&gt;=1.0)</formula>
    </cfRule>
    <cfRule type="expression" priority="2" dxfId="1" stopIfTrue="1">
      <formula>AND(ISNUMBER(G12),ISNUMBER(5),G12-5&gt;=0.4)</formula>
    </cfRule>
    <cfRule type="expression" priority="3" dxfId="2" stopIfTrue="1">
      <formula>AND(ISNUMBER(G12),ISNUMBER(5),G12-5&lt;=-1.0)</formula>
    </cfRule>
    <cfRule type="expression" priority="4" dxfId="3" stopIfTrue="1">
      <formula>AND(ISNUMBER(G12),ISNUMBER(5),G12-5&lt;=-0.4)</formula>
    </cfRule>
  </conditionalFormatting>
  <conditionalFormatting sqref="H12:H19">
    <cfRule type="expression" priority="5" dxfId="0" stopIfTrue="1">
      <formula>AND(ISNUMBER(H12),ISNUMBER(0),H12-0&gt;=0.5)</formula>
    </cfRule>
    <cfRule type="expression" priority="6" dxfId="1" stopIfTrue="1">
      <formula>AND(ISNUMBER(H12),ISNUMBER(0),H12-0&gt;=0.2)</formula>
    </cfRule>
    <cfRule type="expression" priority="7" dxfId="2" stopIfTrue="1">
      <formula>AND(ISNUMBER(H12),ISNUMBER(0),H12-0&lt;=-0.5)</formula>
    </cfRule>
    <cfRule type="expression" priority="8" dxfId="3" stopIfTrue="1">
      <formula>AND(ISNUMBER(H12),ISNUMBER(0),H12-0&lt;=-0.2)</formula>
    </cfRule>
  </conditionalFormatting>
  <conditionalFormatting sqref="K12:K19">
    <cfRule type="expression" priority="9" dxfId="0" stopIfTrue="1">
      <formula>AND(ISNUMBER(K12),ISNUMBER($K$11),K12-$K$11&gt;=0.1)</formula>
    </cfRule>
    <cfRule type="expression" priority="10" dxfId="1" stopIfTrue="1">
      <formula>AND(ISNUMBER(K12),ISNUMBER($K$11),K12-$K$11&gt;=0.03)</formula>
    </cfRule>
    <cfRule type="expression" priority="11" dxfId="2" stopIfTrue="1">
      <formula>AND(ISNUMBER(K12),ISNUMBER($K$11),K12-$K$11&lt;=-0.1)</formula>
    </cfRule>
    <cfRule type="expression" priority="12" dxfId="3" stopIfTrue="1">
      <formula>AND(ISNUMBER(K12),ISNUMBER($K$11),K12-$K$11&lt;=-0.03)</formula>
    </cfRule>
  </conditionalFormatting>
  <conditionalFormatting sqref="I11:I19">
    <cfRule type="dataBar" priority="13">
      <dataBar showValue="1">
        <cfvo type="num" val="0"/>
        <cfvo type="num" val="1"/>
        <color rgb="009EC5F4"/>
      </dataBar>
    </cfRule>
  </conditionalFormatting>
  <conditionalFormatting sqref="J11:J19">
    <cfRule type="dataBar" priority="14">
      <dataBar showValue="1">
        <cfvo type="num" val="0"/>
        <cfvo type="num" val="1"/>
        <color rgb="00F2C4C3"/>
      </dataBar>
    </cfRule>
  </conditionalFormatting>
  <conditionalFormatting sqref="M11:M19">
    <cfRule type="expression" priority="15" dxfId="2" stopIfTrue="1">
      <formula>AND(ISNUMBER(M11),M11=0)</formula>
    </cfRule>
    <cfRule type="expression" priority="16" dxfId="4" stopIfTrue="1">
      <formula>AND(ISNUMBER(M11),M11&lt;1)</formula>
    </cfRule>
  </conditionalFormatting>
  <conditionalFormatting sqref="G24:G31">
    <cfRule type="expression" priority="17" dxfId="0" stopIfTrue="1">
      <formula>AND(ISNUMBER(G24),ISNUMBER(5),G24-5&gt;=1.0)</formula>
    </cfRule>
    <cfRule type="expression" priority="18" dxfId="1" stopIfTrue="1">
      <formula>AND(ISNUMBER(G24),ISNUMBER(5),G24-5&gt;=0.4)</formula>
    </cfRule>
    <cfRule type="expression" priority="19" dxfId="2" stopIfTrue="1">
      <formula>AND(ISNUMBER(G24),ISNUMBER(5),G24-5&lt;=-1.0)</formula>
    </cfRule>
    <cfRule type="expression" priority="20" dxfId="3" stopIfTrue="1">
      <formula>AND(ISNUMBER(G24),ISNUMBER(5),G24-5&lt;=-0.4)</formula>
    </cfRule>
  </conditionalFormatting>
  <conditionalFormatting sqref="H24:H31">
    <cfRule type="expression" priority="21" dxfId="0" stopIfTrue="1">
      <formula>AND(ISNUMBER(H24),ISNUMBER(0),H24-0&gt;=0.5)</formula>
    </cfRule>
    <cfRule type="expression" priority="22" dxfId="1" stopIfTrue="1">
      <formula>AND(ISNUMBER(H24),ISNUMBER(0),H24-0&gt;=0.2)</formula>
    </cfRule>
    <cfRule type="expression" priority="23" dxfId="2" stopIfTrue="1">
      <formula>AND(ISNUMBER(H24),ISNUMBER(0),H24-0&lt;=-0.5)</formula>
    </cfRule>
    <cfRule type="expression" priority="24" dxfId="3" stopIfTrue="1">
      <formula>AND(ISNUMBER(H24),ISNUMBER(0),H24-0&lt;=-0.2)</formula>
    </cfRule>
  </conditionalFormatting>
  <conditionalFormatting sqref="K24:K31">
    <cfRule type="expression" priority="25" dxfId="0" stopIfTrue="1">
      <formula>AND(ISNUMBER(K24),ISNUMBER($K$23),K24-$K$23&gt;=0.1)</formula>
    </cfRule>
    <cfRule type="expression" priority="26" dxfId="1" stopIfTrue="1">
      <formula>AND(ISNUMBER(K24),ISNUMBER($K$23),K24-$K$23&gt;=0.03)</formula>
    </cfRule>
    <cfRule type="expression" priority="27" dxfId="2" stopIfTrue="1">
      <formula>AND(ISNUMBER(K24),ISNUMBER($K$23),K24-$K$23&lt;=-0.1)</formula>
    </cfRule>
    <cfRule type="expression" priority="28" dxfId="3" stopIfTrue="1">
      <formula>AND(ISNUMBER(K24),ISNUMBER($K$23),K24-$K$23&lt;=-0.03)</formula>
    </cfRule>
  </conditionalFormatting>
  <conditionalFormatting sqref="I23:I31">
    <cfRule type="dataBar" priority="29">
      <dataBar showValue="1">
        <cfvo type="num" val="0"/>
        <cfvo type="num" val="1"/>
        <color rgb="009EC5F4"/>
      </dataBar>
    </cfRule>
  </conditionalFormatting>
  <conditionalFormatting sqref="J23:J31">
    <cfRule type="dataBar" priority="30">
      <dataBar showValue="1">
        <cfvo type="num" val="0"/>
        <cfvo type="num" val="1"/>
        <color rgb="00F2C4C3"/>
      </dataBar>
    </cfRule>
  </conditionalFormatting>
  <conditionalFormatting sqref="M23:M31">
    <cfRule type="expression" priority="31" dxfId="2" stopIfTrue="1">
      <formula>AND(ISNUMBER(M23),M23=0)</formula>
    </cfRule>
    <cfRule type="expression" priority="32" dxfId="4" stopIfTrue="1">
      <formula>AND(ISNUMBER(M23),M23&lt;1)</formula>
    </cfRule>
  </conditionalFormatting>
  <conditionalFormatting sqref="G36:G43">
    <cfRule type="expression" priority="33" dxfId="0" stopIfTrue="1">
      <formula>AND(ISNUMBER(G36),ISNUMBER(5),G36-5&gt;=1.0)</formula>
    </cfRule>
    <cfRule type="expression" priority="34" dxfId="1" stopIfTrue="1">
      <formula>AND(ISNUMBER(G36),ISNUMBER(5),G36-5&gt;=0.4)</formula>
    </cfRule>
    <cfRule type="expression" priority="35" dxfId="2" stopIfTrue="1">
      <formula>AND(ISNUMBER(G36),ISNUMBER(5),G36-5&lt;=-1.0)</formula>
    </cfRule>
    <cfRule type="expression" priority="36" dxfId="3" stopIfTrue="1">
      <formula>AND(ISNUMBER(G36),ISNUMBER(5),G36-5&lt;=-0.4)</formula>
    </cfRule>
  </conditionalFormatting>
  <conditionalFormatting sqref="H36:H43">
    <cfRule type="expression" priority="37" dxfId="0" stopIfTrue="1">
      <formula>AND(ISNUMBER(H36),ISNUMBER(0),H36-0&gt;=0.5)</formula>
    </cfRule>
    <cfRule type="expression" priority="38" dxfId="1" stopIfTrue="1">
      <formula>AND(ISNUMBER(H36),ISNUMBER(0),H36-0&gt;=0.2)</formula>
    </cfRule>
    <cfRule type="expression" priority="39" dxfId="2" stopIfTrue="1">
      <formula>AND(ISNUMBER(H36),ISNUMBER(0),H36-0&lt;=-0.5)</formula>
    </cfRule>
    <cfRule type="expression" priority="40" dxfId="3" stopIfTrue="1">
      <formula>AND(ISNUMBER(H36),ISNUMBER(0),H36-0&lt;=-0.2)</formula>
    </cfRule>
  </conditionalFormatting>
  <conditionalFormatting sqref="K36:K43">
    <cfRule type="expression" priority="41" dxfId="0" stopIfTrue="1">
      <formula>AND(ISNUMBER(K36),ISNUMBER($K$35),K36-$K$35&gt;=0.1)</formula>
    </cfRule>
    <cfRule type="expression" priority="42" dxfId="1" stopIfTrue="1">
      <formula>AND(ISNUMBER(K36),ISNUMBER($K$35),K36-$K$35&gt;=0.03)</formula>
    </cfRule>
    <cfRule type="expression" priority="43" dxfId="2" stopIfTrue="1">
      <formula>AND(ISNUMBER(K36),ISNUMBER($K$35),K36-$K$35&lt;=-0.1)</formula>
    </cfRule>
    <cfRule type="expression" priority="44" dxfId="3" stopIfTrue="1">
      <formula>AND(ISNUMBER(K36),ISNUMBER($K$35),K36-$K$35&lt;=-0.03)</formula>
    </cfRule>
  </conditionalFormatting>
  <conditionalFormatting sqref="I35:I43">
    <cfRule type="dataBar" priority="45">
      <dataBar showValue="1">
        <cfvo type="num" val="0"/>
        <cfvo type="num" val="1"/>
        <color rgb="009EC5F4"/>
      </dataBar>
    </cfRule>
  </conditionalFormatting>
  <conditionalFormatting sqref="J35:J43">
    <cfRule type="dataBar" priority="46">
      <dataBar showValue="1">
        <cfvo type="num" val="0"/>
        <cfvo type="num" val="1"/>
        <color rgb="00F2C4C3"/>
      </dataBar>
    </cfRule>
  </conditionalFormatting>
  <conditionalFormatting sqref="M35:M43">
    <cfRule type="expression" priority="47" dxfId="2" stopIfTrue="1">
      <formula>AND(ISNUMBER(M35),M35=0)</formula>
    </cfRule>
    <cfRule type="expression" priority="48" dxfId="4" stopIfTrue="1">
      <formula>AND(ISNUMBER(M35),M35&lt;1)</formula>
    </cfRule>
  </conditionalFormatting>
  <conditionalFormatting sqref="G48:G55">
    <cfRule type="expression" priority="49" dxfId="0" stopIfTrue="1">
      <formula>AND(ISNUMBER(G48),ISNUMBER(5),G48-5&gt;=1.0)</formula>
    </cfRule>
    <cfRule type="expression" priority="50" dxfId="1" stopIfTrue="1">
      <formula>AND(ISNUMBER(G48),ISNUMBER(5),G48-5&gt;=0.4)</formula>
    </cfRule>
    <cfRule type="expression" priority="51" dxfId="2" stopIfTrue="1">
      <formula>AND(ISNUMBER(G48),ISNUMBER(5),G48-5&lt;=-1.0)</formula>
    </cfRule>
    <cfRule type="expression" priority="52" dxfId="3" stopIfTrue="1">
      <formula>AND(ISNUMBER(G48),ISNUMBER(5),G48-5&lt;=-0.4)</formula>
    </cfRule>
  </conditionalFormatting>
  <conditionalFormatting sqref="H48:H55">
    <cfRule type="expression" priority="53" dxfId="0" stopIfTrue="1">
      <formula>AND(ISNUMBER(H48),ISNUMBER(0),H48-0&gt;=0.5)</formula>
    </cfRule>
    <cfRule type="expression" priority="54" dxfId="1" stopIfTrue="1">
      <formula>AND(ISNUMBER(H48),ISNUMBER(0),H48-0&gt;=0.2)</formula>
    </cfRule>
    <cfRule type="expression" priority="55" dxfId="2" stopIfTrue="1">
      <formula>AND(ISNUMBER(H48),ISNUMBER(0),H48-0&lt;=-0.5)</formula>
    </cfRule>
    <cfRule type="expression" priority="56" dxfId="3" stopIfTrue="1">
      <formula>AND(ISNUMBER(H48),ISNUMBER(0),H48-0&lt;=-0.2)</formula>
    </cfRule>
  </conditionalFormatting>
  <conditionalFormatting sqref="K48:K55">
    <cfRule type="expression" priority="57" dxfId="0" stopIfTrue="1">
      <formula>AND(ISNUMBER(K48),ISNUMBER($K$47),K48-$K$47&gt;=0.1)</formula>
    </cfRule>
    <cfRule type="expression" priority="58" dxfId="1" stopIfTrue="1">
      <formula>AND(ISNUMBER(K48),ISNUMBER($K$47),K48-$K$47&gt;=0.03)</formula>
    </cfRule>
    <cfRule type="expression" priority="59" dxfId="2" stopIfTrue="1">
      <formula>AND(ISNUMBER(K48),ISNUMBER($K$47),K48-$K$47&lt;=-0.1)</formula>
    </cfRule>
    <cfRule type="expression" priority="60" dxfId="3" stopIfTrue="1">
      <formula>AND(ISNUMBER(K48),ISNUMBER($K$47),K48-$K$47&lt;=-0.03)</formula>
    </cfRule>
  </conditionalFormatting>
  <conditionalFormatting sqref="I47:I55">
    <cfRule type="dataBar" priority="61">
      <dataBar showValue="1">
        <cfvo type="num" val="0"/>
        <cfvo type="num" val="1"/>
        <color rgb="009EC5F4"/>
      </dataBar>
    </cfRule>
  </conditionalFormatting>
  <conditionalFormatting sqref="J47:J55">
    <cfRule type="dataBar" priority="62">
      <dataBar showValue="1">
        <cfvo type="num" val="0"/>
        <cfvo type="num" val="1"/>
        <color rgb="00F2C4C3"/>
      </dataBar>
    </cfRule>
  </conditionalFormatting>
  <conditionalFormatting sqref="M47:M55">
    <cfRule type="expression" priority="63" dxfId="2" stopIfTrue="1">
      <formula>AND(ISNUMBER(M47),M47=0)</formula>
    </cfRule>
    <cfRule type="expression" priority="64" dxfId="4" stopIfTrue="1">
      <formula>AND(ISNUMBER(M47),M47&lt;1)</formula>
    </cfRule>
  </conditionalFormatting>
  <conditionalFormatting sqref="G60:G67">
    <cfRule type="expression" priority="65" dxfId="0" stopIfTrue="1">
      <formula>AND(ISNUMBER(G60),ISNUMBER(5),G60-5&gt;=1.0)</formula>
    </cfRule>
    <cfRule type="expression" priority="66" dxfId="1" stopIfTrue="1">
      <formula>AND(ISNUMBER(G60),ISNUMBER(5),G60-5&gt;=0.4)</formula>
    </cfRule>
    <cfRule type="expression" priority="67" dxfId="2" stopIfTrue="1">
      <formula>AND(ISNUMBER(G60),ISNUMBER(5),G60-5&lt;=-1.0)</formula>
    </cfRule>
    <cfRule type="expression" priority="68" dxfId="3" stopIfTrue="1">
      <formula>AND(ISNUMBER(G60),ISNUMBER(5),G60-5&lt;=-0.4)</formula>
    </cfRule>
  </conditionalFormatting>
  <conditionalFormatting sqref="H60:H67">
    <cfRule type="expression" priority="69" dxfId="0" stopIfTrue="1">
      <formula>AND(ISNUMBER(H60),ISNUMBER(0),H60-0&gt;=0.5)</formula>
    </cfRule>
    <cfRule type="expression" priority="70" dxfId="1" stopIfTrue="1">
      <formula>AND(ISNUMBER(H60),ISNUMBER(0),H60-0&gt;=0.2)</formula>
    </cfRule>
    <cfRule type="expression" priority="71" dxfId="2" stopIfTrue="1">
      <formula>AND(ISNUMBER(H60),ISNUMBER(0),H60-0&lt;=-0.5)</formula>
    </cfRule>
    <cfRule type="expression" priority="72" dxfId="3" stopIfTrue="1">
      <formula>AND(ISNUMBER(H60),ISNUMBER(0),H60-0&lt;=-0.2)</formula>
    </cfRule>
  </conditionalFormatting>
  <conditionalFormatting sqref="K60:K67">
    <cfRule type="expression" priority="73" dxfId="0" stopIfTrue="1">
      <formula>AND(ISNUMBER(K60),ISNUMBER($K$59),K60-$K$59&gt;=0.1)</formula>
    </cfRule>
    <cfRule type="expression" priority="74" dxfId="1" stopIfTrue="1">
      <formula>AND(ISNUMBER(K60),ISNUMBER($K$59),K60-$K$59&gt;=0.03)</formula>
    </cfRule>
    <cfRule type="expression" priority="75" dxfId="2" stopIfTrue="1">
      <formula>AND(ISNUMBER(K60),ISNUMBER($K$59),K60-$K$59&lt;=-0.1)</formula>
    </cfRule>
    <cfRule type="expression" priority="76" dxfId="3" stopIfTrue="1">
      <formula>AND(ISNUMBER(K60),ISNUMBER($K$59),K60-$K$59&lt;=-0.03)</formula>
    </cfRule>
  </conditionalFormatting>
  <conditionalFormatting sqref="I59:I67">
    <cfRule type="dataBar" priority="77">
      <dataBar showValue="1">
        <cfvo type="num" val="0"/>
        <cfvo type="num" val="1"/>
        <color rgb="009EC5F4"/>
      </dataBar>
    </cfRule>
  </conditionalFormatting>
  <conditionalFormatting sqref="J59:J67">
    <cfRule type="dataBar" priority="78">
      <dataBar showValue="1">
        <cfvo type="num" val="0"/>
        <cfvo type="num" val="1"/>
        <color rgb="00F2C4C3"/>
      </dataBar>
    </cfRule>
  </conditionalFormatting>
  <conditionalFormatting sqref="M59:M67">
    <cfRule type="expression" priority="79" dxfId="2" stopIfTrue="1">
      <formula>AND(ISNUMBER(M59),M59=0)</formula>
    </cfRule>
    <cfRule type="expression" priority="80" dxfId="4" stopIfTrue="1">
      <formula>AND(ISNUMBER(M59),M59&lt;1)</formula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Dashboard">
    <tabColor rgb="002A78D6"/>
    <outlinePr summaryBelow="1" summaryRight="1"/>
    <pageSetUpPr fitToPage="1"/>
  </sheetPr>
  <dimension ref="A1:Z10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" customWidth="1" min="1" max="1"/>
    <col width="30" customWidth="1" min="2" max="2"/>
    <col width="11" customWidth="1" min="3" max="3"/>
    <col width="9" customWidth="1" min="4" max="4"/>
    <col width="9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2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</cols>
  <sheetData>
    <row r="1" ht="30" customHeight="1">
      <c r="A1" s="1" t="n"/>
      <c r="B1" s="2" t="inlineStr">
        <is>
          <t>Assessment dashboard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>
      <c r="B2" s="17" t="inlineStr">
        <is>
          <t>Choose a year group and a test. Colours compare each class with the whole year group: blue = above, red = below.</t>
        </is>
      </c>
    </row>
    <row r="4">
      <c r="B4" s="38" t="inlineStr">
        <is>
          <t>Year group</t>
        </is>
      </c>
      <c r="C4" s="39" t="inlineStr">
        <is>
          <t>Year 11</t>
        </is>
      </c>
      <c r="D4" s="40" t="n"/>
      <c r="I4" s="18" t="inlineStr">
        <is>
          <t>Students</t>
        </is>
      </c>
      <c r="J4" s="19" t="n"/>
      <c r="K4" s="18" t="inlineStr">
        <is>
          <t>Tests set</t>
        </is>
      </c>
      <c r="L4" s="19" t="n"/>
      <c r="M4" s="18" t="inlineStr">
        <is>
          <t>Completion, this test</t>
        </is>
      </c>
      <c r="N4" s="19" t="n"/>
      <c r="O4" s="18" t="inlineStr">
        <is>
          <t>Year mean, this test</t>
        </is>
      </c>
      <c r="P4" s="19" t="n"/>
      <c r="Q4" s="19" t="n"/>
    </row>
    <row r="5">
      <c r="B5" s="38" t="inlineStr">
        <is>
          <t>Measure in the grid below</t>
        </is>
      </c>
      <c r="C5" s="39" t="inlineStr">
        <is>
          <t>Mean %</t>
        </is>
      </c>
      <c r="D5" s="40" t="n"/>
      <c r="I5" s="20">
        <f>IFERROR(COUNTA(dLast),0)</f>
        <v>106</v>
      </c>
      <c r="J5" s="19" t="n"/>
      <c r="K5" s="20">
        <f>IFERROR(dTestCount,0)</f>
        <v>6</v>
      </c>
      <c r="L5" s="19" t="n"/>
      <c r="M5" s="41">
        <f>IFERROR((COUNT(dRaw)+COUNTIF(dRaw,"A"))/COUNTA(dLast),"-")</f>
        <v>1</v>
      </c>
      <c r="N5" s="19" t="n"/>
      <c r="O5" s="41">
        <f>IFERROR(AVERAGE(dRaw)/dMax,"-")</f>
        <v>0.436517181129878</v>
      </c>
      <c r="P5" s="19" t="n"/>
      <c r="Q5" s="19" t="n"/>
    </row>
    <row r="6">
      <c r="B6" s="38" t="inlineStr">
        <is>
          <t>Test</t>
        </is>
      </c>
      <c r="C6" s="39" t="inlineStr">
        <is>
          <t>4P07 - Magnetism</t>
        </is>
      </c>
      <c r="D6" s="42" t="n"/>
      <c r="E6" s="42" t="n"/>
      <c r="F6" s="42" t="n"/>
      <c r="G6" s="40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</row>
    <row r="7">
      <c r="B7" s="38" t="inlineStr">
        <is>
          <t>Focus class (trend chart)</t>
        </is>
      </c>
      <c r="C7" s="39" t="inlineStr">
        <is>
          <t>11S/Sc1</t>
        </is>
      </c>
      <c r="D7" s="42" t="n"/>
      <c r="E7" s="40" t="n"/>
      <c r="I7" s="19" t="n"/>
      <c r="J7" s="19" t="n"/>
      <c r="K7" s="19" t="n"/>
      <c r="L7" s="19" t="n"/>
      <c r="M7" s="19" t="n"/>
      <c r="N7" s="19" t="n"/>
      <c r="O7" s="19" t="n"/>
      <c r="P7" s="19" t="n"/>
      <c r="Q7" s="19" t="n"/>
    </row>
    <row r="9">
      <c r="B9" s="6" t="inlineStr">
        <is>
          <t>1.  How each class did on the selected test</t>
        </is>
      </c>
    </row>
    <row r="10">
      <c r="B10" s="43" t="str">
        <f>IF(SelTest="","Choose a test above.",SelTest&amp;IFERROR("   ·   out of "&amp;dMax,""))</f>
        <v>4P07 - Magnetism   ·   out of 34</v>
      </c>
    </row>
    <row r="11" ht="30" customHeight="1">
      <c r="B11" s="7" t="inlineStr">
        <is>
          <t>Class</t>
        </is>
      </c>
      <c r="C11" s="7" t="inlineStr">
        <is>
          <t>Teacher</t>
        </is>
      </c>
      <c r="D11" s="7" t="inlineStr">
        <is>
          <t>Students</t>
        </is>
      </c>
      <c r="E11" s="7" t="inlineStr">
        <is>
          <t>Sat</t>
        </is>
      </c>
      <c r="F11" s="7" t="inlineStr">
        <is>
          <t>Absent</t>
        </is>
      </c>
      <c r="G11" s="7" t="inlineStr">
        <is>
          <t>Not
entered</t>
        </is>
      </c>
      <c r="H11" s="7" t="inlineStr">
        <is>
          <t>Mean
mark</t>
        </is>
      </c>
      <c r="I11" s="7" t="inlineStr">
        <is>
          <t>Mean %</t>
        </is>
      </c>
      <c r="J11" s="7" t="inlineStr">
        <is>
          <t>Mean
stanine</t>
        </is>
      </c>
      <c r="K11" s="7" t="inlineStr">
        <is>
          <t>Stanine
1-3</t>
        </is>
      </c>
      <c r="L11" s="7" t="inlineStr">
        <is>
          <t>Stanine
4-6</t>
        </is>
      </c>
      <c r="M11" s="7" t="inlineStr">
        <is>
          <t>Stanine
7-9</t>
        </is>
      </c>
      <c r="N11" s="7" t="inlineStr">
        <is>
          <t>vs year
(% points)</t>
        </is>
      </c>
    </row>
    <row r="12">
      <c r="B12" s="44" t="inlineStr">
        <is>
          <t>Whole year</t>
        </is>
      </c>
      <c r="C12" s="45" t="n"/>
      <c r="D12" s="46">
        <f>IFERROR(COUNTA(dLast),"")</f>
        <v>106</v>
      </c>
      <c r="E12" s="46">
        <f>IFERROR(IF(dHasTest,COUNT(dRaw),""),"")</f>
        <v>101</v>
      </c>
      <c r="F12" s="46">
        <f>IFERROR(COUNTIF(dRaw,"A"),"")</f>
        <v>5</v>
      </c>
      <c r="G12" s="46">
        <f>IFERROR(IF($D12="","",$D12-$E12-$F12),"")</f>
        <v>0</v>
      </c>
      <c r="H12" s="47">
        <f>IFERROR(IF(N($E12)=0,"",AVERAGE(dRaw)),"")</f>
        <v>14.8415841584158</v>
      </c>
      <c r="I12" s="48">
        <f>IFERROR(IF($H12="","",$H12/dMax),"")</f>
        <v>0.436517181129878</v>
      </c>
      <c r="J12" s="47">
        <f>IFERROR(IF(N($E12)=0,"",AVERAGE(dStn)),"")</f>
        <v>5.03960396039604</v>
      </c>
      <c r="K12" s="48">
        <f>IFERROR(IF(N($E12)=0,"",COUNTIFS(dStn,"&lt;=3")/$E12),"")</f>
        <v>0.277227722772277</v>
      </c>
      <c r="L12" s="48">
        <f>IFERROR(IF(N($E12)=0,"",COUNTIFS(dStn,"&gt;=4",dStn,"&lt;=6")/$E12),"")</f>
        <v>0.415841584158416</v>
      </c>
      <c r="M12" s="48">
        <f>IFERROR(IF(N($E12)=0,"",COUNTIFS(dStn,"&gt;=7")/$E12),"")</f>
        <v>0.306930693069307</v>
      </c>
      <c r="N12" s="45" t="n"/>
    </row>
    <row r="13">
      <c r="B13" s="31" t="str">
        <f>Calc!Y3</f>
        <v>11S/Sc1</v>
      </c>
      <c r="C13" s="32" t="str">
        <f>IFERROR(IF($B13="","",IFERROR(INDEX(tblTeachers[Teacher],MATCH(SelYear&amp;"|"&amp;$B13,tblTeachers[Key],0))&amp;"","")),"")</f>
        <v>Ms Rahman</v>
      </c>
      <c r="D13" s="33">
        <f>IFERROR(IF($B13="","",COUNTIF(dClass,$B13)),"")</f>
        <v>28</v>
      </c>
      <c r="E13" s="33">
        <f>IFERROR(IF($B13="","",COUNTIFS(dClass,$B13,dRaw,"&gt;=0")),"")</f>
        <v>27</v>
      </c>
      <c r="F13" s="33">
        <f>IFERROR(IF($B13="","",COUNTIFS(dClass,$B13,dRaw,"A")),"")</f>
        <v>1</v>
      </c>
      <c r="G13" s="33">
        <f>IFERROR(IF($D13="","",$D13-$E13-$F13),"")</f>
        <v>0</v>
      </c>
      <c r="H13" s="34">
        <f>IFERROR(IF(OR($B13="",N($E13)=0),"",AVERAGEIFS(dRaw,dClass,$B13)),"")</f>
        <v>21.3703703703704</v>
      </c>
      <c r="I13" s="36">
        <f>IFERROR(IF($H13="","",$H13/dMax),"")</f>
        <v>0.628540305010893</v>
      </c>
      <c r="J13" s="34">
        <f>IFERROR(IF(OR($B13="",N($E13)=0),"",AVERAGEIFS(dStn,dClass,$B13)),"")</f>
        <v>6.77777777777778</v>
      </c>
      <c r="K13" s="36">
        <f>IFERROR(IF(OR($B13="",N($E13)=0),"",COUNTIFS(dClass,$B13,dStn,"&lt;=3")/$E13),"")</f>
        <v>0</v>
      </c>
      <c r="L13" s="36">
        <f>IFERROR(IF(OR($B13="",N($E13)=0),"",COUNTIFS(dClass,$B13,dStn,"&gt;=4",dStn,"&lt;=6")/$E13),"")</f>
        <v>0.407407407407407</v>
      </c>
      <c r="M13" s="36">
        <f>IFERROR(IF(OR($B13="",N($E13)=0),"",COUNTIFS(dClass,$B13,dStn,"&gt;=7")/$E13),"")</f>
        <v>0.592592592592593</v>
      </c>
      <c r="N13" s="49">
        <f>IFERROR(IF(OR($I13="",$I$12=""),"",($I13-$I$12)*100),"")</f>
        <v>19.2023123881016</v>
      </c>
    </row>
    <row r="14">
      <c r="B14" s="31" t="str">
        <f>Calc!Y4</f>
        <v>11S/Sc2</v>
      </c>
      <c r="C14" s="32" t="str">
        <f>IFERROR(IF($B14="","",IFERROR(INDEX(tblTeachers[Teacher],MATCH(SelYear&amp;"|"&amp;$B14,tblTeachers[Key],0))&amp;"","")),"")</f>
        <v>Mrs Evans</v>
      </c>
      <c r="D14" s="33">
        <f>IFERROR(IF($B14="","",COUNTIF(dClass,$B14)),"")</f>
        <v>26</v>
      </c>
      <c r="E14" s="33">
        <f>IFERROR(IF($B14="","",COUNTIFS(dClass,$B14,dRaw,"&gt;=0")),"")</f>
        <v>25</v>
      </c>
      <c r="F14" s="33">
        <f>IFERROR(IF($B14="","",COUNTIFS(dClass,$B14,dRaw,"A")),"")</f>
        <v>1</v>
      </c>
      <c r="G14" s="33">
        <f>IFERROR(IF($D14="","",$D14-$E14-$F14),"")</f>
        <v>0</v>
      </c>
      <c r="H14" s="34">
        <f>IFERROR(IF(OR($B14="",N($E14)=0),"",AVERAGEIFS(dRaw,dClass,$B14)),"")</f>
        <v>17.52</v>
      </c>
      <c r="I14" s="36">
        <f>IFERROR(IF($H14="","",$H14/dMax),"")</f>
        <v>0.515294117647059</v>
      </c>
      <c r="J14" s="34">
        <f>IFERROR(IF(OR($B14="",N($E14)=0),"",AVERAGEIFS(dStn,dClass,$B14)),"")</f>
        <v>5.84</v>
      </c>
      <c r="K14" s="36">
        <f>IFERROR(IF(OR($B14="",N($E14)=0),"",COUNTIFS(dClass,$B14,dStn,"&lt;=3")/$E14),"")</f>
        <v>0.04</v>
      </c>
      <c r="L14" s="36">
        <f>IFERROR(IF(OR($B14="",N($E14)=0),"",COUNTIFS(dClass,$B14,dStn,"&gt;=4",dStn,"&lt;=6")/$E14),"")</f>
        <v>0.56</v>
      </c>
      <c r="M14" s="36">
        <f>IFERROR(IF(OR($B14="",N($E14)=0),"",COUNTIFS(dClass,$B14,dStn,"&gt;=7")/$E14),"")</f>
        <v>0.4</v>
      </c>
      <c r="N14" s="49">
        <f>IFERROR(IF(OR($I14="",$I$12=""),"",($I14-$I$12)*100),"")</f>
        <v>7.87769365171811</v>
      </c>
    </row>
    <row r="15">
      <c r="B15" s="31" t="str">
        <f>Calc!Y5</f>
        <v>11S/Sc3</v>
      </c>
      <c r="C15" s="32" t="str">
        <f>IFERROR(IF($B15="","",IFERROR(INDEX(tblTeachers[Teacher],MATCH(SelYear&amp;"|"&amp;$B15,tblTeachers[Key],0))&amp;"","")),"")</f>
        <v>Mr Owen</v>
      </c>
      <c r="D15" s="33">
        <f>IFERROR(IF($B15="","",COUNTIF(dClass,$B15)),"")</f>
        <v>21</v>
      </c>
      <c r="E15" s="33">
        <f>IFERROR(IF($B15="","",COUNTIFS(dClass,$B15,dRaw,"&gt;=0")),"")</f>
        <v>19</v>
      </c>
      <c r="F15" s="33">
        <f>IFERROR(IF($B15="","",COUNTIFS(dClass,$B15,dRaw,"A")),"")</f>
        <v>2</v>
      </c>
      <c r="G15" s="33">
        <f>IFERROR(IF($D15="","",$D15-$E15-$F15),"")</f>
        <v>0</v>
      </c>
      <c r="H15" s="34">
        <f>IFERROR(IF(OR($B15="",N($E15)=0),"",AVERAGEIFS(dRaw,dClass,$B15)),"")</f>
        <v>13</v>
      </c>
      <c r="I15" s="36">
        <f>IFERROR(IF($H15="","",$H15/dMax),"")</f>
        <v>0.382352941176471</v>
      </c>
      <c r="J15" s="34">
        <f>IFERROR(IF(OR($B15="",N($E15)=0),"",AVERAGEIFS(dStn,dClass,$B15)),"")</f>
        <v>4.47368421052632</v>
      </c>
      <c r="K15" s="36">
        <f>IFERROR(IF(OR($B15="",N($E15)=0),"",COUNTIFS(dClass,$B15,dStn,"&lt;=3")/$E15),"")</f>
        <v>0.368421052631579</v>
      </c>
      <c r="L15" s="36">
        <f>IFERROR(IF(OR($B15="",N($E15)=0),"",COUNTIFS(dClass,$B15,dStn,"&gt;=4",dStn,"&lt;=6")/$E15),"")</f>
        <v>0.421052631578947</v>
      </c>
      <c r="M15" s="36">
        <f>IFERROR(IF(OR($B15="",N($E15)=0),"",COUNTIFS(dClass,$B15,dStn,"&gt;=7")/$E15),"")</f>
        <v>0.210526315789474</v>
      </c>
      <c r="N15" s="49">
        <f>IFERROR(IF(OR($I15="",$I$12=""),"",($I15-$I$12)*100),"")</f>
        <v>-5.41642399534071</v>
      </c>
    </row>
    <row r="16">
      <c r="B16" s="31" t="str">
        <f>Calc!Y6</f>
        <v>11S/Sc4</v>
      </c>
      <c r="C16" s="32" t="str">
        <f>IFERROR(IF($B16="","",IFERROR(INDEX(tblTeachers[Teacher],MATCH(SelYear&amp;"|"&amp;$B16,tblTeachers[Key],0))&amp;"","")),"")</f>
        <v>Mrs Singh</v>
      </c>
      <c r="D16" s="33">
        <f>IFERROR(IF($B16="","",COUNTIF(dClass,$B16)),"")</f>
        <v>13</v>
      </c>
      <c r="E16" s="33">
        <f>IFERROR(IF($B16="","",COUNTIFS(dClass,$B16,dRaw,"&gt;=0")),"")</f>
        <v>13</v>
      </c>
      <c r="F16" s="33">
        <f>IFERROR(IF($B16="","",COUNTIFS(dClass,$B16,dRaw,"A")),"")</f>
        <v>0</v>
      </c>
      <c r="G16" s="33">
        <f>IFERROR(IF($D16="","",$D16-$E16-$F16),"")</f>
        <v>0</v>
      </c>
      <c r="H16" s="34">
        <f>IFERROR(IF(OR($B16="",N($E16)=0),"",AVERAGEIFS(dRaw,dClass,$B16)),"")</f>
        <v>10.3846153846154</v>
      </c>
      <c r="I16" s="36">
        <f>IFERROR(IF($H16="","",$H16/dMax),"")</f>
        <v>0.305429864253394</v>
      </c>
      <c r="J16" s="34">
        <f>IFERROR(IF(OR($B16="",N($E16)=0),"",AVERAGEIFS(dStn,dClass,$B16)),"")</f>
        <v>3.84615384615385</v>
      </c>
      <c r="K16" s="36">
        <f>IFERROR(IF(OR($B16="",N($E16)=0),"",COUNTIFS(dClass,$B16,dStn,"&lt;=3")/$E16),"")</f>
        <v>0.461538461538462</v>
      </c>
      <c r="L16" s="36">
        <f>IFERROR(IF(OR($B16="",N($E16)=0),"",COUNTIFS(dClass,$B16,dStn,"&gt;=4",dStn,"&lt;=6")/$E16),"")</f>
        <v>0.461538461538462</v>
      </c>
      <c r="M16" s="36">
        <f>IFERROR(IF(OR($B16="",N($E16)=0),"",COUNTIFS(dClass,$B16,dStn,"&gt;=7")/$E16),"")</f>
        <v>0.0769230769230769</v>
      </c>
      <c r="N16" s="49">
        <f>IFERROR(IF(OR($I16="",$I$12=""),"",($I16-$I$12)*100),"")</f>
        <v>-13.1087316876484</v>
      </c>
    </row>
    <row r="17">
      <c r="B17" s="31" t="str">
        <f>Calc!Y7</f>
        <v>11S/Sc5</v>
      </c>
      <c r="C17" s="32" t="str">
        <f>IFERROR(IF($B17="","",IFERROR(INDEX(tblTeachers[Teacher],MATCH(SelYear&amp;"|"&amp;$B17,tblTeachers[Key],0))&amp;"","")),"")</f>
        <v>Ms Novak</v>
      </c>
      <c r="D17" s="33">
        <f>IFERROR(IF($B17="","",COUNTIF(dClass,$B17)),"")</f>
        <v>13</v>
      </c>
      <c r="E17" s="33">
        <f>IFERROR(IF($B17="","",COUNTIFS(dClass,$B17,dRaw,"&gt;=0")),"")</f>
        <v>13</v>
      </c>
      <c r="F17" s="33">
        <f>IFERROR(IF($B17="","",COUNTIFS(dClass,$B17,dRaw,"A")),"")</f>
        <v>0</v>
      </c>
      <c r="G17" s="33">
        <f>IFERROR(IF($D17="","",$D17-$E17-$F17),"")</f>
        <v>0</v>
      </c>
      <c r="H17" s="34">
        <f>IFERROR(IF(OR($B17="",N($E17)=0),"",AVERAGEIFS(dRaw,dClass,$B17)),"")</f>
        <v>6.46153846153846</v>
      </c>
      <c r="I17" s="36">
        <f>IFERROR(IF($H17="","",$H17/dMax),"")</f>
        <v>0.190045248868778</v>
      </c>
      <c r="J17" s="34">
        <f>IFERROR(IF(OR($B17="",N($E17)=0),"",AVERAGEIFS(dStn,dClass,$B17)),"")</f>
        <v>2.76923076923077</v>
      </c>
      <c r="K17" s="36">
        <f>IFERROR(IF(OR($B17="",N($E17)=0),"",COUNTIFS(dClass,$B17,dStn,"&lt;=3")/$E17),"")</f>
        <v>0.769230769230769</v>
      </c>
      <c r="L17" s="36">
        <f>IFERROR(IF(OR($B17="",N($E17)=0),"",COUNTIFS(dClass,$B17,dStn,"&gt;=4",dStn,"&lt;=6")/$E17),"")</f>
        <v>0.230769230769231</v>
      </c>
      <c r="M17" s="36">
        <f>IFERROR(IF(OR($B17="",N($E17)=0),"",COUNTIFS(dClass,$B17,dStn,"&gt;=7")/$E17),"")</f>
        <v>0</v>
      </c>
      <c r="N17" s="49">
        <f>IFERROR(IF(OR($I17="",$I$12=""),"",($I17-$I$12)*100),"")</f>
        <v>-24.6471932261099</v>
      </c>
    </row>
    <row r="18">
      <c r="B18" s="31" t="str">
        <f>Calc!Y8</f>
        <v>Science Support</v>
      </c>
      <c r="C18" s="32" t="str">
        <f>IFERROR(IF($B18="","",IFERROR(INDEX(tblTeachers[Teacher],MATCH(SelYear&amp;"|"&amp;$B18,tblTeachers[Key],0))&amp;"","")),"")</f>
        <v>Ms Novak</v>
      </c>
      <c r="D18" s="33">
        <f>IFERROR(IF($B18="","",COUNTIF(dClass,$B18)),"")</f>
        <v>5</v>
      </c>
      <c r="E18" s="33">
        <f>IFERROR(IF($B18="","",COUNTIFS(dClass,$B18,dRaw,"&gt;=0")),"")</f>
        <v>4</v>
      </c>
      <c r="F18" s="33">
        <f>IFERROR(IF($B18="","",COUNTIFS(dClass,$B18,dRaw,"A")),"")</f>
        <v>1</v>
      </c>
      <c r="G18" s="33">
        <f>IFERROR(IF($D18="","",$D18-$E18-$F18),"")</f>
        <v>0</v>
      </c>
      <c r="H18" s="34">
        <f>IFERROR(IF(OR($B18="",N($E18)=0),"",AVERAGEIFS(dRaw,dClass,$B18)),"")</f>
        <v>4.5</v>
      </c>
      <c r="I18" s="36">
        <f>IFERROR(IF($H18="","",$H18/dMax),"")</f>
        <v>0.132352941176471</v>
      </c>
      <c r="J18" s="34">
        <f>IFERROR(IF(OR($B18="",N($E18)=0),"",AVERAGEIFS(dStn,dClass,$B18)),"")</f>
        <v>2.25</v>
      </c>
      <c r="K18" s="36">
        <f>IFERROR(IF(OR($B18="",N($E18)=0),"",COUNTIFS(dClass,$B18,dStn,"&lt;=3")/$E18),"")</f>
        <v>1</v>
      </c>
      <c r="L18" s="36">
        <f>IFERROR(IF(OR($B18="",N($E18)=0),"",COUNTIFS(dClass,$B18,dStn,"&gt;=4",dStn,"&lt;=6")/$E18),"")</f>
        <v>0</v>
      </c>
      <c r="M18" s="36">
        <f>IFERROR(IF(OR($B18="",N($E18)=0),"",COUNTIFS(dClass,$B18,dStn,"&gt;=7")/$E18),"")</f>
        <v>0</v>
      </c>
      <c r="N18" s="49">
        <f>IFERROR(IF(OR($I18="",$I$12=""),"",($I18-$I$12)*100),"")</f>
        <v>-30.4164239953407</v>
      </c>
    </row>
    <row r="19">
      <c r="B19" s="31" t="str">
        <f>Calc!Y9</f>
        <v/>
      </c>
      <c r="C19" s="32" t="str">
        <f>IFERROR(IF($B19="","",IFERROR(INDEX(tblTeachers[Teacher],MATCH(SelYear&amp;"|"&amp;$B19,tblTeachers[Key],0))&amp;"","")),"")</f>
        <v/>
      </c>
      <c r="D19" s="33" t="str">
        <f>IFERROR(IF($B19="","",COUNTIF(dClass,$B19)),"")</f>
        <v/>
      </c>
      <c r="E19" s="33" t="str">
        <f>IFERROR(IF($B19="","",COUNTIFS(dClass,$B19,dRaw,"&gt;=0")),"")</f>
        <v/>
      </c>
      <c r="F19" s="33" t="str">
        <f>IFERROR(IF($B19="","",COUNTIFS(dClass,$B19,dRaw,"A")),"")</f>
        <v/>
      </c>
      <c r="G19" s="33" t="str">
        <f>IFERROR(IF($D19="","",$D19-$E19-$F19),"")</f>
        <v/>
      </c>
      <c r="H19" s="34" t="str">
        <f>IFERROR(IF(OR($B19="",N($E19)=0),"",AVERAGEIFS(dRaw,dClass,$B19)),"")</f>
        <v/>
      </c>
      <c r="I19" s="36" t="str">
        <f>IFERROR(IF($H19="","",$H19/dMax),"")</f>
        <v/>
      </c>
      <c r="J19" s="34" t="str">
        <f>IFERROR(IF(OR($B19="",N($E19)=0),"",AVERAGEIFS(dStn,dClass,$B19)),"")</f>
        <v/>
      </c>
      <c r="K19" s="36" t="str">
        <f>IFERROR(IF(OR($B19="",N($E19)=0),"",COUNTIFS(dClass,$B19,dStn,"&lt;=3")/$E19),"")</f>
        <v/>
      </c>
      <c r="L19" s="36" t="str">
        <f>IFERROR(IF(OR($B19="",N($E19)=0),"",COUNTIFS(dClass,$B19,dStn,"&gt;=4",dStn,"&lt;=6")/$E19),"")</f>
        <v/>
      </c>
      <c r="M19" s="36" t="str">
        <f>IFERROR(IF(OR($B19="",N($E19)=0),"",COUNTIFS(dClass,$B19,dStn,"&gt;=7")/$E19),"")</f>
        <v/>
      </c>
      <c r="N19" s="49" t="str">
        <f>IFERROR(IF(OR($I19="",$I$12=""),"",($I19-$I$12)*100),"")</f>
        <v/>
      </c>
    </row>
    <row r="20">
      <c r="B20" s="31" t="str">
        <f>Calc!Y10</f>
        <v/>
      </c>
      <c r="C20" s="32" t="str">
        <f>IFERROR(IF($B20="","",IFERROR(INDEX(tblTeachers[Teacher],MATCH(SelYear&amp;"|"&amp;$B20,tblTeachers[Key],0))&amp;"","")),"")</f>
        <v/>
      </c>
      <c r="D20" s="33" t="str">
        <f>IFERROR(IF($B20="","",COUNTIF(dClass,$B20)),"")</f>
        <v/>
      </c>
      <c r="E20" s="33" t="str">
        <f>IFERROR(IF($B20="","",COUNTIFS(dClass,$B20,dRaw,"&gt;=0")),"")</f>
        <v/>
      </c>
      <c r="F20" s="33" t="str">
        <f>IFERROR(IF($B20="","",COUNTIFS(dClass,$B20,dRaw,"A")),"")</f>
        <v/>
      </c>
      <c r="G20" s="33" t="str">
        <f>IFERROR(IF($D20="","",$D20-$E20-$F20),"")</f>
        <v/>
      </c>
      <c r="H20" s="34" t="str">
        <f>IFERROR(IF(OR($B20="",N($E20)=0),"",AVERAGEIFS(dRaw,dClass,$B20)),"")</f>
        <v/>
      </c>
      <c r="I20" s="36" t="str">
        <f>IFERROR(IF($H20="","",$H20/dMax),"")</f>
        <v/>
      </c>
      <c r="J20" s="34" t="str">
        <f>IFERROR(IF(OR($B20="",N($E20)=0),"",AVERAGEIFS(dStn,dClass,$B20)),"")</f>
        <v/>
      </c>
      <c r="K20" s="36" t="str">
        <f>IFERROR(IF(OR($B20="",N($E20)=0),"",COUNTIFS(dClass,$B20,dStn,"&lt;=3")/$E20),"")</f>
        <v/>
      </c>
      <c r="L20" s="36" t="str">
        <f>IFERROR(IF(OR($B20="",N($E20)=0),"",COUNTIFS(dClass,$B20,dStn,"&gt;=4",dStn,"&lt;=6")/$E20),"")</f>
        <v/>
      </c>
      <c r="M20" s="36" t="str">
        <f>IFERROR(IF(OR($B20="",N($E20)=0),"",COUNTIFS(dClass,$B20,dStn,"&gt;=7")/$E20),"")</f>
        <v/>
      </c>
      <c r="N20" s="49" t="str">
        <f>IFERROR(IF(OR($I20="",$I$12=""),"",($I20-$I$12)*100),"")</f>
        <v/>
      </c>
    </row>
    <row r="23">
      <c r="B23" s="6" t="inlineStr">
        <is>
          <t>2.  Stanine spread on the selected test</t>
        </is>
      </c>
    </row>
    <row r="24" ht="20" customHeight="1">
      <c r="B24" s="7" t="inlineStr">
        <is>
          <t>Stanine</t>
        </is>
      </c>
      <c r="C24" s="7" t="inlineStr">
        <is>
          <t>1</t>
        </is>
      </c>
      <c r="D24" s="7" t="inlineStr">
        <is>
          <t>2</t>
        </is>
      </c>
      <c r="E24" s="7" t="inlineStr">
        <is>
          <t>3</t>
        </is>
      </c>
      <c r="F24" s="7" t="inlineStr">
        <is>
          <t>4</t>
        </is>
      </c>
      <c r="G24" s="7" t="inlineStr">
        <is>
          <t>5</t>
        </is>
      </c>
      <c r="H24" s="7" t="inlineStr">
        <is>
          <t>6</t>
        </is>
      </c>
      <c r="I24" s="7" t="inlineStr">
        <is>
          <t>7</t>
        </is>
      </c>
      <c r="J24" s="7" t="inlineStr">
        <is>
          <t>8</t>
        </is>
      </c>
      <c r="K24" s="7" t="inlineStr">
        <is>
          <t>9</t>
        </is>
      </c>
    </row>
    <row r="25">
      <c r="B25" s="38" t="inlineStr">
        <is>
          <t>Students</t>
        </is>
      </c>
      <c r="C25" s="33">
        <f>IFERROR(COUNTIF(dStn,1),"")</f>
        <v>1</v>
      </c>
      <c r="D25" s="33">
        <f>IFERROR(COUNTIF(dStn,2),"")</f>
        <v>15</v>
      </c>
      <c r="E25" s="33">
        <f>IFERROR(COUNTIF(dStn,3),"")</f>
        <v>12</v>
      </c>
      <c r="F25" s="33">
        <f>IFERROR(COUNTIF(dStn,4),"")</f>
        <v>16</v>
      </c>
      <c r="G25" s="33">
        <f>IFERROR(COUNTIF(dStn,5),"")</f>
        <v>10</v>
      </c>
      <c r="H25" s="33">
        <f>IFERROR(COUNTIF(dStn,6),"")</f>
        <v>16</v>
      </c>
      <c r="I25" s="33">
        <f>IFERROR(COUNTIF(dStn,7),"")</f>
        <v>20</v>
      </c>
      <c r="J25" s="33">
        <f>IFERROR(COUNTIF(dStn,8),"")</f>
        <v>7</v>
      </c>
      <c r="K25" s="33">
        <f>IFERROR(COUNTIF(dStn,9),"")</f>
        <v>4</v>
      </c>
    </row>
    <row r="26">
      <c r="B26" s="38" t="inlineStr">
        <is>
          <t>% of those who sat</t>
        </is>
      </c>
      <c r="C26" s="36">
        <f>IFERROR(COUNTIF(dStn,1)/COUNT(dStn),"")</f>
        <v>0.0099009900990099</v>
      </c>
      <c r="D26" s="36">
        <f>IFERROR(COUNTIF(dStn,2)/COUNT(dStn),"")</f>
        <v>0.148514851485149</v>
      </c>
      <c r="E26" s="36">
        <f>IFERROR(COUNTIF(dStn,3)/COUNT(dStn),"")</f>
        <v>0.118811881188119</v>
      </c>
      <c r="F26" s="36">
        <f>IFERROR(COUNTIF(dStn,4)/COUNT(dStn),"")</f>
        <v>0.158415841584158</v>
      </c>
      <c r="G26" s="36">
        <f>IFERROR(COUNTIF(dStn,5)/COUNT(dStn),"")</f>
        <v>0.099009900990099</v>
      </c>
      <c r="H26" s="36">
        <f>IFERROR(COUNTIF(dStn,6)/COUNT(dStn),"")</f>
        <v>0.158415841584158</v>
      </c>
      <c r="I26" s="36">
        <f>IFERROR(COUNTIF(dStn,7)/COUNT(dStn),"")</f>
        <v>0.198019801980198</v>
      </c>
      <c r="J26" s="36">
        <f>IFERROR(COUNTIF(dStn,8)/COUNT(dStn),"")</f>
        <v>0.0693069306930693</v>
      </c>
      <c r="K26" s="36">
        <f>IFERROR(COUNTIF(dStn,9)/COUNT(dStn),"")</f>
        <v>0.0396039603960396</v>
      </c>
    </row>
    <row r="27">
      <c r="B27" s="50" t="inlineStr">
        <is>
          <t>Expected % (a normal spread)</t>
        </is>
      </c>
      <c r="C27" s="51" t="n">
        <v>0.04</v>
      </c>
      <c r="D27" s="51" t="n">
        <v>0.07000000000000001</v>
      </c>
      <c r="E27" s="51" t="n">
        <v>0.12</v>
      </c>
      <c r="F27" s="51" t="n">
        <v>0.17</v>
      </c>
      <c r="G27" s="51" t="n">
        <v>0.2</v>
      </c>
      <c r="H27" s="51" t="n">
        <v>0.17</v>
      </c>
      <c r="I27" s="51" t="n">
        <v>0.12</v>
      </c>
      <c r="J27" s="51" t="n">
        <v>0.07000000000000001</v>
      </c>
      <c r="K27" s="51" t="n">
        <v>0.04</v>
      </c>
    </row>
    <row r="30">
      <c r="B30" s="6" t="inlineStr">
        <is>
          <t>3.  Groups: the selected test and all tests so far</t>
        </is>
      </c>
    </row>
    <row r="31" ht="30" customHeight="1">
      <c r="B31" s="7" t="inlineStr">
        <is>
          <t>Group</t>
        </is>
      </c>
      <c r="C31" s="7" t="inlineStr">
        <is>
          <t>Students</t>
        </is>
      </c>
      <c r="D31" s="7" t="inlineStr">
        <is>
          <t>Sat this
test</t>
        </is>
      </c>
      <c r="E31" s="7" t="inlineStr">
        <is>
          <t>Mean %
(this test)</t>
        </is>
      </c>
      <c r="F31" s="7" t="inlineStr">
        <is>
          <t>Mean stanine
(this test)</t>
        </is>
      </c>
      <c r="G31" s="7" t="inlineStr">
        <is>
          <t>Mean stanine
(all tests)</t>
        </is>
      </c>
      <c r="H31" s="7" t="inlineStr">
        <is>
          <t>vs KS2 band
(all tests)</t>
        </is>
      </c>
    </row>
    <row r="32">
      <c r="B32" s="31" t="inlineStr">
        <is>
          <t>Disadvantaged (PP)</t>
        </is>
      </c>
      <c r="C32" s="33">
        <f>IFERROR((COUNTIFS(dPP,"Y")),"")</f>
        <v>30</v>
      </c>
      <c r="D32" s="33">
        <f>IFERROR((COUNTIFS(dPP,"Y",dRaw,"&gt;=0")),"")</f>
        <v>30</v>
      </c>
      <c r="E32" s="36">
        <f>IFERROR(IF((COUNTIFS(dPP,"Y",dRaw,"&gt;=0"))=0,"",(SUMIFS(dRaw,dPP,"Y"))/(COUNTIFS(dPP,"Y",dRaw,"&gt;=0"))/dMax),"")</f>
        <v>0.451960784313726</v>
      </c>
      <c r="F32" s="34">
        <f>IFERROR(IF((COUNTIFS(dPP,"Y",dRaw,"&gt;=0"))=0,"",(SUMIFS(dStn,dPP,"Y"))/(COUNTIFS(dPP,"Y",dStn,"&gt;=1"))),"")</f>
        <v>5.16666666666667</v>
      </c>
      <c r="G32" s="34">
        <f>IFERROR((SUMIFS(dMean,dPP,"Y"))/(COUNTIFS(dPP,"Y",dMean,"&gt;=1")),"")</f>
        <v>5.08</v>
      </c>
      <c r="H32" s="35">
        <f>IFERROR((SUMIFS(dVs,dPP,"Y"))/(COUNTIFS(dPP,"Y",dVs,"&gt;=-9")),"")</f>
        <v>0.18</v>
      </c>
    </row>
    <row r="33">
      <c r="B33" s="31" t="inlineStr">
        <is>
          <t>Not disadvantaged</t>
        </is>
      </c>
      <c r="C33" s="33">
        <f>IFERROR((COUNTA(dLast)-(COUNTIFS(dPP,"Y"))),"")</f>
        <v>76</v>
      </c>
      <c r="D33" s="33">
        <f>IFERROR((COUNT(dRaw)-(COUNTIFS(dPP,"Y",dRaw,"&gt;=0"))),"")</f>
        <v>71</v>
      </c>
      <c r="E33" s="36">
        <f>IFERROR(IF((COUNT(dRaw)-(COUNTIFS(dPP,"Y",dRaw,"&gt;=0")))=0,"",(SUM(dRaw)-(SUMIFS(dRaw,dPP,"Y")))/(COUNT(dRaw)-(COUNTIFS(dPP,"Y",dRaw,"&gt;=0")))/dMax),"")</f>
        <v>0.429991714995858</v>
      </c>
      <c r="F33" s="34">
        <f>IFERROR(IF((COUNT(dRaw)-(COUNTIFS(dPP,"Y",dRaw,"&gt;=0")))=0,"",(SUM(dStn)-(SUMIFS(dStn,dPP,"Y")))/(COUNT(dStn)-(COUNTIFS(dPP,"Y",dStn,"&gt;=1")))),"")</f>
        <v>4.98591549295775</v>
      </c>
      <c r="G33" s="34">
        <f>IFERROR((SUM(dMean)-(SUMIFS(dMean,dPP,"Y")))/(COUNT(dMean)-(COUNTIFS(dPP,"Y",dMean,"&gt;=1"))),"")</f>
        <v>4.94912280701754</v>
      </c>
      <c r="H33" s="35">
        <f>IFERROR((SUM(dVs)-(SUMIFS(dVs,dPP,"Y")))/(COUNT(dVs)-(COUNTIFS(dPP,"Y",dVs,"&gt;=-9"))),"")</f>
        <v>0.0284444444444444</v>
      </c>
    </row>
    <row r="34">
      <c r="B34" s="52" t="inlineStr">
        <is>
          <t>Gap: PP minus not PP</t>
        </is>
      </c>
      <c r="C34" s="53" t="n"/>
      <c r="D34" s="53" t="n"/>
      <c r="E34" s="54">
        <f>IFERROR(IF(OR($E32="",$E33=""),"",($E32-$E33)*100),"")</f>
        <v>2.1969069317868</v>
      </c>
      <c r="F34" s="55">
        <f>IFERROR(IF(OR($F32="",$F33=""),"",$F32-$F33),"")</f>
        <v>0.180751173708921</v>
      </c>
      <c r="G34" s="55">
        <f>IFERROR(IF(OR($G32="",$G33=""),"",$G32-$G33),"")</f>
        <v>0.130877192982457</v>
      </c>
      <c r="H34" s="55">
        <f>IFERROR(IF(OR($H32="",$H33=""),"",$H32-$H33),"")</f>
        <v>0.151555555555556</v>
      </c>
    </row>
    <row r="35">
      <c r="B35" s="31" t="inlineStr">
        <is>
          <t>SEN support or EHCP (K, E)</t>
        </is>
      </c>
      <c r="C35" s="33">
        <f>IFERROR((COUNTIFS(dSEN,"K")+COUNTIFS(dSEN,"E")),"")</f>
        <v>11</v>
      </c>
      <c r="D35" s="33">
        <f>IFERROR((COUNTIFS(dSEN,"K",dRaw,"&gt;=0")+COUNTIFS(dSEN,"E",dRaw,"&gt;=0")),"")</f>
        <v>11</v>
      </c>
      <c r="E35" s="36">
        <f>IFERROR(IF((COUNTIFS(dSEN,"K",dRaw,"&gt;=0")+COUNTIFS(dSEN,"E",dRaw,"&gt;=0"))=0,"",(SUMIFS(dRaw,dSEN,"K")+SUMIFS(dRaw,dSEN,"E"))/(COUNTIFS(dSEN,"K",dRaw,"&gt;=0")+COUNTIFS(dSEN,"E",dRaw,"&gt;=0"))/dMax),"")</f>
        <v>0.352941176470588</v>
      </c>
      <c r="F35" s="34">
        <f>IFERROR(IF((COUNTIFS(dSEN,"K",dRaw,"&gt;=0")+COUNTIFS(dSEN,"E",dRaw,"&gt;=0"))=0,"",(SUMIFS(dStn,dSEN,"K")+SUMIFS(dStn,dSEN,"E"))/(COUNTIFS(dSEN,"K",dStn,"&gt;=1")+COUNTIFS(dSEN,"E",dStn,"&gt;=1"))),"")</f>
        <v>4.36363636363636</v>
      </c>
      <c r="G35" s="34">
        <f>IFERROR((SUMIFS(dMean,dSEN,"K")+SUMIFS(dMean,dSEN,"E"))/(COUNTIFS(dSEN,"K",dMean,"&gt;=1")+COUNTIFS(dSEN,"E",dMean,"&gt;=1")),"")</f>
        <v>4.30606060606061</v>
      </c>
      <c r="H35" s="35">
        <f>IFERROR((SUMIFS(dVs,dSEN,"K")+SUMIFS(dVs,dSEN,"E"))/(COUNTIFS(dSEN,"K",dVs,"&gt;=-9")+COUNTIFS(dSEN,"E",dVs,"&gt;=-9")),"")</f>
        <v>-0.148484848484848</v>
      </c>
    </row>
    <row r="36">
      <c r="B36" s="31" t="inlineStr">
        <is>
          <t>No SEN support (N or blank)</t>
        </is>
      </c>
      <c r="C36" s="33">
        <f>IFERROR((COUNTA(dLast)-(COUNTIFS(dSEN,"K")+COUNTIFS(dSEN,"E"))),"")</f>
        <v>95</v>
      </c>
      <c r="D36" s="33">
        <f>IFERROR((COUNT(dRaw)-(COUNTIFS(dSEN,"K",dRaw,"&gt;=0")+COUNTIFS(dSEN,"E",dRaw,"&gt;=0"))),"")</f>
        <v>90</v>
      </c>
      <c r="E36" s="36">
        <f>IFERROR(IF((COUNT(dRaw)-(COUNTIFS(dSEN,"K",dRaw,"&gt;=0")+COUNTIFS(dSEN,"E",dRaw,"&gt;=0")))=0,"",(SUM(dRaw)-(SUMIFS(dRaw,dSEN,"K")+SUMIFS(dRaw,dSEN,"E")))/(COUNT(dRaw)-(COUNTIFS(dSEN,"K",dRaw,"&gt;=0")+COUNTIFS(dSEN,"E",dRaw,"&gt;=0")))/dMax),"")</f>
        <v>0.446732026143791</v>
      </c>
      <c r="F36" s="34">
        <f>IFERROR(IF((COUNT(dRaw)-(COUNTIFS(dSEN,"K",dRaw,"&gt;=0")+COUNTIFS(dSEN,"E",dRaw,"&gt;=0")))=0,"",(SUM(dStn)-(SUMIFS(dStn,dSEN,"K")+SUMIFS(dStn,dSEN,"E")))/(COUNT(dStn)-(COUNTIFS(dSEN,"K",dStn,"&gt;=1")+COUNTIFS(dSEN,"E",dStn,"&gt;=1")))),"")</f>
        <v>5.12222222222222</v>
      </c>
      <c r="G36" s="34">
        <f>IFERROR((SUM(dMean)-(SUMIFS(dMean,dSEN,"K")+SUMIFS(dMean,dSEN,"E")))/(COUNT(dMean)-(COUNTIFS(dSEN,"K",dMean,"&gt;=1")+COUNTIFS(dSEN,"E",dMean,"&gt;=1"))),"")</f>
        <v>5.06491228070175</v>
      </c>
      <c r="H36" s="35">
        <f>IFERROR((SUM(dVs)-(SUMIFS(dVs,dSEN,"K")+SUMIFS(dVs,dSEN,"E")))/(COUNT(dVs)-(COUNTIFS(dSEN,"K",dVs,"&gt;=-9")+COUNTIFS(dSEN,"E",dVs,"&gt;=-9"))),"")</f>
        <v>0.0975177304964539</v>
      </c>
    </row>
    <row r="37">
      <c r="B37" s="52" t="inlineStr">
        <is>
          <t>Gap: SEN minus no SEN</t>
        </is>
      </c>
      <c r="C37" s="53" t="n"/>
      <c r="D37" s="53" t="n"/>
      <c r="E37" s="54">
        <f>IFERROR(IF(OR($E35="",$E36=""),"",($E35-$E36)*100),"")</f>
        <v>-9.37908496732026</v>
      </c>
      <c r="F37" s="55">
        <f>IFERROR(IF(OR($F35="",$F36=""),"",$F35-$F36),"")</f>
        <v>-0.758585858585859</v>
      </c>
      <c r="G37" s="55">
        <f>IFERROR(IF(OR($G35="",$G36=""),"",$G35-$G36),"")</f>
        <v>-0.758851674641148</v>
      </c>
      <c r="H37" s="55">
        <f>IFERROR(IF(OR($H35="",$H36=""),"",$H35-$H36),"")</f>
        <v>-0.246002578981302</v>
      </c>
    </row>
    <row r="38">
      <c r="B38" s="31" t="inlineStr">
        <is>
          <t>Female</t>
        </is>
      </c>
      <c r="C38" s="33">
        <f>IFERROR((COUNTIFS(dSex,"F")),"")</f>
        <v>48</v>
      </c>
      <c r="D38" s="33">
        <f>IFERROR((COUNTIFS(dSex,"F",dRaw,"&gt;=0")),"")</f>
        <v>45</v>
      </c>
      <c r="E38" s="36">
        <f>IFERROR(IF((COUNTIFS(dSex,"F",dRaw,"&gt;=0"))=0,"",(SUMIFS(dRaw,dSex,"F"))/(COUNTIFS(dSex,"F",dRaw,"&gt;=0"))/dMax),"")</f>
        <v>0.430718954248366</v>
      </c>
      <c r="F38" s="34">
        <f>IFERROR(IF((COUNTIFS(dSex,"F",dRaw,"&gt;=0"))=0,"",(SUMIFS(dStn,dSex,"F"))/(COUNTIFS(dSex,"F",dStn,"&gt;=1"))),"")</f>
        <v>4.95555555555556</v>
      </c>
      <c r="G38" s="34">
        <f>IFERROR((SUMIFS(dMean,dSex,"F"))/(COUNTIFS(dSex,"F",dMean,"&gt;=1")),"")</f>
        <v>5.06875</v>
      </c>
      <c r="H38" s="35">
        <f>IFERROR((SUMIFS(dVs,dSex,"F"))/(COUNTIFS(dSex,"F",dVs,"&gt;=-9")),"")</f>
        <v>0.112765957446808</v>
      </c>
    </row>
    <row r="39">
      <c r="B39" s="31" t="inlineStr">
        <is>
          <t>Male</t>
        </is>
      </c>
      <c r="C39" s="33">
        <f>IFERROR((COUNTIFS(dSex,"M")),"")</f>
        <v>58</v>
      </c>
      <c r="D39" s="33">
        <f>IFERROR((COUNTIFS(dSex,"M",dRaw,"&gt;=0")),"")</f>
        <v>56</v>
      </c>
      <c r="E39" s="36">
        <f>IFERROR(IF((COUNTIFS(dSex,"M",dRaw,"&gt;=0"))=0,"",(SUMIFS(dRaw,dSex,"M"))/(COUNTIFS(dSex,"M",dRaw,"&gt;=0"))/dMax),"")</f>
        <v>0.441176470588235</v>
      </c>
      <c r="F39" s="34">
        <f>IFERROR(IF((COUNTIFS(dSex,"M",dRaw,"&gt;=0"))=0,"",(SUMIFS(dStn,dSex,"M"))/(COUNTIFS(dSex,"M",dStn,"&gt;=1"))),"")</f>
        <v>5.10714285714286</v>
      </c>
      <c r="G39" s="34">
        <f>IFERROR((SUMIFS(dMean,dSex,"M"))/(COUNTIFS(dSex,"M",dMean,"&gt;=1")),"")</f>
        <v>4.91781609195402</v>
      </c>
      <c r="H39" s="35">
        <f>IFERROR((SUMIFS(dVs,dSex,"M"))/(COUNTIFS(dSex,"M",dVs,"&gt;=-9")),"")</f>
        <v>0.0385057471264368</v>
      </c>
    </row>
    <row r="40">
      <c r="B40" s="52" t="inlineStr">
        <is>
          <t>Gap: female minus male</t>
        </is>
      </c>
      <c r="C40" s="53" t="n"/>
      <c r="D40" s="53" t="n"/>
      <c r="E40" s="54">
        <f>IFERROR(IF(OR($E38="",$E39=""),"",($E38-$E39)*100),"")</f>
        <v>-1.04575163398693</v>
      </c>
      <c r="F40" s="55">
        <f>IFERROR(IF(OR($F38="",$F39=""),"",$F38-$F39),"")</f>
        <v>-0.151587301587301</v>
      </c>
      <c r="G40" s="55">
        <f>IFERROR(IF(OR($G38="",$G39=""),"",$G38-$G39),"")</f>
        <v>0.150933908045977</v>
      </c>
      <c r="H40" s="55">
        <f>IFERROR(IF(OR($H38="",$H39=""),"",$H38-$H39),"")</f>
        <v>0.0742602103203717</v>
      </c>
    </row>
    <row r="43">
      <c r="B43" s="6" t="inlineStr">
        <is>
          <t>4.  Every test for the year group</t>
        </is>
      </c>
    </row>
    <row r="44">
      <c r="B44" s="56" t="str">
        <f>"Showing "&amp;LOWER(SelMeasure)&amp;". Class cells: blue = above the whole year group, red = below. Completion: amber = partly entered, red = nothing entered yet."</f>
        <v>Showing mean %. Class cells: blue = above the whole year group, red = below. Completion: amber = partly entered, red = nothing entered yet.</v>
      </c>
    </row>
    <row r="45" ht="36" customHeight="1">
      <c r="B45" s="7" t="inlineStr">
        <is>
          <t>Test</t>
        </is>
      </c>
      <c r="C45" s="7" t="inlineStr">
        <is>
          <t>Date</t>
        </is>
      </c>
      <c r="D45" s="7" t="inlineStr">
        <is>
          <t>Max</t>
        </is>
      </c>
      <c r="E45" s="7" t="inlineStr">
        <is>
          <t>Sat</t>
        </is>
      </c>
      <c r="F45" s="7" t="inlineStr">
        <is>
          <t>Completion</t>
        </is>
      </c>
      <c r="G45" s="7" t="inlineStr">
        <is>
          <t>Whole year</t>
        </is>
      </c>
      <c r="H45" s="7" t="str">
        <f>IF(Calc!Y3="","",Calc!Y3)</f>
        <v>11S/Sc1</v>
      </c>
      <c r="I45" s="7" t="str">
        <f>IF(Calc!Y4="","",Calc!Y4)</f>
        <v>11S/Sc2</v>
      </c>
      <c r="J45" s="7" t="str">
        <f>IF(Calc!Y5="","",Calc!Y5)</f>
        <v>11S/Sc3</v>
      </c>
      <c r="K45" s="7" t="str">
        <f>IF(Calc!Y6="","",Calc!Y6)</f>
        <v>11S/Sc4</v>
      </c>
      <c r="L45" s="7" t="str">
        <f>IF(Calc!Y7="","",Calc!Y7)</f>
        <v>11S/Sc5</v>
      </c>
      <c r="M45" s="7" t="str">
        <f>IF(Calc!Y8="","",Calc!Y8)</f>
        <v>Science Support</v>
      </c>
      <c r="N45" s="7" t="str">
        <f>IF(Calc!Y9="","",Calc!Y9)</f>
        <v/>
      </c>
      <c r="O45" s="7" t="str">
        <f>IF(Calc!Y10="","",Calc!Y10)</f>
        <v/>
      </c>
    </row>
    <row r="46">
      <c r="B46" s="31" t="str">
        <f>Calc!AA3</f>
        <v>4B05 - Homeostasis</v>
      </c>
      <c r="C46" s="57">
        <f>Calc!AC3</f>
        <v>46291.0</v>
      </c>
      <c r="D46" s="33">
        <f>Calc!AB3</f>
        <v>40</v>
      </c>
      <c r="E46" s="33">
        <f>IF($B46="","",IFERROR(COUNT(INDEX(dData,0,MATCH($B46&amp;CHAR(10)&amp;"Raw Score",dHdr,0))),""))</f>
        <v>103</v>
      </c>
      <c r="F46" s="36">
        <f>IF($B46="","",IFERROR(($E46+COUNTIF(INDEX(dData,0,MATCH($B46&amp;CHAR(10)&amp;"Raw Score",dHdr,0)),"A"))/COUNTA(dLast),""))</f>
        <v>1</v>
      </c>
      <c r="G46" s="58">
        <f>IF($B46="","",IFERROR(CHOOSE(MATCH(SelMeasure,MeasureList,0),AVERAGE(INDEX(dData,0,MATCH($B46&amp;CHAR(10)&amp;"Raw Score",dHdr,0)))/$D46,AVERAGE(INDEX(dData,0,MATCH($B46&amp;CHAR(10)&amp;"Stanine",dHdr,0))),$F46),""))</f>
        <v>0.573300970873786</v>
      </c>
      <c r="H46" s="36">
        <f>IF(OR($B46="",H$45=""),"",IFERROR(CHOOSE(MATCH(SelMeasure,MeasureList,0),AVERAGEIFS(INDEX(dData,0,MATCH($B46&amp;CHAR(10)&amp;"Raw Score",dHdr,0)),dClass,H$45)/$D46,AVERAGEIFS(INDEX(dData,0,MATCH($B46&amp;CHAR(10)&amp;"Stanine",dHdr,0)),dClass,H$45),(COUNTIFS(dClass,H$45,INDEX(dData,0,MATCH($B46&amp;CHAR(10)&amp;"Raw Score",dHdr,0)),"&gt;=0")+COUNTIFS(dClass,H$45,INDEX(dData,0,MATCH($B46&amp;CHAR(10)&amp;"Raw Score",dHdr,0)),"A"))/COUNTIF(dClass,H$45)),""))</f>
        <v>0.794230769230769</v>
      </c>
      <c r="I46" s="36">
        <f>IF(OR($B46="",I$45=""),"",IFERROR(CHOOSE(MATCH(SelMeasure,MeasureList,0),AVERAGEIFS(INDEX(dData,0,MATCH($B46&amp;CHAR(10)&amp;"Raw Score",dHdr,0)),dClass,I$45)/$D46,AVERAGEIFS(INDEX(dData,0,MATCH($B46&amp;CHAR(10)&amp;"Stanine",dHdr,0)),dClass,I$45),(COUNTIFS(dClass,I$45,INDEX(dData,0,MATCH($B46&amp;CHAR(10)&amp;"Raw Score",dHdr,0)),"&gt;=0")+COUNTIFS(dClass,I$45,INDEX(dData,0,MATCH($B46&amp;CHAR(10)&amp;"Raw Score",dHdr,0)),"A"))/COUNTIF(dClass,I$45)),""))</f>
        <v>0.685576923076923</v>
      </c>
      <c r="J46" s="36">
        <f>IF(OR($B46="",J$45=""),"",IFERROR(CHOOSE(MATCH(SelMeasure,MeasureList,0),AVERAGEIFS(INDEX(dData,0,MATCH($B46&amp;CHAR(10)&amp;"Raw Score",dHdr,0)),dClass,J$45)/$D46,AVERAGEIFS(INDEX(dData,0,MATCH($B46&amp;CHAR(10)&amp;"Stanine",dHdr,0)),dClass,J$45),(COUNTIFS(dClass,J$45,INDEX(dData,0,MATCH($B46&amp;CHAR(10)&amp;"Raw Score",dHdr,0)),"&gt;=0")+COUNTIFS(dClass,J$45,INDEX(dData,0,MATCH($B46&amp;CHAR(10)&amp;"Raw Score",dHdr,0)),"A"))/COUNTIF(dClass,J$45)),""))</f>
        <v>0.473809523809524</v>
      </c>
      <c r="K46" s="36">
        <f>IF(OR($B46="",K$45=""),"",IFERROR(CHOOSE(MATCH(SelMeasure,MeasureList,0),AVERAGEIFS(INDEX(dData,0,MATCH($B46&amp;CHAR(10)&amp;"Raw Score",dHdr,0)),dClass,K$45)/$D46,AVERAGEIFS(INDEX(dData,0,MATCH($B46&amp;CHAR(10)&amp;"Stanine",dHdr,0)),dClass,K$45),(COUNTIFS(dClass,K$45,INDEX(dData,0,MATCH($B46&amp;CHAR(10)&amp;"Raw Score",dHdr,0)),"&gt;=0")+COUNTIFS(dClass,K$45,INDEX(dData,0,MATCH($B46&amp;CHAR(10)&amp;"Raw Score",dHdr,0)),"A"))/COUNTIF(dClass,K$45)),""))</f>
        <v>0.4</v>
      </c>
      <c r="L46" s="36">
        <f>IF(OR($B46="",L$45=""),"",IFERROR(CHOOSE(MATCH(SelMeasure,MeasureList,0),AVERAGEIFS(INDEX(dData,0,MATCH($B46&amp;CHAR(10)&amp;"Raw Score",dHdr,0)),dClass,L$45)/$D46,AVERAGEIFS(INDEX(dData,0,MATCH($B46&amp;CHAR(10)&amp;"Stanine",dHdr,0)),dClass,L$45),(COUNTIFS(dClass,L$45,INDEX(dData,0,MATCH($B46&amp;CHAR(10)&amp;"Raw Score",dHdr,0)),"&gt;=0")+COUNTIFS(dClass,L$45,INDEX(dData,0,MATCH($B46&amp;CHAR(10)&amp;"Raw Score",dHdr,0)),"A"))/COUNTIF(dClass,L$45)),""))</f>
        <v>0.336538461538462</v>
      </c>
      <c r="M46" s="36">
        <f>IF(OR($B46="",M$45=""),"",IFERROR(CHOOSE(MATCH(SelMeasure,MeasureList,0),AVERAGEIFS(INDEX(dData,0,MATCH($B46&amp;CHAR(10)&amp;"Raw Score",dHdr,0)),dClass,M$45)/$D46,AVERAGEIFS(INDEX(dData,0,MATCH($B46&amp;CHAR(10)&amp;"Stanine",dHdr,0)),dClass,M$45),(COUNTIFS(dClass,M$45,INDEX(dData,0,MATCH($B46&amp;CHAR(10)&amp;"Raw Score",dHdr,0)),"&gt;=0")+COUNTIFS(dClass,M$45,INDEX(dData,0,MATCH($B46&amp;CHAR(10)&amp;"Raw Score",dHdr,0)),"A"))/COUNTIF(dClass,M$45)),""))</f>
        <v>0.29</v>
      </c>
      <c r="N46" s="36" t="str">
        <f>IF(OR($B46="",N$45=""),"",IFERROR(CHOOSE(MATCH(SelMeasure,MeasureList,0),AVERAGEIFS(INDEX(dData,0,MATCH($B46&amp;CHAR(10)&amp;"Raw Score",dHdr,0)),dClass,N$45)/$D46,AVERAGEIFS(INDEX(dData,0,MATCH($B46&amp;CHAR(10)&amp;"Stanine",dHdr,0)),dClass,N$45),(COUNTIFS(dClass,N$45,INDEX(dData,0,MATCH($B46&amp;CHAR(10)&amp;"Raw Score",dHdr,0)),"&gt;=0")+COUNTIFS(dClass,N$45,INDEX(dData,0,MATCH($B46&amp;CHAR(10)&amp;"Raw Score",dHdr,0)),"A"))/COUNTIF(dClass,N$45)),""))</f>
        <v/>
      </c>
      <c r="O46" s="36" t="str">
        <f>IF(OR($B46="",O$45=""),"",IFERROR(CHOOSE(MATCH(SelMeasure,MeasureList,0),AVERAGEIFS(INDEX(dData,0,MATCH($B46&amp;CHAR(10)&amp;"Raw Score",dHdr,0)),dClass,O$45)/$D46,AVERAGEIFS(INDEX(dData,0,MATCH($B46&amp;CHAR(10)&amp;"Stanine",dHdr,0)),dClass,O$45),(COUNTIFS(dClass,O$45,INDEX(dData,0,MATCH($B46&amp;CHAR(10)&amp;"Raw Score",dHdr,0)),"&gt;=0")+COUNTIFS(dClass,O$45,INDEX(dData,0,MATCH($B46&amp;CHAR(10)&amp;"Raw Score",dHdr,0)),"A"))/COUNTIF(dClass,O$45)),""))</f>
        <v/>
      </c>
    </row>
    <row r="47">
      <c r="B47" s="31" t="str">
        <f>Calc!AA4</f>
        <v>4C09 - Organic Chemistry</v>
      </c>
      <c r="C47" s="57">
        <f>Calc!AC4</f>
        <v>46305.0</v>
      </c>
      <c r="D47" s="33">
        <f>Calc!AB4</f>
        <v>35</v>
      </c>
      <c r="E47" s="33">
        <f>IF($B47="","",IFERROR(COUNT(INDEX(dData,0,MATCH($B47&amp;CHAR(10)&amp;"Raw Score",dHdr,0))),""))</f>
        <v>100</v>
      </c>
      <c r="F47" s="36">
        <f>IF($B47="","",IFERROR(($E47+COUNTIF(INDEX(dData,0,MATCH($B47&amp;CHAR(10)&amp;"Raw Score",dHdr,0)),"A"))/COUNTA(dLast),""))</f>
        <v>1</v>
      </c>
      <c r="G47" s="58">
        <f>IF($B47="","",IFERROR(CHOOSE(MATCH(SelMeasure,MeasureList,0),AVERAGE(INDEX(dData,0,MATCH($B47&amp;CHAR(10)&amp;"Raw Score",dHdr,0)))/$D47,AVERAGE(INDEX(dData,0,MATCH($B47&amp;CHAR(10)&amp;"Stanine",dHdr,0))),$F47),""))</f>
        <v>0.546857142857143</v>
      </c>
      <c r="H47" s="36">
        <f>IF(OR($B47="",H$45=""),"",IFERROR(CHOOSE(MATCH(SelMeasure,MeasureList,0),AVERAGEIFS(INDEX(dData,0,MATCH($B47&amp;CHAR(10)&amp;"Raw Score",dHdr,0)),dClass,H$45)/$D47,AVERAGEIFS(INDEX(dData,0,MATCH($B47&amp;CHAR(10)&amp;"Stanine",dHdr,0)),dClass,H$45),(COUNTIFS(dClass,H$45,INDEX(dData,0,MATCH($B47&amp;CHAR(10)&amp;"Raw Score",dHdr,0)),"&gt;=0")+COUNTIFS(dClass,H$45,INDEX(dData,0,MATCH($B47&amp;CHAR(10)&amp;"Raw Score",dHdr,0)),"A"))/COUNTIF(dClass,H$45)),""))</f>
        <v>0.738624338624339</v>
      </c>
      <c r="I47" s="36">
        <f>IF(OR($B47="",I$45=""),"",IFERROR(CHOOSE(MATCH(SelMeasure,MeasureList,0),AVERAGEIFS(INDEX(dData,0,MATCH($B47&amp;CHAR(10)&amp;"Raw Score",dHdr,0)),dClass,I$45)/$D47,AVERAGEIFS(INDEX(dData,0,MATCH($B47&amp;CHAR(10)&amp;"Stanine",dHdr,0)),dClass,I$45),(COUNTIFS(dClass,I$45,INDEX(dData,0,MATCH($B47&amp;CHAR(10)&amp;"Raw Score",dHdr,0)),"&gt;=0")+COUNTIFS(dClass,I$45,INDEX(dData,0,MATCH($B47&amp;CHAR(10)&amp;"Raw Score",dHdr,0)),"A"))/COUNTIF(dClass,I$45)),""))</f>
        <v>0.64</v>
      </c>
      <c r="J47" s="36">
        <f>IF(OR($B47="",J$45=""),"",IFERROR(CHOOSE(MATCH(SelMeasure,MeasureList,0),AVERAGEIFS(INDEX(dData,0,MATCH($B47&amp;CHAR(10)&amp;"Raw Score",dHdr,0)),dClass,J$45)/$D47,AVERAGEIFS(INDEX(dData,0,MATCH($B47&amp;CHAR(10)&amp;"Stanine",dHdr,0)),dClass,J$45),(COUNTIFS(dClass,J$45,INDEX(dData,0,MATCH($B47&amp;CHAR(10)&amp;"Raw Score",dHdr,0)),"&gt;=0")+COUNTIFS(dClass,J$45,INDEX(dData,0,MATCH($B47&amp;CHAR(10)&amp;"Raw Score",dHdr,0)),"A"))/COUNTIF(dClass,J$45)),""))</f>
        <v>0.471428571428571</v>
      </c>
      <c r="K47" s="36">
        <f>IF(OR($B47="",K$45=""),"",IFERROR(CHOOSE(MATCH(SelMeasure,MeasureList,0),AVERAGEIFS(INDEX(dData,0,MATCH($B47&amp;CHAR(10)&amp;"Raw Score",dHdr,0)),dClass,K$45)/$D47,AVERAGEIFS(INDEX(dData,0,MATCH($B47&amp;CHAR(10)&amp;"Stanine",dHdr,0)),dClass,K$45),(COUNTIFS(dClass,K$45,INDEX(dData,0,MATCH($B47&amp;CHAR(10)&amp;"Raw Score",dHdr,0)),"&gt;=0")+COUNTIFS(dClass,K$45,INDEX(dData,0,MATCH($B47&amp;CHAR(10)&amp;"Raw Score",dHdr,0)),"A"))/COUNTIF(dClass,K$45)),""))</f>
        <v>0.369047619047619</v>
      </c>
      <c r="L47" s="36">
        <f>IF(OR($B47="",L$45=""),"",IFERROR(CHOOSE(MATCH(SelMeasure,MeasureList,0),AVERAGEIFS(INDEX(dData,0,MATCH($B47&amp;CHAR(10)&amp;"Raw Score",dHdr,0)),dClass,L$45)/$D47,AVERAGEIFS(INDEX(dData,0,MATCH($B47&amp;CHAR(10)&amp;"Stanine",dHdr,0)),dClass,L$45),(COUNTIFS(dClass,L$45,INDEX(dData,0,MATCH($B47&amp;CHAR(10)&amp;"Raw Score",dHdr,0)),"&gt;=0")+COUNTIFS(dClass,L$45,INDEX(dData,0,MATCH($B47&amp;CHAR(10)&amp;"Raw Score",dHdr,0)),"A"))/COUNTIF(dClass,L$45)),""))</f>
        <v>0.338461538461539</v>
      </c>
      <c r="M47" s="36">
        <f>IF(OR($B47="",M$45=""),"",IFERROR(CHOOSE(MATCH(SelMeasure,MeasureList,0),AVERAGEIFS(INDEX(dData,0,MATCH($B47&amp;CHAR(10)&amp;"Raw Score",dHdr,0)),dClass,M$45)/$D47,AVERAGEIFS(INDEX(dData,0,MATCH($B47&amp;CHAR(10)&amp;"Stanine",dHdr,0)),dClass,M$45),(COUNTIFS(dClass,M$45,INDEX(dData,0,MATCH($B47&amp;CHAR(10)&amp;"Raw Score",dHdr,0)),"&gt;=0")+COUNTIFS(dClass,M$45,INDEX(dData,0,MATCH($B47&amp;CHAR(10)&amp;"Raw Score",dHdr,0)),"A"))/COUNTIF(dClass,M$45)),""))</f>
        <v>0.161904761904762</v>
      </c>
      <c r="N47" s="36" t="str">
        <f>IF(OR($B47="",N$45=""),"",IFERROR(CHOOSE(MATCH(SelMeasure,MeasureList,0),AVERAGEIFS(INDEX(dData,0,MATCH($B47&amp;CHAR(10)&amp;"Raw Score",dHdr,0)),dClass,N$45)/$D47,AVERAGEIFS(INDEX(dData,0,MATCH($B47&amp;CHAR(10)&amp;"Stanine",dHdr,0)),dClass,N$45),(COUNTIFS(dClass,N$45,INDEX(dData,0,MATCH($B47&amp;CHAR(10)&amp;"Raw Score",dHdr,0)),"&gt;=0")+COUNTIFS(dClass,N$45,INDEX(dData,0,MATCH($B47&amp;CHAR(10)&amp;"Raw Score",dHdr,0)),"A"))/COUNTIF(dClass,N$45)),""))</f>
        <v/>
      </c>
      <c r="O47" s="36" t="str">
        <f>IF(OR($B47="",O$45=""),"",IFERROR(CHOOSE(MATCH(SelMeasure,MeasureList,0),AVERAGEIFS(INDEX(dData,0,MATCH($B47&amp;CHAR(10)&amp;"Raw Score",dHdr,0)),dClass,O$45)/$D47,AVERAGEIFS(INDEX(dData,0,MATCH($B47&amp;CHAR(10)&amp;"Stanine",dHdr,0)),dClass,O$45),(COUNTIFS(dClass,O$45,INDEX(dData,0,MATCH($B47&amp;CHAR(10)&amp;"Raw Score",dHdr,0)),"&gt;=0")+COUNTIFS(dClass,O$45,INDEX(dData,0,MATCH($B47&amp;CHAR(10)&amp;"Raw Score",dHdr,0)),"A"))/COUNTIF(dClass,O$45)),""))</f>
        <v/>
      </c>
    </row>
    <row r="48">
      <c r="B48" s="31" t="str">
        <f>Calc!AA5</f>
        <v>4P06 - Waves</v>
      </c>
      <c r="C48" s="57">
        <f>Calc!AC5</f>
        <v>46319.0</v>
      </c>
      <c r="D48" s="33">
        <f>Calc!AB5</f>
        <v>38</v>
      </c>
      <c r="E48" s="33">
        <f>IF($B48="","",IFERROR(COUNT(INDEX(dData,0,MATCH($B48&amp;CHAR(10)&amp;"Raw Score",dHdr,0))),""))</f>
        <v>103</v>
      </c>
      <c r="F48" s="36">
        <f>IF($B48="","",IFERROR(($E48+COUNTIF(INDEX(dData,0,MATCH($B48&amp;CHAR(10)&amp;"Raw Score",dHdr,0)),"A"))/COUNTA(dLast),""))</f>
        <v>1</v>
      </c>
      <c r="G48" s="58">
        <f>IF($B48="","",IFERROR(CHOOSE(MATCH(SelMeasure,MeasureList,0),AVERAGE(INDEX(dData,0,MATCH($B48&amp;CHAR(10)&amp;"Raw Score",dHdr,0)))/$D48,AVERAGE(INDEX(dData,0,MATCH($B48&amp;CHAR(10)&amp;"Stanine",dHdr,0))),$F48),""))</f>
        <v>0.464997445068983</v>
      </c>
      <c r="H48" s="36">
        <f>IF(OR($B48="",H$45=""),"",IFERROR(CHOOSE(MATCH(SelMeasure,MeasureList,0),AVERAGEIFS(INDEX(dData,0,MATCH($B48&amp;CHAR(10)&amp;"Raw Score",dHdr,0)),dClass,H$45)/$D48,AVERAGEIFS(INDEX(dData,0,MATCH($B48&amp;CHAR(10)&amp;"Stanine",dHdr,0)),dClass,H$45),(COUNTIFS(dClass,H$45,INDEX(dData,0,MATCH($B48&amp;CHAR(10)&amp;"Raw Score",dHdr,0)),"&gt;=0")+COUNTIFS(dClass,H$45,INDEX(dData,0,MATCH($B48&amp;CHAR(10)&amp;"Raw Score",dHdr,0)),"A"))/COUNTIF(dClass,H$45)),""))</f>
        <v>0.638401559454191</v>
      </c>
      <c r="I48" s="36">
        <f>IF(OR($B48="",I$45=""),"",IFERROR(CHOOSE(MATCH(SelMeasure,MeasureList,0),AVERAGEIFS(INDEX(dData,0,MATCH($B48&amp;CHAR(10)&amp;"Raw Score",dHdr,0)),dClass,I$45)/$D48,AVERAGEIFS(INDEX(dData,0,MATCH($B48&amp;CHAR(10)&amp;"Stanine",dHdr,0)),dClass,I$45),(COUNTIFS(dClass,I$45,INDEX(dData,0,MATCH($B48&amp;CHAR(10)&amp;"Raw Score",dHdr,0)),"&gt;=0")+COUNTIFS(dClass,I$45,INDEX(dData,0,MATCH($B48&amp;CHAR(10)&amp;"Raw Score",dHdr,0)),"A"))/COUNTIF(dClass,I$45)),""))</f>
        <v>0.570526315789474</v>
      </c>
      <c r="J48" s="36">
        <f>IF(OR($B48="",J$45=""),"",IFERROR(CHOOSE(MATCH(SelMeasure,MeasureList,0),AVERAGEIFS(INDEX(dData,0,MATCH($B48&amp;CHAR(10)&amp;"Raw Score",dHdr,0)),dClass,J$45)/$D48,AVERAGEIFS(INDEX(dData,0,MATCH($B48&amp;CHAR(10)&amp;"Stanine",dHdr,0)),dClass,J$45),(COUNTIFS(dClass,J$45,INDEX(dData,0,MATCH($B48&amp;CHAR(10)&amp;"Raw Score",dHdr,0)),"&gt;=0")+COUNTIFS(dClass,J$45,INDEX(dData,0,MATCH($B48&amp;CHAR(10)&amp;"Raw Score",dHdr,0)),"A"))/COUNTIF(dClass,J$45)),""))</f>
        <v>0.407894736842105</v>
      </c>
      <c r="K48" s="36">
        <f>IF(OR($B48="",K$45=""),"",IFERROR(CHOOSE(MATCH(SelMeasure,MeasureList,0),AVERAGEIFS(INDEX(dData,0,MATCH($B48&amp;CHAR(10)&amp;"Raw Score",dHdr,0)),dClass,K$45)/$D48,AVERAGEIFS(INDEX(dData,0,MATCH($B48&amp;CHAR(10)&amp;"Stanine",dHdr,0)),dClass,K$45),(COUNTIFS(dClass,K$45,INDEX(dData,0,MATCH($B48&amp;CHAR(10)&amp;"Raw Score",dHdr,0)),"&gt;=0")+COUNTIFS(dClass,K$45,INDEX(dData,0,MATCH($B48&amp;CHAR(10)&amp;"Raw Score",dHdr,0)),"A"))/COUNTIF(dClass,K$45)),""))</f>
        <v>0.285425101214575</v>
      </c>
      <c r="L48" s="36">
        <f>IF(OR($B48="",L$45=""),"",IFERROR(CHOOSE(MATCH(SelMeasure,MeasureList,0),AVERAGEIFS(INDEX(dData,0,MATCH($B48&amp;CHAR(10)&amp;"Raw Score",dHdr,0)),dClass,L$45)/$D48,AVERAGEIFS(INDEX(dData,0,MATCH($B48&amp;CHAR(10)&amp;"Stanine",dHdr,0)),dClass,L$45),(COUNTIFS(dClass,L$45,INDEX(dData,0,MATCH($B48&amp;CHAR(10)&amp;"Raw Score",dHdr,0)),"&gt;=0")+COUNTIFS(dClass,L$45,INDEX(dData,0,MATCH($B48&amp;CHAR(10)&amp;"Raw Score",dHdr,0)),"A"))/COUNTIF(dClass,L$45)),""))</f>
        <v>0.275303643724696</v>
      </c>
      <c r="M48" s="36">
        <f>IF(OR($B48="",M$45=""),"",IFERROR(CHOOSE(MATCH(SelMeasure,MeasureList,0),AVERAGEIFS(INDEX(dData,0,MATCH($B48&amp;CHAR(10)&amp;"Raw Score",dHdr,0)),dClass,M$45)/$D48,AVERAGEIFS(INDEX(dData,0,MATCH($B48&amp;CHAR(10)&amp;"Stanine",dHdr,0)),dClass,M$45),(COUNTIFS(dClass,M$45,INDEX(dData,0,MATCH($B48&amp;CHAR(10)&amp;"Raw Score",dHdr,0)),"&gt;=0")+COUNTIFS(dClass,M$45,INDEX(dData,0,MATCH($B48&amp;CHAR(10)&amp;"Raw Score",dHdr,0)),"A"))/COUNTIF(dClass,M$45)),""))</f>
        <v>0.189473684210526</v>
      </c>
      <c r="N48" s="36" t="str">
        <f>IF(OR($B48="",N$45=""),"",IFERROR(CHOOSE(MATCH(SelMeasure,MeasureList,0),AVERAGEIFS(INDEX(dData,0,MATCH($B48&amp;CHAR(10)&amp;"Raw Score",dHdr,0)),dClass,N$45)/$D48,AVERAGEIFS(INDEX(dData,0,MATCH($B48&amp;CHAR(10)&amp;"Stanine",dHdr,0)),dClass,N$45),(COUNTIFS(dClass,N$45,INDEX(dData,0,MATCH($B48&amp;CHAR(10)&amp;"Raw Score",dHdr,0)),"&gt;=0")+COUNTIFS(dClass,N$45,INDEX(dData,0,MATCH($B48&amp;CHAR(10)&amp;"Raw Score",dHdr,0)),"A"))/COUNTIF(dClass,N$45)),""))</f>
        <v/>
      </c>
      <c r="O48" s="36" t="str">
        <f>IF(OR($B48="",O$45=""),"",IFERROR(CHOOSE(MATCH(SelMeasure,MeasureList,0),AVERAGEIFS(INDEX(dData,0,MATCH($B48&amp;CHAR(10)&amp;"Raw Score",dHdr,0)),dClass,O$45)/$D48,AVERAGEIFS(INDEX(dData,0,MATCH($B48&amp;CHAR(10)&amp;"Stanine",dHdr,0)),dClass,O$45),(COUNTIFS(dClass,O$45,INDEX(dData,0,MATCH($B48&amp;CHAR(10)&amp;"Raw Score",dHdr,0)),"&gt;=0")+COUNTIFS(dClass,O$45,INDEX(dData,0,MATCH($B48&amp;CHAR(10)&amp;"Raw Score",dHdr,0)),"A"))/COUNTIF(dClass,O$45)),""))</f>
        <v/>
      </c>
    </row>
    <row r="49">
      <c r="B49" s="31" t="str">
        <f>Calc!AA6</f>
        <v>4B06 - Inheritance</v>
      </c>
      <c r="C49" s="57">
        <f>Calc!AC6</f>
        <v>46333.0</v>
      </c>
      <c r="D49" s="33">
        <f>Calc!AB6</f>
        <v>42</v>
      </c>
      <c r="E49" s="33">
        <f>IF($B49="","",IFERROR(COUNT(INDEX(dData,0,MATCH($B49&amp;CHAR(10)&amp;"Raw Score",dHdr,0))),""))</f>
        <v>103</v>
      </c>
      <c r="F49" s="36">
        <f>IF($B49="","",IFERROR(($E49+COUNTIF(INDEX(dData,0,MATCH($B49&amp;CHAR(10)&amp;"Raw Score",dHdr,0)),"A"))/COUNTA(dLast),""))</f>
        <v>1</v>
      </c>
      <c r="G49" s="58">
        <f>IF($B49="","",IFERROR(CHOOSE(MATCH(SelMeasure,MeasureList,0),AVERAGE(INDEX(dData,0,MATCH($B49&amp;CHAR(10)&amp;"Raw Score",dHdr,0)))/$D49,AVERAGE(INDEX(dData,0,MATCH($B49&amp;CHAR(10)&amp;"Stanine",dHdr,0))),$F49),""))</f>
        <v>0.634304207119741</v>
      </c>
      <c r="H49" s="36">
        <f>IF(OR($B49="",H$45=""),"",IFERROR(CHOOSE(MATCH(SelMeasure,MeasureList,0),AVERAGEIFS(INDEX(dData,0,MATCH($B49&amp;CHAR(10)&amp;"Raw Score",dHdr,0)),dClass,H$45)/$D49,AVERAGEIFS(INDEX(dData,0,MATCH($B49&amp;CHAR(10)&amp;"Stanine",dHdr,0)),dClass,H$45),(COUNTIFS(dClass,H$45,INDEX(dData,0,MATCH($B49&amp;CHAR(10)&amp;"Raw Score",dHdr,0)),"&gt;=0")+COUNTIFS(dClass,H$45,INDEX(dData,0,MATCH($B49&amp;CHAR(10)&amp;"Raw Score",dHdr,0)),"A"))/COUNTIF(dClass,H$45)),""))</f>
        <v>0.815696649029982</v>
      </c>
      <c r="I49" s="36">
        <f>IF(OR($B49="",I$45=""),"",IFERROR(CHOOSE(MATCH(SelMeasure,MeasureList,0),AVERAGEIFS(INDEX(dData,0,MATCH($B49&amp;CHAR(10)&amp;"Raw Score",dHdr,0)),dClass,I$45)/$D49,AVERAGEIFS(INDEX(dData,0,MATCH($B49&amp;CHAR(10)&amp;"Stanine",dHdr,0)),dClass,I$45),(COUNTIFS(dClass,I$45,INDEX(dData,0,MATCH($B49&amp;CHAR(10)&amp;"Raw Score",dHdr,0)),"&gt;=0")+COUNTIFS(dClass,I$45,INDEX(dData,0,MATCH($B49&amp;CHAR(10)&amp;"Raw Score",dHdr,0)),"A"))/COUNTIF(dClass,I$45)),""))</f>
        <v>0.727619047619048</v>
      </c>
      <c r="J49" s="36">
        <f>IF(OR($B49="",J$45=""),"",IFERROR(CHOOSE(MATCH(SelMeasure,MeasureList,0),AVERAGEIFS(INDEX(dData,0,MATCH($B49&amp;CHAR(10)&amp;"Raw Score",dHdr,0)),dClass,J$45)/$D49,AVERAGEIFS(INDEX(dData,0,MATCH($B49&amp;CHAR(10)&amp;"Stanine",dHdr,0)),dClass,J$45),(COUNTIFS(dClass,J$45,INDEX(dData,0,MATCH($B49&amp;CHAR(10)&amp;"Raw Score",dHdr,0)),"&gt;=0")+COUNTIFS(dClass,J$45,INDEX(dData,0,MATCH($B49&amp;CHAR(10)&amp;"Raw Score",dHdr,0)),"A"))/COUNTIF(dClass,J$45)),""))</f>
        <v>0.570294784580499</v>
      </c>
      <c r="K49" s="36">
        <f>IF(OR($B49="",K$45=""),"",IFERROR(CHOOSE(MATCH(SelMeasure,MeasureList,0),AVERAGEIFS(INDEX(dData,0,MATCH($B49&amp;CHAR(10)&amp;"Raw Score",dHdr,0)),dClass,K$45)/$D49,AVERAGEIFS(INDEX(dData,0,MATCH($B49&amp;CHAR(10)&amp;"Stanine",dHdr,0)),dClass,K$45),(COUNTIFS(dClass,K$45,INDEX(dData,0,MATCH($B49&amp;CHAR(10)&amp;"Raw Score",dHdr,0)),"&gt;=0")+COUNTIFS(dClass,K$45,INDEX(dData,0,MATCH($B49&amp;CHAR(10)&amp;"Raw Score",dHdr,0)),"A"))/COUNTIF(dClass,K$45)),""))</f>
        <v>0.485347985347985</v>
      </c>
      <c r="L49" s="36">
        <f>IF(OR($B49="",L$45=""),"",IFERROR(CHOOSE(MATCH(SelMeasure,MeasureList,0),AVERAGEIFS(INDEX(dData,0,MATCH($B49&amp;CHAR(10)&amp;"Raw Score",dHdr,0)),dClass,L$45)/$D49,AVERAGEIFS(INDEX(dData,0,MATCH($B49&amp;CHAR(10)&amp;"Stanine",dHdr,0)),dClass,L$45),(COUNTIFS(dClass,L$45,INDEX(dData,0,MATCH($B49&amp;CHAR(10)&amp;"Raw Score",dHdr,0)),"&gt;=0")+COUNTIFS(dClass,L$45,INDEX(dData,0,MATCH($B49&amp;CHAR(10)&amp;"Raw Score",dHdr,0)),"A"))/COUNTIF(dClass,L$45)),""))</f>
        <v>0.419413919413919</v>
      </c>
      <c r="M49" s="36">
        <f>IF(OR($B49="",M$45=""),"",IFERROR(CHOOSE(MATCH(SelMeasure,MeasureList,0),AVERAGEIFS(INDEX(dData,0,MATCH($B49&amp;CHAR(10)&amp;"Raw Score",dHdr,0)),dClass,M$45)/$D49,AVERAGEIFS(INDEX(dData,0,MATCH($B49&amp;CHAR(10)&amp;"Stanine",dHdr,0)),dClass,M$45),(COUNTIFS(dClass,M$45,INDEX(dData,0,MATCH($B49&amp;CHAR(10)&amp;"Raw Score",dHdr,0)),"&gt;=0")+COUNTIFS(dClass,M$45,INDEX(dData,0,MATCH($B49&amp;CHAR(10)&amp;"Raw Score",dHdr,0)),"A"))/COUNTIF(dClass,M$45)),""))</f>
        <v>0.345238095238095</v>
      </c>
      <c r="N49" s="36" t="str">
        <f>IF(OR($B49="",N$45=""),"",IFERROR(CHOOSE(MATCH(SelMeasure,MeasureList,0),AVERAGEIFS(INDEX(dData,0,MATCH($B49&amp;CHAR(10)&amp;"Raw Score",dHdr,0)),dClass,N$45)/$D49,AVERAGEIFS(INDEX(dData,0,MATCH($B49&amp;CHAR(10)&amp;"Stanine",dHdr,0)),dClass,N$45),(COUNTIFS(dClass,N$45,INDEX(dData,0,MATCH($B49&amp;CHAR(10)&amp;"Raw Score",dHdr,0)),"&gt;=0")+COUNTIFS(dClass,N$45,INDEX(dData,0,MATCH($B49&amp;CHAR(10)&amp;"Raw Score",dHdr,0)),"A"))/COUNTIF(dClass,N$45)),""))</f>
        <v/>
      </c>
      <c r="O49" s="36" t="str">
        <f>IF(OR($B49="",O$45=""),"",IFERROR(CHOOSE(MATCH(SelMeasure,MeasureList,0),AVERAGEIFS(INDEX(dData,0,MATCH($B49&amp;CHAR(10)&amp;"Raw Score",dHdr,0)),dClass,O$45)/$D49,AVERAGEIFS(INDEX(dData,0,MATCH($B49&amp;CHAR(10)&amp;"Stanine",dHdr,0)),dClass,O$45),(COUNTIFS(dClass,O$45,INDEX(dData,0,MATCH($B49&amp;CHAR(10)&amp;"Raw Score",dHdr,0)),"&gt;=0")+COUNTIFS(dClass,O$45,INDEX(dData,0,MATCH($B49&amp;CHAR(10)&amp;"Raw Score",dHdr,0)),"A"))/COUNTIF(dClass,O$45)),""))</f>
        <v/>
      </c>
    </row>
    <row r="50">
      <c r="B50" s="31" t="str">
        <f>Calc!AA7</f>
        <v>4C10 - Chemical Analysis</v>
      </c>
      <c r="C50" s="57">
        <f>Calc!AC7</f>
        <v>46347.0</v>
      </c>
      <c r="D50" s="33">
        <f>Calc!AB7</f>
        <v>30</v>
      </c>
      <c r="E50" s="33">
        <f>IF($B50="","",IFERROR(COUNT(INDEX(dData,0,MATCH($B50&amp;CHAR(10)&amp;"Raw Score",dHdr,0))),""))</f>
        <v>103</v>
      </c>
      <c r="F50" s="36">
        <f>IF($B50="","",IFERROR(($E50+COUNTIF(INDEX(dData,0,MATCH($B50&amp;CHAR(10)&amp;"Raw Score",dHdr,0)),"A"))/COUNTA(dLast),""))</f>
        <v>1</v>
      </c>
      <c r="G50" s="58">
        <f>IF($B50="","",IFERROR(CHOOSE(MATCH(SelMeasure,MeasureList,0),AVERAGE(INDEX(dData,0,MATCH($B50&amp;CHAR(10)&amp;"Raw Score",dHdr,0)))/$D50,AVERAGE(INDEX(dData,0,MATCH($B50&amp;CHAR(10)&amp;"Stanine",dHdr,0))),$F50),""))</f>
        <v>0.492556634304207</v>
      </c>
      <c r="H50" s="36">
        <f>IF(OR($B50="",H$45=""),"",IFERROR(CHOOSE(MATCH(SelMeasure,MeasureList,0),AVERAGEIFS(INDEX(dData,0,MATCH($B50&amp;CHAR(10)&amp;"Raw Score",dHdr,0)),dClass,H$45)/$D50,AVERAGEIFS(INDEX(dData,0,MATCH($B50&amp;CHAR(10)&amp;"Stanine",dHdr,0)),dClass,H$45),(COUNTIFS(dClass,H$45,INDEX(dData,0,MATCH($B50&amp;CHAR(10)&amp;"Raw Score",dHdr,0)),"&gt;=0")+COUNTIFS(dClass,H$45,INDEX(dData,0,MATCH($B50&amp;CHAR(10)&amp;"Raw Score",dHdr,0)),"A"))/COUNTIF(dClass,H$45)),""))</f>
        <v>0.720987654320988</v>
      </c>
      <c r="I50" s="36">
        <f>IF(OR($B50="",I$45=""),"",IFERROR(CHOOSE(MATCH(SelMeasure,MeasureList,0),AVERAGEIFS(INDEX(dData,0,MATCH($B50&amp;CHAR(10)&amp;"Raw Score",dHdr,0)),dClass,I$45)/$D50,AVERAGEIFS(INDEX(dData,0,MATCH($B50&amp;CHAR(10)&amp;"Stanine",dHdr,0)),dClass,I$45),(COUNTIFS(dClass,I$45,INDEX(dData,0,MATCH($B50&amp;CHAR(10)&amp;"Raw Score",dHdr,0)),"&gt;=0")+COUNTIFS(dClass,I$45,INDEX(dData,0,MATCH($B50&amp;CHAR(10)&amp;"Raw Score",dHdr,0)),"A"))/COUNTIF(dClass,I$45)),""))</f>
        <v>0.590666666666667</v>
      </c>
      <c r="J50" s="36">
        <f>IF(OR($B50="",J$45=""),"",IFERROR(CHOOSE(MATCH(SelMeasure,MeasureList,0),AVERAGEIFS(INDEX(dData,0,MATCH($B50&amp;CHAR(10)&amp;"Raw Score",dHdr,0)),dClass,J$45)/$D50,AVERAGEIFS(INDEX(dData,0,MATCH($B50&amp;CHAR(10)&amp;"Stanine",dHdr,0)),dClass,J$45),(COUNTIFS(dClass,J$45,INDEX(dData,0,MATCH($B50&amp;CHAR(10)&amp;"Raw Score",dHdr,0)),"&gt;=0")+COUNTIFS(dClass,J$45,INDEX(dData,0,MATCH($B50&amp;CHAR(10)&amp;"Raw Score",dHdr,0)),"A"))/COUNTIF(dClass,J$45)),""))</f>
        <v>0.382539682539683</v>
      </c>
      <c r="K50" s="36">
        <f>IF(OR($B50="",K$45=""),"",IFERROR(CHOOSE(MATCH(SelMeasure,MeasureList,0),AVERAGEIFS(INDEX(dData,0,MATCH($B50&amp;CHAR(10)&amp;"Raw Score",dHdr,0)),dClass,K$45)/$D50,AVERAGEIFS(INDEX(dData,0,MATCH($B50&amp;CHAR(10)&amp;"Stanine",dHdr,0)),dClass,K$45),(COUNTIFS(dClass,K$45,INDEX(dData,0,MATCH($B50&amp;CHAR(10)&amp;"Raw Score",dHdr,0)),"&gt;=0")+COUNTIFS(dClass,K$45,INDEX(dData,0,MATCH($B50&amp;CHAR(10)&amp;"Raw Score",dHdr,0)),"A"))/COUNTIF(dClass,K$45)),""))</f>
        <v>0.327777777777778</v>
      </c>
      <c r="L50" s="36">
        <f>IF(OR($B50="",L$45=""),"",IFERROR(CHOOSE(MATCH(SelMeasure,MeasureList,0),AVERAGEIFS(INDEX(dData,0,MATCH($B50&amp;CHAR(10)&amp;"Raw Score",dHdr,0)),dClass,L$45)/$D50,AVERAGEIFS(INDEX(dData,0,MATCH($B50&amp;CHAR(10)&amp;"Stanine",dHdr,0)),dClass,L$45),(COUNTIFS(dClass,L$45,INDEX(dData,0,MATCH($B50&amp;CHAR(10)&amp;"Raw Score",dHdr,0)),"&gt;=0")+COUNTIFS(dClass,L$45,INDEX(dData,0,MATCH($B50&amp;CHAR(10)&amp;"Raw Score",dHdr,0)),"A"))/COUNTIF(dClass,L$45)),""))</f>
        <v>0.264102564102564</v>
      </c>
      <c r="M50" s="36">
        <f>IF(OR($B50="",M$45=""),"",IFERROR(CHOOSE(MATCH(SelMeasure,MeasureList,0),AVERAGEIFS(INDEX(dData,0,MATCH($B50&amp;CHAR(10)&amp;"Raw Score",dHdr,0)),dClass,M$45)/$D50,AVERAGEIFS(INDEX(dData,0,MATCH($B50&amp;CHAR(10)&amp;"Stanine",dHdr,0)),dClass,M$45),(COUNTIFS(dClass,M$45,INDEX(dData,0,MATCH($B50&amp;CHAR(10)&amp;"Raw Score",dHdr,0)),"&gt;=0")+COUNTIFS(dClass,M$45,INDEX(dData,0,MATCH($B50&amp;CHAR(10)&amp;"Raw Score",dHdr,0)),"A"))/COUNTIF(dClass,M$45)),""))</f>
        <v>0.22</v>
      </c>
      <c r="N50" s="36" t="str">
        <f>IF(OR($B50="",N$45=""),"",IFERROR(CHOOSE(MATCH(SelMeasure,MeasureList,0),AVERAGEIFS(INDEX(dData,0,MATCH($B50&amp;CHAR(10)&amp;"Raw Score",dHdr,0)),dClass,N$45)/$D50,AVERAGEIFS(INDEX(dData,0,MATCH($B50&amp;CHAR(10)&amp;"Stanine",dHdr,0)),dClass,N$45),(COUNTIFS(dClass,N$45,INDEX(dData,0,MATCH($B50&amp;CHAR(10)&amp;"Raw Score",dHdr,0)),"&gt;=0")+COUNTIFS(dClass,N$45,INDEX(dData,0,MATCH($B50&amp;CHAR(10)&amp;"Raw Score",dHdr,0)),"A"))/COUNTIF(dClass,N$45)),""))</f>
        <v/>
      </c>
      <c r="O50" s="36" t="str">
        <f>IF(OR($B50="",O$45=""),"",IFERROR(CHOOSE(MATCH(SelMeasure,MeasureList,0),AVERAGEIFS(INDEX(dData,0,MATCH($B50&amp;CHAR(10)&amp;"Raw Score",dHdr,0)),dClass,O$45)/$D50,AVERAGEIFS(INDEX(dData,0,MATCH($B50&amp;CHAR(10)&amp;"Stanine",dHdr,0)),dClass,O$45),(COUNTIFS(dClass,O$45,INDEX(dData,0,MATCH($B50&amp;CHAR(10)&amp;"Raw Score",dHdr,0)),"&gt;=0")+COUNTIFS(dClass,O$45,INDEX(dData,0,MATCH($B50&amp;CHAR(10)&amp;"Raw Score",dHdr,0)),"A"))/COUNTIF(dClass,O$45)),""))</f>
        <v/>
      </c>
    </row>
    <row r="51">
      <c r="B51" s="31" t="str">
        <f>Calc!AA8</f>
        <v>4P07 - Magnetism</v>
      </c>
      <c r="C51" s="57">
        <f>Calc!AC8</f>
        <v>46361.0</v>
      </c>
      <c r="D51" s="33">
        <f>Calc!AB8</f>
        <v>34</v>
      </c>
      <c r="E51" s="33">
        <f>IF($B51="","",IFERROR(COUNT(INDEX(dData,0,MATCH($B51&amp;CHAR(10)&amp;"Raw Score",dHdr,0))),""))</f>
        <v>101</v>
      </c>
      <c r="F51" s="36">
        <f>IF($B51="","",IFERROR(($E51+COUNTIF(INDEX(dData,0,MATCH($B51&amp;CHAR(10)&amp;"Raw Score",dHdr,0)),"A"))/COUNTA(dLast),""))</f>
        <v>1</v>
      </c>
      <c r="G51" s="58">
        <f>IF($B51="","",IFERROR(CHOOSE(MATCH(SelMeasure,MeasureList,0),AVERAGE(INDEX(dData,0,MATCH($B51&amp;CHAR(10)&amp;"Raw Score",dHdr,0)))/$D51,AVERAGE(INDEX(dData,0,MATCH($B51&amp;CHAR(10)&amp;"Stanine",dHdr,0))),$F51),""))</f>
        <v>0.436517181129878</v>
      </c>
      <c r="H51" s="36">
        <f>IF(OR($B51="",H$45=""),"",IFERROR(CHOOSE(MATCH(SelMeasure,MeasureList,0),AVERAGEIFS(INDEX(dData,0,MATCH($B51&amp;CHAR(10)&amp;"Raw Score",dHdr,0)),dClass,H$45)/$D51,AVERAGEIFS(INDEX(dData,0,MATCH($B51&amp;CHAR(10)&amp;"Stanine",dHdr,0)),dClass,H$45),(COUNTIFS(dClass,H$45,INDEX(dData,0,MATCH($B51&amp;CHAR(10)&amp;"Raw Score",dHdr,0)),"&gt;=0")+COUNTIFS(dClass,H$45,INDEX(dData,0,MATCH($B51&amp;CHAR(10)&amp;"Raw Score",dHdr,0)),"A"))/COUNTIF(dClass,H$45)),""))</f>
        <v>0.628540305010893</v>
      </c>
      <c r="I51" s="36">
        <f>IF(OR($B51="",I$45=""),"",IFERROR(CHOOSE(MATCH(SelMeasure,MeasureList,0),AVERAGEIFS(INDEX(dData,0,MATCH($B51&amp;CHAR(10)&amp;"Raw Score",dHdr,0)),dClass,I$45)/$D51,AVERAGEIFS(INDEX(dData,0,MATCH($B51&amp;CHAR(10)&amp;"Stanine",dHdr,0)),dClass,I$45),(COUNTIFS(dClass,I$45,INDEX(dData,0,MATCH($B51&amp;CHAR(10)&amp;"Raw Score",dHdr,0)),"&gt;=0")+COUNTIFS(dClass,I$45,INDEX(dData,0,MATCH($B51&amp;CHAR(10)&amp;"Raw Score",dHdr,0)),"A"))/COUNTIF(dClass,I$45)),""))</f>
        <v>0.515294117647059</v>
      </c>
      <c r="J51" s="36">
        <f>IF(OR($B51="",J$45=""),"",IFERROR(CHOOSE(MATCH(SelMeasure,MeasureList,0),AVERAGEIFS(INDEX(dData,0,MATCH($B51&amp;CHAR(10)&amp;"Raw Score",dHdr,0)),dClass,J$45)/$D51,AVERAGEIFS(INDEX(dData,0,MATCH($B51&amp;CHAR(10)&amp;"Stanine",dHdr,0)),dClass,J$45),(COUNTIFS(dClass,J$45,INDEX(dData,0,MATCH($B51&amp;CHAR(10)&amp;"Raw Score",dHdr,0)),"&gt;=0")+COUNTIFS(dClass,J$45,INDEX(dData,0,MATCH($B51&amp;CHAR(10)&amp;"Raw Score",dHdr,0)),"A"))/COUNTIF(dClass,J$45)),""))</f>
        <v>0.382352941176471</v>
      </c>
      <c r="K51" s="36">
        <f>IF(OR($B51="",K$45=""),"",IFERROR(CHOOSE(MATCH(SelMeasure,MeasureList,0),AVERAGEIFS(INDEX(dData,0,MATCH($B51&amp;CHAR(10)&amp;"Raw Score",dHdr,0)),dClass,K$45)/$D51,AVERAGEIFS(INDEX(dData,0,MATCH($B51&amp;CHAR(10)&amp;"Stanine",dHdr,0)),dClass,K$45),(COUNTIFS(dClass,K$45,INDEX(dData,0,MATCH($B51&amp;CHAR(10)&amp;"Raw Score",dHdr,0)),"&gt;=0")+COUNTIFS(dClass,K$45,INDEX(dData,0,MATCH($B51&amp;CHAR(10)&amp;"Raw Score",dHdr,0)),"A"))/COUNTIF(dClass,K$45)),""))</f>
        <v>0.305429864253394</v>
      </c>
      <c r="L51" s="36">
        <f>IF(OR($B51="",L$45=""),"",IFERROR(CHOOSE(MATCH(SelMeasure,MeasureList,0),AVERAGEIFS(INDEX(dData,0,MATCH($B51&amp;CHAR(10)&amp;"Raw Score",dHdr,0)),dClass,L$45)/$D51,AVERAGEIFS(INDEX(dData,0,MATCH($B51&amp;CHAR(10)&amp;"Stanine",dHdr,0)),dClass,L$45),(COUNTIFS(dClass,L$45,INDEX(dData,0,MATCH($B51&amp;CHAR(10)&amp;"Raw Score",dHdr,0)),"&gt;=0")+COUNTIFS(dClass,L$45,INDEX(dData,0,MATCH($B51&amp;CHAR(10)&amp;"Raw Score",dHdr,0)),"A"))/COUNTIF(dClass,L$45)),""))</f>
        <v>0.190045248868778</v>
      </c>
      <c r="M51" s="36">
        <f>IF(OR($B51="",M$45=""),"",IFERROR(CHOOSE(MATCH(SelMeasure,MeasureList,0),AVERAGEIFS(INDEX(dData,0,MATCH($B51&amp;CHAR(10)&amp;"Raw Score",dHdr,0)),dClass,M$45)/$D51,AVERAGEIFS(INDEX(dData,0,MATCH($B51&amp;CHAR(10)&amp;"Stanine",dHdr,0)),dClass,M$45),(COUNTIFS(dClass,M$45,INDEX(dData,0,MATCH($B51&amp;CHAR(10)&amp;"Raw Score",dHdr,0)),"&gt;=0")+COUNTIFS(dClass,M$45,INDEX(dData,0,MATCH($B51&amp;CHAR(10)&amp;"Raw Score",dHdr,0)),"A"))/COUNTIF(dClass,M$45)),""))</f>
        <v>0.132352941176471</v>
      </c>
      <c r="N51" s="36" t="str">
        <f>IF(OR($B51="",N$45=""),"",IFERROR(CHOOSE(MATCH(SelMeasure,MeasureList,0),AVERAGEIFS(INDEX(dData,0,MATCH($B51&amp;CHAR(10)&amp;"Raw Score",dHdr,0)),dClass,N$45)/$D51,AVERAGEIFS(INDEX(dData,0,MATCH($B51&amp;CHAR(10)&amp;"Stanine",dHdr,0)),dClass,N$45),(COUNTIFS(dClass,N$45,INDEX(dData,0,MATCH($B51&amp;CHAR(10)&amp;"Raw Score",dHdr,0)),"&gt;=0")+COUNTIFS(dClass,N$45,INDEX(dData,0,MATCH($B51&amp;CHAR(10)&amp;"Raw Score",dHdr,0)),"A"))/COUNTIF(dClass,N$45)),""))</f>
        <v/>
      </c>
      <c r="O51" s="36" t="str">
        <f>IF(OR($B51="",O$45=""),"",IFERROR(CHOOSE(MATCH(SelMeasure,MeasureList,0),AVERAGEIFS(INDEX(dData,0,MATCH($B51&amp;CHAR(10)&amp;"Raw Score",dHdr,0)),dClass,O$45)/$D51,AVERAGEIFS(INDEX(dData,0,MATCH($B51&amp;CHAR(10)&amp;"Stanine",dHdr,0)),dClass,O$45),(COUNTIFS(dClass,O$45,INDEX(dData,0,MATCH($B51&amp;CHAR(10)&amp;"Raw Score",dHdr,0)),"&gt;=0")+COUNTIFS(dClass,O$45,INDEX(dData,0,MATCH($B51&amp;CHAR(10)&amp;"Raw Score",dHdr,0)),"A"))/COUNTIF(dClass,O$45)),""))</f>
        <v/>
      </c>
    </row>
    <row r="52">
      <c r="B52" s="31" t="str">
        <f>Calc!AA9</f>
        <v/>
      </c>
      <c r="C52" s="57" t="str">
        <f>Calc!AC9</f>
        <v/>
      </c>
      <c r="D52" s="33" t="str">
        <f>Calc!AB9</f>
        <v/>
      </c>
      <c r="E52" s="33" t="str">
        <f>IF($B52="","",IFERROR(COUNT(INDEX(dData,0,MATCH($B52&amp;CHAR(10)&amp;"Raw Score",dHdr,0))),""))</f>
        <v/>
      </c>
      <c r="F52" s="36" t="str">
        <f>IF($B52="","",IFERROR(($E52+COUNTIF(INDEX(dData,0,MATCH($B52&amp;CHAR(10)&amp;"Raw Score",dHdr,0)),"A"))/COUNTA(dLast),""))</f>
        <v/>
      </c>
      <c r="G52" s="58" t="str">
        <f>IF($B52="","",IFERROR(CHOOSE(MATCH(SelMeasure,MeasureList,0),AVERAGE(INDEX(dData,0,MATCH($B52&amp;CHAR(10)&amp;"Raw Score",dHdr,0)))/$D52,AVERAGE(INDEX(dData,0,MATCH($B52&amp;CHAR(10)&amp;"Stanine",dHdr,0))),$F52),""))</f>
        <v/>
      </c>
      <c r="H52" s="36" t="str">
        <f>IF(OR($B52="",H$45=""),"",IFERROR(CHOOSE(MATCH(SelMeasure,MeasureList,0),AVERAGEIFS(INDEX(dData,0,MATCH($B52&amp;CHAR(10)&amp;"Raw Score",dHdr,0)),dClass,H$45)/$D52,AVERAGEIFS(INDEX(dData,0,MATCH($B52&amp;CHAR(10)&amp;"Stanine",dHdr,0)),dClass,H$45),(COUNTIFS(dClass,H$45,INDEX(dData,0,MATCH($B52&amp;CHAR(10)&amp;"Raw Score",dHdr,0)),"&gt;=0")+COUNTIFS(dClass,H$45,INDEX(dData,0,MATCH($B52&amp;CHAR(10)&amp;"Raw Score",dHdr,0)),"A"))/COUNTIF(dClass,H$45)),""))</f>
        <v/>
      </c>
      <c r="I52" s="36" t="str">
        <f>IF(OR($B52="",I$45=""),"",IFERROR(CHOOSE(MATCH(SelMeasure,MeasureList,0),AVERAGEIFS(INDEX(dData,0,MATCH($B52&amp;CHAR(10)&amp;"Raw Score",dHdr,0)),dClass,I$45)/$D52,AVERAGEIFS(INDEX(dData,0,MATCH($B52&amp;CHAR(10)&amp;"Stanine",dHdr,0)),dClass,I$45),(COUNTIFS(dClass,I$45,INDEX(dData,0,MATCH($B52&amp;CHAR(10)&amp;"Raw Score",dHdr,0)),"&gt;=0")+COUNTIFS(dClass,I$45,INDEX(dData,0,MATCH($B52&amp;CHAR(10)&amp;"Raw Score",dHdr,0)),"A"))/COUNTIF(dClass,I$45)),""))</f>
        <v/>
      </c>
      <c r="J52" s="36" t="str">
        <f>IF(OR($B52="",J$45=""),"",IFERROR(CHOOSE(MATCH(SelMeasure,MeasureList,0),AVERAGEIFS(INDEX(dData,0,MATCH($B52&amp;CHAR(10)&amp;"Raw Score",dHdr,0)),dClass,J$45)/$D52,AVERAGEIFS(INDEX(dData,0,MATCH($B52&amp;CHAR(10)&amp;"Stanine",dHdr,0)),dClass,J$45),(COUNTIFS(dClass,J$45,INDEX(dData,0,MATCH($B52&amp;CHAR(10)&amp;"Raw Score",dHdr,0)),"&gt;=0")+COUNTIFS(dClass,J$45,INDEX(dData,0,MATCH($B52&amp;CHAR(10)&amp;"Raw Score",dHdr,0)),"A"))/COUNTIF(dClass,J$45)),""))</f>
        <v/>
      </c>
      <c r="K52" s="36" t="str">
        <f>IF(OR($B52="",K$45=""),"",IFERROR(CHOOSE(MATCH(SelMeasure,MeasureList,0),AVERAGEIFS(INDEX(dData,0,MATCH($B52&amp;CHAR(10)&amp;"Raw Score",dHdr,0)),dClass,K$45)/$D52,AVERAGEIFS(INDEX(dData,0,MATCH($B52&amp;CHAR(10)&amp;"Stanine",dHdr,0)),dClass,K$45),(COUNTIFS(dClass,K$45,INDEX(dData,0,MATCH($B52&amp;CHAR(10)&amp;"Raw Score",dHdr,0)),"&gt;=0")+COUNTIFS(dClass,K$45,INDEX(dData,0,MATCH($B52&amp;CHAR(10)&amp;"Raw Score",dHdr,0)),"A"))/COUNTIF(dClass,K$45)),""))</f>
        <v/>
      </c>
      <c r="L52" s="36" t="str">
        <f>IF(OR($B52="",L$45=""),"",IFERROR(CHOOSE(MATCH(SelMeasure,MeasureList,0),AVERAGEIFS(INDEX(dData,0,MATCH($B52&amp;CHAR(10)&amp;"Raw Score",dHdr,0)),dClass,L$45)/$D52,AVERAGEIFS(INDEX(dData,0,MATCH($B52&amp;CHAR(10)&amp;"Stanine",dHdr,0)),dClass,L$45),(COUNTIFS(dClass,L$45,INDEX(dData,0,MATCH($B52&amp;CHAR(10)&amp;"Raw Score",dHdr,0)),"&gt;=0")+COUNTIFS(dClass,L$45,INDEX(dData,0,MATCH($B52&amp;CHAR(10)&amp;"Raw Score",dHdr,0)),"A"))/COUNTIF(dClass,L$45)),""))</f>
        <v/>
      </c>
      <c r="M52" s="36" t="str">
        <f>IF(OR($B52="",M$45=""),"",IFERROR(CHOOSE(MATCH(SelMeasure,MeasureList,0),AVERAGEIFS(INDEX(dData,0,MATCH($B52&amp;CHAR(10)&amp;"Raw Score",dHdr,0)),dClass,M$45)/$D52,AVERAGEIFS(INDEX(dData,0,MATCH($B52&amp;CHAR(10)&amp;"Stanine",dHdr,0)),dClass,M$45),(COUNTIFS(dClass,M$45,INDEX(dData,0,MATCH($B52&amp;CHAR(10)&amp;"Raw Score",dHdr,0)),"&gt;=0")+COUNTIFS(dClass,M$45,INDEX(dData,0,MATCH($B52&amp;CHAR(10)&amp;"Raw Score",dHdr,0)),"A"))/COUNTIF(dClass,M$45)),""))</f>
        <v/>
      </c>
      <c r="N52" s="36" t="str">
        <f>IF(OR($B52="",N$45=""),"",IFERROR(CHOOSE(MATCH(SelMeasure,MeasureList,0),AVERAGEIFS(INDEX(dData,0,MATCH($B52&amp;CHAR(10)&amp;"Raw Score",dHdr,0)),dClass,N$45)/$D52,AVERAGEIFS(INDEX(dData,0,MATCH($B52&amp;CHAR(10)&amp;"Stanine",dHdr,0)),dClass,N$45),(COUNTIFS(dClass,N$45,INDEX(dData,0,MATCH($B52&amp;CHAR(10)&amp;"Raw Score",dHdr,0)),"&gt;=0")+COUNTIFS(dClass,N$45,INDEX(dData,0,MATCH($B52&amp;CHAR(10)&amp;"Raw Score",dHdr,0)),"A"))/COUNTIF(dClass,N$45)),""))</f>
        <v/>
      </c>
      <c r="O52" s="36" t="str">
        <f>IF(OR($B52="",O$45=""),"",IFERROR(CHOOSE(MATCH(SelMeasure,MeasureList,0),AVERAGEIFS(INDEX(dData,0,MATCH($B52&amp;CHAR(10)&amp;"Raw Score",dHdr,0)),dClass,O$45)/$D52,AVERAGEIFS(INDEX(dData,0,MATCH($B52&amp;CHAR(10)&amp;"Stanine",dHdr,0)),dClass,O$45),(COUNTIFS(dClass,O$45,INDEX(dData,0,MATCH($B52&amp;CHAR(10)&amp;"Raw Score",dHdr,0)),"&gt;=0")+COUNTIFS(dClass,O$45,INDEX(dData,0,MATCH($B52&amp;CHAR(10)&amp;"Raw Score",dHdr,0)),"A"))/COUNTIF(dClass,O$45)),""))</f>
        <v/>
      </c>
    </row>
    <row r="53">
      <c r="B53" s="31" t="str">
        <f>Calc!AA10</f>
        <v/>
      </c>
      <c r="C53" s="57" t="str">
        <f>Calc!AC10</f>
        <v/>
      </c>
      <c r="D53" s="33" t="str">
        <f>Calc!AB10</f>
        <v/>
      </c>
      <c r="E53" s="33" t="str">
        <f>IF($B53="","",IFERROR(COUNT(INDEX(dData,0,MATCH($B53&amp;CHAR(10)&amp;"Raw Score",dHdr,0))),""))</f>
        <v/>
      </c>
      <c r="F53" s="36" t="str">
        <f>IF($B53="","",IFERROR(($E53+COUNTIF(INDEX(dData,0,MATCH($B53&amp;CHAR(10)&amp;"Raw Score",dHdr,0)),"A"))/COUNTA(dLast),""))</f>
        <v/>
      </c>
      <c r="G53" s="58" t="str">
        <f>IF($B53="","",IFERROR(CHOOSE(MATCH(SelMeasure,MeasureList,0),AVERAGE(INDEX(dData,0,MATCH($B53&amp;CHAR(10)&amp;"Raw Score",dHdr,0)))/$D53,AVERAGE(INDEX(dData,0,MATCH($B53&amp;CHAR(10)&amp;"Stanine",dHdr,0))),$F53),""))</f>
        <v/>
      </c>
      <c r="H53" s="36" t="str">
        <f>IF(OR($B53="",H$45=""),"",IFERROR(CHOOSE(MATCH(SelMeasure,MeasureList,0),AVERAGEIFS(INDEX(dData,0,MATCH($B53&amp;CHAR(10)&amp;"Raw Score",dHdr,0)),dClass,H$45)/$D53,AVERAGEIFS(INDEX(dData,0,MATCH($B53&amp;CHAR(10)&amp;"Stanine",dHdr,0)),dClass,H$45),(COUNTIFS(dClass,H$45,INDEX(dData,0,MATCH($B53&amp;CHAR(10)&amp;"Raw Score",dHdr,0)),"&gt;=0")+COUNTIFS(dClass,H$45,INDEX(dData,0,MATCH($B53&amp;CHAR(10)&amp;"Raw Score",dHdr,0)),"A"))/COUNTIF(dClass,H$45)),""))</f>
        <v/>
      </c>
      <c r="I53" s="36" t="str">
        <f>IF(OR($B53="",I$45=""),"",IFERROR(CHOOSE(MATCH(SelMeasure,MeasureList,0),AVERAGEIFS(INDEX(dData,0,MATCH($B53&amp;CHAR(10)&amp;"Raw Score",dHdr,0)),dClass,I$45)/$D53,AVERAGEIFS(INDEX(dData,0,MATCH($B53&amp;CHAR(10)&amp;"Stanine",dHdr,0)),dClass,I$45),(COUNTIFS(dClass,I$45,INDEX(dData,0,MATCH($B53&amp;CHAR(10)&amp;"Raw Score",dHdr,0)),"&gt;=0")+COUNTIFS(dClass,I$45,INDEX(dData,0,MATCH($B53&amp;CHAR(10)&amp;"Raw Score",dHdr,0)),"A"))/COUNTIF(dClass,I$45)),""))</f>
        <v/>
      </c>
      <c r="J53" s="36" t="str">
        <f>IF(OR($B53="",J$45=""),"",IFERROR(CHOOSE(MATCH(SelMeasure,MeasureList,0),AVERAGEIFS(INDEX(dData,0,MATCH($B53&amp;CHAR(10)&amp;"Raw Score",dHdr,0)),dClass,J$45)/$D53,AVERAGEIFS(INDEX(dData,0,MATCH($B53&amp;CHAR(10)&amp;"Stanine",dHdr,0)),dClass,J$45),(COUNTIFS(dClass,J$45,INDEX(dData,0,MATCH($B53&amp;CHAR(10)&amp;"Raw Score",dHdr,0)),"&gt;=0")+COUNTIFS(dClass,J$45,INDEX(dData,0,MATCH($B53&amp;CHAR(10)&amp;"Raw Score",dHdr,0)),"A"))/COUNTIF(dClass,J$45)),""))</f>
        <v/>
      </c>
      <c r="K53" s="36" t="str">
        <f>IF(OR($B53="",K$45=""),"",IFERROR(CHOOSE(MATCH(SelMeasure,MeasureList,0),AVERAGEIFS(INDEX(dData,0,MATCH($B53&amp;CHAR(10)&amp;"Raw Score",dHdr,0)),dClass,K$45)/$D53,AVERAGEIFS(INDEX(dData,0,MATCH($B53&amp;CHAR(10)&amp;"Stanine",dHdr,0)),dClass,K$45),(COUNTIFS(dClass,K$45,INDEX(dData,0,MATCH($B53&amp;CHAR(10)&amp;"Raw Score",dHdr,0)),"&gt;=0")+COUNTIFS(dClass,K$45,INDEX(dData,0,MATCH($B53&amp;CHAR(10)&amp;"Raw Score",dHdr,0)),"A"))/COUNTIF(dClass,K$45)),""))</f>
        <v/>
      </c>
      <c r="L53" s="36" t="str">
        <f>IF(OR($B53="",L$45=""),"",IFERROR(CHOOSE(MATCH(SelMeasure,MeasureList,0),AVERAGEIFS(INDEX(dData,0,MATCH($B53&amp;CHAR(10)&amp;"Raw Score",dHdr,0)),dClass,L$45)/$D53,AVERAGEIFS(INDEX(dData,0,MATCH($B53&amp;CHAR(10)&amp;"Stanine",dHdr,0)),dClass,L$45),(COUNTIFS(dClass,L$45,INDEX(dData,0,MATCH($B53&amp;CHAR(10)&amp;"Raw Score",dHdr,0)),"&gt;=0")+COUNTIFS(dClass,L$45,INDEX(dData,0,MATCH($B53&amp;CHAR(10)&amp;"Raw Score",dHdr,0)),"A"))/COUNTIF(dClass,L$45)),""))</f>
        <v/>
      </c>
      <c r="M53" s="36" t="str">
        <f>IF(OR($B53="",M$45=""),"",IFERROR(CHOOSE(MATCH(SelMeasure,MeasureList,0),AVERAGEIFS(INDEX(dData,0,MATCH($B53&amp;CHAR(10)&amp;"Raw Score",dHdr,0)),dClass,M$45)/$D53,AVERAGEIFS(INDEX(dData,0,MATCH($B53&amp;CHAR(10)&amp;"Stanine",dHdr,0)),dClass,M$45),(COUNTIFS(dClass,M$45,INDEX(dData,0,MATCH($B53&amp;CHAR(10)&amp;"Raw Score",dHdr,0)),"&gt;=0")+COUNTIFS(dClass,M$45,INDEX(dData,0,MATCH($B53&amp;CHAR(10)&amp;"Raw Score",dHdr,0)),"A"))/COUNTIF(dClass,M$45)),""))</f>
        <v/>
      </c>
      <c r="N53" s="36" t="str">
        <f>IF(OR($B53="",N$45=""),"",IFERROR(CHOOSE(MATCH(SelMeasure,MeasureList,0),AVERAGEIFS(INDEX(dData,0,MATCH($B53&amp;CHAR(10)&amp;"Raw Score",dHdr,0)),dClass,N$45)/$D53,AVERAGEIFS(INDEX(dData,0,MATCH($B53&amp;CHAR(10)&amp;"Stanine",dHdr,0)),dClass,N$45),(COUNTIFS(dClass,N$45,INDEX(dData,0,MATCH($B53&amp;CHAR(10)&amp;"Raw Score",dHdr,0)),"&gt;=0")+COUNTIFS(dClass,N$45,INDEX(dData,0,MATCH($B53&amp;CHAR(10)&amp;"Raw Score",dHdr,0)),"A"))/COUNTIF(dClass,N$45)),""))</f>
        <v/>
      </c>
      <c r="O53" s="36" t="str">
        <f>IF(OR($B53="",O$45=""),"",IFERROR(CHOOSE(MATCH(SelMeasure,MeasureList,0),AVERAGEIFS(INDEX(dData,0,MATCH($B53&amp;CHAR(10)&amp;"Raw Score",dHdr,0)),dClass,O$45)/$D53,AVERAGEIFS(INDEX(dData,0,MATCH($B53&amp;CHAR(10)&amp;"Stanine",dHdr,0)),dClass,O$45),(COUNTIFS(dClass,O$45,INDEX(dData,0,MATCH($B53&amp;CHAR(10)&amp;"Raw Score",dHdr,0)),"&gt;=0")+COUNTIFS(dClass,O$45,INDEX(dData,0,MATCH($B53&amp;CHAR(10)&amp;"Raw Score",dHdr,0)),"A"))/COUNTIF(dClass,O$45)),""))</f>
        <v/>
      </c>
    </row>
    <row r="54">
      <c r="B54" s="31" t="str">
        <f>Calc!AA11</f>
        <v/>
      </c>
      <c r="C54" s="57" t="str">
        <f>Calc!AC11</f>
        <v/>
      </c>
      <c r="D54" s="33" t="str">
        <f>Calc!AB11</f>
        <v/>
      </c>
      <c r="E54" s="33" t="str">
        <f>IF($B54="","",IFERROR(COUNT(INDEX(dData,0,MATCH($B54&amp;CHAR(10)&amp;"Raw Score",dHdr,0))),""))</f>
        <v/>
      </c>
      <c r="F54" s="36" t="str">
        <f>IF($B54="","",IFERROR(($E54+COUNTIF(INDEX(dData,0,MATCH($B54&amp;CHAR(10)&amp;"Raw Score",dHdr,0)),"A"))/COUNTA(dLast),""))</f>
        <v/>
      </c>
      <c r="G54" s="58" t="str">
        <f>IF($B54="","",IFERROR(CHOOSE(MATCH(SelMeasure,MeasureList,0),AVERAGE(INDEX(dData,0,MATCH($B54&amp;CHAR(10)&amp;"Raw Score",dHdr,0)))/$D54,AVERAGE(INDEX(dData,0,MATCH($B54&amp;CHAR(10)&amp;"Stanine",dHdr,0))),$F54),""))</f>
        <v/>
      </c>
      <c r="H54" s="36" t="str">
        <f>IF(OR($B54="",H$45=""),"",IFERROR(CHOOSE(MATCH(SelMeasure,MeasureList,0),AVERAGEIFS(INDEX(dData,0,MATCH($B54&amp;CHAR(10)&amp;"Raw Score",dHdr,0)),dClass,H$45)/$D54,AVERAGEIFS(INDEX(dData,0,MATCH($B54&amp;CHAR(10)&amp;"Stanine",dHdr,0)),dClass,H$45),(COUNTIFS(dClass,H$45,INDEX(dData,0,MATCH($B54&amp;CHAR(10)&amp;"Raw Score",dHdr,0)),"&gt;=0")+COUNTIFS(dClass,H$45,INDEX(dData,0,MATCH($B54&amp;CHAR(10)&amp;"Raw Score",dHdr,0)),"A"))/COUNTIF(dClass,H$45)),""))</f>
        <v/>
      </c>
      <c r="I54" s="36" t="str">
        <f>IF(OR($B54="",I$45=""),"",IFERROR(CHOOSE(MATCH(SelMeasure,MeasureList,0),AVERAGEIFS(INDEX(dData,0,MATCH($B54&amp;CHAR(10)&amp;"Raw Score",dHdr,0)),dClass,I$45)/$D54,AVERAGEIFS(INDEX(dData,0,MATCH($B54&amp;CHAR(10)&amp;"Stanine",dHdr,0)),dClass,I$45),(COUNTIFS(dClass,I$45,INDEX(dData,0,MATCH($B54&amp;CHAR(10)&amp;"Raw Score",dHdr,0)),"&gt;=0")+COUNTIFS(dClass,I$45,INDEX(dData,0,MATCH($B54&amp;CHAR(10)&amp;"Raw Score",dHdr,0)),"A"))/COUNTIF(dClass,I$45)),""))</f>
        <v/>
      </c>
      <c r="J54" s="36" t="str">
        <f>IF(OR($B54="",J$45=""),"",IFERROR(CHOOSE(MATCH(SelMeasure,MeasureList,0),AVERAGEIFS(INDEX(dData,0,MATCH($B54&amp;CHAR(10)&amp;"Raw Score",dHdr,0)),dClass,J$45)/$D54,AVERAGEIFS(INDEX(dData,0,MATCH($B54&amp;CHAR(10)&amp;"Stanine",dHdr,0)),dClass,J$45),(COUNTIFS(dClass,J$45,INDEX(dData,0,MATCH($B54&amp;CHAR(10)&amp;"Raw Score",dHdr,0)),"&gt;=0")+COUNTIFS(dClass,J$45,INDEX(dData,0,MATCH($B54&amp;CHAR(10)&amp;"Raw Score",dHdr,0)),"A"))/COUNTIF(dClass,J$45)),""))</f>
        <v/>
      </c>
      <c r="K54" s="36" t="str">
        <f>IF(OR($B54="",K$45=""),"",IFERROR(CHOOSE(MATCH(SelMeasure,MeasureList,0),AVERAGEIFS(INDEX(dData,0,MATCH($B54&amp;CHAR(10)&amp;"Raw Score",dHdr,0)),dClass,K$45)/$D54,AVERAGEIFS(INDEX(dData,0,MATCH($B54&amp;CHAR(10)&amp;"Stanine",dHdr,0)),dClass,K$45),(COUNTIFS(dClass,K$45,INDEX(dData,0,MATCH($B54&amp;CHAR(10)&amp;"Raw Score",dHdr,0)),"&gt;=0")+COUNTIFS(dClass,K$45,INDEX(dData,0,MATCH($B54&amp;CHAR(10)&amp;"Raw Score",dHdr,0)),"A"))/COUNTIF(dClass,K$45)),""))</f>
        <v/>
      </c>
      <c r="L54" s="36" t="str">
        <f>IF(OR($B54="",L$45=""),"",IFERROR(CHOOSE(MATCH(SelMeasure,MeasureList,0),AVERAGEIFS(INDEX(dData,0,MATCH($B54&amp;CHAR(10)&amp;"Raw Score",dHdr,0)),dClass,L$45)/$D54,AVERAGEIFS(INDEX(dData,0,MATCH($B54&amp;CHAR(10)&amp;"Stanine",dHdr,0)),dClass,L$45),(COUNTIFS(dClass,L$45,INDEX(dData,0,MATCH($B54&amp;CHAR(10)&amp;"Raw Score",dHdr,0)),"&gt;=0")+COUNTIFS(dClass,L$45,INDEX(dData,0,MATCH($B54&amp;CHAR(10)&amp;"Raw Score",dHdr,0)),"A"))/COUNTIF(dClass,L$45)),""))</f>
        <v/>
      </c>
      <c r="M54" s="36" t="str">
        <f>IF(OR($B54="",M$45=""),"",IFERROR(CHOOSE(MATCH(SelMeasure,MeasureList,0),AVERAGEIFS(INDEX(dData,0,MATCH($B54&amp;CHAR(10)&amp;"Raw Score",dHdr,0)),dClass,M$45)/$D54,AVERAGEIFS(INDEX(dData,0,MATCH($B54&amp;CHAR(10)&amp;"Stanine",dHdr,0)),dClass,M$45),(COUNTIFS(dClass,M$45,INDEX(dData,0,MATCH($B54&amp;CHAR(10)&amp;"Raw Score",dHdr,0)),"&gt;=0")+COUNTIFS(dClass,M$45,INDEX(dData,0,MATCH($B54&amp;CHAR(10)&amp;"Raw Score",dHdr,0)),"A"))/COUNTIF(dClass,M$45)),""))</f>
        <v/>
      </c>
      <c r="N54" s="36" t="str">
        <f>IF(OR($B54="",N$45=""),"",IFERROR(CHOOSE(MATCH(SelMeasure,MeasureList,0),AVERAGEIFS(INDEX(dData,0,MATCH($B54&amp;CHAR(10)&amp;"Raw Score",dHdr,0)),dClass,N$45)/$D54,AVERAGEIFS(INDEX(dData,0,MATCH($B54&amp;CHAR(10)&amp;"Stanine",dHdr,0)),dClass,N$45),(COUNTIFS(dClass,N$45,INDEX(dData,0,MATCH($B54&amp;CHAR(10)&amp;"Raw Score",dHdr,0)),"&gt;=0")+COUNTIFS(dClass,N$45,INDEX(dData,0,MATCH($B54&amp;CHAR(10)&amp;"Raw Score",dHdr,0)),"A"))/COUNTIF(dClass,N$45)),""))</f>
        <v/>
      </c>
      <c r="O54" s="36" t="str">
        <f>IF(OR($B54="",O$45=""),"",IFERROR(CHOOSE(MATCH(SelMeasure,MeasureList,0),AVERAGEIFS(INDEX(dData,0,MATCH($B54&amp;CHAR(10)&amp;"Raw Score",dHdr,0)),dClass,O$45)/$D54,AVERAGEIFS(INDEX(dData,0,MATCH($B54&amp;CHAR(10)&amp;"Stanine",dHdr,0)),dClass,O$45),(COUNTIFS(dClass,O$45,INDEX(dData,0,MATCH($B54&amp;CHAR(10)&amp;"Raw Score",dHdr,0)),"&gt;=0")+COUNTIFS(dClass,O$45,INDEX(dData,0,MATCH($B54&amp;CHAR(10)&amp;"Raw Score",dHdr,0)),"A"))/COUNTIF(dClass,O$45)),""))</f>
        <v/>
      </c>
    </row>
    <row r="55">
      <c r="B55" s="31" t="str">
        <f>Calc!AA12</f>
        <v/>
      </c>
      <c r="C55" s="57" t="str">
        <f>Calc!AC12</f>
        <v/>
      </c>
      <c r="D55" s="33" t="str">
        <f>Calc!AB12</f>
        <v/>
      </c>
      <c r="E55" s="33" t="str">
        <f>IF($B55="","",IFERROR(COUNT(INDEX(dData,0,MATCH($B55&amp;CHAR(10)&amp;"Raw Score",dHdr,0))),""))</f>
        <v/>
      </c>
      <c r="F55" s="36" t="str">
        <f>IF($B55="","",IFERROR(($E55+COUNTIF(INDEX(dData,0,MATCH($B55&amp;CHAR(10)&amp;"Raw Score",dHdr,0)),"A"))/COUNTA(dLast),""))</f>
        <v/>
      </c>
      <c r="G55" s="58" t="str">
        <f>IF($B55="","",IFERROR(CHOOSE(MATCH(SelMeasure,MeasureList,0),AVERAGE(INDEX(dData,0,MATCH($B55&amp;CHAR(10)&amp;"Raw Score",dHdr,0)))/$D55,AVERAGE(INDEX(dData,0,MATCH($B55&amp;CHAR(10)&amp;"Stanine",dHdr,0))),$F55),""))</f>
        <v/>
      </c>
      <c r="H55" s="36" t="str">
        <f>IF(OR($B55="",H$45=""),"",IFERROR(CHOOSE(MATCH(SelMeasure,MeasureList,0),AVERAGEIFS(INDEX(dData,0,MATCH($B55&amp;CHAR(10)&amp;"Raw Score",dHdr,0)),dClass,H$45)/$D55,AVERAGEIFS(INDEX(dData,0,MATCH($B55&amp;CHAR(10)&amp;"Stanine",dHdr,0)),dClass,H$45),(COUNTIFS(dClass,H$45,INDEX(dData,0,MATCH($B55&amp;CHAR(10)&amp;"Raw Score",dHdr,0)),"&gt;=0")+COUNTIFS(dClass,H$45,INDEX(dData,0,MATCH($B55&amp;CHAR(10)&amp;"Raw Score",dHdr,0)),"A"))/COUNTIF(dClass,H$45)),""))</f>
        <v/>
      </c>
      <c r="I55" s="36" t="str">
        <f>IF(OR($B55="",I$45=""),"",IFERROR(CHOOSE(MATCH(SelMeasure,MeasureList,0),AVERAGEIFS(INDEX(dData,0,MATCH($B55&amp;CHAR(10)&amp;"Raw Score",dHdr,0)),dClass,I$45)/$D55,AVERAGEIFS(INDEX(dData,0,MATCH($B55&amp;CHAR(10)&amp;"Stanine",dHdr,0)),dClass,I$45),(COUNTIFS(dClass,I$45,INDEX(dData,0,MATCH($B55&amp;CHAR(10)&amp;"Raw Score",dHdr,0)),"&gt;=0")+COUNTIFS(dClass,I$45,INDEX(dData,0,MATCH($B55&amp;CHAR(10)&amp;"Raw Score",dHdr,0)),"A"))/COUNTIF(dClass,I$45)),""))</f>
        <v/>
      </c>
      <c r="J55" s="36" t="str">
        <f>IF(OR($B55="",J$45=""),"",IFERROR(CHOOSE(MATCH(SelMeasure,MeasureList,0),AVERAGEIFS(INDEX(dData,0,MATCH($B55&amp;CHAR(10)&amp;"Raw Score",dHdr,0)),dClass,J$45)/$D55,AVERAGEIFS(INDEX(dData,0,MATCH($B55&amp;CHAR(10)&amp;"Stanine",dHdr,0)),dClass,J$45),(COUNTIFS(dClass,J$45,INDEX(dData,0,MATCH($B55&amp;CHAR(10)&amp;"Raw Score",dHdr,0)),"&gt;=0")+COUNTIFS(dClass,J$45,INDEX(dData,0,MATCH($B55&amp;CHAR(10)&amp;"Raw Score",dHdr,0)),"A"))/COUNTIF(dClass,J$45)),""))</f>
        <v/>
      </c>
      <c r="K55" s="36" t="str">
        <f>IF(OR($B55="",K$45=""),"",IFERROR(CHOOSE(MATCH(SelMeasure,MeasureList,0),AVERAGEIFS(INDEX(dData,0,MATCH($B55&amp;CHAR(10)&amp;"Raw Score",dHdr,0)),dClass,K$45)/$D55,AVERAGEIFS(INDEX(dData,0,MATCH($B55&amp;CHAR(10)&amp;"Stanine",dHdr,0)),dClass,K$45),(COUNTIFS(dClass,K$45,INDEX(dData,0,MATCH($B55&amp;CHAR(10)&amp;"Raw Score",dHdr,0)),"&gt;=0")+COUNTIFS(dClass,K$45,INDEX(dData,0,MATCH($B55&amp;CHAR(10)&amp;"Raw Score",dHdr,0)),"A"))/COUNTIF(dClass,K$45)),""))</f>
        <v/>
      </c>
      <c r="L55" s="36" t="str">
        <f>IF(OR($B55="",L$45=""),"",IFERROR(CHOOSE(MATCH(SelMeasure,MeasureList,0),AVERAGEIFS(INDEX(dData,0,MATCH($B55&amp;CHAR(10)&amp;"Raw Score",dHdr,0)),dClass,L$45)/$D55,AVERAGEIFS(INDEX(dData,0,MATCH($B55&amp;CHAR(10)&amp;"Stanine",dHdr,0)),dClass,L$45),(COUNTIFS(dClass,L$45,INDEX(dData,0,MATCH($B55&amp;CHAR(10)&amp;"Raw Score",dHdr,0)),"&gt;=0")+COUNTIFS(dClass,L$45,INDEX(dData,0,MATCH($B55&amp;CHAR(10)&amp;"Raw Score",dHdr,0)),"A"))/COUNTIF(dClass,L$45)),""))</f>
        <v/>
      </c>
      <c r="M55" s="36" t="str">
        <f>IF(OR($B55="",M$45=""),"",IFERROR(CHOOSE(MATCH(SelMeasure,MeasureList,0),AVERAGEIFS(INDEX(dData,0,MATCH($B55&amp;CHAR(10)&amp;"Raw Score",dHdr,0)),dClass,M$45)/$D55,AVERAGEIFS(INDEX(dData,0,MATCH($B55&amp;CHAR(10)&amp;"Stanine",dHdr,0)),dClass,M$45),(COUNTIFS(dClass,M$45,INDEX(dData,0,MATCH($B55&amp;CHAR(10)&amp;"Raw Score",dHdr,0)),"&gt;=0")+COUNTIFS(dClass,M$45,INDEX(dData,0,MATCH($B55&amp;CHAR(10)&amp;"Raw Score",dHdr,0)),"A"))/COUNTIF(dClass,M$45)),""))</f>
        <v/>
      </c>
      <c r="N55" s="36" t="str">
        <f>IF(OR($B55="",N$45=""),"",IFERROR(CHOOSE(MATCH(SelMeasure,MeasureList,0),AVERAGEIFS(INDEX(dData,0,MATCH($B55&amp;CHAR(10)&amp;"Raw Score",dHdr,0)),dClass,N$45)/$D55,AVERAGEIFS(INDEX(dData,0,MATCH($B55&amp;CHAR(10)&amp;"Stanine",dHdr,0)),dClass,N$45),(COUNTIFS(dClass,N$45,INDEX(dData,0,MATCH($B55&amp;CHAR(10)&amp;"Raw Score",dHdr,0)),"&gt;=0")+COUNTIFS(dClass,N$45,INDEX(dData,0,MATCH($B55&amp;CHAR(10)&amp;"Raw Score",dHdr,0)),"A"))/COUNTIF(dClass,N$45)),""))</f>
        <v/>
      </c>
      <c r="O55" s="36" t="str">
        <f>IF(OR($B55="",O$45=""),"",IFERROR(CHOOSE(MATCH(SelMeasure,MeasureList,0),AVERAGEIFS(INDEX(dData,0,MATCH($B55&amp;CHAR(10)&amp;"Raw Score",dHdr,0)),dClass,O$45)/$D55,AVERAGEIFS(INDEX(dData,0,MATCH($B55&amp;CHAR(10)&amp;"Stanine",dHdr,0)),dClass,O$45),(COUNTIFS(dClass,O$45,INDEX(dData,0,MATCH($B55&amp;CHAR(10)&amp;"Raw Score",dHdr,0)),"&gt;=0")+COUNTIFS(dClass,O$45,INDEX(dData,0,MATCH($B55&amp;CHAR(10)&amp;"Raw Score",dHdr,0)),"A"))/COUNTIF(dClass,O$45)),""))</f>
        <v/>
      </c>
    </row>
    <row r="56">
      <c r="B56" s="31" t="str">
        <f>Calc!AA13</f>
        <v/>
      </c>
      <c r="C56" s="57" t="str">
        <f>Calc!AC13</f>
        <v/>
      </c>
      <c r="D56" s="33" t="str">
        <f>Calc!AB13</f>
        <v/>
      </c>
      <c r="E56" s="33" t="str">
        <f>IF($B56="","",IFERROR(COUNT(INDEX(dData,0,MATCH($B56&amp;CHAR(10)&amp;"Raw Score",dHdr,0))),""))</f>
        <v/>
      </c>
      <c r="F56" s="36" t="str">
        <f>IF($B56="","",IFERROR(($E56+COUNTIF(INDEX(dData,0,MATCH($B56&amp;CHAR(10)&amp;"Raw Score",dHdr,0)),"A"))/COUNTA(dLast),""))</f>
        <v/>
      </c>
      <c r="G56" s="58" t="str">
        <f>IF($B56="","",IFERROR(CHOOSE(MATCH(SelMeasure,MeasureList,0),AVERAGE(INDEX(dData,0,MATCH($B56&amp;CHAR(10)&amp;"Raw Score",dHdr,0)))/$D56,AVERAGE(INDEX(dData,0,MATCH($B56&amp;CHAR(10)&amp;"Stanine",dHdr,0))),$F56),""))</f>
        <v/>
      </c>
      <c r="H56" s="36" t="str">
        <f>IF(OR($B56="",H$45=""),"",IFERROR(CHOOSE(MATCH(SelMeasure,MeasureList,0),AVERAGEIFS(INDEX(dData,0,MATCH($B56&amp;CHAR(10)&amp;"Raw Score",dHdr,0)),dClass,H$45)/$D56,AVERAGEIFS(INDEX(dData,0,MATCH($B56&amp;CHAR(10)&amp;"Stanine",dHdr,0)),dClass,H$45),(COUNTIFS(dClass,H$45,INDEX(dData,0,MATCH($B56&amp;CHAR(10)&amp;"Raw Score",dHdr,0)),"&gt;=0")+COUNTIFS(dClass,H$45,INDEX(dData,0,MATCH($B56&amp;CHAR(10)&amp;"Raw Score",dHdr,0)),"A"))/COUNTIF(dClass,H$45)),""))</f>
        <v/>
      </c>
      <c r="I56" s="36" t="str">
        <f>IF(OR($B56="",I$45=""),"",IFERROR(CHOOSE(MATCH(SelMeasure,MeasureList,0),AVERAGEIFS(INDEX(dData,0,MATCH($B56&amp;CHAR(10)&amp;"Raw Score",dHdr,0)),dClass,I$45)/$D56,AVERAGEIFS(INDEX(dData,0,MATCH($B56&amp;CHAR(10)&amp;"Stanine",dHdr,0)),dClass,I$45),(COUNTIFS(dClass,I$45,INDEX(dData,0,MATCH($B56&amp;CHAR(10)&amp;"Raw Score",dHdr,0)),"&gt;=0")+COUNTIFS(dClass,I$45,INDEX(dData,0,MATCH($B56&amp;CHAR(10)&amp;"Raw Score",dHdr,0)),"A"))/COUNTIF(dClass,I$45)),""))</f>
        <v/>
      </c>
      <c r="J56" s="36" t="str">
        <f>IF(OR($B56="",J$45=""),"",IFERROR(CHOOSE(MATCH(SelMeasure,MeasureList,0),AVERAGEIFS(INDEX(dData,0,MATCH($B56&amp;CHAR(10)&amp;"Raw Score",dHdr,0)),dClass,J$45)/$D56,AVERAGEIFS(INDEX(dData,0,MATCH($B56&amp;CHAR(10)&amp;"Stanine",dHdr,0)),dClass,J$45),(COUNTIFS(dClass,J$45,INDEX(dData,0,MATCH($B56&amp;CHAR(10)&amp;"Raw Score",dHdr,0)),"&gt;=0")+COUNTIFS(dClass,J$45,INDEX(dData,0,MATCH($B56&amp;CHAR(10)&amp;"Raw Score",dHdr,0)),"A"))/COUNTIF(dClass,J$45)),""))</f>
        <v/>
      </c>
      <c r="K56" s="36" t="str">
        <f>IF(OR($B56="",K$45=""),"",IFERROR(CHOOSE(MATCH(SelMeasure,MeasureList,0),AVERAGEIFS(INDEX(dData,0,MATCH($B56&amp;CHAR(10)&amp;"Raw Score",dHdr,0)),dClass,K$45)/$D56,AVERAGEIFS(INDEX(dData,0,MATCH($B56&amp;CHAR(10)&amp;"Stanine",dHdr,0)),dClass,K$45),(COUNTIFS(dClass,K$45,INDEX(dData,0,MATCH($B56&amp;CHAR(10)&amp;"Raw Score",dHdr,0)),"&gt;=0")+COUNTIFS(dClass,K$45,INDEX(dData,0,MATCH($B56&amp;CHAR(10)&amp;"Raw Score",dHdr,0)),"A"))/COUNTIF(dClass,K$45)),""))</f>
        <v/>
      </c>
      <c r="L56" s="36" t="str">
        <f>IF(OR($B56="",L$45=""),"",IFERROR(CHOOSE(MATCH(SelMeasure,MeasureList,0),AVERAGEIFS(INDEX(dData,0,MATCH($B56&amp;CHAR(10)&amp;"Raw Score",dHdr,0)),dClass,L$45)/$D56,AVERAGEIFS(INDEX(dData,0,MATCH($B56&amp;CHAR(10)&amp;"Stanine",dHdr,0)),dClass,L$45),(COUNTIFS(dClass,L$45,INDEX(dData,0,MATCH($B56&amp;CHAR(10)&amp;"Raw Score",dHdr,0)),"&gt;=0")+COUNTIFS(dClass,L$45,INDEX(dData,0,MATCH($B56&amp;CHAR(10)&amp;"Raw Score",dHdr,0)),"A"))/COUNTIF(dClass,L$45)),""))</f>
        <v/>
      </c>
      <c r="M56" s="36" t="str">
        <f>IF(OR($B56="",M$45=""),"",IFERROR(CHOOSE(MATCH(SelMeasure,MeasureList,0),AVERAGEIFS(INDEX(dData,0,MATCH($B56&amp;CHAR(10)&amp;"Raw Score",dHdr,0)),dClass,M$45)/$D56,AVERAGEIFS(INDEX(dData,0,MATCH($B56&amp;CHAR(10)&amp;"Stanine",dHdr,0)),dClass,M$45),(COUNTIFS(dClass,M$45,INDEX(dData,0,MATCH($B56&amp;CHAR(10)&amp;"Raw Score",dHdr,0)),"&gt;=0")+COUNTIFS(dClass,M$45,INDEX(dData,0,MATCH($B56&amp;CHAR(10)&amp;"Raw Score",dHdr,0)),"A"))/COUNTIF(dClass,M$45)),""))</f>
        <v/>
      </c>
      <c r="N56" s="36" t="str">
        <f>IF(OR($B56="",N$45=""),"",IFERROR(CHOOSE(MATCH(SelMeasure,MeasureList,0),AVERAGEIFS(INDEX(dData,0,MATCH($B56&amp;CHAR(10)&amp;"Raw Score",dHdr,0)),dClass,N$45)/$D56,AVERAGEIFS(INDEX(dData,0,MATCH($B56&amp;CHAR(10)&amp;"Stanine",dHdr,0)),dClass,N$45),(COUNTIFS(dClass,N$45,INDEX(dData,0,MATCH($B56&amp;CHAR(10)&amp;"Raw Score",dHdr,0)),"&gt;=0")+COUNTIFS(dClass,N$45,INDEX(dData,0,MATCH($B56&amp;CHAR(10)&amp;"Raw Score",dHdr,0)),"A"))/COUNTIF(dClass,N$45)),""))</f>
        <v/>
      </c>
      <c r="O56" s="36" t="str">
        <f>IF(OR($B56="",O$45=""),"",IFERROR(CHOOSE(MATCH(SelMeasure,MeasureList,0),AVERAGEIFS(INDEX(dData,0,MATCH($B56&amp;CHAR(10)&amp;"Raw Score",dHdr,0)),dClass,O$45)/$D56,AVERAGEIFS(INDEX(dData,0,MATCH($B56&amp;CHAR(10)&amp;"Stanine",dHdr,0)),dClass,O$45),(COUNTIFS(dClass,O$45,INDEX(dData,0,MATCH($B56&amp;CHAR(10)&amp;"Raw Score",dHdr,0)),"&gt;=0")+COUNTIFS(dClass,O$45,INDEX(dData,0,MATCH($B56&amp;CHAR(10)&amp;"Raw Score",dHdr,0)),"A"))/COUNTIF(dClass,O$45)),""))</f>
        <v/>
      </c>
    </row>
    <row r="57">
      <c r="B57" s="31" t="str">
        <f>Calc!AA14</f>
        <v/>
      </c>
      <c r="C57" s="57" t="str">
        <f>Calc!AC14</f>
        <v/>
      </c>
      <c r="D57" s="33" t="str">
        <f>Calc!AB14</f>
        <v/>
      </c>
      <c r="E57" s="33" t="str">
        <f>IF($B57="","",IFERROR(COUNT(INDEX(dData,0,MATCH($B57&amp;CHAR(10)&amp;"Raw Score",dHdr,0))),""))</f>
        <v/>
      </c>
      <c r="F57" s="36" t="str">
        <f>IF($B57="","",IFERROR(($E57+COUNTIF(INDEX(dData,0,MATCH($B57&amp;CHAR(10)&amp;"Raw Score",dHdr,0)),"A"))/COUNTA(dLast),""))</f>
        <v/>
      </c>
      <c r="G57" s="58" t="str">
        <f>IF($B57="","",IFERROR(CHOOSE(MATCH(SelMeasure,MeasureList,0),AVERAGE(INDEX(dData,0,MATCH($B57&amp;CHAR(10)&amp;"Raw Score",dHdr,0)))/$D57,AVERAGE(INDEX(dData,0,MATCH($B57&amp;CHAR(10)&amp;"Stanine",dHdr,0))),$F57),""))</f>
        <v/>
      </c>
      <c r="H57" s="36" t="str">
        <f>IF(OR($B57="",H$45=""),"",IFERROR(CHOOSE(MATCH(SelMeasure,MeasureList,0),AVERAGEIFS(INDEX(dData,0,MATCH($B57&amp;CHAR(10)&amp;"Raw Score",dHdr,0)),dClass,H$45)/$D57,AVERAGEIFS(INDEX(dData,0,MATCH($B57&amp;CHAR(10)&amp;"Stanine",dHdr,0)),dClass,H$45),(COUNTIFS(dClass,H$45,INDEX(dData,0,MATCH($B57&amp;CHAR(10)&amp;"Raw Score",dHdr,0)),"&gt;=0")+COUNTIFS(dClass,H$45,INDEX(dData,0,MATCH($B57&amp;CHAR(10)&amp;"Raw Score",dHdr,0)),"A"))/COUNTIF(dClass,H$45)),""))</f>
        <v/>
      </c>
      <c r="I57" s="36" t="str">
        <f>IF(OR($B57="",I$45=""),"",IFERROR(CHOOSE(MATCH(SelMeasure,MeasureList,0),AVERAGEIFS(INDEX(dData,0,MATCH($B57&amp;CHAR(10)&amp;"Raw Score",dHdr,0)),dClass,I$45)/$D57,AVERAGEIFS(INDEX(dData,0,MATCH($B57&amp;CHAR(10)&amp;"Stanine",dHdr,0)),dClass,I$45),(COUNTIFS(dClass,I$45,INDEX(dData,0,MATCH($B57&amp;CHAR(10)&amp;"Raw Score",dHdr,0)),"&gt;=0")+COUNTIFS(dClass,I$45,INDEX(dData,0,MATCH($B57&amp;CHAR(10)&amp;"Raw Score",dHdr,0)),"A"))/COUNTIF(dClass,I$45)),""))</f>
        <v/>
      </c>
      <c r="J57" s="36" t="str">
        <f>IF(OR($B57="",J$45=""),"",IFERROR(CHOOSE(MATCH(SelMeasure,MeasureList,0),AVERAGEIFS(INDEX(dData,0,MATCH($B57&amp;CHAR(10)&amp;"Raw Score",dHdr,0)),dClass,J$45)/$D57,AVERAGEIFS(INDEX(dData,0,MATCH($B57&amp;CHAR(10)&amp;"Stanine",dHdr,0)),dClass,J$45),(COUNTIFS(dClass,J$45,INDEX(dData,0,MATCH($B57&amp;CHAR(10)&amp;"Raw Score",dHdr,0)),"&gt;=0")+COUNTIFS(dClass,J$45,INDEX(dData,0,MATCH($B57&amp;CHAR(10)&amp;"Raw Score",dHdr,0)),"A"))/COUNTIF(dClass,J$45)),""))</f>
        <v/>
      </c>
      <c r="K57" s="36" t="str">
        <f>IF(OR($B57="",K$45=""),"",IFERROR(CHOOSE(MATCH(SelMeasure,MeasureList,0),AVERAGEIFS(INDEX(dData,0,MATCH($B57&amp;CHAR(10)&amp;"Raw Score",dHdr,0)),dClass,K$45)/$D57,AVERAGEIFS(INDEX(dData,0,MATCH($B57&amp;CHAR(10)&amp;"Stanine",dHdr,0)),dClass,K$45),(COUNTIFS(dClass,K$45,INDEX(dData,0,MATCH($B57&amp;CHAR(10)&amp;"Raw Score",dHdr,0)),"&gt;=0")+COUNTIFS(dClass,K$45,INDEX(dData,0,MATCH($B57&amp;CHAR(10)&amp;"Raw Score",dHdr,0)),"A"))/COUNTIF(dClass,K$45)),""))</f>
        <v/>
      </c>
      <c r="L57" s="36" t="str">
        <f>IF(OR($B57="",L$45=""),"",IFERROR(CHOOSE(MATCH(SelMeasure,MeasureList,0),AVERAGEIFS(INDEX(dData,0,MATCH($B57&amp;CHAR(10)&amp;"Raw Score",dHdr,0)),dClass,L$45)/$D57,AVERAGEIFS(INDEX(dData,0,MATCH($B57&amp;CHAR(10)&amp;"Stanine",dHdr,0)),dClass,L$45),(COUNTIFS(dClass,L$45,INDEX(dData,0,MATCH($B57&amp;CHAR(10)&amp;"Raw Score",dHdr,0)),"&gt;=0")+COUNTIFS(dClass,L$45,INDEX(dData,0,MATCH($B57&amp;CHAR(10)&amp;"Raw Score",dHdr,0)),"A"))/COUNTIF(dClass,L$45)),""))</f>
        <v/>
      </c>
      <c r="M57" s="36" t="str">
        <f>IF(OR($B57="",M$45=""),"",IFERROR(CHOOSE(MATCH(SelMeasure,MeasureList,0),AVERAGEIFS(INDEX(dData,0,MATCH($B57&amp;CHAR(10)&amp;"Raw Score",dHdr,0)),dClass,M$45)/$D57,AVERAGEIFS(INDEX(dData,0,MATCH($B57&amp;CHAR(10)&amp;"Stanine",dHdr,0)),dClass,M$45),(COUNTIFS(dClass,M$45,INDEX(dData,0,MATCH($B57&amp;CHAR(10)&amp;"Raw Score",dHdr,0)),"&gt;=0")+COUNTIFS(dClass,M$45,INDEX(dData,0,MATCH($B57&amp;CHAR(10)&amp;"Raw Score",dHdr,0)),"A"))/COUNTIF(dClass,M$45)),""))</f>
        <v/>
      </c>
      <c r="N57" s="36" t="str">
        <f>IF(OR($B57="",N$45=""),"",IFERROR(CHOOSE(MATCH(SelMeasure,MeasureList,0),AVERAGEIFS(INDEX(dData,0,MATCH($B57&amp;CHAR(10)&amp;"Raw Score",dHdr,0)),dClass,N$45)/$D57,AVERAGEIFS(INDEX(dData,0,MATCH($B57&amp;CHAR(10)&amp;"Stanine",dHdr,0)),dClass,N$45),(COUNTIFS(dClass,N$45,INDEX(dData,0,MATCH($B57&amp;CHAR(10)&amp;"Raw Score",dHdr,0)),"&gt;=0")+COUNTIFS(dClass,N$45,INDEX(dData,0,MATCH($B57&amp;CHAR(10)&amp;"Raw Score",dHdr,0)),"A"))/COUNTIF(dClass,N$45)),""))</f>
        <v/>
      </c>
      <c r="O57" s="36" t="str">
        <f>IF(OR($B57="",O$45=""),"",IFERROR(CHOOSE(MATCH(SelMeasure,MeasureList,0),AVERAGEIFS(INDEX(dData,0,MATCH($B57&amp;CHAR(10)&amp;"Raw Score",dHdr,0)),dClass,O$45)/$D57,AVERAGEIFS(INDEX(dData,0,MATCH($B57&amp;CHAR(10)&amp;"Stanine",dHdr,0)),dClass,O$45),(COUNTIFS(dClass,O$45,INDEX(dData,0,MATCH($B57&amp;CHAR(10)&amp;"Raw Score",dHdr,0)),"&gt;=0")+COUNTIFS(dClass,O$45,INDEX(dData,0,MATCH($B57&amp;CHAR(10)&amp;"Raw Score",dHdr,0)),"A"))/COUNTIF(dClass,O$45)),""))</f>
        <v/>
      </c>
    </row>
    <row r="58">
      <c r="B58" s="31" t="str">
        <f>Calc!AA15</f>
        <v/>
      </c>
      <c r="C58" s="57" t="str">
        <f>Calc!AC15</f>
        <v/>
      </c>
      <c r="D58" s="33" t="str">
        <f>Calc!AB15</f>
        <v/>
      </c>
      <c r="E58" s="33" t="str">
        <f>IF($B58="","",IFERROR(COUNT(INDEX(dData,0,MATCH($B58&amp;CHAR(10)&amp;"Raw Score",dHdr,0))),""))</f>
        <v/>
      </c>
      <c r="F58" s="36" t="str">
        <f>IF($B58="","",IFERROR(($E58+COUNTIF(INDEX(dData,0,MATCH($B58&amp;CHAR(10)&amp;"Raw Score",dHdr,0)),"A"))/COUNTA(dLast),""))</f>
        <v/>
      </c>
      <c r="G58" s="58" t="str">
        <f>IF($B58="","",IFERROR(CHOOSE(MATCH(SelMeasure,MeasureList,0),AVERAGE(INDEX(dData,0,MATCH($B58&amp;CHAR(10)&amp;"Raw Score",dHdr,0)))/$D58,AVERAGE(INDEX(dData,0,MATCH($B58&amp;CHAR(10)&amp;"Stanine",dHdr,0))),$F58),""))</f>
        <v/>
      </c>
      <c r="H58" s="36" t="str">
        <f>IF(OR($B58="",H$45=""),"",IFERROR(CHOOSE(MATCH(SelMeasure,MeasureList,0),AVERAGEIFS(INDEX(dData,0,MATCH($B58&amp;CHAR(10)&amp;"Raw Score",dHdr,0)),dClass,H$45)/$D58,AVERAGEIFS(INDEX(dData,0,MATCH($B58&amp;CHAR(10)&amp;"Stanine",dHdr,0)),dClass,H$45),(COUNTIFS(dClass,H$45,INDEX(dData,0,MATCH($B58&amp;CHAR(10)&amp;"Raw Score",dHdr,0)),"&gt;=0")+COUNTIFS(dClass,H$45,INDEX(dData,0,MATCH($B58&amp;CHAR(10)&amp;"Raw Score",dHdr,0)),"A"))/COUNTIF(dClass,H$45)),""))</f>
        <v/>
      </c>
      <c r="I58" s="36" t="str">
        <f>IF(OR($B58="",I$45=""),"",IFERROR(CHOOSE(MATCH(SelMeasure,MeasureList,0),AVERAGEIFS(INDEX(dData,0,MATCH($B58&amp;CHAR(10)&amp;"Raw Score",dHdr,0)),dClass,I$45)/$D58,AVERAGEIFS(INDEX(dData,0,MATCH($B58&amp;CHAR(10)&amp;"Stanine",dHdr,0)),dClass,I$45),(COUNTIFS(dClass,I$45,INDEX(dData,0,MATCH($B58&amp;CHAR(10)&amp;"Raw Score",dHdr,0)),"&gt;=0")+COUNTIFS(dClass,I$45,INDEX(dData,0,MATCH($B58&amp;CHAR(10)&amp;"Raw Score",dHdr,0)),"A"))/COUNTIF(dClass,I$45)),""))</f>
        <v/>
      </c>
      <c r="J58" s="36" t="str">
        <f>IF(OR($B58="",J$45=""),"",IFERROR(CHOOSE(MATCH(SelMeasure,MeasureList,0),AVERAGEIFS(INDEX(dData,0,MATCH($B58&amp;CHAR(10)&amp;"Raw Score",dHdr,0)),dClass,J$45)/$D58,AVERAGEIFS(INDEX(dData,0,MATCH($B58&amp;CHAR(10)&amp;"Stanine",dHdr,0)),dClass,J$45),(COUNTIFS(dClass,J$45,INDEX(dData,0,MATCH($B58&amp;CHAR(10)&amp;"Raw Score",dHdr,0)),"&gt;=0")+COUNTIFS(dClass,J$45,INDEX(dData,0,MATCH($B58&amp;CHAR(10)&amp;"Raw Score",dHdr,0)),"A"))/COUNTIF(dClass,J$45)),""))</f>
        <v/>
      </c>
      <c r="K58" s="36" t="str">
        <f>IF(OR($B58="",K$45=""),"",IFERROR(CHOOSE(MATCH(SelMeasure,MeasureList,0),AVERAGEIFS(INDEX(dData,0,MATCH($B58&amp;CHAR(10)&amp;"Raw Score",dHdr,0)),dClass,K$45)/$D58,AVERAGEIFS(INDEX(dData,0,MATCH($B58&amp;CHAR(10)&amp;"Stanine",dHdr,0)),dClass,K$45),(COUNTIFS(dClass,K$45,INDEX(dData,0,MATCH($B58&amp;CHAR(10)&amp;"Raw Score",dHdr,0)),"&gt;=0")+COUNTIFS(dClass,K$45,INDEX(dData,0,MATCH($B58&amp;CHAR(10)&amp;"Raw Score",dHdr,0)),"A"))/COUNTIF(dClass,K$45)),""))</f>
        <v/>
      </c>
      <c r="L58" s="36" t="str">
        <f>IF(OR($B58="",L$45=""),"",IFERROR(CHOOSE(MATCH(SelMeasure,MeasureList,0),AVERAGEIFS(INDEX(dData,0,MATCH($B58&amp;CHAR(10)&amp;"Raw Score",dHdr,0)),dClass,L$45)/$D58,AVERAGEIFS(INDEX(dData,0,MATCH($B58&amp;CHAR(10)&amp;"Stanine",dHdr,0)),dClass,L$45),(COUNTIFS(dClass,L$45,INDEX(dData,0,MATCH($B58&amp;CHAR(10)&amp;"Raw Score",dHdr,0)),"&gt;=0")+COUNTIFS(dClass,L$45,INDEX(dData,0,MATCH($B58&amp;CHAR(10)&amp;"Raw Score",dHdr,0)),"A"))/COUNTIF(dClass,L$45)),""))</f>
        <v/>
      </c>
      <c r="M58" s="36" t="str">
        <f>IF(OR($B58="",M$45=""),"",IFERROR(CHOOSE(MATCH(SelMeasure,MeasureList,0),AVERAGEIFS(INDEX(dData,0,MATCH($B58&amp;CHAR(10)&amp;"Raw Score",dHdr,0)),dClass,M$45)/$D58,AVERAGEIFS(INDEX(dData,0,MATCH($B58&amp;CHAR(10)&amp;"Stanine",dHdr,0)),dClass,M$45),(COUNTIFS(dClass,M$45,INDEX(dData,0,MATCH($B58&amp;CHAR(10)&amp;"Raw Score",dHdr,0)),"&gt;=0")+COUNTIFS(dClass,M$45,INDEX(dData,0,MATCH($B58&amp;CHAR(10)&amp;"Raw Score",dHdr,0)),"A"))/COUNTIF(dClass,M$45)),""))</f>
        <v/>
      </c>
      <c r="N58" s="36" t="str">
        <f>IF(OR($B58="",N$45=""),"",IFERROR(CHOOSE(MATCH(SelMeasure,MeasureList,0),AVERAGEIFS(INDEX(dData,0,MATCH($B58&amp;CHAR(10)&amp;"Raw Score",dHdr,0)),dClass,N$45)/$D58,AVERAGEIFS(INDEX(dData,0,MATCH($B58&amp;CHAR(10)&amp;"Stanine",dHdr,0)),dClass,N$45),(COUNTIFS(dClass,N$45,INDEX(dData,0,MATCH($B58&amp;CHAR(10)&amp;"Raw Score",dHdr,0)),"&gt;=0")+COUNTIFS(dClass,N$45,INDEX(dData,0,MATCH($B58&amp;CHAR(10)&amp;"Raw Score",dHdr,0)),"A"))/COUNTIF(dClass,N$45)),""))</f>
        <v/>
      </c>
      <c r="O58" s="36" t="str">
        <f>IF(OR($B58="",O$45=""),"",IFERROR(CHOOSE(MATCH(SelMeasure,MeasureList,0),AVERAGEIFS(INDEX(dData,0,MATCH($B58&amp;CHAR(10)&amp;"Raw Score",dHdr,0)),dClass,O$45)/$D58,AVERAGEIFS(INDEX(dData,0,MATCH($B58&amp;CHAR(10)&amp;"Stanine",dHdr,0)),dClass,O$45),(COUNTIFS(dClass,O$45,INDEX(dData,0,MATCH($B58&amp;CHAR(10)&amp;"Raw Score",dHdr,0)),"&gt;=0")+COUNTIFS(dClass,O$45,INDEX(dData,0,MATCH($B58&amp;CHAR(10)&amp;"Raw Score",dHdr,0)),"A"))/COUNTIF(dClass,O$45)),""))</f>
        <v/>
      </c>
    </row>
    <row r="59">
      <c r="B59" s="31" t="str">
        <f>Calc!AA16</f>
        <v/>
      </c>
      <c r="C59" s="57" t="str">
        <f>Calc!AC16</f>
        <v/>
      </c>
      <c r="D59" s="33" t="str">
        <f>Calc!AB16</f>
        <v/>
      </c>
      <c r="E59" s="33" t="str">
        <f>IF($B59="","",IFERROR(COUNT(INDEX(dData,0,MATCH($B59&amp;CHAR(10)&amp;"Raw Score",dHdr,0))),""))</f>
        <v/>
      </c>
      <c r="F59" s="36" t="str">
        <f>IF($B59="","",IFERROR(($E59+COUNTIF(INDEX(dData,0,MATCH($B59&amp;CHAR(10)&amp;"Raw Score",dHdr,0)),"A"))/COUNTA(dLast),""))</f>
        <v/>
      </c>
      <c r="G59" s="58" t="str">
        <f>IF($B59="","",IFERROR(CHOOSE(MATCH(SelMeasure,MeasureList,0),AVERAGE(INDEX(dData,0,MATCH($B59&amp;CHAR(10)&amp;"Raw Score",dHdr,0)))/$D59,AVERAGE(INDEX(dData,0,MATCH($B59&amp;CHAR(10)&amp;"Stanine",dHdr,0))),$F59),""))</f>
        <v/>
      </c>
      <c r="H59" s="36" t="str">
        <f>IF(OR($B59="",H$45=""),"",IFERROR(CHOOSE(MATCH(SelMeasure,MeasureList,0),AVERAGEIFS(INDEX(dData,0,MATCH($B59&amp;CHAR(10)&amp;"Raw Score",dHdr,0)),dClass,H$45)/$D59,AVERAGEIFS(INDEX(dData,0,MATCH($B59&amp;CHAR(10)&amp;"Stanine",dHdr,0)),dClass,H$45),(COUNTIFS(dClass,H$45,INDEX(dData,0,MATCH($B59&amp;CHAR(10)&amp;"Raw Score",dHdr,0)),"&gt;=0")+COUNTIFS(dClass,H$45,INDEX(dData,0,MATCH($B59&amp;CHAR(10)&amp;"Raw Score",dHdr,0)),"A"))/COUNTIF(dClass,H$45)),""))</f>
        <v/>
      </c>
      <c r="I59" s="36" t="str">
        <f>IF(OR($B59="",I$45=""),"",IFERROR(CHOOSE(MATCH(SelMeasure,MeasureList,0),AVERAGEIFS(INDEX(dData,0,MATCH($B59&amp;CHAR(10)&amp;"Raw Score",dHdr,0)),dClass,I$45)/$D59,AVERAGEIFS(INDEX(dData,0,MATCH($B59&amp;CHAR(10)&amp;"Stanine",dHdr,0)),dClass,I$45),(COUNTIFS(dClass,I$45,INDEX(dData,0,MATCH($B59&amp;CHAR(10)&amp;"Raw Score",dHdr,0)),"&gt;=0")+COUNTIFS(dClass,I$45,INDEX(dData,0,MATCH($B59&amp;CHAR(10)&amp;"Raw Score",dHdr,0)),"A"))/COUNTIF(dClass,I$45)),""))</f>
        <v/>
      </c>
      <c r="J59" s="36" t="str">
        <f>IF(OR($B59="",J$45=""),"",IFERROR(CHOOSE(MATCH(SelMeasure,MeasureList,0),AVERAGEIFS(INDEX(dData,0,MATCH($B59&amp;CHAR(10)&amp;"Raw Score",dHdr,0)),dClass,J$45)/$D59,AVERAGEIFS(INDEX(dData,0,MATCH($B59&amp;CHAR(10)&amp;"Stanine",dHdr,0)),dClass,J$45),(COUNTIFS(dClass,J$45,INDEX(dData,0,MATCH($B59&amp;CHAR(10)&amp;"Raw Score",dHdr,0)),"&gt;=0")+COUNTIFS(dClass,J$45,INDEX(dData,0,MATCH($B59&amp;CHAR(10)&amp;"Raw Score",dHdr,0)),"A"))/COUNTIF(dClass,J$45)),""))</f>
        <v/>
      </c>
      <c r="K59" s="36" t="str">
        <f>IF(OR($B59="",K$45=""),"",IFERROR(CHOOSE(MATCH(SelMeasure,MeasureList,0),AVERAGEIFS(INDEX(dData,0,MATCH($B59&amp;CHAR(10)&amp;"Raw Score",dHdr,0)),dClass,K$45)/$D59,AVERAGEIFS(INDEX(dData,0,MATCH($B59&amp;CHAR(10)&amp;"Stanine",dHdr,0)),dClass,K$45),(COUNTIFS(dClass,K$45,INDEX(dData,0,MATCH($B59&amp;CHAR(10)&amp;"Raw Score",dHdr,0)),"&gt;=0")+COUNTIFS(dClass,K$45,INDEX(dData,0,MATCH($B59&amp;CHAR(10)&amp;"Raw Score",dHdr,0)),"A"))/COUNTIF(dClass,K$45)),""))</f>
        <v/>
      </c>
      <c r="L59" s="36" t="str">
        <f>IF(OR($B59="",L$45=""),"",IFERROR(CHOOSE(MATCH(SelMeasure,MeasureList,0),AVERAGEIFS(INDEX(dData,0,MATCH($B59&amp;CHAR(10)&amp;"Raw Score",dHdr,0)),dClass,L$45)/$D59,AVERAGEIFS(INDEX(dData,0,MATCH($B59&amp;CHAR(10)&amp;"Stanine",dHdr,0)),dClass,L$45),(COUNTIFS(dClass,L$45,INDEX(dData,0,MATCH($B59&amp;CHAR(10)&amp;"Raw Score",dHdr,0)),"&gt;=0")+COUNTIFS(dClass,L$45,INDEX(dData,0,MATCH($B59&amp;CHAR(10)&amp;"Raw Score",dHdr,0)),"A"))/COUNTIF(dClass,L$45)),""))</f>
        <v/>
      </c>
      <c r="M59" s="36" t="str">
        <f>IF(OR($B59="",M$45=""),"",IFERROR(CHOOSE(MATCH(SelMeasure,MeasureList,0),AVERAGEIFS(INDEX(dData,0,MATCH($B59&amp;CHAR(10)&amp;"Raw Score",dHdr,0)),dClass,M$45)/$D59,AVERAGEIFS(INDEX(dData,0,MATCH($B59&amp;CHAR(10)&amp;"Stanine",dHdr,0)),dClass,M$45),(COUNTIFS(dClass,M$45,INDEX(dData,0,MATCH($B59&amp;CHAR(10)&amp;"Raw Score",dHdr,0)),"&gt;=0")+COUNTIFS(dClass,M$45,INDEX(dData,0,MATCH($B59&amp;CHAR(10)&amp;"Raw Score",dHdr,0)),"A"))/COUNTIF(dClass,M$45)),""))</f>
        <v/>
      </c>
      <c r="N59" s="36" t="str">
        <f>IF(OR($B59="",N$45=""),"",IFERROR(CHOOSE(MATCH(SelMeasure,MeasureList,0),AVERAGEIFS(INDEX(dData,0,MATCH($B59&amp;CHAR(10)&amp;"Raw Score",dHdr,0)),dClass,N$45)/$D59,AVERAGEIFS(INDEX(dData,0,MATCH($B59&amp;CHAR(10)&amp;"Stanine",dHdr,0)),dClass,N$45),(COUNTIFS(dClass,N$45,INDEX(dData,0,MATCH($B59&amp;CHAR(10)&amp;"Raw Score",dHdr,0)),"&gt;=0")+COUNTIFS(dClass,N$45,INDEX(dData,0,MATCH($B59&amp;CHAR(10)&amp;"Raw Score",dHdr,0)),"A"))/COUNTIF(dClass,N$45)),""))</f>
        <v/>
      </c>
      <c r="O59" s="36" t="str">
        <f>IF(OR($B59="",O$45=""),"",IFERROR(CHOOSE(MATCH(SelMeasure,MeasureList,0),AVERAGEIFS(INDEX(dData,0,MATCH($B59&amp;CHAR(10)&amp;"Raw Score",dHdr,0)),dClass,O$45)/$D59,AVERAGEIFS(INDEX(dData,0,MATCH($B59&amp;CHAR(10)&amp;"Stanine",dHdr,0)),dClass,O$45),(COUNTIFS(dClass,O$45,INDEX(dData,0,MATCH($B59&amp;CHAR(10)&amp;"Raw Score",dHdr,0)),"&gt;=0")+COUNTIFS(dClass,O$45,INDEX(dData,0,MATCH($B59&amp;CHAR(10)&amp;"Raw Score",dHdr,0)),"A"))/COUNTIF(dClass,O$45)),""))</f>
        <v/>
      </c>
    </row>
    <row r="60">
      <c r="B60" s="31" t="str">
        <f>Calc!AA17</f>
        <v/>
      </c>
      <c r="C60" s="57" t="str">
        <f>Calc!AC17</f>
        <v/>
      </c>
      <c r="D60" s="33" t="str">
        <f>Calc!AB17</f>
        <v/>
      </c>
      <c r="E60" s="33" t="str">
        <f>IF($B60="","",IFERROR(COUNT(INDEX(dData,0,MATCH($B60&amp;CHAR(10)&amp;"Raw Score",dHdr,0))),""))</f>
        <v/>
      </c>
      <c r="F60" s="36" t="str">
        <f>IF($B60="","",IFERROR(($E60+COUNTIF(INDEX(dData,0,MATCH($B60&amp;CHAR(10)&amp;"Raw Score",dHdr,0)),"A"))/COUNTA(dLast),""))</f>
        <v/>
      </c>
      <c r="G60" s="58" t="str">
        <f>IF($B60="","",IFERROR(CHOOSE(MATCH(SelMeasure,MeasureList,0),AVERAGE(INDEX(dData,0,MATCH($B60&amp;CHAR(10)&amp;"Raw Score",dHdr,0)))/$D60,AVERAGE(INDEX(dData,0,MATCH($B60&amp;CHAR(10)&amp;"Stanine",dHdr,0))),$F60),""))</f>
        <v/>
      </c>
      <c r="H60" s="36" t="str">
        <f>IF(OR($B60="",H$45=""),"",IFERROR(CHOOSE(MATCH(SelMeasure,MeasureList,0),AVERAGEIFS(INDEX(dData,0,MATCH($B60&amp;CHAR(10)&amp;"Raw Score",dHdr,0)),dClass,H$45)/$D60,AVERAGEIFS(INDEX(dData,0,MATCH($B60&amp;CHAR(10)&amp;"Stanine",dHdr,0)),dClass,H$45),(COUNTIFS(dClass,H$45,INDEX(dData,0,MATCH($B60&amp;CHAR(10)&amp;"Raw Score",dHdr,0)),"&gt;=0")+COUNTIFS(dClass,H$45,INDEX(dData,0,MATCH($B60&amp;CHAR(10)&amp;"Raw Score",dHdr,0)),"A"))/COUNTIF(dClass,H$45)),""))</f>
        <v/>
      </c>
      <c r="I60" s="36" t="str">
        <f>IF(OR($B60="",I$45=""),"",IFERROR(CHOOSE(MATCH(SelMeasure,MeasureList,0),AVERAGEIFS(INDEX(dData,0,MATCH($B60&amp;CHAR(10)&amp;"Raw Score",dHdr,0)),dClass,I$45)/$D60,AVERAGEIFS(INDEX(dData,0,MATCH($B60&amp;CHAR(10)&amp;"Stanine",dHdr,0)),dClass,I$45),(COUNTIFS(dClass,I$45,INDEX(dData,0,MATCH($B60&amp;CHAR(10)&amp;"Raw Score",dHdr,0)),"&gt;=0")+COUNTIFS(dClass,I$45,INDEX(dData,0,MATCH($B60&amp;CHAR(10)&amp;"Raw Score",dHdr,0)),"A"))/COUNTIF(dClass,I$45)),""))</f>
        <v/>
      </c>
      <c r="J60" s="36" t="str">
        <f>IF(OR($B60="",J$45=""),"",IFERROR(CHOOSE(MATCH(SelMeasure,MeasureList,0),AVERAGEIFS(INDEX(dData,0,MATCH($B60&amp;CHAR(10)&amp;"Raw Score",dHdr,0)),dClass,J$45)/$D60,AVERAGEIFS(INDEX(dData,0,MATCH($B60&amp;CHAR(10)&amp;"Stanine",dHdr,0)),dClass,J$45),(COUNTIFS(dClass,J$45,INDEX(dData,0,MATCH($B60&amp;CHAR(10)&amp;"Raw Score",dHdr,0)),"&gt;=0")+COUNTIFS(dClass,J$45,INDEX(dData,0,MATCH($B60&amp;CHAR(10)&amp;"Raw Score",dHdr,0)),"A"))/COUNTIF(dClass,J$45)),""))</f>
        <v/>
      </c>
      <c r="K60" s="36" t="str">
        <f>IF(OR($B60="",K$45=""),"",IFERROR(CHOOSE(MATCH(SelMeasure,MeasureList,0),AVERAGEIFS(INDEX(dData,0,MATCH($B60&amp;CHAR(10)&amp;"Raw Score",dHdr,0)),dClass,K$45)/$D60,AVERAGEIFS(INDEX(dData,0,MATCH($B60&amp;CHAR(10)&amp;"Stanine",dHdr,0)),dClass,K$45),(COUNTIFS(dClass,K$45,INDEX(dData,0,MATCH($B60&amp;CHAR(10)&amp;"Raw Score",dHdr,0)),"&gt;=0")+COUNTIFS(dClass,K$45,INDEX(dData,0,MATCH($B60&amp;CHAR(10)&amp;"Raw Score",dHdr,0)),"A"))/COUNTIF(dClass,K$45)),""))</f>
        <v/>
      </c>
      <c r="L60" s="36" t="str">
        <f>IF(OR($B60="",L$45=""),"",IFERROR(CHOOSE(MATCH(SelMeasure,MeasureList,0),AVERAGEIFS(INDEX(dData,0,MATCH($B60&amp;CHAR(10)&amp;"Raw Score",dHdr,0)),dClass,L$45)/$D60,AVERAGEIFS(INDEX(dData,0,MATCH($B60&amp;CHAR(10)&amp;"Stanine",dHdr,0)),dClass,L$45),(COUNTIFS(dClass,L$45,INDEX(dData,0,MATCH($B60&amp;CHAR(10)&amp;"Raw Score",dHdr,0)),"&gt;=0")+COUNTIFS(dClass,L$45,INDEX(dData,0,MATCH($B60&amp;CHAR(10)&amp;"Raw Score",dHdr,0)),"A"))/COUNTIF(dClass,L$45)),""))</f>
        <v/>
      </c>
      <c r="M60" s="36" t="str">
        <f>IF(OR($B60="",M$45=""),"",IFERROR(CHOOSE(MATCH(SelMeasure,MeasureList,0),AVERAGEIFS(INDEX(dData,0,MATCH($B60&amp;CHAR(10)&amp;"Raw Score",dHdr,0)),dClass,M$45)/$D60,AVERAGEIFS(INDEX(dData,0,MATCH($B60&amp;CHAR(10)&amp;"Stanine",dHdr,0)),dClass,M$45),(COUNTIFS(dClass,M$45,INDEX(dData,0,MATCH($B60&amp;CHAR(10)&amp;"Raw Score",dHdr,0)),"&gt;=0")+COUNTIFS(dClass,M$45,INDEX(dData,0,MATCH($B60&amp;CHAR(10)&amp;"Raw Score",dHdr,0)),"A"))/COUNTIF(dClass,M$45)),""))</f>
        <v/>
      </c>
      <c r="N60" s="36" t="str">
        <f>IF(OR($B60="",N$45=""),"",IFERROR(CHOOSE(MATCH(SelMeasure,MeasureList,0),AVERAGEIFS(INDEX(dData,0,MATCH($B60&amp;CHAR(10)&amp;"Raw Score",dHdr,0)),dClass,N$45)/$D60,AVERAGEIFS(INDEX(dData,0,MATCH($B60&amp;CHAR(10)&amp;"Stanine",dHdr,0)),dClass,N$45),(COUNTIFS(dClass,N$45,INDEX(dData,0,MATCH($B60&amp;CHAR(10)&amp;"Raw Score",dHdr,0)),"&gt;=0")+COUNTIFS(dClass,N$45,INDEX(dData,0,MATCH($B60&amp;CHAR(10)&amp;"Raw Score",dHdr,0)),"A"))/COUNTIF(dClass,N$45)),""))</f>
        <v/>
      </c>
      <c r="O60" s="36" t="str">
        <f>IF(OR($B60="",O$45=""),"",IFERROR(CHOOSE(MATCH(SelMeasure,MeasureList,0),AVERAGEIFS(INDEX(dData,0,MATCH($B60&amp;CHAR(10)&amp;"Raw Score",dHdr,0)),dClass,O$45)/$D60,AVERAGEIFS(INDEX(dData,0,MATCH($B60&amp;CHAR(10)&amp;"Stanine",dHdr,0)),dClass,O$45),(COUNTIFS(dClass,O$45,INDEX(dData,0,MATCH($B60&amp;CHAR(10)&amp;"Raw Score",dHdr,0)),"&gt;=0")+COUNTIFS(dClass,O$45,INDEX(dData,0,MATCH($B60&amp;CHAR(10)&amp;"Raw Score",dHdr,0)),"A"))/COUNTIF(dClass,O$45)),""))</f>
        <v/>
      </c>
    </row>
    <row r="61">
      <c r="B61" s="31" t="str">
        <f>Calc!AA18</f>
        <v/>
      </c>
      <c r="C61" s="57" t="str">
        <f>Calc!AC18</f>
        <v/>
      </c>
      <c r="D61" s="33" t="str">
        <f>Calc!AB18</f>
        <v/>
      </c>
      <c r="E61" s="33" t="str">
        <f>IF($B61="","",IFERROR(COUNT(INDEX(dData,0,MATCH($B61&amp;CHAR(10)&amp;"Raw Score",dHdr,0))),""))</f>
        <v/>
      </c>
      <c r="F61" s="36" t="str">
        <f>IF($B61="","",IFERROR(($E61+COUNTIF(INDEX(dData,0,MATCH($B61&amp;CHAR(10)&amp;"Raw Score",dHdr,0)),"A"))/COUNTA(dLast),""))</f>
        <v/>
      </c>
      <c r="G61" s="58" t="str">
        <f>IF($B61="","",IFERROR(CHOOSE(MATCH(SelMeasure,MeasureList,0),AVERAGE(INDEX(dData,0,MATCH($B61&amp;CHAR(10)&amp;"Raw Score",dHdr,0)))/$D61,AVERAGE(INDEX(dData,0,MATCH($B61&amp;CHAR(10)&amp;"Stanine",dHdr,0))),$F61),""))</f>
        <v/>
      </c>
      <c r="H61" s="36" t="str">
        <f>IF(OR($B61="",H$45=""),"",IFERROR(CHOOSE(MATCH(SelMeasure,MeasureList,0),AVERAGEIFS(INDEX(dData,0,MATCH($B61&amp;CHAR(10)&amp;"Raw Score",dHdr,0)),dClass,H$45)/$D61,AVERAGEIFS(INDEX(dData,0,MATCH($B61&amp;CHAR(10)&amp;"Stanine",dHdr,0)),dClass,H$45),(COUNTIFS(dClass,H$45,INDEX(dData,0,MATCH($B61&amp;CHAR(10)&amp;"Raw Score",dHdr,0)),"&gt;=0")+COUNTIFS(dClass,H$45,INDEX(dData,0,MATCH($B61&amp;CHAR(10)&amp;"Raw Score",dHdr,0)),"A"))/COUNTIF(dClass,H$45)),""))</f>
        <v/>
      </c>
      <c r="I61" s="36" t="str">
        <f>IF(OR($B61="",I$45=""),"",IFERROR(CHOOSE(MATCH(SelMeasure,MeasureList,0),AVERAGEIFS(INDEX(dData,0,MATCH($B61&amp;CHAR(10)&amp;"Raw Score",dHdr,0)),dClass,I$45)/$D61,AVERAGEIFS(INDEX(dData,0,MATCH($B61&amp;CHAR(10)&amp;"Stanine",dHdr,0)),dClass,I$45),(COUNTIFS(dClass,I$45,INDEX(dData,0,MATCH($B61&amp;CHAR(10)&amp;"Raw Score",dHdr,0)),"&gt;=0")+COUNTIFS(dClass,I$45,INDEX(dData,0,MATCH($B61&amp;CHAR(10)&amp;"Raw Score",dHdr,0)),"A"))/COUNTIF(dClass,I$45)),""))</f>
        <v/>
      </c>
      <c r="J61" s="36" t="str">
        <f>IF(OR($B61="",J$45=""),"",IFERROR(CHOOSE(MATCH(SelMeasure,MeasureList,0),AVERAGEIFS(INDEX(dData,0,MATCH($B61&amp;CHAR(10)&amp;"Raw Score",dHdr,0)),dClass,J$45)/$D61,AVERAGEIFS(INDEX(dData,0,MATCH($B61&amp;CHAR(10)&amp;"Stanine",dHdr,0)),dClass,J$45),(COUNTIFS(dClass,J$45,INDEX(dData,0,MATCH($B61&amp;CHAR(10)&amp;"Raw Score",dHdr,0)),"&gt;=0")+COUNTIFS(dClass,J$45,INDEX(dData,0,MATCH($B61&amp;CHAR(10)&amp;"Raw Score",dHdr,0)),"A"))/COUNTIF(dClass,J$45)),""))</f>
        <v/>
      </c>
      <c r="K61" s="36" t="str">
        <f>IF(OR($B61="",K$45=""),"",IFERROR(CHOOSE(MATCH(SelMeasure,MeasureList,0),AVERAGEIFS(INDEX(dData,0,MATCH($B61&amp;CHAR(10)&amp;"Raw Score",dHdr,0)),dClass,K$45)/$D61,AVERAGEIFS(INDEX(dData,0,MATCH($B61&amp;CHAR(10)&amp;"Stanine",dHdr,0)),dClass,K$45),(COUNTIFS(dClass,K$45,INDEX(dData,0,MATCH($B61&amp;CHAR(10)&amp;"Raw Score",dHdr,0)),"&gt;=0")+COUNTIFS(dClass,K$45,INDEX(dData,0,MATCH($B61&amp;CHAR(10)&amp;"Raw Score",dHdr,0)),"A"))/COUNTIF(dClass,K$45)),""))</f>
        <v/>
      </c>
      <c r="L61" s="36" t="str">
        <f>IF(OR($B61="",L$45=""),"",IFERROR(CHOOSE(MATCH(SelMeasure,MeasureList,0),AVERAGEIFS(INDEX(dData,0,MATCH($B61&amp;CHAR(10)&amp;"Raw Score",dHdr,0)),dClass,L$45)/$D61,AVERAGEIFS(INDEX(dData,0,MATCH($B61&amp;CHAR(10)&amp;"Stanine",dHdr,0)),dClass,L$45),(COUNTIFS(dClass,L$45,INDEX(dData,0,MATCH($B61&amp;CHAR(10)&amp;"Raw Score",dHdr,0)),"&gt;=0")+COUNTIFS(dClass,L$45,INDEX(dData,0,MATCH($B61&amp;CHAR(10)&amp;"Raw Score",dHdr,0)),"A"))/COUNTIF(dClass,L$45)),""))</f>
        <v/>
      </c>
      <c r="M61" s="36" t="str">
        <f>IF(OR($B61="",M$45=""),"",IFERROR(CHOOSE(MATCH(SelMeasure,MeasureList,0),AVERAGEIFS(INDEX(dData,0,MATCH($B61&amp;CHAR(10)&amp;"Raw Score",dHdr,0)),dClass,M$45)/$D61,AVERAGEIFS(INDEX(dData,0,MATCH($B61&amp;CHAR(10)&amp;"Stanine",dHdr,0)),dClass,M$45),(COUNTIFS(dClass,M$45,INDEX(dData,0,MATCH($B61&amp;CHAR(10)&amp;"Raw Score",dHdr,0)),"&gt;=0")+COUNTIFS(dClass,M$45,INDEX(dData,0,MATCH($B61&amp;CHAR(10)&amp;"Raw Score",dHdr,0)),"A"))/COUNTIF(dClass,M$45)),""))</f>
        <v/>
      </c>
      <c r="N61" s="36" t="str">
        <f>IF(OR($B61="",N$45=""),"",IFERROR(CHOOSE(MATCH(SelMeasure,MeasureList,0),AVERAGEIFS(INDEX(dData,0,MATCH($B61&amp;CHAR(10)&amp;"Raw Score",dHdr,0)),dClass,N$45)/$D61,AVERAGEIFS(INDEX(dData,0,MATCH($B61&amp;CHAR(10)&amp;"Stanine",dHdr,0)),dClass,N$45),(COUNTIFS(dClass,N$45,INDEX(dData,0,MATCH($B61&amp;CHAR(10)&amp;"Raw Score",dHdr,0)),"&gt;=0")+COUNTIFS(dClass,N$45,INDEX(dData,0,MATCH($B61&amp;CHAR(10)&amp;"Raw Score",dHdr,0)),"A"))/COUNTIF(dClass,N$45)),""))</f>
        <v/>
      </c>
      <c r="O61" s="36" t="str">
        <f>IF(OR($B61="",O$45=""),"",IFERROR(CHOOSE(MATCH(SelMeasure,MeasureList,0),AVERAGEIFS(INDEX(dData,0,MATCH($B61&amp;CHAR(10)&amp;"Raw Score",dHdr,0)),dClass,O$45)/$D61,AVERAGEIFS(INDEX(dData,0,MATCH($B61&amp;CHAR(10)&amp;"Stanine",dHdr,0)),dClass,O$45),(COUNTIFS(dClass,O$45,INDEX(dData,0,MATCH($B61&amp;CHAR(10)&amp;"Raw Score",dHdr,0)),"&gt;=0")+COUNTIFS(dClass,O$45,INDEX(dData,0,MATCH($B61&amp;CHAR(10)&amp;"Raw Score",dHdr,0)),"A"))/COUNTIF(dClass,O$45)),""))</f>
        <v/>
      </c>
    </row>
    <row r="62">
      <c r="B62" s="31" t="str">
        <f>Calc!AA19</f>
        <v/>
      </c>
      <c r="C62" s="57" t="str">
        <f>Calc!AC19</f>
        <v/>
      </c>
      <c r="D62" s="33" t="str">
        <f>Calc!AB19</f>
        <v/>
      </c>
      <c r="E62" s="33" t="str">
        <f>IF($B62="","",IFERROR(COUNT(INDEX(dData,0,MATCH($B62&amp;CHAR(10)&amp;"Raw Score",dHdr,0))),""))</f>
        <v/>
      </c>
      <c r="F62" s="36" t="str">
        <f>IF($B62="","",IFERROR(($E62+COUNTIF(INDEX(dData,0,MATCH($B62&amp;CHAR(10)&amp;"Raw Score",dHdr,0)),"A"))/COUNTA(dLast),""))</f>
        <v/>
      </c>
      <c r="G62" s="58" t="str">
        <f>IF($B62="","",IFERROR(CHOOSE(MATCH(SelMeasure,MeasureList,0),AVERAGE(INDEX(dData,0,MATCH($B62&amp;CHAR(10)&amp;"Raw Score",dHdr,0)))/$D62,AVERAGE(INDEX(dData,0,MATCH($B62&amp;CHAR(10)&amp;"Stanine",dHdr,0))),$F62),""))</f>
        <v/>
      </c>
      <c r="H62" s="36" t="str">
        <f>IF(OR($B62="",H$45=""),"",IFERROR(CHOOSE(MATCH(SelMeasure,MeasureList,0),AVERAGEIFS(INDEX(dData,0,MATCH($B62&amp;CHAR(10)&amp;"Raw Score",dHdr,0)),dClass,H$45)/$D62,AVERAGEIFS(INDEX(dData,0,MATCH($B62&amp;CHAR(10)&amp;"Stanine",dHdr,0)),dClass,H$45),(COUNTIFS(dClass,H$45,INDEX(dData,0,MATCH($B62&amp;CHAR(10)&amp;"Raw Score",dHdr,0)),"&gt;=0")+COUNTIFS(dClass,H$45,INDEX(dData,0,MATCH($B62&amp;CHAR(10)&amp;"Raw Score",dHdr,0)),"A"))/COUNTIF(dClass,H$45)),""))</f>
        <v/>
      </c>
      <c r="I62" s="36" t="str">
        <f>IF(OR($B62="",I$45=""),"",IFERROR(CHOOSE(MATCH(SelMeasure,MeasureList,0),AVERAGEIFS(INDEX(dData,0,MATCH($B62&amp;CHAR(10)&amp;"Raw Score",dHdr,0)),dClass,I$45)/$D62,AVERAGEIFS(INDEX(dData,0,MATCH($B62&amp;CHAR(10)&amp;"Stanine",dHdr,0)),dClass,I$45),(COUNTIFS(dClass,I$45,INDEX(dData,0,MATCH($B62&amp;CHAR(10)&amp;"Raw Score",dHdr,0)),"&gt;=0")+COUNTIFS(dClass,I$45,INDEX(dData,0,MATCH($B62&amp;CHAR(10)&amp;"Raw Score",dHdr,0)),"A"))/COUNTIF(dClass,I$45)),""))</f>
        <v/>
      </c>
      <c r="J62" s="36" t="str">
        <f>IF(OR($B62="",J$45=""),"",IFERROR(CHOOSE(MATCH(SelMeasure,MeasureList,0),AVERAGEIFS(INDEX(dData,0,MATCH($B62&amp;CHAR(10)&amp;"Raw Score",dHdr,0)),dClass,J$45)/$D62,AVERAGEIFS(INDEX(dData,0,MATCH($B62&amp;CHAR(10)&amp;"Stanine",dHdr,0)),dClass,J$45),(COUNTIFS(dClass,J$45,INDEX(dData,0,MATCH($B62&amp;CHAR(10)&amp;"Raw Score",dHdr,0)),"&gt;=0")+COUNTIFS(dClass,J$45,INDEX(dData,0,MATCH($B62&amp;CHAR(10)&amp;"Raw Score",dHdr,0)),"A"))/COUNTIF(dClass,J$45)),""))</f>
        <v/>
      </c>
      <c r="K62" s="36" t="str">
        <f>IF(OR($B62="",K$45=""),"",IFERROR(CHOOSE(MATCH(SelMeasure,MeasureList,0),AVERAGEIFS(INDEX(dData,0,MATCH($B62&amp;CHAR(10)&amp;"Raw Score",dHdr,0)),dClass,K$45)/$D62,AVERAGEIFS(INDEX(dData,0,MATCH($B62&amp;CHAR(10)&amp;"Stanine",dHdr,0)),dClass,K$45),(COUNTIFS(dClass,K$45,INDEX(dData,0,MATCH($B62&amp;CHAR(10)&amp;"Raw Score",dHdr,0)),"&gt;=0")+COUNTIFS(dClass,K$45,INDEX(dData,0,MATCH($B62&amp;CHAR(10)&amp;"Raw Score",dHdr,0)),"A"))/COUNTIF(dClass,K$45)),""))</f>
        <v/>
      </c>
      <c r="L62" s="36" t="str">
        <f>IF(OR($B62="",L$45=""),"",IFERROR(CHOOSE(MATCH(SelMeasure,MeasureList,0),AVERAGEIFS(INDEX(dData,0,MATCH($B62&amp;CHAR(10)&amp;"Raw Score",dHdr,0)),dClass,L$45)/$D62,AVERAGEIFS(INDEX(dData,0,MATCH($B62&amp;CHAR(10)&amp;"Stanine",dHdr,0)),dClass,L$45),(COUNTIFS(dClass,L$45,INDEX(dData,0,MATCH($B62&amp;CHAR(10)&amp;"Raw Score",dHdr,0)),"&gt;=0")+COUNTIFS(dClass,L$45,INDEX(dData,0,MATCH($B62&amp;CHAR(10)&amp;"Raw Score",dHdr,0)),"A"))/COUNTIF(dClass,L$45)),""))</f>
        <v/>
      </c>
      <c r="M62" s="36" t="str">
        <f>IF(OR($B62="",M$45=""),"",IFERROR(CHOOSE(MATCH(SelMeasure,MeasureList,0),AVERAGEIFS(INDEX(dData,0,MATCH($B62&amp;CHAR(10)&amp;"Raw Score",dHdr,0)),dClass,M$45)/$D62,AVERAGEIFS(INDEX(dData,0,MATCH($B62&amp;CHAR(10)&amp;"Stanine",dHdr,0)),dClass,M$45),(COUNTIFS(dClass,M$45,INDEX(dData,0,MATCH($B62&amp;CHAR(10)&amp;"Raw Score",dHdr,0)),"&gt;=0")+COUNTIFS(dClass,M$45,INDEX(dData,0,MATCH($B62&amp;CHAR(10)&amp;"Raw Score",dHdr,0)),"A"))/COUNTIF(dClass,M$45)),""))</f>
        <v/>
      </c>
      <c r="N62" s="36" t="str">
        <f>IF(OR($B62="",N$45=""),"",IFERROR(CHOOSE(MATCH(SelMeasure,MeasureList,0),AVERAGEIFS(INDEX(dData,0,MATCH($B62&amp;CHAR(10)&amp;"Raw Score",dHdr,0)),dClass,N$45)/$D62,AVERAGEIFS(INDEX(dData,0,MATCH($B62&amp;CHAR(10)&amp;"Stanine",dHdr,0)),dClass,N$45),(COUNTIFS(dClass,N$45,INDEX(dData,0,MATCH($B62&amp;CHAR(10)&amp;"Raw Score",dHdr,0)),"&gt;=0")+COUNTIFS(dClass,N$45,INDEX(dData,0,MATCH($B62&amp;CHAR(10)&amp;"Raw Score",dHdr,0)),"A"))/COUNTIF(dClass,N$45)),""))</f>
        <v/>
      </c>
      <c r="O62" s="36" t="str">
        <f>IF(OR($B62="",O$45=""),"",IFERROR(CHOOSE(MATCH(SelMeasure,MeasureList,0),AVERAGEIFS(INDEX(dData,0,MATCH($B62&amp;CHAR(10)&amp;"Raw Score",dHdr,0)),dClass,O$45)/$D62,AVERAGEIFS(INDEX(dData,0,MATCH($B62&amp;CHAR(10)&amp;"Stanine",dHdr,0)),dClass,O$45),(COUNTIFS(dClass,O$45,INDEX(dData,0,MATCH($B62&amp;CHAR(10)&amp;"Raw Score",dHdr,0)),"&gt;=0")+COUNTIFS(dClass,O$45,INDEX(dData,0,MATCH($B62&amp;CHAR(10)&amp;"Raw Score",dHdr,0)),"A"))/COUNTIF(dClass,O$45)),""))</f>
        <v/>
      </c>
    </row>
    <row r="63">
      <c r="B63" s="31" t="str">
        <f>Calc!AA20</f>
        <v/>
      </c>
      <c r="C63" s="57" t="str">
        <f>Calc!AC20</f>
        <v/>
      </c>
      <c r="D63" s="33" t="str">
        <f>Calc!AB20</f>
        <v/>
      </c>
      <c r="E63" s="33" t="str">
        <f>IF($B63="","",IFERROR(COUNT(INDEX(dData,0,MATCH($B63&amp;CHAR(10)&amp;"Raw Score",dHdr,0))),""))</f>
        <v/>
      </c>
      <c r="F63" s="36" t="str">
        <f>IF($B63="","",IFERROR(($E63+COUNTIF(INDEX(dData,0,MATCH($B63&amp;CHAR(10)&amp;"Raw Score",dHdr,0)),"A"))/COUNTA(dLast),""))</f>
        <v/>
      </c>
      <c r="G63" s="58" t="str">
        <f>IF($B63="","",IFERROR(CHOOSE(MATCH(SelMeasure,MeasureList,0),AVERAGE(INDEX(dData,0,MATCH($B63&amp;CHAR(10)&amp;"Raw Score",dHdr,0)))/$D63,AVERAGE(INDEX(dData,0,MATCH($B63&amp;CHAR(10)&amp;"Stanine",dHdr,0))),$F63),""))</f>
        <v/>
      </c>
      <c r="H63" s="36" t="str">
        <f>IF(OR($B63="",H$45=""),"",IFERROR(CHOOSE(MATCH(SelMeasure,MeasureList,0),AVERAGEIFS(INDEX(dData,0,MATCH($B63&amp;CHAR(10)&amp;"Raw Score",dHdr,0)),dClass,H$45)/$D63,AVERAGEIFS(INDEX(dData,0,MATCH($B63&amp;CHAR(10)&amp;"Stanine",dHdr,0)),dClass,H$45),(COUNTIFS(dClass,H$45,INDEX(dData,0,MATCH($B63&amp;CHAR(10)&amp;"Raw Score",dHdr,0)),"&gt;=0")+COUNTIFS(dClass,H$45,INDEX(dData,0,MATCH($B63&amp;CHAR(10)&amp;"Raw Score",dHdr,0)),"A"))/COUNTIF(dClass,H$45)),""))</f>
        <v/>
      </c>
      <c r="I63" s="36" t="str">
        <f>IF(OR($B63="",I$45=""),"",IFERROR(CHOOSE(MATCH(SelMeasure,MeasureList,0),AVERAGEIFS(INDEX(dData,0,MATCH($B63&amp;CHAR(10)&amp;"Raw Score",dHdr,0)),dClass,I$45)/$D63,AVERAGEIFS(INDEX(dData,0,MATCH($B63&amp;CHAR(10)&amp;"Stanine",dHdr,0)),dClass,I$45),(COUNTIFS(dClass,I$45,INDEX(dData,0,MATCH($B63&amp;CHAR(10)&amp;"Raw Score",dHdr,0)),"&gt;=0")+COUNTIFS(dClass,I$45,INDEX(dData,0,MATCH($B63&amp;CHAR(10)&amp;"Raw Score",dHdr,0)),"A"))/COUNTIF(dClass,I$45)),""))</f>
        <v/>
      </c>
      <c r="J63" s="36" t="str">
        <f>IF(OR($B63="",J$45=""),"",IFERROR(CHOOSE(MATCH(SelMeasure,MeasureList,0),AVERAGEIFS(INDEX(dData,0,MATCH($B63&amp;CHAR(10)&amp;"Raw Score",dHdr,0)),dClass,J$45)/$D63,AVERAGEIFS(INDEX(dData,0,MATCH($B63&amp;CHAR(10)&amp;"Stanine",dHdr,0)),dClass,J$45),(COUNTIFS(dClass,J$45,INDEX(dData,0,MATCH($B63&amp;CHAR(10)&amp;"Raw Score",dHdr,0)),"&gt;=0")+COUNTIFS(dClass,J$45,INDEX(dData,0,MATCH($B63&amp;CHAR(10)&amp;"Raw Score",dHdr,0)),"A"))/COUNTIF(dClass,J$45)),""))</f>
        <v/>
      </c>
      <c r="K63" s="36" t="str">
        <f>IF(OR($B63="",K$45=""),"",IFERROR(CHOOSE(MATCH(SelMeasure,MeasureList,0),AVERAGEIFS(INDEX(dData,0,MATCH($B63&amp;CHAR(10)&amp;"Raw Score",dHdr,0)),dClass,K$45)/$D63,AVERAGEIFS(INDEX(dData,0,MATCH($B63&amp;CHAR(10)&amp;"Stanine",dHdr,0)),dClass,K$45),(COUNTIFS(dClass,K$45,INDEX(dData,0,MATCH($B63&amp;CHAR(10)&amp;"Raw Score",dHdr,0)),"&gt;=0")+COUNTIFS(dClass,K$45,INDEX(dData,0,MATCH($B63&amp;CHAR(10)&amp;"Raw Score",dHdr,0)),"A"))/COUNTIF(dClass,K$45)),""))</f>
        <v/>
      </c>
      <c r="L63" s="36" t="str">
        <f>IF(OR($B63="",L$45=""),"",IFERROR(CHOOSE(MATCH(SelMeasure,MeasureList,0),AVERAGEIFS(INDEX(dData,0,MATCH($B63&amp;CHAR(10)&amp;"Raw Score",dHdr,0)),dClass,L$45)/$D63,AVERAGEIFS(INDEX(dData,0,MATCH($B63&amp;CHAR(10)&amp;"Stanine",dHdr,0)),dClass,L$45),(COUNTIFS(dClass,L$45,INDEX(dData,0,MATCH($B63&amp;CHAR(10)&amp;"Raw Score",dHdr,0)),"&gt;=0")+COUNTIFS(dClass,L$45,INDEX(dData,0,MATCH($B63&amp;CHAR(10)&amp;"Raw Score",dHdr,0)),"A"))/COUNTIF(dClass,L$45)),""))</f>
        <v/>
      </c>
      <c r="M63" s="36" t="str">
        <f>IF(OR($B63="",M$45=""),"",IFERROR(CHOOSE(MATCH(SelMeasure,MeasureList,0),AVERAGEIFS(INDEX(dData,0,MATCH($B63&amp;CHAR(10)&amp;"Raw Score",dHdr,0)),dClass,M$45)/$D63,AVERAGEIFS(INDEX(dData,0,MATCH($B63&amp;CHAR(10)&amp;"Stanine",dHdr,0)),dClass,M$45),(COUNTIFS(dClass,M$45,INDEX(dData,0,MATCH($B63&amp;CHAR(10)&amp;"Raw Score",dHdr,0)),"&gt;=0")+COUNTIFS(dClass,M$45,INDEX(dData,0,MATCH($B63&amp;CHAR(10)&amp;"Raw Score",dHdr,0)),"A"))/COUNTIF(dClass,M$45)),""))</f>
        <v/>
      </c>
      <c r="N63" s="36" t="str">
        <f>IF(OR($B63="",N$45=""),"",IFERROR(CHOOSE(MATCH(SelMeasure,MeasureList,0),AVERAGEIFS(INDEX(dData,0,MATCH($B63&amp;CHAR(10)&amp;"Raw Score",dHdr,0)),dClass,N$45)/$D63,AVERAGEIFS(INDEX(dData,0,MATCH($B63&amp;CHAR(10)&amp;"Stanine",dHdr,0)),dClass,N$45),(COUNTIFS(dClass,N$45,INDEX(dData,0,MATCH($B63&amp;CHAR(10)&amp;"Raw Score",dHdr,0)),"&gt;=0")+COUNTIFS(dClass,N$45,INDEX(dData,0,MATCH($B63&amp;CHAR(10)&amp;"Raw Score",dHdr,0)),"A"))/COUNTIF(dClass,N$45)),""))</f>
        <v/>
      </c>
      <c r="O63" s="36" t="str">
        <f>IF(OR($B63="",O$45=""),"",IFERROR(CHOOSE(MATCH(SelMeasure,MeasureList,0),AVERAGEIFS(INDEX(dData,0,MATCH($B63&amp;CHAR(10)&amp;"Raw Score",dHdr,0)),dClass,O$45)/$D63,AVERAGEIFS(INDEX(dData,0,MATCH($B63&amp;CHAR(10)&amp;"Stanine",dHdr,0)),dClass,O$45),(COUNTIFS(dClass,O$45,INDEX(dData,0,MATCH($B63&amp;CHAR(10)&amp;"Raw Score",dHdr,0)),"&gt;=0")+COUNTIFS(dClass,O$45,INDEX(dData,0,MATCH($B63&amp;CHAR(10)&amp;"Raw Score",dHdr,0)),"A"))/COUNTIF(dClass,O$45)),""))</f>
        <v/>
      </c>
    </row>
    <row r="64">
      <c r="B64" s="31" t="str">
        <f>Calc!AA21</f>
        <v/>
      </c>
      <c r="C64" s="57" t="str">
        <f>Calc!AC21</f>
        <v/>
      </c>
      <c r="D64" s="33" t="str">
        <f>Calc!AB21</f>
        <v/>
      </c>
      <c r="E64" s="33" t="str">
        <f>IF($B64="","",IFERROR(COUNT(INDEX(dData,0,MATCH($B64&amp;CHAR(10)&amp;"Raw Score",dHdr,0))),""))</f>
        <v/>
      </c>
      <c r="F64" s="36" t="str">
        <f>IF($B64="","",IFERROR(($E64+COUNTIF(INDEX(dData,0,MATCH($B64&amp;CHAR(10)&amp;"Raw Score",dHdr,0)),"A"))/COUNTA(dLast),""))</f>
        <v/>
      </c>
      <c r="G64" s="58" t="str">
        <f>IF($B64="","",IFERROR(CHOOSE(MATCH(SelMeasure,MeasureList,0),AVERAGE(INDEX(dData,0,MATCH($B64&amp;CHAR(10)&amp;"Raw Score",dHdr,0)))/$D64,AVERAGE(INDEX(dData,0,MATCH($B64&amp;CHAR(10)&amp;"Stanine",dHdr,0))),$F64),""))</f>
        <v/>
      </c>
      <c r="H64" s="36" t="str">
        <f>IF(OR($B64="",H$45=""),"",IFERROR(CHOOSE(MATCH(SelMeasure,MeasureList,0),AVERAGEIFS(INDEX(dData,0,MATCH($B64&amp;CHAR(10)&amp;"Raw Score",dHdr,0)),dClass,H$45)/$D64,AVERAGEIFS(INDEX(dData,0,MATCH($B64&amp;CHAR(10)&amp;"Stanine",dHdr,0)),dClass,H$45),(COUNTIFS(dClass,H$45,INDEX(dData,0,MATCH($B64&amp;CHAR(10)&amp;"Raw Score",dHdr,0)),"&gt;=0")+COUNTIFS(dClass,H$45,INDEX(dData,0,MATCH($B64&amp;CHAR(10)&amp;"Raw Score",dHdr,0)),"A"))/COUNTIF(dClass,H$45)),""))</f>
        <v/>
      </c>
      <c r="I64" s="36" t="str">
        <f>IF(OR($B64="",I$45=""),"",IFERROR(CHOOSE(MATCH(SelMeasure,MeasureList,0),AVERAGEIFS(INDEX(dData,0,MATCH($B64&amp;CHAR(10)&amp;"Raw Score",dHdr,0)),dClass,I$45)/$D64,AVERAGEIFS(INDEX(dData,0,MATCH($B64&amp;CHAR(10)&amp;"Stanine",dHdr,0)),dClass,I$45),(COUNTIFS(dClass,I$45,INDEX(dData,0,MATCH($B64&amp;CHAR(10)&amp;"Raw Score",dHdr,0)),"&gt;=0")+COUNTIFS(dClass,I$45,INDEX(dData,0,MATCH($B64&amp;CHAR(10)&amp;"Raw Score",dHdr,0)),"A"))/COUNTIF(dClass,I$45)),""))</f>
        <v/>
      </c>
      <c r="J64" s="36" t="str">
        <f>IF(OR($B64="",J$45=""),"",IFERROR(CHOOSE(MATCH(SelMeasure,MeasureList,0),AVERAGEIFS(INDEX(dData,0,MATCH($B64&amp;CHAR(10)&amp;"Raw Score",dHdr,0)),dClass,J$45)/$D64,AVERAGEIFS(INDEX(dData,0,MATCH($B64&amp;CHAR(10)&amp;"Stanine",dHdr,0)),dClass,J$45),(COUNTIFS(dClass,J$45,INDEX(dData,0,MATCH($B64&amp;CHAR(10)&amp;"Raw Score",dHdr,0)),"&gt;=0")+COUNTIFS(dClass,J$45,INDEX(dData,0,MATCH($B64&amp;CHAR(10)&amp;"Raw Score",dHdr,0)),"A"))/COUNTIF(dClass,J$45)),""))</f>
        <v/>
      </c>
      <c r="K64" s="36" t="str">
        <f>IF(OR($B64="",K$45=""),"",IFERROR(CHOOSE(MATCH(SelMeasure,MeasureList,0),AVERAGEIFS(INDEX(dData,0,MATCH($B64&amp;CHAR(10)&amp;"Raw Score",dHdr,0)),dClass,K$45)/$D64,AVERAGEIFS(INDEX(dData,0,MATCH($B64&amp;CHAR(10)&amp;"Stanine",dHdr,0)),dClass,K$45),(COUNTIFS(dClass,K$45,INDEX(dData,0,MATCH($B64&amp;CHAR(10)&amp;"Raw Score",dHdr,0)),"&gt;=0")+COUNTIFS(dClass,K$45,INDEX(dData,0,MATCH($B64&amp;CHAR(10)&amp;"Raw Score",dHdr,0)),"A"))/COUNTIF(dClass,K$45)),""))</f>
        <v/>
      </c>
      <c r="L64" s="36" t="str">
        <f>IF(OR($B64="",L$45=""),"",IFERROR(CHOOSE(MATCH(SelMeasure,MeasureList,0),AVERAGEIFS(INDEX(dData,0,MATCH($B64&amp;CHAR(10)&amp;"Raw Score",dHdr,0)),dClass,L$45)/$D64,AVERAGEIFS(INDEX(dData,0,MATCH($B64&amp;CHAR(10)&amp;"Stanine",dHdr,0)),dClass,L$45),(COUNTIFS(dClass,L$45,INDEX(dData,0,MATCH($B64&amp;CHAR(10)&amp;"Raw Score",dHdr,0)),"&gt;=0")+COUNTIFS(dClass,L$45,INDEX(dData,0,MATCH($B64&amp;CHAR(10)&amp;"Raw Score",dHdr,0)),"A"))/COUNTIF(dClass,L$45)),""))</f>
        <v/>
      </c>
      <c r="M64" s="36" t="str">
        <f>IF(OR($B64="",M$45=""),"",IFERROR(CHOOSE(MATCH(SelMeasure,MeasureList,0),AVERAGEIFS(INDEX(dData,0,MATCH($B64&amp;CHAR(10)&amp;"Raw Score",dHdr,0)),dClass,M$45)/$D64,AVERAGEIFS(INDEX(dData,0,MATCH($B64&amp;CHAR(10)&amp;"Stanine",dHdr,0)),dClass,M$45),(COUNTIFS(dClass,M$45,INDEX(dData,0,MATCH($B64&amp;CHAR(10)&amp;"Raw Score",dHdr,0)),"&gt;=0")+COUNTIFS(dClass,M$45,INDEX(dData,0,MATCH($B64&amp;CHAR(10)&amp;"Raw Score",dHdr,0)),"A"))/COUNTIF(dClass,M$45)),""))</f>
        <v/>
      </c>
      <c r="N64" s="36" t="str">
        <f>IF(OR($B64="",N$45=""),"",IFERROR(CHOOSE(MATCH(SelMeasure,MeasureList,0),AVERAGEIFS(INDEX(dData,0,MATCH($B64&amp;CHAR(10)&amp;"Raw Score",dHdr,0)),dClass,N$45)/$D64,AVERAGEIFS(INDEX(dData,0,MATCH($B64&amp;CHAR(10)&amp;"Stanine",dHdr,0)),dClass,N$45),(COUNTIFS(dClass,N$45,INDEX(dData,0,MATCH($B64&amp;CHAR(10)&amp;"Raw Score",dHdr,0)),"&gt;=0")+COUNTIFS(dClass,N$45,INDEX(dData,0,MATCH($B64&amp;CHAR(10)&amp;"Raw Score",dHdr,0)),"A"))/COUNTIF(dClass,N$45)),""))</f>
        <v/>
      </c>
      <c r="O64" s="36" t="str">
        <f>IF(OR($B64="",O$45=""),"",IFERROR(CHOOSE(MATCH(SelMeasure,MeasureList,0),AVERAGEIFS(INDEX(dData,0,MATCH($B64&amp;CHAR(10)&amp;"Raw Score",dHdr,0)),dClass,O$45)/$D64,AVERAGEIFS(INDEX(dData,0,MATCH($B64&amp;CHAR(10)&amp;"Stanine",dHdr,0)),dClass,O$45),(COUNTIFS(dClass,O$45,INDEX(dData,0,MATCH($B64&amp;CHAR(10)&amp;"Raw Score",dHdr,0)),"&gt;=0")+COUNTIFS(dClass,O$45,INDEX(dData,0,MATCH($B64&amp;CHAR(10)&amp;"Raw Score",dHdr,0)),"A"))/COUNTIF(dClass,O$45)),""))</f>
        <v/>
      </c>
    </row>
    <row r="65">
      <c r="B65" s="31" t="str">
        <f>Calc!AA22</f>
        <v/>
      </c>
      <c r="C65" s="57" t="str">
        <f>Calc!AC22</f>
        <v/>
      </c>
      <c r="D65" s="33" t="str">
        <f>Calc!AB22</f>
        <v/>
      </c>
      <c r="E65" s="33" t="str">
        <f>IF($B65="","",IFERROR(COUNT(INDEX(dData,0,MATCH($B65&amp;CHAR(10)&amp;"Raw Score",dHdr,0))),""))</f>
        <v/>
      </c>
      <c r="F65" s="36" t="str">
        <f>IF($B65="","",IFERROR(($E65+COUNTIF(INDEX(dData,0,MATCH($B65&amp;CHAR(10)&amp;"Raw Score",dHdr,0)),"A"))/COUNTA(dLast),""))</f>
        <v/>
      </c>
      <c r="G65" s="58" t="str">
        <f>IF($B65="","",IFERROR(CHOOSE(MATCH(SelMeasure,MeasureList,0),AVERAGE(INDEX(dData,0,MATCH($B65&amp;CHAR(10)&amp;"Raw Score",dHdr,0)))/$D65,AVERAGE(INDEX(dData,0,MATCH($B65&amp;CHAR(10)&amp;"Stanine",dHdr,0))),$F65),""))</f>
        <v/>
      </c>
      <c r="H65" s="36" t="str">
        <f>IF(OR($B65="",H$45=""),"",IFERROR(CHOOSE(MATCH(SelMeasure,MeasureList,0),AVERAGEIFS(INDEX(dData,0,MATCH($B65&amp;CHAR(10)&amp;"Raw Score",dHdr,0)),dClass,H$45)/$D65,AVERAGEIFS(INDEX(dData,0,MATCH($B65&amp;CHAR(10)&amp;"Stanine",dHdr,0)),dClass,H$45),(COUNTIFS(dClass,H$45,INDEX(dData,0,MATCH($B65&amp;CHAR(10)&amp;"Raw Score",dHdr,0)),"&gt;=0")+COUNTIFS(dClass,H$45,INDEX(dData,0,MATCH($B65&amp;CHAR(10)&amp;"Raw Score",dHdr,0)),"A"))/COUNTIF(dClass,H$45)),""))</f>
        <v/>
      </c>
      <c r="I65" s="36" t="str">
        <f>IF(OR($B65="",I$45=""),"",IFERROR(CHOOSE(MATCH(SelMeasure,MeasureList,0),AVERAGEIFS(INDEX(dData,0,MATCH($B65&amp;CHAR(10)&amp;"Raw Score",dHdr,0)),dClass,I$45)/$D65,AVERAGEIFS(INDEX(dData,0,MATCH($B65&amp;CHAR(10)&amp;"Stanine",dHdr,0)),dClass,I$45),(COUNTIFS(dClass,I$45,INDEX(dData,0,MATCH($B65&amp;CHAR(10)&amp;"Raw Score",dHdr,0)),"&gt;=0")+COUNTIFS(dClass,I$45,INDEX(dData,0,MATCH($B65&amp;CHAR(10)&amp;"Raw Score",dHdr,0)),"A"))/COUNTIF(dClass,I$45)),""))</f>
        <v/>
      </c>
      <c r="J65" s="36" t="str">
        <f>IF(OR($B65="",J$45=""),"",IFERROR(CHOOSE(MATCH(SelMeasure,MeasureList,0),AVERAGEIFS(INDEX(dData,0,MATCH($B65&amp;CHAR(10)&amp;"Raw Score",dHdr,0)),dClass,J$45)/$D65,AVERAGEIFS(INDEX(dData,0,MATCH($B65&amp;CHAR(10)&amp;"Stanine",dHdr,0)),dClass,J$45),(COUNTIFS(dClass,J$45,INDEX(dData,0,MATCH($B65&amp;CHAR(10)&amp;"Raw Score",dHdr,0)),"&gt;=0")+COUNTIFS(dClass,J$45,INDEX(dData,0,MATCH($B65&amp;CHAR(10)&amp;"Raw Score",dHdr,0)),"A"))/COUNTIF(dClass,J$45)),""))</f>
        <v/>
      </c>
      <c r="K65" s="36" t="str">
        <f>IF(OR($B65="",K$45=""),"",IFERROR(CHOOSE(MATCH(SelMeasure,MeasureList,0),AVERAGEIFS(INDEX(dData,0,MATCH($B65&amp;CHAR(10)&amp;"Raw Score",dHdr,0)),dClass,K$45)/$D65,AVERAGEIFS(INDEX(dData,0,MATCH($B65&amp;CHAR(10)&amp;"Stanine",dHdr,0)),dClass,K$45),(COUNTIFS(dClass,K$45,INDEX(dData,0,MATCH($B65&amp;CHAR(10)&amp;"Raw Score",dHdr,0)),"&gt;=0")+COUNTIFS(dClass,K$45,INDEX(dData,0,MATCH($B65&amp;CHAR(10)&amp;"Raw Score",dHdr,0)),"A"))/COUNTIF(dClass,K$45)),""))</f>
        <v/>
      </c>
      <c r="L65" s="36" t="str">
        <f>IF(OR($B65="",L$45=""),"",IFERROR(CHOOSE(MATCH(SelMeasure,MeasureList,0),AVERAGEIFS(INDEX(dData,0,MATCH($B65&amp;CHAR(10)&amp;"Raw Score",dHdr,0)),dClass,L$45)/$D65,AVERAGEIFS(INDEX(dData,0,MATCH($B65&amp;CHAR(10)&amp;"Stanine",dHdr,0)),dClass,L$45),(COUNTIFS(dClass,L$45,INDEX(dData,0,MATCH($B65&amp;CHAR(10)&amp;"Raw Score",dHdr,0)),"&gt;=0")+COUNTIFS(dClass,L$45,INDEX(dData,0,MATCH($B65&amp;CHAR(10)&amp;"Raw Score",dHdr,0)),"A"))/COUNTIF(dClass,L$45)),""))</f>
        <v/>
      </c>
      <c r="M65" s="36" t="str">
        <f>IF(OR($B65="",M$45=""),"",IFERROR(CHOOSE(MATCH(SelMeasure,MeasureList,0),AVERAGEIFS(INDEX(dData,0,MATCH($B65&amp;CHAR(10)&amp;"Raw Score",dHdr,0)),dClass,M$45)/$D65,AVERAGEIFS(INDEX(dData,0,MATCH($B65&amp;CHAR(10)&amp;"Stanine",dHdr,0)),dClass,M$45),(COUNTIFS(dClass,M$45,INDEX(dData,0,MATCH($B65&amp;CHAR(10)&amp;"Raw Score",dHdr,0)),"&gt;=0")+COUNTIFS(dClass,M$45,INDEX(dData,0,MATCH($B65&amp;CHAR(10)&amp;"Raw Score",dHdr,0)),"A"))/COUNTIF(dClass,M$45)),""))</f>
        <v/>
      </c>
      <c r="N65" s="36" t="str">
        <f>IF(OR($B65="",N$45=""),"",IFERROR(CHOOSE(MATCH(SelMeasure,MeasureList,0),AVERAGEIFS(INDEX(dData,0,MATCH($B65&amp;CHAR(10)&amp;"Raw Score",dHdr,0)),dClass,N$45)/$D65,AVERAGEIFS(INDEX(dData,0,MATCH($B65&amp;CHAR(10)&amp;"Stanine",dHdr,0)),dClass,N$45),(COUNTIFS(dClass,N$45,INDEX(dData,0,MATCH($B65&amp;CHAR(10)&amp;"Raw Score",dHdr,0)),"&gt;=0")+COUNTIFS(dClass,N$45,INDEX(dData,0,MATCH($B65&amp;CHAR(10)&amp;"Raw Score",dHdr,0)),"A"))/COUNTIF(dClass,N$45)),""))</f>
        <v/>
      </c>
      <c r="O65" s="36" t="str">
        <f>IF(OR($B65="",O$45=""),"",IFERROR(CHOOSE(MATCH(SelMeasure,MeasureList,0),AVERAGEIFS(INDEX(dData,0,MATCH($B65&amp;CHAR(10)&amp;"Raw Score",dHdr,0)),dClass,O$45)/$D65,AVERAGEIFS(INDEX(dData,0,MATCH($B65&amp;CHAR(10)&amp;"Stanine",dHdr,0)),dClass,O$45),(COUNTIFS(dClass,O$45,INDEX(dData,0,MATCH($B65&amp;CHAR(10)&amp;"Raw Score",dHdr,0)),"&gt;=0")+COUNTIFS(dClass,O$45,INDEX(dData,0,MATCH($B65&amp;CHAR(10)&amp;"Raw Score",dHdr,0)),"A"))/COUNTIF(dClass,O$45)),""))</f>
        <v/>
      </c>
    </row>
    <row r="66">
      <c r="B66" s="31" t="str">
        <f>Calc!AA23</f>
        <v/>
      </c>
      <c r="C66" s="57" t="str">
        <f>Calc!AC23</f>
        <v/>
      </c>
      <c r="D66" s="33" t="str">
        <f>Calc!AB23</f>
        <v/>
      </c>
      <c r="E66" s="33" t="str">
        <f>IF($B66="","",IFERROR(COUNT(INDEX(dData,0,MATCH($B66&amp;CHAR(10)&amp;"Raw Score",dHdr,0))),""))</f>
        <v/>
      </c>
      <c r="F66" s="36" t="str">
        <f>IF($B66="","",IFERROR(($E66+COUNTIF(INDEX(dData,0,MATCH($B66&amp;CHAR(10)&amp;"Raw Score",dHdr,0)),"A"))/COUNTA(dLast),""))</f>
        <v/>
      </c>
      <c r="G66" s="58" t="str">
        <f>IF($B66="","",IFERROR(CHOOSE(MATCH(SelMeasure,MeasureList,0),AVERAGE(INDEX(dData,0,MATCH($B66&amp;CHAR(10)&amp;"Raw Score",dHdr,0)))/$D66,AVERAGE(INDEX(dData,0,MATCH($B66&amp;CHAR(10)&amp;"Stanine",dHdr,0))),$F66),""))</f>
        <v/>
      </c>
      <c r="H66" s="36" t="str">
        <f>IF(OR($B66="",H$45=""),"",IFERROR(CHOOSE(MATCH(SelMeasure,MeasureList,0),AVERAGEIFS(INDEX(dData,0,MATCH($B66&amp;CHAR(10)&amp;"Raw Score",dHdr,0)),dClass,H$45)/$D66,AVERAGEIFS(INDEX(dData,0,MATCH($B66&amp;CHAR(10)&amp;"Stanine",dHdr,0)),dClass,H$45),(COUNTIFS(dClass,H$45,INDEX(dData,0,MATCH($B66&amp;CHAR(10)&amp;"Raw Score",dHdr,0)),"&gt;=0")+COUNTIFS(dClass,H$45,INDEX(dData,0,MATCH($B66&amp;CHAR(10)&amp;"Raw Score",dHdr,0)),"A"))/COUNTIF(dClass,H$45)),""))</f>
        <v/>
      </c>
      <c r="I66" s="36" t="str">
        <f>IF(OR($B66="",I$45=""),"",IFERROR(CHOOSE(MATCH(SelMeasure,MeasureList,0),AVERAGEIFS(INDEX(dData,0,MATCH($B66&amp;CHAR(10)&amp;"Raw Score",dHdr,0)),dClass,I$45)/$D66,AVERAGEIFS(INDEX(dData,0,MATCH($B66&amp;CHAR(10)&amp;"Stanine",dHdr,0)),dClass,I$45),(COUNTIFS(dClass,I$45,INDEX(dData,0,MATCH($B66&amp;CHAR(10)&amp;"Raw Score",dHdr,0)),"&gt;=0")+COUNTIFS(dClass,I$45,INDEX(dData,0,MATCH($B66&amp;CHAR(10)&amp;"Raw Score",dHdr,0)),"A"))/COUNTIF(dClass,I$45)),""))</f>
        <v/>
      </c>
      <c r="J66" s="36" t="str">
        <f>IF(OR($B66="",J$45=""),"",IFERROR(CHOOSE(MATCH(SelMeasure,MeasureList,0),AVERAGEIFS(INDEX(dData,0,MATCH($B66&amp;CHAR(10)&amp;"Raw Score",dHdr,0)),dClass,J$45)/$D66,AVERAGEIFS(INDEX(dData,0,MATCH($B66&amp;CHAR(10)&amp;"Stanine",dHdr,0)),dClass,J$45),(COUNTIFS(dClass,J$45,INDEX(dData,0,MATCH($B66&amp;CHAR(10)&amp;"Raw Score",dHdr,0)),"&gt;=0")+COUNTIFS(dClass,J$45,INDEX(dData,0,MATCH($B66&amp;CHAR(10)&amp;"Raw Score",dHdr,0)),"A"))/COUNTIF(dClass,J$45)),""))</f>
        <v/>
      </c>
      <c r="K66" s="36" t="str">
        <f>IF(OR($B66="",K$45=""),"",IFERROR(CHOOSE(MATCH(SelMeasure,MeasureList,0),AVERAGEIFS(INDEX(dData,0,MATCH($B66&amp;CHAR(10)&amp;"Raw Score",dHdr,0)),dClass,K$45)/$D66,AVERAGEIFS(INDEX(dData,0,MATCH($B66&amp;CHAR(10)&amp;"Stanine",dHdr,0)),dClass,K$45),(COUNTIFS(dClass,K$45,INDEX(dData,0,MATCH($B66&amp;CHAR(10)&amp;"Raw Score",dHdr,0)),"&gt;=0")+COUNTIFS(dClass,K$45,INDEX(dData,0,MATCH($B66&amp;CHAR(10)&amp;"Raw Score",dHdr,0)),"A"))/COUNTIF(dClass,K$45)),""))</f>
        <v/>
      </c>
      <c r="L66" s="36" t="str">
        <f>IF(OR($B66="",L$45=""),"",IFERROR(CHOOSE(MATCH(SelMeasure,MeasureList,0),AVERAGEIFS(INDEX(dData,0,MATCH($B66&amp;CHAR(10)&amp;"Raw Score",dHdr,0)),dClass,L$45)/$D66,AVERAGEIFS(INDEX(dData,0,MATCH($B66&amp;CHAR(10)&amp;"Stanine",dHdr,0)),dClass,L$45),(COUNTIFS(dClass,L$45,INDEX(dData,0,MATCH($B66&amp;CHAR(10)&amp;"Raw Score",dHdr,0)),"&gt;=0")+COUNTIFS(dClass,L$45,INDEX(dData,0,MATCH($B66&amp;CHAR(10)&amp;"Raw Score",dHdr,0)),"A"))/COUNTIF(dClass,L$45)),""))</f>
        <v/>
      </c>
      <c r="M66" s="36" t="str">
        <f>IF(OR($B66="",M$45=""),"",IFERROR(CHOOSE(MATCH(SelMeasure,MeasureList,0),AVERAGEIFS(INDEX(dData,0,MATCH($B66&amp;CHAR(10)&amp;"Raw Score",dHdr,0)),dClass,M$45)/$D66,AVERAGEIFS(INDEX(dData,0,MATCH($B66&amp;CHAR(10)&amp;"Stanine",dHdr,0)),dClass,M$45),(COUNTIFS(dClass,M$45,INDEX(dData,0,MATCH($B66&amp;CHAR(10)&amp;"Raw Score",dHdr,0)),"&gt;=0")+COUNTIFS(dClass,M$45,INDEX(dData,0,MATCH($B66&amp;CHAR(10)&amp;"Raw Score",dHdr,0)),"A"))/COUNTIF(dClass,M$45)),""))</f>
        <v/>
      </c>
      <c r="N66" s="36" t="str">
        <f>IF(OR($B66="",N$45=""),"",IFERROR(CHOOSE(MATCH(SelMeasure,MeasureList,0),AVERAGEIFS(INDEX(dData,0,MATCH($B66&amp;CHAR(10)&amp;"Raw Score",dHdr,0)),dClass,N$45)/$D66,AVERAGEIFS(INDEX(dData,0,MATCH($B66&amp;CHAR(10)&amp;"Stanine",dHdr,0)),dClass,N$45),(COUNTIFS(dClass,N$45,INDEX(dData,0,MATCH($B66&amp;CHAR(10)&amp;"Raw Score",dHdr,0)),"&gt;=0")+COUNTIFS(dClass,N$45,INDEX(dData,0,MATCH($B66&amp;CHAR(10)&amp;"Raw Score",dHdr,0)),"A"))/COUNTIF(dClass,N$45)),""))</f>
        <v/>
      </c>
      <c r="O66" s="36" t="str">
        <f>IF(OR($B66="",O$45=""),"",IFERROR(CHOOSE(MATCH(SelMeasure,MeasureList,0),AVERAGEIFS(INDEX(dData,0,MATCH($B66&amp;CHAR(10)&amp;"Raw Score",dHdr,0)),dClass,O$45)/$D66,AVERAGEIFS(INDEX(dData,0,MATCH($B66&amp;CHAR(10)&amp;"Stanine",dHdr,0)),dClass,O$45),(COUNTIFS(dClass,O$45,INDEX(dData,0,MATCH($B66&amp;CHAR(10)&amp;"Raw Score",dHdr,0)),"&gt;=0")+COUNTIFS(dClass,O$45,INDEX(dData,0,MATCH($B66&amp;CHAR(10)&amp;"Raw Score",dHdr,0)),"A"))/COUNTIF(dClass,O$45)),""))</f>
        <v/>
      </c>
    </row>
    <row r="67">
      <c r="B67" s="31" t="str">
        <f>Calc!AA24</f>
        <v/>
      </c>
      <c r="C67" s="57" t="str">
        <f>Calc!AC24</f>
        <v/>
      </c>
      <c r="D67" s="33" t="str">
        <f>Calc!AB24</f>
        <v/>
      </c>
      <c r="E67" s="33" t="str">
        <f>IF($B67="","",IFERROR(COUNT(INDEX(dData,0,MATCH($B67&amp;CHAR(10)&amp;"Raw Score",dHdr,0))),""))</f>
        <v/>
      </c>
      <c r="F67" s="36" t="str">
        <f>IF($B67="","",IFERROR(($E67+COUNTIF(INDEX(dData,0,MATCH($B67&amp;CHAR(10)&amp;"Raw Score",dHdr,0)),"A"))/COUNTA(dLast),""))</f>
        <v/>
      </c>
      <c r="G67" s="58" t="str">
        <f>IF($B67="","",IFERROR(CHOOSE(MATCH(SelMeasure,MeasureList,0),AVERAGE(INDEX(dData,0,MATCH($B67&amp;CHAR(10)&amp;"Raw Score",dHdr,0)))/$D67,AVERAGE(INDEX(dData,0,MATCH($B67&amp;CHAR(10)&amp;"Stanine",dHdr,0))),$F67),""))</f>
        <v/>
      </c>
      <c r="H67" s="36" t="str">
        <f>IF(OR($B67="",H$45=""),"",IFERROR(CHOOSE(MATCH(SelMeasure,MeasureList,0),AVERAGEIFS(INDEX(dData,0,MATCH($B67&amp;CHAR(10)&amp;"Raw Score",dHdr,0)),dClass,H$45)/$D67,AVERAGEIFS(INDEX(dData,0,MATCH($B67&amp;CHAR(10)&amp;"Stanine",dHdr,0)),dClass,H$45),(COUNTIFS(dClass,H$45,INDEX(dData,0,MATCH($B67&amp;CHAR(10)&amp;"Raw Score",dHdr,0)),"&gt;=0")+COUNTIFS(dClass,H$45,INDEX(dData,0,MATCH($B67&amp;CHAR(10)&amp;"Raw Score",dHdr,0)),"A"))/COUNTIF(dClass,H$45)),""))</f>
        <v/>
      </c>
      <c r="I67" s="36" t="str">
        <f>IF(OR($B67="",I$45=""),"",IFERROR(CHOOSE(MATCH(SelMeasure,MeasureList,0),AVERAGEIFS(INDEX(dData,0,MATCH($B67&amp;CHAR(10)&amp;"Raw Score",dHdr,0)),dClass,I$45)/$D67,AVERAGEIFS(INDEX(dData,0,MATCH($B67&amp;CHAR(10)&amp;"Stanine",dHdr,0)),dClass,I$45),(COUNTIFS(dClass,I$45,INDEX(dData,0,MATCH($B67&amp;CHAR(10)&amp;"Raw Score",dHdr,0)),"&gt;=0")+COUNTIFS(dClass,I$45,INDEX(dData,0,MATCH($B67&amp;CHAR(10)&amp;"Raw Score",dHdr,0)),"A"))/COUNTIF(dClass,I$45)),""))</f>
        <v/>
      </c>
      <c r="J67" s="36" t="str">
        <f>IF(OR($B67="",J$45=""),"",IFERROR(CHOOSE(MATCH(SelMeasure,MeasureList,0),AVERAGEIFS(INDEX(dData,0,MATCH($B67&amp;CHAR(10)&amp;"Raw Score",dHdr,0)),dClass,J$45)/$D67,AVERAGEIFS(INDEX(dData,0,MATCH($B67&amp;CHAR(10)&amp;"Stanine",dHdr,0)),dClass,J$45),(COUNTIFS(dClass,J$45,INDEX(dData,0,MATCH($B67&amp;CHAR(10)&amp;"Raw Score",dHdr,0)),"&gt;=0")+COUNTIFS(dClass,J$45,INDEX(dData,0,MATCH($B67&amp;CHAR(10)&amp;"Raw Score",dHdr,0)),"A"))/COUNTIF(dClass,J$45)),""))</f>
        <v/>
      </c>
      <c r="K67" s="36" t="str">
        <f>IF(OR($B67="",K$45=""),"",IFERROR(CHOOSE(MATCH(SelMeasure,MeasureList,0),AVERAGEIFS(INDEX(dData,0,MATCH($B67&amp;CHAR(10)&amp;"Raw Score",dHdr,0)),dClass,K$45)/$D67,AVERAGEIFS(INDEX(dData,0,MATCH($B67&amp;CHAR(10)&amp;"Stanine",dHdr,0)),dClass,K$45),(COUNTIFS(dClass,K$45,INDEX(dData,0,MATCH($B67&amp;CHAR(10)&amp;"Raw Score",dHdr,0)),"&gt;=0")+COUNTIFS(dClass,K$45,INDEX(dData,0,MATCH($B67&amp;CHAR(10)&amp;"Raw Score",dHdr,0)),"A"))/COUNTIF(dClass,K$45)),""))</f>
        <v/>
      </c>
      <c r="L67" s="36" t="str">
        <f>IF(OR($B67="",L$45=""),"",IFERROR(CHOOSE(MATCH(SelMeasure,MeasureList,0),AVERAGEIFS(INDEX(dData,0,MATCH($B67&amp;CHAR(10)&amp;"Raw Score",dHdr,0)),dClass,L$45)/$D67,AVERAGEIFS(INDEX(dData,0,MATCH($B67&amp;CHAR(10)&amp;"Stanine",dHdr,0)),dClass,L$45),(COUNTIFS(dClass,L$45,INDEX(dData,0,MATCH($B67&amp;CHAR(10)&amp;"Raw Score",dHdr,0)),"&gt;=0")+COUNTIFS(dClass,L$45,INDEX(dData,0,MATCH($B67&amp;CHAR(10)&amp;"Raw Score",dHdr,0)),"A"))/COUNTIF(dClass,L$45)),""))</f>
        <v/>
      </c>
      <c r="M67" s="36" t="str">
        <f>IF(OR($B67="",M$45=""),"",IFERROR(CHOOSE(MATCH(SelMeasure,MeasureList,0),AVERAGEIFS(INDEX(dData,0,MATCH($B67&amp;CHAR(10)&amp;"Raw Score",dHdr,0)),dClass,M$45)/$D67,AVERAGEIFS(INDEX(dData,0,MATCH($B67&amp;CHAR(10)&amp;"Stanine",dHdr,0)),dClass,M$45),(COUNTIFS(dClass,M$45,INDEX(dData,0,MATCH($B67&amp;CHAR(10)&amp;"Raw Score",dHdr,0)),"&gt;=0")+COUNTIFS(dClass,M$45,INDEX(dData,0,MATCH($B67&amp;CHAR(10)&amp;"Raw Score",dHdr,0)),"A"))/COUNTIF(dClass,M$45)),""))</f>
        <v/>
      </c>
      <c r="N67" s="36" t="str">
        <f>IF(OR($B67="",N$45=""),"",IFERROR(CHOOSE(MATCH(SelMeasure,MeasureList,0),AVERAGEIFS(INDEX(dData,0,MATCH($B67&amp;CHAR(10)&amp;"Raw Score",dHdr,0)),dClass,N$45)/$D67,AVERAGEIFS(INDEX(dData,0,MATCH($B67&amp;CHAR(10)&amp;"Stanine",dHdr,0)),dClass,N$45),(COUNTIFS(dClass,N$45,INDEX(dData,0,MATCH($B67&amp;CHAR(10)&amp;"Raw Score",dHdr,0)),"&gt;=0")+COUNTIFS(dClass,N$45,INDEX(dData,0,MATCH($B67&amp;CHAR(10)&amp;"Raw Score",dHdr,0)),"A"))/COUNTIF(dClass,N$45)),""))</f>
        <v/>
      </c>
      <c r="O67" s="36" t="str">
        <f>IF(OR($B67="",O$45=""),"",IFERROR(CHOOSE(MATCH(SelMeasure,MeasureList,0),AVERAGEIFS(INDEX(dData,0,MATCH($B67&amp;CHAR(10)&amp;"Raw Score",dHdr,0)),dClass,O$45)/$D67,AVERAGEIFS(INDEX(dData,0,MATCH($B67&amp;CHAR(10)&amp;"Stanine",dHdr,0)),dClass,O$45),(COUNTIFS(dClass,O$45,INDEX(dData,0,MATCH($B67&amp;CHAR(10)&amp;"Raw Score",dHdr,0)),"&gt;=0")+COUNTIFS(dClass,O$45,INDEX(dData,0,MATCH($B67&amp;CHAR(10)&amp;"Raw Score",dHdr,0)),"A"))/COUNTIF(dClass,O$45)),""))</f>
        <v/>
      </c>
    </row>
    <row r="68">
      <c r="B68" s="31" t="str">
        <f>Calc!AA25</f>
        <v/>
      </c>
      <c r="C68" s="57" t="str">
        <f>Calc!AC25</f>
        <v/>
      </c>
      <c r="D68" s="33" t="str">
        <f>Calc!AB25</f>
        <v/>
      </c>
      <c r="E68" s="33" t="str">
        <f>IF($B68="","",IFERROR(COUNT(INDEX(dData,0,MATCH($B68&amp;CHAR(10)&amp;"Raw Score",dHdr,0))),""))</f>
        <v/>
      </c>
      <c r="F68" s="36" t="str">
        <f>IF($B68="","",IFERROR(($E68+COUNTIF(INDEX(dData,0,MATCH($B68&amp;CHAR(10)&amp;"Raw Score",dHdr,0)),"A"))/COUNTA(dLast),""))</f>
        <v/>
      </c>
      <c r="G68" s="58" t="str">
        <f>IF($B68="","",IFERROR(CHOOSE(MATCH(SelMeasure,MeasureList,0),AVERAGE(INDEX(dData,0,MATCH($B68&amp;CHAR(10)&amp;"Raw Score",dHdr,0)))/$D68,AVERAGE(INDEX(dData,0,MATCH($B68&amp;CHAR(10)&amp;"Stanine",dHdr,0))),$F68),""))</f>
        <v/>
      </c>
      <c r="H68" s="36" t="str">
        <f>IF(OR($B68="",H$45=""),"",IFERROR(CHOOSE(MATCH(SelMeasure,MeasureList,0),AVERAGEIFS(INDEX(dData,0,MATCH($B68&amp;CHAR(10)&amp;"Raw Score",dHdr,0)),dClass,H$45)/$D68,AVERAGEIFS(INDEX(dData,0,MATCH($B68&amp;CHAR(10)&amp;"Stanine",dHdr,0)),dClass,H$45),(COUNTIFS(dClass,H$45,INDEX(dData,0,MATCH($B68&amp;CHAR(10)&amp;"Raw Score",dHdr,0)),"&gt;=0")+COUNTIFS(dClass,H$45,INDEX(dData,0,MATCH($B68&amp;CHAR(10)&amp;"Raw Score",dHdr,0)),"A"))/COUNTIF(dClass,H$45)),""))</f>
        <v/>
      </c>
      <c r="I68" s="36" t="str">
        <f>IF(OR($B68="",I$45=""),"",IFERROR(CHOOSE(MATCH(SelMeasure,MeasureList,0),AVERAGEIFS(INDEX(dData,0,MATCH($B68&amp;CHAR(10)&amp;"Raw Score",dHdr,0)),dClass,I$45)/$D68,AVERAGEIFS(INDEX(dData,0,MATCH($B68&amp;CHAR(10)&amp;"Stanine",dHdr,0)),dClass,I$45),(COUNTIFS(dClass,I$45,INDEX(dData,0,MATCH($B68&amp;CHAR(10)&amp;"Raw Score",dHdr,0)),"&gt;=0")+COUNTIFS(dClass,I$45,INDEX(dData,0,MATCH($B68&amp;CHAR(10)&amp;"Raw Score",dHdr,0)),"A"))/COUNTIF(dClass,I$45)),""))</f>
        <v/>
      </c>
      <c r="J68" s="36" t="str">
        <f>IF(OR($B68="",J$45=""),"",IFERROR(CHOOSE(MATCH(SelMeasure,MeasureList,0),AVERAGEIFS(INDEX(dData,0,MATCH($B68&amp;CHAR(10)&amp;"Raw Score",dHdr,0)),dClass,J$45)/$D68,AVERAGEIFS(INDEX(dData,0,MATCH($B68&amp;CHAR(10)&amp;"Stanine",dHdr,0)),dClass,J$45),(COUNTIFS(dClass,J$45,INDEX(dData,0,MATCH($B68&amp;CHAR(10)&amp;"Raw Score",dHdr,0)),"&gt;=0")+COUNTIFS(dClass,J$45,INDEX(dData,0,MATCH($B68&amp;CHAR(10)&amp;"Raw Score",dHdr,0)),"A"))/COUNTIF(dClass,J$45)),""))</f>
        <v/>
      </c>
      <c r="K68" s="36" t="str">
        <f>IF(OR($B68="",K$45=""),"",IFERROR(CHOOSE(MATCH(SelMeasure,MeasureList,0),AVERAGEIFS(INDEX(dData,0,MATCH($B68&amp;CHAR(10)&amp;"Raw Score",dHdr,0)),dClass,K$45)/$D68,AVERAGEIFS(INDEX(dData,0,MATCH($B68&amp;CHAR(10)&amp;"Stanine",dHdr,0)),dClass,K$45),(COUNTIFS(dClass,K$45,INDEX(dData,0,MATCH($B68&amp;CHAR(10)&amp;"Raw Score",dHdr,0)),"&gt;=0")+COUNTIFS(dClass,K$45,INDEX(dData,0,MATCH($B68&amp;CHAR(10)&amp;"Raw Score",dHdr,0)),"A"))/COUNTIF(dClass,K$45)),""))</f>
        <v/>
      </c>
      <c r="L68" s="36" t="str">
        <f>IF(OR($B68="",L$45=""),"",IFERROR(CHOOSE(MATCH(SelMeasure,MeasureList,0),AVERAGEIFS(INDEX(dData,0,MATCH($B68&amp;CHAR(10)&amp;"Raw Score",dHdr,0)),dClass,L$45)/$D68,AVERAGEIFS(INDEX(dData,0,MATCH($B68&amp;CHAR(10)&amp;"Stanine",dHdr,0)),dClass,L$45),(COUNTIFS(dClass,L$45,INDEX(dData,0,MATCH($B68&amp;CHAR(10)&amp;"Raw Score",dHdr,0)),"&gt;=0")+COUNTIFS(dClass,L$45,INDEX(dData,0,MATCH($B68&amp;CHAR(10)&amp;"Raw Score",dHdr,0)),"A"))/COUNTIF(dClass,L$45)),""))</f>
        <v/>
      </c>
      <c r="M68" s="36" t="str">
        <f>IF(OR($B68="",M$45=""),"",IFERROR(CHOOSE(MATCH(SelMeasure,MeasureList,0),AVERAGEIFS(INDEX(dData,0,MATCH($B68&amp;CHAR(10)&amp;"Raw Score",dHdr,0)),dClass,M$45)/$D68,AVERAGEIFS(INDEX(dData,0,MATCH($B68&amp;CHAR(10)&amp;"Stanine",dHdr,0)),dClass,M$45),(COUNTIFS(dClass,M$45,INDEX(dData,0,MATCH($B68&amp;CHAR(10)&amp;"Raw Score",dHdr,0)),"&gt;=0")+COUNTIFS(dClass,M$45,INDEX(dData,0,MATCH($B68&amp;CHAR(10)&amp;"Raw Score",dHdr,0)),"A"))/COUNTIF(dClass,M$45)),""))</f>
        <v/>
      </c>
      <c r="N68" s="36" t="str">
        <f>IF(OR($B68="",N$45=""),"",IFERROR(CHOOSE(MATCH(SelMeasure,MeasureList,0),AVERAGEIFS(INDEX(dData,0,MATCH($B68&amp;CHAR(10)&amp;"Raw Score",dHdr,0)),dClass,N$45)/$D68,AVERAGEIFS(INDEX(dData,0,MATCH($B68&amp;CHAR(10)&amp;"Stanine",dHdr,0)),dClass,N$45),(COUNTIFS(dClass,N$45,INDEX(dData,0,MATCH($B68&amp;CHAR(10)&amp;"Raw Score",dHdr,0)),"&gt;=0")+COUNTIFS(dClass,N$45,INDEX(dData,0,MATCH($B68&amp;CHAR(10)&amp;"Raw Score",dHdr,0)),"A"))/COUNTIF(dClass,N$45)),""))</f>
        <v/>
      </c>
      <c r="O68" s="36" t="str">
        <f>IF(OR($B68="",O$45=""),"",IFERROR(CHOOSE(MATCH(SelMeasure,MeasureList,0),AVERAGEIFS(INDEX(dData,0,MATCH($B68&amp;CHAR(10)&amp;"Raw Score",dHdr,0)),dClass,O$45)/$D68,AVERAGEIFS(INDEX(dData,0,MATCH($B68&amp;CHAR(10)&amp;"Stanine",dHdr,0)),dClass,O$45),(COUNTIFS(dClass,O$45,INDEX(dData,0,MATCH($B68&amp;CHAR(10)&amp;"Raw Score",dHdr,0)),"&gt;=0")+COUNTIFS(dClass,O$45,INDEX(dData,0,MATCH($B68&amp;CHAR(10)&amp;"Raw Score",dHdr,0)),"A"))/COUNTIF(dClass,O$45)),""))</f>
        <v/>
      </c>
    </row>
    <row r="69">
      <c r="B69" s="31" t="str">
        <f>Calc!AA26</f>
        <v/>
      </c>
      <c r="C69" s="57" t="str">
        <f>Calc!AC26</f>
        <v/>
      </c>
      <c r="D69" s="33" t="str">
        <f>Calc!AB26</f>
        <v/>
      </c>
      <c r="E69" s="33" t="str">
        <f>IF($B69="","",IFERROR(COUNT(INDEX(dData,0,MATCH($B69&amp;CHAR(10)&amp;"Raw Score",dHdr,0))),""))</f>
        <v/>
      </c>
      <c r="F69" s="36" t="str">
        <f>IF($B69="","",IFERROR(($E69+COUNTIF(INDEX(dData,0,MATCH($B69&amp;CHAR(10)&amp;"Raw Score",dHdr,0)),"A"))/COUNTA(dLast),""))</f>
        <v/>
      </c>
      <c r="G69" s="58" t="str">
        <f>IF($B69="","",IFERROR(CHOOSE(MATCH(SelMeasure,MeasureList,0),AVERAGE(INDEX(dData,0,MATCH($B69&amp;CHAR(10)&amp;"Raw Score",dHdr,0)))/$D69,AVERAGE(INDEX(dData,0,MATCH($B69&amp;CHAR(10)&amp;"Stanine",dHdr,0))),$F69),""))</f>
        <v/>
      </c>
      <c r="H69" s="36" t="str">
        <f>IF(OR($B69="",H$45=""),"",IFERROR(CHOOSE(MATCH(SelMeasure,MeasureList,0),AVERAGEIFS(INDEX(dData,0,MATCH($B69&amp;CHAR(10)&amp;"Raw Score",dHdr,0)),dClass,H$45)/$D69,AVERAGEIFS(INDEX(dData,0,MATCH($B69&amp;CHAR(10)&amp;"Stanine",dHdr,0)),dClass,H$45),(COUNTIFS(dClass,H$45,INDEX(dData,0,MATCH($B69&amp;CHAR(10)&amp;"Raw Score",dHdr,0)),"&gt;=0")+COUNTIFS(dClass,H$45,INDEX(dData,0,MATCH($B69&amp;CHAR(10)&amp;"Raw Score",dHdr,0)),"A"))/COUNTIF(dClass,H$45)),""))</f>
        <v/>
      </c>
      <c r="I69" s="36" t="str">
        <f>IF(OR($B69="",I$45=""),"",IFERROR(CHOOSE(MATCH(SelMeasure,MeasureList,0),AVERAGEIFS(INDEX(dData,0,MATCH($B69&amp;CHAR(10)&amp;"Raw Score",dHdr,0)),dClass,I$45)/$D69,AVERAGEIFS(INDEX(dData,0,MATCH($B69&amp;CHAR(10)&amp;"Stanine",dHdr,0)),dClass,I$45),(COUNTIFS(dClass,I$45,INDEX(dData,0,MATCH($B69&amp;CHAR(10)&amp;"Raw Score",dHdr,0)),"&gt;=0")+COUNTIFS(dClass,I$45,INDEX(dData,0,MATCH($B69&amp;CHAR(10)&amp;"Raw Score",dHdr,0)),"A"))/COUNTIF(dClass,I$45)),""))</f>
        <v/>
      </c>
      <c r="J69" s="36" t="str">
        <f>IF(OR($B69="",J$45=""),"",IFERROR(CHOOSE(MATCH(SelMeasure,MeasureList,0),AVERAGEIFS(INDEX(dData,0,MATCH($B69&amp;CHAR(10)&amp;"Raw Score",dHdr,0)),dClass,J$45)/$D69,AVERAGEIFS(INDEX(dData,0,MATCH($B69&amp;CHAR(10)&amp;"Stanine",dHdr,0)),dClass,J$45),(COUNTIFS(dClass,J$45,INDEX(dData,0,MATCH($B69&amp;CHAR(10)&amp;"Raw Score",dHdr,0)),"&gt;=0")+COUNTIFS(dClass,J$45,INDEX(dData,0,MATCH($B69&amp;CHAR(10)&amp;"Raw Score",dHdr,0)),"A"))/COUNTIF(dClass,J$45)),""))</f>
        <v/>
      </c>
      <c r="K69" s="36" t="str">
        <f>IF(OR($B69="",K$45=""),"",IFERROR(CHOOSE(MATCH(SelMeasure,MeasureList,0),AVERAGEIFS(INDEX(dData,0,MATCH($B69&amp;CHAR(10)&amp;"Raw Score",dHdr,0)),dClass,K$45)/$D69,AVERAGEIFS(INDEX(dData,0,MATCH($B69&amp;CHAR(10)&amp;"Stanine",dHdr,0)),dClass,K$45),(COUNTIFS(dClass,K$45,INDEX(dData,0,MATCH($B69&amp;CHAR(10)&amp;"Raw Score",dHdr,0)),"&gt;=0")+COUNTIFS(dClass,K$45,INDEX(dData,0,MATCH($B69&amp;CHAR(10)&amp;"Raw Score",dHdr,0)),"A"))/COUNTIF(dClass,K$45)),""))</f>
        <v/>
      </c>
      <c r="L69" s="36" t="str">
        <f>IF(OR($B69="",L$45=""),"",IFERROR(CHOOSE(MATCH(SelMeasure,MeasureList,0),AVERAGEIFS(INDEX(dData,0,MATCH($B69&amp;CHAR(10)&amp;"Raw Score",dHdr,0)),dClass,L$45)/$D69,AVERAGEIFS(INDEX(dData,0,MATCH($B69&amp;CHAR(10)&amp;"Stanine",dHdr,0)),dClass,L$45),(COUNTIFS(dClass,L$45,INDEX(dData,0,MATCH($B69&amp;CHAR(10)&amp;"Raw Score",dHdr,0)),"&gt;=0")+COUNTIFS(dClass,L$45,INDEX(dData,0,MATCH($B69&amp;CHAR(10)&amp;"Raw Score",dHdr,0)),"A"))/COUNTIF(dClass,L$45)),""))</f>
        <v/>
      </c>
      <c r="M69" s="36" t="str">
        <f>IF(OR($B69="",M$45=""),"",IFERROR(CHOOSE(MATCH(SelMeasure,MeasureList,0),AVERAGEIFS(INDEX(dData,0,MATCH($B69&amp;CHAR(10)&amp;"Raw Score",dHdr,0)),dClass,M$45)/$D69,AVERAGEIFS(INDEX(dData,0,MATCH($B69&amp;CHAR(10)&amp;"Stanine",dHdr,0)),dClass,M$45),(COUNTIFS(dClass,M$45,INDEX(dData,0,MATCH($B69&amp;CHAR(10)&amp;"Raw Score",dHdr,0)),"&gt;=0")+COUNTIFS(dClass,M$45,INDEX(dData,0,MATCH($B69&amp;CHAR(10)&amp;"Raw Score",dHdr,0)),"A"))/COUNTIF(dClass,M$45)),""))</f>
        <v/>
      </c>
      <c r="N69" s="36" t="str">
        <f>IF(OR($B69="",N$45=""),"",IFERROR(CHOOSE(MATCH(SelMeasure,MeasureList,0),AVERAGEIFS(INDEX(dData,0,MATCH($B69&amp;CHAR(10)&amp;"Raw Score",dHdr,0)),dClass,N$45)/$D69,AVERAGEIFS(INDEX(dData,0,MATCH($B69&amp;CHAR(10)&amp;"Stanine",dHdr,0)),dClass,N$45),(COUNTIFS(dClass,N$45,INDEX(dData,0,MATCH($B69&amp;CHAR(10)&amp;"Raw Score",dHdr,0)),"&gt;=0")+COUNTIFS(dClass,N$45,INDEX(dData,0,MATCH($B69&amp;CHAR(10)&amp;"Raw Score",dHdr,0)),"A"))/COUNTIF(dClass,N$45)),""))</f>
        <v/>
      </c>
      <c r="O69" s="36" t="str">
        <f>IF(OR($B69="",O$45=""),"",IFERROR(CHOOSE(MATCH(SelMeasure,MeasureList,0),AVERAGEIFS(INDEX(dData,0,MATCH($B69&amp;CHAR(10)&amp;"Raw Score",dHdr,0)),dClass,O$45)/$D69,AVERAGEIFS(INDEX(dData,0,MATCH($B69&amp;CHAR(10)&amp;"Stanine",dHdr,0)),dClass,O$45),(COUNTIFS(dClass,O$45,INDEX(dData,0,MATCH($B69&amp;CHAR(10)&amp;"Raw Score",dHdr,0)),"&gt;=0")+COUNTIFS(dClass,O$45,INDEX(dData,0,MATCH($B69&amp;CHAR(10)&amp;"Raw Score",dHdr,0)),"A"))/COUNTIF(dClass,O$45)),""))</f>
        <v/>
      </c>
    </row>
    <row r="70">
      <c r="B70" s="31" t="str">
        <f>Calc!AA27</f>
        <v/>
      </c>
      <c r="C70" s="57" t="str">
        <f>Calc!AC27</f>
        <v/>
      </c>
      <c r="D70" s="33" t="str">
        <f>Calc!AB27</f>
        <v/>
      </c>
      <c r="E70" s="33" t="str">
        <f>IF($B70="","",IFERROR(COUNT(INDEX(dData,0,MATCH($B70&amp;CHAR(10)&amp;"Raw Score",dHdr,0))),""))</f>
        <v/>
      </c>
      <c r="F70" s="36" t="str">
        <f>IF($B70="","",IFERROR(($E70+COUNTIF(INDEX(dData,0,MATCH($B70&amp;CHAR(10)&amp;"Raw Score",dHdr,0)),"A"))/COUNTA(dLast),""))</f>
        <v/>
      </c>
      <c r="G70" s="58" t="str">
        <f>IF($B70="","",IFERROR(CHOOSE(MATCH(SelMeasure,MeasureList,0),AVERAGE(INDEX(dData,0,MATCH($B70&amp;CHAR(10)&amp;"Raw Score",dHdr,0)))/$D70,AVERAGE(INDEX(dData,0,MATCH($B70&amp;CHAR(10)&amp;"Stanine",dHdr,0))),$F70),""))</f>
        <v/>
      </c>
      <c r="H70" s="36" t="str">
        <f>IF(OR($B70="",H$45=""),"",IFERROR(CHOOSE(MATCH(SelMeasure,MeasureList,0),AVERAGEIFS(INDEX(dData,0,MATCH($B70&amp;CHAR(10)&amp;"Raw Score",dHdr,0)),dClass,H$45)/$D70,AVERAGEIFS(INDEX(dData,0,MATCH($B70&amp;CHAR(10)&amp;"Stanine",dHdr,0)),dClass,H$45),(COUNTIFS(dClass,H$45,INDEX(dData,0,MATCH($B70&amp;CHAR(10)&amp;"Raw Score",dHdr,0)),"&gt;=0")+COUNTIFS(dClass,H$45,INDEX(dData,0,MATCH($B70&amp;CHAR(10)&amp;"Raw Score",dHdr,0)),"A"))/COUNTIF(dClass,H$45)),""))</f>
        <v/>
      </c>
      <c r="I70" s="36" t="str">
        <f>IF(OR($B70="",I$45=""),"",IFERROR(CHOOSE(MATCH(SelMeasure,MeasureList,0),AVERAGEIFS(INDEX(dData,0,MATCH($B70&amp;CHAR(10)&amp;"Raw Score",dHdr,0)),dClass,I$45)/$D70,AVERAGEIFS(INDEX(dData,0,MATCH($B70&amp;CHAR(10)&amp;"Stanine",dHdr,0)),dClass,I$45),(COUNTIFS(dClass,I$45,INDEX(dData,0,MATCH($B70&amp;CHAR(10)&amp;"Raw Score",dHdr,0)),"&gt;=0")+COUNTIFS(dClass,I$45,INDEX(dData,0,MATCH($B70&amp;CHAR(10)&amp;"Raw Score",dHdr,0)),"A"))/COUNTIF(dClass,I$45)),""))</f>
        <v/>
      </c>
      <c r="J70" s="36" t="str">
        <f>IF(OR($B70="",J$45=""),"",IFERROR(CHOOSE(MATCH(SelMeasure,MeasureList,0),AVERAGEIFS(INDEX(dData,0,MATCH($B70&amp;CHAR(10)&amp;"Raw Score",dHdr,0)),dClass,J$45)/$D70,AVERAGEIFS(INDEX(dData,0,MATCH($B70&amp;CHAR(10)&amp;"Stanine",dHdr,0)),dClass,J$45),(COUNTIFS(dClass,J$45,INDEX(dData,0,MATCH($B70&amp;CHAR(10)&amp;"Raw Score",dHdr,0)),"&gt;=0")+COUNTIFS(dClass,J$45,INDEX(dData,0,MATCH($B70&amp;CHAR(10)&amp;"Raw Score",dHdr,0)),"A"))/COUNTIF(dClass,J$45)),""))</f>
        <v/>
      </c>
      <c r="K70" s="36" t="str">
        <f>IF(OR($B70="",K$45=""),"",IFERROR(CHOOSE(MATCH(SelMeasure,MeasureList,0),AVERAGEIFS(INDEX(dData,0,MATCH($B70&amp;CHAR(10)&amp;"Raw Score",dHdr,0)),dClass,K$45)/$D70,AVERAGEIFS(INDEX(dData,0,MATCH($B70&amp;CHAR(10)&amp;"Stanine",dHdr,0)),dClass,K$45),(COUNTIFS(dClass,K$45,INDEX(dData,0,MATCH($B70&amp;CHAR(10)&amp;"Raw Score",dHdr,0)),"&gt;=0")+COUNTIFS(dClass,K$45,INDEX(dData,0,MATCH($B70&amp;CHAR(10)&amp;"Raw Score",dHdr,0)),"A"))/COUNTIF(dClass,K$45)),""))</f>
        <v/>
      </c>
      <c r="L70" s="36" t="str">
        <f>IF(OR($B70="",L$45=""),"",IFERROR(CHOOSE(MATCH(SelMeasure,MeasureList,0),AVERAGEIFS(INDEX(dData,0,MATCH($B70&amp;CHAR(10)&amp;"Raw Score",dHdr,0)),dClass,L$45)/$D70,AVERAGEIFS(INDEX(dData,0,MATCH($B70&amp;CHAR(10)&amp;"Stanine",dHdr,0)),dClass,L$45),(COUNTIFS(dClass,L$45,INDEX(dData,0,MATCH($B70&amp;CHAR(10)&amp;"Raw Score",dHdr,0)),"&gt;=0")+COUNTIFS(dClass,L$45,INDEX(dData,0,MATCH($B70&amp;CHAR(10)&amp;"Raw Score",dHdr,0)),"A"))/COUNTIF(dClass,L$45)),""))</f>
        <v/>
      </c>
      <c r="M70" s="36" t="str">
        <f>IF(OR($B70="",M$45=""),"",IFERROR(CHOOSE(MATCH(SelMeasure,MeasureList,0),AVERAGEIFS(INDEX(dData,0,MATCH($B70&amp;CHAR(10)&amp;"Raw Score",dHdr,0)),dClass,M$45)/$D70,AVERAGEIFS(INDEX(dData,0,MATCH($B70&amp;CHAR(10)&amp;"Stanine",dHdr,0)),dClass,M$45),(COUNTIFS(dClass,M$45,INDEX(dData,0,MATCH($B70&amp;CHAR(10)&amp;"Raw Score",dHdr,0)),"&gt;=0")+COUNTIFS(dClass,M$45,INDEX(dData,0,MATCH($B70&amp;CHAR(10)&amp;"Raw Score",dHdr,0)),"A"))/COUNTIF(dClass,M$45)),""))</f>
        <v/>
      </c>
      <c r="N70" s="36" t="str">
        <f>IF(OR($B70="",N$45=""),"",IFERROR(CHOOSE(MATCH(SelMeasure,MeasureList,0),AVERAGEIFS(INDEX(dData,0,MATCH($B70&amp;CHAR(10)&amp;"Raw Score",dHdr,0)),dClass,N$45)/$D70,AVERAGEIFS(INDEX(dData,0,MATCH($B70&amp;CHAR(10)&amp;"Stanine",dHdr,0)),dClass,N$45),(COUNTIFS(dClass,N$45,INDEX(dData,0,MATCH($B70&amp;CHAR(10)&amp;"Raw Score",dHdr,0)),"&gt;=0")+COUNTIFS(dClass,N$45,INDEX(dData,0,MATCH($B70&amp;CHAR(10)&amp;"Raw Score",dHdr,0)),"A"))/COUNTIF(dClass,N$45)),""))</f>
        <v/>
      </c>
      <c r="O70" s="36" t="str">
        <f>IF(OR($B70="",O$45=""),"",IFERROR(CHOOSE(MATCH(SelMeasure,MeasureList,0),AVERAGEIFS(INDEX(dData,0,MATCH($B70&amp;CHAR(10)&amp;"Raw Score",dHdr,0)),dClass,O$45)/$D70,AVERAGEIFS(INDEX(dData,0,MATCH($B70&amp;CHAR(10)&amp;"Stanine",dHdr,0)),dClass,O$45),(COUNTIFS(dClass,O$45,INDEX(dData,0,MATCH($B70&amp;CHAR(10)&amp;"Raw Score",dHdr,0)),"&gt;=0")+COUNTIFS(dClass,O$45,INDEX(dData,0,MATCH($B70&amp;CHAR(10)&amp;"Raw Score",dHdr,0)),"A"))/COUNTIF(dClass,O$45)),""))</f>
        <v/>
      </c>
    </row>
    <row r="71">
      <c r="B71" s="31" t="str">
        <f>Calc!AA28</f>
        <v/>
      </c>
      <c r="C71" s="57" t="str">
        <f>Calc!AC28</f>
        <v/>
      </c>
      <c r="D71" s="33" t="str">
        <f>Calc!AB28</f>
        <v/>
      </c>
      <c r="E71" s="33" t="str">
        <f>IF($B71="","",IFERROR(COUNT(INDEX(dData,0,MATCH($B71&amp;CHAR(10)&amp;"Raw Score",dHdr,0))),""))</f>
        <v/>
      </c>
      <c r="F71" s="36" t="str">
        <f>IF($B71="","",IFERROR(($E71+COUNTIF(INDEX(dData,0,MATCH($B71&amp;CHAR(10)&amp;"Raw Score",dHdr,0)),"A"))/COUNTA(dLast),""))</f>
        <v/>
      </c>
      <c r="G71" s="58" t="str">
        <f>IF($B71="","",IFERROR(CHOOSE(MATCH(SelMeasure,MeasureList,0),AVERAGE(INDEX(dData,0,MATCH($B71&amp;CHAR(10)&amp;"Raw Score",dHdr,0)))/$D71,AVERAGE(INDEX(dData,0,MATCH($B71&amp;CHAR(10)&amp;"Stanine",dHdr,0))),$F71),""))</f>
        <v/>
      </c>
      <c r="H71" s="36" t="str">
        <f>IF(OR($B71="",H$45=""),"",IFERROR(CHOOSE(MATCH(SelMeasure,MeasureList,0),AVERAGEIFS(INDEX(dData,0,MATCH($B71&amp;CHAR(10)&amp;"Raw Score",dHdr,0)),dClass,H$45)/$D71,AVERAGEIFS(INDEX(dData,0,MATCH($B71&amp;CHAR(10)&amp;"Stanine",dHdr,0)),dClass,H$45),(COUNTIFS(dClass,H$45,INDEX(dData,0,MATCH($B71&amp;CHAR(10)&amp;"Raw Score",dHdr,0)),"&gt;=0")+COUNTIFS(dClass,H$45,INDEX(dData,0,MATCH($B71&amp;CHAR(10)&amp;"Raw Score",dHdr,0)),"A"))/COUNTIF(dClass,H$45)),""))</f>
        <v/>
      </c>
      <c r="I71" s="36" t="str">
        <f>IF(OR($B71="",I$45=""),"",IFERROR(CHOOSE(MATCH(SelMeasure,MeasureList,0),AVERAGEIFS(INDEX(dData,0,MATCH($B71&amp;CHAR(10)&amp;"Raw Score",dHdr,0)),dClass,I$45)/$D71,AVERAGEIFS(INDEX(dData,0,MATCH($B71&amp;CHAR(10)&amp;"Stanine",dHdr,0)),dClass,I$45),(COUNTIFS(dClass,I$45,INDEX(dData,0,MATCH($B71&amp;CHAR(10)&amp;"Raw Score",dHdr,0)),"&gt;=0")+COUNTIFS(dClass,I$45,INDEX(dData,0,MATCH($B71&amp;CHAR(10)&amp;"Raw Score",dHdr,0)),"A"))/COUNTIF(dClass,I$45)),""))</f>
        <v/>
      </c>
      <c r="J71" s="36" t="str">
        <f>IF(OR($B71="",J$45=""),"",IFERROR(CHOOSE(MATCH(SelMeasure,MeasureList,0),AVERAGEIFS(INDEX(dData,0,MATCH($B71&amp;CHAR(10)&amp;"Raw Score",dHdr,0)),dClass,J$45)/$D71,AVERAGEIFS(INDEX(dData,0,MATCH($B71&amp;CHAR(10)&amp;"Stanine",dHdr,0)),dClass,J$45),(COUNTIFS(dClass,J$45,INDEX(dData,0,MATCH($B71&amp;CHAR(10)&amp;"Raw Score",dHdr,0)),"&gt;=0")+COUNTIFS(dClass,J$45,INDEX(dData,0,MATCH($B71&amp;CHAR(10)&amp;"Raw Score",dHdr,0)),"A"))/COUNTIF(dClass,J$45)),""))</f>
        <v/>
      </c>
      <c r="K71" s="36" t="str">
        <f>IF(OR($B71="",K$45=""),"",IFERROR(CHOOSE(MATCH(SelMeasure,MeasureList,0),AVERAGEIFS(INDEX(dData,0,MATCH($B71&amp;CHAR(10)&amp;"Raw Score",dHdr,0)),dClass,K$45)/$D71,AVERAGEIFS(INDEX(dData,0,MATCH($B71&amp;CHAR(10)&amp;"Stanine",dHdr,0)),dClass,K$45),(COUNTIFS(dClass,K$45,INDEX(dData,0,MATCH($B71&amp;CHAR(10)&amp;"Raw Score",dHdr,0)),"&gt;=0")+COUNTIFS(dClass,K$45,INDEX(dData,0,MATCH($B71&amp;CHAR(10)&amp;"Raw Score",dHdr,0)),"A"))/COUNTIF(dClass,K$45)),""))</f>
        <v/>
      </c>
      <c r="L71" s="36" t="str">
        <f>IF(OR($B71="",L$45=""),"",IFERROR(CHOOSE(MATCH(SelMeasure,MeasureList,0),AVERAGEIFS(INDEX(dData,0,MATCH($B71&amp;CHAR(10)&amp;"Raw Score",dHdr,0)),dClass,L$45)/$D71,AVERAGEIFS(INDEX(dData,0,MATCH($B71&amp;CHAR(10)&amp;"Stanine",dHdr,0)),dClass,L$45),(COUNTIFS(dClass,L$45,INDEX(dData,0,MATCH($B71&amp;CHAR(10)&amp;"Raw Score",dHdr,0)),"&gt;=0")+COUNTIFS(dClass,L$45,INDEX(dData,0,MATCH($B71&amp;CHAR(10)&amp;"Raw Score",dHdr,0)),"A"))/COUNTIF(dClass,L$45)),""))</f>
        <v/>
      </c>
      <c r="M71" s="36" t="str">
        <f>IF(OR($B71="",M$45=""),"",IFERROR(CHOOSE(MATCH(SelMeasure,MeasureList,0),AVERAGEIFS(INDEX(dData,0,MATCH($B71&amp;CHAR(10)&amp;"Raw Score",dHdr,0)),dClass,M$45)/$D71,AVERAGEIFS(INDEX(dData,0,MATCH($B71&amp;CHAR(10)&amp;"Stanine",dHdr,0)),dClass,M$45),(COUNTIFS(dClass,M$45,INDEX(dData,0,MATCH($B71&amp;CHAR(10)&amp;"Raw Score",dHdr,0)),"&gt;=0")+COUNTIFS(dClass,M$45,INDEX(dData,0,MATCH($B71&amp;CHAR(10)&amp;"Raw Score",dHdr,0)),"A"))/COUNTIF(dClass,M$45)),""))</f>
        <v/>
      </c>
      <c r="N71" s="36" t="str">
        <f>IF(OR($B71="",N$45=""),"",IFERROR(CHOOSE(MATCH(SelMeasure,MeasureList,0),AVERAGEIFS(INDEX(dData,0,MATCH($B71&amp;CHAR(10)&amp;"Raw Score",dHdr,0)),dClass,N$45)/$D71,AVERAGEIFS(INDEX(dData,0,MATCH($B71&amp;CHAR(10)&amp;"Stanine",dHdr,0)),dClass,N$45),(COUNTIFS(dClass,N$45,INDEX(dData,0,MATCH($B71&amp;CHAR(10)&amp;"Raw Score",dHdr,0)),"&gt;=0")+COUNTIFS(dClass,N$45,INDEX(dData,0,MATCH($B71&amp;CHAR(10)&amp;"Raw Score",dHdr,0)),"A"))/COUNTIF(dClass,N$45)),""))</f>
        <v/>
      </c>
      <c r="O71" s="36" t="str">
        <f>IF(OR($B71="",O$45=""),"",IFERROR(CHOOSE(MATCH(SelMeasure,MeasureList,0),AVERAGEIFS(INDEX(dData,0,MATCH($B71&amp;CHAR(10)&amp;"Raw Score",dHdr,0)),dClass,O$45)/$D71,AVERAGEIFS(INDEX(dData,0,MATCH($B71&amp;CHAR(10)&amp;"Stanine",dHdr,0)),dClass,O$45),(COUNTIFS(dClass,O$45,INDEX(dData,0,MATCH($B71&amp;CHAR(10)&amp;"Raw Score",dHdr,0)),"&gt;=0")+COUNTIFS(dClass,O$45,INDEX(dData,0,MATCH($B71&amp;CHAR(10)&amp;"Raw Score",dHdr,0)),"A"))/COUNTIF(dClass,O$45)),""))</f>
        <v/>
      </c>
    </row>
    <row r="72">
      <c r="B72" s="31" t="str">
        <f>Calc!AA29</f>
        <v/>
      </c>
      <c r="C72" s="57" t="str">
        <f>Calc!AC29</f>
        <v/>
      </c>
      <c r="D72" s="33" t="str">
        <f>Calc!AB29</f>
        <v/>
      </c>
      <c r="E72" s="33" t="str">
        <f>IF($B72="","",IFERROR(COUNT(INDEX(dData,0,MATCH($B72&amp;CHAR(10)&amp;"Raw Score",dHdr,0))),""))</f>
        <v/>
      </c>
      <c r="F72" s="36" t="str">
        <f>IF($B72="","",IFERROR(($E72+COUNTIF(INDEX(dData,0,MATCH($B72&amp;CHAR(10)&amp;"Raw Score",dHdr,0)),"A"))/COUNTA(dLast),""))</f>
        <v/>
      </c>
      <c r="G72" s="58" t="str">
        <f>IF($B72="","",IFERROR(CHOOSE(MATCH(SelMeasure,MeasureList,0),AVERAGE(INDEX(dData,0,MATCH($B72&amp;CHAR(10)&amp;"Raw Score",dHdr,0)))/$D72,AVERAGE(INDEX(dData,0,MATCH($B72&amp;CHAR(10)&amp;"Stanine",dHdr,0))),$F72),""))</f>
        <v/>
      </c>
      <c r="H72" s="36" t="str">
        <f>IF(OR($B72="",H$45=""),"",IFERROR(CHOOSE(MATCH(SelMeasure,MeasureList,0),AVERAGEIFS(INDEX(dData,0,MATCH($B72&amp;CHAR(10)&amp;"Raw Score",dHdr,0)),dClass,H$45)/$D72,AVERAGEIFS(INDEX(dData,0,MATCH($B72&amp;CHAR(10)&amp;"Stanine",dHdr,0)),dClass,H$45),(COUNTIFS(dClass,H$45,INDEX(dData,0,MATCH($B72&amp;CHAR(10)&amp;"Raw Score",dHdr,0)),"&gt;=0")+COUNTIFS(dClass,H$45,INDEX(dData,0,MATCH($B72&amp;CHAR(10)&amp;"Raw Score",dHdr,0)),"A"))/COUNTIF(dClass,H$45)),""))</f>
        <v/>
      </c>
      <c r="I72" s="36" t="str">
        <f>IF(OR($B72="",I$45=""),"",IFERROR(CHOOSE(MATCH(SelMeasure,MeasureList,0),AVERAGEIFS(INDEX(dData,0,MATCH($B72&amp;CHAR(10)&amp;"Raw Score",dHdr,0)),dClass,I$45)/$D72,AVERAGEIFS(INDEX(dData,0,MATCH($B72&amp;CHAR(10)&amp;"Stanine",dHdr,0)),dClass,I$45),(COUNTIFS(dClass,I$45,INDEX(dData,0,MATCH($B72&amp;CHAR(10)&amp;"Raw Score",dHdr,0)),"&gt;=0")+COUNTIFS(dClass,I$45,INDEX(dData,0,MATCH($B72&amp;CHAR(10)&amp;"Raw Score",dHdr,0)),"A"))/COUNTIF(dClass,I$45)),""))</f>
        <v/>
      </c>
      <c r="J72" s="36" t="str">
        <f>IF(OR($B72="",J$45=""),"",IFERROR(CHOOSE(MATCH(SelMeasure,MeasureList,0),AVERAGEIFS(INDEX(dData,0,MATCH($B72&amp;CHAR(10)&amp;"Raw Score",dHdr,0)),dClass,J$45)/$D72,AVERAGEIFS(INDEX(dData,0,MATCH($B72&amp;CHAR(10)&amp;"Stanine",dHdr,0)),dClass,J$45),(COUNTIFS(dClass,J$45,INDEX(dData,0,MATCH($B72&amp;CHAR(10)&amp;"Raw Score",dHdr,0)),"&gt;=0")+COUNTIFS(dClass,J$45,INDEX(dData,0,MATCH($B72&amp;CHAR(10)&amp;"Raw Score",dHdr,0)),"A"))/COUNTIF(dClass,J$45)),""))</f>
        <v/>
      </c>
      <c r="K72" s="36" t="str">
        <f>IF(OR($B72="",K$45=""),"",IFERROR(CHOOSE(MATCH(SelMeasure,MeasureList,0),AVERAGEIFS(INDEX(dData,0,MATCH($B72&amp;CHAR(10)&amp;"Raw Score",dHdr,0)),dClass,K$45)/$D72,AVERAGEIFS(INDEX(dData,0,MATCH($B72&amp;CHAR(10)&amp;"Stanine",dHdr,0)),dClass,K$45),(COUNTIFS(dClass,K$45,INDEX(dData,0,MATCH($B72&amp;CHAR(10)&amp;"Raw Score",dHdr,0)),"&gt;=0")+COUNTIFS(dClass,K$45,INDEX(dData,0,MATCH($B72&amp;CHAR(10)&amp;"Raw Score",dHdr,0)),"A"))/COUNTIF(dClass,K$45)),""))</f>
        <v/>
      </c>
      <c r="L72" s="36" t="str">
        <f>IF(OR($B72="",L$45=""),"",IFERROR(CHOOSE(MATCH(SelMeasure,MeasureList,0),AVERAGEIFS(INDEX(dData,0,MATCH($B72&amp;CHAR(10)&amp;"Raw Score",dHdr,0)),dClass,L$45)/$D72,AVERAGEIFS(INDEX(dData,0,MATCH($B72&amp;CHAR(10)&amp;"Stanine",dHdr,0)),dClass,L$45),(COUNTIFS(dClass,L$45,INDEX(dData,0,MATCH($B72&amp;CHAR(10)&amp;"Raw Score",dHdr,0)),"&gt;=0")+COUNTIFS(dClass,L$45,INDEX(dData,0,MATCH($B72&amp;CHAR(10)&amp;"Raw Score",dHdr,0)),"A"))/COUNTIF(dClass,L$45)),""))</f>
        <v/>
      </c>
      <c r="M72" s="36" t="str">
        <f>IF(OR($B72="",M$45=""),"",IFERROR(CHOOSE(MATCH(SelMeasure,MeasureList,0),AVERAGEIFS(INDEX(dData,0,MATCH($B72&amp;CHAR(10)&amp;"Raw Score",dHdr,0)),dClass,M$45)/$D72,AVERAGEIFS(INDEX(dData,0,MATCH($B72&amp;CHAR(10)&amp;"Stanine",dHdr,0)),dClass,M$45),(COUNTIFS(dClass,M$45,INDEX(dData,0,MATCH($B72&amp;CHAR(10)&amp;"Raw Score",dHdr,0)),"&gt;=0")+COUNTIFS(dClass,M$45,INDEX(dData,0,MATCH($B72&amp;CHAR(10)&amp;"Raw Score",dHdr,0)),"A"))/COUNTIF(dClass,M$45)),""))</f>
        <v/>
      </c>
      <c r="N72" s="36" t="str">
        <f>IF(OR($B72="",N$45=""),"",IFERROR(CHOOSE(MATCH(SelMeasure,MeasureList,0),AVERAGEIFS(INDEX(dData,0,MATCH($B72&amp;CHAR(10)&amp;"Raw Score",dHdr,0)),dClass,N$45)/$D72,AVERAGEIFS(INDEX(dData,0,MATCH($B72&amp;CHAR(10)&amp;"Stanine",dHdr,0)),dClass,N$45),(COUNTIFS(dClass,N$45,INDEX(dData,0,MATCH($B72&amp;CHAR(10)&amp;"Raw Score",dHdr,0)),"&gt;=0")+COUNTIFS(dClass,N$45,INDEX(dData,0,MATCH($B72&amp;CHAR(10)&amp;"Raw Score",dHdr,0)),"A"))/COUNTIF(dClass,N$45)),""))</f>
        <v/>
      </c>
      <c r="O72" s="36" t="str">
        <f>IF(OR($B72="",O$45=""),"",IFERROR(CHOOSE(MATCH(SelMeasure,MeasureList,0),AVERAGEIFS(INDEX(dData,0,MATCH($B72&amp;CHAR(10)&amp;"Raw Score",dHdr,0)),dClass,O$45)/$D72,AVERAGEIFS(INDEX(dData,0,MATCH($B72&amp;CHAR(10)&amp;"Stanine",dHdr,0)),dClass,O$45),(COUNTIFS(dClass,O$45,INDEX(dData,0,MATCH($B72&amp;CHAR(10)&amp;"Raw Score",dHdr,0)),"&gt;=0")+COUNTIFS(dClass,O$45,INDEX(dData,0,MATCH($B72&amp;CHAR(10)&amp;"Raw Score",dHdr,0)),"A"))/COUNTIF(dClass,O$45)),""))</f>
        <v/>
      </c>
    </row>
    <row r="73">
      <c r="B73" s="31" t="str">
        <f>Calc!AA30</f>
        <v/>
      </c>
      <c r="C73" s="57" t="str">
        <f>Calc!AC30</f>
        <v/>
      </c>
      <c r="D73" s="33" t="str">
        <f>Calc!AB30</f>
        <v/>
      </c>
      <c r="E73" s="33" t="str">
        <f>IF($B73="","",IFERROR(COUNT(INDEX(dData,0,MATCH($B73&amp;CHAR(10)&amp;"Raw Score",dHdr,0))),""))</f>
        <v/>
      </c>
      <c r="F73" s="36" t="str">
        <f>IF($B73="","",IFERROR(($E73+COUNTIF(INDEX(dData,0,MATCH($B73&amp;CHAR(10)&amp;"Raw Score",dHdr,0)),"A"))/COUNTA(dLast),""))</f>
        <v/>
      </c>
      <c r="G73" s="58" t="str">
        <f>IF($B73="","",IFERROR(CHOOSE(MATCH(SelMeasure,MeasureList,0),AVERAGE(INDEX(dData,0,MATCH($B73&amp;CHAR(10)&amp;"Raw Score",dHdr,0)))/$D73,AVERAGE(INDEX(dData,0,MATCH($B73&amp;CHAR(10)&amp;"Stanine",dHdr,0))),$F73),""))</f>
        <v/>
      </c>
      <c r="H73" s="36" t="str">
        <f>IF(OR($B73="",H$45=""),"",IFERROR(CHOOSE(MATCH(SelMeasure,MeasureList,0),AVERAGEIFS(INDEX(dData,0,MATCH($B73&amp;CHAR(10)&amp;"Raw Score",dHdr,0)),dClass,H$45)/$D73,AVERAGEIFS(INDEX(dData,0,MATCH($B73&amp;CHAR(10)&amp;"Stanine",dHdr,0)),dClass,H$45),(COUNTIFS(dClass,H$45,INDEX(dData,0,MATCH($B73&amp;CHAR(10)&amp;"Raw Score",dHdr,0)),"&gt;=0")+COUNTIFS(dClass,H$45,INDEX(dData,0,MATCH($B73&amp;CHAR(10)&amp;"Raw Score",dHdr,0)),"A"))/COUNTIF(dClass,H$45)),""))</f>
        <v/>
      </c>
      <c r="I73" s="36" t="str">
        <f>IF(OR($B73="",I$45=""),"",IFERROR(CHOOSE(MATCH(SelMeasure,MeasureList,0),AVERAGEIFS(INDEX(dData,0,MATCH($B73&amp;CHAR(10)&amp;"Raw Score",dHdr,0)),dClass,I$45)/$D73,AVERAGEIFS(INDEX(dData,0,MATCH($B73&amp;CHAR(10)&amp;"Stanine",dHdr,0)),dClass,I$45),(COUNTIFS(dClass,I$45,INDEX(dData,0,MATCH($B73&amp;CHAR(10)&amp;"Raw Score",dHdr,0)),"&gt;=0")+COUNTIFS(dClass,I$45,INDEX(dData,0,MATCH($B73&amp;CHAR(10)&amp;"Raw Score",dHdr,0)),"A"))/COUNTIF(dClass,I$45)),""))</f>
        <v/>
      </c>
      <c r="J73" s="36" t="str">
        <f>IF(OR($B73="",J$45=""),"",IFERROR(CHOOSE(MATCH(SelMeasure,MeasureList,0),AVERAGEIFS(INDEX(dData,0,MATCH($B73&amp;CHAR(10)&amp;"Raw Score",dHdr,0)),dClass,J$45)/$D73,AVERAGEIFS(INDEX(dData,0,MATCH($B73&amp;CHAR(10)&amp;"Stanine",dHdr,0)),dClass,J$45),(COUNTIFS(dClass,J$45,INDEX(dData,0,MATCH($B73&amp;CHAR(10)&amp;"Raw Score",dHdr,0)),"&gt;=0")+COUNTIFS(dClass,J$45,INDEX(dData,0,MATCH($B73&amp;CHAR(10)&amp;"Raw Score",dHdr,0)),"A"))/COUNTIF(dClass,J$45)),""))</f>
        <v/>
      </c>
      <c r="K73" s="36" t="str">
        <f>IF(OR($B73="",K$45=""),"",IFERROR(CHOOSE(MATCH(SelMeasure,MeasureList,0),AVERAGEIFS(INDEX(dData,0,MATCH($B73&amp;CHAR(10)&amp;"Raw Score",dHdr,0)),dClass,K$45)/$D73,AVERAGEIFS(INDEX(dData,0,MATCH($B73&amp;CHAR(10)&amp;"Stanine",dHdr,0)),dClass,K$45),(COUNTIFS(dClass,K$45,INDEX(dData,0,MATCH($B73&amp;CHAR(10)&amp;"Raw Score",dHdr,0)),"&gt;=0")+COUNTIFS(dClass,K$45,INDEX(dData,0,MATCH($B73&amp;CHAR(10)&amp;"Raw Score",dHdr,0)),"A"))/COUNTIF(dClass,K$45)),""))</f>
        <v/>
      </c>
      <c r="L73" s="36" t="str">
        <f>IF(OR($B73="",L$45=""),"",IFERROR(CHOOSE(MATCH(SelMeasure,MeasureList,0),AVERAGEIFS(INDEX(dData,0,MATCH($B73&amp;CHAR(10)&amp;"Raw Score",dHdr,0)),dClass,L$45)/$D73,AVERAGEIFS(INDEX(dData,0,MATCH($B73&amp;CHAR(10)&amp;"Stanine",dHdr,0)),dClass,L$45),(COUNTIFS(dClass,L$45,INDEX(dData,0,MATCH($B73&amp;CHAR(10)&amp;"Raw Score",dHdr,0)),"&gt;=0")+COUNTIFS(dClass,L$45,INDEX(dData,0,MATCH($B73&amp;CHAR(10)&amp;"Raw Score",dHdr,0)),"A"))/COUNTIF(dClass,L$45)),""))</f>
        <v/>
      </c>
      <c r="M73" s="36" t="str">
        <f>IF(OR($B73="",M$45=""),"",IFERROR(CHOOSE(MATCH(SelMeasure,MeasureList,0),AVERAGEIFS(INDEX(dData,0,MATCH($B73&amp;CHAR(10)&amp;"Raw Score",dHdr,0)),dClass,M$45)/$D73,AVERAGEIFS(INDEX(dData,0,MATCH($B73&amp;CHAR(10)&amp;"Stanine",dHdr,0)),dClass,M$45),(COUNTIFS(dClass,M$45,INDEX(dData,0,MATCH($B73&amp;CHAR(10)&amp;"Raw Score",dHdr,0)),"&gt;=0")+COUNTIFS(dClass,M$45,INDEX(dData,0,MATCH($B73&amp;CHAR(10)&amp;"Raw Score",dHdr,0)),"A"))/COUNTIF(dClass,M$45)),""))</f>
        <v/>
      </c>
      <c r="N73" s="36" t="str">
        <f>IF(OR($B73="",N$45=""),"",IFERROR(CHOOSE(MATCH(SelMeasure,MeasureList,0),AVERAGEIFS(INDEX(dData,0,MATCH($B73&amp;CHAR(10)&amp;"Raw Score",dHdr,0)),dClass,N$45)/$D73,AVERAGEIFS(INDEX(dData,0,MATCH($B73&amp;CHAR(10)&amp;"Stanine",dHdr,0)),dClass,N$45),(COUNTIFS(dClass,N$45,INDEX(dData,0,MATCH($B73&amp;CHAR(10)&amp;"Raw Score",dHdr,0)),"&gt;=0")+COUNTIFS(dClass,N$45,INDEX(dData,0,MATCH($B73&amp;CHAR(10)&amp;"Raw Score",dHdr,0)),"A"))/COUNTIF(dClass,N$45)),""))</f>
        <v/>
      </c>
      <c r="O73" s="36" t="str">
        <f>IF(OR($B73="",O$45=""),"",IFERROR(CHOOSE(MATCH(SelMeasure,MeasureList,0),AVERAGEIFS(INDEX(dData,0,MATCH($B73&amp;CHAR(10)&amp;"Raw Score",dHdr,0)),dClass,O$45)/$D73,AVERAGEIFS(INDEX(dData,0,MATCH($B73&amp;CHAR(10)&amp;"Stanine",dHdr,0)),dClass,O$45),(COUNTIFS(dClass,O$45,INDEX(dData,0,MATCH($B73&amp;CHAR(10)&amp;"Raw Score",dHdr,0)),"&gt;=0")+COUNTIFS(dClass,O$45,INDEX(dData,0,MATCH($B73&amp;CHAR(10)&amp;"Raw Score",dHdr,0)),"A"))/COUNTIF(dClass,O$45)),""))</f>
        <v/>
      </c>
    </row>
    <row r="74">
      <c r="B74" s="31" t="str">
        <f>Calc!AA31</f>
        <v/>
      </c>
      <c r="C74" s="57" t="str">
        <f>Calc!AC31</f>
        <v/>
      </c>
      <c r="D74" s="33" t="str">
        <f>Calc!AB31</f>
        <v/>
      </c>
      <c r="E74" s="33" t="str">
        <f>IF($B74="","",IFERROR(COUNT(INDEX(dData,0,MATCH($B74&amp;CHAR(10)&amp;"Raw Score",dHdr,0))),""))</f>
        <v/>
      </c>
      <c r="F74" s="36" t="str">
        <f>IF($B74="","",IFERROR(($E74+COUNTIF(INDEX(dData,0,MATCH($B74&amp;CHAR(10)&amp;"Raw Score",dHdr,0)),"A"))/COUNTA(dLast),""))</f>
        <v/>
      </c>
      <c r="G74" s="58" t="str">
        <f>IF($B74="","",IFERROR(CHOOSE(MATCH(SelMeasure,MeasureList,0),AVERAGE(INDEX(dData,0,MATCH($B74&amp;CHAR(10)&amp;"Raw Score",dHdr,0)))/$D74,AVERAGE(INDEX(dData,0,MATCH($B74&amp;CHAR(10)&amp;"Stanine",dHdr,0))),$F74),""))</f>
        <v/>
      </c>
      <c r="H74" s="36" t="str">
        <f>IF(OR($B74="",H$45=""),"",IFERROR(CHOOSE(MATCH(SelMeasure,MeasureList,0),AVERAGEIFS(INDEX(dData,0,MATCH($B74&amp;CHAR(10)&amp;"Raw Score",dHdr,0)),dClass,H$45)/$D74,AVERAGEIFS(INDEX(dData,0,MATCH($B74&amp;CHAR(10)&amp;"Stanine",dHdr,0)),dClass,H$45),(COUNTIFS(dClass,H$45,INDEX(dData,0,MATCH($B74&amp;CHAR(10)&amp;"Raw Score",dHdr,0)),"&gt;=0")+COUNTIFS(dClass,H$45,INDEX(dData,0,MATCH($B74&amp;CHAR(10)&amp;"Raw Score",dHdr,0)),"A"))/COUNTIF(dClass,H$45)),""))</f>
        <v/>
      </c>
      <c r="I74" s="36" t="str">
        <f>IF(OR($B74="",I$45=""),"",IFERROR(CHOOSE(MATCH(SelMeasure,MeasureList,0),AVERAGEIFS(INDEX(dData,0,MATCH($B74&amp;CHAR(10)&amp;"Raw Score",dHdr,0)),dClass,I$45)/$D74,AVERAGEIFS(INDEX(dData,0,MATCH($B74&amp;CHAR(10)&amp;"Stanine",dHdr,0)),dClass,I$45),(COUNTIFS(dClass,I$45,INDEX(dData,0,MATCH($B74&amp;CHAR(10)&amp;"Raw Score",dHdr,0)),"&gt;=0")+COUNTIFS(dClass,I$45,INDEX(dData,0,MATCH($B74&amp;CHAR(10)&amp;"Raw Score",dHdr,0)),"A"))/COUNTIF(dClass,I$45)),""))</f>
        <v/>
      </c>
      <c r="J74" s="36" t="str">
        <f>IF(OR($B74="",J$45=""),"",IFERROR(CHOOSE(MATCH(SelMeasure,MeasureList,0),AVERAGEIFS(INDEX(dData,0,MATCH($B74&amp;CHAR(10)&amp;"Raw Score",dHdr,0)),dClass,J$45)/$D74,AVERAGEIFS(INDEX(dData,0,MATCH($B74&amp;CHAR(10)&amp;"Stanine",dHdr,0)),dClass,J$45),(COUNTIFS(dClass,J$45,INDEX(dData,0,MATCH($B74&amp;CHAR(10)&amp;"Raw Score",dHdr,0)),"&gt;=0")+COUNTIFS(dClass,J$45,INDEX(dData,0,MATCH($B74&amp;CHAR(10)&amp;"Raw Score",dHdr,0)),"A"))/COUNTIF(dClass,J$45)),""))</f>
        <v/>
      </c>
      <c r="K74" s="36" t="str">
        <f>IF(OR($B74="",K$45=""),"",IFERROR(CHOOSE(MATCH(SelMeasure,MeasureList,0),AVERAGEIFS(INDEX(dData,0,MATCH($B74&amp;CHAR(10)&amp;"Raw Score",dHdr,0)),dClass,K$45)/$D74,AVERAGEIFS(INDEX(dData,0,MATCH($B74&amp;CHAR(10)&amp;"Stanine",dHdr,0)),dClass,K$45),(COUNTIFS(dClass,K$45,INDEX(dData,0,MATCH($B74&amp;CHAR(10)&amp;"Raw Score",dHdr,0)),"&gt;=0")+COUNTIFS(dClass,K$45,INDEX(dData,0,MATCH($B74&amp;CHAR(10)&amp;"Raw Score",dHdr,0)),"A"))/COUNTIF(dClass,K$45)),""))</f>
        <v/>
      </c>
      <c r="L74" s="36" t="str">
        <f>IF(OR($B74="",L$45=""),"",IFERROR(CHOOSE(MATCH(SelMeasure,MeasureList,0),AVERAGEIFS(INDEX(dData,0,MATCH($B74&amp;CHAR(10)&amp;"Raw Score",dHdr,0)),dClass,L$45)/$D74,AVERAGEIFS(INDEX(dData,0,MATCH($B74&amp;CHAR(10)&amp;"Stanine",dHdr,0)),dClass,L$45),(COUNTIFS(dClass,L$45,INDEX(dData,0,MATCH($B74&amp;CHAR(10)&amp;"Raw Score",dHdr,0)),"&gt;=0")+COUNTIFS(dClass,L$45,INDEX(dData,0,MATCH($B74&amp;CHAR(10)&amp;"Raw Score",dHdr,0)),"A"))/COUNTIF(dClass,L$45)),""))</f>
        <v/>
      </c>
      <c r="M74" s="36" t="str">
        <f>IF(OR($B74="",M$45=""),"",IFERROR(CHOOSE(MATCH(SelMeasure,MeasureList,0),AVERAGEIFS(INDEX(dData,0,MATCH($B74&amp;CHAR(10)&amp;"Raw Score",dHdr,0)),dClass,M$45)/$D74,AVERAGEIFS(INDEX(dData,0,MATCH($B74&amp;CHAR(10)&amp;"Stanine",dHdr,0)),dClass,M$45),(COUNTIFS(dClass,M$45,INDEX(dData,0,MATCH($B74&amp;CHAR(10)&amp;"Raw Score",dHdr,0)),"&gt;=0")+COUNTIFS(dClass,M$45,INDEX(dData,0,MATCH($B74&amp;CHAR(10)&amp;"Raw Score",dHdr,0)),"A"))/COUNTIF(dClass,M$45)),""))</f>
        <v/>
      </c>
      <c r="N74" s="36" t="str">
        <f>IF(OR($B74="",N$45=""),"",IFERROR(CHOOSE(MATCH(SelMeasure,MeasureList,0),AVERAGEIFS(INDEX(dData,0,MATCH($B74&amp;CHAR(10)&amp;"Raw Score",dHdr,0)),dClass,N$45)/$D74,AVERAGEIFS(INDEX(dData,0,MATCH($B74&amp;CHAR(10)&amp;"Stanine",dHdr,0)),dClass,N$45),(COUNTIFS(dClass,N$45,INDEX(dData,0,MATCH($B74&amp;CHAR(10)&amp;"Raw Score",dHdr,0)),"&gt;=0")+COUNTIFS(dClass,N$45,INDEX(dData,0,MATCH($B74&amp;CHAR(10)&amp;"Raw Score",dHdr,0)),"A"))/COUNTIF(dClass,N$45)),""))</f>
        <v/>
      </c>
      <c r="O74" s="36" t="str">
        <f>IF(OR($B74="",O$45=""),"",IFERROR(CHOOSE(MATCH(SelMeasure,MeasureList,0),AVERAGEIFS(INDEX(dData,0,MATCH($B74&amp;CHAR(10)&amp;"Raw Score",dHdr,0)),dClass,O$45)/$D74,AVERAGEIFS(INDEX(dData,0,MATCH($B74&amp;CHAR(10)&amp;"Stanine",dHdr,0)),dClass,O$45),(COUNTIFS(dClass,O$45,INDEX(dData,0,MATCH($B74&amp;CHAR(10)&amp;"Raw Score",dHdr,0)),"&gt;=0")+COUNTIFS(dClass,O$45,INDEX(dData,0,MATCH($B74&amp;CHAR(10)&amp;"Raw Score",dHdr,0)),"A"))/COUNTIF(dClass,O$45)),""))</f>
        <v/>
      </c>
    </row>
    <row r="75">
      <c r="B75" s="31" t="str">
        <f>Calc!AA32</f>
        <v/>
      </c>
      <c r="C75" s="57" t="str">
        <f>Calc!AC32</f>
        <v/>
      </c>
      <c r="D75" s="33" t="str">
        <f>Calc!AB32</f>
        <v/>
      </c>
      <c r="E75" s="33" t="str">
        <f>IF($B75="","",IFERROR(COUNT(INDEX(dData,0,MATCH($B75&amp;CHAR(10)&amp;"Raw Score",dHdr,0))),""))</f>
        <v/>
      </c>
      <c r="F75" s="36" t="str">
        <f>IF($B75="","",IFERROR(($E75+COUNTIF(INDEX(dData,0,MATCH($B75&amp;CHAR(10)&amp;"Raw Score",dHdr,0)),"A"))/COUNTA(dLast),""))</f>
        <v/>
      </c>
      <c r="G75" s="58" t="str">
        <f>IF($B75="","",IFERROR(CHOOSE(MATCH(SelMeasure,MeasureList,0),AVERAGE(INDEX(dData,0,MATCH($B75&amp;CHAR(10)&amp;"Raw Score",dHdr,0)))/$D75,AVERAGE(INDEX(dData,0,MATCH($B75&amp;CHAR(10)&amp;"Stanine",dHdr,0))),$F75),""))</f>
        <v/>
      </c>
      <c r="H75" s="36" t="str">
        <f>IF(OR($B75="",H$45=""),"",IFERROR(CHOOSE(MATCH(SelMeasure,MeasureList,0),AVERAGEIFS(INDEX(dData,0,MATCH($B75&amp;CHAR(10)&amp;"Raw Score",dHdr,0)),dClass,H$45)/$D75,AVERAGEIFS(INDEX(dData,0,MATCH($B75&amp;CHAR(10)&amp;"Stanine",dHdr,0)),dClass,H$45),(COUNTIFS(dClass,H$45,INDEX(dData,0,MATCH($B75&amp;CHAR(10)&amp;"Raw Score",dHdr,0)),"&gt;=0")+COUNTIFS(dClass,H$45,INDEX(dData,0,MATCH($B75&amp;CHAR(10)&amp;"Raw Score",dHdr,0)),"A"))/COUNTIF(dClass,H$45)),""))</f>
        <v/>
      </c>
      <c r="I75" s="36" t="str">
        <f>IF(OR($B75="",I$45=""),"",IFERROR(CHOOSE(MATCH(SelMeasure,MeasureList,0),AVERAGEIFS(INDEX(dData,0,MATCH($B75&amp;CHAR(10)&amp;"Raw Score",dHdr,0)),dClass,I$45)/$D75,AVERAGEIFS(INDEX(dData,0,MATCH($B75&amp;CHAR(10)&amp;"Stanine",dHdr,0)),dClass,I$45),(COUNTIFS(dClass,I$45,INDEX(dData,0,MATCH($B75&amp;CHAR(10)&amp;"Raw Score",dHdr,0)),"&gt;=0")+COUNTIFS(dClass,I$45,INDEX(dData,0,MATCH($B75&amp;CHAR(10)&amp;"Raw Score",dHdr,0)),"A"))/COUNTIF(dClass,I$45)),""))</f>
        <v/>
      </c>
      <c r="J75" s="36" t="str">
        <f>IF(OR($B75="",J$45=""),"",IFERROR(CHOOSE(MATCH(SelMeasure,MeasureList,0),AVERAGEIFS(INDEX(dData,0,MATCH($B75&amp;CHAR(10)&amp;"Raw Score",dHdr,0)),dClass,J$45)/$D75,AVERAGEIFS(INDEX(dData,0,MATCH($B75&amp;CHAR(10)&amp;"Stanine",dHdr,0)),dClass,J$45),(COUNTIFS(dClass,J$45,INDEX(dData,0,MATCH($B75&amp;CHAR(10)&amp;"Raw Score",dHdr,0)),"&gt;=0")+COUNTIFS(dClass,J$45,INDEX(dData,0,MATCH($B75&amp;CHAR(10)&amp;"Raw Score",dHdr,0)),"A"))/COUNTIF(dClass,J$45)),""))</f>
        <v/>
      </c>
      <c r="K75" s="36" t="str">
        <f>IF(OR($B75="",K$45=""),"",IFERROR(CHOOSE(MATCH(SelMeasure,MeasureList,0),AVERAGEIFS(INDEX(dData,0,MATCH($B75&amp;CHAR(10)&amp;"Raw Score",dHdr,0)),dClass,K$45)/$D75,AVERAGEIFS(INDEX(dData,0,MATCH($B75&amp;CHAR(10)&amp;"Stanine",dHdr,0)),dClass,K$45),(COUNTIFS(dClass,K$45,INDEX(dData,0,MATCH($B75&amp;CHAR(10)&amp;"Raw Score",dHdr,0)),"&gt;=0")+COUNTIFS(dClass,K$45,INDEX(dData,0,MATCH($B75&amp;CHAR(10)&amp;"Raw Score",dHdr,0)),"A"))/COUNTIF(dClass,K$45)),""))</f>
        <v/>
      </c>
      <c r="L75" s="36" t="str">
        <f>IF(OR($B75="",L$45=""),"",IFERROR(CHOOSE(MATCH(SelMeasure,MeasureList,0),AVERAGEIFS(INDEX(dData,0,MATCH($B75&amp;CHAR(10)&amp;"Raw Score",dHdr,0)),dClass,L$45)/$D75,AVERAGEIFS(INDEX(dData,0,MATCH($B75&amp;CHAR(10)&amp;"Stanine",dHdr,0)),dClass,L$45),(COUNTIFS(dClass,L$45,INDEX(dData,0,MATCH($B75&amp;CHAR(10)&amp;"Raw Score",dHdr,0)),"&gt;=0")+COUNTIFS(dClass,L$45,INDEX(dData,0,MATCH($B75&amp;CHAR(10)&amp;"Raw Score",dHdr,0)),"A"))/COUNTIF(dClass,L$45)),""))</f>
        <v/>
      </c>
      <c r="M75" s="36" t="str">
        <f>IF(OR($B75="",M$45=""),"",IFERROR(CHOOSE(MATCH(SelMeasure,MeasureList,0),AVERAGEIFS(INDEX(dData,0,MATCH($B75&amp;CHAR(10)&amp;"Raw Score",dHdr,0)),dClass,M$45)/$D75,AVERAGEIFS(INDEX(dData,0,MATCH($B75&amp;CHAR(10)&amp;"Stanine",dHdr,0)),dClass,M$45),(COUNTIFS(dClass,M$45,INDEX(dData,0,MATCH($B75&amp;CHAR(10)&amp;"Raw Score",dHdr,0)),"&gt;=0")+COUNTIFS(dClass,M$45,INDEX(dData,0,MATCH($B75&amp;CHAR(10)&amp;"Raw Score",dHdr,0)),"A"))/COUNTIF(dClass,M$45)),""))</f>
        <v/>
      </c>
      <c r="N75" s="36" t="str">
        <f>IF(OR($B75="",N$45=""),"",IFERROR(CHOOSE(MATCH(SelMeasure,MeasureList,0),AVERAGEIFS(INDEX(dData,0,MATCH($B75&amp;CHAR(10)&amp;"Raw Score",dHdr,0)),dClass,N$45)/$D75,AVERAGEIFS(INDEX(dData,0,MATCH($B75&amp;CHAR(10)&amp;"Stanine",dHdr,0)),dClass,N$45),(COUNTIFS(dClass,N$45,INDEX(dData,0,MATCH($B75&amp;CHAR(10)&amp;"Raw Score",dHdr,0)),"&gt;=0")+COUNTIFS(dClass,N$45,INDEX(dData,0,MATCH($B75&amp;CHAR(10)&amp;"Raw Score",dHdr,0)),"A"))/COUNTIF(dClass,N$45)),""))</f>
        <v/>
      </c>
      <c r="O75" s="36" t="str">
        <f>IF(OR($B75="",O$45=""),"",IFERROR(CHOOSE(MATCH(SelMeasure,MeasureList,0),AVERAGEIFS(INDEX(dData,0,MATCH($B75&amp;CHAR(10)&amp;"Raw Score",dHdr,0)),dClass,O$45)/$D75,AVERAGEIFS(INDEX(dData,0,MATCH($B75&amp;CHAR(10)&amp;"Stanine",dHdr,0)),dClass,O$45),(COUNTIFS(dClass,O$45,INDEX(dData,0,MATCH($B75&amp;CHAR(10)&amp;"Raw Score",dHdr,0)),"&gt;=0")+COUNTIFS(dClass,O$45,INDEX(dData,0,MATCH($B75&amp;CHAR(10)&amp;"Raw Score",dHdr,0)),"A"))/COUNTIF(dClass,O$45)),""))</f>
        <v/>
      </c>
    </row>
    <row r="76">
      <c r="B76" s="31" t="str">
        <f>Calc!AA33</f>
        <v/>
      </c>
      <c r="C76" s="57" t="str">
        <f>Calc!AC33</f>
        <v/>
      </c>
      <c r="D76" s="33" t="str">
        <f>Calc!AB33</f>
        <v/>
      </c>
      <c r="E76" s="33" t="str">
        <f>IF($B76="","",IFERROR(COUNT(INDEX(dData,0,MATCH($B76&amp;CHAR(10)&amp;"Raw Score",dHdr,0))),""))</f>
        <v/>
      </c>
      <c r="F76" s="36" t="str">
        <f>IF($B76="","",IFERROR(($E76+COUNTIF(INDEX(dData,0,MATCH($B76&amp;CHAR(10)&amp;"Raw Score",dHdr,0)),"A"))/COUNTA(dLast),""))</f>
        <v/>
      </c>
      <c r="G76" s="58" t="str">
        <f>IF($B76="","",IFERROR(CHOOSE(MATCH(SelMeasure,MeasureList,0),AVERAGE(INDEX(dData,0,MATCH($B76&amp;CHAR(10)&amp;"Raw Score",dHdr,0)))/$D76,AVERAGE(INDEX(dData,0,MATCH($B76&amp;CHAR(10)&amp;"Stanine",dHdr,0))),$F76),""))</f>
        <v/>
      </c>
      <c r="H76" s="36" t="str">
        <f>IF(OR($B76="",H$45=""),"",IFERROR(CHOOSE(MATCH(SelMeasure,MeasureList,0),AVERAGEIFS(INDEX(dData,0,MATCH($B76&amp;CHAR(10)&amp;"Raw Score",dHdr,0)),dClass,H$45)/$D76,AVERAGEIFS(INDEX(dData,0,MATCH($B76&amp;CHAR(10)&amp;"Stanine",dHdr,0)),dClass,H$45),(COUNTIFS(dClass,H$45,INDEX(dData,0,MATCH($B76&amp;CHAR(10)&amp;"Raw Score",dHdr,0)),"&gt;=0")+COUNTIFS(dClass,H$45,INDEX(dData,0,MATCH($B76&amp;CHAR(10)&amp;"Raw Score",dHdr,0)),"A"))/COUNTIF(dClass,H$45)),""))</f>
        <v/>
      </c>
      <c r="I76" s="36" t="str">
        <f>IF(OR($B76="",I$45=""),"",IFERROR(CHOOSE(MATCH(SelMeasure,MeasureList,0),AVERAGEIFS(INDEX(dData,0,MATCH($B76&amp;CHAR(10)&amp;"Raw Score",dHdr,0)),dClass,I$45)/$D76,AVERAGEIFS(INDEX(dData,0,MATCH($B76&amp;CHAR(10)&amp;"Stanine",dHdr,0)),dClass,I$45),(COUNTIFS(dClass,I$45,INDEX(dData,0,MATCH($B76&amp;CHAR(10)&amp;"Raw Score",dHdr,0)),"&gt;=0")+COUNTIFS(dClass,I$45,INDEX(dData,0,MATCH($B76&amp;CHAR(10)&amp;"Raw Score",dHdr,0)),"A"))/COUNTIF(dClass,I$45)),""))</f>
        <v/>
      </c>
      <c r="J76" s="36" t="str">
        <f>IF(OR($B76="",J$45=""),"",IFERROR(CHOOSE(MATCH(SelMeasure,MeasureList,0),AVERAGEIFS(INDEX(dData,0,MATCH($B76&amp;CHAR(10)&amp;"Raw Score",dHdr,0)),dClass,J$45)/$D76,AVERAGEIFS(INDEX(dData,0,MATCH($B76&amp;CHAR(10)&amp;"Stanine",dHdr,0)),dClass,J$45),(COUNTIFS(dClass,J$45,INDEX(dData,0,MATCH($B76&amp;CHAR(10)&amp;"Raw Score",dHdr,0)),"&gt;=0")+COUNTIFS(dClass,J$45,INDEX(dData,0,MATCH($B76&amp;CHAR(10)&amp;"Raw Score",dHdr,0)),"A"))/COUNTIF(dClass,J$45)),""))</f>
        <v/>
      </c>
      <c r="K76" s="36" t="str">
        <f>IF(OR($B76="",K$45=""),"",IFERROR(CHOOSE(MATCH(SelMeasure,MeasureList,0),AVERAGEIFS(INDEX(dData,0,MATCH($B76&amp;CHAR(10)&amp;"Raw Score",dHdr,0)),dClass,K$45)/$D76,AVERAGEIFS(INDEX(dData,0,MATCH($B76&amp;CHAR(10)&amp;"Stanine",dHdr,0)),dClass,K$45),(COUNTIFS(dClass,K$45,INDEX(dData,0,MATCH($B76&amp;CHAR(10)&amp;"Raw Score",dHdr,0)),"&gt;=0")+COUNTIFS(dClass,K$45,INDEX(dData,0,MATCH($B76&amp;CHAR(10)&amp;"Raw Score",dHdr,0)),"A"))/COUNTIF(dClass,K$45)),""))</f>
        <v/>
      </c>
      <c r="L76" s="36" t="str">
        <f>IF(OR($B76="",L$45=""),"",IFERROR(CHOOSE(MATCH(SelMeasure,MeasureList,0),AVERAGEIFS(INDEX(dData,0,MATCH($B76&amp;CHAR(10)&amp;"Raw Score",dHdr,0)),dClass,L$45)/$D76,AVERAGEIFS(INDEX(dData,0,MATCH($B76&amp;CHAR(10)&amp;"Stanine",dHdr,0)),dClass,L$45),(COUNTIFS(dClass,L$45,INDEX(dData,0,MATCH($B76&amp;CHAR(10)&amp;"Raw Score",dHdr,0)),"&gt;=0")+COUNTIFS(dClass,L$45,INDEX(dData,0,MATCH($B76&amp;CHAR(10)&amp;"Raw Score",dHdr,0)),"A"))/COUNTIF(dClass,L$45)),""))</f>
        <v/>
      </c>
      <c r="M76" s="36" t="str">
        <f>IF(OR($B76="",M$45=""),"",IFERROR(CHOOSE(MATCH(SelMeasure,MeasureList,0),AVERAGEIFS(INDEX(dData,0,MATCH($B76&amp;CHAR(10)&amp;"Raw Score",dHdr,0)),dClass,M$45)/$D76,AVERAGEIFS(INDEX(dData,0,MATCH($B76&amp;CHAR(10)&amp;"Stanine",dHdr,0)),dClass,M$45),(COUNTIFS(dClass,M$45,INDEX(dData,0,MATCH($B76&amp;CHAR(10)&amp;"Raw Score",dHdr,0)),"&gt;=0")+COUNTIFS(dClass,M$45,INDEX(dData,0,MATCH($B76&amp;CHAR(10)&amp;"Raw Score",dHdr,0)),"A"))/COUNTIF(dClass,M$45)),""))</f>
        <v/>
      </c>
      <c r="N76" s="36" t="str">
        <f>IF(OR($B76="",N$45=""),"",IFERROR(CHOOSE(MATCH(SelMeasure,MeasureList,0),AVERAGEIFS(INDEX(dData,0,MATCH($B76&amp;CHAR(10)&amp;"Raw Score",dHdr,0)),dClass,N$45)/$D76,AVERAGEIFS(INDEX(dData,0,MATCH($B76&amp;CHAR(10)&amp;"Stanine",dHdr,0)),dClass,N$45),(COUNTIFS(dClass,N$45,INDEX(dData,0,MATCH($B76&amp;CHAR(10)&amp;"Raw Score",dHdr,0)),"&gt;=0")+COUNTIFS(dClass,N$45,INDEX(dData,0,MATCH($B76&amp;CHAR(10)&amp;"Raw Score",dHdr,0)),"A"))/COUNTIF(dClass,N$45)),""))</f>
        <v/>
      </c>
      <c r="O76" s="36" t="str">
        <f>IF(OR($B76="",O$45=""),"",IFERROR(CHOOSE(MATCH(SelMeasure,MeasureList,0),AVERAGEIFS(INDEX(dData,0,MATCH($B76&amp;CHAR(10)&amp;"Raw Score",dHdr,0)),dClass,O$45)/$D76,AVERAGEIFS(INDEX(dData,0,MATCH($B76&amp;CHAR(10)&amp;"Stanine",dHdr,0)),dClass,O$45),(COUNTIFS(dClass,O$45,INDEX(dData,0,MATCH($B76&amp;CHAR(10)&amp;"Raw Score",dHdr,0)),"&gt;=0")+COUNTIFS(dClass,O$45,INDEX(dData,0,MATCH($B76&amp;CHAR(10)&amp;"Raw Score",dHdr,0)),"A"))/COUNTIF(dClass,O$45)),""))</f>
        <v/>
      </c>
    </row>
    <row r="77">
      <c r="B77" s="31" t="str">
        <f>Calc!AA34</f>
        <v/>
      </c>
      <c r="C77" s="57" t="str">
        <f>Calc!AC34</f>
        <v/>
      </c>
      <c r="D77" s="33" t="str">
        <f>Calc!AB34</f>
        <v/>
      </c>
      <c r="E77" s="33" t="str">
        <f>IF($B77="","",IFERROR(COUNT(INDEX(dData,0,MATCH($B77&amp;CHAR(10)&amp;"Raw Score",dHdr,0))),""))</f>
        <v/>
      </c>
      <c r="F77" s="36" t="str">
        <f>IF($B77="","",IFERROR(($E77+COUNTIF(INDEX(dData,0,MATCH($B77&amp;CHAR(10)&amp;"Raw Score",dHdr,0)),"A"))/COUNTA(dLast),""))</f>
        <v/>
      </c>
      <c r="G77" s="58" t="str">
        <f>IF($B77="","",IFERROR(CHOOSE(MATCH(SelMeasure,MeasureList,0),AVERAGE(INDEX(dData,0,MATCH($B77&amp;CHAR(10)&amp;"Raw Score",dHdr,0)))/$D77,AVERAGE(INDEX(dData,0,MATCH($B77&amp;CHAR(10)&amp;"Stanine",dHdr,0))),$F77),""))</f>
        <v/>
      </c>
      <c r="H77" s="36" t="str">
        <f>IF(OR($B77="",H$45=""),"",IFERROR(CHOOSE(MATCH(SelMeasure,MeasureList,0),AVERAGEIFS(INDEX(dData,0,MATCH($B77&amp;CHAR(10)&amp;"Raw Score",dHdr,0)),dClass,H$45)/$D77,AVERAGEIFS(INDEX(dData,0,MATCH($B77&amp;CHAR(10)&amp;"Stanine",dHdr,0)),dClass,H$45),(COUNTIFS(dClass,H$45,INDEX(dData,0,MATCH($B77&amp;CHAR(10)&amp;"Raw Score",dHdr,0)),"&gt;=0")+COUNTIFS(dClass,H$45,INDEX(dData,0,MATCH($B77&amp;CHAR(10)&amp;"Raw Score",dHdr,0)),"A"))/COUNTIF(dClass,H$45)),""))</f>
        <v/>
      </c>
      <c r="I77" s="36" t="str">
        <f>IF(OR($B77="",I$45=""),"",IFERROR(CHOOSE(MATCH(SelMeasure,MeasureList,0),AVERAGEIFS(INDEX(dData,0,MATCH($B77&amp;CHAR(10)&amp;"Raw Score",dHdr,0)),dClass,I$45)/$D77,AVERAGEIFS(INDEX(dData,0,MATCH($B77&amp;CHAR(10)&amp;"Stanine",dHdr,0)),dClass,I$45),(COUNTIFS(dClass,I$45,INDEX(dData,0,MATCH($B77&amp;CHAR(10)&amp;"Raw Score",dHdr,0)),"&gt;=0")+COUNTIFS(dClass,I$45,INDEX(dData,0,MATCH($B77&amp;CHAR(10)&amp;"Raw Score",dHdr,0)),"A"))/COUNTIF(dClass,I$45)),""))</f>
        <v/>
      </c>
      <c r="J77" s="36" t="str">
        <f>IF(OR($B77="",J$45=""),"",IFERROR(CHOOSE(MATCH(SelMeasure,MeasureList,0),AVERAGEIFS(INDEX(dData,0,MATCH($B77&amp;CHAR(10)&amp;"Raw Score",dHdr,0)),dClass,J$45)/$D77,AVERAGEIFS(INDEX(dData,0,MATCH($B77&amp;CHAR(10)&amp;"Stanine",dHdr,0)),dClass,J$45),(COUNTIFS(dClass,J$45,INDEX(dData,0,MATCH($B77&amp;CHAR(10)&amp;"Raw Score",dHdr,0)),"&gt;=0")+COUNTIFS(dClass,J$45,INDEX(dData,0,MATCH($B77&amp;CHAR(10)&amp;"Raw Score",dHdr,0)),"A"))/COUNTIF(dClass,J$45)),""))</f>
        <v/>
      </c>
      <c r="K77" s="36" t="str">
        <f>IF(OR($B77="",K$45=""),"",IFERROR(CHOOSE(MATCH(SelMeasure,MeasureList,0),AVERAGEIFS(INDEX(dData,0,MATCH($B77&amp;CHAR(10)&amp;"Raw Score",dHdr,0)),dClass,K$45)/$D77,AVERAGEIFS(INDEX(dData,0,MATCH($B77&amp;CHAR(10)&amp;"Stanine",dHdr,0)),dClass,K$45),(COUNTIFS(dClass,K$45,INDEX(dData,0,MATCH($B77&amp;CHAR(10)&amp;"Raw Score",dHdr,0)),"&gt;=0")+COUNTIFS(dClass,K$45,INDEX(dData,0,MATCH($B77&amp;CHAR(10)&amp;"Raw Score",dHdr,0)),"A"))/COUNTIF(dClass,K$45)),""))</f>
        <v/>
      </c>
      <c r="L77" s="36" t="str">
        <f>IF(OR($B77="",L$45=""),"",IFERROR(CHOOSE(MATCH(SelMeasure,MeasureList,0),AVERAGEIFS(INDEX(dData,0,MATCH($B77&amp;CHAR(10)&amp;"Raw Score",dHdr,0)),dClass,L$45)/$D77,AVERAGEIFS(INDEX(dData,0,MATCH($B77&amp;CHAR(10)&amp;"Stanine",dHdr,0)),dClass,L$45),(COUNTIFS(dClass,L$45,INDEX(dData,0,MATCH($B77&amp;CHAR(10)&amp;"Raw Score",dHdr,0)),"&gt;=0")+COUNTIFS(dClass,L$45,INDEX(dData,0,MATCH($B77&amp;CHAR(10)&amp;"Raw Score",dHdr,0)),"A"))/COUNTIF(dClass,L$45)),""))</f>
        <v/>
      </c>
      <c r="M77" s="36" t="str">
        <f>IF(OR($B77="",M$45=""),"",IFERROR(CHOOSE(MATCH(SelMeasure,MeasureList,0),AVERAGEIFS(INDEX(dData,0,MATCH($B77&amp;CHAR(10)&amp;"Raw Score",dHdr,0)),dClass,M$45)/$D77,AVERAGEIFS(INDEX(dData,0,MATCH($B77&amp;CHAR(10)&amp;"Stanine",dHdr,0)),dClass,M$45),(COUNTIFS(dClass,M$45,INDEX(dData,0,MATCH($B77&amp;CHAR(10)&amp;"Raw Score",dHdr,0)),"&gt;=0")+COUNTIFS(dClass,M$45,INDEX(dData,0,MATCH($B77&amp;CHAR(10)&amp;"Raw Score",dHdr,0)),"A"))/COUNTIF(dClass,M$45)),""))</f>
        <v/>
      </c>
      <c r="N77" s="36" t="str">
        <f>IF(OR($B77="",N$45=""),"",IFERROR(CHOOSE(MATCH(SelMeasure,MeasureList,0),AVERAGEIFS(INDEX(dData,0,MATCH($B77&amp;CHAR(10)&amp;"Raw Score",dHdr,0)),dClass,N$45)/$D77,AVERAGEIFS(INDEX(dData,0,MATCH($B77&amp;CHAR(10)&amp;"Stanine",dHdr,0)),dClass,N$45),(COUNTIFS(dClass,N$45,INDEX(dData,0,MATCH($B77&amp;CHAR(10)&amp;"Raw Score",dHdr,0)),"&gt;=0")+COUNTIFS(dClass,N$45,INDEX(dData,0,MATCH($B77&amp;CHAR(10)&amp;"Raw Score",dHdr,0)),"A"))/COUNTIF(dClass,N$45)),""))</f>
        <v/>
      </c>
      <c r="O77" s="36" t="str">
        <f>IF(OR($B77="",O$45=""),"",IFERROR(CHOOSE(MATCH(SelMeasure,MeasureList,0),AVERAGEIFS(INDEX(dData,0,MATCH($B77&amp;CHAR(10)&amp;"Raw Score",dHdr,0)),dClass,O$45)/$D77,AVERAGEIFS(INDEX(dData,0,MATCH($B77&amp;CHAR(10)&amp;"Stanine",dHdr,0)),dClass,O$45),(COUNTIFS(dClass,O$45,INDEX(dData,0,MATCH($B77&amp;CHAR(10)&amp;"Raw Score",dHdr,0)),"&gt;=0")+COUNTIFS(dClass,O$45,INDEX(dData,0,MATCH($B77&amp;CHAR(10)&amp;"Raw Score",dHdr,0)),"A"))/COUNTIF(dClass,O$45)),""))</f>
        <v/>
      </c>
    </row>
    <row r="78">
      <c r="B78" s="31" t="str">
        <f>Calc!AA35</f>
        <v/>
      </c>
      <c r="C78" s="57" t="str">
        <f>Calc!AC35</f>
        <v/>
      </c>
      <c r="D78" s="33" t="str">
        <f>Calc!AB35</f>
        <v/>
      </c>
      <c r="E78" s="33" t="str">
        <f>IF($B78="","",IFERROR(COUNT(INDEX(dData,0,MATCH($B78&amp;CHAR(10)&amp;"Raw Score",dHdr,0))),""))</f>
        <v/>
      </c>
      <c r="F78" s="36" t="str">
        <f>IF($B78="","",IFERROR(($E78+COUNTIF(INDEX(dData,0,MATCH($B78&amp;CHAR(10)&amp;"Raw Score",dHdr,0)),"A"))/COUNTA(dLast),""))</f>
        <v/>
      </c>
      <c r="G78" s="58" t="str">
        <f>IF($B78="","",IFERROR(CHOOSE(MATCH(SelMeasure,MeasureList,0),AVERAGE(INDEX(dData,0,MATCH($B78&amp;CHAR(10)&amp;"Raw Score",dHdr,0)))/$D78,AVERAGE(INDEX(dData,0,MATCH($B78&amp;CHAR(10)&amp;"Stanine",dHdr,0))),$F78),""))</f>
        <v/>
      </c>
      <c r="H78" s="36" t="str">
        <f>IF(OR($B78="",H$45=""),"",IFERROR(CHOOSE(MATCH(SelMeasure,MeasureList,0),AVERAGEIFS(INDEX(dData,0,MATCH($B78&amp;CHAR(10)&amp;"Raw Score",dHdr,0)),dClass,H$45)/$D78,AVERAGEIFS(INDEX(dData,0,MATCH($B78&amp;CHAR(10)&amp;"Stanine",dHdr,0)),dClass,H$45),(COUNTIFS(dClass,H$45,INDEX(dData,0,MATCH($B78&amp;CHAR(10)&amp;"Raw Score",dHdr,0)),"&gt;=0")+COUNTIFS(dClass,H$45,INDEX(dData,0,MATCH($B78&amp;CHAR(10)&amp;"Raw Score",dHdr,0)),"A"))/COUNTIF(dClass,H$45)),""))</f>
        <v/>
      </c>
      <c r="I78" s="36" t="str">
        <f>IF(OR($B78="",I$45=""),"",IFERROR(CHOOSE(MATCH(SelMeasure,MeasureList,0),AVERAGEIFS(INDEX(dData,0,MATCH($B78&amp;CHAR(10)&amp;"Raw Score",dHdr,0)),dClass,I$45)/$D78,AVERAGEIFS(INDEX(dData,0,MATCH($B78&amp;CHAR(10)&amp;"Stanine",dHdr,0)),dClass,I$45),(COUNTIFS(dClass,I$45,INDEX(dData,0,MATCH($B78&amp;CHAR(10)&amp;"Raw Score",dHdr,0)),"&gt;=0")+COUNTIFS(dClass,I$45,INDEX(dData,0,MATCH($B78&amp;CHAR(10)&amp;"Raw Score",dHdr,0)),"A"))/COUNTIF(dClass,I$45)),""))</f>
        <v/>
      </c>
      <c r="J78" s="36" t="str">
        <f>IF(OR($B78="",J$45=""),"",IFERROR(CHOOSE(MATCH(SelMeasure,MeasureList,0),AVERAGEIFS(INDEX(dData,0,MATCH($B78&amp;CHAR(10)&amp;"Raw Score",dHdr,0)),dClass,J$45)/$D78,AVERAGEIFS(INDEX(dData,0,MATCH($B78&amp;CHAR(10)&amp;"Stanine",dHdr,0)),dClass,J$45),(COUNTIFS(dClass,J$45,INDEX(dData,0,MATCH($B78&amp;CHAR(10)&amp;"Raw Score",dHdr,0)),"&gt;=0")+COUNTIFS(dClass,J$45,INDEX(dData,0,MATCH($B78&amp;CHAR(10)&amp;"Raw Score",dHdr,0)),"A"))/COUNTIF(dClass,J$45)),""))</f>
        <v/>
      </c>
      <c r="K78" s="36" t="str">
        <f>IF(OR($B78="",K$45=""),"",IFERROR(CHOOSE(MATCH(SelMeasure,MeasureList,0),AVERAGEIFS(INDEX(dData,0,MATCH($B78&amp;CHAR(10)&amp;"Raw Score",dHdr,0)),dClass,K$45)/$D78,AVERAGEIFS(INDEX(dData,0,MATCH($B78&amp;CHAR(10)&amp;"Stanine",dHdr,0)),dClass,K$45),(COUNTIFS(dClass,K$45,INDEX(dData,0,MATCH($B78&amp;CHAR(10)&amp;"Raw Score",dHdr,0)),"&gt;=0")+COUNTIFS(dClass,K$45,INDEX(dData,0,MATCH($B78&amp;CHAR(10)&amp;"Raw Score",dHdr,0)),"A"))/COUNTIF(dClass,K$45)),""))</f>
        <v/>
      </c>
      <c r="L78" s="36" t="str">
        <f>IF(OR($B78="",L$45=""),"",IFERROR(CHOOSE(MATCH(SelMeasure,MeasureList,0),AVERAGEIFS(INDEX(dData,0,MATCH($B78&amp;CHAR(10)&amp;"Raw Score",dHdr,0)),dClass,L$45)/$D78,AVERAGEIFS(INDEX(dData,0,MATCH($B78&amp;CHAR(10)&amp;"Stanine",dHdr,0)),dClass,L$45),(COUNTIFS(dClass,L$45,INDEX(dData,0,MATCH($B78&amp;CHAR(10)&amp;"Raw Score",dHdr,0)),"&gt;=0")+COUNTIFS(dClass,L$45,INDEX(dData,0,MATCH($B78&amp;CHAR(10)&amp;"Raw Score",dHdr,0)),"A"))/COUNTIF(dClass,L$45)),""))</f>
        <v/>
      </c>
      <c r="M78" s="36" t="str">
        <f>IF(OR($B78="",M$45=""),"",IFERROR(CHOOSE(MATCH(SelMeasure,MeasureList,0),AVERAGEIFS(INDEX(dData,0,MATCH($B78&amp;CHAR(10)&amp;"Raw Score",dHdr,0)),dClass,M$45)/$D78,AVERAGEIFS(INDEX(dData,0,MATCH($B78&amp;CHAR(10)&amp;"Stanine",dHdr,0)),dClass,M$45),(COUNTIFS(dClass,M$45,INDEX(dData,0,MATCH($B78&amp;CHAR(10)&amp;"Raw Score",dHdr,0)),"&gt;=0")+COUNTIFS(dClass,M$45,INDEX(dData,0,MATCH($B78&amp;CHAR(10)&amp;"Raw Score",dHdr,0)),"A"))/COUNTIF(dClass,M$45)),""))</f>
        <v/>
      </c>
      <c r="N78" s="36" t="str">
        <f>IF(OR($B78="",N$45=""),"",IFERROR(CHOOSE(MATCH(SelMeasure,MeasureList,0),AVERAGEIFS(INDEX(dData,0,MATCH($B78&amp;CHAR(10)&amp;"Raw Score",dHdr,0)),dClass,N$45)/$D78,AVERAGEIFS(INDEX(dData,0,MATCH($B78&amp;CHAR(10)&amp;"Stanine",dHdr,0)),dClass,N$45),(COUNTIFS(dClass,N$45,INDEX(dData,0,MATCH($B78&amp;CHAR(10)&amp;"Raw Score",dHdr,0)),"&gt;=0")+COUNTIFS(dClass,N$45,INDEX(dData,0,MATCH($B78&amp;CHAR(10)&amp;"Raw Score",dHdr,0)),"A"))/COUNTIF(dClass,N$45)),""))</f>
        <v/>
      </c>
      <c r="O78" s="36" t="str">
        <f>IF(OR($B78="",O$45=""),"",IFERROR(CHOOSE(MATCH(SelMeasure,MeasureList,0),AVERAGEIFS(INDEX(dData,0,MATCH($B78&amp;CHAR(10)&amp;"Raw Score",dHdr,0)),dClass,O$45)/$D78,AVERAGEIFS(INDEX(dData,0,MATCH($B78&amp;CHAR(10)&amp;"Stanine",dHdr,0)),dClass,O$45),(COUNTIFS(dClass,O$45,INDEX(dData,0,MATCH($B78&amp;CHAR(10)&amp;"Raw Score",dHdr,0)),"&gt;=0")+COUNTIFS(dClass,O$45,INDEX(dData,0,MATCH($B78&amp;CHAR(10)&amp;"Raw Score",dHdr,0)),"A"))/COUNTIF(dClass,O$45)),""))</f>
        <v/>
      </c>
    </row>
    <row r="79">
      <c r="B79" s="31" t="str">
        <f>Calc!AA36</f>
        <v/>
      </c>
      <c r="C79" s="57" t="str">
        <f>Calc!AC36</f>
        <v/>
      </c>
      <c r="D79" s="33" t="str">
        <f>Calc!AB36</f>
        <v/>
      </c>
      <c r="E79" s="33" t="str">
        <f>IF($B79="","",IFERROR(COUNT(INDEX(dData,0,MATCH($B79&amp;CHAR(10)&amp;"Raw Score",dHdr,0))),""))</f>
        <v/>
      </c>
      <c r="F79" s="36" t="str">
        <f>IF($B79="","",IFERROR(($E79+COUNTIF(INDEX(dData,0,MATCH($B79&amp;CHAR(10)&amp;"Raw Score",dHdr,0)),"A"))/COUNTA(dLast),""))</f>
        <v/>
      </c>
      <c r="G79" s="58" t="str">
        <f>IF($B79="","",IFERROR(CHOOSE(MATCH(SelMeasure,MeasureList,0),AVERAGE(INDEX(dData,0,MATCH($B79&amp;CHAR(10)&amp;"Raw Score",dHdr,0)))/$D79,AVERAGE(INDEX(dData,0,MATCH($B79&amp;CHAR(10)&amp;"Stanine",dHdr,0))),$F79),""))</f>
        <v/>
      </c>
      <c r="H79" s="36" t="str">
        <f>IF(OR($B79="",H$45=""),"",IFERROR(CHOOSE(MATCH(SelMeasure,MeasureList,0),AVERAGEIFS(INDEX(dData,0,MATCH($B79&amp;CHAR(10)&amp;"Raw Score",dHdr,0)),dClass,H$45)/$D79,AVERAGEIFS(INDEX(dData,0,MATCH($B79&amp;CHAR(10)&amp;"Stanine",dHdr,0)),dClass,H$45),(COUNTIFS(dClass,H$45,INDEX(dData,0,MATCH($B79&amp;CHAR(10)&amp;"Raw Score",dHdr,0)),"&gt;=0")+COUNTIFS(dClass,H$45,INDEX(dData,0,MATCH($B79&amp;CHAR(10)&amp;"Raw Score",dHdr,0)),"A"))/COUNTIF(dClass,H$45)),""))</f>
        <v/>
      </c>
      <c r="I79" s="36" t="str">
        <f>IF(OR($B79="",I$45=""),"",IFERROR(CHOOSE(MATCH(SelMeasure,MeasureList,0),AVERAGEIFS(INDEX(dData,0,MATCH($B79&amp;CHAR(10)&amp;"Raw Score",dHdr,0)),dClass,I$45)/$D79,AVERAGEIFS(INDEX(dData,0,MATCH($B79&amp;CHAR(10)&amp;"Stanine",dHdr,0)),dClass,I$45),(COUNTIFS(dClass,I$45,INDEX(dData,0,MATCH($B79&amp;CHAR(10)&amp;"Raw Score",dHdr,0)),"&gt;=0")+COUNTIFS(dClass,I$45,INDEX(dData,0,MATCH($B79&amp;CHAR(10)&amp;"Raw Score",dHdr,0)),"A"))/COUNTIF(dClass,I$45)),""))</f>
        <v/>
      </c>
      <c r="J79" s="36" t="str">
        <f>IF(OR($B79="",J$45=""),"",IFERROR(CHOOSE(MATCH(SelMeasure,MeasureList,0),AVERAGEIFS(INDEX(dData,0,MATCH($B79&amp;CHAR(10)&amp;"Raw Score",dHdr,0)),dClass,J$45)/$D79,AVERAGEIFS(INDEX(dData,0,MATCH($B79&amp;CHAR(10)&amp;"Stanine",dHdr,0)),dClass,J$45),(COUNTIFS(dClass,J$45,INDEX(dData,0,MATCH($B79&amp;CHAR(10)&amp;"Raw Score",dHdr,0)),"&gt;=0")+COUNTIFS(dClass,J$45,INDEX(dData,0,MATCH($B79&amp;CHAR(10)&amp;"Raw Score",dHdr,0)),"A"))/COUNTIF(dClass,J$45)),""))</f>
        <v/>
      </c>
      <c r="K79" s="36" t="str">
        <f>IF(OR($B79="",K$45=""),"",IFERROR(CHOOSE(MATCH(SelMeasure,MeasureList,0),AVERAGEIFS(INDEX(dData,0,MATCH($B79&amp;CHAR(10)&amp;"Raw Score",dHdr,0)),dClass,K$45)/$D79,AVERAGEIFS(INDEX(dData,0,MATCH($B79&amp;CHAR(10)&amp;"Stanine",dHdr,0)),dClass,K$45),(COUNTIFS(dClass,K$45,INDEX(dData,0,MATCH($B79&amp;CHAR(10)&amp;"Raw Score",dHdr,0)),"&gt;=0")+COUNTIFS(dClass,K$45,INDEX(dData,0,MATCH($B79&amp;CHAR(10)&amp;"Raw Score",dHdr,0)),"A"))/COUNTIF(dClass,K$45)),""))</f>
        <v/>
      </c>
      <c r="L79" s="36" t="str">
        <f>IF(OR($B79="",L$45=""),"",IFERROR(CHOOSE(MATCH(SelMeasure,MeasureList,0),AVERAGEIFS(INDEX(dData,0,MATCH($B79&amp;CHAR(10)&amp;"Raw Score",dHdr,0)),dClass,L$45)/$D79,AVERAGEIFS(INDEX(dData,0,MATCH($B79&amp;CHAR(10)&amp;"Stanine",dHdr,0)),dClass,L$45),(COUNTIFS(dClass,L$45,INDEX(dData,0,MATCH($B79&amp;CHAR(10)&amp;"Raw Score",dHdr,0)),"&gt;=0")+COUNTIFS(dClass,L$45,INDEX(dData,0,MATCH($B79&amp;CHAR(10)&amp;"Raw Score",dHdr,0)),"A"))/COUNTIF(dClass,L$45)),""))</f>
        <v/>
      </c>
      <c r="M79" s="36" t="str">
        <f>IF(OR($B79="",M$45=""),"",IFERROR(CHOOSE(MATCH(SelMeasure,MeasureList,0),AVERAGEIFS(INDEX(dData,0,MATCH($B79&amp;CHAR(10)&amp;"Raw Score",dHdr,0)),dClass,M$45)/$D79,AVERAGEIFS(INDEX(dData,0,MATCH($B79&amp;CHAR(10)&amp;"Stanine",dHdr,0)),dClass,M$45),(COUNTIFS(dClass,M$45,INDEX(dData,0,MATCH($B79&amp;CHAR(10)&amp;"Raw Score",dHdr,0)),"&gt;=0")+COUNTIFS(dClass,M$45,INDEX(dData,0,MATCH($B79&amp;CHAR(10)&amp;"Raw Score",dHdr,0)),"A"))/COUNTIF(dClass,M$45)),""))</f>
        <v/>
      </c>
      <c r="N79" s="36" t="str">
        <f>IF(OR($B79="",N$45=""),"",IFERROR(CHOOSE(MATCH(SelMeasure,MeasureList,0),AVERAGEIFS(INDEX(dData,0,MATCH($B79&amp;CHAR(10)&amp;"Raw Score",dHdr,0)),dClass,N$45)/$D79,AVERAGEIFS(INDEX(dData,0,MATCH($B79&amp;CHAR(10)&amp;"Stanine",dHdr,0)),dClass,N$45),(COUNTIFS(dClass,N$45,INDEX(dData,0,MATCH($B79&amp;CHAR(10)&amp;"Raw Score",dHdr,0)),"&gt;=0")+COUNTIFS(dClass,N$45,INDEX(dData,0,MATCH($B79&amp;CHAR(10)&amp;"Raw Score",dHdr,0)),"A"))/COUNTIF(dClass,N$45)),""))</f>
        <v/>
      </c>
      <c r="O79" s="36" t="str">
        <f>IF(OR($B79="",O$45=""),"",IFERROR(CHOOSE(MATCH(SelMeasure,MeasureList,0),AVERAGEIFS(INDEX(dData,0,MATCH($B79&amp;CHAR(10)&amp;"Raw Score",dHdr,0)),dClass,O$45)/$D79,AVERAGEIFS(INDEX(dData,0,MATCH($B79&amp;CHAR(10)&amp;"Stanine",dHdr,0)),dClass,O$45),(COUNTIFS(dClass,O$45,INDEX(dData,0,MATCH($B79&amp;CHAR(10)&amp;"Raw Score",dHdr,0)),"&gt;=0")+COUNTIFS(dClass,O$45,INDEX(dData,0,MATCH($B79&amp;CHAR(10)&amp;"Raw Score",dHdr,0)),"A"))/COUNTIF(dClass,O$45)),""))</f>
        <v/>
      </c>
    </row>
    <row r="80">
      <c r="B80" s="31" t="str">
        <f>Calc!AA37</f>
        <v/>
      </c>
      <c r="C80" s="57" t="str">
        <f>Calc!AC37</f>
        <v/>
      </c>
      <c r="D80" s="33" t="str">
        <f>Calc!AB37</f>
        <v/>
      </c>
      <c r="E80" s="33" t="str">
        <f>IF($B80="","",IFERROR(COUNT(INDEX(dData,0,MATCH($B80&amp;CHAR(10)&amp;"Raw Score",dHdr,0))),""))</f>
        <v/>
      </c>
      <c r="F80" s="36" t="str">
        <f>IF($B80="","",IFERROR(($E80+COUNTIF(INDEX(dData,0,MATCH($B80&amp;CHAR(10)&amp;"Raw Score",dHdr,0)),"A"))/COUNTA(dLast),""))</f>
        <v/>
      </c>
      <c r="G80" s="58" t="str">
        <f>IF($B80="","",IFERROR(CHOOSE(MATCH(SelMeasure,MeasureList,0),AVERAGE(INDEX(dData,0,MATCH($B80&amp;CHAR(10)&amp;"Raw Score",dHdr,0)))/$D80,AVERAGE(INDEX(dData,0,MATCH($B80&amp;CHAR(10)&amp;"Stanine",dHdr,0))),$F80),""))</f>
        <v/>
      </c>
      <c r="H80" s="36" t="str">
        <f>IF(OR($B80="",H$45=""),"",IFERROR(CHOOSE(MATCH(SelMeasure,MeasureList,0),AVERAGEIFS(INDEX(dData,0,MATCH($B80&amp;CHAR(10)&amp;"Raw Score",dHdr,0)),dClass,H$45)/$D80,AVERAGEIFS(INDEX(dData,0,MATCH($B80&amp;CHAR(10)&amp;"Stanine",dHdr,0)),dClass,H$45),(COUNTIFS(dClass,H$45,INDEX(dData,0,MATCH($B80&amp;CHAR(10)&amp;"Raw Score",dHdr,0)),"&gt;=0")+COUNTIFS(dClass,H$45,INDEX(dData,0,MATCH($B80&amp;CHAR(10)&amp;"Raw Score",dHdr,0)),"A"))/COUNTIF(dClass,H$45)),""))</f>
        <v/>
      </c>
      <c r="I80" s="36" t="str">
        <f>IF(OR($B80="",I$45=""),"",IFERROR(CHOOSE(MATCH(SelMeasure,MeasureList,0),AVERAGEIFS(INDEX(dData,0,MATCH($B80&amp;CHAR(10)&amp;"Raw Score",dHdr,0)),dClass,I$45)/$D80,AVERAGEIFS(INDEX(dData,0,MATCH($B80&amp;CHAR(10)&amp;"Stanine",dHdr,0)),dClass,I$45),(COUNTIFS(dClass,I$45,INDEX(dData,0,MATCH($B80&amp;CHAR(10)&amp;"Raw Score",dHdr,0)),"&gt;=0")+COUNTIFS(dClass,I$45,INDEX(dData,0,MATCH($B80&amp;CHAR(10)&amp;"Raw Score",dHdr,0)),"A"))/COUNTIF(dClass,I$45)),""))</f>
        <v/>
      </c>
      <c r="J80" s="36" t="str">
        <f>IF(OR($B80="",J$45=""),"",IFERROR(CHOOSE(MATCH(SelMeasure,MeasureList,0),AVERAGEIFS(INDEX(dData,0,MATCH($B80&amp;CHAR(10)&amp;"Raw Score",dHdr,0)),dClass,J$45)/$D80,AVERAGEIFS(INDEX(dData,0,MATCH($B80&amp;CHAR(10)&amp;"Stanine",dHdr,0)),dClass,J$45),(COUNTIFS(dClass,J$45,INDEX(dData,0,MATCH($B80&amp;CHAR(10)&amp;"Raw Score",dHdr,0)),"&gt;=0")+COUNTIFS(dClass,J$45,INDEX(dData,0,MATCH($B80&amp;CHAR(10)&amp;"Raw Score",dHdr,0)),"A"))/COUNTIF(dClass,J$45)),""))</f>
        <v/>
      </c>
      <c r="K80" s="36" t="str">
        <f>IF(OR($B80="",K$45=""),"",IFERROR(CHOOSE(MATCH(SelMeasure,MeasureList,0),AVERAGEIFS(INDEX(dData,0,MATCH($B80&amp;CHAR(10)&amp;"Raw Score",dHdr,0)),dClass,K$45)/$D80,AVERAGEIFS(INDEX(dData,0,MATCH($B80&amp;CHAR(10)&amp;"Stanine",dHdr,0)),dClass,K$45),(COUNTIFS(dClass,K$45,INDEX(dData,0,MATCH($B80&amp;CHAR(10)&amp;"Raw Score",dHdr,0)),"&gt;=0")+COUNTIFS(dClass,K$45,INDEX(dData,0,MATCH($B80&amp;CHAR(10)&amp;"Raw Score",dHdr,0)),"A"))/COUNTIF(dClass,K$45)),""))</f>
        <v/>
      </c>
      <c r="L80" s="36" t="str">
        <f>IF(OR($B80="",L$45=""),"",IFERROR(CHOOSE(MATCH(SelMeasure,MeasureList,0),AVERAGEIFS(INDEX(dData,0,MATCH($B80&amp;CHAR(10)&amp;"Raw Score",dHdr,0)),dClass,L$45)/$D80,AVERAGEIFS(INDEX(dData,0,MATCH($B80&amp;CHAR(10)&amp;"Stanine",dHdr,0)),dClass,L$45),(COUNTIFS(dClass,L$45,INDEX(dData,0,MATCH($B80&amp;CHAR(10)&amp;"Raw Score",dHdr,0)),"&gt;=0")+COUNTIFS(dClass,L$45,INDEX(dData,0,MATCH($B80&amp;CHAR(10)&amp;"Raw Score",dHdr,0)),"A"))/COUNTIF(dClass,L$45)),""))</f>
        <v/>
      </c>
      <c r="M80" s="36" t="str">
        <f>IF(OR($B80="",M$45=""),"",IFERROR(CHOOSE(MATCH(SelMeasure,MeasureList,0),AVERAGEIFS(INDEX(dData,0,MATCH($B80&amp;CHAR(10)&amp;"Raw Score",dHdr,0)),dClass,M$45)/$D80,AVERAGEIFS(INDEX(dData,0,MATCH($B80&amp;CHAR(10)&amp;"Stanine",dHdr,0)),dClass,M$45),(COUNTIFS(dClass,M$45,INDEX(dData,0,MATCH($B80&amp;CHAR(10)&amp;"Raw Score",dHdr,0)),"&gt;=0")+COUNTIFS(dClass,M$45,INDEX(dData,0,MATCH($B80&amp;CHAR(10)&amp;"Raw Score",dHdr,0)),"A"))/COUNTIF(dClass,M$45)),""))</f>
        <v/>
      </c>
      <c r="N80" s="36" t="str">
        <f>IF(OR($B80="",N$45=""),"",IFERROR(CHOOSE(MATCH(SelMeasure,MeasureList,0),AVERAGEIFS(INDEX(dData,0,MATCH($B80&amp;CHAR(10)&amp;"Raw Score",dHdr,0)),dClass,N$45)/$D80,AVERAGEIFS(INDEX(dData,0,MATCH($B80&amp;CHAR(10)&amp;"Stanine",dHdr,0)),dClass,N$45),(COUNTIFS(dClass,N$45,INDEX(dData,0,MATCH($B80&amp;CHAR(10)&amp;"Raw Score",dHdr,0)),"&gt;=0")+COUNTIFS(dClass,N$45,INDEX(dData,0,MATCH($B80&amp;CHAR(10)&amp;"Raw Score",dHdr,0)),"A"))/COUNTIF(dClass,N$45)),""))</f>
        <v/>
      </c>
      <c r="O80" s="36" t="str">
        <f>IF(OR($B80="",O$45=""),"",IFERROR(CHOOSE(MATCH(SelMeasure,MeasureList,0),AVERAGEIFS(INDEX(dData,0,MATCH($B80&amp;CHAR(10)&amp;"Raw Score",dHdr,0)),dClass,O$45)/$D80,AVERAGEIFS(INDEX(dData,0,MATCH($B80&amp;CHAR(10)&amp;"Stanine",dHdr,0)),dClass,O$45),(COUNTIFS(dClass,O$45,INDEX(dData,0,MATCH($B80&amp;CHAR(10)&amp;"Raw Score",dHdr,0)),"&gt;=0")+COUNTIFS(dClass,O$45,INDEX(dData,0,MATCH($B80&amp;CHAR(10)&amp;"Raw Score",dHdr,0)),"A"))/COUNTIF(dClass,O$45)),""))</f>
        <v/>
      </c>
    </row>
    <row r="81">
      <c r="B81" s="31" t="str">
        <f>Calc!AA38</f>
        <v/>
      </c>
      <c r="C81" s="57" t="str">
        <f>Calc!AC38</f>
        <v/>
      </c>
      <c r="D81" s="33" t="str">
        <f>Calc!AB38</f>
        <v/>
      </c>
      <c r="E81" s="33" t="str">
        <f>IF($B81="","",IFERROR(COUNT(INDEX(dData,0,MATCH($B81&amp;CHAR(10)&amp;"Raw Score",dHdr,0))),""))</f>
        <v/>
      </c>
      <c r="F81" s="36" t="str">
        <f>IF($B81="","",IFERROR(($E81+COUNTIF(INDEX(dData,0,MATCH($B81&amp;CHAR(10)&amp;"Raw Score",dHdr,0)),"A"))/COUNTA(dLast),""))</f>
        <v/>
      </c>
      <c r="G81" s="58" t="str">
        <f>IF($B81="","",IFERROR(CHOOSE(MATCH(SelMeasure,MeasureList,0),AVERAGE(INDEX(dData,0,MATCH($B81&amp;CHAR(10)&amp;"Raw Score",dHdr,0)))/$D81,AVERAGE(INDEX(dData,0,MATCH($B81&amp;CHAR(10)&amp;"Stanine",dHdr,0))),$F81),""))</f>
        <v/>
      </c>
      <c r="H81" s="36" t="str">
        <f>IF(OR($B81="",H$45=""),"",IFERROR(CHOOSE(MATCH(SelMeasure,MeasureList,0),AVERAGEIFS(INDEX(dData,0,MATCH($B81&amp;CHAR(10)&amp;"Raw Score",dHdr,0)),dClass,H$45)/$D81,AVERAGEIFS(INDEX(dData,0,MATCH($B81&amp;CHAR(10)&amp;"Stanine",dHdr,0)),dClass,H$45),(COUNTIFS(dClass,H$45,INDEX(dData,0,MATCH($B81&amp;CHAR(10)&amp;"Raw Score",dHdr,0)),"&gt;=0")+COUNTIFS(dClass,H$45,INDEX(dData,0,MATCH($B81&amp;CHAR(10)&amp;"Raw Score",dHdr,0)),"A"))/COUNTIF(dClass,H$45)),""))</f>
        <v/>
      </c>
      <c r="I81" s="36" t="str">
        <f>IF(OR($B81="",I$45=""),"",IFERROR(CHOOSE(MATCH(SelMeasure,MeasureList,0),AVERAGEIFS(INDEX(dData,0,MATCH($B81&amp;CHAR(10)&amp;"Raw Score",dHdr,0)),dClass,I$45)/$D81,AVERAGEIFS(INDEX(dData,0,MATCH($B81&amp;CHAR(10)&amp;"Stanine",dHdr,0)),dClass,I$45),(COUNTIFS(dClass,I$45,INDEX(dData,0,MATCH($B81&amp;CHAR(10)&amp;"Raw Score",dHdr,0)),"&gt;=0")+COUNTIFS(dClass,I$45,INDEX(dData,0,MATCH($B81&amp;CHAR(10)&amp;"Raw Score",dHdr,0)),"A"))/COUNTIF(dClass,I$45)),""))</f>
        <v/>
      </c>
      <c r="J81" s="36" t="str">
        <f>IF(OR($B81="",J$45=""),"",IFERROR(CHOOSE(MATCH(SelMeasure,MeasureList,0),AVERAGEIFS(INDEX(dData,0,MATCH($B81&amp;CHAR(10)&amp;"Raw Score",dHdr,0)),dClass,J$45)/$D81,AVERAGEIFS(INDEX(dData,0,MATCH($B81&amp;CHAR(10)&amp;"Stanine",dHdr,0)),dClass,J$45),(COUNTIFS(dClass,J$45,INDEX(dData,0,MATCH($B81&amp;CHAR(10)&amp;"Raw Score",dHdr,0)),"&gt;=0")+COUNTIFS(dClass,J$45,INDEX(dData,0,MATCH($B81&amp;CHAR(10)&amp;"Raw Score",dHdr,0)),"A"))/COUNTIF(dClass,J$45)),""))</f>
        <v/>
      </c>
      <c r="K81" s="36" t="str">
        <f>IF(OR($B81="",K$45=""),"",IFERROR(CHOOSE(MATCH(SelMeasure,MeasureList,0),AVERAGEIFS(INDEX(dData,0,MATCH($B81&amp;CHAR(10)&amp;"Raw Score",dHdr,0)),dClass,K$45)/$D81,AVERAGEIFS(INDEX(dData,0,MATCH($B81&amp;CHAR(10)&amp;"Stanine",dHdr,0)),dClass,K$45),(COUNTIFS(dClass,K$45,INDEX(dData,0,MATCH($B81&amp;CHAR(10)&amp;"Raw Score",dHdr,0)),"&gt;=0")+COUNTIFS(dClass,K$45,INDEX(dData,0,MATCH($B81&amp;CHAR(10)&amp;"Raw Score",dHdr,0)),"A"))/COUNTIF(dClass,K$45)),""))</f>
        <v/>
      </c>
      <c r="L81" s="36" t="str">
        <f>IF(OR($B81="",L$45=""),"",IFERROR(CHOOSE(MATCH(SelMeasure,MeasureList,0),AVERAGEIFS(INDEX(dData,0,MATCH($B81&amp;CHAR(10)&amp;"Raw Score",dHdr,0)),dClass,L$45)/$D81,AVERAGEIFS(INDEX(dData,0,MATCH($B81&amp;CHAR(10)&amp;"Stanine",dHdr,0)),dClass,L$45),(COUNTIFS(dClass,L$45,INDEX(dData,0,MATCH($B81&amp;CHAR(10)&amp;"Raw Score",dHdr,0)),"&gt;=0")+COUNTIFS(dClass,L$45,INDEX(dData,0,MATCH($B81&amp;CHAR(10)&amp;"Raw Score",dHdr,0)),"A"))/COUNTIF(dClass,L$45)),""))</f>
        <v/>
      </c>
      <c r="M81" s="36" t="str">
        <f>IF(OR($B81="",M$45=""),"",IFERROR(CHOOSE(MATCH(SelMeasure,MeasureList,0),AVERAGEIFS(INDEX(dData,0,MATCH($B81&amp;CHAR(10)&amp;"Raw Score",dHdr,0)),dClass,M$45)/$D81,AVERAGEIFS(INDEX(dData,0,MATCH($B81&amp;CHAR(10)&amp;"Stanine",dHdr,0)),dClass,M$45),(COUNTIFS(dClass,M$45,INDEX(dData,0,MATCH($B81&amp;CHAR(10)&amp;"Raw Score",dHdr,0)),"&gt;=0")+COUNTIFS(dClass,M$45,INDEX(dData,0,MATCH($B81&amp;CHAR(10)&amp;"Raw Score",dHdr,0)),"A"))/COUNTIF(dClass,M$45)),""))</f>
        <v/>
      </c>
      <c r="N81" s="36" t="str">
        <f>IF(OR($B81="",N$45=""),"",IFERROR(CHOOSE(MATCH(SelMeasure,MeasureList,0),AVERAGEIFS(INDEX(dData,0,MATCH($B81&amp;CHAR(10)&amp;"Raw Score",dHdr,0)),dClass,N$45)/$D81,AVERAGEIFS(INDEX(dData,0,MATCH($B81&amp;CHAR(10)&amp;"Stanine",dHdr,0)),dClass,N$45),(COUNTIFS(dClass,N$45,INDEX(dData,0,MATCH($B81&amp;CHAR(10)&amp;"Raw Score",dHdr,0)),"&gt;=0")+COUNTIFS(dClass,N$45,INDEX(dData,0,MATCH($B81&amp;CHAR(10)&amp;"Raw Score",dHdr,0)),"A"))/COUNTIF(dClass,N$45)),""))</f>
        <v/>
      </c>
      <c r="O81" s="36" t="str">
        <f>IF(OR($B81="",O$45=""),"",IFERROR(CHOOSE(MATCH(SelMeasure,MeasureList,0),AVERAGEIFS(INDEX(dData,0,MATCH($B81&amp;CHAR(10)&amp;"Raw Score",dHdr,0)),dClass,O$45)/$D81,AVERAGEIFS(INDEX(dData,0,MATCH($B81&amp;CHAR(10)&amp;"Stanine",dHdr,0)),dClass,O$45),(COUNTIFS(dClass,O$45,INDEX(dData,0,MATCH($B81&amp;CHAR(10)&amp;"Raw Score",dHdr,0)),"&gt;=0")+COUNTIFS(dClass,O$45,INDEX(dData,0,MATCH($B81&amp;CHAR(10)&amp;"Raw Score",dHdr,0)),"A"))/COUNTIF(dClass,O$45)),""))</f>
        <v/>
      </c>
    </row>
    <row r="82">
      <c r="B82" s="31" t="str">
        <f>Calc!AA39</f>
        <v/>
      </c>
      <c r="C82" s="57" t="str">
        <f>Calc!AC39</f>
        <v/>
      </c>
      <c r="D82" s="33" t="str">
        <f>Calc!AB39</f>
        <v/>
      </c>
      <c r="E82" s="33" t="str">
        <f>IF($B82="","",IFERROR(COUNT(INDEX(dData,0,MATCH($B82&amp;CHAR(10)&amp;"Raw Score",dHdr,0))),""))</f>
        <v/>
      </c>
      <c r="F82" s="36" t="str">
        <f>IF($B82="","",IFERROR(($E82+COUNTIF(INDEX(dData,0,MATCH($B82&amp;CHAR(10)&amp;"Raw Score",dHdr,0)),"A"))/COUNTA(dLast),""))</f>
        <v/>
      </c>
      <c r="G82" s="58" t="str">
        <f>IF($B82="","",IFERROR(CHOOSE(MATCH(SelMeasure,MeasureList,0),AVERAGE(INDEX(dData,0,MATCH($B82&amp;CHAR(10)&amp;"Raw Score",dHdr,0)))/$D82,AVERAGE(INDEX(dData,0,MATCH($B82&amp;CHAR(10)&amp;"Stanine",dHdr,0))),$F82),""))</f>
        <v/>
      </c>
      <c r="H82" s="36" t="str">
        <f>IF(OR($B82="",H$45=""),"",IFERROR(CHOOSE(MATCH(SelMeasure,MeasureList,0),AVERAGEIFS(INDEX(dData,0,MATCH($B82&amp;CHAR(10)&amp;"Raw Score",dHdr,0)),dClass,H$45)/$D82,AVERAGEIFS(INDEX(dData,0,MATCH($B82&amp;CHAR(10)&amp;"Stanine",dHdr,0)),dClass,H$45),(COUNTIFS(dClass,H$45,INDEX(dData,0,MATCH($B82&amp;CHAR(10)&amp;"Raw Score",dHdr,0)),"&gt;=0")+COUNTIFS(dClass,H$45,INDEX(dData,0,MATCH($B82&amp;CHAR(10)&amp;"Raw Score",dHdr,0)),"A"))/COUNTIF(dClass,H$45)),""))</f>
        <v/>
      </c>
      <c r="I82" s="36" t="str">
        <f>IF(OR($B82="",I$45=""),"",IFERROR(CHOOSE(MATCH(SelMeasure,MeasureList,0),AVERAGEIFS(INDEX(dData,0,MATCH($B82&amp;CHAR(10)&amp;"Raw Score",dHdr,0)),dClass,I$45)/$D82,AVERAGEIFS(INDEX(dData,0,MATCH($B82&amp;CHAR(10)&amp;"Stanine",dHdr,0)),dClass,I$45),(COUNTIFS(dClass,I$45,INDEX(dData,0,MATCH($B82&amp;CHAR(10)&amp;"Raw Score",dHdr,0)),"&gt;=0")+COUNTIFS(dClass,I$45,INDEX(dData,0,MATCH($B82&amp;CHAR(10)&amp;"Raw Score",dHdr,0)),"A"))/COUNTIF(dClass,I$45)),""))</f>
        <v/>
      </c>
      <c r="J82" s="36" t="str">
        <f>IF(OR($B82="",J$45=""),"",IFERROR(CHOOSE(MATCH(SelMeasure,MeasureList,0),AVERAGEIFS(INDEX(dData,0,MATCH($B82&amp;CHAR(10)&amp;"Raw Score",dHdr,0)),dClass,J$45)/$D82,AVERAGEIFS(INDEX(dData,0,MATCH($B82&amp;CHAR(10)&amp;"Stanine",dHdr,0)),dClass,J$45),(COUNTIFS(dClass,J$45,INDEX(dData,0,MATCH($B82&amp;CHAR(10)&amp;"Raw Score",dHdr,0)),"&gt;=0")+COUNTIFS(dClass,J$45,INDEX(dData,0,MATCH($B82&amp;CHAR(10)&amp;"Raw Score",dHdr,0)),"A"))/COUNTIF(dClass,J$45)),""))</f>
        <v/>
      </c>
      <c r="K82" s="36" t="str">
        <f>IF(OR($B82="",K$45=""),"",IFERROR(CHOOSE(MATCH(SelMeasure,MeasureList,0),AVERAGEIFS(INDEX(dData,0,MATCH($B82&amp;CHAR(10)&amp;"Raw Score",dHdr,0)),dClass,K$45)/$D82,AVERAGEIFS(INDEX(dData,0,MATCH($B82&amp;CHAR(10)&amp;"Stanine",dHdr,0)),dClass,K$45),(COUNTIFS(dClass,K$45,INDEX(dData,0,MATCH($B82&amp;CHAR(10)&amp;"Raw Score",dHdr,0)),"&gt;=0")+COUNTIFS(dClass,K$45,INDEX(dData,0,MATCH($B82&amp;CHAR(10)&amp;"Raw Score",dHdr,0)),"A"))/COUNTIF(dClass,K$45)),""))</f>
        <v/>
      </c>
      <c r="L82" s="36" t="str">
        <f>IF(OR($B82="",L$45=""),"",IFERROR(CHOOSE(MATCH(SelMeasure,MeasureList,0),AVERAGEIFS(INDEX(dData,0,MATCH($B82&amp;CHAR(10)&amp;"Raw Score",dHdr,0)),dClass,L$45)/$D82,AVERAGEIFS(INDEX(dData,0,MATCH($B82&amp;CHAR(10)&amp;"Stanine",dHdr,0)),dClass,L$45),(COUNTIFS(dClass,L$45,INDEX(dData,0,MATCH($B82&amp;CHAR(10)&amp;"Raw Score",dHdr,0)),"&gt;=0")+COUNTIFS(dClass,L$45,INDEX(dData,0,MATCH($B82&amp;CHAR(10)&amp;"Raw Score",dHdr,0)),"A"))/COUNTIF(dClass,L$45)),""))</f>
        <v/>
      </c>
      <c r="M82" s="36" t="str">
        <f>IF(OR($B82="",M$45=""),"",IFERROR(CHOOSE(MATCH(SelMeasure,MeasureList,0),AVERAGEIFS(INDEX(dData,0,MATCH($B82&amp;CHAR(10)&amp;"Raw Score",dHdr,0)),dClass,M$45)/$D82,AVERAGEIFS(INDEX(dData,0,MATCH($B82&amp;CHAR(10)&amp;"Stanine",dHdr,0)),dClass,M$45),(COUNTIFS(dClass,M$45,INDEX(dData,0,MATCH($B82&amp;CHAR(10)&amp;"Raw Score",dHdr,0)),"&gt;=0")+COUNTIFS(dClass,M$45,INDEX(dData,0,MATCH($B82&amp;CHAR(10)&amp;"Raw Score",dHdr,0)),"A"))/COUNTIF(dClass,M$45)),""))</f>
        <v/>
      </c>
      <c r="N82" s="36" t="str">
        <f>IF(OR($B82="",N$45=""),"",IFERROR(CHOOSE(MATCH(SelMeasure,MeasureList,0),AVERAGEIFS(INDEX(dData,0,MATCH($B82&amp;CHAR(10)&amp;"Raw Score",dHdr,0)),dClass,N$45)/$D82,AVERAGEIFS(INDEX(dData,0,MATCH($B82&amp;CHAR(10)&amp;"Stanine",dHdr,0)),dClass,N$45),(COUNTIFS(dClass,N$45,INDEX(dData,0,MATCH($B82&amp;CHAR(10)&amp;"Raw Score",dHdr,0)),"&gt;=0")+COUNTIFS(dClass,N$45,INDEX(dData,0,MATCH($B82&amp;CHAR(10)&amp;"Raw Score",dHdr,0)),"A"))/COUNTIF(dClass,N$45)),""))</f>
        <v/>
      </c>
      <c r="O82" s="36" t="str">
        <f>IF(OR($B82="",O$45=""),"",IFERROR(CHOOSE(MATCH(SelMeasure,MeasureList,0),AVERAGEIFS(INDEX(dData,0,MATCH($B82&amp;CHAR(10)&amp;"Raw Score",dHdr,0)),dClass,O$45)/$D82,AVERAGEIFS(INDEX(dData,0,MATCH($B82&amp;CHAR(10)&amp;"Stanine",dHdr,0)),dClass,O$45),(COUNTIFS(dClass,O$45,INDEX(dData,0,MATCH($B82&amp;CHAR(10)&amp;"Raw Score",dHdr,0)),"&gt;=0")+COUNTIFS(dClass,O$45,INDEX(dData,0,MATCH($B82&amp;CHAR(10)&amp;"Raw Score",dHdr,0)),"A"))/COUNTIF(dClass,O$45)),""))</f>
        <v/>
      </c>
    </row>
    <row r="83">
      <c r="B83" s="31" t="str">
        <f>Calc!AA40</f>
        <v/>
      </c>
      <c r="C83" s="57" t="str">
        <f>Calc!AC40</f>
        <v/>
      </c>
      <c r="D83" s="33" t="str">
        <f>Calc!AB40</f>
        <v/>
      </c>
      <c r="E83" s="33" t="str">
        <f>IF($B83="","",IFERROR(COUNT(INDEX(dData,0,MATCH($B83&amp;CHAR(10)&amp;"Raw Score",dHdr,0))),""))</f>
        <v/>
      </c>
      <c r="F83" s="36" t="str">
        <f>IF($B83="","",IFERROR(($E83+COUNTIF(INDEX(dData,0,MATCH($B83&amp;CHAR(10)&amp;"Raw Score",dHdr,0)),"A"))/COUNTA(dLast),""))</f>
        <v/>
      </c>
      <c r="G83" s="58" t="str">
        <f>IF($B83="","",IFERROR(CHOOSE(MATCH(SelMeasure,MeasureList,0),AVERAGE(INDEX(dData,0,MATCH($B83&amp;CHAR(10)&amp;"Raw Score",dHdr,0)))/$D83,AVERAGE(INDEX(dData,0,MATCH($B83&amp;CHAR(10)&amp;"Stanine",dHdr,0))),$F83),""))</f>
        <v/>
      </c>
      <c r="H83" s="36" t="str">
        <f>IF(OR($B83="",H$45=""),"",IFERROR(CHOOSE(MATCH(SelMeasure,MeasureList,0),AVERAGEIFS(INDEX(dData,0,MATCH($B83&amp;CHAR(10)&amp;"Raw Score",dHdr,0)),dClass,H$45)/$D83,AVERAGEIFS(INDEX(dData,0,MATCH($B83&amp;CHAR(10)&amp;"Stanine",dHdr,0)),dClass,H$45),(COUNTIFS(dClass,H$45,INDEX(dData,0,MATCH($B83&amp;CHAR(10)&amp;"Raw Score",dHdr,0)),"&gt;=0")+COUNTIFS(dClass,H$45,INDEX(dData,0,MATCH($B83&amp;CHAR(10)&amp;"Raw Score",dHdr,0)),"A"))/COUNTIF(dClass,H$45)),""))</f>
        <v/>
      </c>
      <c r="I83" s="36" t="str">
        <f>IF(OR($B83="",I$45=""),"",IFERROR(CHOOSE(MATCH(SelMeasure,MeasureList,0),AVERAGEIFS(INDEX(dData,0,MATCH($B83&amp;CHAR(10)&amp;"Raw Score",dHdr,0)),dClass,I$45)/$D83,AVERAGEIFS(INDEX(dData,0,MATCH($B83&amp;CHAR(10)&amp;"Stanine",dHdr,0)),dClass,I$45),(COUNTIFS(dClass,I$45,INDEX(dData,0,MATCH($B83&amp;CHAR(10)&amp;"Raw Score",dHdr,0)),"&gt;=0")+COUNTIFS(dClass,I$45,INDEX(dData,0,MATCH($B83&amp;CHAR(10)&amp;"Raw Score",dHdr,0)),"A"))/COUNTIF(dClass,I$45)),""))</f>
        <v/>
      </c>
      <c r="J83" s="36" t="str">
        <f>IF(OR($B83="",J$45=""),"",IFERROR(CHOOSE(MATCH(SelMeasure,MeasureList,0),AVERAGEIFS(INDEX(dData,0,MATCH($B83&amp;CHAR(10)&amp;"Raw Score",dHdr,0)),dClass,J$45)/$D83,AVERAGEIFS(INDEX(dData,0,MATCH($B83&amp;CHAR(10)&amp;"Stanine",dHdr,0)),dClass,J$45),(COUNTIFS(dClass,J$45,INDEX(dData,0,MATCH($B83&amp;CHAR(10)&amp;"Raw Score",dHdr,0)),"&gt;=0")+COUNTIFS(dClass,J$45,INDEX(dData,0,MATCH($B83&amp;CHAR(10)&amp;"Raw Score",dHdr,0)),"A"))/COUNTIF(dClass,J$45)),""))</f>
        <v/>
      </c>
      <c r="K83" s="36" t="str">
        <f>IF(OR($B83="",K$45=""),"",IFERROR(CHOOSE(MATCH(SelMeasure,MeasureList,0),AVERAGEIFS(INDEX(dData,0,MATCH($B83&amp;CHAR(10)&amp;"Raw Score",dHdr,0)),dClass,K$45)/$D83,AVERAGEIFS(INDEX(dData,0,MATCH($B83&amp;CHAR(10)&amp;"Stanine",dHdr,0)),dClass,K$45),(COUNTIFS(dClass,K$45,INDEX(dData,0,MATCH($B83&amp;CHAR(10)&amp;"Raw Score",dHdr,0)),"&gt;=0")+COUNTIFS(dClass,K$45,INDEX(dData,0,MATCH($B83&amp;CHAR(10)&amp;"Raw Score",dHdr,0)),"A"))/COUNTIF(dClass,K$45)),""))</f>
        <v/>
      </c>
      <c r="L83" s="36" t="str">
        <f>IF(OR($B83="",L$45=""),"",IFERROR(CHOOSE(MATCH(SelMeasure,MeasureList,0),AVERAGEIFS(INDEX(dData,0,MATCH($B83&amp;CHAR(10)&amp;"Raw Score",dHdr,0)),dClass,L$45)/$D83,AVERAGEIFS(INDEX(dData,0,MATCH($B83&amp;CHAR(10)&amp;"Stanine",dHdr,0)),dClass,L$45),(COUNTIFS(dClass,L$45,INDEX(dData,0,MATCH($B83&amp;CHAR(10)&amp;"Raw Score",dHdr,0)),"&gt;=0")+COUNTIFS(dClass,L$45,INDEX(dData,0,MATCH($B83&amp;CHAR(10)&amp;"Raw Score",dHdr,0)),"A"))/COUNTIF(dClass,L$45)),""))</f>
        <v/>
      </c>
      <c r="M83" s="36" t="str">
        <f>IF(OR($B83="",M$45=""),"",IFERROR(CHOOSE(MATCH(SelMeasure,MeasureList,0),AVERAGEIFS(INDEX(dData,0,MATCH($B83&amp;CHAR(10)&amp;"Raw Score",dHdr,0)),dClass,M$45)/$D83,AVERAGEIFS(INDEX(dData,0,MATCH($B83&amp;CHAR(10)&amp;"Stanine",dHdr,0)),dClass,M$45),(COUNTIFS(dClass,M$45,INDEX(dData,0,MATCH($B83&amp;CHAR(10)&amp;"Raw Score",dHdr,0)),"&gt;=0")+COUNTIFS(dClass,M$45,INDEX(dData,0,MATCH($B83&amp;CHAR(10)&amp;"Raw Score",dHdr,0)),"A"))/COUNTIF(dClass,M$45)),""))</f>
        <v/>
      </c>
      <c r="N83" s="36" t="str">
        <f>IF(OR($B83="",N$45=""),"",IFERROR(CHOOSE(MATCH(SelMeasure,MeasureList,0),AVERAGEIFS(INDEX(dData,0,MATCH($B83&amp;CHAR(10)&amp;"Raw Score",dHdr,0)),dClass,N$45)/$D83,AVERAGEIFS(INDEX(dData,0,MATCH($B83&amp;CHAR(10)&amp;"Stanine",dHdr,0)),dClass,N$45),(COUNTIFS(dClass,N$45,INDEX(dData,0,MATCH($B83&amp;CHAR(10)&amp;"Raw Score",dHdr,0)),"&gt;=0")+COUNTIFS(dClass,N$45,INDEX(dData,0,MATCH($B83&amp;CHAR(10)&amp;"Raw Score",dHdr,0)),"A"))/COUNTIF(dClass,N$45)),""))</f>
        <v/>
      </c>
      <c r="O83" s="36" t="str">
        <f>IF(OR($B83="",O$45=""),"",IFERROR(CHOOSE(MATCH(SelMeasure,MeasureList,0),AVERAGEIFS(INDEX(dData,0,MATCH($B83&amp;CHAR(10)&amp;"Raw Score",dHdr,0)),dClass,O$45)/$D83,AVERAGEIFS(INDEX(dData,0,MATCH($B83&amp;CHAR(10)&amp;"Stanine",dHdr,0)),dClass,O$45),(COUNTIFS(dClass,O$45,INDEX(dData,0,MATCH($B83&amp;CHAR(10)&amp;"Raw Score",dHdr,0)),"&gt;=0")+COUNTIFS(dClass,O$45,INDEX(dData,0,MATCH($B83&amp;CHAR(10)&amp;"Raw Score",dHdr,0)),"A"))/COUNTIF(dClass,O$45)),""))</f>
        <v/>
      </c>
    </row>
    <row r="84">
      <c r="B84" s="31" t="str">
        <f>Calc!AA41</f>
        <v/>
      </c>
      <c r="C84" s="57" t="str">
        <f>Calc!AC41</f>
        <v/>
      </c>
      <c r="D84" s="33" t="str">
        <f>Calc!AB41</f>
        <v/>
      </c>
      <c r="E84" s="33" t="str">
        <f>IF($B84="","",IFERROR(COUNT(INDEX(dData,0,MATCH($B84&amp;CHAR(10)&amp;"Raw Score",dHdr,0))),""))</f>
        <v/>
      </c>
      <c r="F84" s="36" t="str">
        <f>IF($B84="","",IFERROR(($E84+COUNTIF(INDEX(dData,0,MATCH($B84&amp;CHAR(10)&amp;"Raw Score",dHdr,0)),"A"))/COUNTA(dLast),""))</f>
        <v/>
      </c>
      <c r="G84" s="58" t="str">
        <f>IF($B84="","",IFERROR(CHOOSE(MATCH(SelMeasure,MeasureList,0),AVERAGE(INDEX(dData,0,MATCH($B84&amp;CHAR(10)&amp;"Raw Score",dHdr,0)))/$D84,AVERAGE(INDEX(dData,0,MATCH($B84&amp;CHAR(10)&amp;"Stanine",dHdr,0))),$F84),""))</f>
        <v/>
      </c>
      <c r="H84" s="36" t="str">
        <f>IF(OR($B84="",H$45=""),"",IFERROR(CHOOSE(MATCH(SelMeasure,MeasureList,0),AVERAGEIFS(INDEX(dData,0,MATCH($B84&amp;CHAR(10)&amp;"Raw Score",dHdr,0)),dClass,H$45)/$D84,AVERAGEIFS(INDEX(dData,0,MATCH($B84&amp;CHAR(10)&amp;"Stanine",dHdr,0)),dClass,H$45),(COUNTIFS(dClass,H$45,INDEX(dData,0,MATCH($B84&amp;CHAR(10)&amp;"Raw Score",dHdr,0)),"&gt;=0")+COUNTIFS(dClass,H$45,INDEX(dData,0,MATCH($B84&amp;CHAR(10)&amp;"Raw Score",dHdr,0)),"A"))/COUNTIF(dClass,H$45)),""))</f>
        <v/>
      </c>
      <c r="I84" s="36" t="str">
        <f>IF(OR($B84="",I$45=""),"",IFERROR(CHOOSE(MATCH(SelMeasure,MeasureList,0),AVERAGEIFS(INDEX(dData,0,MATCH($B84&amp;CHAR(10)&amp;"Raw Score",dHdr,0)),dClass,I$45)/$D84,AVERAGEIFS(INDEX(dData,0,MATCH($B84&amp;CHAR(10)&amp;"Stanine",dHdr,0)),dClass,I$45),(COUNTIFS(dClass,I$45,INDEX(dData,0,MATCH($B84&amp;CHAR(10)&amp;"Raw Score",dHdr,0)),"&gt;=0")+COUNTIFS(dClass,I$45,INDEX(dData,0,MATCH($B84&amp;CHAR(10)&amp;"Raw Score",dHdr,0)),"A"))/COUNTIF(dClass,I$45)),""))</f>
        <v/>
      </c>
      <c r="J84" s="36" t="str">
        <f>IF(OR($B84="",J$45=""),"",IFERROR(CHOOSE(MATCH(SelMeasure,MeasureList,0),AVERAGEIFS(INDEX(dData,0,MATCH($B84&amp;CHAR(10)&amp;"Raw Score",dHdr,0)),dClass,J$45)/$D84,AVERAGEIFS(INDEX(dData,0,MATCH($B84&amp;CHAR(10)&amp;"Stanine",dHdr,0)),dClass,J$45),(COUNTIFS(dClass,J$45,INDEX(dData,0,MATCH($B84&amp;CHAR(10)&amp;"Raw Score",dHdr,0)),"&gt;=0")+COUNTIFS(dClass,J$45,INDEX(dData,0,MATCH($B84&amp;CHAR(10)&amp;"Raw Score",dHdr,0)),"A"))/COUNTIF(dClass,J$45)),""))</f>
        <v/>
      </c>
      <c r="K84" s="36" t="str">
        <f>IF(OR($B84="",K$45=""),"",IFERROR(CHOOSE(MATCH(SelMeasure,MeasureList,0),AVERAGEIFS(INDEX(dData,0,MATCH($B84&amp;CHAR(10)&amp;"Raw Score",dHdr,0)),dClass,K$45)/$D84,AVERAGEIFS(INDEX(dData,0,MATCH($B84&amp;CHAR(10)&amp;"Stanine",dHdr,0)),dClass,K$45),(COUNTIFS(dClass,K$45,INDEX(dData,0,MATCH($B84&amp;CHAR(10)&amp;"Raw Score",dHdr,0)),"&gt;=0")+COUNTIFS(dClass,K$45,INDEX(dData,0,MATCH($B84&amp;CHAR(10)&amp;"Raw Score",dHdr,0)),"A"))/COUNTIF(dClass,K$45)),""))</f>
        <v/>
      </c>
      <c r="L84" s="36" t="str">
        <f>IF(OR($B84="",L$45=""),"",IFERROR(CHOOSE(MATCH(SelMeasure,MeasureList,0),AVERAGEIFS(INDEX(dData,0,MATCH($B84&amp;CHAR(10)&amp;"Raw Score",dHdr,0)),dClass,L$45)/$D84,AVERAGEIFS(INDEX(dData,0,MATCH($B84&amp;CHAR(10)&amp;"Stanine",dHdr,0)),dClass,L$45),(COUNTIFS(dClass,L$45,INDEX(dData,0,MATCH($B84&amp;CHAR(10)&amp;"Raw Score",dHdr,0)),"&gt;=0")+COUNTIFS(dClass,L$45,INDEX(dData,0,MATCH($B84&amp;CHAR(10)&amp;"Raw Score",dHdr,0)),"A"))/COUNTIF(dClass,L$45)),""))</f>
        <v/>
      </c>
      <c r="M84" s="36" t="str">
        <f>IF(OR($B84="",M$45=""),"",IFERROR(CHOOSE(MATCH(SelMeasure,MeasureList,0),AVERAGEIFS(INDEX(dData,0,MATCH($B84&amp;CHAR(10)&amp;"Raw Score",dHdr,0)),dClass,M$45)/$D84,AVERAGEIFS(INDEX(dData,0,MATCH($B84&amp;CHAR(10)&amp;"Stanine",dHdr,0)),dClass,M$45),(COUNTIFS(dClass,M$45,INDEX(dData,0,MATCH($B84&amp;CHAR(10)&amp;"Raw Score",dHdr,0)),"&gt;=0")+COUNTIFS(dClass,M$45,INDEX(dData,0,MATCH($B84&amp;CHAR(10)&amp;"Raw Score",dHdr,0)),"A"))/COUNTIF(dClass,M$45)),""))</f>
        <v/>
      </c>
      <c r="N84" s="36" t="str">
        <f>IF(OR($B84="",N$45=""),"",IFERROR(CHOOSE(MATCH(SelMeasure,MeasureList,0),AVERAGEIFS(INDEX(dData,0,MATCH($B84&amp;CHAR(10)&amp;"Raw Score",dHdr,0)),dClass,N$45)/$D84,AVERAGEIFS(INDEX(dData,0,MATCH($B84&amp;CHAR(10)&amp;"Stanine",dHdr,0)),dClass,N$45),(COUNTIFS(dClass,N$45,INDEX(dData,0,MATCH($B84&amp;CHAR(10)&amp;"Raw Score",dHdr,0)),"&gt;=0")+COUNTIFS(dClass,N$45,INDEX(dData,0,MATCH($B84&amp;CHAR(10)&amp;"Raw Score",dHdr,0)),"A"))/COUNTIF(dClass,N$45)),""))</f>
        <v/>
      </c>
      <c r="O84" s="36" t="str">
        <f>IF(OR($B84="",O$45=""),"",IFERROR(CHOOSE(MATCH(SelMeasure,MeasureList,0),AVERAGEIFS(INDEX(dData,0,MATCH($B84&amp;CHAR(10)&amp;"Raw Score",dHdr,0)),dClass,O$45)/$D84,AVERAGEIFS(INDEX(dData,0,MATCH($B84&amp;CHAR(10)&amp;"Stanine",dHdr,0)),dClass,O$45),(COUNTIFS(dClass,O$45,INDEX(dData,0,MATCH($B84&amp;CHAR(10)&amp;"Raw Score",dHdr,0)),"&gt;=0")+COUNTIFS(dClass,O$45,INDEX(dData,0,MATCH($B84&amp;CHAR(10)&amp;"Raw Score",dHdr,0)),"A"))/COUNTIF(dClass,O$45)),""))</f>
        <v/>
      </c>
    </row>
    <row r="85">
      <c r="B85" s="31" t="str">
        <f>Calc!AA42</f>
        <v/>
      </c>
      <c r="C85" s="57" t="str">
        <f>Calc!AC42</f>
        <v/>
      </c>
      <c r="D85" s="33" t="str">
        <f>Calc!AB42</f>
        <v/>
      </c>
      <c r="E85" s="33" t="str">
        <f>IF($B85="","",IFERROR(COUNT(INDEX(dData,0,MATCH($B85&amp;CHAR(10)&amp;"Raw Score",dHdr,0))),""))</f>
        <v/>
      </c>
      <c r="F85" s="36" t="str">
        <f>IF($B85="","",IFERROR(($E85+COUNTIF(INDEX(dData,0,MATCH($B85&amp;CHAR(10)&amp;"Raw Score",dHdr,0)),"A"))/COUNTA(dLast),""))</f>
        <v/>
      </c>
      <c r="G85" s="58" t="str">
        <f>IF($B85="","",IFERROR(CHOOSE(MATCH(SelMeasure,MeasureList,0),AVERAGE(INDEX(dData,0,MATCH($B85&amp;CHAR(10)&amp;"Raw Score",dHdr,0)))/$D85,AVERAGE(INDEX(dData,0,MATCH($B85&amp;CHAR(10)&amp;"Stanine",dHdr,0))),$F85),""))</f>
        <v/>
      </c>
      <c r="H85" s="36" t="str">
        <f>IF(OR($B85="",H$45=""),"",IFERROR(CHOOSE(MATCH(SelMeasure,MeasureList,0),AVERAGEIFS(INDEX(dData,0,MATCH($B85&amp;CHAR(10)&amp;"Raw Score",dHdr,0)),dClass,H$45)/$D85,AVERAGEIFS(INDEX(dData,0,MATCH($B85&amp;CHAR(10)&amp;"Stanine",dHdr,0)),dClass,H$45),(COUNTIFS(dClass,H$45,INDEX(dData,0,MATCH($B85&amp;CHAR(10)&amp;"Raw Score",dHdr,0)),"&gt;=0")+COUNTIFS(dClass,H$45,INDEX(dData,0,MATCH($B85&amp;CHAR(10)&amp;"Raw Score",dHdr,0)),"A"))/COUNTIF(dClass,H$45)),""))</f>
        <v/>
      </c>
      <c r="I85" s="36" t="str">
        <f>IF(OR($B85="",I$45=""),"",IFERROR(CHOOSE(MATCH(SelMeasure,MeasureList,0),AVERAGEIFS(INDEX(dData,0,MATCH($B85&amp;CHAR(10)&amp;"Raw Score",dHdr,0)),dClass,I$45)/$D85,AVERAGEIFS(INDEX(dData,0,MATCH($B85&amp;CHAR(10)&amp;"Stanine",dHdr,0)),dClass,I$45),(COUNTIFS(dClass,I$45,INDEX(dData,0,MATCH($B85&amp;CHAR(10)&amp;"Raw Score",dHdr,0)),"&gt;=0")+COUNTIFS(dClass,I$45,INDEX(dData,0,MATCH($B85&amp;CHAR(10)&amp;"Raw Score",dHdr,0)),"A"))/COUNTIF(dClass,I$45)),""))</f>
        <v/>
      </c>
      <c r="J85" s="36" t="str">
        <f>IF(OR($B85="",J$45=""),"",IFERROR(CHOOSE(MATCH(SelMeasure,MeasureList,0),AVERAGEIFS(INDEX(dData,0,MATCH($B85&amp;CHAR(10)&amp;"Raw Score",dHdr,0)),dClass,J$45)/$D85,AVERAGEIFS(INDEX(dData,0,MATCH($B85&amp;CHAR(10)&amp;"Stanine",dHdr,0)),dClass,J$45),(COUNTIFS(dClass,J$45,INDEX(dData,0,MATCH($B85&amp;CHAR(10)&amp;"Raw Score",dHdr,0)),"&gt;=0")+COUNTIFS(dClass,J$45,INDEX(dData,0,MATCH($B85&amp;CHAR(10)&amp;"Raw Score",dHdr,0)),"A"))/COUNTIF(dClass,J$45)),""))</f>
        <v/>
      </c>
      <c r="K85" s="36" t="str">
        <f>IF(OR($B85="",K$45=""),"",IFERROR(CHOOSE(MATCH(SelMeasure,MeasureList,0),AVERAGEIFS(INDEX(dData,0,MATCH($B85&amp;CHAR(10)&amp;"Raw Score",dHdr,0)),dClass,K$45)/$D85,AVERAGEIFS(INDEX(dData,0,MATCH($B85&amp;CHAR(10)&amp;"Stanine",dHdr,0)),dClass,K$45),(COUNTIFS(dClass,K$45,INDEX(dData,0,MATCH($B85&amp;CHAR(10)&amp;"Raw Score",dHdr,0)),"&gt;=0")+COUNTIFS(dClass,K$45,INDEX(dData,0,MATCH($B85&amp;CHAR(10)&amp;"Raw Score",dHdr,0)),"A"))/COUNTIF(dClass,K$45)),""))</f>
        <v/>
      </c>
      <c r="L85" s="36" t="str">
        <f>IF(OR($B85="",L$45=""),"",IFERROR(CHOOSE(MATCH(SelMeasure,MeasureList,0),AVERAGEIFS(INDEX(dData,0,MATCH($B85&amp;CHAR(10)&amp;"Raw Score",dHdr,0)),dClass,L$45)/$D85,AVERAGEIFS(INDEX(dData,0,MATCH($B85&amp;CHAR(10)&amp;"Stanine",dHdr,0)),dClass,L$45),(COUNTIFS(dClass,L$45,INDEX(dData,0,MATCH($B85&amp;CHAR(10)&amp;"Raw Score",dHdr,0)),"&gt;=0")+COUNTIFS(dClass,L$45,INDEX(dData,0,MATCH($B85&amp;CHAR(10)&amp;"Raw Score",dHdr,0)),"A"))/COUNTIF(dClass,L$45)),""))</f>
        <v/>
      </c>
      <c r="M85" s="36" t="str">
        <f>IF(OR($B85="",M$45=""),"",IFERROR(CHOOSE(MATCH(SelMeasure,MeasureList,0),AVERAGEIFS(INDEX(dData,0,MATCH($B85&amp;CHAR(10)&amp;"Raw Score",dHdr,0)),dClass,M$45)/$D85,AVERAGEIFS(INDEX(dData,0,MATCH($B85&amp;CHAR(10)&amp;"Stanine",dHdr,0)),dClass,M$45),(COUNTIFS(dClass,M$45,INDEX(dData,0,MATCH($B85&amp;CHAR(10)&amp;"Raw Score",dHdr,0)),"&gt;=0")+COUNTIFS(dClass,M$45,INDEX(dData,0,MATCH($B85&amp;CHAR(10)&amp;"Raw Score",dHdr,0)),"A"))/COUNTIF(dClass,M$45)),""))</f>
        <v/>
      </c>
      <c r="N85" s="36" t="str">
        <f>IF(OR($B85="",N$45=""),"",IFERROR(CHOOSE(MATCH(SelMeasure,MeasureList,0),AVERAGEIFS(INDEX(dData,0,MATCH($B85&amp;CHAR(10)&amp;"Raw Score",dHdr,0)),dClass,N$45)/$D85,AVERAGEIFS(INDEX(dData,0,MATCH($B85&amp;CHAR(10)&amp;"Stanine",dHdr,0)),dClass,N$45),(COUNTIFS(dClass,N$45,INDEX(dData,0,MATCH($B85&amp;CHAR(10)&amp;"Raw Score",dHdr,0)),"&gt;=0")+COUNTIFS(dClass,N$45,INDEX(dData,0,MATCH($B85&amp;CHAR(10)&amp;"Raw Score",dHdr,0)),"A"))/COUNTIF(dClass,N$45)),""))</f>
        <v/>
      </c>
      <c r="O85" s="36" t="str">
        <f>IF(OR($B85="",O$45=""),"",IFERROR(CHOOSE(MATCH(SelMeasure,MeasureList,0),AVERAGEIFS(INDEX(dData,0,MATCH($B85&amp;CHAR(10)&amp;"Raw Score",dHdr,0)),dClass,O$45)/$D85,AVERAGEIFS(INDEX(dData,0,MATCH($B85&amp;CHAR(10)&amp;"Stanine",dHdr,0)),dClass,O$45),(COUNTIFS(dClass,O$45,INDEX(dData,0,MATCH($B85&amp;CHAR(10)&amp;"Raw Score",dHdr,0)),"&gt;=0")+COUNTIFS(dClass,O$45,INDEX(dData,0,MATCH($B85&amp;CHAR(10)&amp;"Raw Score",dHdr,0)),"A"))/COUNTIF(dClass,O$45)),""))</f>
        <v/>
      </c>
    </row>
    <row r="86">
      <c r="B86" s="31" t="str">
        <f>Calc!AA43</f>
        <v/>
      </c>
      <c r="C86" s="57" t="str">
        <f>Calc!AC43</f>
        <v/>
      </c>
      <c r="D86" s="33" t="str">
        <f>Calc!AB43</f>
        <v/>
      </c>
      <c r="E86" s="33" t="str">
        <f>IF($B86="","",IFERROR(COUNT(INDEX(dData,0,MATCH($B86&amp;CHAR(10)&amp;"Raw Score",dHdr,0))),""))</f>
        <v/>
      </c>
      <c r="F86" s="36" t="str">
        <f>IF($B86="","",IFERROR(($E86+COUNTIF(INDEX(dData,0,MATCH($B86&amp;CHAR(10)&amp;"Raw Score",dHdr,0)),"A"))/COUNTA(dLast),""))</f>
        <v/>
      </c>
      <c r="G86" s="58" t="str">
        <f>IF($B86="","",IFERROR(CHOOSE(MATCH(SelMeasure,MeasureList,0),AVERAGE(INDEX(dData,0,MATCH($B86&amp;CHAR(10)&amp;"Raw Score",dHdr,0)))/$D86,AVERAGE(INDEX(dData,0,MATCH($B86&amp;CHAR(10)&amp;"Stanine",dHdr,0))),$F86),""))</f>
        <v/>
      </c>
      <c r="H86" s="36" t="str">
        <f>IF(OR($B86="",H$45=""),"",IFERROR(CHOOSE(MATCH(SelMeasure,MeasureList,0),AVERAGEIFS(INDEX(dData,0,MATCH($B86&amp;CHAR(10)&amp;"Raw Score",dHdr,0)),dClass,H$45)/$D86,AVERAGEIFS(INDEX(dData,0,MATCH($B86&amp;CHAR(10)&amp;"Stanine",dHdr,0)),dClass,H$45),(COUNTIFS(dClass,H$45,INDEX(dData,0,MATCH($B86&amp;CHAR(10)&amp;"Raw Score",dHdr,0)),"&gt;=0")+COUNTIFS(dClass,H$45,INDEX(dData,0,MATCH($B86&amp;CHAR(10)&amp;"Raw Score",dHdr,0)),"A"))/COUNTIF(dClass,H$45)),""))</f>
        <v/>
      </c>
      <c r="I86" s="36" t="str">
        <f>IF(OR($B86="",I$45=""),"",IFERROR(CHOOSE(MATCH(SelMeasure,MeasureList,0),AVERAGEIFS(INDEX(dData,0,MATCH($B86&amp;CHAR(10)&amp;"Raw Score",dHdr,0)),dClass,I$45)/$D86,AVERAGEIFS(INDEX(dData,0,MATCH($B86&amp;CHAR(10)&amp;"Stanine",dHdr,0)),dClass,I$45),(COUNTIFS(dClass,I$45,INDEX(dData,0,MATCH($B86&amp;CHAR(10)&amp;"Raw Score",dHdr,0)),"&gt;=0")+COUNTIFS(dClass,I$45,INDEX(dData,0,MATCH($B86&amp;CHAR(10)&amp;"Raw Score",dHdr,0)),"A"))/COUNTIF(dClass,I$45)),""))</f>
        <v/>
      </c>
      <c r="J86" s="36" t="str">
        <f>IF(OR($B86="",J$45=""),"",IFERROR(CHOOSE(MATCH(SelMeasure,MeasureList,0),AVERAGEIFS(INDEX(dData,0,MATCH($B86&amp;CHAR(10)&amp;"Raw Score",dHdr,0)),dClass,J$45)/$D86,AVERAGEIFS(INDEX(dData,0,MATCH($B86&amp;CHAR(10)&amp;"Stanine",dHdr,0)),dClass,J$45),(COUNTIFS(dClass,J$45,INDEX(dData,0,MATCH($B86&amp;CHAR(10)&amp;"Raw Score",dHdr,0)),"&gt;=0")+COUNTIFS(dClass,J$45,INDEX(dData,0,MATCH($B86&amp;CHAR(10)&amp;"Raw Score",dHdr,0)),"A"))/COUNTIF(dClass,J$45)),""))</f>
        <v/>
      </c>
      <c r="K86" s="36" t="str">
        <f>IF(OR($B86="",K$45=""),"",IFERROR(CHOOSE(MATCH(SelMeasure,MeasureList,0),AVERAGEIFS(INDEX(dData,0,MATCH($B86&amp;CHAR(10)&amp;"Raw Score",dHdr,0)),dClass,K$45)/$D86,AVERAGEIFS(INDEX(dData,0,MATCH($B86&amp;CHAR(10)&amp;"Stanine",dHdr,0)),dClass,K$45),(COUNTIFS(dClass,K$45,INDEX(dData,0,MATCH($B86&amp;CHAR(10)&amp;"Raw Score",dHdr,0)),"&gt;=0")+COUNTIFS(dClass,K$45,INDEX(dData,0,MATCH($B86&amp;CHAR(10)&amp;"Raw Score",dHdr,0)),"A"))/COUNTIF(dClass,K$45)),""))</f>
        <v/>
      </c>
      <c r="L86" s="36" t="str">
        <f>IF(OR($B86="",L$45=""),"",IFERROR(CHOOSE(MATCH(SelMeasure,MeasureList,0),AVERAGEIFS(INDEX(dData,0,MATCH($B86&amp;CHAR(10)&amp;"Raw Score",dHdr,0)),dClass,L$45)/$D86,AVERAGEIFS(INDEX(dData,0,MATCH($B86&amp;CHAR(10)&amp;"Stanine",dHdr,0)),dClass,L$45),(COUNTIFS(dClass,L$45,INDEX(dData,0,MATCH($B86&amp;CHAR(10)&amp;"Raw Score",dHdr,0)),"&gt;=0")+COUNTIFS(dClass,L$45,INDEX(dData,0,MATCH($B86&amp;CHAR(10)&amp;"Raw Score",dHdr,0)),"A"))/COUNTIF(dClass,L$45)),""))</f>
        <v/>
      </c>
      <c r="M86" s="36" t="str">
        <f>IF(OR($B86="",M$45=""),"",IFERROR(CHOOSE(MATCH(SelMeasure,MeasureList,0),AVERAGEIFS(INDEX(dData,0,MATCH($B86&amp;CHAR(10)&amp;"Raw Score",dHdr,0)),dClass,M$45)/$D86,AVERAGEIFS(INDEX(dData,0,MATCH($B86&amp;CHAR(10)&amp;"Stanine",dHdr,0)),dClass,M$45),(COUNTIFS(dClass,M$45,INDEX(dData,0,MATCH($B86&amp;CHAR(10)&amp;"Raw Score",dHdr,0)),"&gt;=0")+COUNTIFS(dClass,M$45,INDEX(dData,0,MATCH($B86&amp;CHAR(10)&amp;"Raw Score",dHdr,0)),"A"))/COUNTIF(dClass,M$45)),""))</f>
        <v/>
      </c>
      <c r="N86" s="36" t="str">
        <f>IF(OR($B86="",N$45=""),"",IFERROR(CHOOSE(MATCH(SelMeasure,MeasureList,0),AVERAGEIFS(INDEX(dData,0,MATCH($B86&amp;CHAR(10)&amp;"Raw Score",dHdr,0)),dClass,N$45)/$D86,AVERAGEIFS(INDEX(dData,0,MATCH($B86&amp;CHAR(10)&amp;"Stanine",dHdr,0)),dClass,N$45),(COUNTIFS(dClass,N$45,INDEX(dData,0,MATCH($B86&amp;CHAR(10)&amp;"Raw Score",dHdr,0)),"&gt;=0")+COUNTIFS(dClass,N$45,INDEX(dData,0,MATCH($B86&amp;CHAR(10)&amp;"Raw Score",dHdr,0)),"A"))/COUNTIF(dClass,N$45)),""))</f>
        <v/>
      </c>
      <c r="O86" s="36" t="str">
        <f>IF(OR($B86="",O$45=""),"",IFERROR(CHOOSE(MATCH(SelMeasure,MeasureList,0),AVERAGEIFS(INDEX(dData,0,MATCH($B86&amp;CHAR(10)&amp;"Raw Score",dHdr,0)),dClass,O$45)/$D86,AVERAGEIFS(INDEX(dData,0,MATCH($B86&amp;CHAR(10)&amp;"Stanine",dHdr,0)),dClass,O$45),(COUNTIFS(dClass,O$45,INDEX(dData,0,MATCH($B86&amp;CHAR(10)&amp;"Raw Score",dHdr,0)),"&gt;=0")+COUNTIFS(dClass,O$45,INDEX(dData,0,MATCH($B86&amp;CHAR(10)&amp;"Raw Score",dHdr,0)),"A"))/COUNTIF(dClass,O$45)),""))</f>
        <v/>
      </c>
    </row>
    <row r="87">
      <c r="B87" s="31" t="str">
        <f>Calc!AA44</f>
        <v/>
      </c>
      <c r="C87" s="57" t="str">
        <f>Calc!AC44</f>
        <v/>
      </c>
      <c r="D87" s="33" t="str">
        <f>Calc!AB44</f>
        <v/>
      </c>
      <c r="E87" s="33" t="str">
        <f>IF($B87="","",IFERROR(COUNT(INDEX(dData,0,MATCH($B87&amp;CHAR(10)&amp;"Raw Score",dHdr,0))),""))</f>
        <v/>
      </c>
      <c r="F87" s="36" t="str">
        <f>IF($B87="","",IFERROR(($E87+COUNTIF(INDEX(dData,0,MATCH($B87&amp;CHAR(10)&amp;"Raw Score",dHdr,0)),"A"))/COUNTA(dLast),""))</f>
        <v/>
      </c>
      <c r="G87" s="58" t="str">
        <f>IF($B87="","",IFERROR(CHOOSE(MATCH(SelMeasure,MeasureList,0),AVERAGE(INDEX(dData,0,MATCH($B87&amp;CHAR(10)&amp;"Raw Score",dHdr,0)))/$D87,AVERAGE(INDEX(dData,0,MATCH($B87&amp;CHAR(10)&amp;"Stanine",dHdr,0))),$F87),""))</f>
        <v/>
      </c>
      <c r="H87" s="36" t="str">
        <f>IF(OR($B87="",H$45=""),"",IFERROR(CHOOSE(MATCH(SelMeasure,MeasureList,0),AVERAGEIFS(INDEX(dData,0,MATCH($B87&amp;CHAR(10)&amp;"Raw Score",dHdr,0)),dClass,H$45)/$D87,AVERAGEIFS(INDEX(dData,0,MATCH($B87&amp;CHAR(10)&amp;"Stanine",dHdr,0)),dClass,H$45),(COUNTIFS(dClass,H$45,INDEX(dData,0,MATCH($B87&amp;CHAR(10)&amp;"Raw Score",dHdr,0)),"&gt;=0")+COUNTIFS(dClass,H$45,INDEX(dData,0,MATCH($B87&amp;CHAR(10)&amp;"Raw Score",dHdr,0)),"A"))/COUNTIF(dClass,H$45)),""))</f>
        <v/>
      </c>
      <c r="I87" s="36" t="str">
        <f>IF(OR($B87="",I$45=""),"",IFERROR(CHOOSE(MATCH(SelMeasure,MeasureList,0),AVERAGEIFS(INDEX(dData,0,MATCH($B87&amp;CHAR(10)&amp;"Raw Score",dHdr,0)),dClass,I$45)/$D87,AVERAGEIFS(INDEX(dData,0,MATCH($B87&amp;CHAR(10)&amp;"Stanine",dHdr,0)),dClass,I$45),(COUNTIFS(dClass,I$45,INDEX(dData,0,MATCH($B87&amp;CHAR(10)&amp;"Raw Score",dHdr,0)),"&gt;=0")+COUNTIFS(dClass,I$45,INDEX(dData,0,MATCH($B87&amp;CHAR(10)&amp;"Raw Score",dHdr,0)),"A"))/COUNTIF(dClass,I$45)),""))</f>
        <v/>
      </c>
      <c r="J87" s="36" t="str">
        <f>IF(OR($B87="",J$45=""),"",IFERROR(CHOOSE(MATCH(SelMeasure,MeasureList,0),AVERAGEIFS(INDEX(dData,0,MATCH($B87&amp;CHAR(10)&amp;"Raw Score",dHdr,0)),dClass,J$45)/$D87,AVERAGEIFS(INDEX(dData,0,MATCH($B87&amp;CHAR(10)&amp;"Stanine",dHdr,0)),dClass,J$45),(COUNTIFS(dClass,J$45,INDEX(dData,0,MATCH($B87&amp;CHAR(10)&amp;"Raw Score",dHdr,0)),"&gt;=0")+COUNTIFS(dClass,J$45,INDEX(dData,0,MATCH($B87&amp;CHAR(10)&amp;"Raw Score",dHdr,0)),"A"))/COUNTIF(dClass,J$45)),""))</f>
        <v/>
      </c>
      <c r="K87" s="36" t="str">
        <f>IF(OR($B87="",K$45=""),"",IFERROR(CHOOSE(MATCH(SelMeasure,MeasureList,0),AVERAGEIFS(INDEX(dData,0,MATCH($B87&amp;CHAR(10)&amp;"Raw Score",dHdr,0)),dClass,K$45)/$D87,AVERAGEIFS(INDEX(dData,0,MATCH($B87&amp;CHAR(10)&amp;"Stanine",dHdr,0)),dClass,K$45),(COUNTIFS(dClass,K$45,INDEX(dData,0,MATCH($B87&amp;CHAR(10)&amp;"Raw Score",dHdr,0)),"&gt;=0")+COUNTIFS(dClass,K$45,INDEX(dData,0,MATCH($B87&amp;CHAR(10)&amp;"Raw Score",dHdr,0)),"A"))/COUNTIF(dClass,K$45)),""))</f>
        <v/>
      </c>
      <c r="L87" s="36" t="str">
        <f>IF(OR($B87="",L$45=""),"",IFERROR(CHOOSE(MATCH(SelMeasure,MeasureList,0),AVERAGEIFS(INDEX(dData,0,MATCH($B87&amp;CHAR(10)&amp;"Raw Score",dHdr,0)),dClass,L$45)/$D87,AVERAGEIFS(INDEX(dData,0,MATCH($B87&amp;CHAR(10)&amp;"Stanine",dHdr,0)),dClass,L$45),(COUNTIFS(dClass,L$45,INDEX(dData,0,MATCH($B87&amp;CHAR(10)&amp;"Raw Score",dHdr,0)),"&gt;=0")+COUNTIFS(dClass,L$45,INDEX(dData,0,MATCH($B87&amp;CHAR(10)&amp;"Raw Score",dHdr,0)),"A"))/COUNTIF(dClass,L$45)),""))</f>
        <v/>
      </c>
      <c r="M87" s="36" t="str">
        <f>IF(OR($B87="",M$45=""),"",IFERROR(CHOOSE(MATCH(SelMeasure,MeasureList,0),AVERAGEIFS(INDEX(dData,0,MATCH($B87&amp;CHAR(10)&amp;"Raw Score",dHdr,0)),dClass,M$45)/$D87,AVERAGEIFS(INDEX(dData,0,MATCH($B87&amp;CHAR(10)&amp;"Stanine",dHdr,0)),dClass,M$45),(COUNTIFS(dClass,M$45,INDEX(dData,0,MATCH($B87&amp;CHAR(10)&amp;"Raw Score",dHdr,0)),"&gt;=0")+COUNTIFS(dClass,M$45,INDEX(dData,0,MATCH($B87&amp;CHAR(10)&amp;"Raw Score",dHdr,0)),"A"))/COUNTIF(dClass,M$45)),""))</f>
        <v/>
      </c>
      <c r="N87" s="36" t="str">
        <f>IF(OR($B87="",N$45=""),"",IFERROR(CHOOSE(MATCH(SelMeasure,MeasureList,0),AVERAGEIFS(INDEX(dData,0,MATCH($B87&amp;CHAR(10)&amp;"Raw Score",dHdr,0)),dClass,N$45)/$D87,AVERAGEIFS(INDEX(dData,0,MATCH($B87&amp;CHAR(10)&amp;"Stanine",dHdr,0)),dClass,N$45),(COUNTIFS(dClass,N$45,INDEX(dData,0,MATCH($B87&amp;CHAR(10)&amp;"Raw Score",dHdr,0)),"&gt;=0")+COUNTIFS(dClass,N$45,INDEX(dData,0,MATCH($B87&amp;CHAR(10)&amp;"Raw Score",dHdr,0)),"A"))/COUNTIF(dClass,N$45)),""))</f>
        <v/>
      </c>
      <c r="O87" s="36" t="str">
        <f>IF(OR($B87="",O$45=""),"",IFERROR(CHOOSE(MATCH(SelMeasure,MeasureList,0),AVERAGEIFS(INDEX(dData,0,MATCH($B87&amp;CHAR(10)&amp;"Raw Score",dHdr,0)),dClass,O$45)/$D87,AVERAGEIFS(INDEX(dData,0,MATCH($B87&amp;CHAR(10)&amp;"Stanine",dHdr,0)),dClass,O$45),(COUNTIFS(dClass,O$45,INDEX(dData,0,MATCH($B87&amp;CHAR(10)&amp;"Raw Score",dHdr,0)),"&gt;=0")+COUNTIFS(dClass,O$45,INDEX(dData,0,MATCH($B87&amp;CHAR(10)&amp;"Raw Score",dHdr,0)),"A"))/COUNTIF(dClass,O$45)),""))</f>
        <v/>
      </c>
    </row>
    <row r="88">
      <c r="B88" s="31" t="str">
        <f>Calc!AA45</f>
        <v/>
      </c>
      <c r="C88" s="57" t="str">
        <f>Calc!AC45</f>
        <v/>
      </c>
      <c r="D88" s="33" t="str">
        <f>Calc!AB45</f>
        <v/>
      </c>
      <c r="E88" s="33" t="str">
        <f>IF($B88="","",IFERROR(COUNT(INDEX(dData,0,MATCH($B88&amp;CHAR(10)&amp;"Raw Score",dHdr,0))),""))</f>
        <v/>
      </c>
      <c r="F88" s="36" t="str">
        <f>IF($B88="","",IFERROR(($E88+COUNTIF(INDEX(dData,0,MATCH($B88&amp;CHAR(10)&amp;"Raw Score",dHdr,0)),"A"))/COUNTA(dLast),""))</f>
        <v/>
      </c>
      <c r="G88" s="58" t="str">
        <f>IF($B88="","",IFERROR(CHOOSE(MATCH(SelMeasure,MeasureList,0),AVERAGE(INDEX(dData,0,MATCH($B88&amp;CHAR(10)&amp;"Raw Score",dHdr,0)))/$D88,AVERAGE(INDEX(dData,0,MATCH($B88&amp;CHAR(10)&amp;"Stanine",dHdr,0))),$F88),""))</f>
        <v/>
      </c>
      <c r="H88" s="36" t="str">
        <f>IF(OR($B88="",H$45=""),"",IFERROR(CHOOSE(MATCH(SelMeasure,MeasureList,0),AVERAGEIFS(INDEX(dData,0,MATCH($B88&amp;CHAR(10)&amp;"Raw Score",dHdr,0)),dClass,H$45)/$D88,AVERAGEIFS(INDEX(dData,0,MATCH($B88&amp;CHAR(10)&amp;"Stanine",dHdr,0)),dClass,H$45),(COUNTIFS(dClass,H$45,INDEX(dData,0,MATCH($B88&amp;CHAR(10)&amp;"Raw Score",dHdr,0)),"&gt;=0")+COUNTIFS(dClass,H$45,INDEX(dData,0,MATCH($B88&amp;CHAR(10)&amp;"Raw Score",dHdr,0)),"A"))/COUNTIF(dClass,H$45)),""))</f>
        <v/>
      </c>
      <c r="I88" s="36" t="str">
        <f>IF(OR($B88="",I$45=""),"",IFERROR(CHOOSE(MATCH(SelMeasure,MeasureList,0),AVERAGEIFS(INDEX(dData,0,MATCH($B88&amp;CHAR(10)&amp;"Raw Score",dHdr,0)),dClass,I$45)/$D88,AVERAGEIFS(INDEX(dData,0,MATCH($B88&amp;CHAR(10)&amp;"Stanine",dHdr,0)),dClass,I$45),(COUNTIFS(dClass,I$45,INDEX(dData,0,MATCH($B88&amp;CHAR(10)&amp;"Raw Score",dHdr,0)),"&gt;=0")+COUNTIFS(dClass,I$45,INDEX(dData,0,MATCH($B88&amp;CHAR(10)&amp;"Raw Score",dHdr,0)),"A"))/COUNTIF(dClass,I$45)),""))</f>
        <v/>
      </c>
      <c r="J88" s="36" t="str">
        <f>IF(OR($B88="",J$45=""),"",IFERROR(CHOOSE(MATCH(SelMeasure,MeasureList,0),AVERAGEIFS(INDEX(dData,0,MATCH($B88&amp;CHAR(10)&amp;"Raw Score",dHdr,0)),dClass,J$45)/$D88,AVERAGEIFS(INDEX(dData,0,MATCH($B88&amp;CHAR(10)&amp;"Stanine",dHdr,0)),dClass,J$45),(COUNTIFS(dClass,J$45,INDEX(dData,0,MATCH($B88&amp;CHAR(10)&amp;"Raw Score",dHdr,0)),"&gt;=0")+COUNTIFS(dClass,J$45,INDEX(dData,0,MATCH($B88&amp;CHAR(10)&amp;"Raw Score",dHdr,0)),"A"))/COUNTIF(dClass,J$45)),""))</f>
        <v/>
      </c>
      <c r="K88" s="36" t="str">
        <f>IF(OR($B88="",K$45=""),"",IFERROR(CHOOSE(MATCH(SelMeasure,MeasureList,0),AVERAGEIFS(INDEX(dData,0,MATCH($B88&amp;CHAR(10)&amp;"Raw Score",dHdr,0)),dClass,K$45)/$D88,AVERAGEIFS(INDEX(dData,0,MATCH($B88&amp;CHAR(10)&amp;"Stanine",dHdr,0)),dClass,K$45),(COUNTIFS(dClass,K$45,INDEX(dData,0,MATCH($B88&amp;CHAR(10)&amp;"Raw Score",dHdr,0)),"&gt;=0")+COUNTIFS(dClass,K$45,INDEX(dData,0,MATCH($B88&amp;CHAR(10)&amp;"Raw Score",dHdr,0)),"A"))/COUNTIF(dClass,K$45)),""))</f>
        <v/>
      </c>
      <c r="L88" s="36" t="str">
        <f>IF(OR($B88="",L$45=""),"",IFERROR(CHOOSE(MATCH(SelMeasure,MeasureList,0),AVERAGEIFS(INDEX(dData,0,MATCH($B88&amp;CHAR(10)&amp;"Raw Score",dHdr,0)),dClass,L$45)/$D88,AVERAGEIFS(INDEX(dData,0,MATCH($B88&amp;CHAR(10)&amp;"Stanine",dHdr,0)),dClass,L$45),(COUNTIFS(dClass,L$45,INDEX(dData,0,MATCH($B88&amp;CHAR(10)&amp;"Raw Score",dHdr,0)),"&gt;=0")+COUNTIFS(dClass,L$45,INDEX(dData,0,MATCH($B88&amp;CHAR(10)&amp;"Raw Score",dHdr,0)),"A"))/COUNTIF(dClass,L$45)),""))</f>
        <v/>
      </c>
      <c r="M88" s="36" t="str">
        <f>IF(OR($B88="",M$45=""),"",IFERROR(CHOOSE(MATCH(SelMeasure,MeasureList,0),AVERAGEIFS(INDEX(dData,0,MATCH($B88&amp;CHAR(10)&amp;"Raw Score",dHdr,0)),dClass,M$45)/$D88,AVERAGEIFS(INDEX(dData,0,MATCH($B88&amp;CHAR(10)&amp;"Stanine",dHdr,0)),dClass,M$45),(COUNTIFS(dClass,M$45,INDEX(dData,0,MATCH($B88&amp;CHAR(10)&amp;"Raw Score",dHdr,0)),"&gt;=0")+COUNTIFS(dClass,M$45,INDEX(dData,0,MATCH($B88&amp;CHAR(10)&amp;"Raw Score",dHdr,0)),"A"))/COUNTIF(dClass,M$45)),""))</f>
        <v/>
      </c>
      <c r="N88" s="36" t="str">
        <f>IF(OR($B88="",N$45=""),"",IFERROR(CHOOSE(MATCH(SelMeasure,MeasureList,0),AVERAGEIFS(INDEX(dData,0,MATCH($B88&amp;CHAR(10)&amp;"Raw Score",dHdr,0)),dClass,N$45)/$D88,AVERAGEIFS(INDEX(dData,0,MATCH($B88&amp;CHAR(10)&amp;"Stanine",dHdr,0)),dClass,N$45),(COUNTIFS(dClass,N$45,INDEX(dData,0,MATCH($B88&amp;CHAR(10)&amp;"Raw Score",dHdr,0)),"&gt;=0")+COUNTIFS(dClass,N$45,INDEX(dData,0,MATCH($B88&amp;CHAR(10)&amp;"Raw Score",dHdr,0)),"A"))/COUNTIF(dClass,N$45)),""))</f>
        <v/>
      </c>
      <c r="O88" s="36" t="str">
        <f>IF(OR($B88="",O$45=""),"",IFERROR(CHOOSE(MATCH(SelMeasure,MeasureList,0),AVERAGEIFS(INDEX(dData,0,MATCH($B88&amp;CHAR(10)&amp;"Raw Score",dHdr,0)),dClass,O$45)/$D88,AVERAGEIFS(INDEX(dData,0,MATCH($B88&amp;CHAR(10)&amp;"Stanine",dHdr,0)),dClass,O$45),(COUNTIFS(dClass,O$45,INDEX(dData,0,MATCH($B88&amp;CHAR(10)&amp;"Raw Score",dHdr,0)),"&gt;=0")+COUNTIFS(dClass,O$45,INDEX(dData,0,MATCH($B88&amp;CHAR(10)&amp;"Raw Score",dHdr,0)),"A"))/COUNTIF(dClass,O$45)),""))</f>
        <v/>
      </c>
    </row>
    <row r="89">
      <c r="B89" s="31" t="str">
        <f>Calc!AA46</f>
        <v/>
      </c>
      <c r="C89" s="57" t="str">
        <f>Calc!AC46</f>
        <v/>
      </c>
      <c r="D89" s="33" t="str">
        <f>Calc!AB46</f>
        <v/>
      </c>
      <c r="E89" s="33" t="str">
        <f>IF($B89="","",IFERROR(COUNT(INDEX(dData,0,MATCH($B89&amp;CHAR(10)&amp;"Raw Score",dHdr,0))),""))</f>
        <v/>
      </c>
      <c r="F89" s="36" t="str">
        <f>IF($B89="","",IFERROR(($E89+COUNTIF(INDEX(dData,0,MATCH($B89&amp;CHAR(10)&amp;"Raw Score",dHdr,0)),"A"))/COUNTA(dLast),""))</f>
        <v/>
      </c>
      <c r="G89" s="58" t="str">
        <f>IF($B89="","",IFERROR(CHOOSE(MATCH(SelMeasure,MeasureList,0),AVERAGE(INDEX(dData,0,MATCH($B89&amp;CHAR(10)&amp;"Raw Score",dHdr,0)))/$D89,AVERAGE(INDEX(dData,0,MATCH($B89&amp;CHAR(10)&amp;"Stanine",dHdr,0))),$F89),""))</f>
        <v/>
      </c>
      <c r="H89" s="36" t="str">
        <f>IF(OR($B89="",H$45=""),"",IFERROR(CHOOSE(MATCH(SelMeasure,MeasureList,0),AVERAGEIFS(INDEX(dData,0,MATCH($B89&amp;CHAR(10)&amp;"Raw Score",dHdr,0)),dClass,H$45)/$D89,AVERAGEIFS(INDEX(dData,0,MATCH($B89&amp;CHAR(10)&amp;"Stanine",dHdr,0)),dClass,H$45),(COUNTIFS(dClass,H$45,INDEX(dData,0,MATCH($B89&amp;CHAR(10)&amp;"Raw Score",dHdr,0)),"&gt;=0")+COUNTIFS(dClass,H$45,INDEX(dData,0,MATCH($B89&amp;CHAR(10)&amp;"Raw Score",dHdr,0)),"A"))/COUNTIF(dClass,H$45)),""))</f>
        <v/>
      </c>
      <c r="I89" s="36" t="str">
        <f>IF(OR($B89="",I$45=""),"",IFERROR(CHOOSE(MATCH(SelMeasure,MeasureList,0),AVERAGEIFS(INDEX(dData,0,MATCH($B89&amp;CHAR(10)&amp;"Raw Score",dHdr,0)),dClass,I$45)/$D89,AVERAGEIFS(INDEX(dData,0,MATCH($B89&amp;CHAR(10)&amp;"Stanine",dHdr,0)),dClass,I$45),(COUNTIFS(dClass,I$45,INDEX(dData,0,MATCH($B89&amp;CHAR(10)&amp;"Raw Score",dHdr,0)),"&gt;=0")+COUNTIFS(dClass,I$45,INDEX(dData,0,MATCH($B89&amp;CHAR(10)&amp;"Raw Score",dHdr,0)),"A"))/COUNTIF(dClass,I$45)),""))</f>
        <v/>
      </c>
      <c r="J89" s="36" t="str">
        <f>IF(OR($B89="",J$45=""),"",IFERROR(CHOOSE(MATCH(SelMeasure,MeasureList,0),AVERAGEIFS(INDEX(dData,0,MATCH($B89&amp;CHAR(10)&amp;"Raw Score",dHdr,0)),dClass,J$45)/$D89,AVERAGEIFS(INDEX(dData,0,MATCH($B89&amp;CHAR(10)&amp;"Stanine",dHdr,0)),dClass,J$45),(COUNTIFS(dClass,J$45,INDEX(dData,0,MATCH($B89&amp;CHAR(10)&amp;"Raw Score",dHdr,0)),"&gt;=0")+COUNTIFS(dClass,J$45,INDEX(dData,0,MATCH($B89&amp;CHAR(10)&amp;"Raw Score",dHdr,0)),"A"))/COUNTIF(dClass,J$45)),""))</f>
        <v/>
      </c>
      <c r="K89" s="36" t="str">
        <f>IF(OR($B89="",K$45=""),"",IFERROR(CHOOSE(MATCH(SelMeasure,MeasureList,0),AVERAGEIFS(INDEX(dData,0,MATCH($B89&amp;CHAR(10)&amp;"Raw Score",dHdr,0)),dClass,K$45)/$D89,AVERAGEIFS(INDEX(dData,0,MATCH($B89&amp;CHAR(10)&amp;"Stanine",dHdr,0)),dClass,K$45),(COUNTIFS(dClass,K$45,INDEX(dData,0,MATCH($B89&amp;CHAR(10)&amp;"Raw Score",dHdr,0)),"&gt;=0")+COUNTIFS(dClass,K$45,INDEX(dData,0,MATCH($B89&amp;CHAR(10)&amp;"Raw Score",dHdr,0)),"A"))/COUNTIF(dClass,K$45)),""))</f>
        <v/>
      </c>
      <c r="L89" s="36" t="str">
        <f>IF(OR($B89="",L$45=""),"",IFERROR(CHOOSE(MATCH(SelMeasure,MeasureList,0),AVERAGEIFS(INDEX(dData,0,MATCH($B89&amp;CHAR(10)&amp;"Raw Score",dHdr,0)),dClass,L$45)/$D89,AVERAGEIFS(INDEX(dData,0,MATCH($B89&amp;CHAR(10)&amp;"Stanine",dHdr,0)),dClass,L$45),(COUNTIFS(dClass,L$45,INDEX(dData,0,MATCH($B89&amp;CHAR(10)&amp;"Raw Score",dHdr,0)),"&gt;=0")+COUNTIFS(dClass,L$45,INDEX(dData,0,MATCH($B89&amp;CHAR(10)&amp;"Raw Score",dHdr,0)),"A"))/COUNTIF(dClass,L$45)),""))</f>
        <v/>
      </c>
      <c r="M89" s="36" t="str">
        <f>IF(OR($B89="",M$45=""),"",IFERROR(CHOOSE(MATCH(SelMeasure,MeasureList,0),AVERAGEIFS(INDEX(dData,0,MATCH($B89&amp;CHAR(10)&amp;"Raw Score",dHdr,0)),dClass,M$45)/$D89,AVERAGEIFS(INDEX(dData,0,MATCH($B89&amp;CHAR(10)&amp;"Stanine",dHdr,0)),dClass,M$45),(COUNTIFS(dClass,M$45,INDEX(dData,0,MATCH($B89&amp;CHAR(10)&amp;"Raw Score",dHdr,0)),"&gt;=0")+COUNTIFS(dClass,M$45,INDEX(dData,0,MATCH($B89&amp;CHAR(10)&amp;"Raw Score",dHdr,0)),"A"))/COUNTIF(dClass,M$45)),""))</f>
        <v/>
      </c>
      <c r="N89" s="36" t="str">
        <f>IF(OR($B89="",N$45=""),"",IFERROR(CHOOSE(MATCH(SelMeasure,MeasureList,0),AVERAGEIFS(INDEX(dData,0,MATCH($B89&amp;CHAR(10)&amp;"Raw Score",dHdr,0)),dClass,N$45)/$D89,AVERAGEIFS(INDEX(dData,0,MATCH($B89&amp;CHAR(10)&amp;"Stanine",dHdr,0)),dClass,N$45),(COUNTIFS(dClass,N$45,INDEX(dData,0,MATCH($B89&amp;CHAR(10)&amp;"Raw Score",dHdr,0)),"&gt;=0")+COUNTIFS(dClass,N$45,INDEX(dData,0,MATCH($B89&amp;CHAR(10)&amp;"Raw Score",dHdr,0)),"A"))/COUNTIF(dClass,N$45)),""))</f>
        <v/>
      </c>
      <c r="O89" s="36" t="str">
        <f>IF(OR($B89="",O$45=""),"",IFERROR(CHOOSE(MATCH(SelMeasure,MeasureList,0),AVERAGEIFS(INDEX(dData,0,MATCH($B89&amp;CHAR(10)&amp;"Raw Score",dHdr,0)),dClass,O$45)/$D89,AVERAGEIFS(INDEX(dData,0,MATCH($B89&amp;CHAR(10)&amp;"Stanine",dHdr,0)),dClass,O$45),(COUNTIFS(dClass,O$45,INDEX(dData,0,MATCH($B89&amp;CHAR(10)&amp;"Raw Score",dHdr,0)),"&gt;=0")+COUNTIFS(dClass,O$45,INDEX(dData,0,MATCH($B89&amp;CHAR(10)&amp;"Raw Score",dHdr,0)),"A"))/COUNTIF(dClass,O$45)),""))</f>
        <v/>
      </c>
    </row>
    <row r="90">
      <c r="B90" s="31" t="str">
        <f>Calc!AA47</f>
        <v/>
      </c>
      <c r="C90" s="57" t="str">
        <f>Calc!AC47</f>
        <v/>
      </c>
      <c r="D90" s="33" t="str">
        <f>Calc!AB47</f>
        <v/>
      </c>
      <c r="E90" s="33" t="str">
        <f>IF($B90="","",IFERROR(COUNT(INDEX(dData,0,MATCH($B90&amp;CHAR(10)&amp;"Raw Score",dHdr,0))),""))</f>
        <v/>
      </c>
      <c r="F90" s="36" t="str">
        <f>IF($B90="","",IFERROR(($E90+COUNTIF(INDEX(dData,0,MATCH($B90&amp;CHAR(10)&amp;"Raw Score",dHdr,0)),"A"))/COUNTA(dLast),""))</f>
        <v/>
      </c>
      <c r="G90" s="58" t="str">
        <f>IF($B90="","",IFERROR(CHOOSE(MATCH(SelMeasure,MeasureList,0),AVERAGE(INDEX(dData,0,MATCH($B90&amp;CHAR(10)&amp;"Raw Score",dHdr,0)))/$D90,AVERAGE(INDEX(dData,0,MATCH($B90&amp;CHAR(10)&amp;"Stanine",dHdr,0))),$F90),""))</f>
        <v/>
      </c>
      <c r="H90" s="36" t="str">
        <f>IF(OR($B90="",H$45=""),"",IFERROR(CHOOSE(MATCH(SelMeasure,MeasureList,0),AVERAGEIFS(INDEX(dData,0,MATCH($B90&amp;CHAR(10)&amp;"Raw Score",dHdr,0)),dClass,H$45)/$D90,AVERAGEIFS(INDEX(dData,0,MATCH($B90&amp;CHAR(10)&amp;"Stanine",dHdr,0)),dClass,H$45),(COUNTIFS(dClass,H$45,INDEX(dData,0,MATCH($B90&amp;CHAR(10)&amp;"Raw Score",dHdr,0)),"&gt;=0")+COUNTIFS(dClass,H$45,INDEX(dData,0,MATCH($B90&amp;CHAR(10)&amp;"Raw Score",dHdr,0)),"A"))/COUNTIF(dClass,H$45)),""))</f>
        <v/>
      </c>
      <c r="I90" s="36" t="str">
        <f>IF(OR($B90="",I$45=""),"",IFERROR(CHOOSE(MATCH(SelMeasure,MeasureList,0),AVERAGEIFS(INDEX(dData,0,MATCH($B90&amp;CHAR(10)&amp;"Raw Score",dHdr,0)),dClass,I$45)/$D90,AVERAGEIFS(INDEX(dData,0,MATCH($B90&amp;CHAR(10)&amp;"Stanine",dHdr,0)),dClass,I$45),(COUNTIFS(dClass,I$45,INDEX(dData,0,MATCH($B90&amp;CHAR(10)&amp;"Raw Score",dHdr,0)),"&gt;=0")+COUNTIFS(dClass,I$45,INDEX(dData,0,MATCH($B90&amp;CHAR(10)&amp;"Raw Score",dHdr,0)),"A"))/COUNTIF(dClass,I$45)),""))</f>
        <v/>
      </c>
      <c r="J90" s="36" t="str">
        <f>IF(OR($B90="",J$45=""),"",IFERROR(CHOOSE(MATCH(SelMeasure,MeasureList,0),AVERAGEIFS(INDEX(dData,0,MATCH($B90&amp;CHAR(10)&amp;"Raw Score",dHdr,0)),dClass,J$45)/$D90,AVERAGEIFS(INDEX(dData,0,MATCH($B90&amp;CHAR(10)&amp;"Stanine",dHdr,0)),dClass,J$45),(COUNTIFS(dClass,J$45,INDEX(dData,0,MATCH($B90&amp;CHAR(10)&amp;"Raw Score",dHdr,0)),"&gt;=0")+COUNTIFS(dClass,J$45,INDEX(dData,0,MATCH($B90&amp;CHAR(10)&amp;"Raw Score",dHdr,0)),"A"))/COUNTIF(dClass,J$45)),""))</f>
        <v/>
      </c>
      <c r="K90" s="36" t="str">
        <f>IF(OR($B90="",K$45=""),"",IFERROR(CHOOSE(MATCH(SelMeasure,MeasureList,0),AVERAGEIFS(INDEX(dData,0,MATCH($B90&amp;CHAR(10)&amp;"Raw Score",dHdr,0)),dClass,K$45)/$D90,AVERAGEIFS(INDEX(dData,0,MATCH($B90&amp;CHAR(10)&amp;"Stanine",dHdr,0)),dClass,K$45),(COUNTIFS(dClass,K$45,INDEX(dData,0,MATCH($B90&amp;CHAR(10)&amp;"Raw Score",dHdr,0)),"&gt;=0")+COUNTIFS(dClass,K$45,INDEX(dData,0,MATCH($B90&amp;CHAR(10)&amp;"Raw Score",dHdr,0)),"A"))/COUNTIF(dClass,K$45)),""))</f>
        <v/>
      </c>
      <c r="L90" s="36" t="str">
        <f>IF(OR($B90="",L$45=""),"",IFERROR(CHOOSE(MATCH(SelMeasure,MeasureList,0),AVERAGEIFS(INDEX(dData,0,MATCH($B90&amp;CHAR(10)&amp;"Raw Score",dHdr,0)),dClass,L$45)/$D90,AVERAGEIFS(INDEX(dData,0,MATCH($B90&amp;CHAR(10)&amp;"Stanine",dHdr,0)),dClass,L$45),(COUNTIFS(dClass,L$45,INDEX(dData,0,MATCH($B90&amp;CHAR(10)&amp;"Raw Score",dHdr,0)),"&gt;=0")+COUNTIFS(dClass,L$45,INDEX(dData,0,MATCH($B90&amp;CHAR(10)&amp;"Raw Score",dHdr,0)),"A"))/COUNTIF(dClass,L$45)),""))</f>
        <v/>
      </c>
      <c r="M90" s="36" t="str">
        <f>IF(OR($B90="",M$45=""),"",IFERROR(CHOOSE(MATCH(SelMeasure,MeasureList,0),AVERAGEIFS(INDEX(dData,0,MATCH($B90&amp;CHAR(10)&amp;"Raw Score",dHdr,0)),dClass,M$45)/$D90,AVERAGEIFS(INDEX(dData,0,MATCH($B90&amp;CHAR(10)&amp;"Stanine",dHdr,0)),dClass,M$45),(COUNTIFS(dClass,M$45,INDEX(dData,0,MATCH($B90&amp;CHAR(10)&amp;"Raw Score",dHdr,0)),"&gt;=0")+COUNTIFS(dClass,M$45,INDEX(dData,0,MATCH($B90&amp;CHAR(10)&amp;"Raw Score",dHdr,0)),"A"))/COUNTIF(dClass,M$45)),""))</f>
        <v/>
      </c>
      <c r="N90" s="36" t="str">
        <f>IF(OR($B90="",N$45=""),"",IFERROR(CHOOSE(MATCH(SelMeasure,MeasureList,0),AVERAGEIFS(INDEX(dData,0,MATCH($B90&amp;CHAR(10)&amp;"Raw Score",dHdr,0)),dClass,N$45)/$D90,AVERAGEIFS(INDEX(dData,0,MATCH($B90&amp;CHAR(10)&amp;"Stanine",dHdr,0)),dClass,N$45),(COUNTIFS(dClass,N$45,INDEX(dData,0,MATCH($B90&amp;CHAR(10)&amp;"Raw Score",dHdr,0)),"&gt;=0")+COUNTIFS(dClass,N$45,INDEX(dData,0,MATCH($B90&amp;CHAR(10)&amp;"Raw Score",dHdr,0)),"A"))/COUNTIF(dClass,N$45)),""))</f>
        <v/>
      </c>
      <c r="O90" s="36" t="str">
        <f>IF(OR($B90="",O$45=""),"",IFERROR(CHOOSE(MATCH(SelMeasure,MeasureList,0),AVERAGEIFS(INDEX(dData,0,MATCH($B90&amp;CHAR(10)&amp;"Raw Score",dHdr,0)),dClass,O$45)/$D90,AVERAGEIFS(INDEX(dData,0,MATCH($B90&amp;CHAR(10)&amp;"Stanine",dHdr,0)),dClass,O$45),(COUNTIFS(dClass,O$45,INDEX(dData,0,MATCH($B90&amp;CHAR(10)&amp;"Raw Score",dHdr,0)),"&gt;=0")+COUNTIFS(dClass,O$45,INDEX(dData,0,MATCH($B90&amp;CHAR(10)&amp;"Raw Score",dHdr,0)),"A"))/COUNTIF(dClass,O$45)),""))</f>
        <v/>
      </c>
    </row>
    <row r="91">
      <c r="B91" s="31" t="str">
        <f>Calc!AA48</f>
        <v/>
      </c>
      <c r="C91" s="57" t="str">
        <f>Calc!AC48</f>
        <v/>
      </c>
      <c r="D91" s="33" t="str">
        <f>Calc!AB48</f>
        <v/>
      </c>
      <c r="E91" s="33" t="str">
        <f>IF($B91="","",IFERROR(COUNT(INDEX(dData,0,MATCH($B91&amp;CHAR(10)&amp;"Raw Score",dHdr,0))),""))</f>
        <v/>
      </c>
      <c r="F91" s="36" t="str">
        <f>IF($B91="","",IFERROR(($E91+COUNTIF(INDEX(dData,0,MATCH($B91&amp;CHAR(10)&amp;"Raw Score",dHdr,0)),"A"))/COUNTA(dLast),""))</f>
        <v/>
      </c>
      <c r="G91" s="58" t="str">
        <f>IF($B91="","",IFERROR(CHOOSE(MATCH(SelMeasure,MeasureList,0),AVERAGE(INDEX(dData,0,MATCH($B91&amp;CHAR(10)&amp;"Raw Score",dHdr,0)))/$D91,AVERAGE(INDEX(dData,0,MATCH($B91&amp;CHAR(10)&amp;"Stanine",dHdr,0))),$F91),""))</f>
        <v/>
      </c>
      <c r="H91" s="36" t="str">
        <f>IF(OR($B91="",H$45=""),"",IFERROR(CHOOSE(MATCH(SelMeasure,MeasureList,0),AVERAGEIFS(INDEX(dData,0,MATCH($B91&amp;CHAR(10)&amp;"Raw Score",dHdr,0)),dClass,H$45)/$D91,AVERAGEIFS(INDEX(dData,0,MATCH($B91&amp;CHAR(10)&amp;"Stanine",dHdr,0)),dClass,H$45),(COUNTIFS(dClass,H$45,INDEX(dData,0,MATCH($B91&amp;CHAR(10)&amp;"Raw Score",dHdr,0)),"&gt;=0")+COUNTIFS(dClass,H$45,INDEX(dData,0,MATCH($B91&amp;CHAR(10)&amp;"Raw Score",dHdr,0)),"A"))/COUNTIF(dClass,H$45)),""))</f>
        <v/>
      </c>
      <c r="I91" s="36" t="str">
        <f>IF(OR($B91="",I$45=""),"",IFERROR(CHOOSE(MATCH(SelMeasure,MeasureList,0),AVERAGEIFS(INDEX(dData,0,MATCH($B91&amp;CHAR(10)&amp;"Raw Score",dHdr,0)),dClass,I$45)/$D91,AVERAGEIFS(INDEX(dData,0,MATCH($B91&amp;CHAR(10)&amp;"Stanine",dHdr,0)),dClass,I$45),(COUNTIFS(dClass,I$45,INDEX(dData,0,MATCH($B91&amp;CHAR(10)&amp;"Raw Score",dHdr,0)),"&gt;=0")+COUNTIFS(dClass,I$45,INDEX(dData,0,MATCH($B91&amp;CHAR(10)&amp;"Raw Score",dHdr,0)),"A"))/COUNTIF(dClass,I$45)),""))</f>
        <v/>
      </c>
      <c r="J91" s="36" t="str">
        <f>IF(OR($B91="",J$45=""),"",IFERROR(CHOOSE(MATCH(SelMeasure,MeasureList,0),AVERAGEIFS(INDEX(dData,0,MATCH($B91&amp;CHAR(10)&amp;"Raw Score",dHdr,0)),dClass,J$45)/$D91,AVERAGEIFS(INDEX(dData,0,MATCH($B91&amp;CHAR(10)&amp;"Stanine",dHdr,0)),dClass,J$45),(COUNTIFS(dClass,J$45,INDEX(dData,0,MATCH($B91&amp;CHAR(10)&amp;"Raw Score",dHdr,0)),"&gt;=0")+COUNTIFS(dClass,J$45,INDEX(dData,0,MATCH($B91&amp;CHAR(10)&amp;"Raw Score",dHdr,0)),"A"))/COUNTIF(dClass,J$45)),""))</f>
        <v/>
      </c>
      <c r="K91" s="36" t="str">
        <f>IF(OR($B91="",K$45=""),"",IFERROR(CHOOSE(MATCH(SelMeasure,MeasureList,0),AVERAGEIFS(INDEX(dData,0,MATCH($B91&amp;CHAR(10)&amp;"Raw Score",dHdr,0)),dClass,K$45)/$D91,AVERAGEIFS(INDEX(dData,0,MATCH($B91&amp;CHAR(10)&amp;"Stanine",dHdr,0)),dClass,K$45),(COUNTIFS(dClass,K$45,INDEX(dData,0,MATCH($B91&amp;CHAR(10)&amp;"Raw Score",dHdr,0)),"&gt;=0")+COUNTIFS(dClass,K$45,INDEX(dData,0,MATCH($B91&amp;CHAR(10)&amp;"Raw Score",dHdr,0)),"A"))/COUNTIF(dClass,K$45)),""))</f>
        <v/>
      </c>
      <c r="L91" s="36" t="str">
        <f>IF(OR($B91="",L$45=""),"",IFERROR(CHOOSE(MATCH(SelMeasure,MeasureList,0),AVERAGEIFS(INDEX(dData,0,MATCH($B91&amp;CHAR(10)&amp;"Raw Score",dHdr,0)),dClass,L$45)/$D91,AVERAGEIFS(INDEX(dData,0,MATCH($B91&amp;CHAR(10)&amp;"Stanine",dHdr,0)),dClass,L$45),(COUNTIFS(dClass,L$45,INDEX(dData,0,MATCH($B91&amp;CHAR(10)&amp;"Raw Score",dHdr,0)),"&gt;=0")+COUNTIFS(dClass,L$45,INDEX(dData,0,MATCH($B91&amp;CHAR(10)&amp;"Raw Score",dHdr,0)),"A"))/COUNTIF(dClass,L$45)),""))</f>
        <v/>
      </c>
      <c r="M91" s="36" t="str">
        <f>IF(OR($B91="",M$45=""),"",IFERROR(CHOOSE(MATCH(SelMeasure,MeasureList,0),AVERAGEIFS(INDEX(dData,0,MATCH($B91&amp;CHAR(10)&amp;"Raw Score",dHdr,0)),dClass,M$45)/$D91,AVERAGEIFS(INDEX(dData,0,MATCH($B91&amp;CHAR(10)&amp;"Stanine",dHdr,0)),dClass,M$45),(COUNTIFS(dClass,M$45,INDEX(dData,0,MATCH($B91&amp;CHAR(10)&amp;"Raw Score",dHdr,0)),"&gt;=0")+COUNTIFS(dClass,M$45,INDEX(dData,0,MATCH($B91&amp;CHAR(10)&amp;"Raw Score",dHdr,0)),"A"))/COUNTIF(dClass,M$45)),""))</f>
        <v/>
      </c>
      <c r="N91" s="36" t="str">
        <f>IF(OR($B91="",N$45=""),"",IFERROR(CHOOSE(MATCH(SelMeasure,MeasureList,0),AVERAGEIFS(INDEX(dData,0,MATCH($B91&amp;CHAR(10)&amp;"Raw Score",dHdr,0)),dClass,N$45)/$D91,AVERAGEIFS(INDEX(dData,0,MATCH($B91&amp;CHAR(10)&amp;"Stanine",dHdr,0)),dClass,N$45),(COUNTIFS(dClass,N$45,INDEX(dData,0,MATCH($B91&amp;CHAR(10)&amp;"Raw Score",dHdr,0)),"&gt;=0")+COUNTIFS(dClass,N$45,INDEX(dData,0,MATCH($B91&amp;CHAR(10)&amp;"Raw Score",dHdr,0)),"A"))/COUNTIF(dClass,N$45)),""))</f>
        <v/>
      </c>
      <c r="O91" s="36" t="str">
        <f>IF(OR($B91="",O$45=""),"",IFERROR(CHOOSE(MATCH(SelMeasure,MeasureList,0),AVERAGEIFS(INDEX(dData,0,MATCH($B91&amp;CHAR(10)&amp;"Raw Score",dHdr,0)),dClass,O$45)/$D91,AVERAGEIFS(INDEX(dData,0,MATCH($B91&amp;CHAR(10)&amp;"Stanine",dHdr,0)),dClass,O$45),(COUNTIFS(dClass,O$45,INDEX(dData,0,MATCH($B91&amp;CHAR(10)&amp;"Raw Score",dHdr,0)),"&gt;=0")+COUNTIFS(dClass,O$45,INDEX(dData,0,MATCH($B91&amp;CHAR(10)&amp;"Raw Score",dHdr,0)),"A"))/COUNTIF(dClass,O$45)),""))</f>
        <v/>
      </c>
    </row>
    <row r="92">
      <c r="B92" s="31" t="str">
        <f>Calc!AA49</f>
        <v/>
      </c>
      <c r="C92" s="57" t="str">
        <f>Calc!AC49</f>
        <v/>
      </c>
      <c r="D92" s="33" t="str">
        <f>Calc!AB49</f>
        <v/>
      </c>
      <c r="E92" s="33" t="str">
        <f>IF($B92="","",IFERROR(COUNT(INDEX(dData,0,MATCH($B92&amp;CHAR(10)&amp;"Raw Score",dHdr,0))),""))</f>
        <v/>
      </c>
      <c r="F92" s="36" t="str">
        <f>IF($B92="","",IFERROR(($E92+COUNTIF(INDEX(dData,0,MATCH($B92&amp;CHAR(10)&amp;"Raw Score",dHdr,0)),"A"))/COUNTA(dLast),""))</f>
        <v/>
      </c>
      <c r="G92" s="58" t="str">
        <f>IF($B92="","",IFERROR(CHOOSE(MATCH(SelMeasure,MeasureList,0),AVERAGE(INDEX(dData,0,MATCH($B92&amp;CHAR(10)&amp;"Raw Score",dHdr,0)))/$D92,AVERAGE(INDEX(dData,0,MATCH($B92&amp;CHAR(10)&amp;"Stanine",dHdr,0))),$F92),""))</f>
        <v/>
      </c>
      <c r="H92" s="36" t="str">
        <f>IF(OR($B92="",H$45=""),"",IFERROR(CHOOSE(MATCH(SelMeasure,MeasureList,0),AVERAGEIFS(INDEX(dData,0,MATCH($B92&amp;CHAR(10)&amp;"Raw Score",dHdr,0)),dClass,H$45)/$D92,AVERAGEIFS(INDEX(dData,0,MATCH($B92&amp;CHAR(10)&amp;"Stanine",dHdr,0)),dClass,H$45),(COUNTIFS(dClass,H$45,INDEX(dData,0,MATCH($B92&amp;CHAR(10)&amp;"Raw Score",dHdr,0)),"&gt;=0")+COUNTIFS(dClass,H$45,INDEX(dData,0,MATCH($B92&amp;CHAR(10)&amp;"Raw Score",dHdr,0)),"A"))/COUNTIF(dClass,H$45)),""))</f>
        <v/>
      </c>
      <c r="I92" s="36" t="str">
        <f>IF(OR($B92="",I$45=""),"",IFERROR(CHOOSE(MATCH(SelMeasure,MeasureList,0),AVERAGEIFS(INDEX(dData,0,MATCH($B92&amp;CHAR(10)&amp;"Raw Score",dHdr,0)),dClass,I$45)/$D92,AVERAGEIFS(INDEX(dData,0,MATCH($B92&amp;CHAR(10)&amp;"Stanine",dHdr,0)),dClass,I$45),(COUNTIFS(dClass,I$45,INDEX(dData,0,MATCH($B92&amp;CHAR(10)&amp;"Raw Score",dHdr,0)),"&gt;=0")+COUNTIFS(dClass,I$45,INDEX(dData,0,MATCH($B92&amp;CHAR(10)&amp;"Raw Score",dHdr,0)),"A"))/COUNTIF(dClass,I$45)),""))</f>
        <v/>
      </c>
      <c r="J92" s="36" t="str">
        <f>IF(OR($B92="",J$45=""),"",IFERROR(CHOOSE(MATCH(SelMeasure,MeasureList,0),AVERAGEIFS(INDEX(dData,0,MATCH($B92&amp;CHAR(10)&amp;"Raw Score",dHdr,0)),dClass,J$45)/$D92,AVERAGEIFS(INDEX(dData,0,MATCH($B92&amp;CHAR(10)&amp;"Stanine",dHdr,0)),dClass,J$45),(COUNTIFS(dClass,J$45,INDEX(dData,0,MATCH($B92&amp;CHAR(10)&amp;"Raw Score",dHdr,0)),"&gt;=0")+COUNTIFS(dClass,J$45,INDEX(dData,0,MATCH($B92&amp;CHAR(10)&amp;"Raw Score",dHdr,0)),"A"))/COUNTIF(dClass,J$45)),""))</f>
        <v/>
      </c>
      <c r="K92" s="36" t="str">
        <f>IF(OR($B92="",K$45=""),"",IFERROR(CHOOSE(MATCH(SelMeasure,MeasureList,0),AVERAGEIFS(INDEX(dData,0,MATCH($B92&amp;CHAR(10)&amp;"Raw Score",dHdr,0)),dClass,K$45)/$D92,AVERAGEIFS(INDEX(dData,0,MATCH($B92&amp;CHAR(10)&amp;"Stanine",dHdr,0)),dClass,K$45),(COUNTIFS(dClass,K$45,INDEX(dData,0,MATCH($B92&amp;CHAR(10)&amp;"Raw Score",dHdr,0)),"&gt;=0")+COUNTIFS(dClass,K$45,INDEX(dData,0,MATCH($B92&amp;CHAR(10)&amp;"Raw Score",dHdr,0)),"A"))/COUNTIF(dClass,K$45)),""))</f>
        <v/>
      </c>
      <c r="L92" s="36" t="str">
        <f>IF(OR($B92="",L$45=""),"",IFERROR(CHOOSE(MATCH(SelMeasure,MeasureList,0),AVERAGEIFS(INDEX(dData,0,MATCH($B92&amp;CHAR(10)&amp;"Raw Score",dHdr,0)),dClass,L$45)/$D92,AVERAGEIFS(INDEX(dData,0,MATCH($B92&amp;CHAR(10)&amp;"Stanine",dHdr,0)),dClass,L$45),(COUNTIFS(dClass,L$45,INDEX(dData,0,MATCH($B92&amp;CHAR(10)&amp;"Raw Score",dHdr,0)),"&gt;=0")+COUNTIFS(dClass,L$45,INDEX(dData,0,MATCH($B92&amp;CHAR(10)&amp;"Raw Score",dHdr,0)),"A"))/COUNTIF(dClass,L$45)),""))</f>
        <v/>
      </c>
      <c r="M92" s="36" t="str">
        <f>IF(OR($B92="",M$45=""),"",IFERROR(CHOOSE(MATCH(SelMeasure,MeasureList,0),AVERAGEIFS(INDEX(dData,0,MATCH($B92&amp;CHAR(10)&amp;"Raw Score",dHdr,0)),dClass,M$45)/$D92,AVERAGEIFS(INDEX(dData,0,MATCH($B92&amp;CHAR(10)&amp;"Stanine",dHdr,0)),dClass,M$45),(COUNTIFS(dClass,M$45,INDEX(dData,0,MATCH($B92&amp;CHAR(10)&amp;"Raw Score",dHdr,0)),"&gt;=0")+COUNTIFS(dClass,M$45,INDEX(dData,0,MATCH($B92&amp;CHAR(10)&amp;"Raw Score",dHdr,0)),"A"))/COUNTIF(dClass,M$45)),""))</f>
        <v/>
      </c>
      <c r="N92" s="36" t="str">
        <f>IF(OR($B92="",N$45=""),"",IFERROR(CHOOSE(MATCH(SelMeasure,MeasureList,0),AVERAGEIFS(INDEX(dData,0,MATCH($B92&amp;CHAR(10)&amp;"Raw Score",dHdr,0)),dClass,N$45)/$D92,AVERAGEIFS(INDEX(dData,0,MATCH($B92&amp;CHAR(10)&amp;"Stanine",dHdr,0)),dClass,N$45),(COUNTIFS(dClass,N$45,INDEX(dData,0,MATCH($B92&amp;CHAR(10)&amp;"Raw Score",dHdr,0)),"&gt;=0")+COUNTIFS(dClass,N$45,INDEX(dData,0,MATCH($B92&amp;CHAR(10)&amp;"Raw Score",dHdr,0)),"A"))/COUNTIF(dClass,N$45)),""))</f>
        <v/>
      </c>
      <c r="O92" s="36" t="str">
        <f>IF(OR($B92="",O$45=""),"",IFERROR(CHOOSE(MATCH(SelMeasure,MeasureList,0),AVERAGEIFS(INDEX(dData,0,MATCH($B92&amp;CHAR(10)&amp;"Raw Score",dHdr,0)),dClass,O$45)/$D92,AVERAGEIFS(INDEX(dData,0,MATCH($B92&amp;CHAR(10)&amp;"Stanine",dHdr,0)),dClass,O$45),(COUNTIFS(dClass,O$45,INDEX(dData,0,MATCH($B92&amp;CHAR(10)&amp;"Raw Score",dHdr,0)),"&gt;=0")+COUNTIFS(dClass,O$45,INDEX(dData,0,MATCH($B92&amp;CHAR(10)&amp;"Raw Score",dHdr,0)),"A"))/COUNTIF(dClass,O$45)),""))</f>
        <v/>
      </c>
    </row>
    <row r="93">
      <c r="B93" s="31" t="str">
        <f>Calc!AA50</f>
        <v/>
      </c>
      <c r="C93" s="57" t="str">
        <f>Calc!AC50</f>
        <v/>
      </c>
      <c r="D93" s="33" t="str">
        <f>Calc!AB50</f>
        <v/>
      </c>
      <c r="E93" s="33" t="str">
        <f>IF($B93="","",IFERROR(COUNT(INDEX(dData,0,MATCH($B93&amp;CHAR(10)&amp;"Raw Score",dHdr,0))),""))</f>
        <v/>
      </c>
      <c r="F93" s="36" t="str">
        <f>IF($B93="","",IFERROR(($E93+COUNTIF(INDEX(dData,0,MATCH($B93&amp;CHAR(10)&amp;"Raw Score",dHdr,0)),"A"))/COUNTA(dLast),""))</f>
        <v/>
      </c>
      <c r="G93" s="58" t="str">
        <f>IF($B93="","",IFERROR(CHOOSE(MATCH(SelMeasure,MeasureList,0),AVERAGE(INDEX(dData,0,MATCH($B93&amp;CHAR(10)&amp;"Raw Score",dHdr,0)))/$D93,AVERAGE(INDEX(dData,0,MATCH($B93&amp;CHAR(10)&amp;"Stanine",dHdr,0))),$F93),""))</f>
        <v/>
      </c>
      <c r="H93" s="36" t="str">
        <f>IF(OR($B93="",H$45=""),"",IFERROR(CHOOSE(MATCH(SelMeasure,MeasureList,0),AVERAGEIFS(INDEX(dData,0,MATCH($B93&amp;CHAR(10)&amp;"Raw Score",dHdr,0)),dClass,H$45)/$D93,AVERAGEIFS(INDEX(dData,0,MATCH($B93&amp;CHAR(10)&amp;"Stanine",dHdr,0)),dClass,H$45),(COUNTIFS(dClass,H$45,INDEX(dData,0,MATCH($B93&amp;CHAR(10)&amp;"Raw Score",dHdr,0)),"&gt;=0")+COUNTIFS(dClass,H$45,INDEX(dData,0,MATCH($B93&amp;CHAR(10)&amp;"Raw Score",dHdr,0)),"A"))/COUNTIF(dClass,H$45)),""))</f>
        <v/>
      </c>
      <c r="I93" s="36" t="str">
        <f>IF(OR($B93="",I$45=""),"",IFERROR(CHOOSE(MATCH(SelMeasure,MeasureList,0),AVERAGEIFS(INDEX(dData,0,MATCH($B93&amp;CHAR(10)&amp;"Raw Score",dHdr,0)),dClass,I$45)/$D93,AVERAGEIFS(INDEX(dData,0,MATCH($B93&amp;CHAR(10)&amp;"Stanine",dHdr,0)),dClass,I$45),(COUNTIFS(dClass,I$45,INDEX(dData,0,MATCH($B93&amp;CHAR(10)&amp;"Raw Score",dHdr,0)),"&gt;=0")+COUNTIFS(dClass,I$45,INDEX(dData,0,MATCH($B93&amp;CHAR(10)&amp;"Raw Score",dHdr,0)),"A"))/COUNTIF(dClass,I$45)),""))</f>
        <v/>
      </c>
      <c r="J93" s="36" t="str">
        <f>IF(OR($B93="",J$45=""),"",IFERROR(CHOOSE(MATCH(SelMeasure,MeasureList,0),AVERAGEIFS(INDEX(dData,0,MATCH($B93&amp;CHAR(10)&amp;"Raw Score",dHdr,0)),dClass,J$45)/$D93,AVERAGEIFS(INDEX(dData,0,MATCH($B93&amp;CHAR(10)&amp;"Stanine",dHdr,0)),dClass,J$45),(COUNTIFS(dClass,J$45,INDEX(dData,0,MATCH($B93&amp;CHAR(10)&amp;"Raw Score",dHdr,0)),"&gt;=0")+COUNTIFS(dClass,J$45,INDEX(dData,0,MATCH($B93&amp;CHAR(10)&amp;"Raw Score",dHdr,0)),"A"))/COUNTIF(dClass,J$45)),""))</f>
        <v/>
      </c>
      <c r="K93" s="36" t="str">
        <f>IF(OR($B93="",K$45=""),"",IFERROR(CHOOSE(MATCH(SelMeasure,MeasureList,0),AVERAGEIFS(INDEX(dData,0,MATCH($B93&amp;CHAR(10)&amp;"Raw Score",dHdr,0)),dClass,K$45)/$D93,AVERAGEIFS(INDEX(dData,0,MATCH($B93&amp;CHAR(10)&amp;"Stanine",dHdr,0)),dClass,K$45),(COUNTIFS(dClass,K$45,INDEX(dData,0,MATCH($B93&amp;CHAR(10)&amp;"Raw Score",dHdr,0)),"&gt;=0")+COUNTIFS(dClass,K$45,INDEX(dData,0,MATCH($B93&amp;CHAR(10)&amp;"Raw Score",dHdr,0)),"A"))/COUNTIF(dClass,K$45)),""))</f>
        <v/>
      </c>
      <c r="L93" s="36" t="str">
        <f>IF(OR($B93="",L$45=""),"",IFERROR(CHOOSE(MATCH(SelMeasure,MeasureList,0),AVERAGEIFS(INDEX(dData,0,MATCH($B93&amp;CHAR(10)&amp;"Raw Score",dHdr,0)),dClass,L$45)/$D93,AVERAGEIFS(INDEX(dData,0,MATCH($B93&amp;CHAR(10)&amp;"Stanine",dHdr,0)),dClass,L$45),(COUNTIFS(dClass,L$45,INDEX(dData,0,MATCH($B93&amp;CHAR(10)&amp;"Raw Score",dHdr,0)),"&gt;=0")+COUNTIFS(dClass,L$45,INDEX(dData,0,MATCH($B93&amp;CHAR(10)&amp;"Raw Score",dHdr,0)),"A"))/COUNTIF(dClass,L$45)),""))</f>
        <v/>
      </c>
      <c r="M93" s="36" t="str">
        <f>IF(OR($B93="",M$45=""),"",IFERROR(CHOOSE(MATCH(SelMeasure,MeasureList,0),AVERAGEIFS(INDEX(dData,0,MATCH($B93&amp;CHAR(10)&amp;"Raw Score",dHdr,0)),dClass,M$45)/$D93,AVERAGEIFS(INDEX(dData,0,MATCH($B93&amp;CHAR(10)&amp;"Stanine",dHdr,0)),dClass,M$45),(COUNTIFS(dClass,M$45,INDEX(dData,0,MATCH($B93&amp;CHAR(10)&amp;"Raw Score",dHdr,0)),"&gt;=0")+COUNTIFS(dClass,M$45,INDEX(dData,0,MATCH($B93&amp;CHAR(10)&amp;"Raw Score",dHdr,0)),"A"))/COUNTIF(dClass,M$45)),""))</f>
        <v/>
      </c>
      <c r="N93" s="36" t="str">
        <f>IF(OR($B93="",N$45=""),"",IFERROR(CHOOSE(MATCH(SelMeasure,MeasureList,0),AVERAGEIFS(INDEX(dData,0,MATCH($B93&amp;CHAR(10)&amp;"Raw Score",dHdr,0)),dClass,N$45)/$D93,AVERAGEIFS(INDEX(dData,0,MATCH($B93&amp;CHAR(10)&amp;"Stanine",dHdr,0)),dClass,N$45),(COUNTIFS(dClass,N$45,INDEX(dData,0,MATCH($B93&amp;CHAR(10)&amp;"Raw Score",dHdr,0)),"&gt;=0")+COUNTIFS(dClass,N$45,INDEX(dData,0,MATCH($B93&amp;CHAR(10)&amp;"Raw Score",dHdr,0)),"A"))/COUNTIF(dClass,N$45)),""))</f>
        <v/>
      </c>
      <c r="O93" s="36" t="str">
        <f>IF(OR($B93="",O$45=""),"",IFERROR(CHOOSE(MATCH(SelMeasure,MeasureList,0),AVERAGEIFS(INDEX(dData,0,MATCH($B93&amp;CHAR(10)&amp;"Raw Score",dHdr,0)),dClass,O$45)/$D93,AVERAGEIFS(INDEX(dData,0,MATCH($B93&amp;CHAR(10)&amp;"Stanine",dHdr,0)),dClass,O$45),(COUNTIFS(dClass,O$45,INDEX(dData,0,MATCH($B93&amp;CHAR(10)&amp;"Raw Score",dHdr,0)),"&gt;=0")+COUNTIFS(dClass,O$45,INDEX(dData,0,MATCH($B93&amp;CHAR(10)&amp;"Raw Score",dHdr,0)),"A"))/COUNTIF(dClass,O$45)),""))</f>
        <v/>
      </c>
    </row>
    <row r="94">
      <c r="B94" s="31" t="str">
        <f>Calc!AA51</f>
        <v/>
      </c>
      <c r="C94" s="57" t="str">
        <f>Calc!AC51</f>
        <v/>
      </c>
      <c r="D94" s="33" t="str">
        <f>Calc!AB51</f>
        <v/>
      </c>
      <c r="E94" s="33" t="str">
        <f>IF($B94="","",IFERROR(COUNT(INDEX(dData,0,MATCH($B94&amp;CHAR(10)&amp;"Raw Score",dHdr,0))),""))</f>
        <v/>
      </c>
      <c r="F94" s="36" t="str">
        <f>IF($B94="","",IFERROR(($E94+COUNTIF(INDEX(dData,0,MATCH($B94&amp;CHAR(10)&amp;"Raw Score",dHdr,0)),"A"))/COUNTA(dLast),""))</f>
        <v/>
      </c>
      <c r="G94" s="58" t="str">
        <f>IF($B94="","",IFERROR(CHOOSE(MATCH(SelMeasure,MeasureList,0),AVERAGE(INDEX(dData,0,MATCH($B94&amp;CHAR(10)&amp;"Raw Score",dHdr,0)))/$D94,AVERAGE(INDEX(dData,0,MATCH($B94&amp;CHAR(10)&amp;"Stanine",dHdr,0))),$F94),""))</f>
        <v/>
      </c>
      <c r="H94" s="36" t="str">
        <f>IF(OR($B94="",H$45=""),"",IFERROR(CHOOSE(MATCH(SelMeasure,MeasureList,0),AVERAGEIFS(INDEX(dData,0,MATCH($B94&amp;CHAR(10)&amp;"Raw Score",dHdr,0)),dClass,H$45)/$D94,AVERAGEIFS(INDEX(dData,0,MATCH($B94&amp;CHAR(10)&amp;"Stanine",dHdr,0)),dClass,H$45),(COUNTIFS(dClass,H$45,INDEX(dData,0,MATCH($B94&amp;CHAR(10)&amp;"Raw Score",dHdr,0)),"&gt;=0")+COUNTIFS(dClass,H$45,INDEX(dData,0,MATCH($B94&amp;CHAR(10)&amp;"Raw Score",dHdr,0)),"A"))/COUNTIF(dClass,H$45)),""))</f>
        <v/>
      </c>
      <c r="I94" s="36" t="str">
        <f>IF(OR($B94="",I$45=""),"",IFERROR(CHOOSE(MATCH(SelMeasure,MeasureList,0),AVERAGEIFS(INDEX(dData,0,MATCH($B94&amp;CHAR(10)&amp;"Raw Score",dHdr,0)),dClass,I$45)/$D94,AVERAGEIFS(INDEX(dData,0,MATCH($B94&amp;CHAR(10)&amp;"Stanine",dHdr,0)),dClass,I$45),(COUNTIFS(dClass,I$45,INDEX(dData,0,MATCH($B94&amp;CHAR(10)&amp;"Raw Score",dHdr,0)),"&gt;=0")+COUNTIFS(dClass,I$45,INDEX(dData,0,MATCH($B94&amp;CHAR(10)&amp;"Raw Score",dHdr,0)),"A"))/COUNTIF(dClass,I$45)),""))</f>
        <v/>
      </c>
      <c r="J94" s="36" t="str">
        <f>IF(OR($B94="",J$45=""),"",IFERROR(CHOOSE(MATCH(SelMeasure,MeasureList,0),AVERAGEIFS(INDEX(dData,0,MATCH($B94&amp;CHAR(10)&amp;"Raw Score",dHdr,0)),dClass,J$45)/$D94,AVERAGEIFS(INDEX(dData,0,MATCH($B94&amp;CHAR(10)&amp;"Stanine",dHdr,0)),dClass,J$45),(COUNTIFS(dClass,J$45,INDEX(dData,0,MATCH($B94&amp;CHAR(10)&amp;"Raw Score",dHdr,0)),"&gt;=0")+COUNTIFS(dClass,J$45,INDEX(dData,0,MATCH($B94&amp;CHAR(10)&amp;"Raw Score",dHdr,0)),"A"))/COUNTIF(dClass,J$45)),""))</f>
        <v/>
      </c>
      <c r="K94" s="36" t="str">
        <f>IF(OR($B94="",K$45=""),"",IFERROR(CHOOSE(MATCH(SelMeasure,MeasureList,0),AVERAGEIFS(INDEX(dData,0,MATCH($B94&amp;CHAR(10)&amp;"Raw Score",dHdr,0)),dClass,K$45)/$D94,AVERAGEIFS(INDEX(dData,0,MATCH($B94&amp;CHAR(10)&amp;"Stanine",dHdr,0)),dClass,K$45),(COUNTIFS(dClass,K$45,INDEX(dData,0,MATCH($B94&amp;CHAR(10)&amp;"Raw Score",dHdr,0)),"&gt;=0")+COUNTIFS(dClass,K$45,INDEX(dData,0,MATCH($B94&amp;CHAR(10)&amp;"Raw Score",dHdr,0)),"A"))/COUNTIF(dClass,K$45)),""))</f>
        <v/>
      </c>
      <c r="L94" s="36" t="str">
        <f>IF(OR($B94="",L$45=""),"",IFERROR(CHOOSE(MATCH(SelMeasure,MeasureList,0),AVERAGEIFS(INDEX(dData,0,MATCH($B94&amp;CHAR(10)&amp;"Raw Score",dHdr,0)),dClass,L$45)/$D94,AVERAGEIFS(INDEX(dData,0,MATCH($B94&amp;CHAR(10)&amp;"Stanine",dHdr,0)),dClass,L$45),(COUNTIFS(dClass,L$45,INDEX(dData,0,MATCH($B94&amp;CHAR(10)&amp;"Raw Score",dHdr,0)),"&gt;=0")+COUNTIFS(dClass,L$45,INDEX(dData,0,MATCH($B94&amp;CHAR(10)&amp;"Raw Score",dHdr,0)),"A"))/COUNTIF(dClass,L$45)),""))</f>
        <v/>
      </c>
      <c r="M94" s="36" t="str">
        <f>IF(OR($B94="",M$45=""),"",IFERROR(CHOOSE(MATCH(SelMeasure,MeasureList,0),AVERAGEIFS(INDEX(dData,0,MATCH($B94&amp;CHAR(10)&amp;"Raw Score",dHdr,0)),dClass,M$45)/$D94,AVERAGEIFS(INDEX(dData,0,MATCH($B94&amp;CHAR(10)&amp;"Stanine",dHdr,0)),dClass,M$45),(COUNTIFS(dClass,M$45,INDEX(dData,0,MATCH($B94&amp;CHAR(10)&amp;"Raw Score",dHdr,0)),"&gt;=0")+COUNTIFS(dClass,M$45,INDEX(dData,0,MATCH($B94&amp;CHAR(10)&amp;"Raw Score",dHdr,0)),"A"))/COUNTIF(dClass,M$45)),""))</f>
        <v/>
      </c>
      <c r="N94" s="36" t="str">
        <f>IF(OR($B94="",N$45=""),"",IFERROR(CHOOSE(MATCH(SelMeasure,MeasureList,0),AVERAGEIFS(INDEX(dData,0,MATCH($B94&amp;CHAR(10)&amp;"Raw Score",dHdr,0)),dClass,N$45)/$D94,AVERAGEIFS(INDEX(dData,0,MATCH($B94&amp;CHAR(10)&amp;"Stanine",dHdr,0)),dClass,N$45),(COUNTIFS(dClass,N$45,INDEX(dData,0,MATCH($B94&amp;CHAR(10)&amp;"Raw Score",dHdr,0)),"&gt;=0")+COUNTIFS(dClass,N$45,INDEX(dData,0,MATCH($B94&amp;CHAR(10)&amp;"Raw Score",dHdr,0)),"A"))/COUNTIF(dClass,N$45)),""))</f>
        <v/>
      </c>
      <c r="O94" s="36" t="str">
        <f>IF(OR($B94="",O$45=""),"",IFERROR(CHOOSE(MATCH(SelMeasure,MeasureList,0),AVERAGEIFS(INDEX(dData,0,MATCH($B94&amp;CHAR(10)&amp;"Raw Score",dHdr,0)),dClass,O$45)/$D94,AVERAGEIFS(INDEX(dData,0,MATCH($B94&amp;CHAR(10)&amp;"Stanine",dHdr,0)),dClass,O$45),(COUNTIFS(dClass,O$45,INDEX(dData,0,MATCH($B94&amp;CHAR(10)&amp;"Raw Score",dHdr,0)),"&gt;=0")+COUNTIFS(dClass,O$45,INDEX(dData,0,MATCH($B94&amp;CHAR(10)&amp;"Raw Score",dHdr,0)),"A"))/COUNTIF(dClass,O$45)),""))</f>
        <v/>
      </c>
    </row>
    <row r="95">
      <c r="B95" s="31" t="str">
        <f>Calc!AA52</f>
        <v/>
      </c>
      <c r="C95" s="57" t="str">
        <f>Calc!AC52</f>
        <v/>
      </c>
      <c r="D95" s="33" t="str">
        <f>Calc!AB52</f>
        <v/>
      </c>
      <c r="E95" s="33" t="str">
        <f>IF($B95="","",IFERROR(COUNT(INDEX(dData,0,MATCH($B95&amp;CHAR(10)&amp;"Raw Score",dHdr,0))),""))</f>
        <v/>
      </c>
      <c r="F95" s="36" t="str">
        <f>IF($B95="","",IFERROR(($E95+COUNTIF(INDEX(dData,0,MATCH($B95&amp;CHAR(10)&amp;"Raw Score",dHdr,0)),"A"))/COUNTA(dLast),""))</f>
        <v/>
      </c>
      <c r="G95" s="58" t="str">
        <f>IF($B95="","",IFERROR(CHOOSE(MATCH(SelMeasure,MeasureList,0),AVERAGE(INDEX(dData,0,MATCH($B95&amp;CHAR(10)&amp;"Raw Score",dHdr,0)))/$D95,AVERAGE(INDEX(dData,0,MATCH($B95&amp;CHAR(10)&amp;"Stanine",dHdr,0))),$F95),""))</f>
        <v/>
      </c>
      <c r="H95" s="36" t="str">
        <f>IF(OR($B95="",H$45=""),"",IFERROR(CHOOSE(MATCH(SelMeasure,MeasureList,0),AVERAGEIFS(INDEX(dData,0,MATCH($B95&amp;CHAR(10)&amp;"Raw Score",dHdr,0)),dClass,H$45)/$D95,AVERAGEIFS(INDEX(dData,0,MATCH($B95&amp;CHAR(10)&amp;"Stanine",dHdr,0)),dClass,H$45),(COUNTIFS(dClass,H$45,INDEX(dData,0,MATCH($B95&amp;CHAR(10)&amp;"Raw Score",dHdr,0)),"&gt;=0")+COUNTIFS(dClass,H$45,INDEX(dData,0,MATCH($B95&amp;CHAR(10)&amp;"Raw Score",dHdr,0)),"A"))/COUNTIF(dClass,H$45)),""))</f>
        <v/>
      </c>
      <c r="I95" s="36" t="str">
        <f>IF(OR($B95="",I$45=""),"",IFERROR(CHOOSE(MATCH(SelMeasure,MeasureList,0),AVERAGEIFS(INDEX(dData,0,MATCH($B95&amp;CHAR(10)&amp;"Raw Score",dHdr,0)),dClass,I$45)/$D95,AVERAGEIFS(INDEX(dData,0,MATCH($B95&amp;CHAR(10)&amp;"Stanine",dHdr,0)),dClass,I$45),(COUNTIFS(dClass,I$45,INDEX(dData,0,MATCH($B95&amp;CHAR(10)&amp;"Raw Score",dHdr,0)),"&gt;=0")+COUNTIFS(dClass,I$45,INDEX(dData,0,MATCH($B95&amp;CHAR(10)&amp;"Raw Score",dHdr,0)),"A"))/COUNTIF(dClass,I$45)),""))</f>
        <v/>
      </c>
      <c r="J95" s="36" t="str">
        <f>IF(OR($B95="",J$45=""),"",IFERROR(CHOOSE(MATCH(SelMeasure,MeasureList,0),AVERAGEIFS(INDEX(dData,0,MATCH($B95&amp;CHAR(10)&amp;"Raw Score",dHdr,0)),dClass,J$45)/$D95,AVERAGEIFS(INDEX(dData,0,MATCH($B95&amp;CHAR(10)&amp;"Stanine",dHdr,0)),dClass,J$45),(COUNTIFS(dClass,J$45,INDEX(dData,0,MATCH($B95&amp;CHAR(10)&amp;"Raw Score",dHdr,0)),"&gt;=0")+COUNTIFS(dClass,J$45,INDEX(dData,0,MATCH($B95&amp;CHAR(10)&amp;"Raw Score",dHdr,0)),"A"))/COUNTIF(dClass,J$45)),""))</f>
        <v/>
      </c>
      <c r="K95" s="36" t="str">
        <f>IF(OR($B95="",K$45=""),"",IFERROR(CHOOSE(MATCH(SelMeasure,MeasureList,0),AVERAGEIFS(INDEX(dData,0,MATCH($B95&amp;CHAR(10)&amp;"Raw Score",dHdr,0)),dClass,K$45)/$D95,AVERAGEIFS(INDEX(dData,0,MATCH($B95&amp;CHAR(10)&amp;"Stanine",dHdr,0)),dClass,K$45),(COUNTIFS(dClass,K$45,INDEX(dData,0,MATCH($B95&amp;CHAR(10)&amp;"Raw Score",dHdr,0)),"&gt;=0")+COUNTIFS(dClass,K$45,INDEX(dData,0,MATCH($B95&amp;CHAR(10)&amp;"Raw Score",dHdr,0)),"A"))/COUNTIF(dClass,K$45)),""))</f>
        <v/>
      </c>
      <c r="L95" s="36" t="str">
        <f>IF(OR($B95="",L$45=""),"",IFERROR(CHOOSE(MATCH(SelMeasure,MeasureList,0),AVERAGEIFS(INDEX(dData,0,MATCH($B95&amp;CHAR(10)&amp;"Raw Score",dHdr,0)),dClass,L$45)/$D95,AVERAGEIFS(INDEX(dData,0,MATCH($B95&amp;CHAR(10)&amp;"Stanine",dHdr,0)),dClass,L$45),(COUNTIFS(dClass,L$45,INDEX(dData,0,MATCH($B95&amp;CHAR(10)&amp;"Raw Score",dHdr,0)),"&gt;=0")+COUNTIFS(dClass,L$45,INDEX(dData,0,MATCH($B95&amp;CHAR(10)&amp;"Raw Score",dHdr,0)),"A"))/COUNTIF(dClass,L$45)),""))</f>
        <v/>
      </c>
      <c r="M95" s="36" t="str">
        <f>IF(OR($B95="",M$45=""),"",IFERROR(CHOOSE(MATCH(SelMeasure,MeasureList,0),AVERAGEIFS(INDEX(dData,0,MATCH($B95&amp;CHAR(10)&amp;"Raw Score",dHdr,0)),dClass,M$45)/$D95,AVERAGEIFS(INDEX(dData,0,MATCH($B95&amp;CHAR(10)&amp;"Stanine",dHdr,0)),dClass,M$45),(COUNTIFS(dClass,M$45,INDEX(dData,0,MATCH($B95&amp;CHAR(10)&amp;"Raw Score",dHdr,0)),"&gt;=0")+COUNTIFS(dClass,M$45,INDEX(dData,0,MATCH($B95&amp;CHAR(10)&amp;"Raw Score",dHdr,0)),"A"))/COUNTIF(dClass,M$45)),""))</f>
        <v/>
      </c>
      <c r="N95" s="36" t="str">
        <f>IF(OR($B95="",N$45=""),"",IFERROR(CHOOSE(MATCH(SelMeasure,MeasureList,0),AVERAGEIFS(INDEX(dData,0,MATCH($B95&amp;CHAR(10)&amp;"Raw Score",dHdr,0)),dClass,N$45)/$D95,AVERAGEIFS(INDEX(dData,0,MATCH($B95&amp;CHAR(10)&amp;"Stanine",dHdr,0)),dClass,N$45),(COUNTIFS(dClass,N$45,INDEX(dData,0,MATCH($B95&amp;CHAR(10)&amp;"Raw Score",dHdr,0)),"&gt;=0")+COUNTIFS(dClass,N$45,INDEX(dData,0,MATCH($B95&amp;CHAR(10)&amp;"Raw Score",dHdr,0)),"A"))/COUNTIF(dClass,N$45)),""))</f>
        <v/>
      </c>
      <c r="O95" s="36" t="str">
        <f>IF(OR($B95="",O$45=""),"",IFERROR(CHOOSE(MATCH(SelMeasure,MeasureList,0),AVERAGEIFS(INDEX(dData,0,MATCH($B95&amp;CHAR(10)&amp;"Raw Score",dHdr,0)),dClass,O$45)/$D95,AVERAGEIFS(INDEX(dData,0,MATCH($B95&amp;CHAR(10)&amp;"Stanine",dHdr,0)),dClass,O$45),(COUNTIFS(dClass,O$45,INDEX(dData,0,MATCH($B95&amp;CHAR(10)&amp;"Raw Score",dHdr,0)),"&gt;=0")+COUNTIFS(dClass,O$45,INDEX(dData,0,MATCH($B95&amp;CHAR(10)&amp;"Raw Score",dHdr,0)),"A"))/COUNTIF(dClass,O$45)),""))</f>
        <v/>
      </c>
    </row>
    <row r="96">
      <c r="B96" s="31" t="str">
        <f>Calc!AA53</f>
        <v/>
      </c>
      <c r="C96" s="57" t="str">
        <f>Calc!AC53</f>
        <v/>
      </c>
      <c r="D96" s="33" t="str">
        <f>Calc!AB53</f>
        <v/>
      </c>
      <c r="E96" s="33" t="str">
        <f>IF($B96="","",IFERROR(COUNT(INDEX(dData,0,MATCH($B96&amp;CHAR(10)&amp;"Raw Score",dHdr,0))),""))</f>
        <v/>
      </c>
      <c r="F96" s="36" t="str">
        <f>IF($B96="","",IFERROR(($E96+COUNTIF(INDEX(dData,0,MATCH($B96&amp;CHAR(10)&amp;"Raw Score",dHdr,0)),"A"))/COUNTA(dLast),""))</f>
        <v/>
      </c>
      <c r="G96" s="58" t="str">
        <f>IF($B96="","",IFERROR(CHOOSE(MATCH(SelMeasure,MeasureList,0),AVERAGE(INDEX(dData,0,MATCH($B96&amp;CHAR(10)&amp;"Raw Score",dHdr,0)))/$D96,AVERAGE(INDEX(dData,0,MATCH($B96&amp;CHAR(10)&amp;"Stanine",dHdr,0))),$F96),""))</f>
        <v/>
      </c>
      <c r="H96" s="36" t="str">
        <f>IF(OR($B96="",H$45=""),"",IFERROR(CHOOSE(MATCH(SelMeasure,MeasureList,0),AVERAGEIFS(INDEX(dData,0,MATCH($B96&amp;CHAR(10)&amp;"Raw Score",dHdr,0)),dClass,H$45)/$D96,AVERAGEIFS(INDEX(dData,0,MATCH($B96&amp;CHAR(10)&amp;"Stanine",dHdr,0)),dClass,H$45),(COUNTIFS(dClass,H$45,INDEX(dData,0,MATCH($B96&amp;CHAR(10)&amp;"Raw Score",dHdr,0)),"&gt;=0")+COUNTIFS(dClass,H$45,INDEX(dData,0,MATCH($B96&amp;CHAR(10)&amp;"Raw Score",dHdr,0)),"A"))/COUNTIF(dClass,H$45)),""))</f>
        <v/>
      </c>
      <c r="I96" s="36" t="str">
        <f>IF(OR($B96="",I$45=""),"",IFERROR(CHOOSE(MATCH(SelMeasure,MeasureList,0),AVERAGEIFS(INDEX(dData,0,MATCH($B96&amp;CHAR(10)&amp;"Raw Score",dHdr,0)),dClass,I$45)/$D96,AVERAGEIFS(INDEX(dData,0,MATCH($B96&amp;CHAR(10)&amp;"Stanine",dHdr,0)),dClass,I$45),(COUNTIFS(dClass,I$45,INDEX(dData,0,MATCH($B96&amp;CHAR(10)&amp;"Raw Score",dHdr,0)),"&gt;=0")+COUNTIFS(dClass,I$45,INDEX(dData,0,MATCH($B96&amp;CHAR(10)&amp;"Raw Score",dHdr,0)),"A"))/COUNTIF(dClass,I$45)),""))</f>
        <v/>
      </c>
      <c r="J96" s="36" t="str">
        <f>IF(OR($B96="",J$45=""),"",IFERROR(CHOOSE(MATCH(SelMeasure,MeasureList,0),AVERAGEIFS(INDEX(dData,0,MATCH($B96&amp;CHAR(10)&amp;"Raw Score",dHdr,0)),dClass,J$45)/$D96,AVERAGEIFS(INDEX(dData,0,MATCH($B96&amp;CHAR(10)&amp;"Stanine",dHdr,0)),dClass,J$45),(COUNTIFS(dClass,J$45,INDEX(dData,0,MATCH($B96&amp;CHAR(10)&amp;"Raw Score",dHdr,0)),"&gt;=0")+COUNTIFS(dClass,J$45,INDEX(dData,0,MATCH($B96&amp;CHAR(10)&amp;"Raw Score",dHdr,0)),"A"))/COUNTIF(dClass,J$45)),""))</f>
        <v/>
      </c>
      <c r="K96" s="36" t="str">
        <f>IF(OR($B96="",K$45=""),"",IFERROR(CHOOSE(MATCH(SelMeasure,MeasureList,0),AVERAGEIFS(INDEX(dData,0,MATCH($B96&amp;CHAR(10)&amp;"Raw Score",dHdr,0)),dClass,K$45)/$D96,AVERAGEIFS(INDEX(dData,0,MATCH($B96&amp;CHAR(10)&amp;"Stanine",dHdr,0)),dClass,K$45),(COUNTIFS(dClass,K$45,INDEX(dData,0,MATCH($B96&amp;CHAR(10)&amp;"Raw Score",dHdr,0)),"&gt;=0")+COUNTIFS(dClass,K$45,INDEX(dData,0,MATCH($B96&amp;CHAR(10)&amp;"Raw Score",dHdr,0)),"A"))/COUNTIF(dClass,K$45)),""))</f>
        <v/>
      </c>
      <c r="L96" s="36" t="str">
        <f>IF(OR($B96="",L$45=""),"",IFERROR(CHOOSE(MATCH(SelMeasure,MeasureList,0),AVERAGEIFS(INDEX(dData,0,MATCH($B96&amp;CHAR(10)&amp;"Raw Score",dHdr,0)),dClass,L$45)/$D96,AVERAGEIFS(INDEX(dData,0,MATCH($B96&amp;CHAR(10)&amp;"Stanine",dHdr,0)),dClass,L$45),(COUNTIFS(dClass,L$45,INDEX(dData,0,MATCH($B96&amp;CHAR(10)&amp;"Raw Score",dHdr,0)),"&gt;=0")+COUNTIFS(dClass,L$45,INDEX(dData,0,MATCH($B96&amp;CHAR(10)&amp;"Raw Score",dHdr,0)),"A"))/COUNTIF(dClass,L$45)),""))</f>
        <v/>
      </c>
      <c r="M96" s="36" t="str">
        <f>IF(OR($B96="",M$45=""),"",IFERROR(CHOOSE(MATCH(SelMeasure,MeasureList,0),AVERAGEIFS(INDEX(dData,0,MATCH($B96&amp;CHAR(10)&amp;"Raw Score",dHdr,0)),dClass,M$45)/$D96,AVERAGEIFS(INDEX(dData,0,MATCH($B96&amp;CHAR(10)&amp;"Stanine",dHdr,0)),dClass,M$45),(COUNTIFS(dClass,M$45,INDEX(dData,0,MATCH($B96&amp;CHAR(10)&amp;"Raw Score",dHdr,0)),"&gt;=0")+COUNTIFS(dClass,M$45,INDEX(dData,0,MATCH($B96&amp;CHAR(10)&amp;"Raw Score",dHdr,0)),"A"))/COUNTIF(dClass,M$45)),""))</f>
        <v/>
      </c>
      <c r="N96" s="36" t="str">
        <f>IF(OR($B96="",N$45=""),"",IFERROR(CHOOSE(MATCH(SelMeasure,MeasureList,0),AVERAGEIFS(INDEX(dData,0,MATCH($B96&amp;CHAR(10)&amp;"Raw Score",dHdr,0)),dClass,N$45)/$D96,AVERAGEIFS(INDEX(dData,0,MATCH($B96&amp;CHAR(10)&amp;"Stanine",dHdr,0)),dClass,N$45),(COUNTIFS(dClass,N$45,INDEX(dData,0,MATCH($B96&amp;CHAR(10)&amp;"Raw Score",dHdr,0)),"&gt;=0")+COUNTIFS(dClass,N$45,INDEX(dData,0,MATCH($B96&amp;CHAR(10)&amp;"Raw Score",dHdr,0)),"A"))/COUNTIF(dClass,N$45)),""))</f>
        <v/>
      </c>
      <c r="O96" s="36" t="str">
        <f>IF(OR($B96="",O$45=""),"",IFERROR(CHOOSE(MATCH(SelMeasure,MeasureList,0),AVERAGEIFS(INDEX(dData,0,MATCH($B96&amp;CHAR(10)&amp;"Raw Score",dHdr,0)),dClass,O$45)/$D96,AVERAGEIFS(INDEX(dData,0,MATCH($B96&amp;CHAR(10)&amp;"Stanine",dHdr,0)),dClass,O$45),(COUNTIFS(dClass,O$45,INDEX(dData,0,MATCH($B96&amp;CHAR(10)&amp;"Raw Score",dHdr,0)),"&gt;=0")+COUNTIFS(dClass,O$45,INDEX(dData,0,MATCH($B96&amp;CHAR(10)&amp;"Raw Score",dHdr,0)),"A"))/COUNTIF(dClass,O$45)),""))</f>
        <v/>
      </c>
    </row>
    <row r="97">
      <c r="B97" s="31" t="str">
        <f>Calc!AA54</f>
        <v/>
      </c>
      <c r="C97" s="57" t="str">
        <f>Calc!AC54</f>
        <v/>
      </c>
      <c r="D97" s="33" t="str">
        <f>Calc!AB54</f>
        <v/>
      </c>
      <c r="E97" s="33" t="str">
        <f>IF($B97="","",IFERROR(COUNT(INDEX(dData,0,MATCH($B97&amp;CHAR(10)&amp;"Raw Score",dHdr,0))),""))</f>
        <v/>
      </c>
      <c r="F97" s="36" t="str">
        <f>IF($B97="","",IFERROR(($E97+COUNTIF(INDEX(dData,0,MATCH($B97&amp;CHAR(10)&amp;"Raw Score",dHdr,0)),"A"))/COUNTA(dLast),""))</f>
        <v/>
      </c>
      <c r="G97" s="58" t="str">
        <f>IF($B97="","",IFERROR(CHOOSE(MATCH(SelMeasure,MeasureList,0),AVERAGE(INDEX(dData,0,MATCH($B97&amp;CHAR(10)&amp;"Raw Score",dHdr,0)))/$D97,AVERAGE(INDEX(dData,0,MATCH($B97&amp;CHAR(10)&amp;"Stanine",dHdr,0))),$F97),""))</f>
        <v/>
      </c>
      <c r="H97" s="36" t="str">
        <f>IF(OR($B97="",H$45=""),"",IFERROR(CHOOSE(MATCH(SelMeasure,MeasureList,0),AVERAGEIFS(INDEX(dData,0,MATCH($B97&amp;CHAR(10)&amp;"Raw Score",dHdr,0)),dClass,H$45)/$D97,AVERAGEIFS(INDEX(dData,0,MATCH($B97&amp;CHAR(10)&amp;"Stanine",dHdr,0)),dClass,H$45),(COUNTIFS(dClass,H$45,INDEX(dData,0,MATCH($B97&amp;CHAR(10)&amp;"Raw Score",dHdr,0)),"&gt;=0")+COUNTIFS(dClass,H$45,INDEX(dData,0,MATCH($B97&amp;CHAR(10)&amp;"Raw Score",dHdr,0)),"A"))/COUNTIF(dClass,H$45)),""))</f>
        <v/>
      </c>
      <c r="I97" s="36" t="str">
        <f>IF(OR($B97="",I$45=""),"",IFERROR(CHOOSE(MATCH(SelMeasure,MeasureList,0),AVERAGEIFS(INDEX(dData,0,MATCH($B97&amp;CHAR(10)&amp;"Raw Score",dHdr,0)),dClass,I$45)/$D97,AVERAGEIFS(INDEX(dData,0,MATCH($B97&amp;CHAR(10)&amp;"Stanine",dHdr,0)),dClass,I$45),(COUNTIFS(dClass,I$45,INDEX(dData,0,MATCH($B97&amp;CHAR(10)&amp;"Raw Score",dHdr,0)),"&gt;=0")+COUNTIFS(dClass,I$45,INDEX(dData,0,MATCH($B97&amp;CHAR(10)&amp;"Raw Score",dHdr,0)),"A"))/COUNTIF(dClass,I$45)),""))</f>
        <v/>
      </c>
      <c r="J97" s="36" t="str">
        <f>IF(OR($B97="",J$45=""),"",IFERROR(CHOOSE(MATCH(SelMeasure,MeasureList,0),AVERAGEIFS(INDEX(dData,0,MATCH($B97&amp;CHAR(10)&amp;"Raw Score",dHdr,0)),dClass,J$45)/$D97,AVERAGEIFS(INDEX(dData,0,MATCH($B97&amp;CHAR(10)&amp;"Stanine",dHdr,0)),dClass,J$45),(COUNTIFS(dClass,J$45,INDEX(dData,0,MATCH($B97&amp;CHAR(10)&amp;"Raw Score",dHdr,0)),"&gt;=0")+COUNTIFS(dClass,J$45,INDEX(dData,0,MATCH($B97&amp;CHAR(10)&amp;"Raw Score",dHdr,0)),"A"))/COUNTIF(dClass,J$45)),""))</f>
        <v/>
      </c>
      <c r="K97" s="36" t="str">
        <f>IF(OR($B97="",K$45=""),"",IFERROR(CHOOSE(MATCH(SelMeasure,MeasureList,0),AVERAGEIFS(INDEX(dData,0,MATCH($B97&amp;CHAR(10)&amp;"Raw Score",dHdr,0)),dClass,K$45)/$D97,AVERAGEIFS(INDEX(dData,0,MATCH($B97&amp;CHAR(10)&amp;"Stanine",dHdr,0)),dClass,K$45),(COUNTIFS(dClass,K$45,INDEX(dData,0,MATCH($B97&amp;CHAR(10)&amp;"Raw Score",dHdr,0)),"&gt;=0")+COUNTIFS(dClass,K$45,INDEX(dData,0,MATCH($B97&amp;CHAR(10)&amp;"Raw Score",dHdr,0)),"A"))/COUNTIF(dClass,K$45)),""))</f>
        <v/>
      </c>
      <c r="L97" s="36" t="str">
        <f>IF(OR($B97="",L$45=""),"",IFERROR(CHOOSE(MATCH(SelMeasure,MeasureList,0),AVERAGEIFS(INDEX(dData,0,MATCH($B97&amp;CHAR(10)&amp;"Raw Score",dHdr,0)),dClass,L$45)/$D97,AVERAGEIFS(INDEX(dData,0,MATCH($B97&amp;CHAR(10)&amp;"Stanine",dHdr,0)),dClass,L$45),(COUNTIFS(dClass,L$45,INDEX(dData,0,MATCH($B97&amp;CHAR(10)&amp;"Raw Score",dHdr,0)),"&gt;=0")+COUNTIFS(dClass,L$45,INDEX(dData,0,MATCH($B97&amp;CHAR(10)&amp;"Raw Score",dHdr,0)),"A"))/COUNTIF(dClass,L$45)),""))</f>
        <v/>
      </c>
      <c r="M97" s="36" t="str">
        <f>IF(OR($B97="",M$45=""),"",IFERROR(CHOOSE(MATCH(SelMeasure,MeasureList,0),AVERAGEIFS(INDEX(dData,0,MATCH($B97&amp;CHAR(10)&amp;"Raw Score",dHdr,0)),dClass,M$45)/$D97,AVERAGEIFS(INDEX(dData,0,MATCH($B97&amp;CHAR(10)&amp;"Stanine",dHdr,0)),dClass,M$45),(COUNTIFS(dClass,M$45,INDEX(dData,0,MATCH($B97&amp;CHAR(10)&amp;"Raw Score",dHdr,0)),"&gt;=0")+COUNTIFS(dClass,M$45,INDEX(dData,0,MATCH($B97&amp;CHAR(10)&amp;"Raw Score",dHdr,0)),"A"))/COUNTIF(dClass,M$45)),""))</f>
        <v/>
      </c>
      <c r="N97" s="36" t="str">
        <f>IF(OR($B97="",N$45=""),"",IFERROR(CHOOSE(MATCH(SelMeasure,MeasureList,0),AVERAGEIFS(INDEX(dData,0,MATCH($B97&amp;CHAR(10)&amp;"Raw Score",dHdr,0)),dClass,N$45)/$D97,AVERAGEIFS(INDEX(dData,0,MATCH($B97&amp;CHAR(10)&amp;"Stanine",dHdr,0)),dClass,N$45),(COUNTIFS(dClass,N$45,INDEX(dData,0,MATCH($B97&amp;CHAR(10)&amp;"Raw Score",dHdr,0)),"&gt;=0")+COUNTIFS(dClass,N$45,INDEX(dData,0,MATCH($B97&amp;CHAR(10)&amp;"Raw Score",dHdr,0)),"A"))/COUNTIF(dClass,N$45)),""))</f>
        <v/>
      </c>
      <c r="O97" s="36" t="str">
        <f>IF(OR($B97="",O$45=""),"",IFERROR(CHOOSE(MATCH(SelMeasure,MeasureList,0),AVERAGEIFS(INDEX(dData,0,MATCH($B97&amp;CHAR(10)&amp;"Raw Score",dHdr,0)),dClass,O$45)/$D97,AVERAGEIFS(INDEX(dData,0,MATCH($B97&amp;CHAR(10)&amp;"Stanine",dHdr,0)),dClass,O$45),(COUNTIFS(dClass,O$45,INDEX(dData,0,MATCH($B97&amp;CHAR(10)&amp;"Raw Score",dHdr,0)),"&gt;=0")+COUNTIFS(dClass,O$45,INDEX(dData,0,MATCH($B97&amp;CHAR(10)&amp;"Raw Score",dHdr,0)),"A"))/COUNTIF(dClass,O$45)),""))</f>
        <v/>
      </c>
    </row>
    <row r="98">
      <c r="B98" s="31" t="str">
        <f>Calc!AA55</f>
        <v/>
      </c>
      <c r="C98" s="57" t="str">
        <f>Calc!AC55</f>
        <v/>
      </c>
      <c r="D98" s="33" t="str">
        <f>Calc!AB55</f>
        <v/>
      </c>
      <c r="E98" s="33" t="str">
        <f>IF($B98="","",IFERROR(COUNT(INDEX(dData,0,MATCH($B98&amp;CHAR(10)&amp;"Raw Score",dHdr,0))),""))</f>
        <v/>
      </c>
      <c r="F98" s="36" t="str">
        <f>IF($B98="","",IFERROR(($E98+COUNTIF(INDEX(dData,0,MATCH($B98&amp;CHAR(10)&amp;"Raw Score",dHdr,0)),"A"))/COUNTA(dLast),""))</f>
        <v/>
      </c>
      <c r="G98" s="58" t="str">
        <f>IF($B98="","",IFERROR(CHOOSE(MATCH(SelMeasure,MeasureList,0),AVERAGE(INDEX(dData,0,MATCH($B98&amp;CHAR(10)&amp;"Raw Score",dHdr,0)))/$D98,AVERAGE(INDEX(dData,0,MATCH($B98&amp;CHAR(10)&amp;"Stanine",dHdr,0))),$F98),""))</f>
        <v/>
      </c>
      <c r="H98" s="36" t="str">
        <f>IF(OR($B98="",H$45=""),"",IFERROR(CHOOSE(MATCH(SelMeasure,MeasureList,0),AVERAGEIFS(INDEX(dData,0,MATCH($B98&amp;CHAR(10)&amp;"Raw Score",dHdr,0)),dClass,H$45)/$D98,AVERAGEIFS(INDEX(dData,0,MATCH($B98&amp;CHAR(10)&amp;"Stanine",dHdr,0)),dClass,H$45),(COUNTIFS(dClass,H$45,INDEX(dData,0,MATCH($B98&amp;CHAR(10)&amp;"Raw Score",dHdr,0)),"&gt;=0")+COUNTIFS(dClass,H$45,INDEX(dData,0,MATCH($B98&amp;CHAR(10)&amp;"Raw Score",dHdr,0)),"A"))/COUNTIF(dClass,H$45)),""))</f>
        <v/>
      </c>
      <c r="I98" s="36" t="str">
        <f>IF(OR($B98="",I$45=""),"",IFERROR(CHOOSE(MATCH(SelMeasure,MeasureList,0),AVERAGEIFS(INDEX(dData,0,MATCH($B98&amp;CHAR(10)&amp;"Raw Score",dHdr,0)),dClass,I$45)/$D98,AVERAGEIFS(INDEX(dData,0,MATCH($B98&amp;CHAR(10)&amp;"Stanine",dHdr,0)),dClass,I$45),(COUNTIFS(dClass,I$45,INDEX(dData,0,MATCH($B98&amp;CHAR(10)&amp;"Raw Score",dHdr,0)),"&gt;=0")+COUNTIFS(dClass,I$45,INDEX(dData,0,MATCH($B98&amp;CHAR(10)&amp;"Raw Score",dHdr,0)),"A"))/COUNTIF(dClass,I$45)),""))</f>
        <v/>
      </c>
      <c r="J98" s="36" t="str">
        <f>IF(OR($B98="",J$45=""),"",IFERROR(CHOOSE(MATCH(SelMeasure,MeasureList,0),AVERAGEIFS(INDEX(dData,0,MATCH($B98&amp;CHAR(10)&amp;"Raw Score",dHdr,0)),dClass,J$45)/$D98,AVERAGEIFS(INDEX(dData,0,MATCH($B98&amp;CHAR(10)&amp;"Stanine",dHdr,0)),dClass,J$45),(COUNTIFS(dClass,J$45,INDEX(dData,0,MATCH($B98&amp;CHAR(10)&amp;"Raw Score",dHdr,0)),"&gt;=0")+COUNTIFS(dClass,J$45,INDEX(dData,0,MATCH($B98&amp;CHAR(10)&amp;"Raw Score",dHdr,0)),"A"))/COUNTIF(dClass,J$45)),""))</f>
        <v/>
      </c>
      <c r="K98" s="36" t="str">
        <f>IF(OR($B98="",K$45=""),"",IFERROR(CHOOSE(MATCH(SelMeasure,MeasureList,0),AVERAGEIFS(INDEX(dData,0,MATCH($B98&amp;CHAR(10)&amp;"Raw Score",dHdr,0)),dClass,K$45)/$D98,AVERAGEIFS(INDEX(dData,0,MATCH($B98&amp;CHAR(10)&amp;"Stanine",dHdr,0)),dClass,K$45),(COUNTIFS(dClass,K$45,INDEX(dData,0,MATCH($B98&amp;CHAR(10)&amp;"Raw Score",dHdr,0)),"&gt;=0")+COUNTIFS(dClass,K$45,INDEX(dData,0,MATCH($B98&amp;CHAR(10)&amp;"Raw Score",dHdr,0)),"A"))/COUNTIF(dClass,K$45)),""))</f>
        <v/>
      </c>
      <c r="L98" s="36" t="str">
        <f>IF(OR($B98="",L$45=""),"",IFERROR(CHOOSE(MATCH(SelMeasure,MeasureList,0),AVERAGEIFS(INDEX(dData,0,MATCH($B98&amp;CHAR(10)&amp;"Raw Score",dHdr,0)),dClass,L$45)/$D98,AVERAGEIFS(INDEX(dData,0,MATCH($B98&amp;CHAR(10)&amp;"Stanine",dHdr,0)),dClass,L$45),(COUNTIFS(dClass,L$45,INDEX(dData,0,MATCH($B98&amp;CHAR(10)&amp;"Raw Score",dHdr,0)),"&gt;=0")+COUNTIFS(dClass,L$45,INDEX(dData,0,MATCH($B98&amp;CHAR(10)&amp;"Raw Score",dHdr,0)),"A"))/COUNTIF(dClass,L$45)),""))</f>
        <v/>
      </c>
      <c r="M98" s="36" t="str">
        <f>IF(OR($B98="",M$45=""),"",IFERROR(CHOOSE(MATCH(SelMeasure,MeasureList,0),AVERAGEIFS(INDEX(dData,0,MATCH($B98&amp;CHAR(10)&amp;"Raw Score",dHdr,0)),dClass,M$45)/$D98,AVERAGEIFS(INDEX(dData,0,MATCH($B98&amp;CHAR(10)&amp;"Stanine",dHdr,0)),dClass,M$45),(COUNTIFS(dClass,M$45,INDEX(dData,0,MATCH($B98&amp;CHAR(10)&amp;"Raw Score",dHdr,0)),"&gt;=0")+COUNTIFS(dClass,M$45,INDEX(dData,0,MATCH($B98&amp;CHAR(10)&amp;"Raw Score",dHdr,0)),"A"))/COUNTIF(dClass,M$45)),""))</f>
        <v/>
      </c>
      <c r="N98" s="36" t="str">
        <f>IF(OR($B98="",N$45=""),"",IFERROR(CHOOSE(MATCH(SelMeasure,MeasureList,0),AVERAGEIFS(INDEX(dData,0,MATCH($B98&amp;CHAR(10)&amp;"Raw Score",dHdr,0)),dClass,N$45)/$D98,AVERAGEIFS(INDEX(dData,0,MATCH($B98&amp;CHAR(10)&amp;"Stanine",dHdr,0)),dClass,N$45),(COUNTIFS(dClass,N$45,INDEX(dData,0,MATCH($B98&amp;CHAR(10)&amp;"Raw Score",dHdr,0)),"&gt;=0")+COUNTIFS(dClass,N$45,INDEX(dData,0,MATCH($B98&amp;CHAR(10)&amp;"Raw Score",dHdr,0)),"A"))/COUNTIF(dClass,N$45)),""))</f>
        <v/>
      </c>
      <c r="O98" s="36" t="str">
        <f>IF(OR($B98="",O$45=""),"",IFERROR(CHOOSE(MATCH(SelMeasure,MeasureList,0),AVERAGEIFS(INDEX(dData,0,MATCH($B98&amp;CHAR(10)&amp;"Raw Score",dHdr,0)),dClass,O$45)/$D98,AVERAGEIFS(INDEX(dData,0,MATCH($B98&amp;CHAR(10)&amp;"Stanine",dHdr,0)),dClass,O$45),(COUNTIFS(dClass,O$45,INDEX(dData,0,MATCH($B98&amp;CHAR(10)&amp;"Raw Score",dHdr,0)),"&gt;=0")+COUNTIFS(dClass,O$45,INDEX(dData,0,MATCH($B98&amp;CHAR(10)&amp;"Raw Score",dHdr,0)),"A"))/COUNTIF(dClass,O$45)),""))</f>
        <v/>
      </c>
    </row>
    <row r="99">
      <c r="B99" s="31" t="str">
        <f>Calc!AA56</f>
        <v/>
      </c>
      <c r="C99" s="57" t="str">
        <f>Calc!AC56</f>
        <v/>
      </c>
      <c r="D99" s="33" t="str">
        <f>Calc!AB56</f>
        <v/>
      </c>
      <c r="E99" s="33" t="str">
        <f>IF($B99="","",IFERROR(COUNT(INDEX(dData,0,MATCH($B99&amp;CHAR(10)&amp;"Raw Score",dHdr,0))),""))</f>
        <v/>
      </c>
      <c r="F99" s="36" t="str">
        <f>IF($B99="","",IFERROR(($E99+COUNTIF(INDEX(dData,0,MATCH($B99&amp;CHAR(10)&amp;"Raw Score",dHdr,0)),"A"))/COUNTA(dLast),""))</f>
        <v/>
      </c>
      <c r="G99" s="58" t="str">
        <f>IF($B99="","",IFERROR(CHOOSE(MATCH(SelMeasure,MeasureList,0),AVERAGE(INDEX(dData,0,MATCH($B99&amp;CHAR(10)&amp;"Raw Score",dHdr,0)))/$D99,AVERAGE(INDEX(dData,0,MATCH($B99&amp;CHAR(10)&amp;"Stanine",dHdr,0))),$F99),""))</f>
        <v/>
      </c>
      <c r="H99" s="36" t="str">
        <f>IF(OR($B99="",H$45=""),"",IFERROR(CHOOSE(MATCH(SelMeasure,MeasureList,0),AVERAGEIFS(INDEX(dData,0,MATCH($B99&amp;CHAR(10)&amp;"Raw Score",dHdr,0)),dClass,H$45)/$D99,AVERAGEIFS(INDEX(dData,0,MATCH($B99&amp;CHAR(10)&amp;"Stanine",dHdr,0)),dClass,H$45),(COUNTIFS(dClass,H$45,INDEX(dData,0,MATCH($B99&amp;CHAR(10)&amp;"Raw Score",dHdr,0)),"&gt;=0")+COUNTIFS(dClass,H$45,INDEX(dData,0,MATCH($B99&amp;CHAR(10)&amp;"Raw Score",dHdr,0)),"A"))/COUNTIF(dClass,H$45)),""))</f>
        <v/>
      </c>
      <c r="I99" s="36" t="str">
        <f>IF(OR($B99="",I$45=""),"",IFERROR(CHOOSE(MATCH(SelMeasure,MeasureList,0),AVERAGEIFS(INDEX(dData,0,MATCH($B99&amp;CHAR(10)&amp;"Raw Score",dHdr,0)),dClass,I$45)/$D99,AVERAGEIFS(INDEX(dData,0,MATCH($B99&amp;CHAR(10)&amp;"Stanine",dHdr,0)),dClass,I$45),(COUNTIFS(dClass,I$45,INDEX(dData,0,MATCH($B99&amp;CHAR(10)&amp;"Raw Score",dHdr,0)),"&gt;=0")+COUNTIFS(dClass,I$45,INDEX(dData,0,MATCH($B99&amp;CHAR(10)&amp;"Raw Score",dHdr,0)),"A"))/COUNTIF(dClass,I$45)),""))</f>
        <v/>
      </c>
      <c r="J99" s="36" t="str">
        <f>IF(OR($B99="",J$45=""),"",IFERROR(CHOOSE(MATCH(SelMeasure,MeasureList,0),AVERAGEIFS(INDEX(dData,0,MATCH($B99&amp;CHAR(10)&amp;"Raw Score",dHdr,0)),dClass,J$45)/$D99,AVERAGEIFS(INDEX(dData,0,MATCH($B99&amp;CHAR(10)&amp;"Stanine",dHdr,0)),dClass,J$45),(COUNTIFS(dClass,J$45,INDEX(dData,0,MATCH($B99&amp;CHAR(10)&amp;"Raw Score",dHdr,0)),"&gt;=0")+COUNTIFS(dClass,J$45,INDEX(dData,0,MATCH($B99&amp;CHAR(10)&amp;"Raw Score",dHdr,0)),"A"))/COUNTIF(dClass,J$45)),""))</f>
        <v/>
      </c>
      <c r="K99" s="36" t="str">
        <f>IF(OR($B99="",K$45=""),"",IFERROR(CHOOSE(MATCH(SelMeasure,MeasureList,0),AVERAGEIFS(INDEX(dData,0,MATCH($B99&amp;CHAR(10)&amp;"Raw Score",dHdr,0)),dClass,K$45)/$D99,AVERAGEIFS(INDEX(dData,0,MATCH($B99&amp;CHAR(10)&amp;"Stanine",dHdr,0)),dClass,K$45),(COUNTIFS(dClass,K$45,INDEX(dData,0,MATCH($B99&amp;CHAR(10)&amp;"Raw Score",dHdr,0)),"&gt;=0")+COUNTIFS(dClass,K$45,INDEX(dData,0,MATCH($B99&amp;CHAR(10)&amp;"Raw Score",dHdr,0)),"A"))/COUNTIF(dClass,K$45)),""))</f>
        <v/>
      </c>
      <c r="L99" s="36" t="str">
        <f>IF(OR($B99="",L$45=""),"",IFERROR(CHOOSE(MATCH(SelMeasure,MeasureList,0),AVERAGEIFS(INDEX(dData,0,MATCH($B99&amp;CHAR(10)&amp;"Raw Score",dHdr,0)),dClass,L$45)/$D99,AVERAGEIFS(INDEX(dData,0,MATCH($B99&amp;CHAR(10)&amp;"Stanine",dHdr,0)),dClass,L$45),(COUNTIFS(dClass,L$45,INDEX(dData,0,MATCH($B99&amp;CHAR(10)&amp;"Raw Score",dHdr,0)),"&gt;=0")+COUNTIFS(dClass,L$45,INDEX(dData,0,MATCH($B99&amp;CHAR(10)&amp;"Raw Score",dHdr,0)),"A"))/COUNTIF(dClass,L$45)),""))</f>
        <v/>
      </c>
      <c r="M99" s="36" t="str">
        <f>IF(OR($B99="",M$45=""),"",IFERROR(CHOOSE(MATCH(SelMeasure,MeasureList,0),AVERAGEIFS(INDEX(dData,0,MATCH($B99&amp;CHAR(10)&amp;"Raw Score",dHdr,0)),dClass,M$45)/$D99,AVERAGEIFS(INDEX(dData,0,MATCH($B99&amp;CHAR(10)&amp;"Stanine",dHdr,0)),dClass,M$45),(COUNTIFS(dClass,M$45,INDEX(dData,0,MATCH($B99&amp;CHAR(10)&amp;"Raw Score",dHdr,0)),"&gt;=0")+COUNTIFS(dClass,M$45,INDEX(dData,0,MATCH($B99&amp;CHAR(10)&amp;"Raw Score",dHdr,0)),"A"))/COUNTIF(dClass,M$45)),""))</f>
        <v/>
      </c>
      <c r="N99" s="36" t="str">
        <f>IF(OR($B99="",N$45=""),"",IFERROR(CHOOSE(MATCH(SelMeasure,MeasureList,0),AVERAGEIFS(INDEX(dData,0,MATCH($B99&amp;CHAR(10)&amp;"Raw Score",dHdr,0)),dClass,N$45)/$D99,AVERAGEIFS(INDEX(dData,0,MATCH($B99&amp;CHAR(10)&amp;"Stanine",dHdr,0)),dClass,N$45),(COUNTIFS(dClass,N$45,INDEX(dData,0,MATCH($B99&amp;CHAR(10)&amp;"Raw Score",dHdr,0)),"&gt;=0")+COUNTIFS(dClass,N$45,INDEX(dData,0,MATCH($B99&amp;CHAR(10)&amp;"Raw Score",dHdr,0)),"A"))/COUNTIF(dClass,N$45)),""))</f>
        <v/>
      </c>
      <c r="O99" s="36" t="str">
        <f>IF(OR($B99="",O$45=""),"",IFERROR(CHOOSE(MATCH(SelMeasure,MeasureList,0),AVERAGEIFS(INDEX(dData,0,MATCH($B99&amp;CHAR(10)&amp;"Raw Score",dHdr,0)),dClass,O$45)/$D99,AVERAGEIFS(INDEX(dData,0,MATCH($B99&amp;CHAR(10)&amp;"Stanine",dHdr,0)),dClass,O$45),(COUNTIFS(dClass,O$45,INDEX(dData,0,MATCH($B99&amp;CHAR(10)&amp;"Raw Score",dHdr,0)),"&gt;=0")+COUNTIFS(dClass,O$45,INDEX(dData,0,MATCH($B99&amp;CHAR(10)&amp;"Raw Score",dHdr,0)),"A"))/COUNTIF(dClass,O$45)),""))</f>
        <v/>
      </c>
    </row>
    <row r="100">
      <c r="B100" s="31" t="str">
        <f>Calc!AA57</f>
        <v/>
      </c>
      <c r="C100" s="57" t="str">
        <f>Calc!AC57</f>
        <v/>
      </c>
      <c r="D100" s="33" t="str">
        <f>Calc!AB57</f>
        <v/>
      </c>
      <c r="E100" s="33" t="str">
        <f>IF($B100="","",IFERROR(COUNT(INDEX(dData,0,MATCH($B100&amp;CHAR(10)&amp;"Raw Score",dHdr,0))),""))</f>
        <v/>
      </c>
      <c r="F100" s="36" t="str">
        <f>IF($B100="","",IFERROR(($E100+COUNTIF(INDEX(dData,0,MATCH($B100&amp;CHAR(10)&amp;"Raw Score",dHdr,0)),"A"))/COUNTA(dLast),""))</f>
        <v/>
      </c>
      <c r="G100" s="58" t="str">
        <f>IF($B100="","",IFERROR(CHOOSE(MATCH(SelMeasure,MeasureList,0),AVERAGE(INDEX(dData,0,MATCH($B100&amp;CHAR(10)&amp;"Raw Score",dHdr,0)))/$D100,AVERAGE(INDEX(dData,0,MATCH($B100&amp;CHAR(10)&amp;"Stanine",dHdr,0))),$F100),""))</f>
        <v/>
      </c>
      <c r="H100" s="36" t="str">
        <f>IF(OR($B100="",H$45=""),"",IFERROR(CHOOSE(MATCH(SelMeasure,MeasureList,0),AVERAGEIFS(INDEX(dData,0,MATCH($B100&amp;CHAR(10)&amp;"Raw Score",dHdr,0)),dClass,H$45)/$D100,AVERAGEIFS(INDEX(dData,0,MATCH($B100&amp;CHAR(10)&amp;"Stanine",dHdr,0)),dClass,H$45),(COUNTIFS(dClass,H$45,INDEX(dData,0,MATCH($B100&amp;CHAR(10)&amp;"Raw Score",dHdr,0)),"&gt;=0")+COUNTIFS(dClass,H$45,INDEX(dData,0,MATCH($B100&amp;CHAR(10)&amp;"Raw Score",dHdr,0)),"A"))/COUNTIF(dClass,H$45)),""))</f>
        <v/>
      </c>
      <c r="I100" s="36" t="str">
        <f>IF(OR($B100="",I$45=""),"",IFERROR(CHOOSE(MATCH(SelMeasure,MeasureList,0),AVERAGEIFS(INDEX(dData,0,MATCH($B100&amp;CHAR(10)&amp;"Raw Score",dHdr,0)),dClass,I$45)/$D100,AVERAGEIFS(INDEX(dData,0,MATCH($B100&amp;CHAR(10)&amp;"Stanine",dHdr,0)),dClass,I$45),(COUNTIFS(dClass,I$45,INDEX(dData,0,MATCH($B100&amp;CHAR(10)&amp;"Raw Score",dHdr,0)),"&gt;=0")+COUNTIFS(dClass,I$45,INDEX(dData,0,MATCH($B100&amp;CHAR(10)&amp;"Raw Score",dHdr,0)),"A"))/COUNTIF(dClass,I$45)),""))</f>
        <v/>
      </c>
      <c r="J100" s="36" t="str">
        <f>IF(OR($B100="",J$45=""),"",IFERROR(CHOOSE(MATCH(SelMeasure,MeasureList,0),AVERAGEIFS(INDEX(dData,0,MATCH($B100&amp;CHAR(10)&amp;"Raw Score",dHdr,0)),dClass,J$45)/$D100,AVERAGEIFS(INDEX(dData,0,MATCH($B100&amp;CHAR(10)&amp;"Stanine",dHdr,0)),dClass,J$45),(COUNTIFS(dClass,J$45,INDEX(dData,0,MATCH($B100&amp;CHAR(10)&amp;"Raw Score",dHdr,0)),"&gt;=0")+COUNTIFS(dClass,J$45,INDEX(dData,0,MATCH($B100&amp;CHAR(10)&amp;"Raw Score",dHdr,0)),"A"))/COUNTIF(dClass,J$45)),""))</f>
        <v/>
      </c>
      <c r="K100" s="36" t="str">
        <f>IF(OR($B100="",K$45=""),"",IFERROR(CHOOSE(MATCH(SelMeasure,MeasureList,0),AVERAGEIFS(INDEX(dData,0,MATCH($B100&amp;CHAR(10)&amp;"Raw Score",dHdr,0)),dClass,K$45)/$D100,AVERAGEIFS(INDEX(dData,0,MATCH($B100&amp;CHAR(10)&amp;"Stanine",dHdr,0)),dClass,K$45),(COUNTIFS(dClass,K$45,INDEX(dData,0,MATCH($B100&amp;CHAR(10)&amp;"Raw Score",dHdr,0)),"&gt;=0")+COUNTIFS(dClass,K$45,INDEX(dData,0,MATCH($B100&amp;CHAR(10)&amp;"Raw Score",dHdr,0)),"A"))/COUNTIF(dClass,K$45)),""))</f>
        <v/>
      </c>
      <c r="L100" s="36" t="str">
        <f>IF(OR($B100="",L$45=""),"",IFERROR(CHOOSE(MATCH(SelMeasure,MeasureList,0),AVERAGEIFS(INDEX(dData,0,MATCH($B100&amp;CHAR(10)&amp;"Raw Score",dHdr,0)),dClass,L$45)/$D100,AVERAGEIFS(INDEX(dData,0,MATCH($B100&amp;CHAR(10)&amp;"Stanine",dHdr,0)),dClass,L$45),(COUNTIFS(dClass,L$45,INDEX(dData,0,MATCH($B100&amp;CHAR(10)&amp;"Raw Score",dHdr,0)),"&gt;=0")+COUNTIFS(dClass,L$45,INDEX(dData,0,MATCH($B100&amp;CHAR(10)&amp;"Raw Score",dHdr,0)),"A"))/COUNTIF(dClass,L$45)),""))</f>
        <v/>
      </c>
      <c r="M100" s="36" t="str">
        <f>IF(OR($B100="",M$45=""),"",IFERROR(CHOOSE(MATCH(SelMeasure,MeasureList,0),AVERAGEIFS(INDEX(dData,0,MATCH($B100&amp;CHAR(10)&amp;"Raw Score",dHdr,0)),dClass,M$45)/$D100,AVERAGEIFS(INDEX(dData,0,MATCH($B100&amp;CHAR(10)&amp;"Stanine",dHdr,0)),dClass,M$45),(COUNTIFS(dClass,M$45,INDEX(dData,0,MATCH($B100&amp;CHAR(10)&amp;"Raw Score",dHdr,0)),"&gt;=0")+COUNTIFS(dClass,M$45,INDEX(dData,0,MATCH($B100&amp;CHAR(10)&amp;"Raw Score",dHdr,0)),"A"))/COUNTIF(dClass,M$45)),""))</f>
        <v/>
      </c>
      <c r="N100" s="36" t="str">
        <f>IF(OR($B100="",N$45=""),"",IFERROR(CHOOSE(MATCH(SelMeasure,MeasureList,0),AVERAGEIFS(INDEX(dData,0,MATCH($B100&amp;CHAR(10)&amp;"Raw Score",dHdr,0)),dClass,N$45)/$D100,AVERAGEIFS(INDEX(dData,0,MATCH($B100&amp;CHAR(10)&amp;"Stanine",dHdr,0)),dClass,N$45),(COUNTIFS(dClass,N$45,INDEX(dData,0,MATCH($B100&amp;CHAR(10)&amp;"Raw Score",dHdr,0)),"&gt;=0")+COUNTIFS(dClass,N$45,INDEX(dData,0,MATCH($B100&amp;CHAR(10)&amp;"Raw Score",dHdr,0)),"A"))/COUNTIF(dClass,N$45)),""))</f>
        <v/>
      </c>
      <c r="O100" s="36" t="str">
        <f>IF(OR($B100="",O$45=""),"",IFERROR(CHOOSE(MATCH(SelMeasure,MeasureList,0),AVERAGEIFS(INDEX(dData,0,MATCH($B100&amp;CHAR(10)&amp;"Raw Score",dHdr,0)),dClass,O$45)/$D100,AVERAGEIFS(INDEX(dData,0,MATCH($B100&amp;CHAR(10)&amp;"Stanine",dHdr,0)),dClass,O$45),(COUNTIFS(dClass,O$45,INDEX(dData,0,MATCH($B100&amp;CHAR(10)&amp;"Raw Score",dHdr,0)),"&gt;=0")+COUNTIFS(dClass,O$45,INDEX(dData,0,MATCH($B100&amp;CHAR(10)&amp;"Raw Score",dHdr,0)),"A"))/COUNTIF(dClass,O$45)),""))</f>
        <v/>
      </c>
    </row>
    <row r="101">
      <c r="B101" s="31" t="str">
        <f>Calc!AA58</f>
        <v/>
      </c>
      <c r="C101" s="57" t="str">
        <f>Calc!AC58</f>
        <v/>
      </c>
      <c r="D101" s="33" t="str">
        <f>Calc!AB58</f>
        <v/>
      </c>
      <c r="E101" s="33" t="str">
        <f>IF($B101="","",IFERROR(COUNT(INDEX(dData,0,MATCH($B101&amp;CHAR(10)&amp;"Raw Score",dHdr,0))),""))</f>
        <v/>
      </c>
      <c r="F101" s="36" t="str">
        <f>IF($B101="","",IFERROR(($E101+COUNTIF(INDEX(dData,0,MATCH($B101&amp;CHAR(10)&amp;"Raw Score",dHdr,0)),"A"))/COUNTA(dLast),""))</f>
        <v/>
      </c>
      <c r="G101" s="58" t="str">
        <f>IF($B101="","",IFERROR(CHOOSE(MATCH(SelMeasure,MeasureList,0),AVERAGE(INDEX(dData,0,MATCH($B101&amp;CHAR(10)&amp;"Raw Score",dHdr,0)))/$D101,AVERAGE(INDEX(dData,0,MATCH($B101&amp;CHAR(10)&amp;"Stanine",dHdr,0))),$F101),""))</f>
        <v/>
      </c>
      <c r="H101" s="36" t="str">
        <f>IF(OR($B101="",H$45=""),"",IFERROR(CHOOSE(MATCH(SelMeasure,MeasureList,0),AVERAGEIFS(INDEX(dData,0,MATCH($B101&amp;CHAR(10)&amp;"Raw Score",dHdr,0)),dClass,H$45)/$D101,AVERAGEIFS(INDEX(dData,0,MATCH($B101&amp;CHAR(10)&amp;"Stanine",dHdr,0)),dClass,H$45),(COUNTIFS(dClass,H$45,INDEX(dData,0,MATCH($B101&amp;CHAR(10)&amp;"Raw Score",dHdr,0)),"&gt;=0")+COUNTIFS(dClass,H$45,INDEX(dData,0,MATCH($B101&amp;CHAR(10)&amp;"Raw Score",dHdr,0)),"A"))/COUNTIF(dClass,H$45)),""))</f>
        <v/>
      </c>
      <c r="I101" s="36" t="str">
        <f>IF(OR($B101="",I$45=""),"",IFERROR(CHOOSE(MATCH(SelMeasure,MeasureList,0),AVERAGEIFS(INDEX(dData,0,MATCH($B101&amp;CHAR(10)&amp;"Raw Score",dHdr,0)),dClass,I$45)/$D101,AVERAGEIFS(INDEX(dData,0,MATCH($B101&amp;CHAR(10)&amp;"Stanine",dHdr,0)),dClass,I$45),(COUNTIFS(dClass,I$45,INDEX(dData,0,MATCH($B101&amp;CHAR(10)&amp;"Raw Score",dHdr,0)),"&gt;=0")+COUNTIFS(dClass,I$45,INDEX(dData,0,MATCH($B101&amp;CHAR(10)&amp;"Raw Score",dHdr,0)),"A"))/COUNTIF(dClass,I$45)),""))</f>
        <v/>
      </c>
      <c r="J101" s="36" t="str">
        <f>IF(OR($B101="",J$45=""),"",IFERROR(CHOOSE(MATCH(SelMeasure,MeasureList,0),AVERAGEIFS(INDEX(dData,0,MATCH($B101&amp;CHAR(10)&amp;"Raw Score",dHdr,0)),dClass,J$45)/$D101,AVERAGEIFS(INDEX(dData,0,MATCH($B101&amp;CHAR(10)&amp;"Stanine",dHdr,0)),dClass,J$45),(COUNTIFS(dClass,J$45,INDEX(dData,0,MATCH($B101&amp;CHAR(10)&amp;"Raw Score",dHdr,0)),"&gt;=0")+COUNTIFS(dClass,J$45,INDEX(dData,0,MATCH($B101&amp;CHAR(10)&amp;"Raw Score",dHdr,0)),"A"))/COUNTIF(dClass,J$45)),""))</f>
        <v/>
      </c>
      <c r="K101" s="36" t="str">
        <f>IF(OR($B101="",K$45=""),"",IFERROR(CHOOSE(MATCH(SelMeasure,MeasureList,0),AVERAGEIFS(INDEX(dData,0,MATCH($B101&amp;CHAR(10)&amp;"Raw Score",dHdr,0)),dClass,K$45)/$D101,AVERAGEIFS(INDEX(dData,0,MATCH($B101&amp;CHAR(10)&amp;"Stanine",dHdr,0)),dClass,K$45),(COUNTIFS(dClass,K$45,INDEX(dData,0,MATCH($B101&amp;CHAR(10)&amp;"Raw Score",dHdr,0)),"&gt;=0")+COUNTIFS(dClass,K$45,INDEX(dData,0,MATCH($B101&amp;CHAR(10)&amp;"Raw Score",dHdr,0)),"A"))/COUNTIF(dClass,K$45)),""))</f>
        <v/>
      </c>
      <c r="L101" s="36" t="str">
        <f>IF(OR($B101="",L$45=""),"",IFERROR(CHOOSE(MATCH(SelMeasure,MeasureList,0),AVERAGEIFS(INDEX(dData,0,MATCH($B101&amp;CHAR(10)&amp;"Raw Score",dHdr,0)),dClass,L$45)/$D101,AVERAGEIFS(INDEX(dData,0,MATCH($B101&amp;CHAR(10)&amp;"Stanine",dHdr,0)),dClass,L$45),(COUNTIFS(dClass,L$45,INDEX(dData,0,MATCH($B101&amp;CHAR(10)&amp;"Raw Score",dHdr,0)),"&gt;=0")+COUNTIFS(dClass,L$45,INDEX(dData,0,MATCH($B101&amp;CHAR(10)&amp;"Raw Score",dHdr,0)),"A"))/COUNTIF(dClass,L$45)),""))</f>
        <v/>
      </c>
      <c r="M101" s="36" t="str">
        <f>IF(OR($B101="",M$45=""),"",IFERROR(CHOOSE(MATCH(SelMeasure,MeasureList,0),AVERAGEIFS(INDEX(dData,0,MATCH($B101&amp;CHAR(10)&amp;"Raw Score",dHdr,0)),dClass,M$45)/$D101,AVERAGEIFS(INDEX(dData,0,MATCH($B101&amp;CHAR(10)&amp;"Stanine",dHdr,0)),dClass,M$45),(COUNTIFS(dClass,M$45,INDEX(dData,0,MATCH($B101&amp;CHAR(10)&amp;"Raw Score",dHdr,0)),"&gt;=0")+COUNTIFS(dClass,M$45,INDEX(dData,0,MATCH($B101&amp;CHAR(10)&amp;"Raw Score",dHdr,0)),"A"))/COUNTIF(dClass,M$45)),""))</f>
        <v/>
      </c>
      <c r="N101" s="36" t="str">
        <f>IF(OR($B101="",N$45=""),"",IFERROR(CHOOSE(MATCH(SelMeasure,MeasureList,0),AVERAGEIFS(INDEX(dData,0,MATCH($B101&amp;CHAR(10)&amp;"Raw Score",dHdr,0)),dClass,N$45)/$D101,AVERAGEIFS(INDEX(dData,0,MATCH($B101&amp;CHAR(10)&amp;"Stanine",dHdr,0)),dClass,N$45),(COUNTIFS(dClass,N$45,INDEX(dData,0,MATCH($B101&amp;CHAR(10)&amp;"Raw Score",dHdr,0)),"&gt;=0")+COUNTIFS(dClass,N$45,INDEX(dData,0,MATCH($B101&amp;CHAR(10)&amp;"Raw Score",dHdr,0)),"A"))/COUNTIF(dClass,N$45)),""))</f>
        <v/>
      </c>
      <c r="O101" s="36" t="str">
        <f>IF(OR($B101="",O$45=""),"",IFERROR(CHOOSE(MATCH(SelMeasure,MeasureList,0),AVERAGEIFS(INDEX(dData,0,MATCH($B101&amp;CHAR(10)&amp;"Raw Score",dHdr,0)),dClass,O$45)/$D101,AVERAGEIFS(INDEX(dData,0,MATCH($B101&amp;CHAR(10)&amp;"Stanine",dHdr,0)),dClass,O$45),(COUNTIFS(dClass,O$45,INDEX(dData,0,MATCH($B101&amp;CHAR(10)&amp;"Raw Score",dHdr,0)),"&gt;=0")+COUNTIFS(dClass,O$45,INDEX(dData,0,MATCH($B101&amp;CHAR(10)&amp;"Raw Score",dHdr,0)),"A"))/COUNTIF(dClass,O$45)),""))</f>
        <v/>
      </c>
    </row>
    <row r="102">
      <c r="B102" s="31" t="str">
        <f>Calc!AA59</f>
        <v/>
      </c>
      <c r="C102" s="57" t="str">
        <f>Calc!AC59</f>
        <v/>
      </c>
      <c r="D102" s="33" t="str">
        <f>Calc!AB59</f>
        <v/>
      </c>
      <c r="E102" s="33" t="str">
        <f>IF($B102="","",IFERROR(COUNT(INDEX(dData,0,MATCH($B102&amp;CHAR(10)&amp;"Raw Score",dHdr,0))),""))</f>
        <v/>
      </c>
      <c r="F102" s="36" t="str">
        <f>IF($B102="","",IFERROR(($E102+COUNTIF(INDEX(dData,0,MATCH($B102&amp;CHAR(10)&amp;"Raw Score",dHdr,0)),"A"))/COUNTA(dLast),""))</f>
        <v/>
      </c>
      <c r="G102" s="58" t="str">
        <f>IF($B102="","",IFERROR(CHOOSE(MATCH(SelMeasure,MeasureList,0),AVERAGE(INDEX(dData,0,MATCH($B102&amp;CHAR(10)&amp;"Raw Score",dHdr,0)))/$D102,AVERAGE(INDEX(dData,0,MATCH($B102&amp;CHAR(10)&amp;"Stanine",dHdr,0))),$F102),""))</f>
        <v/>
      </c>
      <c r="H102" s="36" t="str">
        <f>IF(OR($B102="",H$45=""),"",IFERROR(CHOOSE(MATCH(SelMeasure,MeasureList,0),AVERAGEIFS(INDEX(dData,0,MATCH($B102&amp;CHAR(10)&amp;"Raw Score",dHdr,0)),dClass,H$45)/$D102,AVERAGEIFS(INDEX(dData,0,MATCH($B102&amp;CHAR(10)&amp;"Stanine",dHdr,0)),dClass,H$45),(COUNTIFS(dClass,H$45,INDEX(dData,0,MATCH($B102&amp;CHAR(10)&amp;"Raw Score",dHdr,0)),"&gt;=0")+COUNTIFS(dClass,H$45,INDEX(dData,0,MATCH($B102&amp;CHAR(10)&amp;"Raw Score",dHdr,0)),"A"))/COUNTIF(dClass,H$45)),""))</f>
        <v/>
      </c>
      <c r="I102" s="36" t="str">
        <f>IF(OR($B102="",I$45=""),"",IFERROR(CHOOSE(MATCH(SelMeasure,MeasureList,0),AVERAGEIFS(INDEX(dData,0,MATCH($B102&amp;CHAR(10)&amp;"Raw Score",dHdr,0)),dClass,I$45)/$D102,AVERAGEIFS(INDEX(dData,0,MATCH($B102&amp;CHAR(10)&amp;"Stanine",dHdr,0)),dClass,I$45),(COUNTIFS(dClass,I$45,INDEX(dData,0,MATCH($B102&amp;CHAR(10)&amp;"Raw Score",dHdr,0)),"&gt;=0")+COUNTIFS(dClass,I$45,INDEX(dData,0,MATCH($B102&amp;CHAR(10)&amp;"Raw Score",dHdr,0)),"A"))/COUNTIF(dClass,I$45)),""))</f>
        <v/>
      </c>
      <c r="J102" s="36" t="str">
        <f>IF(OR($B102="",J$45=""),"",IFERROR(CHOOSE(MATCH(SelMeasure,MeasureList,0),AVERAGEIFS(INDEX(dData,0,MATCH($B102&amp;CHAR(10)&amp;"Raw Score",dHdr,0)),dClass,J$45)/$D102,AVERAGEIFS(INDEX(dData,0,MATCH($B102&amp;CHAR(10)&amp;"Stanine",dHdr,0)),dClass,J$45),(COUNTIFS(dClass,J$45,INDEX(dData,0,MATCH($B102&amp;CHAR(10)&amp;"Raw Score",dHdr,0)),"&gt;=0")+COUNTIFS(dClass,J$45,INDEX(dData,0,MATCH($B102&amp;CHAR(10)&amp;"Raw Score",dHdr,0)),"A"))/COUNTIF(dClass,J$45)),""))</f>
        <v/>
      </c>
      <c r="K102" s="36" t="str">
        <f>IF(OR($B102="",K$45=""),"",IFERROR(CHOOSE(MATCH(SelMeasure,MeasureList,0),AVERAGEIFS(INDEX(dData,0,MATCH($B102&amp;CHAR(10)&amp;"Raw Score",dHdr,0)),dClass,K$45)/$D102,AVERAGEIFS(INDEX(dData,0,MATCH($B102&amp;CHAR(10)&amp;"Stanine",dHdr,0)),dClass,K$45),(COUNTIFS(dClass,K$45,INDEX(dData,0,MATCH($B102&amp;CHAR(10)&amp;"Raw Score",dHdr,0)),"&gt;=0")+COUNTIFS(dClass,K$45,INDEX(dData,0,MATCH($B102&amp;CHAR(10)&amp;"Raw Score",dHdr,0)),"A"))/COUNTIF(dClass,K$45)),""))</f>
        <v/>
      </c>
      <c r="L102" s="36" t="str">
        <f>IF(OR($B102="",L$45=""),"",IFERROR(CHOOSE(MATCH(SelMeasure,MeasureList,0),AVERAGEIFS(INDEX(dData,0,MATCH($B102&amp;CHAR(10)&amp;"Raw Score",dHdr,0)),dClass,L$45)/$D102,AVERAGEIFS(INDEX(dData,0,MATCH($B102&amp;CHAR(10)&amp;"Stanine",dHdr,0)),dClass,L$45),(COUNTIFS(dClass,L$45,INDEX(dData,0,MATCH($B102&amp;CHAR(10)&amp;"Raw Score",dHdr,0)),"&gt;=0")+COUNTIFS(dClass,L$45,INDEX(dData,0,MATCH($B102&amp;CHAR(10)&amp;"Raw Score",dHdr,0)),"A"))/COUNTIF(dClass,L$45)),""))</f>
        <v/>
      </c>
      <c r="M102" s="36" t="str">
        <f>IF(OR($B102="",M$45=""),"",IFERROR(CHOOSE(MATCH(SelMeasure,MeasureList,0),AVERAGEIFS(INDEX(dData,0,MATCH($B102&amp;CHAR(10)&amp;"Raw Score",dHdr,0)),dClass,M$45)/$D102,AVERAGEIFS(INDEX(dData,0,MATCH($B102&amp;CHAR(10)&amp;"Stanine",dHdr,0)),dClass,M$45),(COUNTIFS(dClass,M$45,INDEX(dData,0,MATCH($B102&amp;CHAR(10)&amp;"Raw Score",dHdr,0)),"&gt;=0")+COUNTIFS(dClass,M$45,INDEX(dData,0,MATCH($B102&amp;CHAR(10)&amp;"Raw Score",dHdr,0)),"A"))/COUNTIF(dClass,M$45)),""))</f>
        <v/>
      </c>
      <c r="N102" s="36" t="str">
        <f>IF(OR($B102="",N$45=""),"",IFERROR(CHOOSE(MATCH(SelMeasure,MeasureList,0),AVERAGEIFS(INDEX(dData,0,MATCH($B102&amp;CHAR(10)&amp;"Raw Score",dHdr,0)),dClass,N$45)/$D102,AVERAGEIFS(INDEX(dData,0,MATCH($B102&amp;CHAR(10)&amp;"Stanine",dHdr,0)),dClass,N$45),(COUNTIFS(dClass,N$45,INDEX(dData,0,MATCH($B102&amp;CHAR(10)&amp;"Raw Score",dHdr,0)),"&gt;=0")+COUNTIFS(dClass,N$45,INDEX(dData,0,MATCH($B102&amp;CHAR(10)&amp;"Raw Score",dHdr,0)),"A"))/COUNTIF(dClass,N$45)),""))</f>
        <v/>
      </c>
      <c r="O102" s="36" t="str">
        <f>IF(OR($B102="",O$45=""),"",IFERROR(CHOOSE(MATCH(SelMeasure,MeasureList,0),AVERAGEIFS(INDEX(dData,0,MATCH($B102&amp;CHAR(10)&amp;"Raw Score",dHdr,0)),dClass,O$45)/$D102,AVERAGEIFS(INDEX(dData,0,MATCH($B102&amp;CHAR(10)&amp;"Stanine",dHdr,0)),dClass,O$45),(COUNTIFS(dClass,O$45,INDEX(dData,0,MATCH($B102&amp;CHAR(10)&amp;"Raw Score",dHdr,0)),"&gt;=0")+COUNTIFS(dClass,O$45,INDEX(dData,0,MATCH($B102&amp;CHAR(10)&amp;"Raw Score",dHdr,0)),"A"))/COUNTIF(dClass,O$45)),""))</f>
        <v/>
      </c>
    </row>
    <row r="103">
      <c r="B103" s="31" t="str">
        <f>Calc!AA60</f>
        <v/>
      </c>
      <c r="C103" s="57" t="str">
        <f>Calc!AC60</f>
        <v/>
      </c>
      <c r="D103" s="33" t="str">
        <f>Calc!AB60</f>
        <v/>
      </c>
      <c r="E103" s="33" t="str">
        <f>IF($B103="","",IFERROR(COUNT(INDEX(dData,0,MATCH($B103&amp;CHAR(10)&amp;"Raw Score",dHdr,0))),""))</f>
        <v/>
      </c>
      <c r="F103" s="36" t="str">
        <f>IF($B103="","",IFERROR(($E103+COUNTIF(INDEX(dData,0,MATCH($B103&amp;CHAR(10)&amp;"Raw Score",dHdr,0)),"A"))/COUNTA(dLast),""))</f>
        <v/>
      </c>
      <c r="G103" s="58" t="str">
        <f>IF($B103="","",IFERROR(CHOOSE(MATCH(SelMeasure,MeasureList,0),AVERAGE(INDEX(dData,0,MATCH($B103&amp;CHAR(10)&amp;"Raw Score",dHdr,0)))/$D103,AVERAGE(INDEX(dData,0,MATCH($B103&amp;CHAR(10)&amp;"Stanine",dHdr,0))),$F103),""))</f>
        <v/>
      </c>
      <c r="H103" s="36" t="str">
        <f>IF(OR($B103="",H$45=""),"",IFERROR(CHOOSE(MATCH(SelMeasure,MeasureList,0),AVERAGEIFS(INDEX(dData,0,MATCH($B103&amp;CHAR(10)&amp;"Raw Score",dHdr,0)),dClass,H$45)/$D103,AVERAGEIFS(INDEX(dData,0,MATCH($B103&amp;CHAR(10)&amp;"Stanine",dHdr,0)),dClass,H$45),(COUNTIFS(dClass,H$45,INDEX(dData,0,MATCH($B103&amp;CHAR(10)&amp;"Raw Score",dHdr,0)),"&gt;=0")+COUNTIFS(dClass,H$45,INDEX(dData,0,MATCH($B103&amp;CHAR(10)&amp;"Raw Score",dHdr,0)),"A"))/COUNTIF(dClass,H$45)),""))</f>
        <v/>
      </c>
      <c r="I103" s="36" t="str">
        <f>IF(OR($B103="",I$45=""),"",IFERROR(CHOOSE(MATCH(SelMeasure,MeasureList,0),AVERAGEIFS(INDEX(dData,0,MATCH($B103&amp;CHAR(10)&amp;"Raw Score",dHdr,0)),dClass,I$45)/$D103,AVERAGEIFS(INDEX(dData,0,MATCH($B103&amp;CHAR(10)&amp;"Stanine",dHdr,0)),dClass,I$45),(COUNTIFS(dClass,I$45,INDEX(dData,0,MATCH($B103&amp;CHAR(10)&amp;"Raw Score",dHdr,0)),"&gt;=0")+COUNTIFS(dClass,I$45,INDEX(dData,0,MATCH($B103&amp;CHAR(10)&amp;"Raw Score",dHdr,0)),"A"))/COUNTIF(dClass,I$45)),""))</f>
        <v/>
      </c>
      <c r="J103" s="36" t="str">
        <f>IF(OR($B103="",J$45=""),"",IFERROR(CHOOSE(MATCH(SelMeasure,MeasureList,0),AVERAGEIFS(INDEX(dData,0,MATCH($B103&amp;CHAR(10)&amp;"Raw Score",dHdr,0)),dClass,J$45)/$D103,AVERAGEIFS(INDEX(dData,0,MATCH($B103&amp;CHAR(10)&amp;"Stanine",dHdr,0)),dClass,J$45),(COUNTIFS(dClass,J$45,INDEX(dData,0,MATCH($B103&amp;CHAR(10)&amp;"Raw Score",dHdr,0)),"&gt;=0")+COUNTIFS(dClass,J$45,INDEX(dData,0,MATCH($B103&amp;CHAR(10)&amp;"Raw Score",dHdr,0)),"A"))/COUNTIF(dClass,J$45)),""))</f>
        <v/>
      </c>
      <c r="K103" s="36" t="str">
        <f>IF(OR($B103="",K$45=""),"",IFERROR(CHOOSE(MATCH(SelMeasure,MeasureList,0),AVERAGEIFS(INDEX(dData,0,MATCH($B103&amp;CHAR(10)&amp;"Raw Score",dHdr,0)),dClass,K$45)/$D103,AVERAGEIFS(INDEX(dData,0,MATCH($B103&amp;CHAR(10)&amp;"Stanine",dHdr,0)),dClass,K$45),(COUNTIFS(dClass,K$45,INDEX(dData,0,MATCH($B103&amp;CHAR(10)&amp;"Raw Score",dHdr,0)),"&gt;=0")+COUNTIFS(dClass,K$45,INDEX(dData,0,MATCH($B103&amp;CHAR(10)&amp;"Raw Score",dHdr,0)),"A"))/COUNTIF(dClass,K$45)),""))</f>
        <v/>
      </c>
      <c r="L103" s="36" t="str">
        <f>IF(OR($B103="",L$45=""),"",IFERROR(CHOOSE(MATCH(SelMeasure,MeasureList,0),AVERAGEIFS(INDEX(dData,0,MATCH($B103&amp;CHAR(10)&amp;"Raw Score",dHdr,0)),dClass,L$45)/$D103,AVERAGEIFS(INDEX(dData,0,MATCH($B103&amp;CHAR(10)&amp;"Stanine",dHdr,0)),dClass,L$45),(COUNTIFS(dClass,L$45,INDEX(dData,0,MATCH($B103&amp;CHAR(10)&amp;"Raw Score",dHdr,0)),"&gt;=0")+COUNTIFS(dClass,L$45,INDEX(dData,0,MATCH($B103&amp;CHAR(10)&amp;"Raw Score",dHdr,0)),"A"))/COUNTIF(dClass,L$45)),""))</f>
        <v/>
      </c>
      <c r="M103" s="36" t="str">
        <f>IF(OR($B103="",M$45=""),"",IFERROR(CHOOSE(MATCH(SelMeasure,MeasureList,0),AVERAGEIFS(INDEX(dData,0,MATCH($B103&amp;CHAR(10)&amp;"Raw Score",dHdr,0)),dClass,M$45)/$D103,AVERAGEIFS(INDEX(dData,0,MATCH($B103&amp;CHAR(10)&amp;"Stanine",dHdr,0)),dClass,M$45),(COUNTIFS(dClass,M$45,INDEX(dData,0,MATCH($B103&amp;CHAR(10)&amp;"Raw Score",dHdr,0)),"&gt;=0")+COUNTIFS(dClass,M$45,INDEX(dData,0,MATCH($B103&amp;CHAR(10)&amp;"Raw Score",dHdr,0)),"A"))/COUNTIF(dClass,M$45)),""))</f>
        <v/>
      </c>
      <c r="N103" s="36" t="str">
        <f>IF(OR($B103="",N$45=""),"",IFERROR(CHOOSE(MATCH(SelMeasure,MeasureList,0),AVERAGEIFS(INDEX(dData,0,MATCH($B103&amp;CHAR(10)&amp;"Raw Score",dHdr,0)),dClass,N$45)/$D103,AVERAGEIFS(INDEX(dData,0,MATCH($B103&amp;CHAR(10)&amp;"Stanine",dHdr,0)),dClass,N$45),(COUNTIFS(dClass,N$45,INDEX(dData,0,MATCH($B103&amp;CHAR(10)&amp;"Raw Score",dHdr,0)),"&gt;=0")+COUNTIFS(dClass,N$45,INDEX(dData,0,MATCH($B103&amp;CHAR(10)&amp;"Raw Score",dHdr,0)),"A"))/COUNTIF(dClass,N$45)),""))</f>
        <v/>
      </c>
      <c r="O103" s="36" t="str">
        <f>IF(OR($B103="",O$45=""),"",IFERROR(CHOOSE(MATCH(SelMeasure,MeasureList,0),AVERAGEIFS(INDEX(dData,0,MATCH($B103&amp;CHAR(10)&amp;"Raw Score",dHdr,0)),dClass,O$45)/$D103,AVERAGEIFS(INDEX(dData,0,MATCH($B103&amp;CHAR(10)&amp;"Stanine",dHdr,0)),dClass,O$45),(COUNTIFS(dClass,O$45,INDEX(dData,0,MATCH($B103&amp;CHAR(10)&amp;"Raw Score",dHdr,0)),"&gt;=0")+COUNTIFS(dClass,O$45,INDEX(dData,0,MATCH($B103&amp;CHAR(10)&amp;"Raw Score",dHdr,0)),"A"))/COUNTIF(dClass,O$45)),""))</f>
        <v/>
      </c>
    </row>
    <row r="104">
      <c r="B104" s="31" t="str">
        <f>Calc!AA61</f>
        <v/>
      </c>
      <c r="C104" s="57" t="str">
        <f>Calc!AC61</f>
        <v/>
      </c>
      <c r="D104" s="33" t="str">
        <f>Calc!AB61</f>
        <v/>
      </c>
      <c r="E104" s="33" t="str">
        <f>IF($B104="","",IFERROR(COUNT(INDEX(dData,0,MATCH($B104&amp;CHAR(10)&amp;"Raw Score",dHdr,0))),""))</f>
        <v/>
      </c>
      <c r="F104" s="36" t="str">
        <f>IF($B104="","",IFERROR(($E104+COUNTIF(INDEX(dData,0,MATCH($B104&amp;CHAR(10)&amp;"Raw Score",dHdr,0)),"A"))/COUNTA(dLast),""))</f>
        <v/>
      </c>
      <c r="G104" s="58" t="str">
        <f>IF($B104="","",IFERROR(CHOOSE(MATCH(SelMeasure,MeasureList,0),AVERAGE(INDEX(dData,0,MATCH($B104&amp;CHAR(10)&amp;"Raw Score",dHdr,0)))/$D104,AVERAGE(INDEX(dData,0,MATCH($B104&amp;CHAR(10)&amp;"Stanine",dHdr,0))),$F104),""))</f>
        <v/>
      </c>
      <c r="H104" s="36" t="str">
        <f>IF(OR($B104="",H$45=""),"",IFERROR(CHOOSE(MATCH(SelMeasure,MeasureList,0),AVERAGEIFS(INDEX(dData,0,MATCH($B104&amp;CHAR(10)&amp;"Raw Score",dHdr,0)),dClass,H$45)/$D104,AVERAGEIFS(INDEX(dData,0,MATCH($B104&amp;CHAR(10)&amp;"Stanine",dHdr,0)),dClass,H$45),(COUNTIFS(dClass,H$45,INDEX(dData,0,MATCH($B104&amp;CHAR(10)&amp;"Raw Score",dHdr,0)),"&gt;=0")+COUNTIFS(dClass,H$45,INDEX(dData,0,MATCH($B104&amp;CHAR(10)&amp;"Raw Score",dHdr,0)),"A"))/COUNTIF(dClass,H$45)),""))</f>
        <v/>
      </c>
      <c r="I104" s="36" t="str">
        <f>IF(OR($B104="",I$45=""),"",IFERROR(CHOOSE(MATCH(SelMeasure,MeasureList,0),AVERAGEIFS(INDEX(dData,0,MATCH($B104&amp;CHAR(10)&amp;"Raw Score",dHdr,0)),dClass,I$45)/$D104,AVERAGEIFS(INDEX(dData,0,MATCH($B104&amp;CHAR(10)&amp;"Stanine",dHdr,0)),dClass,I$45),(COUNTIFS(dClass,I$45,INDEX(dData,0,MATCH($B104&amp;CHAR(10)&amp;"Raw Score",dHdr,0)),"&gt;=0")+COUNTIFS(dClass,I$45,INDEX(dData,0,MATCH($B104&amp;CHAR(10)&amp;"Raw Score",dHdr,0)),"A"))/COUNTIF(dClass,I$45)),""))</f>
        <v/>
      </c>
      <c r="J104" s="36" t="str">
        <f>IF(OR($B104="",J$45=""),"",IFERROR(CHOOSE(MATCH(SelMeasure,MeasureList,0),AVERAGEIFS(INDEX(dData,0,MATCH($B104&amp;CHAR(10)&amp;"Raw Score",dHdr,0)),dClass,J$45)/$D104,AVERAGEIFS(INDEX(dData,0,MATCH($B104&amp;CHAR(10)&amp;"Stanine",dHdr,0)),dClass,J$45),(COUNTIFS(dClass,J$45,INDEX(dData,0,MATCH($B104&amp;CHAR(10)&amp;"Raw Score",dHdr,0)),"&gt;=0")+COUNTIFS(dClass,J$45,INDEX(dData,0,MATCH($B104&amp;CHAR(10)&amp;"Raw Score",dHdr,0)),"A"))/COUNTIF(dClass,J$45)),""))</f>
        <v/>
      </c>
      <c r="K104" s="36" t="str">
        <f>IF(OR($B104="",K$45=""),"",IFERROR(CHOOSE(MATCH(SelMeasure,MeasureList,0),AVERAGEIFS(INDEX(dData,0,MATCH($B104&amp;CHAR(10)&amp;"Raw Score",dHdr,0)),dClass,K$45)/$D104,AVERAGEIFS(INDEX(dData,0,MATCH($B104&amp;CHAR(10)&amp;"Stanine",dHdr,0)),dClass,K$45),(COUNTIFS(dClass,K$45,INDEX(dData,0,MATCH($B104&amp;CHAR(10)&amp;"Raw Score",dHdr,0)),"&gt;=0")+COUNTIFS(dClass,K$45,INDEX(dData,0,MATCH($B104&amp;CHAR(10)&amp;"Raw Score",dHdr,0)),"A"))/COUNTIF(dClass,K$45)),""))</f>
        <v/>
      </c>
      <c r="L104" s="36" t="str">
        <f>IF(OR($B104="",L$45=""),"",IFERROR(CHOOSE(MATCH(SelMeasure,MeasureList,0),AVERAGEIFS(INDEX(dData,0,MATCH($B104&amp;CHAR(10)&amp;"Raw Score",dHdr,0)),dClass,L$45)/$D104,AVERAGEIFS(INDEX(dData,0,MATCH($B104&amp;CHAR(10)&amp;"Stanine",dHdr,0)),dClass,L$45),(COUNTIFS(dClass,L$45,INDEX(dData,0,MATCH($B104&amp;CHAR(10)&amp;"Raw Score",dHdr,0)),"&gt;=0")+COUNTIFS(dClass,L$45,INDEX(dData,0,MATCH($B104&amp;CHAR(10)&amp;"Raw Score",dHdr,0)),"A"))/COUNTIF(dClass,L$45)),""))</f>
        <v/>
      </c>
      <c r="M104" s="36" t="str">
        <f>IF(OR($B104="",M$45=""),"",IFERROR(CHOOSE(MATCH(SelMeasure,MeasureList,0),AVERAGEIFS(INDEX(dData,0,MATCH($B104&amp;CHAR(10)&amp;"Raw Score",dHdr,0)),dClass,M$45)/$D104,AVERAGEIFS(INDEX(dData,0,MATCH($B104&amp;CHAR(10)&amp;"Stanine",dHdr,0)),dClass,M$45),(COUNTIFS(dClass,M$45,INDEX(dData,0,MATCH($B104&amp;CHAR(10)&amp;"Raw Score",dHdr,0)),"&gt;=0")+COUNTIFS(dClass,M$45,INDEX(dData,0,MATCH($B104&amp;CHAR(10)&amp;"Raw Score",dHdr,0)),"A"))/COUNTIF(dClass,M$45)),""))</f>
        <v/>
      </c>
      <c r="N104" s="36" t="str">
        <f>IF(OR($B104="",N$45=""),"",IFERROR(CHOOSE(MATCH(SelMeasure,MeasureList,0),AVERAGEIFS(INDEX(dData,0,MATCH($B104&amp;CHAR(10)&amp;"Raw Score",dHdr,0)),dClass,N$45)/$D104,AVERAGEIFS(INDEX(dData,0,MATCH($B104&amp;CHAR(10)&amp;"Stanine",dHdr,0)),dClass,N$45),(COUNTIFS(dClass,N$45,INDEX(dData,0,MATCH($B104&amp;CHAR(10)&amp;"Raw Score",dHdr,0)),"&gt;=0")+COUNTIFS(dClass,N$45,INDEX(dData,0,MATCH($B104&amp;CHAR(10)&amp;"Raw Score",dHdr,0)),"A"))/COUNTIF(dClass,N$45)),""))</f>
        <v/>
      </c>
      <c r="O104" s="36" t="str">
        <f>IF(OR($B104="",O$45=""),"",IFERROR(CHOOSE(MATCH(SelMeasure,MeasureList,0),AVERAGEIFS(INDEX(dData,0,MATCH($B104&amp;CHAR(10)&amp;"Raw Score",dHdr,0)),dClass,O$45)/$D104,AVERAGEIFS(INDEX(dData,0,MATCH($B104&amp;CHAR(10)&amp;"Stanine",dHdr,0)),dClass,O$45),(COUNTIFS(dClass,O$45,INDEX(dData,0,MATCH($B104&amp;CHAR(10)&amp;"Raw Score",dHdr,0)),"&gt;=0")+COUNTIFS(dClass,O$45,INDEX(dData,0,MATCH($B104&amp;CHAR(10)&amp;"Raw Score",dHdr,0)),"A"))/COUNTIF(dClass,O$45)),""))</f>
        <v/>
      </c>
    </row>
    <row r="105">
      <c r="B105" s="31" t="str">
        <f>Calc!AA62</f>
        <v/>
      </c>
      <c r="C105" s="57" t="str">
        <f>Calc!AC62</f>
        <v/>
      </c>
      <c r="D105" s="33" t="str">
        <f>Calc!AB62</f>
        <v/>
      </c>
      <c r="E105" s="33" t="str">
        <f>IF($B105="","",IFERROR(COUNT(INDEX(dData,0,MATCH($B105&amp;CHAR(10)&amp;"Raw Score",dHdr,0))),""))</f>
        <v/>
      </c>
      <c r="F105" s="36" t="str">
        <f>IF($B105="","",IFERROR(($E105+COUNTIF(INDEX(dData,0,MATCH($B105&amp;CHAR(10)&amp;"Raw Score",dHdr,0)),"A"))/COUNTA(dLast),""))</f>
        <v/>
      </c>
      <c r="G105" s="58" t="str">
        <f>IF($B105="","",IFERROR(CHOOSE(MATCH(SelMeasure,MeasureList,0),AVERAGE(INDEX(dData,0,MATCH($B105&amp;CHAR(10)&amp;"Raw Score",dHdr,0)))/$D105,AVERAGE(INDEX(dData,0,MATCH($B105&amp;CHAR(10)&amp;"Stanine",dHdr,0))),$F105),""))</f>
        <v/>
      </c>
      <c r="H105" s="36" t="str">
        <f>IF(OR($B105="",H$45=""),"",IFERROR(CHOOSE(MATCH(SelMeasure,MeasureList,0),AVERAGEIFS(INDEX(dData,0,MATCH($B105&amp;CHAR(10)&amp;"Raw Score",dHdr,0)),dClass,H$45)/$D105,AVERAGEIFS(INDEX(dData,0,MATCH($B105&amp;CHAR(10)&amp;"Stanine",dHdr,0)),dClass,H$45),(COUNTIFS(dClass,H$45,INDEX(dData,0,MATCH($B105&amp;CHAR(10)&amp;"Raw Score",dHdr,0)),"&gt;=0")+COUNTIFS(dClass,H$45,INDEX(dData,0,MATCH($B105&amp;CHAR(10)&amp;"Raw Score",dHdr,0)),"A"))/COUNTIF(dClass,H$45)),""))</f>
        <v/>
      </c>
      <c r="I105" s="36" t="str">
        <f>IF(OR($B105="",I$45=""),"",IFERROR(CHOOSE(MATCH(SelMeasure,MeasureList,0),AVERAGEIFS(INDEX(dData,0,MATCH($B105&amp;CHAR(10)&amp;"Raw Score",dHdr,0)),dClass,I$45)/$D105,AVERAGEIFS(INDEX(dData,0,MATCH($B105&amp;CHAR(10)&amp;"Stanine",dHdr,0)),dClass,I$45),(COUNTIFS(dClass,I$45,INDEX(dData,0,MATCH($B105&amp;CHAR(10)&amp;"Raw Score",dHdr,0)),"&gt;=0")+COUNTIFS(dClass,I$45,INDEX(dData,0,MATCH($B105&amp;CHAR(10)&amp;"Raw Score",dHdr,0)),"A"))/COUNTIF(dClass,I$45)),""))</f>
        <v/>
      </c>
      <c r="J105" s="36" t="str">
        <f>IF(OR($B105="",J$45=""),"",IFERROR(CHOOSE(MATCH(SelMeasure,MeasureList,0),AVERAGEIFS(INDEX(dData,0,MATCH($B105&amp;CHAR(10)&amp;"Raw Score",dHdr,0)),dClass,J$45)/$D105,AVERAGEIFS(INDEX(dData,0,MATCH($B105&amp;CHAR(10)&amp;"Stanine",dHdr,0)),dClass,J$45),(COUNTIFS(dClass,J$45,INDEX(dData,0,MATCH($B105&amp;CHAR(10)&amp;"Raw Score",dHdr,0)),"&gt;=0")+COUNTIFS(dClass,J$45,INDEX(dData,0,MATCH($B105&amp;CHAR(10)&amp;"Raw Score",dHdr,0)),"A"))/COUNTIF(dClass,J$45)),""))</f>
        <v/>
      </c>
      <c r="K105" s="36" t="str">
        <f>IF(OR($B105="",K$45=""),"",IFERROR(CHOOSE(MATCH(SelMeasure,MeasureList,0),AVERAGEIFS(INDEX(dData,0,MATCH($B105&amp;CHAR(10)&amp;"Raw Score",dHdr,0)),dClass,K$45)/$D105,AVERAGEIFS(INDEX(dData,0,MATCH($B105&amp;CHAR(10)&amp;"Stanine",dHdr,0)),dClass,K$45),(COUNTIFS(dClass,K$45,INDEX(dData,0,MATCH($B105&amp;CHAR(10)&amp;"Raw Score",dHdr,0)),"&gt;=0")+COUNTIFS(dClass,K$45,INDEX(dData,0,MATCH($B105&amp;CHAR(10)&amp;"Raw Score",dHdr,0)),"A"))/COUNTIF(dClass,K$45)),""))</f>
        <v/>
      </c>
      <c r="L105" s="36" t="str">
        <f>IF(OR($B105="",L$45=""),"",IFERROR(CHOOSE(MATCH(SelMeasure,MeasureList,0),AVERAGEIFS(INDEX(dData,0,MATCH($B105&amp;CHAR(10)&amp;"Raw Score",dHdr,0)),dClass,L$45)/$D105,AVERAGEIFS(INDEX(dData,0,MATCH($B105&amp;CHAR(10)&amp;"Stanine",dHdr,0)),dClass,L$45),(COUNTIFS(dClass,L$45,INDEX(dData,0,MATCH($B105&amp;CHAR(10)&amp;"Raw Score",dHdr,0)),"&gt;=0")+COUNTIFS(dClass,L$45,INDEX(dData,0,MATCH($B105&amp;CHAR(10)&amp;"Raw Score",dHdr,0)),"A"))/COUNTIF(dClass,L$45)),""))</f>
        <v/>
      </c>
      <c r="M105" s="36" t="str">
        <f>IF(OR($B105="",M$45=""),"",IFERROR(CHOOSE(MATCH(SelMeasure,MeasureList,0),AVERAGEIFS(INDEX(dData,0,MATCH($B105&amp;CHAR(10)&amp;"Raw Score",dHdr,0)),dClass,M$45)/$D105,AVERAGEIFS(INDEX(dData,0,MATCH($B105&amp;CHAR(10)&amp;"Stanine",dHdr,0)),dClass,M$45),(COUNTIFS(dClass,M$45,INDEX(dData,0,MATCH($B105&amp;CHAR(10)&amp;"Raw Score",dHdr,0)),"&gt;=0")+COUNTIFS(dClass,M$45,INDEX(dData,0,MATCH($B105&amp;CHAR(10)&amp;"Raw Score",dHdr,0)),"A"))/COUNTIF(dClass,M$45)),""))</f>
        <v/>
      </c>
      <c r="N105" s="36" t="str">
        <f>IF(OR($B105="",N$45=""),"",IFERROR(CHOOSE(MATCH(SelMeasure,MeasureList,0),AVERAGEIFS(INDEX(dData,0,MATCH($B105&amp;CHAR(10)&amp;"Raw Score",dHdr,0)),dClass,N$45)/$D105,AVERAGEIFS(INDEX(dData,0,MATCH($B105&amp;CHAR(10)&amp;"Stanine",dHdr,0)),dClass,N$45),(COUNTIFS(dClass,N$45,INDEX(dData,0,MATCH($B105&amp;CHAR(10)&amp;"Raw Score",dHdr,0)),"&gt;=0")+COUNTIFS(dClass,N$45,INDEX(dData,0,MATCH($B105&amp;CHAR(10)&amp;"Raw Score",dHdr,0)),"A"))/COUNTIF(dClass,N$45)),""))</f>
        <v/>
      </c>
      <c r="O105" s="36" t="str">
        <f>IF(OR($B105="",O$45=""),"",IFERROR(CHOOSE(MATCH(SelMeasure,MeasureList,0),AVERAGEIFS(INDEX(dData,0,MATCH($B105&amp;CHAR(10)&amp;"Raw Score",dHdr,0)),dClass,O$45)/$D105,AVERAGEIFS(INDEX(dData,0,MATCH($B105&amp;CHAR(10)&amp;"Stanine",dHdr,0)),dClass,O$45),(COUNTIFS(dClass,O$45,INDEX(dData,0,MATCH($B105&amp;CHAR(10)&amp;"Raw Score",dHdr,0)),"&gt;=0")+COUNTIFS(dClass,O$45,INDEX(dData,0,MATCH($B105&amp;CHAR(10)&amp;"Raw Score",dHdr,0)),"A"))/COUNTIF(dClass,O$45)),""))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2">
    <mergeCell ref="I4:J4"/>
    <mergeCell ref="O5:Q7"/>
    <mergeCell ref="C6:G6"/>
    <mergeCell ref="K4:L4"/>
    <mergeCell ref="K5:L7"/>
    <mergeCell ref="O4:Q4"/>
    <mergeCell ref="C5:D5"/>
    <mergeCell ref="M5:N7"/>
    <mergeCell ref="C7:E7"/>
    <mergeCell ref="I5:J7"/>
    <mergeCell ref="M4:N4"/>
    <mergeCell ref="C4:D4"/>
  </mergeCells>
  <conditionalFormatting sqref="I13:I20">
    <cfRule type="expression" priority="1" dxfId="0" stopIfTrue="1">
      <formula>AND(ISNUMBER(I13),ISNUMBER($I$12),I13-$I$12&gt;=0.1)</formula>
    </cfRule>
    <cfRule type="expression" priority="2" dxfId="1" stopIfTrue="1">
      <formula>AND(ISNUMBER(I13),ISNUMBER($I$12),I13-$I$12&gt;=0.03)</formula>
    </cfRule>
    <cfRule type="expression" priority="3" dxfId="2" stopIfTrue="1">
      <formula>AND(ISNUMBER(I13),ISNUMBER($I$12),I13-$I$12&lt;=-0.1)</formula>
    </cfRule>
    <cfRule type="expression" priority="4" dxfId="3" stopIfTrue="1">
      <formula>AND(ISNUMBER(I13),ISNUMBER($I$12),I13-$I$12&lt;=-0.03)</formula>
    </cfRule>
  </conditionalFormatting>
  <conditionalFormatting sqref="J13:J20">
    <cfRule type="expression" priority="5" dxfId="0" stopIfTrue="1">
      <formula>AND(ISNUMBER(J13),ISNUMBER($J$12),J13-$J$12&gt;=1.0)</formula>
    </cfRule>
    <cfRule type="expression" priority="6" dxfId="1" stopIfTrue="1">
      <formula>AND(ISNUMBER(J13),ISNUMBER($J$12),J13-$J$12&gt;=0.4)</formula>
    </cfRule>
    <cfRule type="expression" priority="7" dxfId="2" stopIfTrue="1">
      <formula>AND(ISNUMBER(J13),ISNUMBER($J$12),J13-$J$12&lt;=-1.0)</formula>
    </cfRule>
    <cfRule type="expression" priority="8" dxfId="3" stopIfTrue="1">
      <formula>AND(ISNUMBER(J13),ISNUMBER($J$12),J13-$J$12&lt;=-0.4)</formula>
    </cfRule>
  </conditionalFormatting>
  <conditionalFormatting sqref="G12:G20">
    <cfRule type="expression" priority="9" dxfId="4" stopIfTrue="1">
      <formula>AND(ISNUMBER(G12),G12&gt;0)</formula>
    </cfRule>
  </conditionalFormatting>
  <conditionalFormatting sqref="H45:O45">
    <cfRule type="expression" priority="10" dxfId="5" stopIfTrue="1">
      <formula>H45=""</formula>
    </cfRule>
  </conditionalFormatting>
  <conditionalFormatting sqref="H46:O105">
    <cfRule type="expression" priority="11" dxfId="0" stopIfTrue="1">
      <formula>AND(SelMeasure="Mean %",ISNUMBER(H46),ISNUMBER($G46),H46-$G46&gt;=0.1)</formula>
    </cfRule>
    <cfRule type="expression" priority="12" dxfId="1" stopIfTrue="1">
      <formula>AND(SelMeasure="Mean %",ISNUMBER(H46),ISNUMBER($G46),H46-$G46&gt;=0.03)</formula>
    </cfRule>
    <cfRule type="expression" priority="13" dxfId="2" stopIfTrue="1">
      <formula>AND(SelMeasure="Mean %",ISNUMBER(H46),ISNUMBER($G46),H46-$G46&lt;=-0.1)</formula>
    </cfRule>
    <cfRule type="expression" priority="14" dxfId="3" stopIfTrue="1">
      <formula>AND(SelMeasure="Mean %",ISNUMBER(H46),ISNUMBER($G46),H46-$G46&lt;=-0.03)</formula>
    </cfRule>
    <cfRule type="expression" priority="15" dxfId="0" stopIfTrue="1">
      <formula>AND(SelMeasure="Mean stanine",ISNUMBER(H46),ISNUMBER($G46),H46-$G46&gt;=1)</formula>
    </cfRule>
    <cfRule type="expression" priority="16" dxfId="1" stopIfTrue="1">
      <formula>AND(SelMeasure="Mean stanine",ISNUMBER(H46),ISNUMBER($G46),H46-$G46&gt;=0.4)</formula>
    </cfRule>
    <cfRule type="expression" priority="17" dxfId="2" stopIfTrue="1">
      <formula>AND(SelMeasure="Mean stanine",ISNUMBER(H46),ISNUMBER($G46),H46-$G46&lt;=-1)</formula>
    </cfRule>
    <cfRule type="expression" priority="18" dxfId="3" stopIfTrue="1">
      <formula>AND(SelMeasure="Mean stanine",ISNUMBER(H46),ISNUMBER($G46),H46-$G46&lt;=-0.4)</formula>
    </cfRule>
    <cfRule type="expression" priority="19" dxfId="2" stopIfTrue="1">
      <formula>AND(SelMeasure="Completion %",ISNUMBER(H46),H46=0)</formula>
    </cfRule>
    <cfRule type="expression" priority="20" dxfId="4" stopIfTrue="1">
      <formula>AND(SelMeasure="Completion %",ISNUMBER(H46),H46&lt;1)</formula>
    </cfRule>
  </conditionalFormatting>
  <conditionalFormatting sqref="F46:F105">
    <cfRule type="expression" priority="21" dxfId="2" stopIfTrue="1">
      <formula>AND(ISNUMBER(F46),F46=0)</formula>
    </cfRule>
    <cfRule type="expression" priority="22" dxfId="4" stopIfTrue="1">
      <formula>AND(ISNUMBER(F46),F46&lt;1)</formula>
    </cfRule>
  </conditionalFormatting>
  <conditionalFormatting sqref="G46:O105">
    <cfRule type="expression" priority="23" dxfId="6">
      <formula>SelMeasure="Mean stanine"</formula>
    </cfRule>
  </conditionalFormatting>
  <conditionalFormatting sqref="B46:O105">
    <cfRule type="expression" priority="24" dxfId="7">
      <formula>$B46&lt;&gt;""</formula>
    </cfRule>
  </conditionalFormatting>
  <dataValidations count="4">
    <dataValidation sqref="C4" showDropDown="0" showInputMessage="0" showErrorMessage="1" allowBlank="0" errorTitle="Pick from the list" error="Choose an option from the drop-down list." type="list">
      <formula1>=YearNames</formula1>
    </dataValidation>
    <dataValidation sqref="C5" showDropDown="0" showInputMessage="0" showErrorMessage="1" allowBlank="0" errorTitle="Pick from the list" error="Choose an option from the drop-down list." type="list">
      <formula1>=MeasureList</formula1>
    </dataValidation>
    <dataValidation sqref="C6" showDropDown="0" showInputMessage="0" showErrorMessage="1" allowBlank="0" errorTitle="Pick from the list" error="Choose an option from the drop-down list." type="list">
      <formula1>=DashTests</formula1>
    </dataValidation>
    <dataValidation sqref="C7" showDropDown="0" showInputMessage="0" showErrorMessage="1" allowBlank="0" errorTitle="Pick from the list" error="Choose an option from the drop-down list." type="list">
      <formula1>=DashClasses</formula1>
    </dataValidation>
  </dataValidations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Watch">
    <tabColor rgb="002A78D6"/>
    <outlinePr summaryBelow="1" summaryRight="1"/>
    <pageSetUpPr fitToPage="1"/>
  </sheetPr>
  <dimension ref="A1:K58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10" customWidth="1" min="4" max="4"/>
    <col width="9" customWidth="1" min="5" max="5"/>
    <col width="10" customWidth="1" min="6" max="6"/>
    <col width="10" customWidth="1" min="7" max="7"/>
    <col width="12" customWidth="1" min="8" max="8"/>
    <col width="30" customWidth="1" min="9" max="9"/>
    <col width="2" customWidth="1" min="10" max="10"/>
  </cols>
  <sheetData>
    <row r="1" ht="30" customHeight="1">
      <c r="A1" s="1" t="n"/>
      <c r="B1" s="2" t="inlineStr">
        <is>
          <t>Students to check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</row>
    <row r="2">
      <c r="B2" s="17" t="inlineStr">
        <is>
          <t>Students whose results so far are well below their KS2 starting point. Change the rules on the Settings sheet.</t>
        </is>
      </c>
    </row>
    <row r="4">
      <c r="B4" s="38" t="inlineStr">
        <is>
          <t>Year group</t>
        </is>
      </c>
      <c r="C4" s="39" t="inlineStr">
        <is>
          <t>Year 11</t>
        </is>
      </c>
      <c r="D4" s="40" t="n"/>
    </row>
    <row r="5">
      <c r="B5" s="56" t="str">
        <f>"Rule: mean stanine at least "&amp;TEXT(WlGap,"0.0")&amp;" below the KS2 band after "&amp;WlMinTests&amp;" or more tests; or, with no KS2 data, a mean stanine of "&amp;TEXT(WlLowMean,"0.0")&amp;" or lower."</f>
        <v>Rule: mean stanine at least 1.5 below the KS2 band after 2 or more tests; or, with no KS2 data, a mean stanine of 3.0 or lower.</v>
      </c>
    </row>
    <row r="6">
      <c r="B6" s="59" t="str">
        <f>IF(wlCount=0,"Nobody is flagged in "&amp;WlYear&amp;" at the moment.",wlCount&amp;" student"&amp;IF(wlCount=1,"","s")&amp;" flagged in "&amp;WlYear&amp;IF(wlCount&gt;50,", showing the first 50.","."))</f>
        <v>3 students flagged in Year 11.</v>
      </c>
    </row>
    <row r="8" ht="30" customHeight="1">
      <c r="B8" s="7" t="inlineStr">
        <is>
          <t>Student</t>
        </is>
      </c>
      <c r="C8" s="7" t="inlineStr">
        <is>
          <t>Class</t>
        </is>
      </c>
      <c r="D8" s="7" t="inlineStr">
        <is>
          <t>KS2 band</t>
        </is>
      </c>
      <c r="E8" s="7" t="inlineStr">
        <is>
          <t>Tests sat</t>
        </is>
      </c>
      <c r="F8" s="7" t="inlineStr">
        <is>
          <t>Mean
stanine</t>
        </is>
      </c>
      <c r="G8" s="7" t="inlineStr">
        <is>
          <t>vs KS2
band</t>
        </is>
      </c>
      <c r="H8" s="7" t="inlineStr">
        <is>
          <t>Latest test
stanine</t>
        </is>
      </c>
      <c r="I8" s="7" t="inlineStr">
        <is>
          <t>Reason</t>
        </is>
      </c>
    </row>
    <row r="9">
      <c r="B9" s="31" t="str">
        <f>IF(Calc!$BL$3="","",INDEX(Calc!$BA$70:$BA$669,Calc!$BL$3)&amp;", "&amp;INDEX(Calc!$BB$70:$BB$669,Calc!$BL$3))</f>
        <v>Ward, Rosie</v>
      </c>
      <c r="C9" s="32" t="str">
        <f>IF(Calc!$BL$3="","",INDEX(Calc!$BC$70:$BC$669,Calc!$BL$3))</f>
        <v>11S/Sc4</v>
      </c>
      <c r="D9" s="33">
        <f>IF(Calc!$BL$3="","",INDEX(Calc!$BD$70:$BD$669,Calc!$BL$3))</f>
        <v>6</v>
      </c>
      <c r="E9" s="33">
        <f>IF(Calc!$BL$3="","",INDEX(Calc!$BE$70:$BE$669,Calc!$BL$3))</f>
        <v>6</v>
      </c>
      <c r="F9" s="34">
        <f>IF(Calc!$BL$3="","",INDEX(Calc!$BF$70:$BF$669,Calc!$BL$3))</f>
        <v>3.33333333333333</v>
      </c>
      <c r="G9" s="35">
        <f>IF(Calc!$BL$3="","",INDEX(Calc!$BG$70:$BG$669,Calc!$BL$3))</f>
        <v>-2.66666666666667</v>
      </c>
      <c r="H9" s="33">
        <f>IF(Calc!$BL$3="","",INDEX(Calc!$BH$70:$BH$669,Calc!$BL$3))</f>
        <v>4</v>
      </c>
      <c r="I9" s="32" t="str">
        <f>IF(Calc!$BL$3="","",INDEX(Calc!$BI$70:$BI$669,Calc!$BL$3))</f>
        <v>Below KS2 starting point</v>
      </c>
    </row>
    <row r="10">
      <c r="B10" s="31" t="str">
        <f>IF(Calc!$BL$4="","",INDEX(Calc!$BA$70:$BA$669,Calc!$BL$4)&amp;", "&amp;INDEX(Calc!$BB$70:$BB$669,Calc!$BL$4))</f>
        <v>Okafor, Harry</v>
      </c>
      <c r="C10" s="32" t="str">
        <f>IF(Calc!$BL$4="","",INDEX(Calc!$BC$70:$BC$669,Calc!$BL$4))</f>
        <v>11S/Sc3</v>
      </c>
      <c r="D10" s="33">
        <f>IF(Calc!$BL$4="","",INDEX(Calc!$BD$70:$BD$669,Calc!$BL$4))</f>
        <v>9</v>
      </c>
      <c r="E10" s="33">
        <f>IF(Calc!$BL$4="","",INDEX(Calc!$BE$70:$BE$669,Calc!$BL$4))</f>
        <v>6</v>
      </c>
      <c r="F10" s="34">
        <f>IF(Calc!$BL$4="","",INDEX(Calc!$BF$70:$BF$669,Calc!$BL$4))</f>
        <v>7.33333333333333</v>
      </c>
      <c r="G10" s="35">
        <f>IF(Calc!$BL$4="","",INDEX(Calc!$BG$70:$BG$669,Calc!$BL$4))</f>
        <v>-1.66666666666667</v>
      </c>
      <c r="H10" s="33">
        <f>IF(Calc!$BL$4="","",INDEX(Calc!$BH$70:$BH$669,Calc!$BL$4))</f>
        <v>7</v>
      </c>
      <c r="I10" s="32" t="str">
        <f>IF(Calc!$BL$4="","",INDEX(Calc!$BI$70:$BI$669,Calc!$BL$4))</f>
        <v>Below KS2 starting point</v>
      </c>
    </row>
    <row r="11">
      <c r="B11" s="31" t="str">
        <f>IF(Calc!$BL$5="","",INDEX(Calc!$BA$70:$BA$669,Calc!$BL$5)&amp;", "&amp;INDEX(Calc!$BB$70:$BB$669,Calc!$BL$5))</f>
        <v>Ward, Jack</v>
      </c>
      <c r="C11" s="32" t="str">
        <f>IF(Calc!$BL$5="","",INDEX(Calc!$BC$70:$BC$669,Calc!$BL$5))</f>
        <v>11S/Sc3</v>
      </c>
      <c r="D11" s="33">
        <f>IF(Calc!$BL$5="","",INDEX(Calc!$BD$70:$BD$669,Calc!$BL$5))</f>
        <v>6</v>
      </c>
      <c r="E11" s="33">
        <f>IF(Calc!$BL$5="","",INDEX(Calc!$BE$70:$BE$669,Calc!$BL$5))</f>
        <v>6</v>
      </c>
      <c r="F11" s="34">
        <f>IF(Calc!$BL$5="","",INDEX(Calc!$BF$70:$BF$669,Calc!$BL$5))</f>
        <v>4.33333333333333</v>
      </c>
      <c r="G11" s="35">
        <f>IF(Calc!$BL$5="","",INDEX(Calc!$BG$70:$BG$669,Calc!$BL$5))</f>
        <v>-1.66666666666667</v>
      </c>
      <c r="H11" s="33">
        <f>IF(Calc!$BL$5="","",INDEX(Calc!$BH$70:$BH$669,Calc!$BL$5))</f>
        <v>4</v>
      </c>
      <c r="I11" s="32" t="str">
        <f>IF(Calc!$BL$5="","",INDEX(Calc!$BI$70:$BI$669,Calc!$BL$5))</f>
        <v>Below KS2 starting point</v>
      </c>
    </row>
    <row r="12">
      <c r="B12" s="31" t="str">
        <f>IF(Calc!$BL$6="","",INDEX(Calc!$BA$70:$BA$669,Calc!$BL$6)&amp;", "&amp;INDEX(Calc!$BB$70:$BB$669,Calc!$BL$6))</f>
        <v/>
      </c>
      <c r="C12" s="32" t="str">
        <f>IF(Calc!$BL$6="","",INDEX(Calc!$BC$70:$BC$669,Calc!$BL$6))</f>
        <v/>
      </c>
      <c r="D12" s="33" t="str">
        <f>IF(Calc!$BL$6="","",INDEX(Calc!$BD$70:$BD$669,Calc!$BL$6))</f>
        <v/>
      </c>
      <c r="E12" s="33" t="str">
        <f>IF(Calc!$BL$6="","",INDEX(Calc!$BE$70:$BE$669,Calc!$BL$6))</f>
        <v/>
      </c>
      <c r="F12" s="34" t="str">
        <f>IF(Calc!$BL$6="","",INDEX(Calc!$BF$70:$BF$669,Calc!$BL$6))</f>
        <v/>
      </c>
      <c r="G12" s="35" t="str">
        <f>IF(Calc!$BL$6="","",INDEX(Calc!$BG$70:$BG$669,Calc!$BL$6))</f>
        <v/>
      </c>
      <c r="H12" s="33" t="str">
        <f>IF(Calc!$BL$6="","",INDEX(Calc!$BH$70:$BH$669,Calc!$BL$6))</f>
        <v/>
      </c>
      <c r="I12" s="32" t="str">
        <f>IF(Calc!$BL$6="","",INDEX(Calc!$BI$70:$BI$669,Calc!$BL$6))</f>
        <v/>
      </c>
    </row>
    <row r="13">
      <c r="B13" s="31" t="str">
        <f>IF(Calc!$BL$7="","",INDEX(Calc!$BA$70:$BA$669,Calc!$BL$7)&amp;", "&amp;INDEX(Calc!$BB$70:$BB$669,Calc!$BL$7))</f>
        <v/>
      </c>
      <c r="C13" s="32" t="str">
        <f>IF(Calc!$BL$7="","",INDEX(Calc!$BC$70:$BC$669,Calc!$BL$7))</f>
        <v/>
      </c>
      <c r="D13" s="33" t="str">
        <f>IF(Calc!$BL$7="","",INDEX(Calc!$BD$70:$BD$669,Calc!$BL$7))</f>
        <v/>
      </c>
      <c r="E13" s="33" t="str">
        <f>IF(Calc!$BL$7="","",INDEX(Calc!$BE$70:$BE$669,Calc!$BL$7))</f>
        <v/>
      </c>
      <c r="F13" s="34" t="str">
        <f>IF(Calc!$BL$7="","",INDEX(Calc!$BF$70:$BF$669,Calc!$BL$7))</f>
        <v/>
      </c>
      <c r="G13" s="35" t="str">
        <f>IF(Calc!$BL$7="","",INDEX(Calc!$BG$70:$BG$669,Calc!$BL$7))</f>
        <v/>
      </c>
      <c r="H13" s="33" t="str">
        <f>IF(Calc!$BL$7="","",INDEX(Calc!$BH$70:$BH$669,Calc!$BL$7))</f>
        <v/>
      </c>
      <c r="I13" s="32" t="str">
        <f>IF(Calc!$BL$7="","",INDEX(Calc!$BI$70:$BI$669,Calc!$BL$7))</f>
        <v/>
      </c>
    </row>
    <row r="14">
      <c r="B14" s="31" t="str">
        <f>IF(Calc!$BL$8="","",INDEX(Calc!$BA$70:$BA$669,Calc!$BL$8)&amp;", "&amp;INDEX(Calc!$BB$70:$BB$669,Calc!$BL$8))</f>
        <v/>
      </c>
      <c r="C14" s="32" t="str">
        <f>IF(Calc!$BL$8="","",INDEX(Calc!$BC$70:$BC$669,Calc!$BL$8))</f>
        <v/>
      </c>
      <c r="D14" s="33" t="str">
        <f>IF(Calc!$BL$8="","",INDEX(Calc!$BD$70:$BD$669,Calc!$BL$8))</f>
        <v/>
      </c>
      <c r="E14" s="33" t="str">
        <f>IF(Calc!$BL$8="","",INDEX(Calc!$BE$70:$BE$669,Calc!$BL$8))</f>
        <v/>
      </c>
      <c r="F14" s="34" t="str">
        <f>IF(Calc!$BL$8="","",INDEX(Calc!$BF$70:$BF$669,Calc!$BL$8))</f>
        <v/>
      </c>
      <c r="G14" s="35" t="str">
        <f>IF(Calc!$BL$8="","",INDEX(Calc!$BG$70:$BG$669,Calc!$BL$8))</f>
        <v/>
      </c>
      <c r="H14" s="33" t="str">
        <f>IF(Calc!$BL$8="","",INDEX(Calc!$BH$70:$BH$669,Calc!$BL$8))</f>
        <v/>
      </c>
      <c r="I14" s="32" t="str">
        <f>IF(Calc!$BL$8="","",INDEX(Calc!$BI$70:$BI$669,Calc!$BL$8))</f>
        <v/>
      </c>
    </row>
    <row r="15">
      <c r="B15" s="31" t="str">
        <f>IF(Calc!$BL$9="","",INDEX(Calc!$BA$70:$BA$669,Calc!$BL$9)&amp;", "&amp;INDEX(Calc!$BB$70:$BB$669,Calc!$BL$9))</f>
        <v/>
      </c>
      <c r="C15" s="32" t="str">
        <f>IF(Calc!$BL$9="","",INDEX(Calc!$BC$70:$BC$669,Calc!$BL$9))</f>
        <v/>
      </c>
      <c r="D15" s="33" t="str">
        <f>IF(Calc!$BL$9="","",INDEX(Calc!$BD$70:$BD$669,Calc!$BL$9))</f>
        <v/>
      </c>
      <c r="E15" s="33" t="str">
        <f>IF(Calc!$BL$9="","",INDEX(Calc!$BE$70:$BE$669,Calc!$BL$9))</f>
        <v/>
      </c>
      <c r="F15" s="34" t="str">
        <f>IF(Calc!$BL$9="","",INDEX(Calc!$BF$70:$BF$669,Calc!$BL$9))</f>
        <v/>
      </c>
      <c r="G15" s="35" t="str">
        <f>IF(Calc!$BL$9="","",INDEX(Calc!$BG$70:$BG$669,Calc!$BL$9))</f>
        <v/>
      </c>
      <c r="H15" s="33" t="str">
        <f>IF(Calc!$BL$9="","",INDEX(Calc!$BH$70:$BH$669,Calc!$BL$9))</f>
        <v/>
      </c>
      <c r="I15" s="32" t="str">
        <f>IF(Calc!$BL$9="","",INDEX(Calc!$BI$70:$BI$669,Calc!$BL$9))</f>
        <v/>
      </c>
    </row>
    <row r="16">
      <c r="B16" s="31" t="str">
        <f>IF(Calc!$BL$10="","",INDEX(Calc!$BA$70:$BA$669,Calc!$BL$10)&amp;", "&amp;INDEX(Calc!$BB$70:$BB$669,Calc!$BL$10))</f>
        <v/>
      </c>
      <c r="C16" s="32" t="str">
        <f>IF(Calc!$BL$10="","",INDEX(Calc!$BC$70:$BC$669,Calc!$BL$10))</f>
        <v/>
      </c>
      <c r="D16" s="33" t="str">
        <f>IF(Calc!$BL$10="","",INDEX(Calc!$BD$70:$BD$669,Calc!$BL$10))</f>
        <v/>
      </c>
      <c r="E16" s="33" t="str">
        <f>IF(Calc!$BL$10="","",INDEX(Calc!$BE$70:$BE$669,Calc!$BL$10))</f>
        <v/>
      </c>
      <c r="F16" s="34" t="str">
        <f>IF(Calc!$BL$10="","",INDEX(Calc!$BF$70:$BF$669,Calc!$BL$10))</f>
        <v/>
      </c>
      <c r="G16" s="35" t="str">
        <f>IF(Calc!$BL$10="","",INDEX(Calc!$BG$70:$BG$669,Calc!$BL$10))</f>
        <v/>
      </c>
      <c r="H16" s="33" t="str">
        <f>IF(Calc!$BL$10="","",INDEX(Calc!$BH$70:$BH$669,Calc!$BL$10))</f>
        <v/>
      </c>
      <c r="I16" s="32" t="str">
        <f>IF(Calc!$BL$10="","",INDEX(Calc!$BI$70:$BI$669,Calc!$BL$10))</f>
        <v/>
      </c>
    </row>
    <row r="17">
      <c r="B17" s="31" t="str">
        <f>IF(Calc!$BL$11="","",INDEX(Calc!$BA$70:$BA$669,Calc!$BL$11)&amp;", "&amp;INDEX(Calc!$BB$70:$BB$669,Calc!$BL$11))</f>
        <v/>
      </c>
      <c r="C17" s="32" t="str">
        <f>IF(Calc!$BL$11="","",INDEX(Calc!$BC$70:$BC$669,Calc!$BL$11))</f>
        <v/>
      </c>
      <c r="D17" s="33" t="str">
        <f>IF(Calc!$BL$11="","",INDEX(Calc!$BD$70:$BD$669,Calc!$BL$11))</f>
        <v/>
      </c>
      <c r="E17" s="33" t="str">
        <f>IF(Calc!$BL$11="","",INDEX(Calc!$BE$70:$BE$669,Calc!$BL$11))</f>
        <v/>
      </c>
      <c r="F17" s="34" t="str">
        <f>IF(Calc!$BL$11="","",INDEX(Calc!$BF$70:$BF$669,Calc!$BL$11))</f>
        <v/>
      </c>
      <c r="G17" s="35" t="str">
        <f>IF(Calc!$BL$11="","",INDEX(Calc!$BG$70:$BG$669,Calc!$BL$11))</f>
        <v/>
      </c>
      <c r="H17" s="33" t="str">
        <f>IF(Calc!$BL$11="","",INDEX(Calc!$BH$70:$BH$669,Calc!$BL$11))</f>
        <v/>
      </c>
      <c r="I17" s="32" t="str">
        <f>IF(Calc!$BL$11="","",INDEX(Calc!$BI$70:$BI$669,Calc!$BL$11))</f>
        <v/>
      </c>
    </row>
    <row r="18">
      <c r="B18" s="31" t="str">
        <f>IF(Calc!$BL$12="","",INDEX(Calc!$BA$70:$BA$669,Calc!$BL$12)&amp;", "&amp;INDEX(Calc!$BB$70:$BB$669,Calc!$BL$12))</f>
        <v/>
      </c>
      <c r="C18" s="32" t="str">
        <f>IF(Calc!$BL$12="","",INDEX(Calc!$BC$70:$BC$669,Calc!$BL$12))</f>
        <v/>
      </c>
      <c r="D18" s="33" t="str">
        <f>IF(Calc!$BL$12="","",INDEX(Calc!$BD$70:$BD$669,Calc!$BL$12))</f>
        <v/>
      </c>
      <c r="E18" s="33" t="str">
        <f>IF(Calc!$BL$12="","",INDEX(Calc!$BE$70:$BE$669,Calc!$BL$12))</f>
        <v/>
      </c>
      <c r="F18" s="34" t="str">
        <f>IF(Calc!$BL$12="","",INDEX(Calc!$BF$70:$BF$669,Calc!$BL$12))</f>
        <v/>
      </c>
      <c r="G18" s="35" t="str">
        <f>IF(Calc!$BL$12="","",INDEX(Calc!$BG$70:$BG$669,Calc!$BL$12))</f>
        <v/>
      </c>
      <c r="H18" s="33" t="str">
        <f>IF(Calc!$BL$12="","",INDEX(Calc!$BH$70:$BH$669,Calc!$BL$12))</f>
        <v/>
      </c>
      <c r="I18" s="32" t="str">
        <f>IF(Calc!$BL$12="","",INDEX(Calc!$BI$70:$BI$669,Calc!$BL$12))</f>
        <v/>
      </c>
    </row>
    <row r="19">
      <c r="B19" s="31" t="str">
        <f>IF(Calc!$BL$13="","",INDEX(Calc!$BA$70:$BA$669,Calc!$BL$13)&amp;", "&amp;INDEX(Calc!$BB$70:$BB$669,Calc!$BL$13))</f>
        <v/>
      </c>
      <c r="C19" s="32" t="str">
        <f>IF(Calc!$BL$13="","",INDEX(Calc!$BC$70:$BC$669,Calc!$BL$13))</f>
        <v/>
      </c>
      <c r="D19" s="33" t="str">
        <f>IF(Calc!$BL$13="","",INDEX(Calc!$BD$70:$BD$669,Calc!$BL$13))</f>
        <v/>
      </c>
      <c r="E19" s="33" t="str">
        <f>IF(Calc!$BL$13="","",INDEX(Calc!$BE$70:$BE$669,Calc!$BL$13))</f>
        <v/>
      </c>
      <c r="F19" s="34" t="str">
        <f>IF(Calc!$BL$13="","",INDEX(Calc!$BF$70:$BF$669,Calc!$BL$13))</f>
        <v/>
      </c>
      <c r="G19" s="35" t="str">
        <f>IF(Calc!$BL$13="","",INDEX(Calc!$BG$70:$BG$669,Calc!$BL$13))</f>
        <v/>
      </c>
      <c r="H19" s="33" t="str">
        <f>IF(Calc!$BL$13="","",INDEX(Calc!$BH$70:$BH$669,Calc!$BL$13))</f>
        <v/>
      </c>
      <c r="I19" s="32" t="str">
        <f>IF(Calc!$BL$13="","",INDEX(Calc!$BI$70:$BI$669,Calc!$BL$13))</f>
        <v/>
      </c>
    </row>
    <row r="20">
      <c r="B20" s="31" t="str">
        <f>IF(Calc!$BL$14="","",INDEX(Calc!$BA$70:$BA$669,Calc!$BL$14)&amp;", "&amp;INDEX(Calc!$BB$70:$BB$669,Calc!$BL$14))</f>
        <v/>
      </c>
      <c r="C20" s="32" t="str">
        <f>IF(Calc!$BL$14="","",INDEX(Calc!$BC$70:$BC$669,Calc!$BL$14))</f>
        <v/>
      </c>
      <c r="D20" s="33" t="str">
        <f>IF(Calc!$BL$14="","",INDEX(Calc!$BD$70:$BD$669,Calc!$BL$14))</f>
        <v/>
      </c>
      <c r="E20" s="33" t="str">
        <f>IF(Calc!$BL$14="","",INDEX(Calc!$BE$70:$BE$669,Calc!$BL$14))</f>
        <v/>
      </c>
      <c r="F20" s="34" t="str">
        <f>IF(Calc!$BL$14="","",INDEX(Calc!$BF$70:$BF$669,Calc!$BL$14))</f>
        <v/>
      </c>
      <c r="G20" s="35" t="str">
        <f>IF(Calc!$BL$14="","",INDEX(Calc!$BG$70:$BG$669,Calc!$BL$14))</f>
        <v/>
      </c>
      <c r="H20" s="33" t="str">
        <f>IF(Calc!$BL$14="","",INDEX(Calc!$BH$70:$BH$669,Calc!$BL$14))</f>
        <v/>
      </c>
      <c r="I20" s="32" t="str">
        <f>IF(Calc!$BL$14="","",INDEX(Calc!$BI$70:$BI$669,Calc!$BL$14))</f>
        <v/>
      </c>
    </row>
    <row r="21">
      <c r="B21" s="31" t="str">
        <f>IF(Calc!$BL$15="","",INDEX(Calc!$BA$70:$BA$669,Calc!$BL$15)&amp;", "&amp;INDEX(Calc!$BB$70:$BB$669,Calc!$BL$15))</f>
        <v/>
      </c>
      <c r="C21" s="32" t="str">
        <f>IF(Calc!$BL$15="","",INDEX(Calc!$BC$70:$BC$669,Calc!$BL$15))</f>
        <v/>
      </c>
      <c r="D21" s="33" t="str">
        <f>IF(Calc!$BL$15="","",INDEX(Calc!$BD$70:$BD$669,Calc!$BL$15))</f>
        <v/>
      </c>
      <c r="E21" s="33" t="str">
        <f>IF(Calc!$BL$15="","",INDEX(Calc!$BE$70:$BE$669,Calc!$BL$15))</f>
        <v/>
      </c>
      <c r="F21" s="34" t="str">
        <f>IF(Calc!$BL$15="","",INDEX(Calc!$BF$70:$BF$669,Calc!$BL$15))</f>
        <v/>
      </c>
      <c r="G21" s="35" t="str">
        <f>IF(Calc!$BL$15="","",INDEX(Calc!$BG$70:$BG$669,Calc!$BL$15))</f>
        <v/>
      </c>
      <c r="H21" s="33" t="str">
        <f>IF(Calc!$BL$15="","",INDEX(Calc!$BH$70:$BH$669,Calc!$BL$15))</f>
        <v/>
      </c>
      <c r="I21" s="32" t="str">
        <f>IF(Calc!$BL$15="","",INDEX(Calc!$BI$70:$BI$669,Calc!$BL$15))</f>
        <v/>
      </c>
    </row>
    <row r="22">
      <c r="B22" s="31" t="str">
        <f>IF(Calc!$BL$16="","",INDEX(Calc!$BA$70:$BA$669,Calc!$BL$16)&amp;", "&amp;INDEX(Calc!$BB$70:$BB$669,Calc!$BL$16))</f>
        <v/>
      </c>
      <c r="C22" s="32" t="str">
        <f>IF(Calc!$BL$16="","",INDEX(Calc!$BC$70:$BC$669,Calc!$BL$16))</f>
        <v/>
      </c>
      <c r="D22" s="33" t="str">
        <f>IF(Calc!$BL$16="","",INDEX(Calc!$BD$70:$BD$669,Calc!$BL$16))</f>
        <v/>
      </c>
      <c r="E22" s="33" t="str">
        <f>IF(Calc!$BL$16="","",INDEX(Calc!$BE$70:$BE$669,Calc!$BL$16))</f>
        <v/>
      </c>
      <c r="F22" s="34" t="str">
        <f>IF(Calc!$BL$16="","",INDEX(Calc!$BF$70:$BF$669,Calc!$BL$16))</f>
        <v/>
      </c>
      <c r="G22" s="35" t="str">
        <f>IF(Calc!$BL$16="","",INDEX(Calc!$BG$70:$BG$669,Calc!$BL$16))</f>
        <v/>
      </c>
      <c r="H22" s="33" t="str">
        <f>IF(Calc!$BL$16="","",INDEX(Calc!$BH$70:$BH$669,Calc!$BL$16))</f>
        <v/>
      </c>
      <c r="I22" s="32" t="str">
        <f>IF(Calc!$BL$16="","",INDEX(Calc!$BI$70:$BI$669,Calc!$BL$16))</f>
        <v/>
      </c>
    </row>
    <row r="23">
      <c r="B23" s="31" t="str">
        <f>IF(Calc!$BL$17="","",INDEX(Calc!$BA$70:$BA$669,Calc!$BL$17)&amp;", "&amp;INDEX(Calc!$BB$70:$BB$669,Calc!$BL$17))</f>
        <v/>
      </c>
      <c r="C23" s="32" t="str">
        <f>IF(Calc!$BL$17="","",INDEX(Calc!$BC$70:$BC$669,Calc!$BL$17))</f>
        <v/>
      </c>
      <c r="D23" s="33" t="str">
        <f>IF(Calc!$BL$17="","",INDEX(Calc!$BD$70:$BD$669,Calc!$BL$17))</f>
        <v/>
      </c>
      <c r="E23" s="33" t="str">
        <f>IF(Calc!$BL$17="","",INDEX(Calc!$BE$70:$BE$669,Calc!$BL$17))</f>
        <v/>
      </c>
      <c r="F23" s="34" t="str">
        <f>IF(Calc!$BL$17="","",INDEX(Calc!$BF$70:$BF$669,Calc!$BL$17))</f>
        <v/>
      </c>
      <c r="G23" s="35" t="str">
        <f>IF(Calc!$BL$17="","",INDEX(Calc!$BG$70:$BG$669,Calc!$BL$17))</f>
        <v/>
      </c>
      <c r="H23" s="33" t="str">
        <f>IF(Calc!$BL$17="","",INDEX(Calc!$BH$70:$BH$669,Calc!$BL$17))</f>
        <v/>
      </c>
      <c r="I23" s="32" t="str">
        <f>IF(Calc!$BL$17="","",INDEX(Calc!$BI$70:$BI$669,Calc!$BL$17))</f>
        <v/>
      </c>
    </row>
    <row r="24">
      <c r="B24" s="31" t="str">
        <f>IF(Calc!$BL$18="","",INDEX(Calc!$BA$70:$BA$669,Calc!$BL$18)&amp;", "&amp;INDEX(Calc!$BB$70:$BB$669,Calc!$BL$18))</f>
        <v/>
      </c>
      <c r="C24" s="32" t="str">
        <f>IF(Calc!$BL$18="","",INDEX(Calc!$BC$70:$BC$669,Calc!$BL$18))</f>
        <v/>
      </c>
      <c r="D24" s="33" t="str">
        <f>IF(Calc!$BL$18="","",INDEX(Calc!$BD$70:$BD$669,Calc!$BL$18))</f>
        <v/>
      </c>
      <c r="E24" s="33" t="str">
        <f>IF(Calc!$BL$18="","",INDEX(Calc!$BE$70:$BE$669,Calc!$BL$18))</f>
        <v/>
      </c>
      <c r="F24" s="34" t="str">
        <f>IF(Calc!$BL$18="","",INDEX(Calc!$BF$70:$BF$669,Calc!$BL$18))</f>
        <v/>
      </c>
      <c r="G24" s="35" t="str">
        <f>IF(Calc!$BL$18="","",INDEX(Calc!$BG$70:$BG$669,Calc!$BL$18))</f>
        <v/>
      </c>
      <c r="H24" s="33" t="str">
        <f>IF(Calc!$BL$18="","",INDEX(Calc!$BH$70:$BH$669,Calc!$BL$18))</f>
        <v/>
      </c>
      <c r="I24" s="32" t="str">
        <f>IF(Calc!$BL$18="","",INDEX(Calc!$BI$70:$BI$669,Calc!$BL$18))</f>
        <v/>
      </c>
    </row>
    <row r="25">
      <c r="B25" s="31" t="str">
        <f>IF(Calc!$BL$19="","",INDEX(Calc!$BA$70:$BA$669,Calc!$BL$19)&amp;", "&amp;INDEX(Calc!$BB$70:$BB$669,Calc!$BL$19))</f>
        <v/>
      </c>
      <c r="C25" s="32" t="str">
        <f>IF(Calc!$BL$19="","",INDEX(Calc!$BC$70:$BC$669,Calc!$BL$19))</f>
        <v/>
      </c>
      <c r="D25" s="33" t="str">
        <f>IF(Calc!$BL$19="","",INDEX(Calc!$BD$70:$BD$669,Calc!$BL$19))</f>
        <v/>
      </c>
      <c r="E25" s="33" t="str">
        <f>IF(Calc!$BL$19="","",INDEX(Calc!$BE$70:$BE$669,Calc!$BL$19))</f>
        <v/>
      </c>
      <c r="F25" s="34" t="str">
        <f>IF(Calc!$BL$19="","",INDEX(Calc!$BF$70:$BF$669,Calc!$BL$19))</f>
        <v/>
      </c>
      <c r="G25" s="35" t="str">
        <f>IF(Calc!$BL$19="","",INDEX(Calc!$BG$70:$BG$669,Calc!$BL$19))</f>
        <v/>
      </c>
      <c r="H25" s="33" t="str">
        <f>IF(Calc!$BL$19="","",INDEX(Calc!$BH$70:$BH$669,Calc!$BL$19))</f>
        <v/>
      </c>
      <c r="I25" s="32" t="str">
        <f>IF(Calc!$BL$19="","",INDEX(Calc!$BI$70:$BI$669,Calc!$BL$19))</f>
        <v/>
      </c>
    </row>
    <row r="26">
      <c r="B26" s="31" t="str">
        <f>IF(Calc!$BL$20="","",INDEX(Calc!$BA$70:$BA$669,Calc!$BL$20)&amp;", "&amp;INDEX(Calc!$BB$70:$BB$669,Calc!$BL$20))</f>
        <v/>
      </c>
      <c r="C26" s="32" t="str">
        <f>IF(Calc!$BL$20="","",INDEX(Calc!$BC$70:$BC$669,Calc!$BL$20))</f>
        <v/>
      </c>
      <c r="D26" s="33" t="str">
        <f>IF(Calc!$BL$20="","",INDEX(Calc!$BD$70:$BD$669,Calc!$BL$20))</f>
        <v/>
      </c>
      <c r="E26" s="33" t="str">
        <f>IF(Calc!$BL$20="","",INDEX(Calc!$BE$70:$BE$669,Calc!$BL$20))</f>
        <v/>
      </c>
      <c r="F26" s="34" t="str">
        <f>IF(Calc!$BL$20="","",INDEX(Calc!$BF$70:$BF$669,Calc!$BL$20))</f>
        <v/>
      </c>
      <c r="G26" s="35" t="str">
        <f>IF(Calc!$BL$20="","",INDEX(Calc!$BG$70:$BG$669,Calc!$BL$20))</f>
        <v/>
      </c>
      <c r="H26" s="33" t="str">
        <f>IF(Calc!$BL$20="","",INDEX(Calc!$BH$70:$BH$669,Calc!$BL$20))</f>
        <v/>
      </c>
      <c r="I26" s="32" t="str">
        <f>IF(Calc!$BL$20="","",INDEX(Calc!$BI$70:$BI$669,Calc!$BL$20))</f>
        <v/>
      </c>
    </row>
    <row r="27">
      <c r="B27" s="31" t="str">
        <f>IF(Calc!$BL$21="","",INDEX(Calc!$BA$70:$BA$669,Calc!$BL$21)&amp;", "&amp;INDEX(Calc!$BB$70:$BB$669,Calc!$BL$21))</f>
        <v/>
      </c>
      <c r="C27" s="32" t="str">
        <f>IF(Calc!$BL$21="","",INDEX(Calc!$BC$70:$BC$669,Calc!$BL$21))</f>
        <v/>
      </c>
      <c r="D27" s="33" t="str">
        <f>IF(Calc!$BL$21="","",INDEX(Calc!$BD$70:$BD$669,Calc!$BL$21))</f>
        <v/>
      </c>
      <c r="E27" s="33" t="str">
        <f>IF(Calc!$BL$21="","",INDEX(Calc!$BE$70:$BE$669,Calc!$BL$21))</f>
        <v/>
      </c>
      <c r="F27" s="34" t="str">
        <f>IF(Calc!$BL$21="","",INDEX(Calc!$BF$70:$BF$669,Calc!$BL$21))</f>
        <v/>
      </c>
      <c r="G27" s="35" t="str">
        <f>IF(Calc!$BL$21="","",INDEX(Calc!$BG$70:$BG$669,Calc!$BL$21))</f>
        <v/>
      </c>
      <c r="H27" s="33" t="str">
        <f>IF(Calc!$BL$21="","",INDEX(Calc!$BH$70:$BH$669,Calc!$BL$21))</f>
        <v/>
      </c>
      <c r="I27" s="32" t="str">
        <f>IF(Calc!$BL$21="","",INDEX(Calc!$BI$70:$BI$669,Calc!$BL$21))</f>
        <v/>
      </c>
    </row>
    <row r="28">
      <c r="B28" s="31" t="str">
        <f>IF(Calc!$BL$22="","",INDEX(Calc!$BA$70:$BA$669,Calc!$BL$22)&amp;", "&amp;INDEX(Calc!$BB$70:$BB$669,Calc!$BL$22))</f>
        <v/>
      </c>
      <c r="C28" s="32" t="str">
        <f>IF(Calc!$BL$22="","",INDEX(Calc!$BC$70:$BC$669,Calc!$BL$22))</f>
        <v/>
      </c>
      <c r="D28" s="33" t="str">
        <f>IF(Calc!$BL$22="","",INDEX(Calc!$BD$70:$BD$669,Calc!$BL$22))</f>
        <v/>
      </c>
      <c r="E28" s="33" t="str">
        <f>IF(Calc!$BL$22="","",INDEX(Calc!$BE$70:$BE$669,Calc!$BL$22))</f>
        <v/>
      </c>
      <c r="F28" s="34" t="str">
        <f>IF(Calc!$BL$22="","",INDEX(Calc!$BF$70:$BF$669,Calc!$BL$22))</f>
        <v/>
      </c>
      <c r="G28" s="35" t="str">
        <f>IF(Calc!$BL$22="","",INDEX(Calc!$BG$70:$BG$669,Calc!$BL$22))</f>
        <v/>
      </c>
      <c r="H28" s="33" t="str">
        <f>IF(Calc!$BL$22="","",INDEX(Calc!$BH$70:$BH$669,Calc!$BL$22))</f>
        <v/>
      </c>
      <c r="I28" s="32" t="str">
        <f>IF(Calc!$BL$22="","",INDEX(Calc!$BI$70:$BI$669,Calc!$BL$22))</f>
        <v/>
      </c>
    </row>
    <row r="29">
      <c r="B29" s="31" t="str">
        <f>IF(Calc!$BL$23="","",INDEX(Calc!$BA$70:$BA$669,Calc!$BL$23)&amp;", "&amp;INDEX(Calc!$BB$70:$BB$669,Calc!$BL$23))</f>
        <v/>
      </c>
      <c r="C29" s="32" t="str">
        <f>IF(Calc!$BL$23="","",INDEX(Calc!$BC$70:$BC$669,Calc!$BL$23))</f>
        <v/>
      </c>
      <c r="D29" s="33" t="str">
        <f>IF(Calc!$BL$23="","",INDEX(Calc!$BD$70:$BD$669,Calc!$BL$23))</f>
        <v/>
      </c>
      <c r="E29" s="33" t="str">
        <f>IF(Calc!$BL$23="","",INDEX(Calc!$BE$70:$BE$669,Calc!$BL$23))</f>
        <v/>
      </c>
      <c r="F29" s="34" t="str">
        <f>IF(Calc!$BL$23="","",INDEX(Calc!$BF$70:$BF$669,Calc!$BL$23))</f>
        <v/>
      </c>
      <c r="G29" s="35" t="str">
        <f>IF(Calc!$BL$23="","",INDEX(Calc!$BG$70:$BG$669,Calc!$BL$23))</f>
        <v/>
      </c>
      <c r="H29" s="33" t="str">
        <f>IF(Calc!$BL$23="","",INDEX(Calc!$BH$70:$BH$669,Calc!$BL$23))</f>
        <v/>
      </c>
      <c r="I29" s="32" t="str">
        <f>IF(Calc!$BL$23="","",INDEX(Calc!$BI$70:$BI$669,Calc!$BL$23))</f>
        <v/>
      </c>
    </row>
    <row r="30">
      <c r="B30" s="31" t="str">
        <f>IF(Calc!$BL$24="","",INDEX(Calc!$BA$70:$BA$669,Calc!$BL$24)&amp;", "&amp;INDEX(Calc!$BB$70:$BB$669,Calc!$BL$24))</f>
        <v/>
      </c>
      <c r="C30" s="32" t="str">
        <f>IF(Calc!$BL$24="","",INDEX(Calc!$BC$70:$BC$669,Calc!$BL$24))</f>
        <v/>
      </c>
      <c r="D30" s="33" t="str">
        <f>IF(Calc!$BL$24="","",INDEX(Calc!$BD$70:$BD$669,Calc!$BL$24))</f>
        <v/>
      </c>
      <c r="E30" s="33" t="str">
        <f>IF(Calc!$BL$24="","",INDEX(Calc!$BE$70:$BE$669,Calc!$BL$24))</f>
        <v/>
      </c>
      <c r="F30" s="34" t="str">
        <f>IF(Calc!$BL$24="","",INDEX(Calc!$BF$70:$BF$669,Calc!$BL$24))</f>
        <v/>
      </c>
      <c r="G30" s="35" t="str">
        <f>IF(Calc!$BL$24="","",INDEX(Calc!$BG$70:$BG$669,Calc!$BL$24))</f>
        <v/>
      </c>
      <c r="H30" s="33" t="str">
        <f>IF(Calc!$BL$24="","",INDEX(Calc!$BH$70:$BH$669,Calc!$BL$24))</f>
        <v/>
      </c>
      <c r="I30" s="32" t="str">
        <f>IF(Calc!$BL$24="","",INDEX(Calc!$BI$70:$BI$669,Calc!$BL$24))</f>
        <v/>
      </c>
    </row>
    <row r="31">
      <c r="B31" s="31" t="str">
        <f>IF(Calc!$BL$25="","",INDEX(Calc!$BA$70:$BA$669,Calc!$BL$25)&amp;", "&amp;INDEX(Calc!$BB$70:$BB$669,Calc!$BL$25))</f>
        <v/>
      </c>
      <c r="C31" s="32" t="str">
        <f>IF(Calc!$BL$25="","",INDEX(Calc!$BC$70:$BC$669,Calc!$BL$25))</f>
        <v/>
      </c>
      <c r="D31" s="33" t="str">
        <f>IF(Calc!$BL$25="","",INDEX(Calc!$BD$70:$BD$669,Calc!$BL$25))</f>
        <v/>
      </c>
      <c r="E31" s="33" t="str">
        <f>IF(Calc!$BL$25="","",INDEX(Calc!$BE$70:$BE$669,Calc!$BL$25))</f>
        <v/>
      </c>
      <c r="F31" s="34" t="str">
        <f>IF(Calc!$BL$25="","",INDEX(Calc!$BF$70:$BF$669,Calc!$BL$25))</f>
        <v/>
      </c>
      <c r="G31" s="35" t="str">
        <f>IF(Calc!$BL$25="","",INDEX(Calc!$BG$70:$BG$669,Calc!$BL$25))</f>
        <v/>
      </c>
      <c r="H31" s="33" t="str">
        <f>IF(Calc!$BL$25="","",INDEX(Calc!$BH$70:$BH$669,Calc!$BL$25))</f>
        <v/>
      </c>
      <c r="I31" s="32" t="str">
        <f>IF(Calc!$BL$25="","",INDEX(Calc!$BI$70:$BI$669,Calc!$BL$25))</f>
        <v/>
      </c>
    </row>
    <row r="32">
      <c r="B32" s="31" t="str">
        <f>IF(Calc!$BL$26="","",INDEX(Calc!$BA$70:$BA$669,Calc!$BL$26)&amp;", "&amp;INDEX(Calc!$BB$70:$BB$669,Calc!$BL$26))</f>
        <v/>
      </c>
      <c r="C32" s="32" t="str">
        <f>IF(Calc!$BL$26="","",INDEX(Calc!$BC$70:$BC$669,Calc!$BL$26))</f>
        <v/>
      </c>
      <c r="D32" s="33" t="str">
        <f>IF(Calc!$BL$26="","",INDEX(Calc!$BD$70:$BD$669,Calc!$BL$26))</f>
        <v/>
      </c>
      <c r="E32" s="33" t="str">
        <f>IF(Calc!$BL$26="","",INDEX(Calc!$BE$70:$BE$669,Calc!$BL$26))</f>
        <v/>
      </c>
      <c r="F32" s="34" t="str">
        <f>IF(Calc!$BL$26="","",INDEX(Calc!$BF$70:$BF$669,Calc!$BL$26))</f>
        <v/>
      </c>
      <c r="G32" s="35" t="str">
        <f>IF(Calc!$BL$26="","",INDEX(Calc!$BG$70:$BG$669,Calc!$BL$26))</f>
        <v/>
      </c>
      <c r="H32" s="33" t="str">
        <f>IF(Calc!$BL$26="","",INDEX(Calc!$BH$70:$BH$669,Calc!$BL$26))</f>
        <v/>
      </c>
      <c r="I32" s="32" t="str">
        <f>IF(Calc!$BL$26="","",INDEX(Calc!$BI$70:$BI$669,Calc!$BL$26))</f>
        <v/>
      </c>
    </row>
    <row r="33">
      <c r="B33" s="31" t="str">
        <f>IF(Calc!$BL$27="","",INDEX(Calc!$BA$70:$BA$669,Calc!$BL$27)&amp;", "&amp;INDEX(Calc!$BB$70:$BB$669,Calc!$BL$27))</f>
        <v/>
      </c>
      <c r="C33" s="32" t="str">
        <f>IF(Calc!$BL$27="","",INDEX(Calc!$BC$70:$BC$669,Calc!$BL$27))</f>
        <v/>
      </c>
      <c r="D33" s="33" t="str">
        <f>IF(Calc!$BL$27="","",INDEX(Calc!$BD$70:$BD$669,Calc!$BL$27))</f>
        <v/>
      </c>
      <c r="E33" s="33" t="str">
        <f>IF(Calc!$BL$27="","",INDEX(Calc!$BE$70:$BE$669,Calc!$BL$27))</f>
        <v/>
      </c>
      <c r="F33" s="34" t="str">
        <f>IF(Calc!$BL$27="","",INDEX(Calc!$BF$70:$BF$669,Calc!$BL$27))</f>
        <v/>
      </c>
      <c r="G33" s="35" t="str">
        <f>IF(Calc!$BL$27="","",INDEX(Calc!$BG$70:$BG$669,Calc!$BL$27))</f>
        <v/>
      </c>
      <c r="H33" s="33" t="str">
        <f>IF(Calc!$BL$27="","",INDEX(Calc!$BH$70:$BH$669,Calc!$BL$27))</f>
        <v/>
      </c>
      <c r="I33" s="32" t="str">
        <f>IF(Calc!$BL$27="","",INDEX(Calc!$BI$70:$BI$669,Calc!$BL$27))</f>
        <v/>
      </c>
    </row>
    <row r="34">
      <c r="B34" s="31" t="str">
        <f>IF(Calc!$BL$28="","",INDEX(Calc!$BA$70:$BA$669,Calc!$BL$28)&amp;", "&amp;INDEX(Calc!$BB$70:$BB$669,Calc!$BL$28))</f>
        <v/>
      </c>
      <c r="C34" s="32" t="str">
        <f>IF(Calc!$BL$28="","",INDEX(Calc!$BC$70:$BC$669,Calc!$BL$28))</f>
        <v/>
      </c>
      <c r="D34" s="33" t="str">
        <f>IF(Calc!$BL$28="","",INDEX(Calc!$BD$70:$BD$669,Calc!$BL$28))</f>
        <v/>
      </c>
      <c r="E34" s="33" t="str">
        <f>IF(Calc!$BL$28="","",INDEX(Calc!$BE$70:$BE$669,Calc!$BL$28))</f>
        <v/>
      </c>
      <c r="F34" s="34" t="str">
        <f>IF(Calc!$BL$28="","",INDEX(Calc!$BF$70:$BF$669,Calc!$BL$28))</f>
        <v/>
      </c>
      <c r="G34" s="35" t="str">
        <f>IF(Calc!$BL$28="","",INDEX(Calc!$BG$70:$BG$669,Calc!$BL$28))</f>
        <v/>
      </c>
      <c r="H34" s="33" t="str">
        <f>IF(Calc!$BL$28="","",INDEX(Calc!$BH$70:$BH$669,Calc!$BL$28))</f>
        <v/>
      </c>
      <c r="I34" s="32" t="str">
        <f>IF(Calc!$BL$28="","",INDEX(Calc!$BI$70:$BI$669,Calc!$BL$28))</f>
        <v/>
      </c>
    </row>
    <row r="35">
      <c r="B35" s="31" t="str">
        <f>IF(Calc!$BL$29="","",INDEX(Calc!$BA$70:$BA$669,Calc!$BL$29)&amp;", "&amp;INDEX(Calc!$BB$70:$BB$669,Calc!$BL$29))</f>
        <v/>
      </c>
      <c r="C35" s="32" t="str">
        <f>IF(Calc!$BL$29="","",INDEX(Calc!$BC$70:$BC$669,Calc!$BL$29))</f>
        <v/>
      </c>
      <c r="D35" s="33" t="str">
        <f>IF(Calc!$BL$29="","",INDEX(Calc!$BD$70:$BD$669,Calc!$BL$29))</f>
        <v/>
      </c>
      <c r="E35" s="33" t="str">
        <f>IF(Calc!$BL$29="","",INDEX(Calc!$BE$70:$BE$669,Calc!$BL$29))</f>
        <v/>
      </c>
      <c r="F35" s="34" t="str">
        <f>IF(Calc!$BL$29="","",INDEX(Calc!$BF$70:$BF$669,Calc!$BL$29))</f>
        <v/>
      </c>
      <c r="G35" s="35" t="str">
        <f>IF(Calc!$BL$29="","",INDEX(Calc!$BG$70:$BG$669,Calc!$BL$29))</f>
        <v/>
      </c>
      <c r="H35" s="33" t="str">
        <f>IF(Calc!$BL$29="","",INDEX(Calc!$BH$70:$BH$669,Calc!$BL$29))</f>
        <v/>
      </c>
      <c r="I35" s="32" t="str">
        <f>IF(Calc!$BL$29="","",INDEX(Calc!$BI$70:$BI$669,Calc!$BL$29))</f>
        <v/>
      </c>
    </row>
    <row r="36">
      <c r="B36" s="31" t="str">
        <f>IF(Calc!$BL$30="","",INDEX(Calc!$BA$70:$BA$669,Calc!$BL$30)&amp;", "&amp;INDEX(Calc!$BB$70:$BB$669,Calc!$BL$30))</f>
        <v/>
      </c>
      <c r="C36" s="32" t="str">
        <f>IF(Calc!$BL$30="","",INDEX(Calc!$BC$70:$BC$669,Calc!$BL$30))</f>
        <v/>
      </c>
      <c r="D36" s="33" t="str">
        <f>IF(Calc!$BL$30="","",INDEX(Calc!$BD$70:$BD$669,Calc!$BL$30))</f>
        <v/>
      </c>
      <c r="E36" s="33" t="str">
        <f>IF(Calc!$BL$30="","",INDEX(Calc!$BE$70:$BE$669,Calc!$BL$30))</f>
        <v/>
      </c>
      <c r="F36" s="34" t="str">
        <f>IF(Calc!$BL$30="","",INDEX(Calc!$BF$70:$BF$669,Calc!$BL$30))</f>
        <v/>
      </c>
      <c r="G36" s="35" t="str">
        <f>IF(Calc!$BL$30="","",INDEX(Calc!$BG$70:$BG$669,Calc!$BL$30))</f>
        <v/>
      </c>
      <c r="H36" s="33" t="str">
        <f>IF(Calc!$BL$30="","",INDEX(Calc!$BH$70:$BH$669,Calc!$BL$30))</f>
        <v/>
      </c>
      <c r="I36" s="32" t="str">
        <f>IF(Calc!$BL$30="","",INDEX(Calc!$BI$70:$BI$669,Calc!$BL$30))</f>
        <v/>
      </c>
    </row>
    <row r="37">
      <c r="B37" s="31" t="str">
        <f>IF(Calc!$BL$31="","",INDEX(Calc!$BA$70:$BA$669,Calc!$BL$31)&amp;", "&amp;INDEX(Calc!$BB$70:$BB$669,Calc!$BL$31))</f>
        <v/>
      </c>
      <c r="C37" s="32" t="str">
        <f>IF(Calc!$BL$31="","",INDEX(Calc!$BC$70:$BC$669,Calc!$BL$31))</f>
        <v/>
      </c>
      <c r="D37" s="33" t="str">
        <f>IF(Calc!$BL$31="","",INDEX(Calc!$BD$70:$BD$669,Calc!$BL$31))</f>
        <v/>
      </c>
      <c r="E37" s="33" t="str">
        <f>IF(Calc!$BL$31="","",INDEX(Calc!$BE$70:$BE$669,Calc!$BL$31))</f>
        <v/>
      </c>
      <c r="F37" s="34" t="str">
        <f>IF(Calc!$BL$31="","",INDEX(Calc!$BF$70:$BF$669,Calc!$BL$31))</f>
        <v/>
      </c>
      <c r="G37" s="35" t="str">
        <f>IF(Calc!$BL$31="","",INDEX(Calc!$BG$70:$BG$669,Calc!$BL$31))</f>
        <v/>
      </c>
      <c r="H37" s="33" t="str">
        <f>IF(Calc!$BL$31="","",INDEX(Calc!$BH$70:$BH$669,Calc!$BL$31))</f>
        <v/>
      </c>
      <c r="I37" s="32" t="str">
        <f>IF(Calc!$BL$31="","",INDEX(Calc!$BI$70:$BI$669,Calc!$BL$31))</f>
        <v/>
      </c>
    </row>
    <row r="38">
      <c r="B38" s="31" t="str">
        <f>IF(Calc!$BL$32="","",INDEX(Calc!$BA$70:$BA$669,Calc!$BL$32)&amp;", "&amp;INDEX(Calc!$BB$70:$BB$669,Calc!$BL$32))</f>
        <v/>
      </c>
      <c r="C38" s="32" t="str">
        <f>IF(Calc!$BL$32="","",INDEX(Calc!$BC$70:$BC$669,Calc!$BL$32))</f>
        <v/>
      </c>
      <c r="D38" s="33" t="str">
        <f>IF(Calc!$BL$32="","",INDEX(Calc!$BD$70:$BD$669,Calc!$BL$32))</f>
        <v/>
      </c>
      <c r="E38" s="33" t="str">
        <f>IF(Calc!$BL$32="","",INDEX(Calc!$BE$70:$BE$669,Calc!$BL$32))</f>
        <v/>
      </c>
      <c r="F38" s="34" t="str">
        <f>IF(Calc!$BL$32="","",INDEX(Calc!$BF$70:$BF$669,Calc!$BL$32))</f>
        <v/>
      </c>
      <c r="G38" s="35" t="str">
        <f>IF(Calc!$BL$32="","",INDEX(Calc!$BG$70:$BG$669,Calc!$BL$32))</f>
        <v/>
      </c>
      <c r="H38" s="33" t="str">
        <f>IF(Calc!$BL$32="","",INDEX(Calc!$BH$70:$BH$669,Calc!$BL$32))</f>
        <v/>
      </c>
      <c r="I38" s="32" t="str">
        <f>IF(Calc!$BL$32="","",INDEX(Calc!$BI$70:$BI$669,Calc!$BL$32))</f>
        <v/>
      </c>
    </row>
    <row r="39">
      <c r="B39" s="31" t="str">
        <f>IF(Calc!$BL$33="","",INDEX(Calc!$BA$70:$BA$669,Calc!$BL$33)&amp;", "&amp;INDEX(Calc!$BB$70:$BB$669,Calc!$BL$33))</f>
        <v/>
      </c>
      <c r="C39" s="32" t="str">
        <f>IF(Calc!$BL$33="","",INDEX(Calc!$BC$70:$BC$669,Calc!$BL$33))</f>
        <v/>
      </c>
      <c r="D39" s="33" t="str">
        <f>IF(Calc!$BL$33="","",INDEX(Calc!$BD$70:$BD$669,Calc!$BL$33))</f>
        <v/>
      </c>
      <c r="E39" s="33" t="str">
        <f>IF(Calc!$BL$33="","",INDEX(Calc!$BE$70:$BE$669,Calc!$BL$33))</f>
        <v/>
      </c>
      <c r="F39" s="34" t="str">
        <f>IF(Calc!$BL$33="","",INDEX(Calc!$BF$70:$BF$669,Calc!$BL$33))</f>
        <v/>
      </c>
      <c r="G39" s="35" t="str">
        <f>IF(Calc!$BL$33="","",INDEX(Calc!$BG$70:$BG$669,Calc!$BL$33))</f>
        <v/>
      </c>
      <c r="H39" s="33" t="str">
        <f>IF(Calc!$BL$33="","",INDEX(Calc!$BH$70:$BH$669,Calc!$BL$33))</f>
        <v/>
      </c>
      <c r="I39" s="32" t="str">
        <f>IF(Calc!$BL$33="","",INDEX(Calc!$BI$70:$BI$669,Calc!$BL$33))</f>
        <v/>
      </c>
    </row>
    <row r="40">
      <c r="B40" s="31" t="str">
        <f>IF(Calc!$BL$34="","",INDEX(Calc!$BA$70:$BA$669,Calc!$BL$34)&amp;", "&amp;INDEX(Calc!$BB$70:$BB$669,Calc!$BL$34))</f>
        <v/>
      </c>
      <c r="C40" s="32" t="str">
        <f>IF(Calc!$BL$34="","",INDEX(Calc!$BC$70:$BC$669,Calc!$BL$34))</f>
        <v/>
      </c>
      <c r="D40" s="33" t="str">
        <f>IF(Calc!$BL$34="","",INDEX(Calc!$BD$70:$BD$669,Calc!$BL$34))</f>
        <v/>
      </c>
      <c r="E40" s="33" t="str">
        <f>IF(Calc!$BL$34="","",INDEX(Calc!$BE$70:$BE$669,Calc!$BL$34))</f>
        <v/>
      </c>
      <c r="F40" s="34" t="str">
        <f>IF(Calc!$BL$34="","",INDEX(Calc!$BF$70:$BF$669,Calc!$BL$34))</f>
        <v/>
      </c>
      <c r="G40" s="35" t="str">
        <f>IF(Calc!$BL$34="","",INDEX(Calc!$BG$70:$BG$669,Calc!$BL$34))</f>
        <v/>
      </c>
      <c r="H40" s="33" t="str">
        <f>IF(Calc!$BL$34="","",INDEX(Calc!$BH$70:$BH$669,Calc!$BL$34))</f>
        <v/>
      </c>
      <c r="I40" s="32" t="str">
        <f>IF(Calc!$BL$34="","",INDEX(Calc!$BI$70:$BI$669,Calc!$BL$34))</f>
        <v/>
      </c>
    </row>
    <row r="41">
      <c r="B41" s="31" t="str">
        <f>IF(Calc!$BL$35="","",INDEX(Calc!$BA$70:$BA$669,Calc!$BL$35)&amp;", "&amp;INDEX(Calc!$BB$70:$BB$669,Calc!$BL$35))</f>
        <v/>
      </c>
      <c r="C41" s="32" t="str">
        <f>IF(Calc!$BL$35="","",INDEX(Calc!$BC$70:$BC$669,Calc!$BL$35))</f>
        <v/>
      </c>
      <c r="D41" s="33" t="str">
        <f>IF(Calc!$BL$35="","",INDEX(Calc!$BD$70:$BD$669,Calc!$BL$35))</f>
        <v/>
      </c>
      <c r="E41" s="33" t="str">
        <f>IF(Calc!$BL$35="","",INDEX(Calc!$BE$70:$BE$669,Calc!$BL$35))</f>
        <v/>
      </c>
      <c r="F41" s="34" t="str">
        <f>IF(Calc!$BL$35="","",INDEX(Calc!$BF$70:$BF$669,Calc!$BL$35))</f>
        <v/>
      </c>
      <c r="G41" s="35" t="str">
        <f>IF(Calc!$BL$35="","",INDEX(Calc!$BG$70:$BG$669,Calc!$BL$35))</f>
        <v/>
      </c>
      <c r="H41" s="33" t="str">
        <f>IF(Calc!$BL$35="","",INDEX(Calc!$BH$70:$BH$669,Calc!$BL$35))</f>
        <v/>
      </c>
      <c r="I41" s="32" t="str">
        <f>IF(Calc!$BL$35="","",INDEX(Calc!$BI$70:$BI$669,Calc!$BL$35))</f>
        <v/>
      </c>
    </row>
    <row r="42">
      <c r="B42" s="31" t="str">
        <f>IF(Calc!$BL$36="","",INDEX(Calc!$BA$70:$BA$669,Calc!$BL$36)&amp;", "&amp;INDEX(Calc!$BB$70:$BB$669,Calc!$BL$36))</f>
        <v/>
      </c>
      <c r="C42" s="32" t="str">
        <f>IF(Calc!$BL$36="","",INDEX(Calc!$BC$70:$BC$669,Calc!$BL$36))</f>
        <v/>
      </c>
      <c r="D42" s="33" t="str">
        <f>IF(Calc!$BL$36="","",INDEX(Calc!$BD$70:$BD$669,Calc!$BL$36))</f>
        <v/>
      </c>
      <c r="E42" s="33" t="str">
        <f>IF(Calc!$BL$36="","",INDEX(Calc!$BE$70:$BE$669,Calc!$BL$36))</f>
        <v/>
      </c>
      <c r="F42" s="34" t="str">
        <f>IF(Calc!$BL$36="","",INDEX(Calc!$BF$70:$BF$669,Calc!$BL$36))</f>
        <v/>
      </c>
      <c r="G42" s="35" t="str">
        <f>IF(Calc!$BL$36="","",INDEX(Calc!$BG$70:$BG$669,Calc!$BL$36))</f>
        <v/>
      </c>
      <c r="H42" s="33" t="str">
        <f>IF(Calc!$BL$36="","",INDEX(Calc!$BH$70:$BH$669,Calc!$BL$36))</f>
        <v/>
      </c>
      <c r="I42" s="32" t="str">
        <f>IF(Calc!$BL$36="","",INDEX(Calc!$BI$70:$BI$669,Calc!$BL$36))</f>
        <v/>
      </c>
    </row>
    <row r="43">
      <c r="B43" s="31" t="str">
        <f>IF(Calc!$BL$37="","",INDEX(Calc!$BA$70:$BA$669,Calc!$BL$37)&amp;", "&amp;INDEX(Calc!$BB$70:$BB$669,Calc!$BL$37))</f>
        <v/>
      </c>
      <c r="C43" s="32" t="str">
        <f>IF(Calc!$BL$37="","",INDEX(Calc!$BC$70:$BC$669,Calc!$BL$37))</f>
        <v/>
      </c>
      <c r="D43" s="33" t="str">
        <f>IF(Calc!$BL$37="","",INDEX(Calc!$BD$70:$BD$669,Calc!$BL$37))</f>
        <v/>
      </c>
      <c r="E43" s="33" t="str">
        <f>IF(Calc!$BL$37="","",INDEX(Calc!$BE$70:$BE$669,Calc!$BL$37))</f>
        <v/>
      </c>
      <c r="F43" s="34" t="str">
        <f>IF(Calc!$BL$37="","",INDEX(Calc!$BF$70:$BF$669,Calc!$BL$37))</f>
        <v/>
      </c>
      <c r="G43" s="35" t="str">
        <f>IF(Calc!$BL$37="","",INDEX(Calc!$BG$70:$BG$669,Calc!$BL$37))</f>
        <v/>
      </c>
      <c r="H43" s="33" t="str">
        <f>IF(Calc!$BL$37="","",INDEX(Calc!$BH$70:$BH$669,Calc!$BL$37))</f>
        <v/>
      </c>
      <c r="I43" s="32" t="str">
        <f>IF(Calc!$BL$37="","",INDEX(Calc!$BI$70:$BI$669,Calc!$BL$37))</f>
        <v/>
      </c>
    </row>
    <row r="44">
      <c r="B44" s="31" t="str">
        <f>IF(Calc!$BL$38="","",INDEX(Calc!$BA$70:$BA$669,Calc!$BL$38)&amp;", "&amp;INDEX(Calc!$BB$70:$BB$669,Calc!$BL$38))</f>
        <v/>
      </c>
      <c r="C44" s="32" t="str">
        <f>IF(Calc!$BL$38="","",INDEX(Calc!$BC$70:$BC$669,Calc!$BL$38))</f>
        <v/>
      </c>
      <c r="D44" s="33" t="str">
        <f>IF(Calc!$BL$38="","",INDEX(Calc!$BD$70:$BD$669,Calc!$BL$38))</f>
        <v/>
      </c>
      <c r="E44" s="33" t="str">
        <f>IF(Calc!$BL$38="","",INDEX(Calc!$BE$70:$BE$669,Calc!$BL$38))</f>
        <v/>
      </c>
      <c r="F44" s="34" t="str">
        <f>IF(Calc!$BL$38="","",INDEX(Calc!$BF$70:$BF$669,Calc!$BL$38))</f>
        <v/>
      </c>
      <c r="G44" s="35" t="str">
        <f>IF(Calc!$BL$38="","",INDEX(Calc!$BG$70:$BG$669,Calc!$BL$38))</f>
        <v/>
      </c>
      <c r="H44" s="33" t="str">
        <f>IF(Calc!$BL$38="","",INDEX(Calc!$BH$70:$BH$669,Calc!$BL$38))</f>
        <v/>
      </c>
      <c r="I44" s="32" t="str">
        <f>IF(Calc!$BL$38="","",INDEX(Calc!$BI$70:$BI$669,Calc!$BL$38))</f>
        <v/>
      </c>
    </row>
    <row r="45">
      <c r="B45" s="31" t="str">
        <f>IF(Calc!$BL$39="","",INDEX(Calc!$BA$70:$BA$669,Calc!$BL$39)&amp;", "&amp;INDEX(Calc!$BB$70:$BB$669,Calc!$BL$39))</f>
        <v/>
      </c>
      <c r="C45" s="32" t="str">
        <f>IF(Calc!$BL$39="","",INDEX(Calc!$BC$70:$BC$669,Calc!$BL$39))</f>
        <v/>
      </c>
      <c r="D45" s="33" t="str">
        <f>IF(Calc!$BL$39="","",INDEX(Calc!$BD$70:$BD$669,Calc!$BL$39))</f>
        <v/>
      </c>
      <c r="E45" s="33" t="str">
        <f>IF(Calc!$BL$39="","",INDEX(Calc!$BE$70:$BE$669,Calc!$BL$39))</f>
        <v/>
      </c>
      <c r="F45" s="34" t="str">
        <f>IF(Calc!$BL$39="","",INDEX(Calc!$BF$70:$BF$669,Calc!$BL$39))</f>
        <v/>
      </c>
      <c r="G45" s="35" t="str">
        <f>IF(Calc!$BL$39="","",INDEX(Calc!$BG$70:$BG$669,Calc!$BL$39))</f>
        <v/>
      </c>
      <c r="H45" s="33" t="str">
        <f>IF(Calc!$BL$39="","",INDEX(Calc!$BH$70:$BH$669,Calc!$BL$39))</f>
        <v/>
      </c>
      <c r="I45" s="32" t="str">
        <f>IF(Calc!$BL$39="","",INDEX(Calc!$BI$70:$BI$669,Calc!$BL$39))</f>
        <v/>
      </c>
    </row>
    <row r="46">
      <c r="B46" s="31" t="str">
        <f>IF(Calc!$BL$40="","",INDEX(Calc!$BA$70:$BA$669,Calc!$BL$40)&amp;", "&amp;INDEX(Calc!$BB$70:$BB$669,Calc!$BL$40))</f>
        <v/>
      </c>
      <c r="C46" s="32" t="str">
        <f>IF(Calc!$BL$40="","",INDEX(Calc!$BC$70:$BC$669,Calc!$BL$40))</f>
        <v/>
      </c>
      <c r="D46" s="33" t="str">
        <f>IF(Calc!$BL$40="","",INDEX(Calc!$BD$70:$BD$669,Calc!$BL$40))</f>
        <v/>
      </c>
      <c r="E46" s="33" t="str">
        <f>IF(Calc!$BL$40="","",INDEX(Calc!$BE$70:$BE$669,Calc!$BL$40))</f>
        <v/>
      </c>
      <c r="F46" s="34" t="str">
        <f>IF(Calc!$BL$40="","",INDEX(Calc!$BF$70:$BF$669,Calc!$BL$40))</f>
        <v/>
      </c>
      <c r="G46" s="35" t="str">
        <f>IF(Calc!$BL$40="","",INDEX(Calc!$BG$70:$BG$669,Calc!$BL$40))</f>
        <v/>
      </c>
      <c r="H46" s="33" t="str">
        <f>IF(Calc!$BL$40="","",INDEX(Calc!$BH$70:$BH$669,Calc!$BL$40))</f>
        <v/>
      </c>
      <c r="I46" s="32" t="str">
        <f>IF(Calc!$BL$40="","",INDEX(Calc!$BI$70:$BI$669,Calc!$BL$40))</f>
        <v/>
      </c>
    </row>
    <row r="47">
      <c r="B47" s="31" t="str">
        <f>IF(Calc!$BL$41="","",INDEX(Calc!$BA$70:$BA$669,Calc!$BL$41)&amp;", "&amp;INDEX(Calc!$BB$70:$BB$669,Calc!$BL$41))</f>
        <v/>
      </c>
      <c r="C47" s="32" t="str">
        <f>IF(Calc!$BL$41="","",INDEX(Calc!$BC$70:$BC$669,Calc!$BL$41))</f>
        <v/>
      </c>
      <c r="D47" s="33" t="str">
        <f>IF(Calc!$BL$41="","",INDEX(Calc!$BD$70:$BD$669,Calc!$BL$41))</f>
        <v/>
      </c>
      <c r="E47" s="33" t="str">
        <f>IF(Calc!$BL$41="","",INDEX(Calc!$BE$70:$BE$669,Calc!$BL$41))</f>
        <v/>
      </c>
      <c r="F47" s="34" t="str">
        <f>IF(Calc!$BL$41="","",INDEX(Calc!$BF$70:$BF$669,Calc!$BL$41))</f>
        <v/>
      </c>
      <c r="G47" s="35" t="str">
        <f>IF(Calc!$BL$41="","",INDEX(Calc!$BG$70:$BG$669,Calc!$BL$41))</f>
        <v/>
      </c>
      <c r="H47" s="33" t="str">
        <f>IF(Calc!$BL$41="","",INDEX(Calc!$BH$70:$BH$669,Calc!$BL$41))</f>
        <v/>
      </c>
      <c r="I47" s="32" t="str">
        <f>IF(Calc!$BL$41="","",INDEX(Calc!$BI$70:$BI$669,Calc!$BL$41))</f>
        <v/>
      </c>
    </row>
    <row r="48">
      <c r="B48" s="31" t="str">
        <f>IF(Calc!$BL$42="","",INDEX(Calc!$BA$70:$BA$669,Calc!$BL$42)&amp;", "&amp;INDEX(Calc!$BB$70:$BB$669,Calc!$BL$42))</f>
        <v/>
      </c>
      <c r="C48" s="32" t="str">
        <f>IF(Calc!$BL$42="","",INDEX(Calc!$BC$70:$BC$669,Calc!$BL$42))</f>
        <v/>
      </c>
      <c r="D48" s="33" t="str">
        <f>IF(Calc!$BL$42="","",INDEX(Calc!$BD$70:$BD$669,Calc!$BL$42))</f>
        <v/>
      </c>
      <c r="E48" s="33" t="str">
        <f>IF(Calc!$BL$42="","",INDEX(Calc!$BE$70:$BE$669,Calc!$BL$42))</f>
        <v/>
      </c>
      <c r="F48" s="34" t="str">
        <f>IF(Calc!$BL$42="","",INDEX(Calc!$BF$70:$BF$669,Calc!$BL$42))</f>
        <v/>
      </c>
      <c r="G48" s="35" t="str">
        <f>IF(Calc!$BL$42="","",INDEX(Calc!$BG$70:$BG$669,Calc!$BL$42))</f>
        <v/>
      </c>
      <c r="H48" s="33" t="str">
        <f>IF(Calc!$BL$42="","",INDEX(Calc!$BH$70:$BH$669,Calc!$BL$42))</f>
        <v/>
      </c>
      <c r="I48" s="32" t="str">
        <f>IF(Calc!$BL$42="","",INDEX(Calc!$BI$70:$BI$669,Calc!$BL$42))</f>
        <v/>
      </c>
    </row>
    <row r="49">
      <c r="B49" s="31" t="str">
        <f>IF(Calc!$BL$43="","",INDEX(Calc!$BA$70:$BA$669,Calc!$BL$43)&amp;", "&amp;INDEX(Calc!$BB$70:$BB$669,Calc!$BL$43))</f>
        <v/>
      </c>
      <c r="C49" s="32" t="str">
        <f>IF(Calc!$BL$43="","",INDEX(Calc!$BC$70:$BC$669,Calc!$BL$43))</f>
        <v/>
      </c>
      <c r="D49" s="33" t="str">
        <f>IF(Calc!$BL$43="","",INDEX(Calc!$BD$70:$BD$669,Calc!$BL$43))</f>
        <v/>
      </c>
      <c r="E49" s="33" t="str">
        <f>IF(Calc!$BL$43="","",INDEX(Calc!$BE$70:$BE$669,Calc!$BL$43))</f>
        <v/>
      </c>
      <c r="F49" s="34" t="str">
        <f>IF(Calc!$BL$43="","",INDEX(Calc!$BF$70:$BF$669,Calc!$BL$43))</f>
        <v/>
      </c>
      <c r="G49" s="35" t="str">
        <f>IF(Calc!$BL$43="","",INDEX(Calc!$BG$70:$BG$669,Calc!$BL$43))</f>
        <v/>
      </c>
      <c r="H49" s="33" t="str">
        <f>IF(Calc!$BL$43="","",INDEX(Calc!$BH$70:$BH$669,Calc!$BL$43))</f>
        <v/>
      </c>
      <c r="I49" s="32" t="str">
        <f>IF(Calc!$BL$43="","",INDEX(Calc!$BI$70:$BI$669,Calc!$BL$43))</f>
        <v/>
      </c>
    </row>
    <row r="50">
      <c r="B50" s="31" t="str">
        <f>IF(Calc!$BL$44="","",INDEX(Calc!$BA$70:$BA$669,Calc!$BL$44)&amp;", "&amp;INDEX(Calc!$BB$70:$BB$669,Calc!$BL$44))</f>
        <v/>
      </c>
      <c r="C50" s="32" t="str">
        <f>IF(Calc!$BL$44="","",INDEX(Calc!$BC$70:$BC$669,Calc!$BL$44))</f>
        <v/>
      </c>
      <c r="D50" s="33" t="str">
        <f>IF(Calc!$BL$44="","",INDEX(Calc!$BD$70:$BD$669,Calc!$BL$44))</f>
        <v/>
      </c>
      <c r="E50" s="33" t="str">
        <f>IF(Calc!$BL$44="","",INDEX(Calc!$BE$70:$BE$669,Calc!$BL$44))</f>
        <v/>
      </c>
      <c r="F50" s="34" t="str">
        <f>IF(Calc!$BL$44="","",INDEX(Calc!$BF$70:$BF$669,Calc!$BL$44))</f>
        <v/>
      </c>
      <c r="G50" s="35" t="str">
        <f>IF(Calc!$BL$44="","",INDEX(Calc!$BG$70:$BG$669,Calc!$BL$44))</f>
        <v/>
      </c>
      <c r="H50" s="33" t="str">
        <f>IF(Calc!$BL$44="","",INDEX(Calc!$BH$70:$BH$669,Calc!$BL$44))</f>
        <v/>
      </c>
      <c r="I50" s="32" t="str">
        <f>IF(Calc!$BL$44="","",INDEX(Calc!$BI$70:$BI$669,Calc!$BL$44))</f>
        <v/>
      </c>
    </row>
    <row r="51">
      <c r="B51" s="31" t="str">
        <f>IF(Calc!$BL$45="","",INDEX(Calc!$BA$70:$BA$669,Calc!$BL$45)&amp;", "&amp;INDEX(Calc!$BB$70:$BB$669,Calc!$BL$45))</f>
        <v/>
      </c>
      <c r="C51" s="32" t="str">
        <f>IF(Calc!$BL$45="","",INDEX(Calc!$BC$70:$BC$669,Calc!$BL$45))</f>
        <v/>
      </c>
      <c r="D51" s="33" t="str">
        <f>IF(Calc!$BL$45="","",INDEX(Calc!$BD$70:$BD$669,Calc!$BL$45))</f>
        <v/>
      </c>
      <c r="E51" s="33" t="str">
        <f>IF(Calc!$BL$45="","",INDEX(Calc!$BE$70:$BE$669,Calc!$BL$45))</f>
        <v/>
      </c>
      <c r="F51" s="34" t="str">
        <f>IF(Calc!$BL$45="","",INDEX(Calc!$BF$70:$BF$669,Calc!$BL$45))</f>
        <v/>
      </c>
      <c r="G51" s="35" t="str">
        <f>IF(Calc!$BL$45="","",INDEX(Calc!$BG$70:$BG$669,Calc!$BL$45))</f>
        <v/>
      </c>
      <c r="H51" s="33" t="str">
        <f>IF(Calc!$BL$45="","",INDEX(Calc!$BH$70:$BH$669,Calc!$BL$45))</f>
        <v/>
      </c>
      <c r="I51" s="32" t="str">
        <f>IF(Calc!$BL$45="","",INDEX(Calc!$BI$70:$BI$669,Calc!$BL$45))</f>
        <v/>
      </c>
    </row>
    <row r="52">
      <c r="B52" s="31" t="str">
        <f>IF(Calc!$BL$46="","",INDEX(Calc!$BA$70:$BA$669,Calc!$BL$46)&amp;", "&amp;INDEX(Calc!$BB$70:$BB$669,Calc!$BL$46))</f>
        <v/>
      </c>
      <c r="C52" s="32" t="str">
        <f>IF(Calc!$BL$46="","",INDEX(Calc!$BC$70:$BC$669,Calc!$BL$46))</f>
        <v/>
      </c>
      <c r="D52" s="33" t="str">
        <f>IF(Calc!$BL$46="","",INDEX(Calc!$BD$70:$BD$669,Calc!$BL$46))</f>
        <v/>
      </c>
      <c r="E52" s="33" t="str">
        <f>IF(Calc!$BL$46="","",INDEX(Calc!$BE$70:$BE$669,Calc!$BL$46))</f>
        <v/>
      </c>
      <c r="F52" s="34" t="str">
        <f>IF(Calc!$BL$46="","",INDEX(Calc!$BF$70:$BF$669,Calc!$BL$46))</f>
        <v/>
      </c>
      <c r="G52" s="35" t="str">
        <f>IF(Calc!$BL$46="","",INDEX(Calc!$BG$70:$BG$669,Calc!$BL$46))</f>
        <v/>
      </c>
      <c r="H52" s="33" t="str">
        <f>IF(Calc!$BL$46="","",INDEX(Calc!$BH$70:$BH$669,Calc!$BL$46))</f>
        <v/>
      </c>
      <c r="I52" s="32" t="str">
        <f>IF(Calc!$BL$46="","",INDEX(Calc!$BI$70:$BI$669,Calc!$BL$46))</f>
        <v/>
      </c>
    </row>
    <row r="53">
      <c r="B53" s="31" t="str">
        <f>IF(Calc!$BL$47="","",INDEX(Calc!$BA$70:$BA$669,Calc!$BL$47)&amp;", "&amp;INDEX(Calc!$BB$70:$BB$669,Calc!$BL$47))</f>
        <v/>
      </c>
      <c r="C53" s="32" t="str">
        <f>IF(Calc!$BL$47="","",INDEX(Calc!$BC$70:$BC$669,Calc!$BL$47))</f>
        <v/>
      </c>
      <c r="D53" s="33" t="str">
        <f>IF(Calc!$BL$47="","",INDEX(Calc!$BD$70:$BD$669,Calc!$BL$47))</f>
        <v/>
      </c>
      <c r="E53" s="33" t="str">
        <f>IF(Calc!$BL$47="","",INDEX(Calc!$BE$70:$BE$669,Calc!$BL$47))</f>
        <v/>
      </c>
      <c r="F53" s="34" t="str">
        <f>IF(Calc!$BL$47="","",INDEX(Calc!$BF$70:$BF$669,Calc!$BL$47))</f>
        <v/>
      </c>
      <c r="G53" s="35" t="str">
        <f>IF(Calc!$BL$47="","",INDEX(Calc!$BG$70:$BG$669,Calc!$BL$47))</f>
        <v/>
      </c>
      <c r="H53" s="33" t="str">
        <f>IF(Calc!$BL$47="","",INDEX(Calc!$BH$70:$BH$669,Calc!$BL$47))</f>
        <v/>
      </c>
      <c r="I53" s="32" t="str">
        <f>IF(Calc!$BL$47="","",INDEX(Calc!$BI$70:$BI$669,Calc!$BL$47))</f>
        <v/>
      </c>
    </row>
    <row r="54">
      <c r="B54" s="31" t="str">
        <f>IF(Calc!$BL$48="","",INDEX(Calc!$BA$70:$BA$669,Calc!$BL$48)&amp;", "&amp;INDEX(Calc!$BB$70:$BB$669,Calc!$BL$48))</f>
        <v/>
      </c>
      <c r="C54" s="32" t="str">
        <f>IF(Calc!$BL$48="","",INDEX(Calc!$BC$70:$BC$669,Calc!$BL$48))</f>
        <v/>
      </c>
      <c r="D54" s="33" t="str">
        <f>IF(Calc!$BL$48="","",INDEX(Calc!$BD$70:$BD$669,Calc!$BL$48))</f>
        <v/>
      </c>
      <c r="E54" s="33" t="str">
        <f>IF(Calc!$BL$48="","",INDEX(Calc!$BE$70:$BE$669,Calc!$BL$48))</f>
        <v/>
      </c>
      <c r="F54" s="34" t="str">
        <f>IF(Calc!$BL$48="","",INDEX(Calc!$BF$70:$BF$669,Calc!$BL$48))</f>
        <v/>
      </c>
      <c r="G54" s="35" t="str">
        <f>IF(Calc!$BL$48="","",INDEX(Calc!$BG$70:$BG$669,Calc!$BL$48))</f>
        <v/>
      </c>
      <c r="H54" s="33" t="str">
        <f>IF(Calc!$BL$48="","",INDEX(Calc!$BH$70:$BH$669,Calc!$BL$48))</f>
        <v/>
      </c>
      <c r="I54" s="32" t="str">
        <f>IF(Calc!$BL$48="","",INDEX(Calc!$BI$70:$BI$669,Calc!$BL$48))</f>
        <v/>
      </c>
    </row>
    <row r="55">
      <c r="B55" s="31" t="str">
        <f>IF(Calc!$BL$49="","",INDEX(Calc!$BA$70:$BA$669,Calc!$BL$49)&amp;", "&amp;INDEX(Calc!$BB$70:$BB$669,Calc!$BL$49))</f>
        <v/>
      </c>
      <c r="C55" s="32" t="str">
        <f>IF(Calc!$BL$49="","",INDEX(Calc!$BC$70:$BC$669,Calc!$BL$49))</f>
        <v/>
      </c>
      <c r="D55" s="33" t="str">
        <f>IF(Calc!$BL$49="","",INDEX(Calc!$BD$70:$BD$669,Calc!$BL$49))</f>
        <v/>
      </c>
      <c r="E55" s="33" t="str">
        <f>IF(Calc!$BL$49="","",INDEX(Calc!$BE$70:$BE$669,Calc!$BL$49))</f>
        <v/>
      </c>
      <c r="F55" s="34" t="str">
        <f>IF(Calc!$BL$49="","",INDEX(Calc!$BF$70:$BF$669,Calc!$BL$49))</f>
        <v/>
      </c>
      <c r="G55" s="35" t="str">
        <f>IF(Calc!$BL$49="","",INDEX(Calc!$BG$70:$BG$669,Calc!$BL$49))</f>
        <v/>
      </c>
      <c r="H55" s="33" t="str">
        <f>IF(Calc!$BL$49="","",INDEX(Calc!$BH$70:$BH$669,Calc!$BL$49))</f>
        <v/>
      </c>
      <c r="I55" s="32" t="str">
        <f>IF(Calc!$BL$49="","",INDEX(Calc!$BI$70:$BI$669,Calc!$BL$49))</f>
        <v/>
      </c>
    </row>
    <row r="56">
      <c r="B56" s="31" t="str">
        <f>IF(Calc!$BL$50="","",INDEX(Calc!$BA$70:$BA$669,Calc!$BL$50)&amp;", "&amp;INDEX(Calc!$BB$70:$BB$669,Calc!$BL$50))</f>
        <v/>
      </c>
      <c r="C56" s="32" t="str">
        <f>IF(Calc!$BL$50="","",INDEX(Calc!$BC$70:$BC$669,Calc!$BL$50))</f>
        <v/>
      </c>
      <c r="D56" s="33" t="str">
        <f>IF(Calc!$BL$50="","",INDEX(Calc!$BD$70:$BD$669,Calc!$BL$50))</f>
        <v/>
      </c>
      <c r="E56" s="33" t="str">
        <f>IF(Calc!$BL$50="","",INDEX(Calc!$BE$70:$BE$669,Calc!$BL$50))</f>
        <v/>
      </c>
      <c r="F56" s="34" t="str">
        <f>IF(Calc!$BL$50="","",INDEX(Calc!$BF$70:$BF$669,Calc!$BL$50))</f>
        <v/>
      </c>
      <c r="G56" s="35" t="str">
        <f>IF(Calc!$BL$50="","",INDEX(Calc!$BG$70:$BG$669,Calc!$BL$50))</f>
        <v/>
      </c>
      <c r="H56" s="33" t="str">
        <f>IF(Calc!$BL$50="","",INDEX(Calc!$BH$70:$BH$669,Calc!$BL$50))</f>
        <v/>
      </c>
      <c r="I56" s="32" t="str">
        <f>IF(Calc!$BL$50="","",INDEX(Calc!$BI$70:$BI$669,Calc!$BL$50))</f>
        <v/>
      </c>
    </row>
    <row r="57">
      <c r="B57" s="31" t="str">
        <f>IF(Calc!$BL$51="","",INDEX(Calc!$BA$70:$BA$669,Calc!$BL$51)&amp;", "&amp;INDEX(Calc!$BB$70:$BB$669,Calc!$BL$51))</f>
        <v/>
      </c>
      <c r="C57" s="32" t="str">
        <f>IF(Calc!$BL$51="","",INDEX(Calc!$BC$70:$BC$669,Calc!$BL$51))</f>
        <v/>
      </c>
      <c r="D57" s="33" t="str">
        <f>IF(Calc!$BL$51="","",INDEX(Calc!$BD$70:$BD$669,Calc!$BL$51))</f>
        <v/>
      </c>
      <c r="E57" s="33" t="str">
        <f>IF(Calc!$BL$51="","",INDEX(Calc!$BE$70:$BE$669,Calc!$BL$51))</f>
        <v/>
      </c>
      <c r="F57" s="34" t="str">
        <f>IF(Calc!$BL$51="","",INDEX(Calc!$BF$70:$BF$669,Calc!$BL$51))</f>
        <v/>
      </c>
      <c r="G57" s="35" t="str">
        <f>IF(Calc!$BL$51="","",INDEX(Calc!$BG$70:$BG$669,Calc!$BL$51))</f>
        <v/>
      </c>
      <c r="H57" s="33" t="str">
        <f>IF(Calc!$BL$51="","",INDEX(Calc!$BH$70:$BH$669,Calc!$BL$51))</f>
        <v/>
      </c>
      <c r="I57" s="32" t="str">
        <f>IF(Calc!$BL$51="","",INDEX(Calc!$BI$70:$BI$669,Calc!$BL$51))</f>
        <v/>
      </c>
    </row>
    <row r="58">
      <c r="B58" s="31" t="str">
        <f>IF(Calc!$BL$52="","",INDEX(Calc!$BA$70:$BA$669,Calc!$BL$52)&amp;", "&amp;INDEX(Calc!$BB$70:$BB$669,Calc!$BL$52))</f>
        <v/>
      </c>
      <c r="C58" s="32" t="str">
        <f>IF(Calc!$BL$52="","",INDEX(Calc!$BC$70:$BC$669,Calc!$BL$52))</f>
        <v/>
      </c>
      <c r="D58" s="33" t="str">
        <f>IF(Calc!$BL$52="","",INDEX(Calc!$BD$70:$BD$669,Calc!$BL$52))</f>
        <v/>
      </c>
      <c r="E58" s="33" t="str">
        <f>IF(Calc!$BL$52="","",INDEX(Calc!$BE$70:$BE$669,Calc!$BL$52))</f>
        <v/>
      </c>
      <c r="F58" s="34" t="str">
        <f>IF(Calc!$BL$52="","",INDEX(Calc!$BF$70:$BF$669,Calc!$BL$52))</f>
        <v/>
      </c>
      <c r="G58" s="35" t="str">
        <f>IF(Calc!$BL$52="","",INDEX(Calc!$BG$70:$BG$669,Calc!$BL$52))</f>
        <v/>
      </c>
      <c r="H58" s="33" t="str">
        <f>IF(Calc!$BL$52="","",INDEX(Calc!$BH$70:$BH$669,Calc!$BL$52))</f>
        <v/>
      </c>
      <c r="I58" s="32" t="str">
        <f>IF(Calc!$BL$52="","",INDEX(Calc!$BI$70:$BI$669,Calc!$BL$52))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">
    <mergeCell ref="C4:D4"/>
  </mergeCells>
  <conditionalFormatting sqref="G9:G58">
    <cfRule type="expression" priority="1" dxfId="8">
      <formula>AND(ISNUMBER(G9),G9&lt;=-1)</formula>
    </cfRule>
  </conditionalFormatting>
  <conditionalFormatting sqref="H9:H58">
    <cfRule type="iconSet" priority="2">
      <iconSet iconSet="3TrafficLights1">
        <cfvo type="percent" val="0"/>
        <cfvo type="num" val="4"/>
        <cfvo type="num" val="7"/>
      </iconSet>
    </cfRule>
  </conditionalFormatting>
  <conditionalFormatting sqref="B9:I58">
    <cfRule type="expression" priority="3" dxfId="7">
      <formula>$B9&lt;&gt;""</formula>
    </cfRule>
  </conditionalFormatting>
  <dataValidations count="1">
    <dataValidation sqref="C4" showDropDown="0" showInputMessage="0" showErrorMessage="1" allowBlank="0" errorTitle="Pick from the list" error="Choose an option from the drop-down list." type="list">
      <formula1>=YearNames</formula1>
    </dataValidation>
  </dataValidations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Y7">
    <outlinePr summaryBelow="1" summaryRight="1"/>
    <pageSetUpPr/>
  </sheetPr>
  <dimension ref="A1:U132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7B01 - Cells
Raw Score</t>
        </is>
      </c>
      <c r="O1" s="63" t="inlineStr">
        <is>
          <t>7B01 - Cells
Stanine</t>
        </is>
      </c>
      <c r="P1" s="64" t="inlineStr">
        <is>
          <t>7C01 - Particles
Raw Score</t>
        </is>
      </c>
      <c r="Q1" s="64" t="inlineStr">
        <is>
          <t>7C01 - Particles
Stanine</t>
        </is>
      </c>
      <c r="R1" s="63" t="inlineStr">
        <is>
          <t>7P01 - Forces
Raw Score</t>
        </is>
      </c>
      <c r="S1" s="63" t="inlineStr">
        <is>
          <t>7P01 - Forces
Stanine</t>
        </is>
      </c>
      <c r="T1" s="64" t="inlineStr">
        <is>
          <t>7B02 - Organ Systems
Raw Score</t>
        </is>
      </c>
      <c r="U1" s="64" t="inlineStr">
        <is>
          <t>7B02 - Organ Systems
Stanine</t>
        </is>
      </c>
    </row>
    <row r="2">
      <c r="A2" s="65" t="inlineStr">
        <is>
          <t>X907895281248</t>
        </is>
      </c>
      <c r="B2" s="65" t="inlineStr">
        <is>
          <t>Adeyemi</t>
        </is>
      </c>
      <c r="C2" s="65" t="inlineStr">
        <is>
          <t>Charlie</t>
        </is>
      </c>
      <c r="D2" s="66" t="inlineStr">
        <is>
          <t>M</t>
        </is>
      </c>
      <c r="E2" s="66" t="inlineStr">
        <is>
          <t>N</t>
        </is>
      </c>
      <c r="F2" s="66" t="inlineStr">
        <is>
          <t>N</t>
        </is>
      </c>
      <c r="G2" s="34" t="n">
        <v>100</v>
      </c>
      <c r="H2" s="34" t="n">
        <v>108</v>
      </c>
      <c r="I2" s="67">
        <f>IF(ISNUMBER(tblY7[[#This Row],[Avg KS2]]),IFERROR(VLOOKUP(STANDARDIZE(tblY7[[#This Row],[Avg KS2]],AVERAGE(tblY7[[Avg KS2]]),_xlfn.STDEV.P(tblY7[[Avg KS2]])),_Stanine,2),5),"")</f>
        <v>6</v>
      </c>
      <c r="J2" s="66" t="inlineStr">
        <is>
          <t>7B/Sc2</t>
        </is>
      </c>
      <c r="K2" s="67">
        <f>IF(tblY7[[#This Row],[Preferred Last name]]="","",COUNTIFS($N$1:$ZZ$1,"*"&amp;CHAR(10)&amp;"Stanine",$N2:$ZZ2,"&gt;=1"))</f>
        <v>4</v>
      </c>
      <c r="L2" s="68">
        <f>IFERROR(AVERAGEIF($N$1:$ZZ$1,"*"&amp;CHAR(10)&amp;"Stanine",$N2:$ZZ2),"")</f>
        <v>5.5</v>
      </c>
      <c r="M2" s="69">
        <f>IF(AND(ISNUMBER(tblY7[[#This Row],[Mean Stanine]]),ISNUMBER(tblY7[[#This Row],[Avg KS2 Band]])),tblY7[[#This Row],[Mean Stanine]]-tblY7[[#This Row],[Avg KS2 Band]],"")</f>
        <v>-0.5</v>
      </c>
      <c r="N2" s="66" t="n">
        <v>22</v>
      </c>
      <c r="O2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2" s="66" t="n">
        <v>19</v>
      </c>
      <c r="Q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2" s="66" t="n">
        <v>14</v>
      </c>
      <c r="S2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2" s="66" t="n">
        <v>16</v>
      </c>
      <c r="U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3">
      <c r="A3" s="65" t="inlineStr">
        <is>
          <t>X904678824979</t>
        </is>
      </c>
      <c r="B3" s="65" t="inlineStr">
        <is>
          <t>Adeyemi</t>
        </is>
      </c>
      <c r="C3" s="65" t="inlineStr">
        <is>
          <t>Niamh</t>
        </is>
      </c>
      <c r="D3" s="66" t="inlineStr">
        <is>
          <t>M</t>
        </is>
      </c>
      <c r="E3" s="66" t="inlineStr">
        <is>
          <t>N</t>
        </is>
      </c>
      <c r="F3" s="66" t="inlineStr">
        <is>
          <t>Y</t>
        </is>
      </c>
      <c r="G3" s="34" t="n">
        <v>97.2</v>
      </c>
      <c r="H3" s="34" t="n">
        <v>107</v>
      </c>
      <c r="I3" s="67">
        <f>IF(ISNUMBER(tblY7[[#This Row],[Avg KS2]]),IFERROR(VLOOKUP(STANDARDIZE(tblY7[[#This Row],[Avg KS2]],AVERAGE(tblY7[[Avg KS2]]),_xlfn.STDEV.P(tblY7[[Avg KS2]])),_Stanine,2),5),"")</f>
        <v>5</v>
      </c>
      <c r="J3" s="66" t="inlineStr">
        <is>
          <t>7B/Sc1</t>
        </is>
      </c>
      <c r="K3" s="67">
        <f>IF(tblY7[[#This Row],[Preferred Last name]]="","",COUNTIFS($N$1:$ZZ$1,"*"&amp;CHAR(10)&amp;"Stanine",$N3:$ZZ3,"&gt;=1"))</f>
        <v>4</v>
      </c>
      <c r="L3" s="68">
        <f>IFERROR(AVERAGEIF($N$1:$ZZ$1,"*"&amp;CHAR(10)&amp;"Stanine",$N3:$ZZ3),"")</f>
        <v>6.25</v>
      </c>
      <c r="M3" s="69">
        <f>IF(AND(ISNUMBER(tblY7[[#This Row],[Mean Stanine]]),ISNUMBER(tblY7[[#This Row],[Avg KS2 Band]])),tblY7[[#This Row],[Mean Stanine]]-tblY7[[#This Row],[Avg KS2 Band]],"")</f>
        <v>1.25</v>
      </c>
      <c r="N3" s="66" t="n">
        <v>26</v>
      </c>
      <c r="O3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3" s="66" t="n">
        <v>17</v>
      </c>
      <c r="Q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3" s="66" t="n">
        <v>22</v>
      </c>
      <c r="S3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3" s="66" t="n">
        <v>16</v>
      </c>
      <c r="U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4">
      <c r="A4" s="65" t="inlineStr">
        <is>
          <t>X907237784673</t>
        </is>
      </c>
      <c r="B4" s="65" t="inlineStr">
        <is>
          <t>Adeyemi</t>
        </is>
      </c>
      <c r="C4" s="65" t="inlineStr">
        <is>
          <t>Sophie</t>
        </is>
      </c>
      <c r="D4" s="66" t="inlineStr">
        <is>
          <t>M</t>
        </is>
      </c>
      <c r="E4" s="66" t="inlineStr">
        <is>
          <t>N</t>
        </is>
      </c>
      <c r="F4" s="66" t="inlineStr">
        <is>
          <t>N</t>
        </is>
      </c>
      <c r="G4" s="34" t="n">
        <v>99.59999999999999</v>
      </c>
      <c r="H4" s="34" t="n">
        <v>113.5</v>
      </c>
      <c r="I4" s="67">
        <f>IF(ISNUMBER(tblY7[[#This Row],[Avg KS2]]),IFERROR(VLOOKUP(STANDARDIZE(tblY7[[#This Row],[Avg KS2]],AVERAGE(tblY7[[Avg KS2]]),_xlfn.STDEV.P(tblY7[[Avg KS2]])),_Stanine,2),5),"")</f>
        <v>8</v>
      </c>
      <c r="J4" s="66" t="inlineStr">
        <is>
          <t>7A/Sc1</t>
        </is>
      </c>
      <c r="K4" s="67">
        <f>IF(tblY7[[#This Row],[Preferred Last name]]="","",COUNTIFS($N$1:$ZZ$1,"*"&amp;CHAR(10)&amp;"Stanine",$N4:$ZZ4,"&gt;=1"))</f>
        <v>4</v>
      </c>
      <c r="L4" s="68">
        <f>IFERROR(AVERAGEIF($N$1:$ZZ$1,"*"&amp;CHAR(10)&amp;"Stanine",$N4:$ZZ4),"")</f>
        <v>8.5</v>
      </c>
      <c r="M4" s="69">
        <f>IF(AND(ISNUMBER(tblY7[[#This Row],[Mean Stanine]]),ISNUMBER(tblY7[[#This Row],[Avg KS2 Band]])),tblY7[[#This Row],[Mean Stanine]]-tblY7[[#This Row],[Avg KS2 Band]],"")</f>
        <v>0.5</v>
      </c>
      <c r="N4" s="66" t="n">
        <v>26</v>
      </c>
      <c r="O4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4" s="66" t="n">
        <v>23</v>
      </c>
      <c r="Q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4" s="66" t="n">
        <v>26</v>
      </c>
      <c r="S4" s="67">
        <f>IF(ISNUMBER(tblY7[[#This Row],[7P01 - Forces
Raw Score]]),IFERROR(VLOOKUP(STANDARDIZE(tblY7[[#This Row],[7P01 - Forces
Raw Score]],AVERAGE(tblY7[[7P01 - Forces
Raw Score]]),_xlfn.STDEV.P(tblY7[[7P01 - Forces
Raw Score]])),_Stanine,2),5),"")</f>
        <v>9</v>
      </c>
      <c r="T4" s="66" t="n">
        <v>25</v>
      </c>
      <c r="U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9</v>
      </c>
    </row>
    <row r="5">
      <c r="A5" s="65" t="inlineStr">
        <is>
          <t>X904418637341</t>
        </is>
      </c>
      <c r="B5" s="65" t="inlineStr">
        <is>
          <t>Barker</t>
        </is>
      </c>
      <c r="C5" s="65" t="inlineStr">
        <is>
          <t>Ivy</t>
        </is>
      </c>
      <c r="D5" s="66" t="inlineStr">
        <is>
          <t>F</t>
        </is>
      </c>
      <c r="E5" s="66" t="inlineStr">
        <is>
          <t>N</t>
        </is>
      </c>
      <c r="F5" s="66" t="inlineStr">
        <is>
          <t>N</t>
        </is>
      </c>
      <c r="G5" s="34" t="n">
        <v>95.5</v>
      </c>
      <c r="H5" s="34" t="n">
        <v>108.5</v>
      </c>
      <c r="I5" s="67">
        <f>IF(ISNUMBER(tblY7[[#This Row],[Avg KS2]]),IFERROR(VLOOKUP(STANDARDIZE(tblY7[[#This Row],[Avg KS2]],AVERAGE(tblY7[[Avg KS2]]),_xlfn.STDEV.P(tblY7[[Avg KS2]])),_Stanine,2),5),"")</f>
        <v>6</v>
      </c>
      <c r="J5" s="66" t="inlineStr">
        <is>
          <t>7A/Sc1</t>
        </is>
      </c>
      <c r="K5" s="67">
        <f>IF(tblY7[[#This Row],[Preferred Last name]]="","",COUNTIFS($N$1:$ZZ$1,"*"&amp;CHAR(10)&amp;"Stanine",$N5:$ZZ5,"&gt;=1"))</f>
        <v>4</v>
      </c>
      <c r="L5" s="68">
        <f>IFERROR(AVERAGEIF($N$1:$ZZ$1,"*"&amp;CHAR(10)&amp;"Stanine",$N5:$ZZ5),"")</f>
        <v>4.75</v>
      </c>
      <c r="M5" s="69">
        <f>IF(AND(ISNUMBER(tblY7[[#This Row],[Mean Stanine]]),ISNUMBER(tblY7[[#This Row],[Avg KS2 Band]])),tblY7[[#This Row],[Mean Stanine]]-tblY7[[#This Row],[Avg KS2 Band]],"")</f>
        <v>-1.25</v>
      </c>
      <c r="N5" s="66" t="n">
        <v>20</v>
      </c>
      <c r="O5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5" s="66" t="n">
        <v>17</v>
      </c>
      <c r="Q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5" s="66" t="n">
        <v>13</v>
      </c>
      <c r="S5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5" s="66" t="n">
        <v>11</v>
      </c>
      <c r="U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6">
      <c r="A6" s="65" t="inlineStr">
        <is>
          <t>X900733295235</t>
        </is>
      </c>
      <c r="B6" s="65" t="inlineStr">
        <is>
          <t>Barker</t>
        </is>
      </c>
      <c r="C6" s="65" t="inlineStr">
        <is>
          <t>Zofia</t>
        </is>
      </c>
      <c r="D6" s="66" t="inlineStr">
        <is>
          <t>M</t>
        </is>
      </c>
      <c r="E6" s="66" t="inlineStr">
        <is>
          <t>N</t>
        </is>
      </c>
      <c r="F6" s="66" t="inlineStr">
        <is>
          <t>N</t>
        </is>
      </c>
      <c r="G6" s="34" t="n">
        <v>94.09999999999999</v>
      </c>
      <c r="H6" s="34" t="n">
        <v>101.5</v>
      </c>
      <c r="I6" s="67">
        <f>IF(ISNUMBER(tblY7[[#This Row],[Avg KS2]]),IFERROR(VLOOKUP(STANDARDIZE(tblY7[[#This Row],[Avg KS2]],AVERAGE(tblY7[[Avg KS2]]),_xlfn.STDEV.P(tblY7[[Avg KS2]])),_Stanine,2),5),"")</f>
        <v>3</v>
      </c>
      <c r="J6" s="66" t="inlineStr">
        <is>
          <t>7A/Sc1</t>
        </is>
      </c>
      <c r="K6" s="67">
        <f>IF(tblY7[[#This Row],[Preferred Last name]]="","",COUNTIFS($N$1:$ZZ$1,"*"&amp;CHAR(10)&amp;"Stanine",$N6:$ZZ6,"&gt;=1"))</f>
        <v>4</v>
      </c>
      <c r="L6" s="68">
        <f>IFERROR(AVERAGEIF($N$1:$ZZ$1,"*"&amp;CHAR(10)&amp;"Stanine",$N6:$ZZ6),"")</f>
        <v>3</v>
      </c>
      <c r="M6" s="69">
        <f>IF(AND(ISNUMBER(tblY7[[#This Row],[Mean Stanine]]),ISNUMBER(tblY7[[#This Row],[Avg KS2 Band]])),tblY7[[#This Row],[Mean Stanine]]-tblY7[[#This Row],[Avg KS2 Band]],"")</f>
        <v>0</v>
      </c>
      <c r="N6" s="66" t="n">
        <v>12</v>
      </c>
      <c r="O6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6" s="66" t="n">
        <v>13</v>
      </c>
      <c r="Q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6" s="66" t="n">
        <v>11</v>
      </c>
      <c r="S6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6" s="66" t="n">
        <v>8</v>
      </c>
      <c r="U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7">
      <c r="A7" s="65" t="inlineStr">
        <is>
          <t>X902980975449</t>
        </is>
      </c>
      <c r="B7" s="65" t="inlineStr">
        <is>
          <t>Begum</t>
        </is>
      </c>
      <c r="C7" s="65" t="inlineStr">
        <is>
          <t>Isla</t>
        </is>
      </c>
      <c r="D7" s="66" t="inlineStr">
        <is>
          <t>F</t>
        </is>
      </c>
      <c r="E7" s="66" t="inlineStr">
        <is>
          <t>K</t>
        </is>
      </c>
      <c r="F7" s="66" t="inlineStr">
        <is>
          <t>N</t>
        </is>
      </c>
      <c r="G7" s="34" t="n">
        <v>88.40000000000001</v>
      </c>
      <c r="H7" s="34" t="n">
        <v>106</v>
      </c>
      <c r="I7" s="67">
        <f>IF(ISNUMBER(tblY7[[#This Row],[Avg KS2]]),IFERROR(VLOOKUP(STANDARDIZE(tblY7[[#This Row],[Avg KS2]],AVERAGE(tblY7[[Avg KS2]]),_xlfn.STDEV.P(tblY7[[Avg KS2]])),_Stanine,2),5),"")</f>
        <v>5</v>
      </c>
      <c r="J7" s="66" t="inlineStr">
        <is>
          <t>7B/Sc2</t>
        </is>
      </c>
      <c r="K7" s="67">
        <f>IF(tblY7[[#This Row],[Preferred Last name]]="","",COUNTIFS($N$1:$ZZ$1,"*"&amp;CHAR(10)&amp;"Stanine",$N7:$ZZ7,"&gt;=1"))</f>
        <v>4</v>
      </c>
      <c r="L7" s="68">
        <f>IFERROR(AVERAGEIF($N$1:$ZZ$1,"*"&amp;CHAR(10)&amp;"Stanine",$N7:$ZZ7),"")</f>
        <v>6.25</v>
      </c>
      <c r="M7" s="69">
        <f>IF(AND(ISNUMBER(tblY7[[#This Row],[Mean Stanine]]),ISNUMBER(tblY7[[#This Row],[Avg KS2 Band]])),tblY7[[#This Row],[Mean Stanine]]-tblY7[[#This Row],[Avg KS2 Band]],"")</f>
        <v>1.25</v>
      </c>
      <c r="N7" s="66" t="n">
        <v>21</v>
      </c>
      <c r="O7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7" s="66" t="n">
        <v>20</v>
      </c>
      <c r="Q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7" s="66" t="n">
        <v>18</v>
      </c>
      <c r="S7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7" s="66" t="n">
        <v>19</v>
      </c>
      <c r="U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8">
      <c r="A8" s="65" t="inlineStr">
        <is>
          <t>X909309755061</t>
        </is>
      </c>
      <c r="B8" s="65" t="inlineStr">
        <is>
          <t>Begum</t>
        </is>
      </c>
      <c r="C8" s="65" t="inlineStr">
        <is>
          <t>Zofia</t>
        </is>
      </c>
      <c r="D8" s="66" t="inlineStr">
        <is>
          <t>M</t>
        </is>
      </c>
      <c r="E8" s="66" t="n"/>
      <c r="F8" s="66" t="inlineStr">
        <is>
          <t>Y</t>
        </is>
      </c>
      <c r="G8" s="34" t="n">
        <v>89.5</v>
      </c>
      <c r="H8" s="34" t="n">
        <v>107.5</v>
      </c>
      <c r="I8" s="67">
        <f>IF(ISNUMBER(tblY7[[#This Row],[Avg KS2]]),IFERROR(VLOOKUP(STANDARDIZE(tblY7[[#This Row],[Avg KS2]],AVERAGE(tblY7[[Avg KS2]]),_xlfn.STDEV.P(tblY7[[Avg KS2]])),_Stanine,2),5),"")</f>
        <v>6</v>
      </c>
      <c r="J8" s="66" t="inlineStr">
        <is>
          <t>7B/Sc1</t>
        </is>
      </c>
      <c r="K8" s="67">
        <f>IF(tblY7[[#This Row],[Preferred Last name]]="","",COUNTIFS($N$1:$ZZ$1,"*"&amp;CHAR(10)&amp;"Stanine",$N8:$ZZ8,"&gt;=1"))</f>
        <v>4</v>
      </c>
      <c r="L8" s="68">
        <f>IFERROR(AVERAGEIF($N$1:$ZZ$1,"*"&amp;CHAR(10)&amp;"Stanine",$N8:$ZZ8),"")</f>
        <v>7.5</v>
      </c>
      <c r="M8" s="69">
        <f>IF(AND(ISNUMBER(tblY7[[#This Row],[Mean Stanine]]),ISNUMBER(tblY7[[#This Row],[Avg KS2 Band]])),tblY7[[#This Row],[Mean Stanine]]-tblY7[[#This Row],[Avg KS2 Band]],"")</f>
        <v>1.5</v>
      </c>
      <c r="N8" s="66" t="n">
        <v>22</v>
      </c>
      <c r="O8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8" s="66" t="n">
        <v>21</v>
      </c>
      <c r="Q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8" s="66" t="n">
        <v>23</v>
      </c>
      <c r="S8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8" s="66" t="n">
        <v>23</v>
      </c>
      <c r="U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9">
      <c r="A9" s="65" t="inlineStr">
        <is>
          <t>X907803163805</t>
        </is>
      </c>
      <c r="B9" s="65" t="inlineStr">
        <is>
          <t>Brown</t>
        </is>
      </c>
      <c r="C9" s="65" t="inlineStr">
        <is>
          <t>Hollie</t>
        </is>
      </c>
      <c r="D9" s="66" t="inlineStr">
        <is>
          <t>F</t>
        </is>
      </c>
      <c r="E9" s="66" t="inlineStr">
        <is>
          <t>K</t>
        </is>
      </c>
      <c r="F9" s="66" t="inlineStr">
        <is>
          <t>Y</t>
        </is>
      </c>
      <c r="G9" s="34" t="n">
        <v>89.3</v>
      </c>
      <c r="H9" s="34" t="n">
        <v>103</v>
      </c>
      <c r="I9" s="67">
        <f>IF(ISNUMBER(tblY7[[#This Row],[Avg KS2]]),IFERROR(VLOOKUP(STANDARDIZE(tblY7[[#This Row],[Avg KS2]],AVERAGE(tblY7[[Avg KS2]]),_xlfn.STDEV.P(tblY7[[Avg KS2]])),_Stanine,2),5),"")</f>
        <v>4</v>
      </c>
      <c r="J9" s="66" t="inlineStr">
        <is>
          <t>7A/Sc1</t>
        </is>
      </c>
      <c r="K9" s="67">
        <f>IF(tblY7[[#This Row],[Preferred Last name]]="","",COUNTIFS($N$1:$ZZ$1,"*"&amp;CHAR(10)&amp;"Stanine",$N9:$ZZ9,"&gt;=1"))</f>
        <v>4</v>
      </c>
      <c r="L9" s="68">
        <f>IFERROR(AVERAGEIF($N$1:$ZZ$1,"*"&amp;CHAR(10)&amp;"Stanine",$N9:$ZZ9),"")</f>
        <v>5.5</v>
      </c>
      <c r="M9" s="69">
        <f>IF(AND(ISNUMBER(tblY7[[#This Row],[Mean Stanine]]),ISNUMBER(tblY7[[#This Row],[Avg KS2 Band]])),tblY7[[#This Row],[Mean Stanine]]-tblY7[[#This Row],[Avg KS2 Band]],"")</f>
        <v>1.5</v>
      </c>
      <c r="N9" s="66" t="n">
        <v>16</v>
      </c>
      <c r="O9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9" s="66" t="n">
        <v>17</v>
      </c>
      <c r="Q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9" s="66" t="n">
        <v>20</v>
      </c>
      <c r="S9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9" s="66" t="n">
        <v>20</v>
      </c>
      <c r="U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10">
      <c r="A10" s="65" t="inlineStr">
        <is>
          <t>X905770538150</t>
        </is>
      </c>
      <c r="B10" s="65" t="inlineStr">
        <is>
          <t>Clarke</t>
        </is>
      </c>
      <c r="C10" s="65" t="inlineStr">
        <is>
          <t>Callum</t>
        </is>
      </c>
      <c r="D10" s="66" t="inlineStr">
        <is>
          <t>F</t>
        </is>
      </c>
      <c r="E10" s="66" t="inlineStr">
        <is>
          <t>N</t>
        </is>
      </c>
      <c r="F10" s="66" t="inlineStr">
        <is>
          <t>N</t>
        </is>
      </c>
      <c r="G10" s="34" t="n">
        <v>94.90000000000001</v>
      </c>
      <c r="H10" s="34" t="n">
        <v>105.5</v>
      </c>
      <c r="I10" s="67">
        <f>IF(ISNUMBER(tblY7[[#This Row],[Avg KS2]]),IFERROR(VLOOKUP(STANDARDIZE(tblY7[[#This Row],[Avg KS2]],AVERAGE(tblY7[[Avg KS2]]),_xlfn.STDEV.P(tblY7[[Avg KS2]])),_Stanine,2),5),"")</f>
        <v>5</v>
      </c>
      <c r="J10" s="66" t="inlineStr">
        <is>
          <t>7A/Sc2</t>
        </is>
      </c>
      <c r="K10" s="67">
        <f>IF(tblY7[[#This Row],[Preferred Last name]]="","",COUNTIFS($N$1:$ZZ$1,"*"&amp;CHAR(10)&amp;"Stanine",$N10:$ZZ10,"&gt;=1"))</f>
        <v>4</v>
      </c>
      <c r="L10" s="68">
        <f>IFERROR(AVERAGEIF($N$1:$ZZ$1,"*"&amp;CHAR(10)&amp;"Stanine",$N10:$ZZ10),"")</f>
        <v>4</v>
      </c>
      <c r="M10" s="69">
        <f>IF(AND(ISNUMBER(tblY7[[#This Row],[Mean Stanine]]),ISNUMBER(tblY7[[#This Row],[Avg KS2 Band]])),tblY7[[#This Row],[Mean Stanine]]-tblY7[[#This Row],[Avg KS2 Band]],"")</f>
        <v>-1</v>
      </c>
      <c r="N10" s="66" t="n">
        <v>16</v>
      </c>
      <c r="O10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0" s="66" t="n">
        <v>13</v>
      </c>
      <c r="Q1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" s="66" t="n">
        <v>13</v>
      </c>
      <c r="S10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0" s="66" t="n">
        <v>13</v>
      </c>
      <c r="U1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1">
      <c r="A11" s="65" t="inlineStr">
        <is>
          <t>X905691250393</t>
        </is>
      </c>
      <c r="B11" s="65" t="inlineStr">
        <is>
          <t>Clarke</t>
        </is>
      </c>
      <c r="C11" s="65" t="inlineStr">
        <is>
          <t>Dylan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Y</t>
        </is>
      </c>
      <c r="G11" s="34" t="n">
        <v>84.09999999999999</v>
      </c>
      <c r="H11" s="34" t="n">
        <v>102.5</v>
      </c>
      <c r="I11" s="67">
        <f>IF(ISNUMBER(tblY7[[#This Row],[Avg KS2]]),IFERROR(VLOOKUP(STANDARDIZE(tblY7[[#This Row],[Avg KS2]],AVERAGE(tblY7[[Avg KS2]]),_xlfn.STDEV.P(tblY7[[Avg KS2]])),_Stanine,2),5),"")</f>
        <v>4</v>
      </c>
      <c r="J11" s="66" t="inlineStr">
        <is>
          <t>7A/Sc2</t>
        </is>
      </c>
      <c r="K11" s="67">
        <f>IF(tblY7[[#This Row],[Preferred Last name]]="","",COUNTIFS($N$1:$ZZ$1,"*"&amp;CHAR(10)&amp;"Stanine",$N11:$ZZ11,"&gt;=1"))</f>
        <v>4</v>
      </c>
      <c r="L11" s="68">
        <f>IFERROR(AVERAGEIF($N$1:$ZZ$1,"*"&amp;CHAR(10)&amp;"Stanine",$N11:$ZZ11),"")</f>
        <v>4.25</v>
      </c>
      <c r="M11" s="69">
        <f>IF(AND(ISNUMBER(tblY7[[#This Row],[Mean Stanine]]),ISNUMBER(tblY7[[#This Row],[Avg KS2 Band]])),tblY7[[#This Row],[Mean Stanine]]-tblY7[[#This Row],[Avg KS2 Band]],"")</f>
        <v>0.25</v>
      </c>
      <c r="N11" s="66" t="n">
        <v>16</v>
      </c>
      <c r="O11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1" s="66" t="n">
        <v>17</v>
      </c>
      <c r="Q1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1" s="66" t="n">
        <v>12</v>
      </c>
      <c r="S11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1" s="66" t="n">
        <v>11</v>
      </c>
      <c r="U1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2">
      <c r="A12" s="65" t="inlineStr">
        <is>
          <t>X900094344765</t>
        </is>
      </c>
      <c r="B12" s="65" t="inlineStr">
        <is>
          <t>Clarke</t>
        </is>
      </c>
      <c r="C12" s="65" t="inlineStr">
        <is>
          <t>Ivy</t>
        </is>
      </c>
      <c r="D12" s="66" t="inlineStr">
        <is>
          <t>M</t>
        </is>
      </c>
      <c r="E12" s="66" t="inlineStr">
        <is>
          <t>N</t>
        </is>
      </c>
      <c r="F12" s="66" t="inlineStr">
        <is>
          <t>Y</t>
        </is>
      </c>
      <c r="G12" s="34" t="n">
        <v>89.5</v>
      </c>
      <c r="H12" s="34" t="n">
        <v>101.5</v>
      </c>
      <c r="I12" s="67">
        <f>IF(ISNUMBER(tblY7[[#This Row],[Avg KS2]]),IFERROR(VLOOKUP(STANDARDIZE(tblY7[[#This Row],[Avg KS2]],AVERAGE(tblY7[[Avg KS2]]),_xlfn.STDEV.P(tblY7[[Avg KS2]])),_Stanine,2),5),"")</f>
        <v>3</v>
      </c>
      <c r="J12" s="66" t="inlineStr">
        <is>
          <t>7A/Sc2</t>
        </is>
      </c>
      <c r="K12" s="67">
        <f>IF(tblY7[[#This Row],[Preferred Last name]]="","",COUNTIFS($N$1:$ZZ$1,"*"&amp;CHAR(10)&amp;"Stanine",$N12:$ZZ12,"&gt;=1"))</f>
        <v>4</v>
      </c>
      <c r="L12" s="68">
        <f>IFERROR(AVERAGEIF($N$1:$ZZ$1,"*"&amp;CHAR(10)&amp;"Stanine",$N12:$ZZ12),"")</f>
        <v>3.5</v>
      </c>
      <c r="M12" s="69">
        <f>IF(AND(ISNUMBER(tblY7[[#This Row],[Mean Stanine]]),ISNUMBER(tblY7[[#This Row],[Avg KS2 Band]])),tblY7[[#This Row],[Mean Stanine]]-tblY7[[#This Row],[Avg KS2 Band]],"")</f>
        <v>0.5</v>
      </c>
      <c r="N12" s="66" t="n">
        <v>15</v>
      </c>
      <c r="O12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2" s="66" t="n">
        <v>9</v>
      </c>
      <c r="Q1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12" s="66" t="n">
        <v>13</v>
      </c>
      <c r="S12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2" s="66" t="n">
        <v>13</v>
      </c>
      <c r="U1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3">
      <c r="A13" s="65" t="inlineStr">
        <is>
          <t>X907832876112</t>
        </is>
      </c>
      <c r="B13" s="65" t="inlineStr">
        <is>
          <t>Clarke</t>
        </is>
      </c>
      <c r="C13" s="65" t="inlineStr">
        <is>
          <t>Rosie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100</v>
      </c>
      <c r="H13" s="34" t="n">
        <v>109</v>
      </c>
      <c r="I13" s="67">
        <f>IF(ISNUMBER(tblY7[[#This Row],[Avg KS2]]),IFERROR(VLOOKUP(STANDARDIZE(tblY7[[#This Row],[Avg KS2]],AVERAGE(tblY7[[Avg KS2]]),_xlfn.STDEV.P(tblY7[[Avg KS2]])),_Stanine,2),5),"")</f>
        <v>6</v>
      </c>
      <c r="J13" s="66" t="inlineStr">
        <is>
          <t>7B/Sc2</t>
        </is>
      </c>
      <c r="K13" s="67">
        <f>IF(tblY7[[#This Row],[Preferred Last name]]="","",COUNTIFS($N$1:$ZZ$1,"*"&amp;CHAR(10)&amp;"Stanine",$N13:$ZZ13,"&gt;=1"))</f>
        <v>4</v>
      </c>
      <c r="L13" s="68">
        <f>IFERROR(AVERAGEIF($N$1:$ZZ$1,"*"&amp;CHAR(10)&amp;"Stanine",$N13:$ZZ13),"")</f>
        <v>4</v>
      </c>
      <c r="M13" s="69">
        <f>IF(AND(ISNUMBER(tblY7[[#This Row],[Mean Stanine]]),ISNUMBER(tblY7[[#This Row],[Avg KS2 Band]])),tblY7[[#This Row],[Mean Stanine]]-tblY7[[#This Row],[Avg KS2 Band]],"")</f>
        <v>-2</v>
      </c>
      <c r="N13" s="66" t="n">
        <v>11</v>
      </c>
      <c r="O13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13" s="66" t="n">
        <v>17</v>
      </c>
      <c r="Q1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3" s="66" t="n">
        <v>12</v>
      </c>
      <c r="S13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3" s="66" t="n">
        <v>12</v>
      </c>
      <c r="U1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4">
      <c r="A14" s="65" t="inlineStr">
        <is>
          <t>X902008757844</t>
        </is>
      </c>
      <c r="B14" s="65" t="inlineStr">
        <is>
          <t>Clarke</t>
        </is>
      </c>
      <c r="C14" s="65" t="inlineStr">
        <is>
          <t>Zofia</t>
        </is>
      </c>
      <c r="D14" s="66" t="inlineStr">
        <is>
          <t>F</t>
        </is>
      </c>
      <c r="E14" s="66" t="inlineStr">
        <is>
          <t>N</t>
        </is>
      </c>
      <c r="F14" s="66" t="inlineStr">
        <is>
          <t>N</t>
        </is>
      </c>
      <c r="G14" s="34" t="n">
        <v>87.90000000000001</v>
      </c>
      <c r="H14" s="34" t="n">
        <v>109.5</v>
      </c>
      <c r="I14" s="67">
        <f>IF(ISNUMBER(tblY7[[#This Row],[Avg KS2]]),IFERROR(VLOOKUP(STANDARDIZE(tblY7[[#This Row],[Avg KS2]],AVERAGE(tblY7[[Avg KS2]]),_xlfn.STDEV.P(tblY7[[Avg KS2]])),_Stanine,2),5),"")</f>
        <v>6</v>
      </c>
      <c r="J14" s="66" t="inlineStr">
        <is>
          <t>7A/Sc1</t>
        </is>
      </c>
      <c r="K14" s="67">
        <f>IF(tblY7[[#This Row],[Preferred Last name]]="","",COUNTIFS($N$1:$ZZ$1,"*"&amp;CHAR(10)&amp;"Stanine",$N14:$ZZ14,"&gt;=1"))</f>
        <v>4</v>
      </c>
      <c r="L14" s="68">
        <f>IFERROR(AVERAGEIF($N$1:$ZZ$1,"*"&amp;CHAR(10)&amp;"Stanine",$N14:$ZZ14),"")</f>
        <v>4.75</v>
      </c>
      <c r="M14" s="69">
        <f>IF(AND(ISNUMBER(tblY7[[#This Row],[Mean Stanine]]),ISNUMBER(tblY7[[#This Row],[Avg KS2 Band]])),tblY7[[#This Row],[Mean Stanine]]-tblY7[[#This Row],[Avg KS2 Band]],"")</f>
        <v>-1.25</v>
      </c>
      <c r="N14" s="66" t="n">
        <v>18</v>
      </c>
      <c r="O14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4" s="66" t="n">
        <v>16</v>
      </c>
      <c r="Q1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4" s="66" t="n">
        <v>15</v>
      </c>
      <c r="S14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4" s="66" t="n">
        <v>13</v>
      </c>
      <c r="U1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5">
      <c r="A15" s="65" t="inlineStr">
        <is>
          <t>X908039007922</t>
        </is>
      </c>
      <c r="B15" s="65" t="inlineStr">
        <is>
          <t>Cooper</t>
        </is>
      </c>
      <c r="C15" s="65" t="inlineStr">
        <is>
          <t>Jacob</t>
        </is>
      </c>
      <c r="D15" s="66" t="inlineStr">
        <is>
          <t>M</t>
        </is>
      </c>
      <c r="E15" s="66" t="n"/>
      <c r="F15" s="66" t="inlineStr">
        <is>
          <t>Y</t>
        </is>
      </c>
      <c r="G15" s="34" t="n">
        <v>93.8</v>
      </c>
      <c r="H15" s="34" t="n">
        <v>105</v>
      </c>
      <c r="I15" s="67">
        <f>IF(ISNUMBER(tblY7[[#This Row],[Avg KS2]]),IFERROR(VLOOKUP(STANDARDIZE(tblY7[[#This Row],[Avg KS2]],AVERAGE(tblY7[[Avg KS2]]),_xlfn.STDEV.P(tblY7[[Avg KS2]])),_Stanine,2),5),"")</f>
        <v>5</v>
      </c>
      <c r="J15" s="66" t="inlineStr">
        <is>
          <t>7A/Sc1</t>
        </is>
      </c>
      <c r="K15" s="67">
        <f>IF(tblY7[[#This Row],[Preferred Last name]]="","",COUNTIFS($N$1:$ZZ$1,"*"&amp;CHAR(10)&amp;"Stanine",$N15:$ZZ15,"&gt;=1"))</f>
        <v>4</v>
      </c>
      <c r="L15" s="68">
        <f>IFERROR(AVERAGEIF($N$1:$ZZ$1,"*"&amp;CHAR(10)&amp;"Stanine",$N15:$ZZ15),"")</f>
        <v>5.75</v>
      </c>
      <c r="M15" s="69">
        <f>IF(AND(ISNUMBER(tblY7[[#This Row],[Mean Stanine]]),ISNUMBER(tblY7[[#This Row],[Avg KS2 Band]])),tblY7[[#This Row],[Mean Stanine]]-tblY7[[#This Row],[Avg KS2 Band]],"")</f>
        <v>0.75</v>
      </c>
      <c r="N15" s="66" t="n">
        <v>20</v>
      </c>
      <c r="O15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15" s="66" t="n">
        <v>16</v>
      </c>
      <c r="Q1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5" s="66" t="n">
        <v>20</v>
      </c>
      <c r="S15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15" s="66" t="n">
        <v>17</v>
      </c>
      <c r="U1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16">
      <c r="A16" s="65" t="inlineStr">
        <is>
          <t>X907138827768</t>
        </is>
      </c>
      <c r="B16" s="65" t="inlineStr">
        <is>
          <t>Davies</t>
        </is>
      </c>
      <c r="C16" s="65" t="inlineStr">
        <is>
          <t>Ava</t>
        </is>
      </c>
      <c r="D16" s="66" t="inlineStr">
        <is>
          <t>M</t>
        </is>
      </c>
      <c r="E16" s="66" t="inlineStr">
        <is>
          <t>N</t>
        </is>
      </c>
      <c r="F16" s="66" t="inlineStr">
        <is>
          <t>N</t>
        </is>
      </c>
      <c r="G16" s="34" t="n">
        <v>96.59999999999999</v>
      </c>
      <c r="H16" s="34" t="n">
        <v>101.5</v>
      </c>
      <c r="I16" s="67">
        <f>IF(ISNUMBER(tblY7[[#This Row],[Avg KS2]]),IFERROR(VLOOKUP(STANDARDIZE(tblY7[[#This Row],[Avg KS2]],AVERAGE(tblY7[[Avg KS2]]),_xlfn.STDEV.P(tblY7[[Avg KS2]])),_Stanine,2),5),"")</f>
        <v>3</v>
      </c>
      <c r="J16" s="66" t="inlineStr">
        <is>
          <t>7B/Sc1</t>
        </is>
      </c>
      <c r="K16" s="67">
        <f>IF(tblY7[[#This Row],[Preferred Last name]]="","",COUNTIFS($N$1:$ZZ$1,"*"&amp;CHAR(10)&amp;"Stanine",$N16:$ZZ16,"&gt;=1"))</f>
        <v>4</v>
      </c>
      <c r="L16" s="68">
        <f>IFERROR(AVERAGEIF($N$1:$ZZ$1,"*"&amp;CHAR(10)&amp;"Stanine",$N16:$ZZ16),"")</f>
        <v>7.25</v>
      </c>
      <c r="M16" s="69">
        <f>IF(AND(ISNUMBER(tblY7[[#This Row],[Mean Stanine]]),ISNUMBER(tblY7[[#This Row],[Avg KS2 Band]])),tblY7[[#This Row],[Mean Stanine]]-tblY7[[#This Row],[Avg KS2 Band]],"")</f>
        <v>4.25</v>
      </c>
      <c r="N16" s="66" t="n">
        <v>21</v>
      </c>
      <c r="O16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16" s="66" t="n">
        <v>19</v>
      </c>
      <c r="Q1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6" s="66" t="n">
        <v>23</v>
      </c>
      <c r="S16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16" s="66" t="n">
        <v>25</v>
      </c>
      <c r="U1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9</v>
      </c>
    </row>
    <row r="17">
      <c r="A17" s="65" t="inlineStr">
        <is>
          <t>X907240736771</t>
        </is>
      </c>
      <c r="B17" s="65" t="inlineStr">
        <is>
          <t>Davies</t>
        </is>
      </c>
      <c r="C17" s="65" t="inlineStr">
        <is>
          <t>Layla</t>
        </is>
      </c>
      <c r="D17" s="66" t="inlineStr">
        <is>
          <t>M</t>
        </is>
      </c>
      <c r="E17" s="66" t="n"/>
      <c r="F17" s="66" t="inlineStr">
        <is>
          <t>Y</t>
        </is>
      </c>
      <c r="G17" s="34" t="n">
        <v>95.5</v>
      </c>
      <c r="H17" s="34" t="n">
        <v>102</v>
      </c>
      <c r="I17" s="67">
        <f>IF(ISNUMBER(tblY7[[#This Row],[Avg KS2]]),IFERROR(VLOOKUP(STANDARDIZE(tblY7[[#This Row],[Avg KS2]],AVERAGE(tblY7[[Avg KS2]]),_xlfn.STDEV.P(tblY7[[Avg KS2]])),_Stanine,2),5),"")</f>
        <v>4</v>
      </c>
      <c r="J17" s="66" t="inlineStr">
        <is>
          <t>7B/Sc2</t>
        </is>
      </c>
      <c r="K17" s="67">
        <f>IF(tblY7[[#This Row],[Preferred Last name]]="","",COUNTIFS($N$1:$ZZ$1,"*"&amp;CHAR(10)&amp;"Stanine",$N17:$ZZ17,"&gt;=1"))</f>
        <v>4</v>
      </c>
      <c r="L17" s="68">
        <f>IFERROR(AVERAGEIF($N$1:$ZZ$1,"*"&amp;CHAR(10)&amp;"Stanine",$N17:$ZZ17),"")</f>
        <v>5.5</v>
      </c>
      <c r="M17" s="69">
        <f>IF(AND(ISNUMBER(tblY7[[#This Row],[Mean Stanine]]),ISNUMBER(tblY7[[#This Row],[Avg KS2 Band]])),tblY7[[#This Row],[Mean Stanine]]-tblY7[[#This Row],[Avg KS2 Band]],"")</f>
        <v>1.5</v>
      </c>
      <c r="N17" s="66" t="n">
        <v>18</v>
      </c>
      <c r="O17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7" s="66" t="n">
        <v>18</v>
      </c>
      <c r="Q1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7" s="66" t="n">
        <v>15</v>
      </c>
      <c r="S17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7" s="66" t="n">
        <v>18</v>
      </c>
      <c r="U1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18">
      <c r="A18" s="65" t="inlineStr">
        <is>
          <t>X901566899158</t>
        </is>
      </c>
      <c r="B18" s="65" t="inlineStr">
        <is>
          <t>Edwards</t>
        </is>
      </c>
      <c r="C18" s="65" t="inlineStr">
        <is>
          <t>Noah</t>
        </is>
      </c>
      <c r="D18" s="66" t="inlineStr">
        <is>
          <t>M</t>
        </is>
      </c>
      <c r="E18" s="66" t="n"/>
      <c r="F18" s="66" t="inlineStr">
        <is>
          <t>N</t>
        </is>
      </c>
      <c r="G18" s="34" t="n">
        <v>90.90000000000001</v>
      </c>
      <c r="H18" s="34" t="n">
        <v>92</v>
      </c>
      <c r="I18" s="67">
        <f>IF(ISNUMBER(tblY7[[#This Row],[Avg KS2]]),IFERROR(VLOOKUP(STANDARDIZE(tblY7[[#This Row],[Avg KS2]],AVERAGE(tblY7[[Avg KS2]]),_xlfn.STDEV.P(tblY7[[Avg KS2]])),_Stanine,2),5),"")</f>
        <v>1</v>
      </c>
      <c r="J18" s="66" t="inlineStr">
        <is>
          <t>7B/Sc3</t>
        </is>
      </c>
      <c r="K18" s="67">
        <f>IF(tblY7[[#This Row],[Preferred Last name]]="","",COUNTIFS($N$1:$ZZ$1,"*"&amp;CHAR(10)&amp;"Stanine",$N18:$ZZ18,"&gt;=1"))</f>
        <v>3</v>
      </c>
      <c r="L18" s="68">
        <f>IFERROR(AVERAGEIF($N$1:$ZZ$1,"*"&amp;CHAR(10)&amp;"Stanine",$N18:$ZZ18),"")</f>
        <v>1</v>
      </c>
      <c r="M18" s="69">
        <f>IF(AND(ISNUMBER(tblY7[[#This Row],[Mean Stanine]]),ISNUMBER(tblY7[[#This Row],[Avg KS2 Band]])),tblY7[[#This Row],[Mean Stanine]]-tblY7[[#This Row],[Avg KS2 Band]],"")</f>
        <v>0</v>
      </c>
      <c r="N18" s="66" t="inlineStr">
        <is>
          <t>A</t>
        </is>
      </c>
      <c r="O18" s="67" t="str">
        <f>IF(ISNUMBER(tblY7[[#This Row],[7B01 - Cells
Raw Score]]),IFERROR(VLOOKUP(STANDARDIZE(tblY7[[#This Row],[7B01 - Cells
Raw Score]],AVERAGE(tblY7[[7B01 - Cells
Raw Score]]),_xlfn.STDEV.P(tblY7[[7B01 - Cells
Raw Score]])),_Stanine,2),5),"")</f>
        <v/>
      </c>
      <c r="P18" s="66" t="n">
        <v>3</v>
      </c>
      <c r="Q1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18" s="66" t="n">
        <v>1</v>
      </c>
      <c r="S18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18" s="66" t="n">
        <v>3</v>
      </c>
      <c r="U1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1</v>
      </c>
    </row>
    <row r="19">
      <c r="A19" s="65" t="inlineStr">
        <is>
          <t>X908404349436</t>
        </is>
      </c>
      <c r="B19" s="65" t="inlineStr">
        <is>
          <t>Evans</t>
        </is>
      </c>
      <c r="C19" s="65" t="inlineStr">
        <is>
          <t>Amara</t>
        </is>
      </c>
      <c r="D19" s="66" t="inlineStr">
        <is>
          <t>M</t>
        </is>
      </c>
      <c r="E19" s="66" t="n"/>
      <c r="F19" s="66" t="inlineStr">
        <is>
          <t>Y</t>
        </is>
      </c>
      <c r="G19" s="34" t="n">
        <v>93.40000000000001</v>
      </c>
      <c r="H19" s="34" t="n">
        <v>106</v>
      </c>
      <c r="I19" s="67">
        <f>IF(ISNUMBER(tblY7[[#This Row],[Avg KS2]]),IFERROR(VLOOKUP(STANDARDIZE(tblY7[[#This Row],[Avg KS2]],AVERAGE(tblY7[[Avg KS2]]),_xlfn.STDEV.P(tblY7[[Avg KS2]])),_Stanine,2),5),"")</f>
        <v>5</v>
      </c>
      <c r="J19" s="66" t="inlineStr">
        <is>
          <t>7A/Sc1</t>
        </is>
      </c>
      <c r="K19" s="67">
        <f>IF(tblY7[[#This Row],[Preferred Last name]]="","",COUNTIFS($N$1:$ZZ$1,"*"&amp;CHAR(10)&amp;"Stanine",$N19:$ZZ19,"&gt;=1"))</f>
        <v>4</v>
      </c>
      <c r="L19" s="68">
        <f>IFERROR(AVERAGEIF($N$1:$ZZ$1,"*"&amp;CHAR(10)&amp;"Stanine",$N19:$ZZ19),"")</f>
        <v>6</v>
      </c>
      <c r="M19" s="69">
        <f>IF(AND(ISNUMBER(tblY7[[#This Row],[Mean Stanine]]),ISNUMBER(tblY7[[#This Row],[Avg KS2 Band]])),tblY7[[#This Row],[Mean Stanine]]-tblY7[[#This Row],[Avg KS2 Band]],"")</f>
        <v>1</v>
      </c>
      <c r="N19" s="66" t="n">
        <v>18</v>
      </c>
      <c r="O19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9" s="66" t="n">
        <v>21</v>
      </c>
      <c r="Q1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19" s="66" t="n">
        <v>15</v>
      </c>
      <c r="S19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9" s="66" t="n">
        <v>21</v>
      </c>
      <c r="U1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20">
      <c r="A20" s="65" t="inlineStr">
        <is>
          <t>X901059970775</t>
        </is>
      </c>
      <c r="B20" s="65" t="inlineStr">
        <is>
          <t>Evans</t>
        </is>
      </c>
      <c r="C20" s="65" t="inlineStr">
        <is>
          <t>Callum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92.5</v>
      </c>
      <c r="H20" s="34" t="n">
        <v>108</v>
      </c>
      <c r="I20" s="67">
        <f>IF(ISNUMBER(tblY7[[#This Row],[Avg KS2]]),IFERROR(VLOOKUP(STANDARDIZE(tblY7[[#This Row],[Avg KS2]],AVERAGE(tblY7[[Avg KS2]]),_xlfn.STDEV.P(tblY7[[Avg KS2]])),_Stanine,2),5),"")</f>
        <v>6</v>
      </c>
      <c r="J20" s="66" t="inlineStr">
        <is>
          <t>7B/Sc1</t>
        </is>
      </c>
      <c r="K20" s="67">
        <f>IF(tblY7[[#This Row],[Preferred Last name]]="","",COUNTIFS($N$1:$ZZ$1,"*"&amp;CHAR(10)&amp;"Stanine",$N20:$ZZ20,"&gt;=1"))</f>
        <v>4</v>
      </c>
      <c r="L20" s="68">
        <f>IFERROR(AVERAGEIF($N$1:$ZZ$1,"*"&amp;CHAR(10)&amp;"Stanine",$N20:$ZZ20),"")</f>
        <v>6.75</v>
      </c>
      <c r="M20" s="69">
        <f>IF(AND(ISNUMBER(tblY7[[#This Row],[Mean Stanine]]),ISNUMBER(tblY7[[#This Row],[Avg KS2 Band]])),tblY7[[#This Row],[Mean Stanine]]-tblY7[[#This Row],[Avg KS2 Band]],"")</f>
        <v>0.75</v>
      </c>
      <c r="N20" s="66" t="n">
        <v>23</v>
      </c>
      <c r="O20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20" s="66" t="n">
        <v>18</v>
      </c>
      <c r="Q2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20" s="66" t="n">
        <v>22</v>
      </c>
      <c r="S20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20" s="66" t="n">
        <v>21</v>
      </c>
      <c r="U2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21">
      <c r="A21" s="65" t="inlineStr">
        <is>
          <t>X908047966686</t>
        </is>
      </c>
      <c r="B21" s="65" t="inlineStr">
        <is>
          <t>Evans</t>
        </is>
      </c>
      <c r="C21" s="65" t="inlineStr">
        <is>
          <t>Chidi</t>
        </is>
      </c>
      <c r="D21" s="66" t="inlineStr">
        <is>
          <t>F</t>
        </is>
      </c>
      <c r="E21" s="66" t="n"/>
      <c r="F21" s="66" t="inlineStr">
        <is>
          <t>N</t>
        </is>
      </c>
      <c r="G21" s="34" t="n">
        <v>96.2</v>
      </c>
      <c r="H21" s="34" t="n">
        <v>102.5</v>
      </c>
      <c r="I21" s="67">
        <f>IF(ISNUMBER(tblY7[[#This Row],[Avg KS2]]),IFERROR(VLOOKUP(STANDARDIZE(tblY7[[#This Row],[Avg KS2]],AVERAGE(tblY7[[Avg KS2]]),_xlfn.STDEV.P(tblY7[[Avg KS2]])),_Stanine,2),5),"")</f>
        <v>4</v>
      </c>
      <c r="J21" s="66" t="inlineStr">
        <is>
          <t>7B/Sc2</t>
        </is>
      </c>
      <c r="K21" s="67">
        <f>IF(tblY7[[#This Row],[Preferred Last name]]="","",COUNTIFS($N$1:$ZZ$1,"*"&amp;CHAR(10)&amp;"Stanine",$N21:$ZZ21,"&gt;=1"))</f>
        <v>4</v>
      </c>
      <c r="L21" s="68">
        <f>IFERROR(AVERAGEIF($N$1:$ZZ$1,"*"&amp;CHAR(10)&amp;"Stanine",$N21:$ZZ21),"")</f>
        <v>2</v>
      </c>
      <c r="M21" s="69">
        <f>IF(AND(ISNUMBER(tblY7[[#This Row],[Mean Stanine]]),ISNUMBER(tblY7[[#This Row],[Avg KS2 Band]])),tblY7[[#This Row],[Mean Stanine]]-tblY7[[#This Row],[Avg KS2 Band]],"")</f>
        <v>-2</v>
      </c>
      <c r="N21" s="66" t="n">
        <v>9</v>
      </c>
      <c r="O21" s="67">
        <f>IF(ISNUMBER(tblY7[[#This Row],[7B01 - Cells
Raw Score]]),IFERROR(VLOOKUP(STANDARDIZE(tblY7[[#This Row],[7B01 - Cells
Raw Score]],AVERAGE(tblY7[[7B01 - Cells
Raw Score]]),_xlfn.STDEV.P(tblY7[[7B01 - Cells
Raw Score]])),_Stanine,2),5),"")</f>
        <v>2</v>
      </c>
      <c r="P21" s="66" t="n">
        <v>6</v>
      </c>
      <c r="Q2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21" s="66" t="n">
        <v>11</v>
      </c>
      <c r="S21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21" s="66" t="n">
        <v>8</v>
      </c>
      <c r="U2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22">
      <c r="A22" s="65" t="inlineStr">
        <is>
          <t>X904848072846</t>
        </is>
      </c>
      <c r="B22" s="65" t="inlineStr">
        <is>
          <t>Evans</t>
        </is>
      </c>
      <c r="C22" s="65" t="inlineStr">
        <is>
          <t>George</t>
        </is>
      </c>
      <c r="D22" s="66" t="inlineStr">
        <is>
          <t>F</t>
        </is>
      </c>
      <c r="E22" s="66" t="n"/>
      <c r="F22" s="66" t="inlineStr">
        <is>
          <t>Y</t>
        </is>
      </c>
      <c r="G22" s="34" t="n">
        <v>94.09999999999999</v>
      </c>
      <c r="H22" s="34" t="n">
        <v>106</v>
      </c>
      <c r="I22" s="67">
        <f>IF(ISNUMBER(tblY7[[#This Row],[Avg KS2]]),IFERROR(VLOOKUP(STANDARDIZE(tblY7[[#This Row],[Avg KS2]],AVERAGE(tblY7[[Avg KS2]]),_xlfn.STDEV.P(tblY7[[Avg KS2]])),_Stanine,2),5),"")</f>
        <v>5</v>
      </c>
      <c r="J22" s="66" t="inlineStr">
        <is>
          <t>7B/Sc2</t>
        </is>
      </c>
      <c r="K22" s="67">
        <f>IF(tblY7[[#This Row],[Preferred Last name]]="","",COUNTIFS($N$1:$ZZ$1,"*"&amp;CHAR(10)&amp;"Stanine",$N22:$ZZ22,"&gt;=1"))</f>
        <v>4</v>
      </c>
      <c r="L22" s="68">
        <f>IFERROR(AVERAGEIF($N$1:$ZZ$1,"*"&amp;CHAR(10)&amp;"Stanine",$N22:$ZZ22),"")</f>
        <v>2.25</v>
      </c>
      <c r="M22" s="69">
        <f>IF(AND(ISNUMBER(tblY7[[#This Row],[Mean Stanine]]),ISNUMBER(tblY7[[#This Row],[Avg KS2 Band]])),tblY7[[#This Row],[Mean Stanine]]-tblY7[[#This Row],[Avg KS2 Band]],"")</f>
        <v>-2.75</v>
      </c>
      <c r="N22" s="66" t="n">
        <v>14</v>
      </c>
      <c r="O22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22" s="66" t="n">
        <v>7</v>
      </c>
      <c r="Q2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22" s="66" t="n">
        <v>8</v>
      </c>
      <c r="S22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22" s="66" t="n">
        <v>8</v>
      </c>
      <c r="U2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23">
      <c r="A23" s="65" t="inlineStr">
        <is>
          <t>X901347255701</t>
        </is>
      </c>
      <c r="B23" s="65" t="inlineStr">
        <is>
          <t>Evans</t>
        </is>
      </c>
      <c r="C23" s="65" t="inlineStr">
        <is>
          <t>Keira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N</t>
        </is>
      </c>
      <c r="G23" s="34" t="n">
        <v>88.2</v>
      </c>
      <c r="H23" s="34" t="n">
        <v>101</v>
      </c>
      <c r="I23" s="67">
        <f>IF(ISNUMBER(tblY7[[#This Row],[Avg KS2]]),IFERROR(VLOOKUP(STANDARDIZE(tblY7[[#This Row],[Avg KS2]],AVERAGE(tblY7[[Avg KS2]]),_xlfn.STDEV.P(tblY7[[Avg KS2]])),_Stanine,2),5),"")</f>
        <v>3</v>
      </c>
      <c r="J23" s="66" t="inlineStr">
        <is>
          <t>7A/Sc2</t>
        </is>
      </c>
      <c r="K23" s="67">
        <f>IF(tblY7[[#This Row],[Preferred Last name]]="","",COUNTIFS($N$1:$ZZ$1,"*"&amp;CHAR(10)&amp;"Stanine",$N23:$ZZ23,"&gt;=1"))</f>
        <v>4</v>
      </c>
      <c r="L23" s="68">
        <f>IFERROR(AVERAGEIF($N$1:$ZZ$1,"*"&amp;CHAR(10)&amp;"Stanine",$N23:$ZZ23),"")</f>
        <v>2.75</v>
      </c>
      <c r="M23" s="69">
        <f>IF(AND(ISNUMBER(tblY7[[#This Row],[Mean Stanine]]),ISNUMBER(tblY7[[#This Row],[Avg KS2 Band]])),tblY7[[#This Row],[Mean Stanine]]-tblY7[[#This Row],[Avg KS2 Band]],"")</f>
        <v>-0.25</v>
      </c>
      <c r="N23" s="66" t="n">
        <v>13</v>
      </c>
      <c r="O23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23" s="66" t="n">
        <v>11</v>
      </c>
      <c r="Q2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23" s="66" t="n">
        <v>8</v>
      </c>
      <c r="S23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23" s="66" t="n">
        <v>10</v>
      </c>
      <c r="U2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24">
      <c r="A24" s="65" t="inlineStr">
        <is>
          <t>X906793665062</t>
        </is>
      </c>
      <c r="B24" s="65" t="inlineStr">
        <is>
          <t>Evans</t>
        </is>
      </c>
      <c r="C24" s="65" t="inlineStr">
        <is>
          <t>Rosie</t>
        </is>
      </c>
      <c r="D24" s="66" t="inlineStr">
        <is>
          <t>M</t>
        </is>
      </c>
      <c r="E24" s="66" t="inlineStr">
        <is>
          <t>N</t>
        </is>
      </c>
      <c r="F24" s="66" t="inlineStr">
        <is>
          <t>Y</t>
        </is>
      </c>
      <c r="G24" s="34" t="n">
        <v>93.09999999999999</v>
      </c>
      <c r="H24" s="34" t="n">
        <v>111.5</v>
      </c>
      <c r="I24" s="67">
        <f>IF(ISNUMBER(tblY7[[#This Row],[Avg KS2]]),IFERROR(VLOOKUP(STANDARDIZE(tblY7[[#This Row],[Avg KS2]],AVERAGE(tblY7[[Avg KS2]]),_xlfn.STDEV.P(tblY7[[Avg KS2]])),_Stanine,2),5),"")</f>
        <v>7</v>
      </c>
      <c r="J24" s="66" t="inlineStr">
        <is>
          <t>7B/Sc3</t>
        </is>
      </c>
      <c r="K24" s="67">
        <f>IF(tblY7[[#This Row],[Preferred Last name]]="","",COUNTIFS($N$1:$ZZ$1,"*"&amp;CHAR(10)&amp;"Stanine",$N24:$ZZ24,"&gt;=1"))</f>
        <v>4</v>
      </c>
      <c r="L24" s="68">
        <f>IFERROR(AVERAGEIF($N$1:$ZZ$1,"*"&amp;CHAR(10)&amp;"Stanine",$N24:$ZZ24),"")</f>
        <v>7</v>
      </c>
      <c r="M24" s="69">
        <f>IF(AND(ISNUMBER(tblY7[[#This Row],[Mean Stanine]]),ISNUMBER(tblY7[[#This Row],[Avg KS2 Band]])),tblY7[[#This Row],[Mean Stanine]]-tblY7[[#This Row],[Avg KS2 Band]],"")</f>
        <v>0</v>
      </c>
      <c r="N24" s="66" t="n">
        <v>24</v>
      </c>
      <c r="O24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24" s="66" t="n">
        <v>19</v>
      </c>
      <c r="Q2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24" s="66" t="n">
        <v>21</v>
      </c>
      <c r="S24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24" s="66" t="n">
        <v>22</v>
      </c>
      <c r="U2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25">
      <c r="A25" s="65" t="inlineStr">
        <is>
          <t>X906685370089</t>
        </is>
      </c>
      <c r="B25" s="65" t="inlineStr">
        <is>
          <t>Fletcher</t>
        </is>
      </c>
      <c r="C25" s="65" t="inlineStr">
        <is>
          <t>Amara</t>
        </is>
      </c>
      <c r="D25" s="66" t="inlineStr">
        <is>
          <t>F</t>
        </is>
      </c>
      <c r="E25" s="66" t="n"/>
      <c r="F25" s="66" t="inlineStr">
        <is>
          <t>N</t>
        </is>
      </c>
      <c r="G25" s="34" t="n">
        <v>96.59999999999999</v>
      </c>
      <c r="H25" s="34" t="n">
        <v>115</v>
      </c>
      <c r="I25" s="67">
        <f>IF(ISNUMBER(tblY7[[#This Row],[Avg KS2]]),IFERROR(VLOOKUP(STANDARDIZE(tblY7[[#This Row],[Avg KS2]],AVERAGE(tblY7[[Avg KS2]]),_xlfn.STDEV.P(tblY7[[Avg KS2]])),_Stanine,2),5),"")</f>
        <v>8</v>
      </c>
      <c r="J25" s="66" t="inlineStr">
        <is>
          <t>7A/Sc1</t>
        </is>
      </c>
      <c r="K25" s="67">
        <f>IF(tblY7[[#This Row],[Preferred Last name]]="","",COUNTIFS($N$1:$ZZ$1,"*"&amp;CHAR(10)&amp;"Stanine",$N25:$ZZ25,"&gt;=1"))</f>
        <v>4</v>
      </c>
      <c r="L25" s="68">
        <f>IFERROR(AVERAGEIF($N$1:$ZZ$1,"*"&amp;CHAR(10)&amp;"Stanine",$N25:$ZZ25),"")</f>
        <v>7.75</v>
      </c>
      <c r="M25" s="69">
        <f>IF(AND(ISNUMBER(tblY7[[#This Row],[Mean Stanine]]),ISNUMBER(tblY7[[#This Row],[Avg KS2 Band]])),tblY7[[#This Row],[Mean Stanine]]-tblY7[[#This Row],[Avg KS2 Band]],"")</f>
        <v>-0.25</v>
      </c>
      <c r="N25" s="66" t="n">
        <v>26</v>
      </c>
      <c r="O25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25" s="66" t="n">
        <v>23</v>
      </c>
      <c r="Q2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25" s="66" t="n">
        <v>25</v>
      </c>
      <c r="S25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25" s="66" t="n">
        <v>21</v>
      </c>
      <c r="U2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26">
      <c r="A26" s="65" t="inlineStr">
        <is>
          <t>X904385873535</t>
        </is>
      </c>
      <c r="B26" s="65" t="inlineStr">
        <is>
          <t>Fletcher</t>
        </is>
      </c>
      <c r="C26" s="65" t="inlineStr">
        <is>
          <t>Muhammad</t>
        </is>
      </c>
      <c r="D26" s="66" t="inlineStr">
        <is>
          <t>F</t>
        </is>
      </c>
      <c r="E26" s="66" t="inlineStr">
        <is>
          <t>K</t>
        </is>
      </c>
      <c r="F26" s="66" t="inlineStr">
        <is>
          <t>Y</t>
        </is>
      </c>
      <c r="G26" s="34" t="n">
        <v>89.3</v>
      </c>
      <c r="H26" s="34" t="n">
        <v>101</v>
      </c>
      <c r="I26" s="67">
        <f>IF(ISNUMBER(tblY7[[#This Row],[Avg KS2]]),IFERROR(VLOOKUP(STANDARDIZE(tblY7[[#This Row],[Avg KS2]],AVERAGE(tblY7[[Avg KS2]]),_xlfn.STDEV.P(tblY7[[Avg KS2]])),_Stanine,2),5),"")</f>
        <v>3</v>
      </c>
      <c r="J26" s="66" t="inlineStr">
        <is>
          <t>7B/Sc3</t>
        </is>
      </c>
      <c r="K26" s="67">
        <f>IF(tblY7[[#This Row],[Preferred Last name]]="","",COUNTIFS($N$1:$ZZ$1,"*"&amp;CHAR(10)&amp;"Stanine",$N26:$ZZ26,"&gt;=1"))</f>
        <v>4</v>
      </c>
      <c r="L26" s="68">
        <f>IFERROR(AVERAGEIF($N$1:$ZZ$1,"*"&amp;CHAR(10)&amp;"Stanine",$N26:$ZZ26),"")</f>
        <v>2.75</v>
      </c>
      <c r="M26" s="69">
        <f>IF(AND(ISNUMBER(tblY7[[#This Row],[Mean Stanine]]),ISNUMBER(tblY7[[#This Row],[Avg KS2 Band]])),tblY7[[#This Row],[Mean Stanine]]-tblY7[[#This Row],[Avg KS2 Band]],"")</f>
        <v>-0.25</v>
      </c>
      <c r="N26" s="66" t="n">
        <v>12</v>
      </c>
      <c r="O26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26" s="66" t="n">
        <v>13</v>
      </c>
      <c r="Q2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26" s="66" t="n">
        <v>10</v>
      </c>
      <c r="S26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26" s="66" t="n">
        <v>5</v>
      </c>
      <c r="U2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1</v>
      </c>
    </row>
    <row r="27">
      <c r="A27" s="65" t="inlineStr">
        <is>
          <t>X903233596009</t>
        </is>
      </c>
      <c r="B27" s="65" t="inlineStr">
        <is>
          <t>Fletcher</t>
        </is>
      </c>
      <c r="C27" s="65" t="inlineStr">
        <is>
          <t>Zofia</t>
        </is>
      </c>
      <c r="D27" s="66" t="inlineStr">
        <is>
          <t>M</t>
        </is>
      </c>
      <c r="E27" s="66" t="n"/>
      <c r="F27" s="66" t="inlineStr">
        <is>
          <t>N</t>
        </is>
      </c>
      <c r="G27" s="34" t="n">
        <v>94.3</v>
      </c>
      <c r="H27" s="34" t="n">
        <v>103</v>
      </c>
      <c r="I27" s="67">
        <f>IF(ISNUMBER(tblY7[[#This Row],[Avg KS2]]),IFERROR(VLOOKUP(STANDARDIZE(tblY7[[#This Row],[Avg KS2]],AVERAGE(tblY7[[Avg KS2]]),_xlfn.STDEV.P(tblY7[[Avg KS2]])),_Stanine,2),5),"")</f>
        <v>4</v>
      </c>
      <c r="J27" s="66" t="inlineStr">
        <is>
          <t>7B/Sc1</t>
        </is>
      </c>
      <c r="K27" s="67">
        <f>IF(tblY7[[#This Row],[Preferred Last name]]="","",COUNTIFS($N$1:$ZZ$1,"*"&amp;CHAR(10)&amp;"Stanine",$N27:$ZZ27,"&gt;=1"))</f>
        <v>4</v>
      </c>
      <c r="L27" s="68">
        <f>IFERROR(AVERAGEIF($N$1:$ZZ$1,"*"&amp;CHAR(10)&amp;"Stanine",$N27:$ZZ27),"")</f>
        <v>1.75</v>
      </c>
      <c r="M27" s="69">
        <f>IF(AND(ISNUMBER(tblY7[[#This Row],[Mean Stanine]]),ISNUMBER(tblY7[[#This Row],[Avg KS2 Band]])),tblY7[[#This Row],[Mean Stanine]]-tblY7[[#This Row],[Avg KS2 Band]],"")</f>
        <v>-2.25</v>
      </c>
      <c r="N27" s="66" t="n">
        <v>6</v>
      </c>
      <c r="O27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27" s="66" t="n">
        <v>5</v>
      </c>
      <c r="Q2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27" s="66" t="n">
        <v>10</v>
      </c>
      <c r="S27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27" s="66" t="n">
        <v>8</v>
      </c>
      <c r="U2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28">
      <c r="A28" s="65" t="inlineStr">
        <is>
          <t>X906678236685</t>
        </is>
      </c>
      <c r="B28" s="65" t="inlineStr">
        <is>
          <t>Green</t>
        </is>
      </c>
      <c r="C28" s="65" t="inlineStr">
        <is>
          <t>Arjun</t>
        </is>
      </c>
      <c r="D28" s="66" t="inlineStr">
        <is>
          <t>M</t>
        </is>
      </c>
      <c r="E28" s="66" t="inlineStr">
        <is>
          <t>N</t>
        </is>
      </c>
      <c r="F28" s="66" t="inlineStr">
        <is>
          <t>Y</t>
        </is>
      </c>
      <c r="G28" s="34" t="n">
        <v>88</v>
      </c>
      <c r="H28" s="34" t="n">
        <v>107</v>
      </c>
      <c r="I28" s="67">
        <f>IF(ISNUMBER(tblY7[[#This Row],[Avg KS2]]),IFERROR(VLOOKUP(STANDARDIZE(tblY7[[#This Row],[Avg KS2]],AVERAGE(tblY7[[Avg KS2]]),_xlfn.STDEV.P(tblY7[[Avg KS2]])),_Stanine,2),5),"")</f>
        <v>5</v>
      </c>
      <c r="J28" s="66" t="inlineStr">
        <is>
          <t>7A/Sc1</t>
        </is>
      </c>
      <c r="K28" s="67">
        <f>IF(tblY7[[#This Row],[Preferred Last name]]="","",COUNTIFS($N$1:$ZZ$1,"*"&amp;CHAR(10)&amp;"Stanine",$N28:$ZZ28,"&gt;=1"))</f>
        <v>4</v>
      </c>
      <c r="L28" s="68">
        <f>IFERROR(AVERAGEIF($N$1:$ZZ$1,"*"&amp;CHAR(10)&amp;"Stanine",$N28:$ZZ28),"")</f>
        <v>5.75</v>
      </c>
      <c r="M28" s="69">
        <f>IF(AND(ISNUMBER(tblY7[[#This Row],[Mean Stanine]]),ISNUMBER(tblY7[[#This Row],[Avg KS2 Band]])),tblY7[[#This Row],[Mean Stanine]]-tblY7[[#This Row],[Avg KS2 Band]],"")</f>
        <v>0.75</v>
      </c>
      <c r="N28" s="66" t="n">
        <v>21</v>
      </c>
      <c r="O28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28" s="66" t="n">
        <v>17</v>
      </c>
      <c r="Q2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28" s="66" t="n">
        <v>22</v>
      </c>
      <c r="S28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28" s="66" t="n">
        <v>15</v>
      </c>
      <c r="U2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29">
      <c r="A29" s="65" t="inlineStr">
        <is>
          <t>X907863425575</t>
        </is>
      </c>
      <c r="B29" s="65" t="inlineStr">
        <is>
          <t>Green</t>
        </is>
      </c>
      <c r="C29" s="65" t="inlineStr">
        <is>
          <t>Ibrahim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95.2</v>
      </c>
      <c r="H29" s="34" t="n">
        <v>112.5</v>
      </c>
      <c r="I29" s="67">
        <f>IF(ISNUMBER(tblY7[[#This Row],[Avg KS2]]),IFERROR(VLOOKUP(STANDARDIZE(tblY7[[#This Row],[Avg KS2]],AVERAGE(tblY7[[Avg KS2]]),_xlfn.STDEV.P(tblY7[[Avg KS2]])),_Stanine,2),5),"")</f>
        <v>7</v>
      </c>
      <c r="J29" s="66" t="inlineStr">
        <is>
          <t>7B/Sc1</t>
        </is>
      </c>
      <c r="K29" s="67">
        <f>IF(tblY7[[#This Row],[Preferred Last name]]="","",COUNTIFS($N$1:$ZZ$1,"*"&amp;CHAR(10)&amp;"Stanine",$N29:$ZZ29,"&gt;=1"))</f>
        <v>4</v>
      </c>
      <c r="L29" s="68">
        <f>IFERROR(AVERAGEIF($N$1:$ZZ$1,"*"&amp;CHAR(10)&amp;"Stanine",$N29:$ZZ29),"")</f>
        <v>6.25</v>
      </c>
      <c r="M29" s="69">
        <f>IF(AND(ISNUMBER(tblY7[[#This Row],[Mean Stanine]]),ISNUMBER(tblY7[[#This Row],[Avg KS2 Band]])),tblY7[[#This Row],[Mean Stanine]]-tblY7[[#This Row],[Avg KS2 Band]],"")</f>
        <v>-0.75</v>
      </c>
      <c r="N29" s="66" t="n">
        <v>24</v>
      </c>
      <c r="O29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29" s="66" t="n">
        <v>18</v>
      </c>
      <c r="Q2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29" s="66" t="n">
        <v>19</v>
      </c>
      <c r="S29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29" s="66" t="n">
        <v>19</v>
      </c>
      <c r="U2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30">
      <c r="A30" s="65" t="inlineStr">
        <is>
          <t>X908731011756</t>
        </is>
      </c>
      <c r="B30" s="65" t="inlineStr">
        <is>
          <t>Griffiths</t>
        </is>
      </c>
      <c r="C30" s="65" t="inlineStr">
        <is>
          <t>Ivy</t>
        </is>
      </c>
      <c r="D30" s="66" t="inlineStr">
        <is>
          <t>M</t>
        </is>
      </c>
      <c r="E30" s="66" t="n"/>
      <c r="F30" s="66" t="inlineStr">
        <is>
          <t>N</t>
        </is>
      </c>
      <c r="G30" s="34" t="n">
        <v>91.40000000000001</v>
      </c>
      <c r="H30" s="34" t="n">
        <v>100.5</v>
      </c>
      <c r="I30" s="67">
        <f>IF(ISNUMBER(tblY7[[#This Row],[Avg KS2]]),IFERROR(VLOOKUP(STANDARDIZE(tblY7[[#This Row],[Avg KS2]],AVERAGE(tblY7[[Avg KS2]]),_xlfn.STDEV.P(tblY7[[Avg KS2]])),_Stanine,2),5),"")</f>
        <v>3</v>
      </c>
      <c r="J30" s="66" t="inlineStr">
        <is>
          <t>7B/Sc3</t>
        </is>
      </c>
      <c r="K30" s="67">
        <f>IF(tblY7[[#This Row],[Preferred Last name]]="","",COUNTIFS($N$1:$ZZ$1,"*"&amp;CHAR(10)&amp;"Stanine",$N30:$ZZ30,"&gt;=1"))</f>
        <v>4</v>
      </c>
      <c r="L30" s="68">
        <f>IFERROR(AVERAGEIF($N$1:$ZZ$1,"*"&amp;CHAR(10)&amp;"Stanine",$N30:$ZZ30),"")</f>
        <v>1.5</v>
      </c>
      <c r="M30" s="69">
        <f>IF(AND(ISNUMBER(tblY7[[#This Row],[Mean Stanine]]),ISNUMBER(tblY7[[#This Row],[Avg KS2 Band]])),tblY7[[#This Row],[Mean Stanine]]-tblY7[[#This Row],[Avg KS2 Band]],"")</f>
        <v>-1.5</v>
      </c>
      <c r="N30" s="66" t="n">
        <v>6</v>
      </c>
      <c r="O30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30" s="66" t="n">
        <v>10</v>
      </c>
      <c r="Q3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30" s="66" t="n">
        <v>5</v>
      </c>
      <c r="S30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30" s="66" t="n">
        <v>7</v>
      </c>
      <c r="U3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31">
      <c r="A31" s="65" t="inlineStr">
        <is>
          <t>X903484515497</t>
        </is>
      </c>
      <c r="B31" s="65" t="inlineStr">
        <is>
          <t>Griffiths</t>
        </is>
      </c>
      <c r="C31" s="65" t="inlineStr">
        <is>
          <t>Muhammad</t>
        </is>
      </c>
      <c r="D31" s="66" t="inlineStr">
        <is>
          <t>M</t>
        </is>
      </c>
      <c r="E31" s="66" t="n"/>
      <c r="F31" s="66" t="inlineStr">
        <is>
          <t>N</t>
        </is>
      </c>
      <c r="G31" s="34" t="n">
        <v>96</v>
      </c>
      <c r="H31" s="34" t="n">
        <v>106.5</v>
      </c>
      <c r="I31" s="67">
        <f>IF(ISNUMBER(tblY7[[#This Row],[Avg KS2]]),IFERROR(VLOOKUP(STANDARDIZE(tblY7[[#This Row],[Avg KS2]],AVERAGE(tblY7[[Avg KS2]]),_xlfn.STDEV.P(tblY7[[Avg KS2]])),_Stanine,2),5),"")</f>
        <v>5</v>
      </c>
      <c r="J31" s="66" t="inlineStr">
        <is>
          <t>7B/Sc3</t>
        </is>
      </c>
      <c r="K31" s="67">
        <f>IF(tblY7[[#This Row],[Preferred Last name]]="","",COUNTIFS($N$1:$ZZ$1,"*"&amp;CHAR(10)&amp;"Stanine",$N31:$ZZ31,"&gt;=1"))</f>
        <v>4</v>
      </c>
      <c r="L31" s="68">
        <f>IFERROR(AVERAGEIF($N$1:$ZZ$1,"*"&amp;CHAR(10)&amp;"Stanine",$N31:$ZZ31),"")</f>
        <v>5</v>
      </c>
      <c r="M31" s="69">
        <f>IF(AND(ISNUMBER(tblY7[[#This Row],[Mean Stanine]]),ISNUMBER(tblY7[[#This Row],[Avg KS2 Band]])),tblY7[[#This Row],[Mean Stanine]]-tblY7[[#This Row],[Avg KS2 Band]],"")</f>
        <v>0</v>
      </c>
      <c r="N31" s="66" t="n">
        <v>16</v>
      </c>
      <c r="O31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31" s="66" t="n">
        <v>20</v>
      </c>
      <c r="Q3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31" s="66" t="n">
        <v>13</v>
      </c>
      <c r="S31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31" s="66" t="n">
        <v>14</v>
      </c>
      <c r="U3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32">
      <c r="A32" s="65" t="inlineStr">
        <is>
          <t>X904842936560</t>
        </is>
      </c>
      <c r="B32" s="65" t="inlineStr">
        <is>
          <t>Hall</t>
        </is>
      </c>
      <c r="C32" s="65" t="inlineStr">
        <is>
          <t>Charlie</t>
        </is>
      </c>
      <c r="D32" s="66" t="inlineStr">
        <is>
          <t>M</t>
        </is>
      </c>
      <c r="E32" s="66" t="inlineStr">
        <is>
          <t>N</t>
        </is>
      </c>
      <c r="F32" s="66" t="inlineStr">
        <is>
          <t>N</t>
        </is>
      </c>
      <c r="G32" s="34" t="n">
        <v>90.8</v>
      </c>
      <c r="H32" s="34" t="n">
        <v>110.5</v>
      </c>
      <c r="I32" s="67">
        <f>IF(ISNUMBER(tblY7[[#This Row],[Avg KS2]]),IFERROR(VLOOKUP(STANDARDIZE(tblY7[[#This Row],[Avg KS2]],AVERAGE(tblY7[[Avg KS2]]),_xlfn.STDEV.P(tblY7[[Avg KS2]])),_Stanine,2),5),"")</f>
        <v>7</v>
      </c>
      <c r="J32" s="66" t="inlineStr">
        <is>
          <t>7A/Sc2</t>
        </is>
      </c>
      <c r="K32" s="67">
        <f>IF(tblY7[[#This Row],[Preferred Last name]]="","",COUNTIFS($N$1:$ZZ$1,"*"&amp;CHAR(10)&amp;"Stanine",$N32:$ZZ32,"&gt;=1"))</f>
        <v>4</v>
      </c>
      <c r="L32" s="68">
        <f>IFERROR(AVERAGEIF($N$1:$ZZ$1,"*"&amp;CHAR(10)&amp;"Stanine",$N32:$ZZ32),"")</f>
        <v>7.5</v>
      </c>
      <c r="M32" s="69">
        <f>IF(AND(ISNUMBER(tblY7[[#This Row],[Mean Stanine]]),ISNUMBER(tblY7[[#This Row],[Avg KS2 Band]])),tblY7[[#This Row],[Mean Stanine]]-tblY7[[#This Row],[Avg KS2 Band]],"")</f>
        <v>0.5</v>
      </c>
      <c r="N32" s="66" t="n">
        <v>28</v>
      </c>
      <c r="O32" s="67">
        <f>IF(ISNUMBER(tblY7[[#This Row],[7B01 - Cells
Raw Score]]),IFERROR(VLOOKUP(STANDARDIZE(tblY7[[#This Row],[7B01 - Cells
Raw Score]],AVERAGE(tblY7[[7B01 - Cells
Raw Score]]),_xlfn.STDEV.P(tblY7[[7B01 - Cells
Raw Score]])),_Stanine,2),5),"")</f>
        <v>9</v>
      </c>
      <c r="P32" s="66" t="n">
        <v>21</v>
      </c>
      <c r="Q3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32" s="66" t="n">
        <v>24</v>
      </c>
      <c r="S32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32" s="66" t="n">
        <v>19</v>
      </c>
      <c r="U3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33">
      <c r="A33" s="65" t="inlineStr">
        <is>
          <t>X901338444332</t>
        </is>
      </c>
      <c r="B33" s="65" t="inlineStr">
        <is>
          <t>Hall</t>
        </is>
      </c>
      <c r="C33" s="65" t="inlineStr">
        <is>
          <t>Ethan</t>
        </is>
      </c>
      <c r="D33" s="66" t="inlineStr">
        <is>
          <t>M</t>
        </is>
      </c>
      <c r="E33" s="66" t="n"/>
      <c r="F33" s="66" t="inlineStr">
        <is>
          <t>N</t>
        </is>
      </c>
      <c r="G33" s="34" t="n">
        <v>100</v>
      </c>
      <c r="H33" s="34" t="n">
        <v>97</v>
      </c>
      <c r="I33" s="67">
        <f>IF(ISNUMBER(tblY7[[#This Row],[Avg KS2]]),IFERROR(VLOOKUP(STANDARDIZE(tblY7[[#This Row],[Avg KS2]],AVERAGE(tblY7[[Avg KS2]]),_xlfn.STDEV.P(tblY7[[Avg KS2]])),_Stanine,2),5),"")</f>
        <v>2</v>
      </c>
      <c r="J33" s="66" t="inlineStr">
        <is>
          <t>7B/Sc2</t>
        </is>
      </c>
      <c r="K33" s="67">
        <f>IF(tblY7[[#This Row],[Preferred Last name]]="","",COUNTIFS($N$1:$ZZ$1,"*"&amp;CHAR(10)&amp;"Stanine",$N33:$ZZ33,"&gt;=1"))</f>
        <v>4</v>
      </c>
      <c r="L33" s="68">
        <f>IFERROR(AVERAGEIF($N$1:$ZZ$1,"*"&amp;CHAR(10)&amp;"Stanine",$N33:$ZZ33),"")</f>
        <v>3.5</v>
      </c>
      <c r="M33" s="69">
        <f>IF(AND(ISNUMBER(tblY7[[#This Row],[Mean Stanine]]),ISNUMBER(tblY7[[#This Row],[Avg KS2 Band]])),tblY7[[#This Row],[Mean Stanine]]-tblY7[[#This Row],[Avg KS2 Band]],"")</f>
        <v>1.5</v>
      </c>
      <c r="N33" s="66" t="n">
        <v>13</v>
      </c>
      <c r="O33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33" s="66" t="n">
        <v>16</v>
      </c>
      <c r="Q3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33" s="66" t="n">
        <v>11</v>
      </c>
      <c r="S33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33" s="66" t="n">
        <v>10</v>
      </c>
      <c r="U3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34">
      <c r="A34" s="65" t="inlineStr">
        <is>
          <t>X909315772083</t>
        </is>
      </c>
      <c r="B34" s="65" t="inlineStr">
        <is>
          <t>Hall</t>
        </is>
      </c>
      <c r="C34" s="65" t="inlineStr">
        <is>
          <t>Jacob</t>
        </is>
      </c>
      <c r="D34" s="66" t="inlineStr">
        <is>
          <t>M</t>
        </is>
      </c>
      <c r="E34" s="66" t="inlineStr">
        <is>
          <t>N</t>
        </is>
      </c>
      <c r="F34" s="66" t="inlineStr">
        <is>
          <t>N</t>
        </is>
      </c>
      <c r="G34" s="34" t="n">
        <v>100</v>
      </c>
      <c r="H34" s="34" t="n">
        <v>102.5</v>
      </c>
      <c r="I34" s="67">
        <f>IF(ISNUMBER(tblY7[[#This Row],[Avg KS2]]),IFERROR(VLOOKUP(STANDARDIZE(tblY7[[#This Row],[Avg KS2]],AVERAGE(tblY7[[Avg KS2]]),_xlfn.STDEV.P(tblY7[[Avg KS2]])),_Stanine,2),5),"")</f>
        <v>4</v>
      </c>
      <c r="J34" s="66" t="inlineStr">
        <is>
          <t>7A/Sc2</t>
        </is>
      </c>
      <c r="K34" s="67">
        <f>IF(tblY7[[#This Row],[Preferred Last name]]="","",COUNTIFS($N$1:$ZZ$1,"*"&amp;CHAR(10)&amp;"Stanine",$N34:$ZZ34,"&gt;=1"))</f>
        <v>4</v>
      </c>
      <c r="L34" s="68">
        <f>IFERROR(AVERAGEIF($N$1:$ZZ$1,"*"&amp;CHAR(10)&amp;"Stanine",$N34:$ZZ34),"")</f>
        <v>3.25</v>
      </c>
      <c r="M34" s="69">
        <f>IF(AND(ISNUMBER(tblY7[[#This Row],[Mean Stanine]]),ISNUMBER(tblY7[[#This Row],[Avg KS2 Band]])),tblY7[[#This Row],[Mean Stanine]]-tblY7[[#This Row],[Avg KS2 Band]],"")</f>
        <v>-0.75</v>
      </c>
      <c r="N34" s="66" t="n">
        <v>14</v>
      </c>
      <c r="O34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34" s="66" t="n">
        <v>10</v>
      </c>
      <c r="Q3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34" s="66" t="n">
        <v>16</v>
      </c>
      <c r="S34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34" s="66" t="n">
        <v>6</v>
      </c>
      <c r="U3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35">
      <c r="A35" s="65" t="inlineStr">
        <is>
          <t>X903498415990</t>
        </is>
      </c>
      <c r="B35" s="65" t="inlineStr">
        <is>
          <t>Harrison</t>
        </is>
      </c>
      <c r="C35" s="65" t="inlineStr">
        <is>
          <t>Callum</t>
        </is>
      </c>
      <c r="D35" s="66" t="inlineStr">
        <is>
          <t>F</t>
        </is>
      </c>
      <c r="E35" s="66" t="inlineStr">
        <is>
          <t>N</t>
        </is>
      </c>
      <c r="F35" s="66" t="inlineStr">
        <is>
          <t>N</t>
        </is>
      </c>
      <c r="G35" s="34" t="n">
        <v>85.90000000000001</v>
      </c>
      <c r="H35" s="34" t="n">
        <v>104.5</v>
      </c>
      <c r="I35" s="67">
        <f>IF(ISNUMBER(tblY7[[#This Row],[Avg KS2]]),IFERROR(VLOOKUP(STANDARDIZE(tblY7[[#This Row],[Avg KS2]],AVERAGE(tblY7[[Avg KS2]]),_xlfn.STDEV.P(tblY7[[Avg KS2]])),_Stanine,2),5),"")</f>
        <v>4</v>
      </c>
      <c r="J35" s="66" t="inlineStr">
        <is>
          <t>7B/Sc2</t>
        </is>
      </c>
      <c r="K35" s="67">
        <f>IF(tblY7[[#This Row],[Preferred Last name]]="","",COUNTIFS($N$1:$ZZ$1,"*"&amp;CHAR(10)&amp;"Stanine",$N35:$ZZ35,"&gt;=1"))</f>
        <v>4</v>
      </c>
      <c r="L35" s="68">
        <f>IFERROR(AVERAGEIF($N$1:$ZZ$1,"*"&amp;CHAR(10)&amp;"Stanine",$N35:$ZZ35),"")</f>
        <v>5.5</v>
      </c>
      <c r="M35" s="69">
        <f>IF(AND(ISNUMBER(tblY7[[#This Row],[Mean Stanine]]),ISNUMBER(tblY7[[#This Row],[Avg KS2 Band]])),tblY7[[#This Row],[Mean Stanine]]-tblY7[[#This Row],[Avg KS2 Band]],"")</f>
        <v>1.5</v>
      </c>
      <c r="N35" s="66" t="n">
        <v>21</v>
      </c>
      <c r="O35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35" s="66" t="n">
        <v>16</v>
      </c>
      <c r="Q3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35" s="66" t="n">
        <v>16</v>
      </c>
      <c r="S35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35" s="66" t="n">
        <v>17</v>
      </c>
      <c r="U3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36">
      <c r="A36" s="65" t="inlineStr">
        <is>
          <t>X904717480361</t>
        </is>
      </c>
      <c r="B36" s="65" t="inlineStr">
        <is>
          <t>Harrison</t>
        </is>
      </c>
      <c r="C36" s="65" t="inlineStr">
        <is>
          <t>Layla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100</v>
      </c>
      <c r="H36" s="34" t="n">
        <v>103.5</v>
      </c>
      <c r="I36" s="67">
        <f>IF(ISNUMBER(tblY7[[#This Row],[Avg KS2]]),IFERROR(VLOOKUP(STANDARDIZE(tblY7[[#This Row],[Avg KS2]],AVERAGE(tblY7[[Avg KS2]]),_xlfn.STDEV.P(tblY7[[Avg KS2]])),_Stanine,2),5),"")</f>
        <v>4</v>
      </c>
      <c r="J36" s="66" t="inlineStr">
        <is>
          <t>7A/Sc1</t>
        </is>
      </c>
      <c r="K36" s="67">
        <f>IF(tblY7[[#This Row],[Preferred Last name]]="","",COUNTIFS($N$1:$ZZ$1,"*"&amp;CHAR(10)&amp;"Stanine",$N36:$ZZ36,"&gt;=1"))</f>
        <v>4</v>
      </c>
      <c r="L36" s="68">
        <f>IFERROR(AVERAGEIF($N$1:$ZZ$1,"*"&amp;CHAR(10)&amp;"Stanine",$N36:$ZZ36),"")</f>
        <v>4.5</v>
      </c>
      <c r="M36" s="69">
        <f>IF(AND(ISNUMBER(tblY7[[#This Row],[Mean Stanine]]),ISNUMBER(tblY7[[#This Row],[Avg KS2 Band]])),tblY7[[#This Row],[Mean Stanine]]-tblY7[[#This Row],[Avg KS2 Band]],"")</f>
        <v>0.5</v>
      </c>
      <c r="N36" s="66" t="n">
        <v>18</v>
      </c>
      <c r="O36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36" s="66" t="n">
        <v>13</v>
      </c>
      <c r="Q3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36" s="66" t="n">
        <v>15</v>
      </c>
      <c r="S36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36" s="66" t="n">
        <v>11</v>
      </c>
      <c r="U3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37">
      <c r="A37" s="65" t="inlineStr">
        <is>
          <t>X905153263126</t>
        </is>
      </c>
      <c r="B37" s="65" t="inlineStr">
        <is>
          <t>Harrison</t>
        </is>
      </c>
      <c r="C37" s="65" t="inlineStr">
        <is>
          <t>Nia</t>
        </is>
      </c>
      <c r="D37" s="66" t="inlineStr">
        <is>
          <t>F</t>
        </is>
      </c>
      <c r="E37" s="66" t="n"/>
      <c r="F37" s="66" t="inlineStr">
        <is>
          <t>N</t>
        </is>
      </c>
      <c r="G37" s="34" t="n">
        <v>81</v>
      </c>
      <c r="H37" s="34" t="n">
        <v>113</v>
      </c>
      <c r="I37" s="67">
        <f>IF(ISNUMBER(tblY7[[#This Row],[Avg KS2]]),IFERROR(VLOOKUP(STANDARDIZE(tblY7[[#This Row],[Avg KS2]],AVERAGE(tblY7[[Avg KS2]]),_xlfn.STDEV.P(tblY7[[Avg KS2]])),_Stanine,2),5),"")</f>
        <v>8</v>
      </c>
      <c r="J37" s="66" t="inlineStr">
        <is>
          <t>7A/Sc1</t>
        </is>
      </c>
      <c r="K37" s="67">
        <f>IF(tblY7[[#This Row],[Preferred Last name]]="","",COUNTIFS($N$1:$ZZ$1,"*"&amp;CHAR(10)&amp;"Stanine",$N37:$ZZ37,"&gt;=1"))</f>
        <v>4</v>
      </c>
      <c r="L37" s="68">
        <f>IFERROR(AVERAGEIF($N$1:$ZZ$1,"*"&amp;CHAR(10)&amp;"Stanine",$N37:$ZZ37),"")</f>
        <v>7.25</v>
      </c>
      <c r="M37" s="69">
        <f>IF(AND(ISNUMBER(tblY7[[#This Row],[Mean Stanine]]),ISNUMBER(tblY7[[#This Row],[Avg KS2 Band]])),tblY7[[#This Row],[Mean Stanine]]-tblY7[[#This Row],[Avg KS2 Band]],"")</f>
        <v>-0.75</v>
      </c>
      <c r="N37" s="66" t="n">
        <v>24</v>
      </c>
      <c r="O37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37" s="66" t="n">
        <v>20</v>
      </c>
      <c r="Q3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37" s="66" t="n">
        <v>22</v>
      </c>
      <c r="S37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37" s="66" t="n">
        <v>22</v>
      </c>
      <c r="U3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38">
      <c r="A38" s="65" t="inlineStr">
        <is>
          <t>X901630125547</t>
        </is>
      </c>
      <c r="B38" s="65" t="inlineStr">
        <is>
          <t>Harrison</t>
        </is>
      </c>
      <c r="C38" s="65" t="inlineStr">
        <is>
          <t>Nia</t>
        </is>
      </c>
      <c r="D38" s="66" t="inlineStr">
        <is>
          <t>F</t>
        </is>
      </c>
      <c r="E38" s="66" t="n"/>
      <c r="F38" s="66" t="inlineStr">
        <is>
          <t>N</t>
        </is>
      </c>
      <c r="G38" s="34" t="n">
        <v>94.09999999999999</v>
      </c>
      <c r="H38" s="34" t="n">
        <v>102</v>
      </c>
      <c r="I38" s="67">
        <f>IF(ISNUMBER(tblY7[[#This Row],[Avg KS2]]),IFERROR(VLOOKUP(STANDARDIZE(tblY7[[#This Row],[Avg KS2]],AVERAGE(tblY7[[Avg KS2]]),_xlfn.STDEV.P(tblY7[[Avg KS2]])),_Stanine,2),5),"")</f>
        <v>4</v>
      </c>
      <c r="J38" s="66" t="inlineStr">
        <is>
          <t>7B/Sc1</t>
        </is>
      </c>
      <c r="K38" s="67">
        <f>IF(tblY7[[#This Row],[Preferred Last name]]="","",COUNTIFS($N$1:$ZZ$1,"*"&amp;CHAR(10)&amp;"Stanine",$N38:$ZZ38,"&gt;=1"))</f>
        <v>4</v>
      </c>
      <c r="L38" s="68">
        <f>IFERROR(AVERAGEIF($N$1:$ZZ$1,"*"&amp;CHAR(10)&amp;"Stanine",$N38:$ZZ38),"")</f>
        <v>4</v>
      </c>
      <c r="M38" s="69">
        <f>IF(AND(ISNUMBER(tblY7[[#This Row],[Mean Stanine]]),ISNUMBER(tblY7[[#This Row],[Avg KS2 Band]])),tblY7[[#This Row],[Mean Stanine]]-tblY7[[#This Row],[Avg KS2 Band]],"")</f>
        <v>0</v>
      </c>
      <c r="N38" s="66" t="n">
        <v>12</v>
      </c>
      <c r="O38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38" s="66" t="n">
        <v>15</v>
      </c>
      <c r="Q3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38" s="66" t="n">
        <v>16</v>
      </c>
      <c r="S38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38" s="66" t="n">
        <v>12</v>
      </c>
      <c r="U3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39">
      <c r="A39" s="65" t="inlineStr">
        <is>
          <t>X905196537660</t>
        </is>
      </c>
      <c r="B39" s="65" t="inlineStr">
        <is>
          <t>Hughes</t>
        </is>
      </c>
      <c r="C39" s="65" t="inlineStr">
        <is>
          <t>Hannah</t>
        </is>
      </c>
      <c r="D39" s="66" t="inlineStr">
        <is>
          <t>F</t>
        </is>
      </c>
      <c r="E39" s="66" t="inlineStr">
        <is>
          <t>N</t>
        </is>
      </c>
      <c r="F39" s="66" t="inlineStr">
        <is>
          <t>N</t>
        </is>
      </c>
      <c r="G39" s="34" t="n">
        <v>96.2</v>
      </c>
      <c r="H39" s="34" t="n">
        <v>96</v>
      </c>
      <c r="I39" s="67">
        <f>IF(ISNUMBER(tblY7[[#This Row],[Avg KS2]]),IFERROR(VLOOKUP(STANDARDIZE(tblY7[[#This Row],[Avg KS2]],AVERAGE(tblY7[[Avg KS2]]),_xlfn.STDEV.P(tblY7[[Avg KS2]])),_Stanine,2),5),"")</f>
        <v>1</v>
      </c>
      <c r="J39" s="66" t="inlineStr">
        <is>
          <t>7A/Sc2</t>
        </is>
      </c>
      <c r="K39" s="67">
        <f>IF(tblY7[[#This Row],[Preferred Last name]]="","",COUNTIFS($N$1:$ZZ$1,"*"&amp;CHAR(10)&amp;"Stanine",$N39:$ZZ39,"&gt;=1"))</f>
        <v>4</v>
      </c>
      <c r="L39" s="68">
        <f>IFERROR(AVERAGEIF($N$1:$ZZ$1,"*"&amp;CHAR(10)&amp;"Stanine",$N39:$ZZ39),"")</f>
        <v>2</v>
      </c>
      <c r="M39" s="69">
        <f>IF(AND(ISNUMBER(tblY7[[#This Row],[Mean Stanine]]),ISNUMBER(tblY7[[#This Row],[Avg KS2 Band]])),tblY7[[#This Row],[Mean Stanine]]-tblY7[[#This Row],[Avg KS2 Band]],"")</f>
        <v>1</v>
      </c>
      <c r="N39" s="66" t="n">
        <v>6</v>
      </c>
      <c r="O39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39" s="66" t="n">
        <v>11</v>
      </c>
      <c r="Q3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39" s="66" t="n">
        <v>8</v>
      </c>
      <c r="S39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39" s="66" t="n">
        <v>7</v>
      </c>
      <c r="U3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40">
      <c r="A40" s="65" t="inlineStr">
        <is>
          <t>X901721026988</t>
        </is>
      </c>
      <c r="B40" s="65" t="inlineStr">
        <is>
          <t>Hughes</t>
        </is>
      </c>
      <c r="C40" s="65" t="inlineStr">
        <is>
          <t>Leo</t>
        </is>
      </c>
      <c r="D40" s="66" t="inlineStr">
        <is>
          <t>M</t>
        </is>
      </c>
      <c r="E40" s="66" t="inlineStr">
        <is>
          <t>N</t>
        </is>
      </c>
      <c r="F40" s="66" t="inlineStr">
        <is>
          <t>Y</t>
        </is>
      </c>
      <c r="G40" s="34" t="n">
        <v>79.5</v>
      </c>
      <c r="H40" s="34" t="n">
        <v>109</v>
      </c>
      <c r="I40" s="67">
        <f>IF(ISNUMBER(tblY7[[#This Row],[Avg KS2]]),IFERROR(VLOOKUP(STANDARDIZE(tblY7[[#This Row],[Avg KS2]],AVERAGE(tblY7[[Avg KS2]]),_xlfn.STDEV.P(tblY7[[Avg KS2]])),_Stanine,2),5),"")</f>
        <v>6</v>
      </c>
      <c r="J40" s="66" t="inlineStr">
        <is>
          <t>7B/Sc2</t>
        </is>
      </c>
      <c r="K40" s="67">
        <f>IF(tblY7[[#This Row],[Preferred Last name]]="","",COUNTIFS($N$1:$ZZ$1,"*"&amp;CHAR(10)&amp;"Stanine",$N40:$ZZ40,"&gt;=1"))</f>
        <v>4</v>
      </c>
      <c r="L40" s="68">
        <f>IFERROR(AVERAGEIF($N$1:$ZZ$1,"*"&amp;CHAR(10)&amp;"Stanine",$N40:$ZZ40),"")</f>
        <v>7</v>
      </c>
      <c r="M40" s="69">
        <f>IF(AND(ISNUMBER(tblY7[[#This Row],[Mean Stanine]]),ISNUMBER(tblY7[[#This Row],[Avg KS2 Band]])),tblY7[[#This Row],[Mean Stanine]]-tblY7[[#This Row],[Avg KS2 Band]],"")</f>
        <v>1</v>
      </c>
      <c r="N40" s="66" t="n">
        <v>22</v>
      </c>
      <c r="O40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40" s="66" t="n">
        <v>21</v>
      </c>
      <c r="Q4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40" s="66" t="n">
        <v>18</v>
      </c>
      <c r="S40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40" s="66" t="n">
        <v>22</v>
      </c>
      <c r="U4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41">
      <c r="A41" s="65" t="inlineStr">
        <is>
          <t>X900249834828</t>
        </is>
      </c>
      <c r="B41" s="65" t="inlineStr">
        <is>
          <t>Hughes</t>
        </is>
      </c>
      <c r="C41" s="65" t="inlineStr">
        <is>
          <t>Seren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Y</t>
        </is>
      </c>
      <c r="G41" s="34" t="n">
        <v>81.90000000000001</v>
      </c>
      <c r="H41" s="34" t="n">
        <v>105</v>
      </c>
      <c r="I41" s="67">
        <f>IF(ISNUMBER(tblY7[[#This Row],[Avg KS2]]),IFERROR(VLOOKUP(STANDARDIZE(tblY7[[#This Row],[Avg KS2]],AVERAGE(tblY7[[Avg KS2]]),_xlfn.STDEV.P(tblY7[[Avg KS2]])),_Stanine,2),5),"")</f>
        <v>5</v>
      </c>
      <c r="J41" s="66" t="inlineStr">
        <is>
          <t>7A/Sc2</t>
        </is>
      </c>
      <c r="K41" s="67">
        <f>IF(tblY7[[#This Row],[Preferred Last name]]="","",COUNTIFS($N$1:$ZZ$1,"*"&amp;CHAR(10)&amp;"Stanine",$N41:$ZZ41,"&gt;=1"))</f>
        <v>2</v>
      </c>
      <c r="L41" s="68">
        <f>IFERROR(AVERAGEIF($N$1:$ZZ$1,"*"&amp;CHAR(10)&amp;"Stanine",$N41:$ZZ41),"")</f>
        <v>2.5</v>
      </c>
      <c r="M41" s="69">
        <f>IF(AND(ISNUMBER(tblY7[[#This Row],[Mean Stanine]]),ISNUMBER(tblY7[[#This Row],[Avg KS2 Band]])),tblY7[[#This Row],[Mean Stanine]]-tblY7[[#This Row],[Avg KS2 Band]],"")</f>
        <v>-2.5</v>
      </c>
      <c r="N41" s="66" t="n">
        <v>12</v>
      </c>
      <c r="O41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41" s="66" t="inlineStr">
        <is>
          <t>A</t>
        </is>
      </c>
      <c r="Q41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41" s="66" t="n">
        <v>8</v>
      </c>
      <c r="S41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41" s="66" t="inlineStr">
        <is>
          <t>A</t>
        </is>
      </c>
      <c r="U41" s="67" t="str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/>
      </c>
    </row>
    <row r="42">
      <c r="A42" s="65" t="inlineStr">
        <is>
          <t>X902556547010</t>
        </is>
      </c>
      <c r="B42" s="65" t="inlineStr">
        <is>
          <t>Hussain</t>
        </is>
      </c>
      <c r="C42" s="65" t="inlineStr">
        <is>
          <t>Evie</t>
        </is>
      </c>
      <c r="D42" s="66" t="inlineStr">
        <is>
          <t>M</t>
        </is>
      </c>
      <c r="E42" s="66" t="inlineStr">
        <is>
          <t>E</t>
        </is>
      </c>
      <c r="F42" s="66" t="inlineStr">
        <is>
          <t>N</t>
        </is>
      </c>
      <c r="G42" s="34" t="n">
        <v>100</v>
      </c>
      <c r="H42" s="34" t="n">
        <v>99</v>
      </c>
      <c r="I42" s="67">
        <f>IF(ISNUMBER(tblY7[[#This Row],[Avg KS2]]),IFERROR(VLOOKUP(STANDARDIZE(tblY7[[#This Row],[Avg KS2]],AVERAGE(tblY7[[Avg KS2]]),_xlfn.STDEV.P(tblY7[[Avg KS2]])),_Stanine,2),5),"")</f>
        <v>2</v>
      </c>
      <c r="J42" s="66" t="inlineStr">
        <is>
          <t>7B/Sc2</t>
        </is>
      </c>
      <c r="K42" s="67">
        <f>IF(tblY7[[#This Row],[Preferred Last name]]="","",COUNTIFS($N$1:$ZZ$1,"*"&amp;CHAR(10)&amp;"Stanine",$N42:$ZZ42,"&gt;=1"))</f>
        <v>4</v>
      </c>
      <c r="L42" s="68">
        <f>IFERROR(AVERAGEIF($N$1:$ZZ$1,"*"&amp;CHAR(10)&amp;"Stanine",$N42:$ZZ42),"")</f>
        <v>2.5</v>
      </c>
      <c r="M42" s="69">
        <f>IF(AND(ISNUMBER(tblY7[[#This Row],[Mean Stanine]]),ISNUMBER(tblY7[[#This Row],[Avg KS2 Band]])),tblY7[[#This Row],[Mean Stanine]]-tblY7[[#This Row],[Avg KS2 Band]],"")</f>
        <v>0.5</v>
      </c>
      <c r="N42" s="66" t="n">
        <v>12</v>
      </c>
      <c r="O42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42" s="66" t="n">
        <v>11</v>
      </c>
      <c r="Q4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42" s="66" t="n">
        <v>9</v>
      </c>
      <c r="S42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42" s="66" t="n">
        <v>8</v>
      </c>
      <c r="U4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43">
      <c r="A43" s="65" t="inlineStr">
        <is>
          <t>X908945443767</t>
        </is>
      </c>
      <c r="B43" s="65" t="inlineStr">
        <is>
          <t>Hussain</t>
        </is>
      </c>
      <c r="C43" s="65" t="inlineStr">
        <is>
          <t>Rosie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N</t>
        </is>
      </c>
      <c r="G43" s="34" t="n">
        <v>93</v>
      </c>
      <c r="H43" s="34" t="n">
        <v>109</v>
      </c>
      <c r="I43" s="67">
        <f>IF(ISNUMBER(tblY7[[#This Row],[Avg KS2]]),IFERROR(VLOOKUP(STANDARDIZE(tblY7[[#This Row],[Avg KS2]],AVERAGE(tblY7[[Avg KS2]]),_xlfn.STDEV.P(tblY7[[Avg KS2]])),_Stanine,2),5),"")</f>
        <v>6</v>
      </c>
      <c r="J43" s="66" t="inlineStr">
        <is>
          <t>7B/Sc1</t>
        </is>
      </c>
      <c r="K43" s="67">
        <f>IF(tblY7[[#This Row],[Preferred Last name]]="","",COUNTIFS($N$1:$ZZ$1,"*"&amp;CHAR(10)&amp;"Stanine",$N43:$ZZ43,"&gt;=1"))</f>
        <v>4</v>
      </c>
      <c r="L43" s="68">
        <f>IFERROR(AVERAGEIF($N$1:$ZZ$1,"*"&amp;CHAR(10)&amp;"Stanine",$N43:$ZZ43),"")</f>
        <v>6.5</v>
      </c>
      <c r="M43" s="69">
        <f>IF(AND(ISNUMBER(tblY7[[#This Row],[Mean Stanine]]),ISNUMBER(tblY7[[#This Row],[Avg KS2 Band]])),tblY7[[#This Row],[Mean Stanine]]-tblY7[[#This Row],[Avg KS2 Band]],"")</f>
        <v>0.5</v>
      </c>
      <c r="N43" s="66" t="n">
        <v>20</v>
      </c>
      <c r="O43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43" s="66" t="n">
        <v>21</v>
      </c>
      <c r="Q4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43" s="66" t="n">
        <v>22</v>
      </c>
      <c r="S43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43" s="66" t="n">
        <v>19</v>
      </c>
      <c r="U4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44">
      <c r="A44" s="65" t="inlineStr">
        <is>
          <t>X903769561355</t>
        </is>
      </c>
      <c r="B44" s="65" t="inlineStr">
        <is>
          <t>Jackson</t>
        </is>
      </c>
      <c r="C44" s="65" t="inlineStr">
        <is>
          <t>Callum</t>
        </is>
      </c>
      <c r="D44" s="66" t="inlineStr">
        <is>
          <t>M</t>
        </is>
      </c>
      <c r="E44" s="66" t="inlineStr">
        <is>
          <t>N</t>
        </is>
      </c>
      <c r="F44" s="66" t="inlineStr">
        <is>
          <t>N</t>
        </is>
      </c>
      <c r="G44" s="34" t="n">
        <v>99.40000000000001</v>
      </c>
      <c r="H44" s="34" t="n">
        <v>110</v>
      </c>
      <c r="I44" s="67">
        <f>IF(ISNUMBER(tblY7[[#This Row],[Avg KS2]]),IFERROR(VLOOKUP(STANDARDIZE(tblY7[[#This Row],[Avg KS2]],AVERAGE(tblY7[[Avg KS2]]),_xlfn.STDEV.P(tblY7[[Avg KS2]])),_Stanine,2),5),"")</f>
        <v>6</v>
      </c>
      <c r="J44" s="66" t="inlineStr">
        <is>
          <t>7B/Sc1</t>
        </is>
      </c>
      <c r="K44" s="67">
        <f>IF(tblY7[[#This Row],[Preferred Last name]]="","",COUNTIFS($N$1:$ZZ$1,"*"&amp;CHAR(10)&amp;"Stanine",$N44:$ZZ44,"&gt;=1"))</f>
        <v>4</v>
      </c>
      <c r="L44" s="68">
        <f>IFERROR(AVERAGEIF($N$1:$ZZ$1,"*"&amp;CHAR(10)&amp;"Stanine",$N44:$ZZ44),"")</f>
        <v>5.5</v>
      </c>
      <c r="M44" s="69">
        <f>IF(AND(ISNUMBER(tblY7[[#This Row],[Mean Stanine]]),ISNUMBER(tblY7[[#This Row],[Avg KS2 Band]])),tblY7[[#This Row],[Mean Stanine]]-tblY7[[#This Row],[Avg KS2 Band]],"")</f>
        <v>-0.5</v>
      </c>
      <c r="N44" s="66" t="n">
        <v>15</v>
      </c>
      <c r="O44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44" s="66" t="n">
        <v>18</v>
      </c>
      <c r="Q4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44" s="66" t="n">
        <v>19</v>
      </c>
      <c r="S44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44" s="66" t="n">
        <v>19</v>
      </c>
      <c r="U4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45">
      <c r="A45" s="65" t="inlineStr">
        <is>
          <t>X909717669286</t>
        </is>
      </c>
      <c r="B45" s="65" t="inlineStr">
        <is>
          <t>Jackson</t>
        </is>
      </c>
      <c r="C45" s="65" t="inlineStr">
        <is>
          <t>Hannah</t>
        </is>
      </c>
      <c r="D45" s="66" t="inlineStr">
        <is>
          <t>M</t>
        </is>
      </c>
      <c r="E45" s="66" t="inlineStr">
        <is>
          <t>N</t>
        </is>
      </c>
      <c r="F45" s="66" t="inlineStr">
        <is>
          <t>N</t>
        </is>
      </c>
      <c r="G45" s="34" t="n">
        <v>100</v>
      </c>
      <c r="H45" s="34" t="n">
        <v>113</v>
      </c>
      <c r="I45" s="67">
        <f>IF(ISNUMBER(tblY7[[#This Row],[Avg KS2]]),IFERROR(VLOOKUP(STANDARDIZE(tblY7[[#This Row],[Avg KS2]],AVERAGE(tblY7[[Avg KS2]]),_xlfn.STDEV.P(tblY7[[Avg KS2]])),_Stanine,2),5),"")</f>
        <v>8</v>
      </c>
      <c r="J45" s="66" t="inlineStr">
        <is>
          <t>7A/Sc2</t>
        </is>
      </c>
      <c r="K45" s="67">
        <f>IF(tblY7[[#This Row],[Preferred Last name]]="","",COUNTIFS($N$1:$ZZ$1,"*"&amp;CHAR(10)&amp;"Stanine",$N45:$ZZ45,"&gt;=1"))</f>
        <v>4</v>
      </c>
      <c r="L45" s="68">
        <f>IFERROR(AVERAGEIF($N$1:$ZZ$1,"*"&amp;CHAR(10)&amp;"Stanine",$N45:$ZZ45),"")</f>
        <v>6.25</v>
      </c>
      <c r="M45" s="69">
        <f>IF(AND(ISNUMBER(tblY7[[#This Row],[Mean Stanine]]),ISNUMBER(tblY7[[#This Row],[Avg KS2 Band]])),tblY7[[#This Row],[Mean Stanine]]-tblY7[[#This Row],[Avg KS2 Band]],"")</f>
        <v>-1.75</v>
      </c>
      <c r="N45" s="66" t="n">
        <v>17</v>
      </c>
      <c r="O45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45" s="66" t="n">
        <v>20</v>
      </c>
      <c r="Q4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45" s="66" t="n">
        <v>22</v>
      </c>
      <c r="S45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45" s="66" t="n">
        <v>19</v>
      </c>
      <c r="U4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46">
      <c r="A46" s="65" t="inlineStr">
        <is>
          <t>X908844085815</t>
        </is>
      </c>
      <c r="B46" s="65" t="inlineStr">
        <is>
          <t>Jackson</t>
        </is>
      </c>
      <c r="C46" s="65" t="inlineStr">
        <is>
          <t>Hollie</t>
        </is>
      </c>
      <c r="D46" s="66" t="inlineStr">
        <is>
          <t>M</t>
        </is>
      </c>
      <c r="E46" s="66" t="n"/>
      <c r="F46" s="66" t="inlineStr">
        <is>
          <t>N</t>
        </is>
      </c>
      <c r="G46" s="34" t="n">
        <v>99</v>
      </c>
      <c r="H46" s="34" t="n">
        <v>111</v>
      </c>
      <c r="I46" s="67">
        <f>IF(ISNUMBER(tblY7[[#This Row],[Avg KS2]]),IFERROR(VLOOKUP(STANDARDIZE(tblY7[[#This Row],[Avg KS2]],AVERAGE(tblY7[[Avg KS2]]),_xlfn.STDEV.P(tblY7[[Avg KS2]])),_Stanine,2),5),"")</f>
        <v>7</v>
      </c>
      <c r="J46" s="66" t="inlineStr">
        <is>
          <t>7B/Sc1</t>
        </is>
      </c>
      <c r="K46" s="67">
        <f>IF(tblY7[[#This Row],[Preferred Last name]]="","",COUNTIFS($N$1:$ZZ$1,"*"&amp;CHAR(10)&amp;"Stanine",$N46:$ZZ46,"&gt;=1"))</f>
        <v>4</v>
      </c>
      <c r="L46" s="68">
        <f>IFERROR(AVERAGEIF($N$1:$ZZ$1,"*"&amp;CHAR(10)&amp;"Stanine",$N46:$ZZ46),"")</f>
        <v>6</v>
      </c>
      <c r="M46" s="69">
        <f>IF(AND(ISNUMBER(tblY7[[#This Row],[Mean Stanine]]),ISNUMBER(tblY7[[#This Row],[Avg KS2 Band]])),tblY7[[#This Row],[Mean Stanine]]-tblY7[[#This Row],[Avg KS2 Band]],"")</f>
        <v>-1</v>
      </c>
      <c r="N46" s="66" t="n">
        <v>21</v>
      </c>
      <c r="O46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46" s="66" t="n">
        <v>17</v>
      </c>
      <c r="Q4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46" s="66" t="n">
        <v>19</v>
      </c>
      <c r="S46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46" s="66" t="n">
        <v>20</v>
      </c>
      <c r="U4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47">
      <c r="A47" s="65" t="inlineStr">
        <is>
          <t>X904443246171</t>
        </is>
      </c>
      <c r="B47" s="65" t="inlineStr">
        <is>
          <t>Jackson</t>
        </is>
      </c>
      <c r="C47" s="65" t="inlineStr">
        <is>
          <t>Lewis</t>
        </is>
      </c>
      <c r="D47" s="66" t="inlineStr">
        <is>
          <t>M</t>
        </is>
      </c>
      <c r="E47" s="66" t="inlineStr">
        <is>
          <t>N</t>
        </is>
      </c>
      <c r="F47" s="66" t="inlineStr">
        <is>
          <t>N</t>
        </is>
      </c>
      <c r="G47" s="34" t="n">
        <v>92.90000000000001</v>
      </c>
      <c r="H47" s="34" t="n">
        <v>115</v>
      </c>
      <c r="I47" s="67">
        <f>IF(ISNUMBER(tblY7[[#This Row],[Avg KS2]]),IFERROR(VLOOKUP(STANDARDIZE(tblY7[[#This Row],[Avg KS2]],AVERAGE(tblY7[[Avg KS2]]),_xlfn.STDEV.P(tblY7[[Avg KS2]])),_Stanine,2),5),"")</f>
        <v>8</v>
      </c>
      <c r="J47" s="66" t="inlineStr">
        <is>
          <t>7A/Sc2</t>
        </is>
      </c>
      <c r="K47" s="67">
        <f>IF(tblY7[[#This Row],[Preferred Last name]]="","",COUNTIFS($N$1:$ZZ$1,"*"&amp;CHAR(10)&amp;"Stanine",$N47:$ZZ47,"&gt;=1"))</f>
        <v>4</v>
      </c>
      <c r="L47" s="68">
        <f>IFERROR(AVERAGEIF($N$1:$ZZ$1,"*"&amp;CHAR(10)&amp;"Stanine",$N47:$ZZ47),"")</f>
        <v>6.75</v>
      </c>
      <c r="M47" s="69">
        <f>IF(AND(ISNUMBER(tblY7[[#This Row],[Mean Stanine]]),ISNUMBER(tblY7[[#This Row],[Avg KS2 Band]])),tblY7[[#This Row],[Mean Stanine]]-tblY7[[#This Row],[Avg KS2 Band]],"")</f>
        <v>-1.25</v>
      </c>
      <c r="N47" s="66" t="n">
        <v>21</v>
      </c>
      <c r="O47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47" s="66" t="n">
        <v>22</v>
      </c>
      <c r="Q4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47" s="66" t="n">
        <v>22</v>
      </c>
      <c r="S47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47" s="66" t="n">
        <v>18</v>
      </c>
      <c r="U4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48">
      <c r="A48" s="65" t="inlineStr">
        <is>
          <t>X904112186764</t>
        </is>
      </c>
      <c r="B48" s="65" t="inlineStr">
        <is>
          <t>Jackson</t>
        </is>
      </c>
      <c r="C48" s="65" t="inlineStr">
        <is>
          <t>Lily</t>
        </is>
      </c>
      <c r="D48" s="66" t="inlineStr">
        <is>
          <t>F</t>
        </is>
      </c>
      <c r="E48" s="66" t="inlineStr">
        <is>
          <t>K</t>
        </is>
      </c>
      <c r="F48" s="66" t="inlineStr">
        <is>
          <t>Y</t>
        </is>
      </c>
      <c r="G48" s="34" t="n">
        <v>98.3</v>
      </c>
      <c r="H48" s="34" t="n">
        <v>108.5</v>
      </c>
      <c r="I48" s="67">
        <f>IF(ISNUMBER(tblY7[[#This Row],[Avg KS2]]),IFERROR(VLOOKUP(STANDARDIZE(tblY7[[#This Row],[Avg KS2]],AVERAGE(tblY7[[Avg KS2]]),_xlfn.STDEV.P(tblY7[[Avg KS2]])),_Stanine,2),5),"")</f>
        <v>6</v>
      </c>
      <c r="J48" s="66" t="inlineStr">
        <is>
          <t>7A/Sc2</t>
        </is>
      </c>
      <c r="K48" s="67">
        <f>IF(tblY7[[#This Row],[Preferred Last name]]="","",COUNTIFS($N$1:$ZZ$1,"*"&amp;CHAR(10)&amp;"Stanine",$N48:$ZZ48,"&gt;=1"))</f>
        <v>4</v>
      </c>
      <c r="L48" s="68">
        <f>IFERROR(AVERAGEIF($N$1:$ZZ$1,"*"&amp;CHAR(10)&amp;"Stanine",$N48:$ZZ48),"")</f>
        <v>5.5</v>
      </c>
      <c r="M48" s="69">
        <f>IF(AND(ISNUMBER(tblY7[[#This Row],[Mean Stanine]]),ISNUMBER(tblY7[[#This Row],[Avg KS2 Band]])),tblY7[[#This Row],[Mean Stanine]]-tblY7[[#This Row],[Avg KS2 Band]],"")</f>
        <v>-0.5</v>
      </c>
      <c r="N48" s="66" t="n">
        <v>21</v>
      </c>
      <c r="O48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48" s="66" t="n">
        <v>19</v>
      </c>
      <c r="Q4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48" s="66" t="n">
        <v>16</v>
      </c>
      <c r="S48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48" s="66" t="n">
        <v>16</v>
      </c>
      <c r="U4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49">
      <c r="A49" s="65" t="inlineStr">
        <is>
          <t>X900856522996</t>
        </is>
      </c>
      <c r="B49" s="65" t="inlineStr">
        <is>
          <t>Jackson</t>
        </is>
      </c>
      <c r="C49" s="65" t="inlineStr">
        <is>
          <t>Zofia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N</t>
        </is>
      </c>
      <c r="G49" s="34" t="n">
        <v>95.5</v>
      </c>
      <c r="H49" s="34" t="n">
        <v>100.5</v>
      </c>
      <c r="I49" s="67">
        <f>IF(ISNUMBER(tblY7[[#This Row],[Avg KS2]]),IFERROR(VLOOKUP(STANDARDIZE(tblY7[[#This Row],[Avg KS2]],AVERAGE(tblY7[[Avg KS2]]),_xlfn.STDEV.P(tblY7[[Avg KS2]])),_Stanine,2),5),"")</f>
        <v>3</v>
      </c>
      <c r="J49" s="66" t="inlineStr">
        <is>
          <t>7B/Sc2</t>
        </is>
      </c>
      <c r="K49" s="67">
        <f>IF(tblY7[[#This Row],[Preferred Last name]]="","",COUNTIFS($N$1:$ZZ$1,"*"&amp;CHAR(10)&amp;"Stanine",$N49:$ZZ49,"&gt;=1"))</f>
        <v>4</v>
      </c>
      <c r="L49" s="68">
        <f>IFERROR(AVERAGEIF($N$1:$ZZ$1,"*"&amp;CHAR(10)&amp;"Stanine",$N49:$ZZ49),"")</f>
        <v>1.75</v>
      </c>
      <c r="M49" s="69">
        <f>IF(AND(ISNUMBER(tblY7[[#This Row],[Mean Stanine]]),ISNUMBER(tblY7[[#This Row],[Avg KS2 Band]])),tblY7[[#This Row],[Mean Stanine]]-tblY7[[#This Row],[Avg KS2 Band]],"")</f>
        <v>-1.25</v>
      </c>
      <c r="N49" s="66" t="n">
        <v>11</v>
      </c>
      <c r="O49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49" s="66" t="n">
        <v>4</v>
      </c>
      <c r="Q4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49" s="66" t="n">
        <v>6</v>
      </c>
      <c r="S49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49" s="66" t="n">
        <v>8</v>
      </c>
      <c r="U4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50">
      <c r="A50" s="65" t="inlineStr">
        <is>
          <t>X905360434623</t>
        </is>
      </c>
      <c r="B50" s="65" t="inlineStr">
        <is>
          <t>Johnson</t>
        </is>
      </c>
      <c r="C50" s="65" t="inlineStr">
        <is>
          <t>Ella</t>
        </is>
      </c>
      <c r="D50" s="66" t="inlineStr">
        <is>
          <t>M</t>
        </is>
      </c>
      <c r="E50" s="66" t="inlineStr">
        <is>
          <t>N</t>
        </is>
      </c>
      <c r="F50" s="66" t="inlineStr">
        <is>
          <t>Y</t>
        </is>
      </c>
      <c r="G50" s="34" t="n">
        <v>90</v>
      </c>
      <c r="H50" s="34" t="n">
        <v>108</v>
      </c>
      <c r="I50" s="67">
        <f>IF(ISNUMBER(tblY7[[#This Row],[Avg KS2]]),IFERROR(VLOOKUP(STANDARDIZE(tblY7[[#This Row],[Avg KS2]],AVERAGE(tblY7[[Avg KS2]]),_xlfn.STDEV.P(tblY7[[Avg KS2]])),_Stanine,2),5),"")</f>
        <v>6</v>
      </c>
      <c r="J50" s="66" t="inlineStr">
        <is>
          <t>7B/Sc1</t>
        </is>
      </c>
      <c r="K50" s="67">
        <f>IF(tblY7[[#This Row],[Preferred Last name]]="","",COUNTIFS($N$1:$ZZ$1,"*"&amp;CHAR(10)&amp;"Stanine",$N50:$ZZ50,"&gt;=1"))</f>
        <v>3</v>
      </c>
      <c r="L50" s="68">
        <f>IFERROR(AVERAGEIF($N$1:$ZZ$1,"*"&amp;CHAR(10)&amp;"Stanine",$N50:$ZZ50),"")</f>
        <v>6</v>
      </c>
      <c r="M50" s="69">
        <f>IF(AND(ISNUMBER(tblY7[[#This Row],[Mean Stanine]]),ISNUMBER(tblY7[[#This Row],[Avg KS2 Band]])),tblY7[[#This Row],[Mean Stanine]]-tblY7[[#This Row],[Avg KS2 Band]],"")</f>
        <v>0</v>
      </c>
      <c r="N50" s="66" t="n">
        <v>21</v>
      </c>
      <c r="O50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50" s="66" t="n">
        <v>19</v>
      </c>
      <c r="Q5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50" s="66" t="inlineStr">
        <is>
          <t>A</t>
        </is>
      </c>
      <c r="S50" s="67" t="str">
        <f>IF(ISNUMBER(tblY7[[#This Row],[7P01 - Forces
Raw Score]]),IFERROR(VLOOKUP(STANDARDIZE(tblY7[[#This Row],[7P01 - Forces
Raw Score]],AVERAGE(tblY7[[7P01 - Forces
Raw Score]]),_xlfn.STDEV.P(tblY7[[7P01 - Forces
Raw Score]])),_Stanine,2),5),"")</f>
        <v/>
      </c>
      <c r="T50" s="66" t="n">
        <v>17</v>
      </c>
      <c r="U5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51">
      <c r="A51" s="65" t="inlineStr">
        <is>
          <t>X901397715735</t>
        </is>
      </c>
      <c r="B51" s="65" t="inlineStr">
        <is>
          <t>Johnson</t>
        </is>
      </c>
      <c r="C51" s="65" t="inlineStr">
        <is>
          <t>Lily</t>
        </is>
      </c>
      <c r="D51" s="66" t="inlineStr">
        <is>
          <t>F</t>
        </is>
      </c>
      <c r="E51" s="66" t="inlineStr">
        <is>
          <t>N</t>
        </is>
      </c>
      <c r="F51" s="66" t="inlineStr">
        <is>
          <t>N</t>
        </is>
      </c>
      <c r="G51" s="34" t="n">
        <v>91.40000000000001</v>
      </c>
      <c r="H51" s="34" t="n">
        <v>112.5</v>
      </c>
      <c r="I51" s="67">
        <f>IF(ISNUMBER(tblY7[[#This Row],[Avg KS2]]),IFERROR(VLOOKUP(STANDARDIZE(tblY7[[#This Row],[Avg KS2]],AVERAGE(tblY7[[Avg KS2]]),_xlfn.STDEV.P(tblY7[[Avg KS2]])),_Stanine,2),5),"")</f>
        <v>7</v>
      </c>
      <c r="J51" s="66" t="inlineStr">
        <is>
          <t>7B/Sc1</t>
        </is>
      </c>
      <c r="K51" s="67">
        <f>IF(tblY7[[#This Row],[Preferred Last name]]="","",COUNTIFS($N$1:$ZZ$1,"*"&amp;CHAR(10)&amp;"Stanine",$N51:$ZZ51,"&gt;=1"))</f>
        <v>4</v>
      </c>
      <c r="L51" s="68">
        <f>IFERROR(AVERAGEIF($N$1:$ZZ$1,"*"&amp;CHAR(10)&amp;"Stanine",$N51:$ZZ51),"")</f>
        <v>4.75</v>
      </c>
      <c r="M51" s="69">
        <f>IF(AND(ISNUMBER(tblY7[[#This Row],[Mean Stanine]]),ISNUMBER(tblY7[[#This Row],[Avg KS2 Band]])),tblY7[[#This Row],[Mean Stanine]]-tblY7[[#This Row],[Avg KS2 Band]],"")</f>
        <v>-2.25</v>
      </c>
      <c r="N51" s="66" t="n">
        <v>17</v>
      </c>
      <c r="O51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51" s="66" t="n">
        <v>13</v>
      </c>
      <c r="Q5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51" s="66" t="n">
        <v>17</v>
      </c>
      <c r="S51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51" s="66" t="n">
        <v>14</v>
      </c>
      <c r="U5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52">
      <c r="A52" s="65" t="inlineStr">
        <is>
          <t>X902401562955</t>
        </is>
      </c>
      <c r="B52" s="65" t="inlineStr">
        <is>
          <t>Johnson</t>
        </is>
      </c>
      <c r="C52" s="65" t="inlineStr">
        <is>
          <t>Oliver</t>
        </is>
      </c>
      <c r="D52" s="66" t="inlineStr">
        <is>
          <t>F</t>
        </is>
      </c>
      <c r="E52" s="66" t="inlineStr">
        <is>
          <t>K</t>
        </is>
      </c>
      <c r="F52" s="66" t="inlineStr">
        <is>
          <t>Y</t>
        </is>
      </c>
      <c r="G52" s="34" t="n">
        <v>100</v>
      </c>
      <c r="H52" s="34" t="n">
        <v>107.5</v>
      </c>
      <c r="I52" s="67">
        <f>IF(ISNUMBER(tblY7[[#This Row],[Avg KS2]]),IFERROR(VLOOKUP(STANDARDIZE(tblY7[[#This Row],[Avg KS2]],AVERAGE(tblY7[[Avg KS2]]),_xlfn.STDEV.P(tblY7[[Avg KS2]])),_Stanine,2),5),"")</f>
        <v>6</v>
      </c>
      <c r="J52" s="66" t="inlineStr">
        <is>
          <t>7A/Sc2</t>
        </is>
      </c>
      <c r="K52" s="67">
        <f>IF(tblY7[[#This Row],[Preferred Last name]]="","",COUNTIFS($N$1:$ZZ$1,"*"&amp;CHAR(10)&amp;"Stanine",$N52:$ZZ52,"&gt;=1"))</f>
        <v>4</v>
      </c>
      <c r="L52" s="68">
        <f>IFERROR(AVERAGEIF($N$1:$ZZ$1,"*"&amp;CHAR(10)&amp;"Stanine",$N52:$ZZ52),"")</f>
        <v>4</v>
      </c>
      <c r="M52" s="69">
        <f>IF(AND(ISNUMBER(tblY7[[#This Row],[Mean Stanine]]),ISNUMBER(tblY7[[#This Row],[Avg KS2 Band]])),tblY7[[#This Row],[Mean Stanine]]-tblY7[[#This Row],[Avg KS2 Band]],"")</f>
        <v>-2</v>
      </c>
      <c r="N52" s="66" t="n">
        <v>14</v>
      </c>
      <c r="O52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52" s="66" t="n">
        <v>12</v>
      </c>
      <c r="Q5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52" s="66" t="n">
        <v>15</v>
      </c>
      <c r="S52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52" s="66" t="n">
        <v>12</v>
      </c>
      <c r="U5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53">
      <c r="A53" s="65" t="inlineStr">
        <is>
          <t>X902342330029</t>
        </is>
      </c>
      <c r="B53" s="65" t="inlineStr">
        <is>
          <t>Johnson</t>
        </is>
      </c>
      <c r="C53" s="65" t="inlineStr">
        <is>
          <t>Sophie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100</v>
      </c>
      <c r="H53" s="34" t="n">
        <v>101.5</v>
      </c>
      <c r="I53" s="67">
        <f>IF(ISNUMBER(tblY7[[#This Row],[Avg KS2]]),IFERROR(VLOOKUP(STANDARDIZE(tblY7[[#This Row],[Avg KS2]],AVERAGE(tblY7[[Avg KS2]]),_xlfn.STDEV.P(tblY7[[Avg KS2]])),_Stanine,2),5),"")</f>
        <v>3</v>
      </c>
      <c r="J53" s="66" t="inlineStr">
        <is>
          <t>7B/Sc3</t>
        </is>
      </c>
      <c r="K53" s="67">
        <f>IF(tblY7[[#This Row],[Preferred Last name]]="","",COUNTIFS($N$1:$ZZ$1,"*"&amp;CHAR(10)&amp;"Stanine",$N53:$ZZ53,"&gt;=1"))</f>
        <v>4</v>
      </c>
      <c r="L53" s="68">
        <f>IFERROR(AVERAGEIF($N$1:$ZZ$1,"*"&amp;CHAR(10)&amp;"Stanine",$N53:$ZZ53),"")</f>
        <v>4.75</v>
      </c>
      <c r="M53" s="69">
        <f>IF(AND(ISNUMBER(tblY7[[#This Row],[Mean Stanine]]),ISNUMBER(tblY7[[#This Row],[Avg KS2 Band]])),tblY7[[#This Row],[Mean Stanine]]-tblY7[[#This Row],[Avg KS2 Band]],"")</f>
        <v>1.75</v>
      </c>
      <c r="N53" s="66" t="n">
        <v>19</v>
      </c>
      <c r="O53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53" s="66" t="n">
        <v>17</v>
      </c>
      <c r="Q5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53" s="66" t="n">
        <v>17</v>
      </c>
      <c r="S53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53" s="66" t="n">
        <v>12</v>
      </c>
      <c r="U5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54">
      <c r="A54" s="65" t="inlineStr">
        <is>
          <t>X906018300812</t>
        </is>
      </c>
      <c r="B54" s="65" t="inlineStr">
        <is>
          <t>Jones</t>
        </is>
      </c>
      <c r="C54" s="65" t="inlineStr">
        <is>
          <t>Amara</t>
        </is>
      </c>
      <c r="D54" s="66" t="inlineStr">
        <is>
          <t>F</t>
        </is>
      </c>
      <c r="E54" s="66" t="n"/>
      <c r="F54" s="66" t="inlineStr">
        <is>
          <t>N</t>
        </is>
      </c>
      <c r="G54" s="34" t="n">
        <v>97.5</v>
      </c>
      <c r="H54" s="34" t="n">
        <v>104</v>
      </c>
      <c r="I54" s="67">
        <f>IF(ISNUMBER(tblY7[[#This Row],[Avg KS2]]),IFERROR(VLOOKUP(STANDARDIZE(tblY7[[#This Row],[Avg KS2]],AVERAGE(tblY7[[Avg KS2]]),_xlfn.STDEV.P(tblY7[[Avg KS2]])),_Stanine,2),5),"")</f>
        <v>4</v>
      </c>
      <c r="J54" s="66" t="inlineStr">
        <is>
          <t>7A/Sc2</t>
        </is>
      </c>
      <c r="K54" s="67">
        <f>IF(tblY7[[#This Row],[Preferred Last name]]="","",COUNTIFS($N$1:$ZZ$1,"*"&amp;CHAR(10)&amp;"Stanine",$N54:$ZZ54,"&gt;=1"))</f>
        <v>4</v>
      </c>
      <c r="L54" s="68">
        <f>IFERROR(AVERAGEIF($N$1:$ZZ$1,"*"&amp;CHAR(10)&amp;"Stanine",$N54:$ZZ54),"")</f>
        <v>2.75</v>
      </c>
      <c r="M54" s="69">
        <f>IF(AND(ISNUMBER(tblY7[[#This Row],[Mean Stanine]]),ISNUMBER(tblY7[[#This Row],[Avg KS2 Band]])),tblY7[[#This Row],[Mean Stanine]]-tblY7[[#This Row],[Avg KS2 Band]],"")</f>
        <v>-1.25</v>
      </c>
      <c r="N54" s="66" t="n">
        <v>13</v>
      </c>
      <c r="O54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54" s="66" t="n">
        <v>9</v>
      </c>
      <c r="Q5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54" s="66" t="n">
        <v>11</v>
      </c>
      <c r="S54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54" s="66" t="n">
        <v>10</v>
      </c>
      <c r="U5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55">
      <c r="A55" s="65" t="inlineStr">
        <is>
          <t>X904207145739</t>
        </is>
      </c>
      <c r="B55" s="65" t="inlineStr">
        <is>
          <t>Jones</t>
        </is>
      </c>
      <c r="C55" s="65" t="inlineStr">
        <is>
          <t>Maya</t>
        </is>
      </c>
      <c r="D55" s="66" t="inlineStr">
        <is>
          <t>M</t>
        </is>
      </c>
      <c r="E55" s="66" t="inlineStr">
        <is>
          <t>N</t>
        </is>
      </c>
      <c r="F55" s="66" t="inlineStr">
        <is>
          <t>N</t>
        </is>
      </c>
      <c r="G55" s="34" t="n">
        <v>87.8</v>
      </c>
      <c r="H55" s="34" t="n">
        <v>104</v>
      </c>
      <c r="I55" s="67">
        <f>IF(ISNUMBER(tblY7[[#This Row],[Avg KS2]]),IFERROR(VLOOKUP(STANDARDIZE(tblY7[[#This Row],[Avg KS2]],AVERAGE(tblY7[[Avg KS2]]),_xlfn.STDEV.P(tblY7[[Avg KS2]])),_Stanine,2),5),"")</f>
        <v>4</v>
      </c>
      <c r="J55" s="66" t="inlineStr">
        <is>
          <t>7A/Sc2</t>
        </is>
      </c>
      <c r="K55" s="67">
        <f>IF(tblY7[[#This Row],[Preferred Last name]]="","",COUNTIFS($N$1:$ZZ$1,"*"&amp;CHAR(10)&amp;"Stanine",$N55:$ZZ55,"&gt;=1"))</f>
        <v>4</v>
      </c>
      <c r="L55" s="68">
        <f>IFERROR(AVERAGEIF($N$1:$ZZ$1,"*"&amp;CHAR(10)&amp;"Stanine",$N55:$ZZ55),"")</f>
        <v>3</v>
      </c>
      <c r="M55" s="69">
        <f>IF(AND(ISNUMBER(tblY7[[#This Row],[Mean Stanine]]),ISNUMBER(tblY7[[#This Row],[Avg KS2 Band]])),tblY7[[#This Row],[Mean Stanine]]-tblY7[[#This Row],[Avg KS2 Band]],"")</f>
        <v>-1</v>
      </c>
      <c r="N55" s="66" t="n">
        <v>13</v>
      </c>
      <c r="O55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55" s="66" t="n">
        <v>10</v>
      </c>
      <c r="Q5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55" s="66" t="n">
        <v>16</v>
      </c>
      <c r="S55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55" s="66" t="n">
        <v>8</v>
      </c>
      <c r="U5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56">
      <c r="A56" s="65" t="inlineStr">
        <is>
          <t>X902102569944</t>
        </is>
      </c>
      <c r="B56" s="65" t="inlineStr">
        <is>
          <t>Jones</t>
        </is>
      </c>
      <c r="C56" s="65" t="inlineStr">
        <is>
          <t>Seren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Y</t>
        </is>
      </c>
      <c r="G56" s="34" t="n">
        <v>87.90000000000001</v>
      </c>
      <c r="H56" s="34" t="n">
        <v>103</v>
      </c>
      <c r="I56" s="67">
        <f>IF(ISNUMBER(tblY7[[#This Row],[Avg KS2]]),IFERROR(VLOOKUP(STANDARDIZE(tblY7[[#This Row],[Avg KS2]],AVERAGE(tblY7[[Avg KS2]]),_xlfn.STDEV.P(tblY7[[Avg KS2]])),_Stanine,2),5),"")</f>
        <v>4</v>
      </c>
      <c r="J56" s="66" t="inlineStr">
        <is>
          <t>7B/Sc2</t>
        </is>
      </c>
      <c r="K56" s="67">
        <f>IF(tblY7[[#This Row],[Preferred Last name]]="","",COUNTIFS($N$1:$ZZ$1,"*"&amp;CHAR(10)&amp;"Stanine",$N56:$ZZ56,"&gt;=1"))</f>
        <v>4</v>
      </c>
      <c r="L56" s="68">
        <f>IFERROR(AVERAGEIF($N$1:$ZZ$1,"*"&amp;CHAR(10)&amp;"Stanine",$N56:$ZZ56),"")</f>
        <v>4</v>
      </c>
      <c r="M56" s="69">
        <f>IF(AND(ISNUMBER(tblY7[[#This Row],[Mean Stanine]]),ISNUMBER(tblY7[[#This Row],[Avg KS2 Band]])),tblY7[[#This Row],[Mean Stanine]]-tblY7[[#This Row],[Avg KS2 Band]],"")</f>
        <v>0</v>
      </c>
      <c r="N56" s="66" t="n">
        <v>16</v>
      </c>
      <c r="O56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56" s="66" t="n">
        <v>16</v>
      </c>
      <c r="Q5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56" s="66" t="n">
        <v>13</v>
      </c>
      <c r="S56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56" s="66" t="n">
        <v>10</v>
      </c>
      <c r="U5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57">
      <c r="A57" s="65" t="inlineStr">
        <is>
          <t>X909671166771</t>
        </is>
      </c>
      <c r="B57" s="65" t="inlineStr">
        <is>
          <t>Kelly</t>
        </is>
      </c>
      <c r="C57" s="65" t="inlineStr">
        <is>
          <t>Evie</t>
        </is>
      </c>
      <c r="D57" s="66" t="inlineStr">
        <is>
          <t>F</t>
        </is>
      </c>
      <c r="E57" s="66" t="n"/>
      <c r="F57" s="66" t="inlineStr">
        <is>
          <t>N</t>
        </is>
      </c>
      <c r="G57" s="34" t="n">
        <v>97.59999999999999</v>
      </c>
      <c r="H57" s="34" t="n">
        <v>105.5</v>
      </c>
      <c r="I57" s="67">
        <f>IF(ISNUMBER(tblY7[[#This Row],[Avg KS2]]),IFERROR(VLOOKUP(STANDARDIZE(tblY7[[#This Row],[Avg KS2]],AVERAGE(tblY7[[Avg KS2]]),_xlfn.STDEV.P(tblY7[[Avg KS2]])),_Stanine,2),5),"")</f>
        <v>5</v>
      </c>
      <c r="J57" s="66" t="inlineStr">
        <is>
          <t>7B/Sc1</t>
        </is>
      </c>
      <c r="K57" s="67">
        <f>IF(tblY7[[#This Row],[Preferred Last name]]="","",COUNTIFS($N$1:$ZZ$1,"*"&amp;CHAR(10)&amp;"Stanine",$N57:$ZZ57,"&gt;=1"))</f>
        <v>4</v>
      </c>
      <c r="L57" s="68">
        <f>IFERROR(AVERAGEIF($N$1:$ZZ$1,"*"&amp;CHAR(10)&amp;"Stanine",$N57:$ZZ57),"")</f>
        <v>6.5</v>
      </c>
      <c r="M57" s="69">
        <f>IF(AND(ISNUMBER(tblY7[[#This Row],[Mean Stanine]]),ISNUMBER(tblY7[[#This Row],[Avg KS2 Band]])),tblY7[[#This Row],[Mean Stanine]]-tblY7[[#This Row],[Avg KS2 Band]],"")</f>
        <v>1.5</v>
      </c>
      <c r="N57" s="66" t="n">
        <v>21</v>
      </c>
      <c r="O57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57" s="66" t="n">
        <v>19</v>
      </c>
      <c r="Q5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57" s="66" t="n">
        <v>20</v>
      </c>
      <c r="S57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57" s="66" t="n">
        <v>22</v>
      </c>
      <c r="U5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58">
      <c r="A58" s="65" t="inlineStr">
        <is>
          <t>X907816253492</t>
        </is>
      </c>
      <c r="B58" s="65" t="inlineStr">
        <is>
          <t>Khan</t>
        </is>
      </c>
      <c r="C58" s="65" t="inlineStr">
        <is>
          <t>Ethan</t>
        </is>
      </c>
      <c r="D58" s="66" t="inlineStr">
        <is>
          <t>F</t>
        </is>
      </c>
      <c r="E58" s="66" t="inlineStr">
        <is>
          <t>N</t>
        </is>
      </c>
      <c r="F58" s="66" t="inlineStr">
        <is>
          <t>N</t>
        </is>
      </c>
      <c r="G58" s="34" t="n">
        <v>95.5</v>
      </c>
      <c r="H58" s="34" t="n">
        <v>111</v>
      </c>
      <c r="I58" s="67">
        <f>IF(ISNUMBER(tblY7[[#This Row],[Avg KS2]]),IFERROR(VLOOKUP(STANDARDIZE(tblY7[[#This Row],[Avg KS2]],AVERAGE(tblY7[[Avg KS2]]),_xlfn.STDEV.P(tblY7[[Avg KS2]])),_Stanine,2),5),"")</f>
        <v>7</v>
      </c>
      <c r="J58" s="66" t="inlineStr">
        <is>
          <t>7A/Sc1</t>
        </is>
      </c>
      <c r="K58" s="67">
        <f>IF(tblY7[[#This Row],[Preferred Last name]]="","",COUNTIFS($N$1:$ZZ$1,"*"&amp;CHAR(10)&amp;"Stanine",$N58:$ZZ58,"&gt;=1"))</f>
        <v>4</v>
      </c>
      <c r="L58" s="68">
        <f>IFERROR(AVERAGEIF($N$1:$ZZ$1,"*"&amp;CHAR(10)&amp;"Stanine",$N58:$ZZ58),"")</f>
        <v>6.25</v>
      </c>
      <c r="M58" s="69">
        <f>IF(AND(ISNUMBER(tblY7[[#This Row],[Mean Stanine]]),ISNUMBER(tblY7[[#This Row],[Avg KS2 Band]])),tblY7[[#This Row],[Mean Stanine]]-tblY7[[#This Row],[Avg KS2 Band]],"")</f>
        <v>-0.75</v>
      </c>
      <c r="N58" s="66" t="n">
        <v>24</v>
      </c>
      <c r="O58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58" s="66" t="n">
        <v>19</v>
      </c>
      <c r="Q5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58" s="66" t="n">
        <v>22</v>
      </c>
      <c r="S58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58" s="66" t="n">
        <v>16</v>
      </c>
      <c r="U5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59">
      <c r="A59" s="65" t="inlineStr">
        <is>
          <t>X909103933625</t>
        </is>
      </c>
      <c r="B59" s="65" t="inlineStr">
        <is>
          <t>Khan</t>
        </is>
      </c>
      <c r="C59" s="65" t="inlineStr">
        <is>
          <t>Layla</t>
        </is>
      </c>
      <c r="D59" s="66" t="inlineStr">
        <is>
          <t>M</t>
        </is>
      </c>
      <c r="E59" s="66" t="inlineStr">
        <is>
          <t>N</t>
        </is>
      </c>
      <c r="F59" s="66" t="inlineStr">
        <is>
          <t>N</t>
        </is>
      </c>
      <c r="G59" s="34" t="n">
        <v>88.40000000000001</v>
      </c>
      <c r="H59" s="34" t="n">
        <v>111</v>
      </c>
      <c r="I59" s="67">
        <f>IF(ISNUMBER(tblY7[[#This Row],[Avg KS2]]),IFERROR(VLOOKUP(STANDARDIZE(tblY7[[#This Row],[Avg KS2]],AVERAGE(tblY7[[Avg KS2]]),_xlfn.STDEV.P(tblY7[[Avg KS2]])),_Stanine,2),5),"")</f>
        <v>7</v>
      </c>
      <c r="J59" s="66" t="inlineStr">
        <is>
          <t>7A/Sc2</t>
        </is>
      </c>
      <c r="K59" s="67">
        <f>IF(tblY7[[#This Row],[Preferred Last name]]="","",COUNTIFS($N$1:$ZZ$1,"*"&amp;CHAR(10)&amp;"Stanine",$N59:$ZZ59,"&gt;=1"))</f>
        <v>4</v>
      </c>
      <c r="L59" s="68">
        <f>IFERROR(AVERAGEIF($N$1:$ZZ$1,"*"&amp;CHAR(10)&amp;"Stanine",$N59:$ZZ59),"")</f>
        <v>8</v>
      </c>
      <c r="M59" s="69">
        <f>IF(AND(ISNUMBER(tblY7[[#This Row],[Mean Stanine]]),ISNUMBER(tblY7[[#This Row],[Avg KS2 Band]])),tblY7[[#This Row],[Mean Stanine]]-tblY7[[#This Row],[Avg KS2 Band]],"")</f>
        <v>1</v>
      </c>
      <c r="N59" s="66" t="n">
        <v>28</v>
      </c>
      <c r="O59" s="67">
        <f>IF(ISNUMBER(tblY7[[#This Row],[7B01 - Cells
Raw Score]]),IFERROR(VLOOKUP(STANDARDIZE(tblY7[[#This Row],[7B01 - Cells
Raw Score]],AVERAGE(tblY7[[7B01 - Cells
Raw Score]]),_xlfn.STDEV.P(tblY7[[7B01 - Cells
Raw Score]])),_Stanine,2),5),"")</f>
        <v>9</v>
      </c>
      <c r="P59" s="66" t="n">
        <v>23</v>
      </c>
      <c r="Q5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59" s="66" t="n">
        <v>21</v>
      </c>
      <c r="S59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59" s="66" t="n">
        <v>24</v>
      </c>
      <c r="U5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60">
      <c r="A60" s="65" t="inlineStr">
        <is>
          <t>X906489144195</t>
        </is>
      </c>
      <c r="B60" s="65" t="inlineStr">
        <is>
          <t>Kowalski</t>
        </is>
      </c>
      <c r="C60" s="65" t="inlineStr">
        <is>
          <t>Maisie</t>
        </is>
      </c>
      <c r="D60" s="66" t="inlineStr">
        <is>
          <t>F</t>
        </is>
      </c>
      <c r="E60" s="66" t="inlineStr">
        <is>
          <t>K</t>
        </is>
      </c>
      <c r="F60" s="66" t="inlineStr">
        <is>
          <t>N</t>
        </is>
      </c>
      <c r="G60" s="34" t="n">
        <v>90.7</v>
      </c>
      <c r="H60" s="34" t="n">
        <v>101.5</v>
      </c>
      <c r="I60" s="67">
        <f>IF(ISNUMBER(tblY7[[#This Row],[Avg KS2]]),IFERROR(VLOOKUP(STANDARDIZE(tblY7[[#This Row],[Avg KS2]],AVERAGE(tblY7[[Avg KS2]]),_xlfn.STDEV.P(tblY7[[Avg KS2]])),_Stanine,2),5),"")</f>
        <v>3</v>
      </c>
      <c r="J60" s="66" t="inlineStr">
        <is>
          <t>7B/Sc1</t>
        </is>
      </c>
      <c r="K60" s="67">
        <f>IF(tblY7[[#This Row],[Preferred Last name]]="","",COUNTIFS($N$1:$ZZ$1,"*"&amp;CHAR(10)&amp;"Stanine",$N60:$ZZ60,"&gt;=1"))</f>
        <v>4</v>
      </c>
      <c r="L60" s="68">
        <f>IFERROR(AVERAGEIF($N$1:$ZZ$1,"*"&amp;CHAR(10)&amp;"Stanine",$N60:$ZZ60),"")</f>
        <v>5.5</v>
      </c>
      <c r="M60" s="69">
        <f>IF(AND(ISNUMBER(tblY7[[#This Row],[Mean Stanine]]),ISNUMBER(tblY7[[#This Row],[Avg KS2 Band]])),tblY7[[#This Row],[Mean Stanine]]-tblY7[[#This Row],[Avg KS2 Band]],"")</f>
        <v>2.5</v>
      </c>
      <c r="N60" s="66" t="n">
        <v>18</v>
      </c>
      <c r="O60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60" s="66" t="n">
        <v>17</v>
      </c>
      <c r="Q6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60" s="66" t="n">
        <v>19</v>
      </c>
      <c r="S60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60" s="66" t="n">
        <v>18</v>
      </c>
      <c r="U6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61">
      <c r="A61" s="65" t="inlineStr">
        <is>
          <t>X908402531820</t>
        </is>
      </c>
      <c r="B61" s="65" t="inlineStr">
        <is>
          <t>Kowalski</t>
        </is>
      </c>
      <c r="C61" s="65" t="inlineStr">
        <is>
          <t>Sami</t>
        </is>
      </c>
      <c r="D61" s="66" t="inlineStr">
        <is>
          <t>F</t>
        </is>
      </c>
      <c r="E61" s="66" t="inlineStr">
        <is>
          <t>N</t>
        </is>
      </c>
      <c r="F61" s="66" t="inlineStr">
        <is>
          <t>Y</t>
        </is>
      </c>
      <c r="G61" s="34" t="n">
        <v>85.09999999999999</v>
      </c>
      <c r="H61" s="34" t="n">
        <v>111.5</v>
      </c>
      <c r="I61" s="67">
        <f>IF(ISNUMBER(tblY7[[#This Row],[Avg KS2]]),IFERROR(VLOOKUP(STANDARDIZE(tblY7[[#This Row],[Avg KS2]],AVERAGE(tblY7[[Avg KS2]]),_xlfn.STDEV.P(tblY7[[Avg KS2]])),_Stanine,2),5),"")</f>
        <v>7</v>
      </c>
      <c r="J61" s="66" t="inlineStr">
        <is>
          <t>7A/Sc1</t>
        </is>
      </c>
      <c r="K61" s="67">
        <f>IF(tblY7[[#This Row],[Preferred Last name]]="","",COUNTIFS($N$1:$ZZ$1,"*"&amp;CHAR(10)&amp;"Stanine",$N61:$ZZ61,"&gt;=1"))</f>
        <v>4</v>
      </c>
      <c r="L61" s="68">
        <f>IFERROR(AVERAGEIF($N$1:$ZZ$1,"*"&amp;CHAR(10)&amp;"Stanine",$N61:$ZZ61),"")</f>
        <v>6</v>
      </c>
      <c r="M61" s="69">
        <f>IF(AND(ISNUMBER(tblY7[[#This Row],[Mean Stanine]]),ISNUMBER(tblY7[[#This Row],[Avg KS2 Band]])),tblY7[[#This Row],[Mean Stanine]]-tblY7[[#This Row],[Avg KS2 Band]],"")</f>
        <v>-1</v>
      </c>
      <c r="N61" s="66" t="n">
        <v>21</v>
      </c>
      <c r="O61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61" s="66" t="n">
        <v>20</v>
      </c>
      <c r="Q6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61" s="66" t="n">
        <v>20</v>
      </c>
      <c r="S61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61" s="66" t="n">
        <v>16</v>
      </c>
      <c r="U6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62">
      <c r="A62" s="65" t="inlineStr">
        <is>
          <t>X901608711742</t>
        </is>
      </c>
      <c r="B62" s="65" t="inlineStr">
        <is>
          <t>Lewis</t>
        </is>
      </c>
      <c r="C62" s="65" t="inlineStr">
        <is>
          <t>Alfie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88.2</v>
      </c>
      <c r="H62" s="34" t="n">
        <v>117</v>
      </c>
      <c r="I62" s="67">
        <f>IF(ISNUMBER(tblY7[[#This Row],[Avg KS2]]),IFERROR(VLOOKUP(STANDARDIZE(tblY7[[#This Row],[Avg KS2]],AVERAGE(tblY7[[Avg KS2]]),_xlfn.STDEV.P(tblY7[[Avg KS2]])),_Stanine,2),5),"")</f>
        <v>9</v>
      </c>
      <c r="J62" s="66" t="inlineStr">
        <is>
          <t>7A/Sc2</t>
        </is>
      </c>
      <c r="K62" s="67">
        <f>IF(tblY7[[#This Row],[Preferred Last name]]="","",COUNTIFS($N$1:$ZZ$1,"*"&amp;CHAR(10)&amp;"Stanine",$N62:$ZZ62,"&gt;=1"))</f>
        <v>4</v>
      </c>
      <c r="L62" s="68">
        <f>IFERROR(AVERAGEIF($N$1:$ZZ$1,"*"&amp;CHAR(10)&amp;"Stanine",$N62:$ZZ62),"")</f>
        <v>7</v>
      </c>
      <c r="M62" s="69">
        <f>IF(AND(ISNUMBER(tblY7[[#This Row],[Mean Stanine]]),ISNUMBER(tblY7[[#This Row],[Avg KS2 Band]])),tblY7[[#This Row],[Mean Stanine]]-tblY7[[#This Row],[Avg KS2 Band]],"")</f>
        <v>-2</v>
      </c>
      <c r="N62" s="66" t="n">
        <v>24</v>
      </c>
      <c r="O62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62" s="66" t="n">
        <v>19</v>
      </c>
      <c r="Q6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62" s="66" t="n">
        <v>24</v>
      </c>
      <c r="S62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62" s="66" t="n">
        <v>21</v>
      </c>
      <c r="U6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63">
      <c r="A63" s="65" t="inlineStr">
        <is>
          <t>X902124109522</t>
        </is>
      </c>
      <c r="B63" s="65" t="inlineStr">
        <is>
          <t>Lewis</t>
        </is>
      </c>
      <c r="C63" s="65" t="inlineStr">
        <is>
          <t>Freya</t>
        </is>
      </c>
      <c r="D63" s="66" t="inlineStr">
        <is>
          <t>F</t>
        </is>
      </c>
      <c r="E63" s="66" t="n"/>
      <c r="F63" s="66" t="inlineStr">
        <is>
          <t>N</t>
        </is>
      </c>
      <c r="G63" s="34" t="n">
        <v>100</v>
      </c>
      <c r="H63" s="34" t="n">
        <v>112.5</v>
      </c>
      <c r="I63" s="67">
        <f>IF(ISNUMBER(tblY7[[#This Row],[Avg KS2]]),IFERROR(VLOOKUP(STANDARDIZE(tblY7[[#This Row],[Avg KS2]],AVERAGE(tblY7[[Avg KS2]]),_xlfn.STDEV.P(tblY7[[Avg KS2]])),_Stanine,2),5),"")</f>
        <v>7</v>
      </c>
      <c r="J63" s="66" t="inlineStr">
        <is>
          <t>7A/Sc2</t>
        </is>
      </c>
      <c r="K63" s="67">
        <f>IF(tblY7[[#This Row],[Preferred Last name]]="","",COUNTIFS($N$1:$ZZ$1,"*"&amp;CHAR(10)&amp;"Stanine",$N63:$ZZ63,"&gt;=1"))</f>
        <v>4</v>
      </c>
      <c r="L63" s="68">
        <f>IFERROR(AVERAGEIF($N$1:$ZZ$1,"*"&amp;CHAR(10)&amp;"Stanine",$N63:$ZZ63),"")</f>
        <v>7</v>
      </c>
      <c r="M63" s="69">
        <f>IF(AND(ISNUMBER(tblY7[[#This Row],[Mean Stanine]]),ISNUMBER(tblY7[[#This Row],[Avg KS2 Band]])),tblY7[[#This Row],[Mean Stanine]]-tblY7[[#This Row],[Avg KS2 Band]],"")</f>
        <v>0</v>
      </c>
      <c r="N63" s="66" t="n">
        <v>23</v>
      </c>
      <c r="O63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63" s="66" t="n">
        <v>20</v>
      </c>
      <c r="Q6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63" s="66" t="n">
        <v>21</v>
      </c>
      <c r="S63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63" s="66" t="n">
        <v>20</v>
      </c>
      <c r="U6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64">
      <c r="A64" s="65" t="inlineStr">
        <is>
          <t>X902901804926</t>
        </is>
      </c>
      <c r="B64" s="65" t="inlineStr">
        <is>
          <t>Lewis</t>
        </is>
      </c>
      <c r="C64" s="65" t="inlineStr">
        <is>
          <t>Lewis</t>
        </is>
      </c>
      <c r="D64" s="66" t="inlineStr">
        <is>
          <t>F</t>
        </is>
      </c>
      <c r="E64" s="66" t="n"/>
      <c r="F64" s="66" t="inlineStr">
        <is>
          <t>N</t>
        </is>
      </c>
      <c r="G64" s="34" t="n">
        <v>91.40000000000001</v>
      </c>
      <c r="H64" s="34" t="n">
        <v>105</v>
      </c>
      <c r="I64" s="67">
        <f>IF(ISNUMBER(tblY7[[#This Row],[Avg KS2]]),IFERROR(VLOOKUP(STANDARDIZE(tblY7[[#This Row],[Avg KS2]],AVERAGE(tblY7[[Avg KS2]]),_xlfn.STDEV.P(tblY7[[Avg KS2]])),_Stanine,2),5),"")</f>
        <v>5</v>
      </c>
      <c r="J64" s="66" t="inlineStr">
        <is>
          <t>7B/Sc1</t>
        </is>
      </c>
      <c r="K64" s="67">
        <f>IF(tblY7[[#This Row],[Preferred Last name]]="","",COUNTIFS($N$1:$ZZ$1,"*"&amp;CHAR(10)&amp;"Stanine",$N64:$ZZ64,"&gt;=1"))</f>
        <v>4</v>
      </c>
      <c r="L64" s="68">
        <f>IFERROR(AVERAGEIF($N$1:$ZZ$1,"*"&amp;CHAR(10)&amp;"Stanine",$N64:$ZZ64),"")</f>
        <v>6.75</v>
      </c>
      <c r="M64" s="69">
        <f>IF(AND(ISNUMBER(tblY7[[#This Row],[Mean Stanine]]),ISNUMBER(tblY7[[#This Row],[Avg KS2 Band]])),tblY7[[#This Row],[Mean Stanine]]-tblY7[[#This Row],[Avg KS2 Band]],"")</f>
        <v>1.75</v>
      </c>
      <c r="N64" s="66" t="n">
        <v>23</v>
      </c>
      <c r="O64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64" s="66" t="n">
        <v>19</v>
      </c>
      <c r="Q6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64" s="66" t="n">
        <v>21</v>
      </c>
      <c r="S64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64" s="66" t="n">
        <v>21</v>
      </c>
      <c r="U6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65">
      <c r="A65" s="65" t="inlineStr">
        <is>
          <t>X908988684049</t>
        </is>
      </c>
      <c r="B65" s="65" t="inlineStr">
        <is>
          <t>Lewis</t>
        </is>
      </c>
      <c r="C65" s="65" t="inlineStr">
        <is>
          <t>Muhammad</t>
        </is>
      </c>
      <c r="D65" s="66" t="inlineStr">
        <is>
          <t>M</t>
        </is>
      </c>
      <c r="E65" s="66" t="n"/>
      <c r="F65" s="66" t="inlineStr">
        <is>
          <t>Y</t>
        </is>
      </c>
      <c r="G65" s="34" t="n">
        <v>94.8</v>
      </c>
      <c r="H65" s="34" t="n">
        <v>107</v>
      </c>
      <c r="I65" s="67">
        <f>IF(ISNUMBER(tblY7[[#This Row],[Avg KS2]]),IFERROR(VLOOKUP(STANDARDIZE(tblY7[[#This Row],[Avg KS2]],AVERAGE(tblY7[[Avg KS2]]),_xlfn.STDEV.P(tblY7[[Avg KS2]])),_Stanine,2),5),"")</f>
        <v>5</v>
      </c>
      <c r="J65" s="66" t="inlineStr">
        <is>
          <t>7B/Sc2</t>
        </is>
      </c>
      <c r="K65" s="67">
        <f>IF(tblY7[[#This Row],[Preferred Last name]]="","",COUNTIFS($N$1:$ZZ$1,"*"&amp;CHAR(10)&amp;"Stanine",$N65:$ZZ65,"&gt;=1"))</f>
        <v>4</v>
      </c>
      <c r="L65" s="68">
        <f>IFERROR(AVERAGEIF($N$1:$ZZ$1,"*"&amp;CHAR(10)&amp;"Stanine",$N65:$ZZ65),"")</f>
        <v>5.25</v>
      </c>
      <c r="M65" s="69">
        <f>IF(AND(ISNUMBER(tblY7[[#This Row],[Mean Stanine]]),ISNUMBER(tblY7[[#This Row],[Avg KS2 Band]])),tblY7[[#This Row],[Mean Stanine]]-tblY7[[#This Row],[Avg KS2 Band]],"")</f>
        <v>0.25</v>
      </c>
      <c r="N65" s="66" t="n">
        <v>19</v>
      </c>
      <c r="O65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65" s="66" t="n">
        <v>18</v>
      </c>
      <c r="Q6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65" s="66" t="n">
        <v>19</v>
      </c>
      <c r="S65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65" s="66" t="n">
        <v>13</v>
      </c>
      <c r="U6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66">
      <c r="A66" s="65" t="inlineStr">
        <is>
          <t>X906403928141</t>
        </is>
      </c>
      <c r="B66" s="65" t="inlineStr">
        <is>
          <t>Lloyd</t>
        </is>
      </c>
      <c r="C66" s="65" t="inlineStr">
        <is>
          <t>Rosie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83.2</v>
      </c>
      <c r="H66" s="34" t="n">
        <v>109.5</v>
      </c>
      <c r="I66" s="67">
        <f>IF(ISNUMBER(tblY7[[#This Row],[Avg KS2]]),IFERROR(VLOOKUP(STANDARDIZE(tblY7[[#This Row],[Avg KS2]],AVERAGE(tblY7[[Avg KS2]]),_xlfn.STDEV.P(tblY7[[Avg KS2]])),_Stanine,2),5),"")</f>
        <v>6</v>
      </c>
      <c r="J66" s="66" t="inlineStr">
        <is>
          <t>7A/Sc1</t>
        </is>
      </c>
      <c r="K66" s="67">
        <f>IF(tblY7[[#This Row],[Preferred Last name]]="","",COUNTIFS($N$1:$ZZ$1,"*"&amp;CHAR(10)&amp;"Stanine",$N66:$ZZ66,"&gt;=1"))</f>
        <v>4</v>
      </c>
      <c r="L66" s="68">
        <f>IFERROR(AVERAGEIF($N$1:$ZZ$1,"*"&amp;CHAR(10)&amp;"Stanine",$N66:$ZZ66),"")</f>
        <v>7.5</v>
      </c>
      <c r="M66" s="69">
        <f>IF(AND(ISNUMBER(tblY7[[#This Row],[Mean Stanine]]),ISNUMBER(tblY7[[#This Row],[Avg KS2 Band]])),tblY7[[#This Row],[Mean Stanine]]-tblY7[[#This Row],[Avg KS2 Band]],"")</f>
        <v>1.5</v>
      </c>
      <c r="N66" s="66" t="n">
        <v>25</v>
      </c>
      <c r="O66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66" s="66" t="n">
        <v>21</v>
      </c>
      <c r="Q6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66" s="66" t="n">
        <v>23</v>
      </c>
      <c r="S66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66" s="66" t="n">
        <v>21</v>
      </c>
      <c r="U6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67">
      <c r="A67" s="65" t="inlineStr">
        <is>
          <t>X903445925714</t>
        </is>
      </c>
      <c r="B67" s="65" t="inlineStr">
        <is>
          <t>Mistry</t>
        </is>
      </c>
      <c r="C67" s="65" t="inlineStr">
        <is>
          <t>Ethan</t>
        </is>
      </c>
      <c r="D67" s="66" t="inlineStr">
        <is>
          <t>M</t>
        </is>
      </c>
      <c r="E67" s="66" t="n"/>
      <c r="F67" s="66" t="inlineStr">
        <is>
          <t>Y</t>
        </is>
      </c>
      <c r="G67" s="34" t="n">
        <v>96.59999999999999</v>
      </c>
      <c r="H67" s="34" t="n">
        <v>108</v>
      </c>
      <c r="I67" s="67">
        <f>IF(ISNUMBER(tblY7[[#This Row],[Avg KS2]]),IFERROR(VLOOKUP(STANDARDIZE(tblY7[[#This Row],[Avg KS2]],AVERAGE(tblY7[[Avg KS2]]),_xlfn.STDEV.P(tblY7[[Avg KS2]])),_Stanine,2),5),"")</f>
        <v>6</v>
      </c>
      <c r="J67" s="66" t="inlineStr">
        <is>
          <t>7A/Sc1</t>
        </is>
      </c>
      <c r="K67" s="67">
        <f>IF(tblY7[[#This Row],[Preferred Last name]]="","",COUNTIFS($N$1:$ZZ$1,"*"&amp;CHAR(10)&amp;"Stanine",$N67:$ZZ67,"&gt;=1"))</f>
        <v>4</v>
      </c>
      <c r="L67" s="68">
        <f>IFERROR(AVERAGEIF($N$1:$ZZ$1,"*"&amp;CHAR(10)&amp;"Stanine",$N67:$ZZ67),"")</f>
        <v>5.5</v>
      </c>
      <c r="M67" s="69">
        <f>IF(AND(ISNUMBER(tblY7[[#This Row],[Mean Stanine]]),ISNUMBER(tblY7[[#This Row],[Avg KS2 Band]])),tblY7[[#This Row],[Mean Stanine]]-tblY7[[#This Row],[Avg KS2 Band]],"")</f>
        <v>-0.5</v>
      </c>
      <c r="N67" s="66" t="n">
        <v>18</v>
      </c>
      <c r="O67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67" s="66" t="n">
        <v>20</v>
      </c>
      <c r="Q6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67" s="66" t="n">
        <v>19</v>
      </c>
      <c r="S67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67" s="66" t="n">
        <v>13</v>
      </c>
      <c r="U6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68">
      <c r="A68" s="65" t="inlineStr">
        <is>
          <t>X909405992837</t>
        </is>
      </c>
      <c r="B68" s="65" t="inlineStr">
        <is>
          <t>Mistry</t>
        </is>
      </c>
      <c r="C68" s="65" t="inlineStr">
        <is>
          <t>Kai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Y</t>
        </is>
      </c>
      <c r="G68" s="34" t="n">
        <v>89.09999999999999</v>
      </c>
      <c r="H68" s="34" t="n">
        <v>102</v>
      </c>
      <c r="I68" s="67">
        <f>IF(ISNUMBER(tblY7[[#This Row],[Avg KS2]]),IFERROR(VLOOKUP(STANDARDIZE(tblY7[[#This Row],[Avg KS2]],AVERAGE(tblY7[[Avg KS2]]),_xlfn.STDEV.P(tblY7[[Avg KS2]])),_Stanine,2),5),"")</f>
        <v>4</v>
      </c>
      <c r="J68" s="66" t="inlineStr">
        <is>
          <t>7B/Sc1</t>
        </is>
      </c>
      <c r="K68" s="67">
        <f>IF(tblY7[[#This Row],[Preferred Last name]]="","",COUNTIFS($N$1:$ZZ$1,"*"&amp;CHAR(10)&amp;"Stanine",$N68:$ZZ68,"&gt;=1"))</f>
        <v>4</v>
      </c>
      <c r="L68" s="68">
        <f>IFERROR(AVERAGEIF($N$1:$ZZ$1,"*"&amp;CHAR(10)&amp;"Stanine",$N68:$ZZ68),"")</f>
        <v>4.25</v>
      </c>
      <c r="M68" s="69">
        <f>IF(AND(ISNUMBER(tblY7[[#This Row],[Mean Stanine]]),ISNUMBER(tblY7[[#This Row],[Avg KS2 Band]])),tblY7[[#This Row],[Mean Stanine]]-tblY7[[#This Row],[Avg KS2 Band]],"")</f>
        <v>0.25</v>
      </c>
      <c r="N68" s="66" t="n">
        <v>17</v>
      </c>
      <c r="O68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68" s="66" t="n">
        <v>15</v>
      </c>
      <c r="Q6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68" s="66" t="n">
        <v>12</v>
      </c>
      <c r="S68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68" s="66" t="n">
        <v>12</v>
      </c>
      <c r="U6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69">
      <c r="A69" s="65" t="inlineStr">
        <is>
          <t>X905694098402</t>
        </is>
      </c>
      <c r="B69" s="65" t="inlineStr">
        <is>
          <t>Mistry</t>
        </is>
      </c>
      <c r="C69" s="65" t="inlineStr">
        <is>
          <t>Muhammad</t>
        </is>
      </c>
      <c r="D69" s="66" t="inlineStr">
        <is>
          <t>M</t>
        </is>
      </c>
      <c r="E69" s="66" t="inlineStr">
        <is>
          <t>N</t>
        </is>
      </c>
      <c r="F69" s="66" t="inlineStr">
        <is>
          <t>N</t>
        </is>
      </c>
      <c r="G69" s="34" t="n">
        <v>100</v>
      </c>
      <c r="H69" s="34" t="n">
        <v>108</v>
      </c>
      <c r="I69" s="67">
        <f>IF(ISNUMBER(tblY7[[#This Row],[Avg KS2]]),IFERROR(VLOOKUP(STANDARDIZE(tblY7[[#This Row],[Avg KS2]],AVERAGE(tblY7[[Avg KS2]]),_xlfn.STDEV.P(tblY7[[Avg KS2]])),_Stanine,2),5),"")</f>
        <v>6</v>
      </c>
      <c r="J69" s="66" t="inlineStr">
        <is>
          <t>7A/Sc2</t>
        </is>
      </c>
      <c r="K69" s="67">
        <f>IF(tblY7[[#This Row],[Preferred Last name]]="","",COUNTIFS($N$1:$ZZ$1,"*"&amp;CHAR(10)&amp;"Stanine",$N69:$ZZ69,"&gt;=1"))</f>
        <v>4</v>
      </c>
      <c r="L69" s="68">
        <f>IFERROR(AVERAGEIF($N$1:$ZZ$1,"*"&amp;CHAR(10)&amp;"Stanine",$N69:$ZZ69),"")</f>
        <v>4.75</v>
      </c>
      <c r="M69" s="69">
        <f>IF(AND(ISNUMBER(tblY7[[#This Row],[Mean Stanine]]),ISNUMBER(tblY7[[#This Row],[Avg KS2 Band]])),tblY7[[#This Row],[Mean Stanine]]-tblY7[[#This Row],[Avg KS2 Band]],"")</f>
        <v>-1.25</v>
      </c>
      <c r="N69" s="66" t="n">
        <v>18</v>
      </c>
      <c r="O69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69" s="66" t="n">
        <v>15</v>
      </c>
      <c r="Q6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69" s="66" t="n">
        <v>15</v>
      </c>
      <c r="S69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69" s="66" t="n">
        <v>15</v>
      </c>
      <c r="U6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70">
      <c r="A70" s="65" t="inlineStr">
        <is>
          <t>X901815368111</t>
        </is>
      </c>
      <c r="B70" s="65" t="inlineStr">
        <is>
          <t>Mistry</t>
        </is>
      </c>
      <c r="C70" s="65" t="inlineStr">
        <is>
          <t>Oscar</t>
        </is>
      </c>
      <c r="D70" s="66" t="inlineStr">
        <is>
          <t>F</t>
        </is>
      </c>
      <c r="E70" s="66" t="inlineStr">
        <is>
          <t>E</t>
        </is>
      </c>
      <c r="F70" s="66" t="inlineStr">
        <is>
          <t>N</t>
        </is>
      </c>
      <c r="G70" s="34" t="n">
        <v>92.8</v>
      </c>
      <c r="H70" s="34" t="n">
        <v>110</v>
      </c>
      <c r="I70" s="67">
        <f>IF(ISNUMBER(tblY7[[#This Row],[Avg KS2]]),IFERROR(VLOOKUP(STANDARDIZE(tblY7[[#This Row],[Avg KS2]],AVERAGE(tblY7[[Avg KS2]]),_xlfn.STDEV.P(tblY7[[Avg KS2]])),_Stanine,2),5),"")</f>
        <v>6</v>
      </c>
      <c r="J70" s="66" t="inlineStr">
        <is>
          <t>7B/Sc2</t>
        </is>
      </c>
      <c r="K70" s="67">
        <f>IF(tblY7[[#This Row],[Preferred Last name]]="","",COUNTIFS($N$1:$ZZ$1,"*"&amp;CHAR(10)&amp;"Stanine",$N70:$ZZ70,"&gt;=1"))</f>
        <v>4</v>
      </c>
      <c r="L70" s="68">
        <f>IFERROR(AVERAGEIF($N$1:$ZZ$1,"*"&amp;CHAR(10)&amp;"Stanine",$N70:$ZZ70),"")</f>
        <v>6</v>
      </c>
      <c r="M70" s="69">
        <f>IF(AND(ISNUMBER(tblY7[[#This Row],[Mean Stanine]]),ISNUMBER(tblY7[[#This Row],[Avg KS2 Band]])),tblY7[[#This Row],[Mean Stanine]]-tblY7[[#This Row],[Avg KS2 Band]],"")</f>
        <v>0</v>
      </c>
      <c r="N70" s="66" t="n">
        <v>18</v>
      </c>
      <c r="O70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70" s="66" t="n">
        <v>20</v>
      </c>
      <c r="Q7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70" s="66" t="n">
        <v>19</v>
      </c>
      <c r="S70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70" s="66" t="n">
        <v>18</v>
      </c>
      <c r="U7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71">
      <c r="A71" s="65" t="inlineStr">
        <is>
          <t>X905714205543</t>
        </is>
      </c>
      <c r="B71" s="65" t="inlineStr">
        <is>
          <t>Morgan</t>
        </is>
      </c>
      <c r="C71" s="65" t="inlineStr">
        <is>
          <t>Arjun</t>
        </is>
      </c>
      <c r="D71" s="66" t="inlineStr">
        <is>
          <t>M</t>
        </is>
      </c>
      <c r="E71" s="66" t="inlineStr">
        <is>
          <t>K</t>
        </is>
      </c>
      <c r="F71" s="66" t="inlineStr">
        <is>
          <t>N</t>
        </is>
      </c>
      <c r="G71" s="34" t="n">
        <v>98.3</v>
      </c>
      <c r="H71" s="34" t="n">
        <v>109</v>
      </c>
      <c r="I71" s="67">
        <f>IF(ISNUMBER(tblY7[[#This Row],[Avg KS2]]),IFERROR(VLOOKUP(STANDARDIZE(tblY7[[#This Row],[Avg KS2]],AVERAGE(tblY7[[Avg KS2]]),_xlfn.STDEV.P(tblY7[[Avg KS2]])),_Stanine,2),5),"")</f>
        <v>6</v>
      </c>
      <c r="J71" s="66" t="inlineStr">
        <is>
          <t>7A/Sc1</t>
        </is>
      </c>
      <c r="K71" s="67">
        <f>IF(tblY7[[#This Row],[Preferred Last name]]="","",COUNTIFS($N$1:$ZZ$1,"*"&amp;CHAR(10)&amp;"Stanine",$N71:$ZZ71,"&gt;=1"))</f>
        <v>2</v>
      </c>
      <c r="L71" s="68">
        <f>IFERROR(AVERAGEIF($N$1:$ZZ$1,"*"&amp;CHAR(10)&amp;"Stanine",$N71:$ZZ71),"")</f>
        <v>6</v>
      </c>
      <c r="M71" s="69">
        <f>IF(AND(ISNUMBER(tblY7[[#This Row],[Mean Stanine]]),ISNUMBER(tblY7[[#This Row],[Avg KS2 Band]])),tblY7[[#This Row],[Mean Stanine]]-tblY7[[#This Row],[Avg KS2 Band]],"")</f>
        <v>0</v>
      </c>
      <c r="N71" s="66" t="inlineStr">
        <is>
          <t>A</t>
        </is>
      </c>
      <c r="O71" s="67" t="str">
        <f>IF(ISNUMBER(tblY7[[#This Row],[7B01 - Cells
Raw Score]]),IFERROR(VLOOKUP(STANDARDIZE(tblY7[[#This Row],[7B01 - Cells
Raw Score]],AVERAGE(tblY7[[7B01 - Cells
Raw Score]]),_xlfn.STDEV.P(tblY7[[7B01 - Cells
Raw Score]])),_Stanine,2),5),"")</f>
        <v/>
      </c>
      <c r="P71" s="66" t="n">
        <v>19</v>
      </c>
      <c r="Q7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71" s="66" t="n">
        <v>20</v>
      </c>
      <c r="S71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71" s="66" t="inlineStr">
        <is>
          <t>A</t>
        </is>
      </c>
      <c r="U71" s="67" t="str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/>
      </c>
    </row>
    <row r="72">
      <c r="A72" s="65" t="inlineStr">
        <is>
          <t>X906110247693</t>
        </is>
      </c>
      <c r="B72" s="65" t="inlineStr">
        <is>
          <t>Morgan</t>
        </is>
      </c>
      <c r="C72" s="65" t="inlineStr">
        <is>
          <t>Freya</t>
        </is>
      </c>
      <c r="D72" s="66" t="inlineStr">
        <is>
          <t>M</t>
        </is>
      </c>
      <c r="E72" s="66" t="inlineStr">
        <is>
          <t>N</t>
        </is>
      </c>
      <c r="F72" s="66" t="inlineStr">
        <is>
          <t>N</t>
        </is>
      </c>
      <c r="G72" s="34" t="n">
        <v>100</v>
      </c>
      <c r="H72" s="34" t="n">
        <v>102.5</v>
      </c>
      <c r="I72" s="67">
        <f>IF(ISNUMBER(tblY7[[#This Row],[Avg KS2]]),IFERROR(VLOOKUP(STANDARDIZE(tblY7[[#This Row],[Avg KS2]],AVERAGE(tblY7[[Avg KS2]]),_xlfn.STDEV.P(tblY7[[Avg KS2]])),_Stanine,2),5),"")</f>
        <v>4</v>
      </c>
      <c r="J72" s="66" t="inlineStr">
        <is>
          <t>7A/Sc2</t>
        </is>
      </c>
      <c r="K72" s="67">
        <f>IF(tblY7[[#This Row],[Preferred Last name]]="","",COUNTIFS($N$1:$ZZ$1,"*"&amp;CHAR(10)&amp;"Stanine",$N72:$ZZ72,"&gt;=1"))</f>
        <v>4</v>
      </c>
      <c r="L72" s="68">
        <f>IFERROR(AVERAGEIF($N$1:$ZZ$1,"*"&amp;CHAR(10)&amp;"Stanine",$N72:$ZZ72),"")</f>
        <v>5.5</v>
      </c>
      <c r="M72" s="69">
        <f>IF(AND(ISNUMBER(tblY7[[#This Row],[Mean Stanine]]),ISNUMBER(tblY7[[#This Row],[Avg KS2 Band]])),tblY7[[#This Row],[Mean Stanine]]-tblY7[[#This Row],[Avg KS2 Band]],"")</f>
        <v>1.5</v>
      </c>
      <c r="N72" s="66" t="n">
        <v>21</v>
      </c>
      <c r="O72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72" s="66" t="n">
        <v>17</v>
      </c>
      <c r="Q7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72" s="66" t="n">
        <v>17</v>
      </c>
      <c r="S72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72" s="66" t="n">
        <v>18</v>
      </c>
      <c r="U7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73">
      <c r="A73" s="65" t="inlineStr">
        <is>
          <t>X905010890824</t>
        </is>
      </c>
      <c r="B73" s="65" t="inlineStr">
        <is>
          <t>Morgan</t>
        </is>
      </c>
      <c r="C73" s="65" t="inlineStr">
        <is>
          <t>Kai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N</t>
        </is>
      </c>
      <c r="G73" s="34" t="n">
        <v>85.3</v>
      </c>
      <c r="H73" s="34" t="n">
        <v>104.5</v>
      </c>
      <c r="I73" s="67">
        <f>IF(ISNUMBER(tblY7[[#This Row],[Avg KS2]]),IFERROR(VLOOKUP(STANDARDIZE(tblY7[[#This Row],[Avg KS2]],AVERAGE(tblY7[[Avg KS2]]),_xlfn.STDEV.P(tblY7[[Avg KS2]])),_Stanine,2),5),"")</f>
        <v>4</v>
      </c>
      <c r="J73" s="66" t="inlineStr">
        <is>
          <t>7B/Sc3</t>
        </is>
      </c>
      <c r="K73" s="67">
        <f>IF(tblY7[[#This Row],[Preferred Last name]]="","",COUNTIFS($N$1:$ZZ$1,"*"&amp;CHAR(10)&amp;"Stanine",$N73:$ZZ73,"&gt;=1"))</f>
        <v>4</v>
      </c>
      <c r="L73" s="68">
        <f>IFERROR(AVERAGEIF($N$1:$ZZ$1,"*"&amp;CHAR(10)&amp;"Stanine",$N73:$ZZ73),"")</f>
        <v>4.25</v>
      </c>
      <c r="M73" s="69">
        <f>IF(AND(ISNUMBER(tblY7[[#This Row],[Mean Stanine]]),ISNUMBER(tblY7[[#This Row],[Avg KS2 Band]])),tblY7[[#This Row],[Mean Stanine]]-tblY7[[#This Row],[Avg KS2 Band]],"")</f>
        <v>0.25</v>
      </c>
      <c r="N73" s="66" t="n">
        <v>18</v>
      </c>
      <c r="O73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73" s="66" t="n">
        <v>12</v>
      </c>
      <c r="Q7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73" s="66" t="n">
        <v>15</v>
      </c>
      <c r="S73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73" s="66" t="n">
        <v>11</v>
      </c>
      <c r="U7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74">
      <c r="A74" s="65" t="inlineStr">
        <is>
          <t>X908784224276</t>
        </is>
      </c>
      <c r="B74" s="65" t="inlineStr">
        <is>
          <t>Morgan</t>
        </is>
      </c>
      <c r="C74" s="65" t="inlineStr">
        <is>
          <t>Maisie</t>
        </is>
      </c>
      <c r="D74" s="66" t="inlineStr">
        <is>
          <t>M</t>
        </is>
      </c>
      <c r="E74" s="66" t="n"/>
      <c r="F74" s="66" t="inlineStr">
        <is>
          <t>N</t>
        </is>
      </c>
      <c r="G74" s="34" t="n">
        <v>100</v>
      </c>
      <c r="H74" s="34" t="n">
        <v>108</v>
      </c>
      <c r="I74" s="67">
        <f>IF(ISNUMBER(tblY7[[#This Row],[Avg KS2]]),IFERROR(VLOOKUP(STANDARDIZE(tblY7[[#This Row],[Avg KS2]],AVERAGE(tblY7[[Avg KS2]]),_xlfn.STDEV.P(tblY7[[Avg KS2]])),_Stanine,2),5),"")</f>
        <v>6</v>
      </c>
      <c r="J74" s="66" t="inlineStr">
        <is>
          <t>7A/Sc1</t>
        </is>
      </c>
      <c r="K74" s="67">
        <f>IF(tblY7[[#This Row],[Preferred Last name]]="","",COUNTIFS($N$1:$ZZ$1,"*"&amp;CHAR(10)&amp;"Stanine",$N74:$ZZ74,"&gt;=1"))</f>
        <v>3</v>
      </c>
      <c r="L74" s="68">
        <f>IFERROR(AVERAGEIF($N$1:$ZZ$1,"*"&amp;CHAR(10)&amp;"Stanine",$N74:$ZZ74),"")</f>
        <v>6</v>
      </c>
      <c r="M74" s="69">
        <f>IF(AND(ISNUMBER(tblY7[[#This Row],[Mean Stanine]]),ISNUMBER(tblY7[[#This Row],[Avg KS2 Band]])),tblY7[[#This Row],[Mean Stanine]]-tblY7[[#This Row],[Avg KS2 Band]],"")</f>
        <v>0</v>
      </c>
      <c r="N74" s="66" t="inlineStr">
        <is>
          <t>A</t>
        </is>
      </c>
      <c r="O74" s="67" t="str">
        <f>IF(ISNUMBER(tblY7[[#This Row],[7B01 - Cells
Raw Score]]),IFERROR(VLOOKUP(STANDARDIZE(tblY7[[#This Row],[7B01 - Cells
Raw Score]],AVERAGE(tblY7[[7B01 - Cells
Raw Score]]),_xlfn.STDEV.P(tblY7[[7B01 - Cells
Raw Score]])),_Stanine,2),5),"")</f>
        <v/>
      </c>
      <c r="P74" s="66" t="n">
        <v>18</v>
      </c>
      <c r="Q7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74" s="66" t="n">
        <v>18</v>
      </c>
      <c r="S74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74" s="66" t="n">
        <v>19</v>
      </c>
      <c r="U7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75">
      <c r="A75" s="65" t="inlineStr">
        <is>
          <t>X901766566614</t>
        </is>
      </c>
      <c r="B75" s="65" t="inlineStr">
        <is>
          <t>Murphy</t>
        </is>
      </c>
      <c r="C75" s="65" t="inlineStr">
        <is>
          <t>Amelia</t>
        </is>
      </c>
      <c r="D75" s="66" t="inlineStr">
        <is>
          <t>M</t>
        </is>
      </c>
      <c r="E75" s="66" t="inlineStr">
        <is>
          <t>N</t>
        </is>
      </c>
      <c r="F75" s="66" t="inlineStr">
        <is>
          <t>N</t>
        </is>
      </c>
      <c r="G75" s="34" t="n">
        <v>99.7</v>
      </c>
      <c r="H75" s="34" t="n">
        <v>110.5</v>
      </c>
      <c r="I75" s="67">
        <f>IF(ISNUMBER(tblY7[[#This Row],[Avg KS2]]),IFERROR(VLOOKUP(STANDARDIZE(tblY7[[#This Row],[Avg KS2]],AVERAGE(tblY7[[Avg KS2]]),_xlfn.STDEV.P(tblY7[[Avg KS2]])),_Stanine,2),5),"")</f>
        <v>7</v>
      </c>
      <c r="J75" s="66" t="inlineStr">
        <is>
          <t>7A/Sc1</t>
        </is>
      </c>
      <c r="K75" s="67">
        <f>IF(tblY7[[#This Row],[Preferred Last name]]="","",COUNTIFS($N$1:$ZZ$1,"*"&amp;CHAR(10)&amp;"Stanine",$N75:$ZZ75,"&gt;=1"))</f>
        <v>3</v>
      </c>
      <c r="L75" s="68">
        <f>IFERROR(AVERAGEIF($N$1:$ZZ$1,"*"&amp;CHAR(10)&amp;"Stanine",$N75:$ZZ75),"")</f>
        <v>5.66666666666667</v>
      </c>
      <c r="M75" s="69">
        <f>IF(AND(ISNUMBER(tblY7[[#This Row],[Mean Stanine]]),ISNUMBER(tblY7[[#This Row],[Avg KS2 Band]])),tblY7[[#This Row],[Mean Stanine]]-tblY7[[#This Row],[Avg KS2 Band]],"")</f>
        <v>-1.33333333333333</v>
      </c>
      <c r="N75" s="66" t="inlineStr">
        <is>
          <t>A</t>
        </is>
      </c>
      <c r="O75" s="67" t="str">
        <f>IF(ISNUMBER(tblY7[[#This Row],[7B01 - Cells
Raw Score]]),IFERROR(VLOOKUP(STANDARDIZE(tblY7[[#This Row],[7B01 - Cells
Raw Score]],AVERAGE(tblY7[[7B01 - Cells
Raw Score]]),_xlfn.STDEV.P(tblY7[[7B01 - Cells
Raw Score]])),_Stanine,2),5),"")</f>
        <v/>
      </c>
      <c r="P75" s="66" t="n">
        <v>18</v>
      </c>
      <c r="Q7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75" s="66" t="n">
        <v>16</v>
      </c>
      <c r="S75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75" s="66" t="n">
        <v>18</v>
      </c>
      <c r="U7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76">
      <c r="A76" s="65" t="inlineStr">
        <is>
          <t>X902558462918</t>
        </is>
      </c>
      <c r="B76" s="65" t="inlineStr">
        <is>
          <t>Murphy</t>
        </is>
      </c>
      <c r="C76" s="65" t="inlineStr">
        <is>
          <t>Grace</t>
        </is>
      </c>
      <c r="D76" s="66" t="inlineStr">
        <is>
          <t>M</t>
        </is>
      </c>
      <c r="E76" s="66" t="n"/>
      <c r="F76" s="66" t="inlineStr">
        <is>
          <t>N</t>
        </is>
      </c>
      <c r="G76" s="34" t="n">
        <v>97.40000000000001</v>
      </c>
      <c r="H76" s="34" t="n">
        <v>100.5</v>
      </c>
      <c r="I76" s="67">
        <f>IF(ISNUMBER(tblY7[[#This Row],[Avg KS2]]),IFERROR(VLOOKUP(STANDARDIZE(tblY7[[#This Row],[Avg KS2]],AVERAGE(tblY7[[Avg KS2]]),_xlfn.STDEV.P(tblY7[[Avg KS2]])),_Stanine,2),5),"")</f>
        <v>3</v>
      </c>
      <c r="J76" s="66" t="inlineStr">
        <is>
          <t>7A/Sc2</t>
        </is>
      </c>
      <c r="K76" s="67">
        <f>IF(tblY7[[#This Row],[Preferred Last name]]="","",COUNTIFS($N$1:$ZZ$1,"*"&amp;CHAR(10)&amp;"Stanine",$N76:$ZZ76,"&gt;=1"))</f>
        <v>4</v>
      </c>
      <c r="L76" s="68">
        <f>IFERROR(AVERAGEIF($N$1:$ZZ$1,"*"&amp;CHAR(10)&amp;"Stanine",$N76:$ZZ76),"")</f>
        <v>3.5</v>
      </c>
      <c r="M76" s="69">
        <f>IF(AND(ISNUMBER(tblY7[[#This Row],[Mean Stanine]]),ISNUMBER(tblY7[[#This Row],[Avg KS2 Band]])),tblY7[[#This Row],[Mean Stanine]]-tblY7[[#This Row],[Avg KS2 Band]],"")</f>
        <v>0.5</v>
      </c>
      <c r="N76" s="66" t="n">
        <v>14</v>
      </c>
      <c r="O76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76" s="66" t="n">
        <v>13</v>
      </c>
      <c r="Q7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76" s="66" t="n">
        <v>13</v>
      </c>
      <c r="S76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76" s="66" t="n">
        <v>8</v>
      </c>
      <c r="U7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77">
      <c r="A77" s="65" t="inlineStr">
        <is>
          <t>X904888957603</t>
        </is>
      </c>
      <c r="B77" s="65" t="inlineStr">
        <is>
          <t>Murphy</t>
        </is>
      </c>
      <c r="C77" s="65" t="inlineStr">
        <is>
          <t>Isla</t>
        </is>
      </c>
      <c r="D77" s="66" t="inlineStr">
        <is>
          <t>M</t>
        </is>
      </c>
      <c r="E77" s="66" t="n"/>
      <c r="F77" s="66" t="inlineStr">
        <is>
          <t>N</t>
        </is>
      </c>
      <c r="G77" s="34" t="n">
        <v>97.5</v>
      </c>
      <c r="H77" s="34" t="n">
        <v>108.5</v>
      </c>
      <c r="I77" s="67">
        <f>IF(ISNUMBER(tblY7[[#This Row],[Avg KS2]]),IFERROR(VLOOKUP(STANDARDIZE(tblY7[[#This Row],[Avg KS2]],AVERAGE(tblY7[[Avg KS2]]),_xlfn.STDEV.P(tblY7[[Avg KS2]])),_Stanine,2),5),"")</f>
        <v>6</v>
      </c>
      <c r="J77" s="66" t="inlineStr">
        <is>
          <t>7B/Sc2</t>
        </is>
      </c>
      <c r="K77" s="67">
        <f>IF(tblY7[[#This Row],[Preferred Last name]]="","",COUNTIFS($N$1:$ZZ$1,"*"&amp;CHAR(10)&amp;"Stanine",$N77:$ZZ77,"&gt;=1"))</f>
        <v>4</v>
      </c>
      <c r="L77" s="68">
        <f>IFERROR(AVERAGEIF($N$1:$ZZ$1,"*"&amp;CHAR(10)&amp;"Stanine",$N77:$ZZ77),"")</f>
        <v>3.75</v>
      </c>
      <c r="M77" s="69">
        <f>IF(AND(ISNUMBER(tblY7[[#This Row],[Mean Stanine]]),ISNUMBER(tblY7[[#This Row],[Avg KS2 Band]])),tblY7[[#This Row],[Mean Stanine]]-tblY7[[#This Row],[Avg KS2 Band]],"")</f>
        <v>-2.25</v>
      </c>
      <c r="N77" s="66" t="n">
        <v>13</v>
      </c>
      <c r="O77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77" s="66" t="n">
        <v>12</v>
      </c>
      <c r="Q7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77" s="66" t="n">
        <v>12</v>
      </c>
      <c r="S77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77" s="66" t="n">
        <v>14</v>
      </c>
      <c r="U7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78">
      <c r="A78" s="65" t="inlineStr">
        <is>
          <t>X905427360512</t>
        </is>
      </c>
      <c r="B78" s="65" t="inlineStr">
        <is>
          <t>Murphy</t>
        </is>
      </c>
      <c r="C78" s="65" t="inlineStr">
        <is>
          <t>Jack</t>
        </is>
      </c>
      <c r="D78" s="66" t="inlineStr">
        <is>
          <t>M</t>
        </is>
      </c>
      <c r="E78" s="66" t="n"/>
      <c r="F78" s="66" t="inlineStr">
        <is>
          <t>Y</t>
        </is>
      </c>
      <c r="G78" s="34" t="n">
        <v>91.09999999999999</v>
      </c>
      <c r="H78" s="34" t="n">
        <v>109</v>
      </c>
      <c r="I78" s="67">
        <f>IF(ISNUMBER(tblY7[[#This Row],[Avg KS2]]),IFERROR(VLOOKUP(STANDARDIZE(tblY7[[#This Row],[Avg KS2]],AVERAGE(tblY7[[Avg KS2]]),_xlfn.STDEV.P(tblY7[[Avg KS2]])),_Stanine,2),5),"")</f>
        <v>6</v>
      </c>
      <c r="J78" s="66" t="inlineStr">
        <is>
          <t>7B/Sc1</t>
        </is>
      </c>
      <c r="K78" s="67">
        <f>IF(tblY7[[#This Row],[Preferred Last name]]="","",COUNTIFS($N$1:$ZZ$1,"*"&amp;CHAR(10)&amp;"Stanine",$N78:$ZZ78,"&gt;=1"))</f>
        <v>4</v>
      </c>
      <c r="L78" s="68">
        <f>IFERROR(AVERAGEIF($N$1:$ZZ$1,"*"&amp;CHAR(10)&amp;"Stanine",$N78:$ZZ78),"")</f>
        <v>7</v>
      </c>
      <c r="M78" s="69">
        <f>IF(AND(ISNUMBER(tblY7[[#This Row],[Mean Stanine]]),ISNUMBER(tblY7[[#This Row],[Avg KS2 Band]])),tblY7[[#This Row],[Mean Stanine]]-tblY7[[#This Row],[Avg KS2 Band]],"")</f>
        <v>1</v>
      </c>
      <c r="N78" s="66" t="n">
        <v>23</v>
      </c>
      <c r="O78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78" s="66" t="n">
        <v>20</v>
      </c>
      <c r="Q7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78" s="66" t="n">
        <v>21</v>
      </c>
      <c r="S78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78" s="66" t="n">
        <v>20</v>
      </c>
      <c r="U7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79">
      <c r="A79" s="65" t="inlineStr">
        <is>
          <t>X900158027512</t>
        </is>
      </c>
      <c r="B79" s="65" t="inlineStr">
        <is>
          <t>Murphy</t>
        </is>
      </c>
      <c r="C79" s="65" t="inlineStr">
        <is>
          <t>Maisie</t>
        </is>
      </c>
      <c r="D79" s="66" t="inlineStr">
        <is>
          <t>M</t>
        </is>
      </c>
      <c r="E79" s="66" t="n"/>
      <c r="F79" s="66" t="inlineStr">
        <is>
          <t>N</t>
        </is>
      </c>
      <c r="G79" s="34" t="n">
        <v>89.09999999999999</v>
      </c>
      <c r="H79" s="34" t="n">
        <v>113.5</v>
      </c>
      <c r="I79" s="67">
        <f>IF(ISNUMBER(tblY7[[#This Row],[Avg KS2]]),IFERROR(VLOOKUP(STANDARDIZE(tblY7[[#This Row],[Avg KS2]],AVERAGE(tblY7[[Avg KS2]]),_xlfn.STDEV.P(tblY7[[Avg KS2]])),_Stanine,2),5),"")</f>
        <v>8</v>
      </c>
      <c r="J79" s="66" t="inlineStr">
        <is>
          <t>7B/Sc1</t>
        </is>
      </c>
      <c r="K79" s="67">
        <f>IF(tblY7[[#This Row],[Preferred Last name]]="","",COUNTIFS($N$1:$ZZ$1,"*"&amp;CHAR(10)&amp;"Stanine",$N79:$ZZ79,"&gt;=1"))</f>
        <v>4</v>
      </c>
      <c r="L79" s="68">
        <f>IFERROR(AVERAGEIF($N$1:$ZZ$1,"*"&amp;CHAR(10)&amp;"Stanine",$N79:$ZZ79),"")</f>
        <v>7</v>
      </c>
      <c r="M79" s="69">
        <f>IF(AND(ISNUMBER(tblY7[[#This Row],[Mean Stanine]]),ISNUMBER(tblY7[[#This Row],[Avg KS2 Band]])),tblY7[[#This Row],[Mean Stanine]]-tblY7[[#This Row],[Avg KS2 Band]],"")</f>
        <v>-1</v>
      </c>
      <c r="N79" s="66" t="n">
        <v>24</v>
      </c>
      <c r="O79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79" s="66" t="n">
        <v>21</v>
      </c>
      <c r="Q7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79" s="66" t="n">
        <v>20</v>
      </c>
      <c r="S79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79" s="66" t="n">
        <v>23</v>
      </c>
      <c r="U7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80">
      <c r="A80" s="65" t="inlineStr">
        <is>
          <t>X904258567986</t>
        </is>
      </c>
      <c r="B80" s="65" t="inlineStr">
        <is>
          <t>Murphy</t>
        </is>
      </c>
      <c r="C80" s="65" t="inlineStr">
        <is>
          <t>Nia</t>
        </is>
      </c>
      <c r="D80" s="66" t="inlineStr">
        <is>
          <t>M</t>
        </is>
      </c>
      <c r="E80" s="66" t="inlineStr">
        <is>
          <t>N</t>
        </is>
      </c>
      <c r="F80" s="66" t="inlineStr">
        <is>
          <t>N</t>
        </is>
      </c>
      <c r="G80" s="34" t="n">
        <v>98.90000000000001</v>
      </c>
      <c r="H80" s="34" t="n">
        <v>118.5</v>
      </c>
      <c r="I80" s="67">
        <f>IF(ISNUMBER(tblY7[[#This Row],[Avg KS2]]),IFERROR(VLOOKUP(STANDARDIZE(tblY7[[#This Row],[Avg KS2]],AVERAGE(tblY7[[Avg KS2]]),_xlfn.STDEV.P(tblY7[[Avg KS2]])),_Stanine,2),5),"")</f>
        <v>9</v>
      </c>
      <c r="J80" s="66" t="inlineStr">
        <is>
          <t>7B/Sc1</t>
        </is>
      </c>
      <c r="K80" s="67">
        <f>IF(tblY7[[#This Row],[Preferred Last name]]="","",COUNTIFS($N$1:$ZZ$1,"*"&amp;CHAR(10)&amp;"Stanine",$N80:$ZZ80,"&gt;=1"))</f>
        <v>4</v>
      </c>
      <c r="L80" s="68">
        <f>IFERROR(AVERAGEIF($N$1:$ZZ$1,"*"&amp;CHAR(10)&amp;"Stanine",$N80:$ZZ80),"")</f>
        <v>8</v>
      </c>
      <c r="M80" s="69">
        <f>IF(AND(ISNUMBER(tblY7[[#This Row],[Mean Stanine]]),ISNUMBER(tblY7[[#This Row],[Avg KS2 Band]])),tblY7[[#This Row],[Mean Stanine]]-tblY7[[#This Row],[Avg KS2 Band]],"")</f>
        <v>-1</v>
      </c>
      <c r="N80" s="66" t="n">
        <v>27</v>
      </c>
      <c r="O80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80" s="66" t="n">
        <v>23</v>
      </c>
      <c r="Q8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80" s="66" t="n">
        <v>24</v>
      </c>
      <c r="S80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80" s="66" t="n">
        <v>24</v>
      </c>
      <c r="U8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81">
      <c r="A81" s="65" t="inlineStr">
        <is>
          <t>X902685863766</t>
        </is>
      </c>
      <c r="B81" s="65" t="inlineStr">
        <is>
          <t>Murphy</t>
        </is>
      </c>
      <c r="C81" s="65" t="inlineStr">
        <is>
          <t>Seren</t>
        </is>
      </c>
      <c r="D81" s="66" t="inlineStr">
        <is>
          <t>M</t>
        </is>
      </c>
      <c r="E81" s="66" t="inlineStr">
        <is>
          <t>N</t>
        </is>
      </c>
      <c r="F81" s="66" t="inlineStr">
        <is>
          <t>N</t>
        </is>
      </c>
      <c r="G81" s="34" t="n">
        <v>92.09999999999999</v>
      </c>
      <c r="H81" s="34" t="n">
        <v>120</v>
      </c>
      <c r="I81" s="67">
        <f>IF(ISNUMBER(tblY7[[#This Row],[Avg KS2]]),IFERROR(VLOOKUP(STANDARDIZE(tblY7[[#This Row],[Avg KS2]],AVERAGE(tblY7[[Avg KS2]]),_xlfn.STDEV.P(tblY7[[Avg KS2]])),_Stanine,2),5),"")</f>
        <v>9</v>
      </c>
      <c r="J81" s="66" t="inlineStr">
        <is>
          <t>7B/Sc1</t>
        </is>
      </c>
      <c r="K81" s="67">
        <f>IF(tblY7[[#This Row],[Preferred Last name]]="","",COUNTIFS($N$1:$ZZ$1,"*"&amp;CHAR(10)&amp;"Stanine",$N81:$ZZ81,"&gt;=1"))</f>
        <v>4</v>
      </c>
      <c r="L81" s="68">
        <f>IFERROR(AVERAGEIF($N$1:$ZZ$1,"*"&amp;CHAR(10)&amp;"Stanine",$N81:$ZZ81),"")</f>
        <v>8.5</v>
      </c>
      <c r="M81" s="69">
        <f>IF(AND(ISNUMBER(tblY7[[#This Row],[Mean Stanine]]),ISNUMBER(tblY7[[#This Row],[Avg KS2 Band]])),tblY7[[#This Row],[Mean Stanine]]-tblY7[[#This Row],[Avg KS2 Band]],"")</f>
        <v>-0.5</v>
      </c>
      <c r="N81" s="66" t="n">
        <v>26</v>
      </c>
      <c r="O81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81" s="66" t="n">
        <v>22</v>
      </c>
      <c r="Q8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81" s="66" t="n">
        <v>27</v>
      </c>
      <c r="S81" s="67">
        <f>IF(ISNUMBER(tblY7[[#This Row],[7P01 - Forces
Raw Score]]),IFERROR(VLOOKUP(STANDARDIZE(tblY7[[#This Row],[7P01 - Forces
Raw Score]],AVERAGE(tblY7[[7P01 - Forces
Raw Score]]),_xlfn.STDEV.P(tblY7[[7P01 - Forces
Raw Score]])),_Stanine,2),5),"")</f>
        <v>9</v>
      </c>
      <c r="T81" s="66" t="n">
        <v>25</v>
      </c>
      <c r="U8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9</v>
      </c>
    </row>
    <row r="82">
      <c r="A82" s="65" t="inlineStr">
        <is>
          <t>X904625935487</t>
        </is>
      </c>
      <c r="B82" s="65" t="inlineStr">
        <is>
          <t>Nowak</t>
        </is>
      </c>
      <c r="C82" s="65" t="inlineStr">
        <is>
          <t>Ava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93.3</v>
      </c>
      <c r="H82" s="34" t="n">
        <v>113</v>
      </c>
      <c r="I82" s="67">
        <f>IF(ISNUMBER(tblY7[[#This Row],[Avg KS2]]),IFERROR(VLOOKUP(STANDARDIZE(tblY7[[#This Row],[Avg KS2]],AVERAGE(tblY7[[Avg KS2]]),_xlfn.STDEV.P(tblY7[[Avg KS2]])),_Stanine,2),5),"")</f>
        <v>8</v>
      </c>
      <c r="J82" s="66" t="inlineStr">
        <is>
          <t>7B/Sc2</t>
        </is>
      </c>
      <c r="K82" s="67">
        <f>IF(tblY7[[#This Row],[Preferred Last name]]="","",COUNTIFS($N$1:$ZZ$1,"*"&amp;CHAR(10)&amp;"Stanine",$N82:$ZZ82,"&gt;=1"))</f>
        <v>4</v>
      </c>
      <c r="L82" s="68">
        <f>IFERROR(AVERAGEIF($N$1:$ZZ$1,"*"&amp;CHAR(10)&amp;"Stanine",$N82:$ZZ82),"")</f>
        <v>7.75</v>
      </c>
      <c r="M82" s="69">
        <f>IF(AND(ISNUMBER(tblY7[[#This Row],[Mean Stanine]]),ISNUMBER(tblY7[[#This Row],[Avg KS2 Band]])),tblY7[[#This Row],[Mean Stanine]]-tblY7[[#This Row],[Avg KS2 Band]],"")</f>
        <v>-0.25</v>
      </c>
      <c r="N82" s="66" t="n">
        <v>25</v>
      </c>
      <c r="O82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82" s="66" t="n">
        <v>21</v>
      </c>
      <c r="Q8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82" s="66" t="n">
        <v>23</v>
      </c>
      <c r="S82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82" s="66" t="n">
        <v>23</v>
      </c>
      <c r="U8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83">
      <c r="A83" s="65" t="inlineStr">
        <is>
          <t>X908576269054</t>
        </is>
      </c>
      <c r="B83" s="65" t="inlineStr">
        <is>
          <t>Nowak</t>
        </is>
      </c>
      <c r="C83" s="65" t="inlineStr">
        <is>
          <t>Keira</t>
        </is>
      </c>
      <c r="D83" s="66" t="inlineStr">
        <is>
          <t>M</t>
        </is>
      </c>
      <c r="E83" s="66" t="n"/>
      <c r="F83" s="66" t="inlineStr">
        <is>
          <t>Y</t>
        </is>
      </c>
      <c r="G83" s="34" t="n">
        <v>100</v>
      </c>
      <c r="H83" s="34" t="n">
        <v>95</v>
      </c>
      <c r="I83" s="67">
        <f>IF(ISNUMBER(tblY7[[#This Row],[Avg KS2]]),IFERROR(VLOOKUP(STANDARDIZE(tblY7[[#This Row],[Avg KS2]],AVERAGE(tblY7[[Avg KS2]]),_xlfn.STDEV.P(tblY7[[Avg KS2]])),_Stanine,2),5),"")</f>
        <v>1</v>
      </c>
      <c r="J83" s="66" t="inlineStr">
        <is>
          <t>7B/Sc3</t>
        </is>
      </c>
      <c r="K83" s="67">
        <f>IF(tblY7[[#This Row],[Preferred Last name]]="","",COUNTIFS($N$1:$ZZ$1,"*"&amp;CHAR(10)&amp;"Stanine",$N83:$ZZ83,"&gt;=1"))</f>
        <v>3</v>
      </c>
      <c r="L83" s="68">
        <f>IFERROR(AVERAGEIF($N$1:$ZZ$1,"*"&amp;CHAR(10)&amp;"Stanine",$N83:$ZZ83),"")</f>
        <v>1.33333333333333</v>
      </c>
      <c r="M83" s="69">
        <f>IF(AND(ISNUMBER(tblY7[[#This Row],[Mean Stanine]]),ISNUMBER(tblY7[[#This Row],[Avg KS2 Band]])),tblY7[[#This Row],[Mean Stanine]]-tblY7[[#This Row],[Avg KS2 Band]],"")</f>
        <v>0.333333333333333</v>
      </c>
      <c r="N83" s="66" t="n">
        <v>8</v>
      </c>
      <c r="O83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83" s="66" t="inlineStr">
        <is>
          <t>A</t>
        </is>
      </c>
      <c r="Q83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83" s="66" t="n">
        <v>6</v>
      </c>
      <c r="S83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83" s="66" t="n">
        <v>6</v>
      </c>
      <c r="U8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2</v>
      </c>
    </row>
    <row r="84">
      <c r="A84" s="65" t="inlineStr">
        <is>
          <t>X907012242563</t>
        </is>
      </c>
      <c r="B84" s="65" t="inlineStr">
        <is>
          <t>Nowak</t>
        </is>
      </c>
      <c r="C84" s="65" t="inlineStr">
        <is>
          <t>Muhammad</t>
        </is>
      </c>
      <c r="D84" s="66" t="inlineStr">
        <is>
          <t>M</t>
        </is>
      </c>
      <c r="E84" s="66" t="inlineStr">
        <is>
          <t>N</t>
        </is>
      </c>
      <c r="F84" s="66" t="inlineStr">
        <is>
          <t>N</t>
        </is>
      </c>
      <c r="G84" s="34" t="n">
        <v>94.3</v>
      </c>
      <c r="H84" s="34" t="n">
        <v>97.5</v>
      </c>
      <c r="I84" s="67">
        <f>IF(ISNUMBER(tblY7[[#This Row],[Avg KS2]]),IFERROR(VLOOKUP(STANDARDIZE(tblY7[[#This Row],[Avg KS2]],AVERAGE(tblY7[[Avg KS2]]),_xlfn.STDEV.P(tblY7[[Avg KS2]])),_Stanine,2),5),"")</f>
        <v>2</v>
      </c>
      <c r="J84" s="66" t="inlineStr">
        <is>
          <t>7B/Sc3</t>
        </is>
      </c>
      <c r="K84" s="67">
        <f>IF(tblY7[[#This Row],[Preferred Last name]]="","",COUNTIFS($N$1:$ZZ$1,"*"&amp;CHAR(10)&amp;"Stanine",$N84:$ZZ84,"&gt;=1"))</f>
        <v>3</v>
      </c>
      <c r="L84" s="68">
        <f>IFERROR(AVERAGEIF($N$1:$ZZ$1,"*"&amp;CHAR(10)&amp;"Stanine",$N84:$ZZ84),"")</f>
        <v>3.33333333333333</v>
      </c>
      <c r="M84" s="69">
        <f>IF(AND(ISNUMBER(tblY7[[#This Row],[Mean Stanine]]),ISNUMBER(tblY7[[#This Row],[Avg KS2 Band]])),tblY7[[#This Row],[Mean Stanine]]-tblY7[[#This Row],[Avg KS2 Band]],"")</f>
        <v>1.33333333333333</v>
      </c>
      <c r="N84" s="66" t="n">
        <v>9</v>
      </c>
      <c r="O84" s="67">
        <f>IF(ISNUMBER(tblY7[[#This Row],[7B01 - Cells
Raw Score]]),IFERROR(VLOOKUP(STANDARDIZE(tblY7[[#This Row],[7B01 - Cells
Raw Score]],AVERAGE(tblY7[[7B01 - Cells
Raw Score]]),_xlfn.STDEV.P(tblY7[[7B01 - Cells
Raw Score]])),_Stanine,2),5),"")</f>
        <v>2</v>
      </c>
      <c r="P84" s="66" t="inlineStr">
        <is>
          <t>A</t>
        </is>
      </c>
      <c r="Q84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84" s="66" t="n">
        <v>11</v>
      </c>
      <c r="S84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84" s="66" t="n">
        <v>14</v>
      </c>
      <c r="U8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85">
      <c r="A85" s="65" t="inlineStr">
        <is>
          <t>X902642026955</t>
        </is>
      </c>
      <c r="B85" s="65" t="inlineStr">
        <is>
          <t>Nowak</t>
        </is>
      </c>
      <c r="C85" s="65" t="inlineStr">
        <is>
          <t>Sophie</t>
        </is>
      </c>
      <c r="D85" s="66" t="inlineStr">
        <is>
          <t>M</t>
        </is>
      </c>
      <c r="E85" s="66" t="n"/>
      <c r="F85" s="66" t="inlineStr">
        <is>
          <t>N</t>
        </is>
      </c>
      <c r="G85" s="34" t="n">
        <v>88.5</v>
      </c>
      <c r="H85" s="34" t="n">
        <v>96.5</v>
      </c>
      <c r="I85" s="67">
        <f>IF(ISNUMBER(tblY7[[#This Row],[Avg KS2]]),IFERROR(VLOOKUP(STANDARDIZE(tblY7[[#This Row],[Avg KS2]],AVERAGE(tblY7[[Avg KS2]]),_xlfn.STDEV.P(tblY7[[Avg KS2]])),_Stanine,2),5),"")</f>
        <v>2</v>
      </c>
      <c r="J85" s="66" t="inlineStr">
        <is>
          <t>7A/Sc1</t>
        </is>
      </c>
      <c r="K85" s="67">
        <f>IF(tblY7[[#This Row],[Preferred Last name]]="","",COUNTIFS($N$1:$ZZ$1,"*"&amp;CHAR(10)&amp;"Stanine",$N85:$ZZ85,"&gt;=1"))</f>
        <v>4</v>
      </c>
      <c r="L85" s="68">
        <f>IFERROR(AVERAGEIF($N$1:$ZZ$1,"*"&amp;CHAR(10)&amp;"Stanine",$N85:$ZZ85),"")</f>
        <v>2.25</v>
      </c>
      <c r="M85" s="69">
        <f>IF(AND(ISNUMBER(tblY7[[#This Row],[Mean Stanine]]),ISNUMBER(tblY7[[#This Row],[Avg KS2 Band]])),tblY7[[#This Row],[Mean Stanine]]-tblY7[[#This Row],[Avg KS2 Band]],"")</f>
        <v>0.25</v>
      </c>
      <c r="N85" s="66" t="n">
        <v>11</v>
      </c>
      <c r="O85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85" s="66" t="n">
        <v>10</v>
      </c>
      <c r="Q8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85" s="66" t="n">
        <v>4</v>
      </c>
      <c r="S85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85" s="66" t="n">
        <v>10</v>
      </c>
      <c r="U8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86">
      <c r="A86" s="65" t="inlineStr">
        <is>
          <t>X907631208977</t>
        </is>
      </c>
      <c r="B86" s="65" t="inlineStr">
        <is>
          <t>Okafor</t>
        </is>
      </c>
      <c r="C86" s="65" t="inlineStr">
        <is>
          <t>Amelia</t>
        </is>
      </c>
      <c r="D86" s="66" t="inlineStr">
        <is>
          <t>M</t>
        </is>
      </c>
      <c r="E86" s="66" t="inlineStr">
        <is>
          <t>N</t>
        </is>
      </c>
      <c r="F86" s="66" t="inlineStr">
        <is>
          <t>Y</t>
        </is>
      </c>
      <c r="G86" s="34" t="n">
        <v>100</v>
      </c>
      <c r="H86" s="34" t="n">
        <v>110</v>
      </c>
      <c r="I86" s="67">
        <f>IF(ISNUMBER(tblY7[[#This Row],[Avg KS2]]),IFERROR(VLOOKUP(STANDARDIZE(tblY7[[#This Row],[Avg KS2]],AVERAGE(tblY7[[Avg KS2]]),_xlfn.STDEV.P(tblY7[[Avg KS2]])),_Stanine,2),5),"")</f>
        <v>6</v>
      </c>
      <c r="J86" s="66" t="inlineStr">
        <is>
          <t>7A/Sc1</t>
        </is>
      </c>
      <c r="K86" s="67">
        <f>IF(tblY7[[#This Row],[Preferred Last name]]="","",COUNTIFS($N$1:$ZZ$1,"*"&amp;CHAR(10)&amp;"Stanine",$N86:$ZZ86,"&gt;=1"))</f>
        <v>3</v>
      </c>
      <c r="L86" s="68">
        <f>IFERROR(AVERAGEIF($N$1:$ZZ$1,"*"&amp;CHAR(10)&amp;"Stanine",$N86:$ZZ86),"")</f>
        <v>6.33333333333333</v>
      </c>
      <c r="M86" s="69">
        <f>IF(AND(ISNUMBER(tblY7[[#This Row],[Mean Stanine]]),ISNUMBER(tblY7[[#This Row],[Avg KS2 Band]])),tblY7[[#This Row],[Mean Stanine]]-tblY7[[#This Row],[Avg KS2 Band]],"")</f>
        <v>0.333333333333333</v>
      </c>
      <c r="N86" s="66" t="n">
        <v>23</v>
      </c>
      <c r="O86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86" s="66" t="inlineStr">
        <is>
          <t>A</t>
        </is>
      </c>
      <c r="Q86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86" s="66" t="n">
        <v>20</v>
      </c>
      <c r="S86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86" s="66" t="n">
        <v>19</v>
      </c>
      <c r="U8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87">
      <c r="A87" s="65" t="inlineStr">
        <is>
          <t>X903824720163</t>
        </is>
      </c>
      <c r="B87" s="65" t="inlineStr">
        <is>
          <t>Parker</t>
        </is>
      </c>
      <c r="C87" s="65" t="inlineStr">
        <is>
          <t>Charlie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99.2</v>
      </c>
      <c r="H87" s="34" t="n">
        <v>109</v>
      </c>
      <c r="I87" s="67">
        <f>IF(ISNUMBER(tblY7[[#This Row],[Avg KS2]]),IFERROR(VLOOKUP(STANDARDIZE(tblY7[[#This Row],[Avg KS2]],AVERAGE(tblY7[[Avg KS2]]),_xlfn.STDEV.P(tblY7[[Avg KS2]])),_Stanine,2),5),"")</f>
        <v>6</v>
      </c>
      <c r="J87" s="66" t="inlineStr">
        <is>
          <t>7B/Sc1</t>
        </is>
      </c>
      <c r="K87" s="67">
        <f>IF(tblY7[[#This Row],[Preferred Last name]]="","",COUNTIFS($N$1:$ZZ$1,"*"&amp;CHAR(10)&amp;"Stanine",$N87:$ZZ87,"&gt;=1"))</f>
        <v>4</v>
      </c>
      <c r="L87" s="68">
        <f>IFERROR(AVERAGEIF($N$1:$ZZ$1,"*"&amp;CHAR(10)&amp;"Stanine",$N87:$ZZ87),"")</f>
        <v>6</v>
      </c>
      <c r="M87" s="69">
        <f>IF(AND(ISNUMBER(tblY7[[#This Row],[Mean Stanine]]),ISNUMBER(tblY7[[#This Row],[Avg KS2 Band]])),tblY7[[#This Row],[Mean Stanine]]-tblY7[[#This Row],[Avg KS2 Band]],"")</f>
        <v>0</v>
      </c>
      <c r="N87" s="66" t="n">
        <v>22</v>
      </c>
      <c r="O87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87" s="66" t="n">
        <v>20</v>
      </c>
      <c r="Q8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87" s="66" t="n">
        <v>16</v>
      </c>
      <c r="S87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87" s="66" t="n">
        <v>15</v>
      </c>
      <c r="U8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88">
      <c r="A88" s="65" t="inlineStr">
        <is>
          <t>X906630120641</t>
        </is>
      </c>
      <c r="B88" s="65" t="inlineStr">
        <is>
          <t>Parker</t>
        </is>
      </c>
      <c r="C88" s="65" t="inlineStr">
        <is>
          <t>Finley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94.40000000000001</v>
      </c>
      <c r="H88" s="34" t="n">
        <v>111.5</v>
      </c>
      <c r="I88" s="67">
        <f>IF(ISNUMBER(tblY7[[#This Row],[Avg KS2]]),IFERROR(VLOOKUP(STANDARDIZE(tblY7[[#This Row],[Avg KS2]],AVERAGE(tblY7[[Avg KS2]]),_xlfn.STDEV.P(tblY7[[Avg KS2]])),_Stanine,2),5),"")</f>
        <v>7</v>
      </c>
      <c r="J88" s="66" t="inlineStr">
        <is>
          <t>7B/Sc3</t>
        </is>
      </c>
      <c r="K88" s="67">
        <f>IF(tblY7[[#This Row],[Preferred Last name]]="","",COUNTIFS($N$1:$ZZ$1,"*"&amp;CHAR(10)&amp;"Stanine",$N88:$ZZ88,"&gt;=1"))</f>
        <v>3</v>
      </c>
      <c r="L88" s="68">
        <f>IFERROR(AVERAGEIF($N$1:$ZZ$1,"*"&amp;CHAR(10)&amp;"Stanine",$N88:$ZZ88),"")</f>
        <v>5.33333333333333</v>
      </c>
      <c r="M88" s="69">
        <f>IF(AND(ISNUMBER(tblY7[[#This Row],[Mean Stanine]]),ISNUMBER(tblY7[[#This Row],[Avg KS2 Band]])),tblY7[[#This Row],[Mean Stanine]]-tblY7[[#This Row],[Avg KS2 Band]],"")</f>
        <v>-1.66666666666667</v>
      </c>
      <c r="N88" s="66" t="inlineStr">
        <is>
          <t>A</t>
        </is>
      </c>
      <c r="O88" s="67" t="str">
        <f>IF(ISNUMBER(tblY7[[#This Row],[7B01 - Cells
Raw Score]]),IFERROR(VLOOKUP(STANDARDIZE(tblY7[[#This Row],[7B01 - Cells
Raw Score]],AVERAGE(tblY7[[7B01 - Cells
Raw Score]]),_xlfn.STDEV.P(tblY7[[7B01 - Cells
Raw Score]])),_Stanine,2),5),"")</f>
        <v/>
      </c>
      <c r="P88" s="66" t="n">
        <v>17</v>
      </c>
      <c r="Q8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88" s="66" t="n">
        <v>15</v>
      </c>
      <c r="S88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88" s="66" t="n">
        <v>18</v>
      </c>
      <c r="U8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89">
      <c r="A89" s="65" t="inlineStr">
        <is>
          <t>X904586768207</t>
        </is>
      </c>
      <c r="B89" s="65" t="inlineStr">
        <is>
          <t>Parker</t>
        </is>
      </c>
      <c r="C89" s="65" t="inlineStr">
        <is>
          <t>Zara</t>
        </is>
      </c>
      <c r="D89" s="66" t="inlineStr">
        <is>
          <t>M</t>
        </is>
      </c>
      <c r="E89" s="66" t="inlineStr">
        <is>
          <t>K</t>
        </is>
      </c>
      <c r="F89" s="66" t="inlineStr">
        <is>
          <t>N</t>
        </is>
      </c>
      <c r="G89" s="34" t="n">
        <v>94.8</v>
      </c>
      <c r="H89" s="34" t="n">
        <v>114</v>
      </c>
      <c r="I89" s="67">
        <f>IF(ISNUMBER(tblY7[[#This Row],[Avg KS2]]),IFERROR(VLOOKUP(STANDARDIZE(tblY7[[#This Row],[Avg KS2]],AVERAGE(tblY7[[Avg KS2]]),_xlfn.STDEV.P(tblY7[[Avg KS2]])),_Stanine,2),5),"")</f>
        <v>8</v>
      </c>
      <c r="J89" s="66" t="inlineStr">
        <is>
          <t>7B/Sc2</t>
        </is>
      </c>
      <c r="K89" s="67">
        <f>IF(tblY7[[#This Row],[Preferred Last name]]="","",COUNTIFS($N$1:$ZZ$1,"*"&amp;CHAR(10)&amp;"Stanine",$N89:$ZZ89,"&gt;=1"))</f>
        <v>4</v>
      </c>
      <c r="L89" s="68">
        <f>IFERROR(AVERAGEIF($N$1:$ZZ$1,"*"&amp;CHAR(10)&amp;"Stanine",$N89:$ZZ89),"")</f>
        <v>5.5</v>
      </c>
      <c r="M89" s="69">
        <f>IF(AND(ISNUMBER(tblY7[[#This Row],[Mean Stanine]]),ISNUMBER(tblY7[[#This Row],[Avg KS2 Band]])),tblY7[[#This Row],[Mean Stanine]]-tblY7[[#This Row],[Avg KS2 Band]],"")</f>
        <v>-2.5</v>
      </c>
      <c r="N89" s="66" t="n">
        <v>21</v>
      </c>
      <c r="O89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89" s="66" t="n">
        <v>16</v>
      </c>
      <c r="Q8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89" s="66" t="n">
        <v>17</v>
      </c>
      <c r="S89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89" s="66" t="n">
        <v>17</v>
      </c>
      <c r="U8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90">
      <c r="A90" s="65" t="inlineStr">
        <is>
          <t>X907434623970</t>
        </is>
      </c>
      <c r="B90" s="65" t="inlineStr">
        <is>
          <t>Patel</t>
        </is>
      </c>
      <c r="C90" s="65" t="inlineStr">
        <is>
          <t>Layla</t>
        </is>
      </c>
      <c r="D90" s="66" t="inlineStr">
        <is>
          <t>M</t>
        </is>
      </c>
      <c r="E90" s="66" t="inlineStr">
        <is>
          <t>E</t>
        </is>
      </c>
      <c r="F90" s="66" t="inlineStr">
        <is>
          <t>Y</t>
        </is>
      </c>
      <c r="G90" s="34" t="n">
        <v>96.90000000000001</v>
      </c>
      <c r="H90" s="34" t="n">
        <v>111.5</v>
      </c>
      <c r="I90" s="67">
        <f>IF(ISNUMBER(tblY7[[#This Row],[Avg KS2]]),IFERROR(VLOOKUP(STANDARDIZE(tblY7[[#This Row],[Avg KS2]],AVERAGE(tblY7[[Avg KS2]]),_xlfn.STDEV.P(tblY7[[Avg KS2]])),_Stanine,2),5),"")</f>
        <v>7</v>
      </c>
      <c r="J90" s="66" t="inlineStr">
        <is>
          <t>7A/Sc1</t>
        </is>
      </c>
      <c r="K90" s="67">
        <f>IF(tblY7[[#This Row],[Preferred Last name]]="","",COUNTIFS($N$1:$ZZ$1,"*"&amp;CHAR(10)&amp;"Stanine",$N90:$ZZ90,"&gt;=1"))</f>
        <v>4</v>
      </c>
      <c r="L90" s="68">
        <f>IFERROR(AVERAGEIF($N$1:$ZZ$1,"*"&amp;CHAR(10)&amp;"Stanine",$N90:$ZZ90),"")</f>
        <v>7.75</v>
      </c>
      <c r="M90" s="69">
        <f>IF(AND(ISNUMBER(tblY7[[#This Row],[Mean Stanine]]),ISNUMBER(tblY7[[#This Row],[Avg KS2 Band]])),tblY7[[#This Row],[Mean Stanine]]-tblY7[[#This Row],[Avg KS2 Band]],"")</f>
        <v>0.75</v>
      </c>
      <c r="N90" s="66" t="n">
        <v>22</v>
      </c>
      <c r="O90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90" s="66" t="n">
        <v>22</v>
      </c>
      <c r="Q9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90" s="66" t="n">
        <v>24</v>
      </c>
      <c r="S90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90" s="66" t="n">
        <v>22</v>
      </c>
      <c r="U9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91">
      <c r="A91" s="65" t="inlineStr">
        <is>
          <t>X904528444190</t>
        </is>
      </c>
      <c r="B91" s="65" t="inlineStr">
        <is>
          <t>Patel</t>
        </is>
      </c>
      <c r="C91" s="65" t="inlineStr">
        <is>
          <t>Mia</t>
        </is>
      </c>
      <c r="D91" s="66" t="inlineStr">
        <is>
          <t>F</t>
        </is>
      </c>
      <c r="E91" s="66" t="inlineStr">
        <is>
          <t>N</t>
        </is>
      </c>
      <c r="F91" s="66" t="inlineStr">
        <is>
          <t>N</t>
        </is>
      </c>
      <c r="G91" s="34" t="n">
        <v>92.09999999999999</v>
      </c>
      <c r="H91" s="34" t="n">
        <v>108.5</v>
      </c>
      <c r="I91" s="67">
        <f>IF(ISNUMBER(tblY7[[#This Row],[Avg KS2]]),IFERROR(VLOOKUP(STANDARDIZE(tblY7[[#This Row],[Avg KS2]],AVERAGE(tblY7[[Avg KS2]]),_xlfn.STDEV.P(tblY7[[Avg KS2]])),_Stanine,2),5),"")</f>
        <v>6</v>
      </c>
      <c r="J91" s="66" t="inlineStr">
        <is>
          <t>7B/Sc1</t>
        </is>
      </c>
      <c r="K91" s="67">
        <f>IF(tblY7[[#This Row],[Preferred Last name]]="","",COUNTIFS($N$1:$ZZ$1,"*"&amp;CHAR(10)&amp;"Stanine",$N91:$ZZ91,"&gt;=1"))</f>
        <v>3</v>
      </c>
      <c r="L91" s="68">
        <f>IFERROR(AVERAGEIF($N$1:$ZZ$1,"*"&amp;CHAR(10)&amp;"Stanine",$N91:$ZZ91),"")</f>
        <v>7.66666666666667</v>
      </c>
      <c r="M91" s="69">
        <f>IF(AND(ISNUMBER(tblY7[[#This Row],[Mean Stanine]]),ISNUMBER(tblY7[[#This Row],[Avg KS2 Band]])),tblY7[[#This Row],[Mean Stanine]]-tblY7[[#This Row],[Avg KS2 Band]],"")</f>
        <v>1.66666666666667</v>
      </c>
      <c r="N91" s="66" t="n">
        <v>25</v>
      </c>
      <c r="O91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91" s="66" t="n">
        <v>22</v>
      </c>
      <c r="Q9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91" s="66" t="inlineStr">
        <is>
          <t>A</t>
        </is>
      </c>
      <c r="S91" s="67" t="str">
        <f>IF(ISNUMBER(tblY7[[#This Row],[7P01 - Forces
Raw Score]]),IFERROR(VLOOKUP(STANDARDIZE(tblY7[[#This Row],[7P01 - Forces
Raw Score]],AVERAGE(tblY7[[7P01 - Forces
Raw Score]]),_xlfn.STDEV.P(tblY7[[7P01 - Forces
Raw Score]])),_Stanine,2),5),"")</f>
        <v/>
      </c>
      <c r="T91" s="66" t="n">
        <v>21</v>
      </c>
      <c r="U9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92">
      <c r="A92" s="65" t="inlineStr">
        <is>
          <t>X903754433641</t>
        </is>
      </c>
      <c r="B92" s="65" t="inlineStr">
        <is>
          <t>Pearson</t>
        </is>
      </c>
      <c r="C92" s="65" t="inlineStr">
        <is>
          <t>Chidi</t>
        </is>
      </c>
      <c r="D92" s="66" t="inlineStr">
        <is>
          <t>F</t>
        </is>
      </c>
      <c r="E92" s="66" t="inlineStr">
        <is>
          <t>N</t>
        </is>
      </c>
      <c r="F92" s="66" t="inlineStr">
        <is>
          <t>Y</t>
        </is>
      </c>
      <c r="G92" s="34" t="n">
        <v>91.8</v>
      </c>
      <c r="H92" s="34" t="n">
        <v>115</v>
      </c>
      <c r="I92" s="67">
        <f>IF(ISNUMBER(tblY7[[#This Row],[Avg KS2]]),IFERROR(VLOOKUP(STANDARDIZE(tblY7[[#This Row],[Avg KS2]],AVERAGE(tblY7[[Avg KS2]]),_xlfn.STDEV.P(tblY7[[Avg KS2]])),_Stanine,2),5),"")</f>
        <v>8</v>
      </c>
      <c r="J92" s="66" t="inlineStr">
        <is>
          <t>7B/Sc2</t>
        </is>
      </c>
      <c r="K92" s="67">
        <f>IF(tblY7[[#This Row],[Preferred Last name]]="","",COUNTIFS($N$1:$ZZ$1,"*"&amp;CHAR(10)&amp;"Stanine",$N92:$ZZ92,"&gt;=1"))</f>
        <v>4</v>
      </c>
      <c r="L92" s="68">
        <f>IFERROR(AVERAGEIF($N$1:$ZZ$1,"*"&amp;CHAR(10)&amp;"Stanine",$N92:$ZZ92),"")</f>
        <v>6.5</v>
      </c>
      <c r="M92" s="69">
        <f>IF(AND(ISNUMBER(tblY7[[#This Row],[Mean Stanine]]),ISNUMBER(tblY7[[#This Row],[Avg KS2 Band]])),tblY7[[#This Row],[Mean Stanine]]-tblY7[[#This Row],[Avg KS2 Band]],"")</f>
        <v>-1.5</v>
      </c>
      <c r="N92" s="66" t="n">
        <v>22</v>
      </c>
      <c r="O92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92" s="66" t="n">
        <v>20</v>
      </c>
      <c r="Q9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92" s="66" t="n">
        <v>20</v>
      </c>
      <c r="S92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92" s="66" t="n">
        <v>19</v>
      </c>
      <c r="U9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93">
      <c r="A93" s="65" t="inlineStr">
        <is>
          <t>X908814608163</t>
        </is>
      </c>
      <c r="B93" s="65" t="inlineStr">
        <is>
          <t>Pearson</t>
        </is>
      </c>
      <c r="C93" s="65" t="inlineStr">
        <is>
          <t>Isla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99.7</v>
      </c>
      <c r="H93" s="34" t="n">
        <v>100</v>
      </c>
      <c r="I93" s="67">
        <f>IF(ISNUMBER(tblY7[[#This Row],[Avg KS2]]),IFERROR(VLOOKUP(STANDARDIZE(tblY7[[#This Row],[Avg KS2]],AVERAGE(tblY7[[Avg KS2]]),_xlfn.STDEV.P(tblY7[[Avg KS2]])),_Stanine,2),5),"")</f>
        <v>3</v>
      </c>
      <c r="J93" s="66" t="inlineStr">
        <is>
          <t>7B/Sc2</t>
        </is>
      </c>
      <c r="K93" s="67">
        <f>IF(tblY7[[#This Row],[Preferred Last name]]="","",COUNTIFS($N$1:$ZZ$1,"*"&amp;CHAR(10)&amp;"Stanine",$N93:$ZZ93,"&gt;=1"))</f>
        <v>4</v>
      </c>
      <c r="L93" s="68">
        <f>IFERROR(AVERAGEIF($N$1:$ZZ$1,"*"&amp;CHAR(10)&amp;"Stanine",$N93:$ZZ93),"")</f>
        <v>4.25</v>
      </c>
      <c r="M93" s="69">
        <f>IF(AND(ISNUMBER(tblY7[[#This Row],[Mean Stanine]]),ISNUMBER(tblY7[[#This Row],[Avg KS2 Band]])),tblY7[[#This Row],[Mean Stanine]]-tblY7[[#This Row],[Avg KS2 Band]],"")</f>
        <v>1.25</v>
      </c>
      <c r="N93" s="66" t="n">
        <v>12</v>
      </c>
      <c r="O93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93" s="66" t="n">
        <v>16</v>
      </c>
      <c r="Q9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93" s="66" t="n">
        <v>14</v>
      </c>
      <c r="S93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93" s="66" t="n">
        <v>14</v>
      </c>
      <c r="U9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94">
      <c r="A94" s="65" t="inlineStr">
        <is>
          <t>X904897499988</t>
        </is>
      </c>
      <c r="B94" s="65" t="inlineStr">
        <is>
          <t>Roberts</t>
        </is>
      </c>
      <c r="C94" s="65" t="inlineStr">
        <is>
          <t>Zofia</t>
        </is>
      </c>
      <c r="D94" s="66" t="inlineStr">
        <is>
          <t>F</t>
        </is>
      </c>
      <c r="E94" s="66" t="inlineStr">
        <is>
          <t>N</t>
        </is>
      </c>
      <c r="F94" s="66" t="inlineStr">
        <is>
          <t>N</t>
        </is>
      </c>
      <c r="G94" s="34" t="n">
        <v>93.90000000000001</v>
      </c>
      <c r="H94" s="34" t="n">
        <v>105.5</v>
      </c>
      <c r="I94" s="67">
        <f>IF(ISNUMBER(tblY7[[#This Row],[Avg KS2]]),IFERROR(VLOOKUP(STANDARDIZE(tblY7[[#This Row],[Avg KS2]],AVERAGE(tblY7[[Avg KS2]]),_xlfn.STDEV.P(tblY7[[Avg KS2]])),_Stanine,2),5),"")</f>
        <v>5</v>
      </c>
      <c r="J94" s="66" t="inlineStr">
        <is>
          <t>7A/Sc2</t>
        </is>
      </c>
      <c r="K94" s="67">
        <f>IF(tblY7[[#This Row],[Preferred Last name]]="","",COUNTIFS($N$1:$ZZ$1,"*"&amp;CHAR(10)&amp;"Stanine",$N94:$ZZ94,"&gt;=1"))</f>
        <v>3</v>
      </c>
      <c r="L94" s="68">
        <f>IFERROR(AVERAGEIF($N$1:$ZZ$1,"*"&amp;CHAR(10)&amp;"Stanine",$N94:$ZZ94),"")</f>
        <v>4.33333333333333</v>
      </c>
      <c r="M94" s="69">
        <f>IF(AND(ISNUMBER(tblY7[[#This Row],[Mean Stanine]]),ISNUMBER(tblY7[[#This Row],[Avg KS2 Band]])),tblY7[[#This Row],[Mean Stanine]]-tblY7[[#This Row],[Avg KS2 Band]],"")</f>
        <v>-0.666666666666667</v>
      </c>
      <c r="N94" s="66" t="n">
        <v>15</v>
      </c>
      <c r="O94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94" s="66" t="inlineStr">
        <is>
          <t>A</t>
        </is>
      </c>
      <c r="Q94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94" s="66" t="n">
        <v>13</v>
      </c>
      <c r="S94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94" s="66" t="n">
        <v>16</v>
      </c>
      <c r="U9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95">
      <c r="A95" s="65" t="inlineStr">
        <is>
          <t>X900591342975</t>
        </is>
      </c>
      <c r="B95" s="65" t="inlineStr">
        <is>
          <t>Robinson</t>
        </is>
      </c>
      <c r="C95" s="65" t="inlineStr">
        <is>
          <t>Grace</t>
        </is>
      </c>
      <c r="D95" s="66" t="inlineStr">
        <is>
          <t>F</t>
        </is>
      </c>
      <c r="E95" s="66" t="n"/>
      <c r="F95" s="66" t="inlineStr">
        <is>
          <t>N</t>
        </is>
      </c>
      <c r="G95" s="34" t="n">
        <v>91.5</v>
      </c>
      <c r="H95" s="34" t="n">
        <v>102.5</v>
      </c>
      <c r="I95" s="67">
        <f>IF(ISNUMBER(tblY7[[#This Row],[Avg KS2]]),IFERROR(VLOOKUP(STANDARDIZE(tblY7[[#This Row],[Avg KS2]],AVERAGE(tblY7[[Avg KS2]]),_xlfn.STDEV.P(tblY7[[Avg KS2]])),_Stanine,2),5),"")</f>
        <v>4</v>
      </c>
      <c r="J95" s="66" t="inlineStr">
        <is>
          <t>7B/Sc2</t>
        </is>
      </c>
      <c r="K95" s="67">
        <f>IF(tblY7[[#This Row],[Preferred Last name]]="","",COUNTIFS($N$1:$ZZ$1,"*"&amp;CHAR(10)&amp;"Stanine",$N95:$ZZ95,"&gt;=1"))</f>
        <v>4</v>
      </c>
      <c r="L95" s="68">
        <f>IFERROR(AVERAGEIF($N$1:$ZZ$1,"*"&amp;CHAR(10)&amp;"Stanine",$N95:$ZZ95),"")</f>
        <v>3.75</v>
      </c>
      <c r="M95" s="69">
        <f>IF(AND(ISNUMBER(tblY7[[#This Row],[Mean Stanine]]),ISNUMBER(tblY7[[#This Row],[Avg KS2 Band]])),tblY7[[#This Row],[Mean Stanine]]-tblY7[[#This Row],[Avg KS2 Band]],"")</f>
        <v>-0.25</v>
      </c>
      <c r="N95" s="66" t="n">
        <v>14</v>
      </c>
      <c r="O95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95" s="66" t="n">
        <v>11</v>
      </c>
      <c r="Q9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95" s="66" t="n">
        <v>12</v>
      </c>
      <c r="S95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95" s="66" t="n">
        <v>11</v>
      </c>
      <c r="U9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96">
      <c r="A96" s="65" t="inlineStr">
        <is>
          <t>X905530208220</t>
        </is>
      </c>
      <c r="B96" s="65" t="inlineStr">
        <is>
          <t>Robinson</t>
        </is>
      </c>
      <c r="C96" s="65" t="inlineStr">
        <is>
          <t>Hannah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N</t>
        </is>
      </c>
      <c r="G96" s="34" t="n">
        <v>98</v>
      </c>
      <c r="H96" s="34" t="n">
        <v>108</v>
      </c>
      <c r="I96" s="67">
        <f>IF(ISNUMBER(tblY7[[#This Row],[Avg KS2]]),IFERROR(VLOOKUP(STANDARDIZE(tblY7[[#This Row],[Avg KS2]],AVERAGE(tblY7[[Avg KS2]]),_xlfn.STDEV.P(tblY7[[Avg KS2]])),_Stanine,2),5),"")</f>
        <v>6</v>
      </c>
      <c r="J96" s="66" t="inlineStr">
        <is>
          <t>7A/Sc1</t>
        </is>
      </c>
      <c r="K96" s="67">
        <f>IF(tblY7[[#This Row],[Preferred Last name]]="","",COUNTIFS($N$1:$ZZ$1,"*"&amp;CHAR(10)&amp;"Stanine",$N96:$ZZ96,"&gt;=1"))</f>
        <v>4</v>
      </c>
      <c r="L96" s="68">
        <f>IFERROR(AVERAGEIF($N$1:$ZZ$1,"*"&amp;CHAR(10)&amp;"Stanine",$N96:$ZZ96),"")</f>
        <v>3.25</v>
      </c>
      <c r="M96" s="69">
        <f>IF(AND(ISNUMBER(tblY7[[#This Row],[Mean Stanine]]),ISNUMBER(tblY7[[#This Row],[Avg KS2 Band]])),tblY7[[#This Row],[Mean Stanine]]-tblY7[[#This Row],[Avg KS2 Band]],"")</f>
        <v>-2.75</v>
      </c>
      <c r="N96" s="66" t="n">
        <v>14</v>
      </c>
      <c r="O96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96" s="66" t="n">
        <v>10</v>
      </c>
      <c r="Q9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2</v>
      </c>
      <c r="R96" s="66" t="n">
        <v>11</v>
      </c>
      <c r="S96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96" s="66" t="n">
        <v>12</v>
      </c>
      <c r="U9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97">
      <c r="A97" s="65" t="inlineStr">
        <is>
          <t>X908720938929</t>
        </is>
      </c>
      <c r="B97" s="65" t="inlineStr">
        <is>
          <t>Robinson</t>
        </is>
      </c>
      <c r="C97" s="65" t="inlineStr">
        <is>
          <t>Hannah</t>
        </is>
      </c>
      <c r="D97" s="66" t="inlineStr">
        <is>
          <t>F</t>
        </is>
      </c>
      <c r="E97" s="66" t="inlineStr">
        <is>
          <t>N</t>
        </is>
      </c>
      <c r="F97" s="66" t="inlineStr">
        <is>
          <t>N</t>
        </is>
      </c>
      <c r="G97" s="34" t="n">
        <v>88.5</v>
      </c>
      <c r="H97" s="34" t="n">
        <v>113</v>
      </c>
      <c r="I97" s="67">
        <f>IF(ISNUMBER(tblY7[[#This Row],[Avg KS2]]),IFERROR(VLOOKUP(STANDARDIZE(tblY7[[#This Row],[Avg KS2]],AVERAGE(tblY7[[Avg KS2]]),_xlfn.STDEV.P(tblY7[[Avg KS2]])),_Stanine,2),5),"")</f>
        <v>8</v>
      </c>
      <c r="J97" s="66" t="inlineStr">
        <is>
          <t>7A/Sc2</t>
        </is>
      </c>
      <c r="K97" s="67">
        <f>IF(tblY7[[#This Row],[Preferred Last name]]="","",COUNTIFS($N$1:$ZZ$1,"*"&amp;CHAR(10)&amp;"Stanine",$N97:$ZZ97,"&gt;=1"))</f>
        <v>4</v>
      </c>
      <c r="L97" s="68">
        <f>IFERROR(AVERAGEIF($N$1:$ZZ$1,"*"&amp;CHAR(10)&amp;"Stanine",$N97:$ZZ97),"")</f>
        <v>5.5</v>
      </c>
      <c r="M97" s="69">
        <f>IF(AND(ISNUMBER(tblY7[[#This Row],[Mean Stanine]]),ISNUMBER(tblY7[[#This Row],[Avg KS2 Band]])),tblY7[[#This Row],[Mean Stanine]]-tblY7[[#This Row],[Avg KS2 Band]],"")</f>
        <v>-2.5</v>
      </c>
      <c r="N97" s="66" t="n">
        <v>20</v>
      </c>
      <c r="O97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97" s="66" t="n">
        <v>17</v>
      </c>
      <c r="Q9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97" s="66" t="n">
        <v>16</v>
      </c>
      <c r="S97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97" s="66" t="n">
        <v>19</v>
      </c>
      <c r="U9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98">
      <c r="A98" s="65" t="inlineStr">
        <is>
          <t>X906139267178</t>
        </is>
      </c>
      <c r="B98" s="65" t="inlineStr">
        <is>
          <t>Robinson</t>
        </is>
      </c>
      <c r="C98" s="65" t="inlineStr">
        <is>
          <t>Kai</t>
        </is>
      </c>
      <c r="D98" s="66" t="inlineStr">
        <is>
          <t>M</t>
        </is>
      </c>
      <c r="E98" s="66" t="inlineStr">
        <is>
          <t>K</t>
        </is>
      </c>
      <c r="F98" s="66" t="inlineStr">
        <is>
          <t>Y</t>
        </is>
      </c>
      <c r="G98" s="34" t="n">
        <v>92.7</v>
      </c>
      <c r="H98" s="34" t="n">
        <v>98.5</v>
      </c>
      <c r="I98" s="67">
        <f>IF(ISNUMBER(tblY7[[#This Row],[Avg KS2]]),IFERROR(VLOOKUP(STANDARDIZE(tblY7[[#This Row],[Avg KS2]],AVERAGE(tblY7[[Avg KS2]]),_xlfn.STDEV.P(tblY7[[Avg KS2]])),_Stanine,2),5),"")</f>
        <v>2</v>
      </c>
      <c r="J98" s="66" t="inlineStr">
        <is>
          <t>7A/Sc1</t>
        </is>
      </c>
      <c r="K98" s="67">
        <f>IF(tblY7[[#This Row],[Preferred Last name]]="","",COUNTIFS($N$1:$ZZ$1,"*"&amp;CHAR(10)&amp;"Stanine",$N98:$ZZ98,"&gt;=1"))</f>
        <v>4</v>
      </c>
      <c r="L98" s="68">
        <f>IFERROR(AVERAGEIF($N$1:$ZZ$1,"*"&amp;CHAR(10)&amp;"Stanine",$N98:$ZZ98),"")</f>
        <v>3.5</v>
      </c>
      <c r="M98" s="69">
        <f>IF(AND(ISNUMBER(tblY7[[#This Row],[Mean Stanine]]),ISNUMBER(tblY7[[#This Row],[Avg KS2 Band]])),tblY7[[#This Row],[Mean Stanine]]-tblY7[[#This Row],[Avg KS2 Band]],"")</f>
        <v>1.5</v>
      </c>
      <c r="N98" s="66" t="n">
        <v>9</v>
      </c>
      <c r="O98" s="67">
        <f>IF(ISNUMBER(tblY7[[#This Row],[7B01 - Cells
Raw Score]]),IFERROR(VLOOKUP(STANDARDIZE(tblY7[[#This Row],[7B01 - Cells
Raw Score]],AVERAGE(tblY7[[7B01 - Cells
Raw Score]]),_xlfn.STDEV.P(tblY7[[7B01 - Cells
Raw Score]])),_Stanine,2),5),"")</f>
        <v>2</v>
      </c>
      <c r="P98" s="66" t="n">
        <v>13</v>
      </c>
      <c r="Q9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98" s="66" t="n">
        <v>12</v>
      </c>
      <c r="S98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98" s="66" t="n">
        <v>11</v>
      </c>
      <c r="U9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99">
      <c r="A99" s="65" t="inlineStr">
        <is>
          <t>X909822056773</t>
        </is>
      </c>
      <c r="B99" s="65" t="inlineStr">
        <is>
          <t>Robinson</t>
        </is>
      </c>
      <c r="C99" s="65" t="inlineStr">
        <is>
          <t>Rosie</t>
        </is>
      </c>
      <c r="D99" s="66" t="inlineStr">
        <is>
          <t>M</t>
        </is>
      </c>
      <c r="E99" s="66" t="n"/>
      <c r="F99" s="66" t="inlineStr">
        <is>
          <t>N</t>
        </is>
      </c>
      <c r="G99" s="34" t="n">
        <v>95.2</v>
      </c>
      <c r="H99" s="34" t="n">
        <v>100.5</v>
      </c>
      <c r="I99" s="67">
        <f>IF(ISNUMBER(tblY7[[#This Row],[Avg KS2]]),IFERROR(VLOOKUP(STANDARDIZE(tblY7[[#This Row],[Avg KS2]],AVERAGE(tblY7[[Avg KS2]]),_xlfn.STDEV.P(tblY7[[Avg KS2]])),_Stanine,2),5),"")</f>
        <v>3</v>
      </c>
      <c r="J99" s="66" t="inlineStr">
        <is>
          <t>7B/Sc3</t>
        </is>
      </c>
      <c r="K99" s="67">
        <f>IF(tblY7[[#This Row],[Preferred Last name]]="","",COUNTIFS($N$1:$ZZ$1,"*"&amp;CHAR(10)&amp;"Stanine",$N99:$ZZ99,"&gt;=1"))</f>
        <v>4</v>
      </c>
      <c r="L99" s="68">
        <f>IFERROR(AVERAGEIF($N$1:$ZZ$1,"*"&amp;CHAR(10)&amp;"Stanine",$N99:$ZZ99),"")</f>
        <v>2</v>
      </c>
      <c r="M99" s="69">
        <f>IF(AND(ISNUMBER(tblY7[[#This Row],[Mean Stanine]]),ISNUMBER(tblY7[[#This Row],[Avg KS2 Band]])),tblY7[[#This Row],[Mean Stanine]]-tblY7[[#This Row],[Avg KS2 Band]],"")</f>
        <v>-1</v>
      </c>
      <c r="N99" s="66" t="n">
        <v>8</v>
      </c>
      <c r="O99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99" s="66" t="n">
        <v>11</v>
      </c>
      <c r="Q9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3</v>
      </c>
      <c r="R99" s="66" t="n">
        <v>10</v>
      </c>
      <c r="S99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99" s="66" t="n">
        <v>5</v>
      </c>
      <c r="U9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1</v>
      </c>
    </row>
    <row r="100">
      <c r="A100" s="65" t="inlineStr">
        <is>
          <t>X904823267060</t>
        </is>
      </c>
      <c r="B100" s="65" t="inlineStr">
        <is>
          <t>Shaw</t>
        </is>
      </c>
      <c r="C100" s="65" t="inlineStr">
        <is>
          <t>Arthur</t>
        </is>
      </c>
      <c r="D100" s="66" t="inlineStr">
        <is>
          <t>M</t>
        </is>
      </c>
      <c r="E100" s="66" t="n"/>
      <c r="F100" s="66" t="inlineStr">
        <is>
          <t>N</t>
        </is>
      </c>
      <c r="G100" s="34" t="n">
        <v>91.59999999999999</v>
      </c>
      <c r="H100" s="34" t="n">
        <v>104.5</v>
      </c>
      <c r="I100" s="67">
        <f>IF(ISNUMBER(tblY7[[#This Row],[Avg KS2]]),IFERROR(VLOOKUP(STANDARDIZE(tblY7[[#This Row],[Avg KS2]],AVERAGE(tblY7[[Avg KS2]]),_xlfn.STDEV.P(tblY7[[Avg KS2]])),_Stanine,2),5),"")</f>
        <v>4</v>
      </c>
      <c r="J100" s="66" t="inlineStr">
        <is>
          <t>7B/Sc2</t>
        </is>
      </c>
      <c r="K100" s="67">
        <f>IF(tblY7[[#This Row],[Preferred Last name]]="","",COUNTIFS($N$1:$ZZ$1,"*"&amp;CHAR(10)&amp;"Stanine",$N100:$ZZ100,"&gt;=1"))</f>
        <v>3</v>
      </c>
      <c r="L100" s="68">
        <f>IFERROR(AVERAGEIF($N$1:$ZZ$1,"*"&amp;CHAR(10)&amp;"Stanine",$N100:$ZZ100),"")</f>
        <v>4.33333333333333</v>
      </c>
      <c r="M100" s="69">
        <f>IF(AND(ISNUMBER(tblY7[[#This Row],[Mean Stanine]]),ISNUMBER(tblY7[[#This Row],[Avg KS2 Band]])),tblY7[[#This Row],[Mean Stanine]]-tblY7[[#This Row],[Avg KS2 Band]],"")</f>
        <v>0.333333333333333</v>
      </c>
      <c r="N100" s="66" t="n">
        <v>19</v>
      </c>
      <c r="O100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00" s="66" t="inlineStr">
        <is>
          <t>A</t>
        </is>
      </c>
      <c r="Q100" s="67" t="str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/>
      </c>
      <c r="R100" s="66" t="n">
        <v>12</v>
      </c>
      <c r="S100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00" s="66" t="n">
        <v>12</v>
      </c>
      <c r="U10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01">
      <c r="A101" s="65" t="inlineStr">
        <is>
          <t>X901586708377</t>
        </is>
      </c>
      <c r="B101" s="65" t="inlineStr">
        <is>
          <t>Shaw</t>
        </is>
      </c>
      <c r="C101" s="65" t="inlineStr">
        <is>
          <t>Finley</t>
        </is>
      </c>
      <c r="D101" s="66" t="inlineStr">
        <is>
          <t>M</t>
        </is>
      </c>
      <c r="E101" s="66" t="n"/>
      <c r="F101" s="66" t="inlineStr">
        <is>
          <t>Y</t>
        </is>
      </c>
      <c r="G101" s="34" t="n">
        <v>98.40000000000001</v>
      </c>
      <c r="H101" s="34" t="n">
        <v>102.5</v>
      </c>
      <c r="I101" s="67">
        <f>IF(ISNUMBER(tblY7[[#This Row],[Avg KS2]]),IFERROR(VLOOKUP(STANDARDIZE(tblY7[[#This Row],[Avg KS2]],AVERAGE(tblY7[[Avg KS2]]),_xlfn.STDEV.P(tblY7[[Avg KS2]])),_Stanine,2),5),"")</f>
        <v>4</v>
      </c>
      <c r="J101" s="66" t="inlineStr">
        <is>
          <t>7A/Sc2</t>
        </is>
      </c>
      <c r="K101" s="67">
        <f>IF(tblY7[[#This Row],[Preferred Last name]]="","",COUNTIFS($N$1:$ZZ$1,"*"&amp;CHAR(10)&amp;"Stanine",$N101:$ZZ101,"&gt;=1"))</f>
        <v>4</v>
      </c>
      <c r="L101" s="68">
        <f>IFERROR(AVERAGEIF($N$1:$ZZ$1,"*"&amp;CHAR(10)&amp;"Stanine",$N101:$ZZ101),"")</f>
        <v>4.5</v>
      </c>
      <c r="M101" s="69">
        <f>IF(AND(ISNUMBER(tblY7[[#This Row],[Mean Stanine]]),ISNUMBER(tblY7[[#This Row],[Avg KS2 Band]])),tblY7[[#This Row],[Mean Stanine]]-tblY7[[#This Row],[Avg KS2 Band]],"")</f>
        <v>0.5</v>
      </c>
      <c r="N101" s="66" t="n">
        <v>18</v>
      </c>
      <c r="O101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01" s="66" t="n">
        <v>14</v>
      </c>
      <c r="Q10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1" s="66" t="n">
        <v>16</v>
      </c>
      <c r="S101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01" s="66" t="n">
        <v>11</v>
      </c>
      <c r="U10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02">
      <c r="A102" s="65" t="inlineStr">
        <is>
          <t>X908582277738</t>
        </is>
      </c>
      <c r="B102" s="65" t="inlineStr">
        <is>
          <t>Shaw</t>
        </is>
      </c>
      <c r="C102" s="65" t="inlineStr">
        <is>
          <t>Keira</t>
        </is>
      </c>
      <c r="D102" s="66" t="inlineStr">
        <is>
          <t>F</t>
        </is>
      </c>
      <c r="E102" s="66" t="n"/>
      <c r="F102" s="66" t="inlineStr">
        <is>
          <t>N</t>
        </is>
      </c>
      <c r="G102" s="34" t="n">
        <v>97.3</v>
      </c>
      <c r="H102" s="34" t="n">
        <v>106.5</v>
      </c>
      <c r="I102" s="67">
        <f>IF(ISNUMBER(tblY7[[#This Row],[Avg KS2]]),IFERROR(VLOOKUP(STANDARDIZE(tblY7[[#This Row],[Avg KS2]],AVERAGE(tblY7[[Avg KS2]]),_xlfn.STDEV.P(tblY7[[Avg KS2]])),_Stanine,2),5),"")</f>
        <v>5</v>
      </c>
      <c r="J102" s="66" t="inlineStr">
        <is>
          <t>7A/Sc1</t>
        </is>
      </c>
      <c r="K102" s="67">
        <f>IF(tblY7[[#This Row],[Preferred Last name]]="","",COUNTIFS($N$1:$ZZ$1,"*"&amp;CHAR(10)&amp;"Stanine",$N102:$ZZ102,"&gt;=1"))</f>
        <v>4</v>
      </c>
      <c r="L102" s="68">
        <f>IFERROR(AVERAGEIF($N$1:$ZZ$1,"*"&amp;CHAR(10)&amp;"Stanine",$N102:$ZZ102),"")</f>
        <v>5.25</v>
      </c>
      <c r="M102" s="69">
        <f>IF(AND(ISNUMBER(tblY7[[#This Row],[Mean Stanine]]),ISNUMBER(tblY7[[#This Row],[Avg KS2 Band]])),tblY7[[#This Row],[Mean Stanine]]-tblY7[[#This Row],[Avg KS2 Band]],"")</f>
        <v>0.25</v>
      </c>
      <c r="N102" s="66" t="n">
        <v>18</v>
      </c>
      <c r="O102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02" s="66" t="n">
        <v>16</v>
      </c>
      <c r="Q10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02" s="66" t="n">
        <v>19</v>
      </c>
      <c r="S102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102" s="66" t="n">
        <v>15</v>
      </c>
      <c r="U10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103">
      <c r="A103" s="65" t="inlineStr">
        <is>
          <t>X903407333183</t>
        </is>
      </c>
      <c r="B103" s="65" t="inlineStr">
        <is>
          <t>Shaw</t>
        </is>
      </c>
      <c r="C103" s="65" t="inlineStr">
        <is>
          <t>Lily</t>
        </is>
      </c>
      <c r="D103" s="66" t="inlineStr">
        <is>
          <t>F</t>
        </is>
      </c>
      <c r="E103" s="66" t="n"/>
      <c r="F103" s="66" t="inlineStr">
        <is>
          <t>N</t>
        </is>
      </c>
      <c r="G103" s="34" t="n">
        <v>82.40000000000001</v>
      </c>
      <c r="H103" s="34" t="n">
        <v>105</v>
      </c>
      <c r="I103" s="67">
        <f>IF(ISNUMBER(tblY7[[#This Row],[Avg KS2]]),IFERROR(VLOOKUP(STANDARDIZE(tblY7[[#This Row],[Avg KS2]],AVERAGE(tblY7[[Avg KS2]]),_xlfn.STDEV.P(tblY7[[Avg KS2]])),_Stanine,2),5),"")</f>
        <v>5</v>
      </c>
      <c r="J103" s="66" t="inlineStr">
        <is>
          <t>7A/Sc2</t>
        </is>
      </c>
      <c r="K103" s="67">
        <f>IF(tblY7[[#This Row],[Preferred Last name]]="","",COUNTIFS($N$1:$ZZ$1,"*"&amp;CHAR(10)&amp;"Stanine",$N103:$ZZ103,"&gt;=1"))</f>
        <v>4</v>
      </c>
      <c r="L103" s="68">
        <f>IFERROR(AVERAGEIF($N$1:$ZZ$1,"*"&amp;CHAR(10)&amp;"Stanine",$N103:$ZZ103),"")</f>
        <v>3.25</v>
      </c>
      <c r="M103" s="69">
        <f>IF(AND(ISNUMBER(tblY7[[#This Row],[Mean Stanine]]),ISNUMBER(tblY7[[#This Row],[Avg KS2 Band]])),tblY7[[#This Row],[Mean Stanine]]-tblY7[[#This Row],[Avg KS2 Band]],"")</f>
        <v>-1.75</v>
      </c>
      <c r="N103" s="66" t="n">
        <v>12</v>
      </c>
      <c r="O103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103" s="66" t="n">
        <v>13</v>
      </c>
      <c r="Q10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3" s="66" t="n">
        <v>11</v>
      </c>
      <c r="S103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103" s="66" t="n">
        <v>9</v>
      </c>
      <c r="U10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104">
      <c r="A104" s="65" t="inlineStr">
        <is>
          <t>X906369083097</t>
        </is>
      </c>
      <c r="B104" s="65" t="inlineStr">
        <is>
          <t>Smith</t>
        </is>
      </c>
      <c r="C104" s="65" t="inlineStr">
        <is>
          <t>Isla</t>
        </is>
      </c>
      <c r="D104" s="66" t="inlineStr">
        <is>
          <t>M</t>
        </is>
      </c>
      <c r="E104" s="66" t="n"/>
      <c r="F104" s="66" t="inlineStr">
        <is>
          <t>N</t>
        </is>
      </c>
      <c r="G104" s="34" t="n">
        <v>84.59999999999999</v>
      </c>
      <c r="H104" s="34" t="n">
        <v>105.5</v>
      </c>
      <c r="I104" s="67">
        <f>IF(ISNUMBER(tblY7[[#This Row],[Avg KS2]]),IFERROR(VLOOKUP(STANDARDIZE(tblY7[[#This Row],[Avg KS2]],AVERAGE(tblY7[[Avg KS2]]),_xlfn.STDEV.P(tblY7[[Avg KS2]])),_Stanine,2),5),"")</f>
        <v>5</v>
      </c>
      <c r="J104" s="66" t="inlineStr">
        <is>
          <t>7A/Sc2</t>
        </is>
      </c>
      <c r="K104" s="67">
        <f>IF(tblY7[[#This Row],[Preferred Last name]]="","",COUNTIFS($N$1:$ZZ$1,"*"&amp;CHAR(10)&amp;"Stanine",$N104:$ZZ104,"&gt;=1"))</f>
        <v>4</v>
      </c>
      <c r="L104" s="68">
        <f>IFERROR(AVERAGEIF($N$1:$ZZ$1,"*"&amp;CHAR(10)&amp;"Stanine",$N104:$ZZ104),"")</f>
        <v>4.75</v>
      </c>
      <c r="M104" s="69">
        <f>IF(AND(ISNUMBER(tblY7[[#This Row],[Mean Stanine]]),ISNUMBER(tblY7[[#This Row],[Avg KS2 Band]])),tblY7[[#This Row],[Mean Stanine]]-tblY7[[#This Row],[Avg KS2 Band]],"")</f>
        <v>-0.25</v>
      </c>
      <c r="N104" s="66" t="n">
        <v>16</v>
      </c>
      <c r="O104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04" s="66" t="n">
        <v>15</v>
      </c>
      <c r="Q10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4" s="66" t="n">
        <v>17</v>
      </c>
      <c r="S104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04" s="66" t="n">
        <v>19</v>
      </c>
      <c r="U10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105">
      <c r="A105" s="65" t="inlineStr">
        <is>
          <t>X907342866074</t>
        </is>
      </c>
      <c r="B105" s="65" t="inlineStr">
        <is>
          <t>Smith</t>
        </is>
      </c>
      <c r="C105" s="65" t="inlineStr">
        <is>
          <t>Oscar</t>
        </is>
      </c>
      <c r="D105" s="66" t="inlineStr">
        <is>
          <t>M</t>
        </is>
      </c>
      <c r="E105" s="66" t="inlineStr">
        <is>
          <t>N</t>
        </is>
      </c>
      <c r="F105" s="66" t="inlineStr">
        <is>
          <t>Y</t>
        </is>
      </c>
      <c r="G105" s="34" t="n">
        <v>99.5</v>
      </c>
      <c r="H105" s="34" t="n">
        <v>108.5</v>
      </c>
      <c r="I105" s="67">
        <f>IF(ISNUMBER(tblY7[[#This Row],[Avg KS2]]),IFERROR(VLOOKUP(STANDARDIZE(tblY7[[#This Row],[Avg KS2]],AVERAGE(tblY7[[Avg KS2]]),_xlfn.STDEV.P(tblY7[[Avg KS2]])),_Stanine,2),5),"")</f>
        <v>6</v>
      </c>
      <c r="J105" s="66" t="inlineStr">
        <is>
          <t>7B/Sc1</t>
        </is>
      </c>
      <c r="K105" s="67">
        <f>IF(tblY7[[#This Row],[Preferred Last name]]="","",COUNTIFS($N$1:$ZZ$1,"*"&amp;CHAR(10)&amp;"Stanine",$N105:$ZZ105,"&gt;=1"))</f>
        <v>4</v>
      </c>
      <c r="L105" s="68">
        <f>IFERROR(AVERAGEIF($N$1:$ZZ$1,"*"&amp;CHAR(10)&amp;"Stanine",$N105:$ZZ105),"")</f>
        <v>6.75</v>
      </c>
      <c r="M105" s="69">
        <f>IF(AND(ISNUMBER(tblY7[[#This Row],[Mean Stanine]]),ISNUMBER(tblY7[[#This Row],[Avg KS2 Band]])),tblY7[[#This Row],[Mean Stanine]]-tblY7[[#This Row],[Avg KS2 Band]],"")</f>
        <v>0.75</v>
      </c>
      <c r="N105" s="66" t="n">
        <v>24</v>
      </c>
      <c r="O105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105" s="66" t="n">
        <v>18</v>
      </c>
      <c r="Q10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05" s="66" t="n">
        <v>21</v>
      </c>
      <c r="S105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105" s="66" t="n">
        <v>21</v>
      </c>
      <c r="U10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106">
      <c r="A106" s="65" t="inlineStr">
        <is>
          <t>X906070315702</t>
        </is>
      </c>
      <c r="B106" s="65" t="inlineStr">
        <is>
          <t>Taylor</t>
        </is>
      </c>
      <c r="C106" s="65" t="inlineStr">
        <is>
          <t>Callum</t>
        </is>
      </c>
      <c r="D106" s="66" t="inlineStr">
        <is>
          <t>M</t>
        </is>
      </c>
      <c r="E106" s="66" t="inlineStr">
        <is>
          <t>K</t>
        </is>
      </c>
      <c r="F106" s="66" t="inlineStr">
        <is>
          <t>Y</t>
        </is>
      </c>
      <c r="G106" s="34" t="n">
        <v>93.2</v>
      </c>
      <c r="H106" s="34" t="n">
        <v>113.5</v>
      </c>
      <c r="I106" s="67">
        <f>IF(ISNUMBER(tblY7[[#This Row],[Avg KS2]]),IFERROR(VLOOKUP(STANDARDIZE(tblY7[[#This Row],[Avg KS2]],AVERAGE(tblY7[[Avg KS2]]),_xlfn.STDEV.P(tblY7[[Avg KS2]])),_Stanine,2),5),"")</f>
        <v>8</v>
      </c>
      <c r="J106" s="66" t="inlineStr">
        <is>
          <t>7B/Sc1</t>
        </is>
      </c>
      <c r="K106" s="67">
        <f>IF(tblY7[[#This Row],[Preferred Last name]]="","",COUNTIFS($N$1:$ZZ$1,"*"&amp;CHAR(10)&amp;"Stanine",$N106:$ZZ106,"&gt;=1"))</f>
        <v>4</v>
      </c>
      <c r="L106" s="68">
        <f>IFERROR(AVERAGEIF($N$1:$ZZ$1,"*"&amp;CHAR(10)&amp;"Stanine",$N106:$ZZ106),"")</f>
        <v>8.25</v>
      </c>
      <c r="M106" s="69">
        <f>IF(AND(ISNUMBER(tblY7[[#This Row],[Mean Stanine]]),ISNUMBER(tblY7[[#This Row],[Avg KS2 Band]])),tblY7[[#This Row],[Mean Stanine]]-tblY7[[#This Row],[Avg KS2 Band]],"")</f>
        <v>0.25</v>
      </c>
      <c r="N106" s="66" t="n">
        <v>25</v>
      </c>
      <c r="O106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106" s="66" t="n">
        <v>24</v>
      </c>
      <c r="Q10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9</v>
      </c>
      <c r="R106" s="66" t="n">
        <v>24</v>
      </c>
      <c r="S106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106" s="66" t="n">
        <v>24</v>
      </c>
      <c r="U10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107">
      <c r="A107" s="65" t="inlineStr">
        <is>
          <t>X905480877059</t>
        </is>
      </c>
      <c r="B107" s="65" t="inlineStr">
        <is>
          <t>Taylor</t>
        </is>
      </c>
      <c r="C107" s="65" t="inlineStr">
        <is>
          <t>Leo</t>
        </is>
      </c>
      <c r="D107" s="66" t="inlineStr">
        <is>
          <t>M</t>
        </is>
      </c>
      <c r="E107" s="66" t="inlineStr">
        <is>
          <t>N</t>
        </is>
      </c>
      <c r="F107" s="66" t="inlineStr">
        <is>
          <t>N</t>
        </is>
      </c>
      <c r="G107" s="34" t="n">
        <v>95.3</v>
      </c>
      <c r="H107" s="34" t="n">
        <v>101</v>
      </c>
      <c r="I107" s="67">
        <f>IF(ISNUMBER(tblY7[[#This Row],[Avg KS2]]),IFERROR(VLOOKUP(STANDARDIZE(tblY7[[#This Row],[Avg KS2]],AVERAGE(tblY7[[Avg KS2]]),_xlfn.STDEV.P(tblY7[[Avg KS2]])),_Stanine,2),5),"")</f>
        <v>3</v>
      </c>
      <c r="J107" s="66" t="inlineStr">
        <is>
          <t>7A/Sc2</t>
        </is>
      </c>
      <c r="K107" s="67">
        <f>IF(tblY7[[#This Row],[Preferred Last name]]="","",COUNTIFS($N$1:$ZZ$1,"*"&amp;CHAR(10)&amp;"Stanine",$N107:$ZZ107,"&gt;=1"))</f>
        <v>4</v>
      </c>
      <c r="L107" s="68">
        <f>IFERROR(AVERAGEIF($N$1:$ZZ$1,"*"&amp;CHAR(10)&amp;"Stanine",$N107:$ZZ107),"")</f>
        <v>3.75</v>
      </c>
      <c r="M107" s="69">
        <f>IF(AND(ISNUMBER(tblY7[[#This Row],[Mean Stanine]]),ISNUMBER(tblY7[[#This Row],[Avg KS2 Band]])),tblY7[[#This Row],[Mean Stanine]]-tblY7[[#This Row],[Avg KS2 Band]],"")</f>
        <v>0.75</v>
      </c>
      <c r="N107" s="66" t="n">
        <v>13</v>
      </c>
      <c r="O107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107" s="66" t="n">
        <v>14</v>
      </c>
      <c r="Q10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7" s="66" t="n">
        <v>12</v>
      </c>
      <c r="S107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07" s="66" t="n">
        <v>12</v>
      </c>
      <c r="U10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08">
      <c r="A108" s="65" t="inlineStr">
        <is>
          <t>X904635217125</t>
        </is>
      </c>
      <c r="B108" s="65" t="inlineStr">
        <is>
          <t>Thompson</t>
        </is>
      </c>
      <c r="C108" s="65" t="inlineStr">
        <is>
          <t>Lily</t>
        </is>
      </c>
      <c r="D108" s="66" t="inlineStr">
        <is>
          <t>M</t>
        </is>
      </c>
      <c r="E108" s="66" t="inlineStr">
        <is>
          <t>K</t>
        </is>
      </c>
      <c r="F108" s="66" t="inlineStr">
        <is>
          <t>N</t>
        </is>
      </c>
      <c r="G108" s="34" t="n">
        <v>98.5</v>
      </c>
      <c r="H108" s="34" t="n">
        <v>106</v>
      </c>
      <c r="I108" s="67">
        <f>IF(ISNUMBER(tblY7[[#This Row],[Avg KS2]]),IFERROR(VLOOKUP(STANDARDIZE(tblY7[[#This Row],[Avg KS2]],AVERAGE(tblY7[[Avg KS2]]),_xlfn.STDEV.P(tblY7[[Avg KS2]])),_Stanine,2),5),"")</f>
        <v>5</v>
      </c>
      <c r="J108" s="66" t="inlineStr">
        <is>
          <t>7B/Sc2</t>
        </is>
      </c>
      <c r="K108" s="67">
        <f>IF(tblY7[[#This Row],[Preferred Last name]]="","",COUNTIFS($N$1:$ZZ$1,"*"&amp;CHAR(10)&amp;"Stanine",$N108:$ZZ108,"&gt;=1"))</f>
        <v>3</v>
      </c>
      <c r="L108" s="68">
        <f>IFERROR(AVERAGEIF($N$1:$ZZ$1,"*"&amp;CHAR(10)&amp;"Stanine",$N108:$ZZ108),"")</f>
        <v>5</v>
      </c>
      <c r="M108" s="69">
        <f>IF(AND(ISNUMBER(tblY7[[#This Row],[Mean Stanine]]),ISNUMBER(tblY7[[#This Row],[Avg KS2 Band]])),tblY7[[#This Row],[Mean Stanine]]-tblY7[[#This Row],[Avg KS2 Band]],"")</f>
        <v>0</v>
      </c>
      <c r="N108" s="66" t="n">
        <v>18</v>
      </c>
      <c r="O108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08" s="66" t="n">
        <v>17</v>
      </c>
      <c r="Q10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08" s="66" t="n">
        <v>16</v>
      </c>
      <c r="S108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08" s="66" t="inlineStr">
        <is>
          <t>A</t>
        </is>
      </c>
      <c r="U108" s="67" t="str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/>
      </c>
    </row>
    <row r="109">
      <c r="A109" s="65" t="inlineStr">
        <is>
          <t>X905343194047</t>
        </is>
      </c>
      <c r="B109" s="65" t="inlineStr">
        <is>
          <t>Thompson</t>
        </is>
      </c>
      <c r="C109" s="65" t="inlineStr">
        <is>
          <t>Oliver</t>
        </is>
      </c>
      <c r="D109" s="66" t="inlineStr">
        <is>
          <t>F</t>
        </is>
      </c>
      <c r="E109" s="66" t="inlineStr">
        <is>
          <t>N</t>
        </is>
      </c>
      <c r="F109" s="66" t="inlineStr">
        <is>
          <t>Y</t>
        </is>
      </c>
      <c r="G109" s="34" t="n">
        <v>95.90000000000001</v>
      </c>
      <c r="H109" s="34" t="n">
        <v>100.5</v>
      </c>
      <c r="I109" s="67">
        <f>IF(ISNUMBER(tblY7[[#This Row],[Avg KS2]]),IFERROR(VLOOKUP(STANDARDIZE(tblY7[[#This Row],[Avg KS2]],AVERAGE(tblY7[[Avg KS2]]),_xlfn.STDEV.P(tblY7[[Avg KS2]])),_Stanine,2),5),"")</f>
        <v>3</v>
      </c>
      <c r="J109" s="66" t="inlineStr">
        <is>
          <t>7B/Sc3</t>
        </is>
      </c>
      <c r="K109" s="67">
        <f>IF(tblY7[[#This Row],[Preferred Last name]]="","",COUNTIFS($N$1:$ZZ$1,"*"&amp;CHAR(10)&amp;"Stanine",$N109:$ZZ109,"&gt;=1"))</f>
        <v>3</v>
      </c>
      <c r="L109" s="68">
        <f>IFERROR(AVERAGEIF($N$1:$ZZ$1,"*"&amp;CHAR(10)&amp;"Stanine",$N109:$ZZ109),"")</f>
        <v>3.33333333333333</v>
      </c>
      <c r="M109" s="69">
        <f>IF(AND(ISNUMBER(tblY7[[#This Row],[Mean Stanine]]),ISNUMBER(tblY7[[#This Row],[Avg KS2 Band]])),tblY7[[#This Row],[Mean Stanine]]-tblY7[[#This Row],[Avg KS2 Band]],"")</f>
        <v>0.333333333333334</v>
      </c>
      <c r="N109" s="66" t="n">
        <v>9</v>
      </c>
      <c r="O109" s="67">
        <f>IF(ISNUMBER(tblY7[[#This Row],[7B01 - Cells
Raw Score]]),IFERROR(VLOOKUP(STANDARDIZE(tblY7[[#This Row],[7B01 - Cells
Raw Score]],AVERAGE(tblY7[[7B01 - Cells
Raw Score]]),_xlfn.STDEV.P(tblY7[[7B01 - Cells
Raw Score]])),_Stanine,2),5),"")</f>
        <v>2</v>
      </c>
      <c r="P109" s="66" t="n">
        <v>13</v>
      </c>
      <c r="Q10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09" s="66" t="inlineStr">
        <is>
          <t>A</t>
        </is>
      </c>
      <c r="S109" s="67" t="str">
        <f>IF(ISNUMBER(tblY7[[#This Row],[7P01 - Forces
Raw Score]]),IFERROR(VLOOKUP(STANDARDIZE(tblY7[[#This Row],[7P01 - Forces
Raw Score]],AVERAGE(tblY7[[7P01 - Forces
Raw Score]]),_xlfn.STDEV.P(tblY7[[7P01 - Forces
Raw Score]])),_Stanine,2),5),"")</f>
        <v/>
      </c>
      <c r="T109" s="66" t="n">
        <v>11</v>
      </c>
      <c r="U10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10">
      <c r="A110" s="65" t="inlineStr">
        <is>
          <t>X904910032013</t>
        </is>
      </c>
      <c r="B110" s="65" t="inlineStr">
        <is>
          <t>Thompson</t>
        </is>
      </c>
      <c r="C110" s="65" t="inlineStr">
        <is>
          <t>Poppy</t>
        </is>
      </c>
      <c r="D110" s="66" t="inlineStr">
        <is>
          <t>F</t>
        </is>
      </c>
      <c r="E110" s="66" t="inlineStr">
        <is>
          <t>K</t>
        </is>
      </c>
      <c r="F110" s="66" t="inlineStr">
        <is>
          <t>N</t>
        </is>
      </c>
      <c r="G110" s="34" t="n">
        <v>90</v>
      </c>
      <c r="H110" s="34" t="n">
        <v>103.5</v>
      </c>
      <c r="I110" s="67">
        <f>IF(ISNUMBER(tblY7[[#This Row],[Avg KS2]]),IFERROR(VLOOKUP(STANDARDIZE(tblY7[[#This Row],[Avg KS2]],AVERAGE(tblY7[[Avg KS2]]),_xlfn.STDEV.P(tblY7[[Avg KS2]])),_Stanine,2),5),"")</f>
        <v>4</v>
      </c>
      <c r="J110" s="66" t="inlineStr">
        <is>
          <t>7B/Sc3</t>
        </is>
      </c>
      <c r="K110" s="67">
        <f>IF(tblY7[[#This Row],[Preferred Last name]]="","",COUNTIFS($N$1:$ZZ$1,"*"&amp;CHAR(10)&amp;"Stanine",$N110:$ZZ110,"&gt;=1"))</f>
        <v>4</v>
      </c>
      <c r="L110" s="68">
        <f>IFERROR(AVERAGEIF($N$1:$ZZ$1,"*"&amp;CHAR(10)&amp;"Stanine",$N110:$ZZ110),"")</f>
        <v>4.75</v>
      </c>
      <c r="M110" s="69">
        <f>IF(AND(ISNUMBER(tblY7[[#This Row],[Mean Stanine]]),ISNUMBER(tblY7[[#This Row],[Avg KS2 Band]])),tblY7[[#This Row],[Mean Stanine]]-tblY7[[#This Row],[Avg KS2 Band]],"")</f>
        <v>0.75</v>
      </c>
      <c r="N110" s="66" t="n">
        <v>18</v>
      </c>
      <c r="O110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10" s="66" t="n">
        <v>14</v>
      </c>
      <c r="Q11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10" s="66" t="n">
        <v>16</v>
      </c>
      <c r="S110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10" s="66" t="n">
        <v>14</v>
      </c>
      <c r="U11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5</v>
      </c>
    </row>
    <row r="111">
      <c r="A111" s="65" t="inlineStr">
        <is>
          <t>X900282300218</t>
        </is>
      </c>
      <c r="B111" s="65" t="inlineStr">
        <is>
          <t>Turner</t>
        </is>
      </c>
      <c r="C111" s="65" t="inlineStr">
        <is>
          <t>Jacob</t>
        </is>
      </c>
      <c r="D111" s="66" t="inlineStr">
        <is>
          <t>M</t>
        </is>
      </c>
      <c r="E111" s="66" t="inlineStr">
        <is>
          <t>N</t>
        </is>
      </c>
      <c r="F111" s="66" t="inlineStr">
        <is>
          <t>N</t>
        </is>
      </c>
      <c r="G111" s="34" t="n">
        <v>96.09999999999999</v>
      </c>
      <c r="H111" s="34" t="n">
        <v>105</v>
      </c>
      <c r="I111" s="67">
        <f>IF(ISNUMBER(tblY7[[#This Row],[Avg KS2]]),IFERROR(VLOOKUP(STANDARDIZE(tblY7[[#This Row],[Avg KS2]],AVERAGE(tblY7[[Avg KS2]]),_xlfn.STDEV.P(tblY7[[Avg KS2]])),_Stanine,2),5),"")</f>
        <v>5</v>
      </c>
      <c r="J111" s="66" t="inlineStr">
        <is>
          <t>7B/Sc3</t>
        </is>
      </c>
      <c r="K111" s="67">
        <f>IF(tblY7[[#This Row],[Preferred Last name]]="","",COUNTIFS($N$1:$ZZ$1,"*"&amp;CHAR(10)&amp;"Stanine",$N111:$ZZ111,"&gt;=1"))</f>
        <v>4</v>
      </c>
      <c r="L111" s="68">
        <f>IFERROR(AVERAGEIF($N$1:$ZZ$1,"*"&amp;CHAR(10)&amp;"Stanine",$N111:$ZZ111),"")</f>
        <v>4.25</v>
      </c>
      <c r="M111" s="69">
        <f>IF(AND(ISNUMBER(tblY7[[#This Row],[Mean Stanine]]),ISNUMBER(tblY7[[#This Row],[Avg KS2 Band]])),tblY7[[#This Row],[Mean Stanine]]-tblY7[[#This Row],[Avg KS2 Band]],"")</f>
        <v>-0.75</v>
      </c>
      <c r="N111" s="66" t="n">
        <v>18</v>
      </c>
      <c r="O111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11" s="66" t="n">
        <v>15</v>
      </c>
      <c r="Q11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11" s="66" t="n">
        <v>16</v>
      </c>
      <c r="S111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11" s="66" t="n">
        <v>10</v>
      </c>
      <c r="U11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112">
      <c r="A112" s="65" t="inlineStr">
        <is>
          <t>X905918083335</t>
        </is>
      </c>
      <c r="B112" s="65" t="inlineStr">
        <is>
          <t>Turner</t>
        </is>
      </c>
      <c r="C112" s="65" t="inlineStr">
        <is>
          <t>Oliver</t>
        </is>
      </c>
      <c r="D112" s="66" t="inlineStr">
        <is>
          <t>M</t>
        </is>
      </c>
      <c r="E112" s="66" t="inlineStr">
        <is>
          <t>N</t>
        </is>
      </c>
      <c r="F112" s="66" t="inlineStr">
        <is>
          <t>Y</t>
        </is>
      </c>
      <c r="G112" s="34" t="n">
        <v>85.5</v>
      </c>
      <c r="H112" s="34" t="n">
        <v>108</v>
      </c>
      <c r="I112" s="67">
        <f>IF(ISNUMBER(tblY7[[#This Row],[Avg KS2]]),IFERROR(VLOOKUP(STANDARDIZE(tblY7[[#This Row],[Avg KS2]],AVERAGE(tblY7[[Avg KS2]]),_xlfn.STDEV.P(tblY7[[Avg KS2]])),_Stanine,2),5),"")</f>
        <v>6</v>
      </c>
      <c r="J112" s="66" t="inlineStr">
        <is>
          <t>7B/Sc1</t>
        </is>
      </c>
      <c r="K112" s="67">
        <f>IF(tblY7[[#This Row],[Preferred Last name]]="","",COUNTIFS($N$1:$ZZ$1,"*"&amp;CHAR(10)&amp;"Stanine",$N112:$ZZ112,"&gt;=1"))</f>
        <v>4</v>
      </c>
      <c r="L112" s="68">
        <f>IFERROR(AVERAGEIF($N$1:$ZZ$1,"*"&amp;CHAR(10)&amp;"Stanine",$N112:$ZZ112),"")</f>
        <v>4.25</v>
      </c>
      <c r="M112" s="69">
        <f>IF(AND(ISNUMBER(tblY7[[#This Row],[Mean Stanine]]),ISNUMBER(tblY7[[#This Row],[Avg KS2 Band]])),tblY7[[#This Row],[Mean Stanine]]-tblY7[[#This Row],[Avg KS2 Band]],"")</f>
        <v>-1.75</v>
      </c>
      <c r="N112" s="66" t="n">
        <v>16</v>
      </c>
      <c r="O112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12" s="66" t="n">
        <v>19</v>
      </c>
      <c r="Q11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12" s="66" t="n">
        <v>10</v>
      </c>
      <c r="S112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112" s="66" t="n">
        <v>11</v>
      </c>
      <c r="U11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13">
      <c r="A113" s="65" t="inlineStr">
        <is>
          <t>X903065365221</t>
        </is>
      </c>
      <c r="B113" s="65" t="inlineStr">
        <is>
          <t>Walker</t>
        </is>
      </c>
      <c r="C113" s="65" t="inlineStr">
        <is>
          <t>Alfie</t>
        </is>
      </c>
      <c r="D113" s="66" t="inlineStr">
        <is>
          <t>M</t>
        </is>
      </c>
      <c r="E113" s="66" t="inlineStr">
        <is>
          <t>N</t>
        </is>
      </c>
      <c r="F113" s="66" t="inlineStr">
        <is>
          <t>N</t>
        </is>
      </c>
      <c r="G113" s="34" t="n">
        <v>97.59999999999999</v>
      </c>
      <c r="H113" s="34" t="n">
        <v>93.5</v>
      </c>
      <c r="I113" s="67">
        <f>IF(ISNUMBER(tblY7[[#This Row],[Avg KS2]]),IFERROR(VLOOKUP(STANDARDIZE(tblY7[[#This Row],[Avg KS2]],AVERAGE(tblY7[[Avg KS2]]),_xlfn.STDEV.P(tblY7[[Avg KS2]])),_Stanine,2),5),"")</f>
        <v>1</v>
      </c>
      <c r="J113" s="66" t="inlineStr">
        <is>
          <t>7B/Sc2</t>
        </is>
      </c>
      <c r="K113" s="67">
        <f>IF(tblY7[[#This Row],[Preferred Last name]]="","",COUNTIFS($N$1:$ZZ$1,"*"&amp;CHAR(10)&amp;"Stanine",$N113:$ZZ113,"&gt;=1"))</f>
        <v>4</v>
      </c>
      <c r="L113" s="68">
        <f>IFERROR(AVERAGEIF($N$1:$ZZ$1,"*"&amp;CHAR(10)&amp;"Stanine",$N113:$ZZ113),"")</f>
        <v>1.25</v>
      </c>
      <c r="M113" s="69">
        <f>IF(AND(ISNUMBER(tblY7[[#This Row],[Mean Stanine]]),ISNUMBER(tblY7[[#This Row],[Avg KS2 Band]])),tblY7[[#This Row],[Mean Stanine]]-tblY7[[#This Row],[Avg KS2 Band]],"")</f>
        <v>0.25</v>
      </c>
      <c r="N113" s="66" t="n">
        <v>5</v>
      </c>
      <c r="O113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113" s="66" t="n">
        <v>8</v>
      </c>
      <c r="Q11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113" s="66" t="n">
        <v>8</v>
      </c>
      <c r="S113" s="67">
        <f>IF(ISNUMBER(tblY7[[#This Row],[7P01 - Forces
Raw Score]]),IFERROR(VLOOKUP(STANDARDIZE(tblY7[[#This Row],[7P01 - Forces
Raw Score]],AVERAGE(tblY7[[7P01 - Forces
Raw Score]]),_xlfn.STDEV.P(tblY7[[7P01 - Forces
Raw Score]])),_Stanine,2),5),"")</f>
        <v>2</v>
      </c>
      <c r="T113" s="66" t="n">
        <v>4</v>
      </c>
      <c r="U11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1</v>
      </c>
    </row>
    <row r="114">
      <c r="A114" s="65" t="inlineStr">
        <is>
          <t>X902658582360</t>
        </is>
      </c>
      <c r="B114" s="65" t="inlineStr">
        <is>
          <t>Walker</t>
        </is>
      </c>
      <c r="C114" s="65" t="inlineStr">
        <is>
          <t>Callum</t>
        </is>
      </c>
      <c r="D114" s="66" t="inlineStr">
        <is>
          <t>M</t>
        </is>
      </c>
      <c r="E114" s="66" t="n"/>
      <c r="F114" s="66" t="inlineStr">
        <is>
          <t>N</t>
        </is>
      </c>
      <c r="G114" s="34" t="n">
        <v>94.09999999999999</v>
      </c>
      <c r="H114" s="34" t="n">
        <v>96</v>
      </c>
      <c r="I114" s="67">
        <f>IF(ISNUMBER(tblY7[[#This Row],[Avg KS2]]),IFERROR(VLOOKUP(STANDARDIZE(tblY7[[#This Row],[Avg KS2]],AVERAGE(tblY7[[Avg KS2]]),_xlfn.STDEV.P(tblY7[[Avg KS2]])),_Stanine,2),5),"")</f>
        <v>1</v>
      </c>
      <c r="J114" s="66" t="inlineStr">
        <is>
          <t>7B/Sc2</t>
        </is>
      </c>
      <c r="K114" s="67">
        <f>IF(tblY7[[#This Row],[Preferred Last name]]="","",COUNTIFS($N$1:$ZZ$1,"*"&amp;CHAR(10)&amp;"Stanine",$N114:$ZZ114,"&gt;=1"))</f>
        <v>4</v>
      </c>
      <c r="L114" s="68">
        <f>IFERROR(AVERAGEIF($N$1:$ZZ$1,"*"&amp;CHAR(10)&amp;"Stanine",$N114:$ZZ114),"")</f>
        <v>3.75</v>
      </c>
      <c r="M114" s="69">
        <f>IF(AND(ISNUMBER(tblY7[[#This Row],[Mean Stanine]]),ISNUMBER(tblY7[[#This Row],[Avg KS2 Band]])),tblY7[[#This Row],[Mean Stanine]]-tblY7[[#This Row],[Avg KS2 Band]],"")</f>
        <v>2.75</v>
      </c>
      <c r="N114" s="66" t="n">
        <v>17</v>
      </c>
      <c r="O114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14" s="66" t="n">
        <v>15</v>
      </c>
      <c r="Q11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14" s="66" t="n">
        <v>10</v>
      </c>
      <c r="S114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114" s="66" t="n">
        <v>10</v>
      </c>
      <c r="U11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115">
      <c r="A115" s="65" t="inlineStr">
        <is>
          <t>X902069344100</t>
        </is>
      </c>
      <c r="B115" s="65" t="inlineStr">
        <is>
          <t>Walker</t>
        </is>
      </c>
      <c r="C115" s="65" t="inlineStr">
        <is>
          <t>Hollie</t>
        </is>
      </c>
      <c r="D115" s="66" t="inlineStr">
        <is>
          <t>M</t>
        </is>
      </c>
      <c r="E115" s="66" t="inlineStr">
        <is>
          <t>N</t>
        </is>
      </c>
      <c r="F115" s="66" t="inlineStr">
        <is>
          <t>Y</t>
        </is>
      </c>
      <c r="G115" s="34" t="n">
        <v>92.2</v>
      </c>
      <c r="H115" s="34" t="n">
        <v>103</v>
      </c>
      <c r="I115" s="67">
        <f>IF(ISNUMBER(tblY7[[#This Row],[Avg KS2]]),IFERROR(VLOOKUP(STANDARDIZE(tblY7[[#This Row],[Avg KS2]],AVERAGE(tblY7[[Avg KS2]]),_xlfn.STDEV.P(tblY7[[Avg KS2]])),_Stanine,2),5),"")</f>
        <v>4</v>
      </c>
      <c r="J115" s="66" t="inlineStr">
        <is>
          <t>7A/Sc2</t>
        </is>
      </c>
      <c r="K115" s="67">
        <f>IF(tblY7[[#This Row],[Preferred Last name]]="","",COUNTIFS($N$1:$ZZ$1,"*"&amp;CHAR(10)&amp;"Stanine",$N115:$ZZ115,"&gt;=1"))</f>
        <v>3</v>
      </c>
      <c r="L115" s="68">
        <f>IFERROR(AVERAGEIF($N$1:$ZZ$1,"*"&amp;CHAR(10)&amp;"Stanine",$N115:$ZZ115),"")</f>
        <v>4.33333333333333</v>
      </c>
      <c r="M115" s="69">
        <f>IF(AND(ISNUMBER(tblY7[[#This Row],[Mean Stanine]]),ISNUMBER(tblY7[[#This Row],[Avg KS2 Band]])),tblY7[[#This Row],[Mean Stanine]]-tblY7[[#This Row],[Avg KS2 Band]],"")</f>
        <v>0.333333333333333</v>
      </c>
      <c r="N115" s="66" t="n">
        <v>17</v>
      </c>
      <c r="O115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15" s="66" t="n">
        <v>17</v>
      </c>
      <c r="Q11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15" s="66" t="n">
        <v>11</v>
      </c>
      <c r="S115" s="67">
        <f>IF(ISNUMBER(tblY7[[#This Row],[7P01 - Forces
Raw Score]]),IFERROR(VLOOKUP(STANDARDIZE(tblY7[[#This Row],[7P01 - Forces
Raw Score]],AVERAGE(tblY7[[7P01 - Forces
Raw Score]]),_xlfn.STDEV.P(tblY7[[7P01 - Forces
Raw Score]])),_Stanine,2),5),"")</f>
        <v>3</v>
      </c>
      <c r="T115" s="66" t="inlineStr">
        <is>
          <t>A</t>
        </is>
      </c>
      <c r="U115" s="67" t="str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/>
      </c>
    </row>
    <row r="116">
      <c r="A116" s="65" t="inlineStr">
        <is>
          <t>X900435933020</t>
        </is>
      </c>
      <c r="B116" s="65" t="inlineStr">
        <is>
          <t>Walker</t>
        </is>
      </c>
      <c r="C116" s="65" t="inlineStr">
        <is>
          <t>Muhammad</t>
        </is>
      </c>
      <c r="D116" s="66" t="inlineStr">
        <is>
          <t>M</t>
        </is>
      </c>
      <c r="E116" s="66" t="n"/>
      <c r="F116" s="66" t="inlineStr">
        <is>
          <t>N</t>
        </is>
      </c>
      <c r="G116" s="34" t="n">
        <v>95.5</v>
      </c>
      <c r="H116" s="34" t="n">
        <v>104</v>
      </c>
      <c r="I116" s="67">
        <f>IF(ISNUMBER(tblY7[[#This Row],[Avg KS2]]),IFERROR(VLOOKUP(STANDARDIZE(tblY7[[#This Row],[Avg KS2]],AVERAGE(tblY7[[Avg KS2]]),_xlfn.STDEV.P(tblY7[[Avg KS2]])),_Stanine,2),5),"")</f>
        <v>4</v>
      </c>
      <c r="J116" s="66" t="inlineStr">
        <is>
          <t>7B/Sc1</t>
        </is>
      </c>
      <c r="K116" s="67">
        <f>IF(tblY7[[#This Row],[Preferred Last name]]="","",COUNTIFS($N$1:$ZZ$1,"*"&amp;CHAR(10)&amp;"Stanine",$N116:$ZZ116,"&gt;=1"))</f>
        <v>4</v>
      </c>
      <c r="L116" s="68">
        <f>IFERROR(AVERAGEIF($N$1:$ZZ$1,"*"&amp;CHAR(10)&amp;"Stanine",$N116:$ZZ116),"")</f>
        <v>3.75</v>
      </c>
      <c r="M116" s="69">
        <f>IF(AND(ISNUMBER(tblY7[[#This Row],[Mean Stanine]]),ISNUMBER(tblY7[[#This Row],[Avg KS2 Band]])),tblY7[[#This Row],[Mean Stanine]]-tblY7[[#This Row],[Avg KS2 Band]],"")</f>
        <v>-0.25</v>
      </c>
      <c r="N116" s="66" t="n">
        <v>11</v>
      </c>
      <c r="O116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116" s="66" t="n">
        <v>16</v>
      </c>
      <c r="Q11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16" s="66" t="n">
        <v>12</v>
      </c>
      <c r="S116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16" s="66" t="n">
        <v>9</v>
      </c>
      <c r="U11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117">
      <c r="A117" s="65" t="inlineStr">
        <is>
          <t>X907267270211</t>
        </is>
      </c>
      <c r="B117" s="65" t="inlineStr">
        <is>
          <t>Walker</t>
        </is>
      </c>
      <c r="C117" s="65" t="inlineStr">
        <is>
          <t>Nia</t>
        </is>
      </c>
      <c r="D117" s="66" t="inlineStr">
        <is>
          <t>F</t>
        </is>
      </c>
      <c r="E117" s="66" t="n"/>
      <c r="F117" s="66" t="inlineStr">
        <is>
          <t>Y</t>
        </is>
      </c>
      <c r="G117" s="34" t="n">
        <v>82.2</v>
      </c>
      <c r="H117" s="34" t="n">
        <v>102.5</v>
      </c>
      <c r="I117" s="67">
        <f>IF(ISNUMBER(tblY7[[#This Row],[Avg KS2]]),IFERROR(VLOOKUP(STANDARDIZE(tblY7[[#This Row],[Avg KS2]],AVERAGE(tblY7[[Avg KS2]]),_xlfn.STDEV.P(tblY7[[Avg KS2]])),_Stanine,2),5),"")</f>
        <v>4</v>
      </c>
      <c r="J117" s="66" t="inlineStr">
        <is>
          <t>7B/Sc3</t>
        </is>
      </c>
      <c r="K117" s="67">
        <f>IF(tblY7[[#This Row],[Preferred Last name]]="","",COUNTIFS($N$1:$ZZ$1,"*"&amp;CHAR(10)&amp;"Stanine",$N117:$ZZ117,"&gt;=1"))</f>
        <v>4</v>
      </c>
      <c r="L117" s="68">
        <f>IFERROR(AVERAGEIF($N$1:$ZZ$1,"*"&amp;CHAR(10)&amp;"Stanine",$N117:$ZZ117),"")</f>
        <v>3.25</v>
      </c>
      <c r="M117" s="69">
        <f>IF(AND(ISNUMBER(tblY7[[#This Row],[Mean Stanine]]),ISNUMBER(tblY7[[#This Row],[Avg KS2 Band]])),tblY7[[#This Row],[Mean Stanine]]-tblY7[[#This Row],[Avg KS2 Band]],"")</f>
        <v>-0.75</v>
      </c>
      <c r="N117" s="66" t="n">
        <v>14</v>
      </c>
      <c r="O117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17" s="66" t="n">
        <v>13</v>
      </c>
      <c r="Q11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17" s="66" t="n">
        <v>6</v>
      </c>
      <c r="S117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117" s="66" t="n">
        <v>11</v>
      </c>
      <c r="U11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18">
      <c r="A118" s="65" t="inlineStr">
        <is>
          <t>X909165996719</t>
        </is>
      </c>
      <c r="B118" s="65" t="inlineStr">
        <is>
          <t>Ward</t>
        </is>
      </c>
      <c r="C118" s="65" t="inlineStr">
        <is>
          <t>Alfie</t>
        </is>
      </c>
      <c r="D118" s="66" t="inlineStr">
        <is>
          <t>M</t>
        </is>
      </c>
      <c r="E118" s="66" t="n"/>
      <c r="F118" s="66" t="inlineStr">
        <is>
          <t>Y</t>
        </is>
      </c>
      <c r="G118" s="34" t="n">
        <v>92.3</v>
      </c>
      <c r="H118" s="34" t="n">
        <v>88</v>
      </c>
      <c r="I118" s="67">
        <f>IF(ISNUMBER(tblY7[[#This Row],[Avg KS2]]),IFERROR(VLOOKUP(STANDARDIZE(tblY7[[#This Row],[Avg KS2]],AVERAGE(tblY7[[Avg KS2]]),_xlfn.STDEV.P(tblY7[[Avg KS2]])),_Stanine,2),5),"")</f>
        <v>1</v>
      </c>
      <c r="J118" s="66" t="inlineStr">
        <is>
          <t>7B/Sc3</t>
        </is>
      </c>
      <c r="K118" s="67">
        <f>IF(tblY7[[#This Row],[Preferred Last name]]="","",COUNTIFS($N$1:$ZZ$1,"*"&amp;CHAR(10)&amp;"Stanine",$N118:$ZZ118,"&gt;=1"))</f>
        <v>4</v>
      </c>
      <c r="L118" s="68">
        <f>IFERROR(AVERAGEIF($N$1:$ZZ$1,"*"&amp;CHAR(10)&amp;"Stanine",$N118:$ZZ118),"")</f>
        <v>1</v>
      </c>
      <c r="M118" s="69">
        <f>IF(AND(ISNUMBER(tblY7[[#This Row],[Mean Stanine]]),ISNUMBER(tblY7[[#This Row],[Avg KS2 Band]])),tblY7[[#This Row],[Mean Stanine]]-tblY7[[#This Row],[Avg KS2 Band]],"")</f>
        <v>0</v>
      </c>
      <c r="N118" s="66" t="n">
        <v>5</v>
      </c>
      <c r="O118" s="67">
        <f>IF(ISNUMBER(tblY7[[#This Row],[7B01 - Cells
Raw Score]]),IFERROR(VLOOKUP(STANDARDIZE(tblY7[[#This Row],[7B01 - Cells
Raw Score]],AVERAGE(tblY7[[7B01 - Cells
Raw Score]]),_xlfn.STDEV.P(tblY7[[7B01 - Cells
Raw Score]])),_Stanine,2),5),"")</f>
        <v>1</v>
      </c>
      <c r="P118" s="66" t="n">
        <v>7</v>
      </c>
      <c r="Q11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1</v>
      </c>
      <c r="R118" s="66" t="n">
        <v>4</v>
      </c>
      <c r="S118" s="67">
        <f>IF(ISNUMBER(tblY7[[#This Row],[7P01 - Forces
Raw Score]]),IFERROR(VLOOKUP(STANDARDIZE(tblY7[[#This Row],[7P01 - Forces
Raw Score]],AVERAGE(tblY7[[7P01 - Forces
Raw Score]]),_xlfn.STDEV.P(tblY7[[7P01 - Forces
Raw Score]])),_Stanine,2),5),"")</f>
        <v>1</v>
      </c>
      <c r="T118" s="66" t="n">
        <v>5</v>
      </c>
      <c r="U11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1</v>
      </c>
    </row>
    <row r="119">
      <c r="A119" s="65" t="inlineStr">
        <is>
          <t>X909765187078</t>
        </is>
      </c>
      <c r="B119" s="65" t="inlineStr">
        <is>
          <t>Ward</t>
        </is>
      </c>
      <c r="C119" s="65" t="inlineStr">
        <is>
          <t>Muhammad</t>
        </is>
      </c>
      <c r="D119" s="66" t="inlineStr">
        <is>
          <t>F</t>
        </is>
      </c>
      <c r="E119" s="66" t="inlineStr">
        <is>
          <t>N</t>
        </is>
      </c>
      <c r="F119" s="66" t="inlineStr">
        <is>
          <t>Y</t>
        </is>
      </c>
      <c r="G119" s="34" t="n">
        <v>90</v>
      </c>
      <c r="H119" s="34" t="n">
        <v>105</v>
      </c>
      <c r="I119" s="67">
        <f>IF(ISNUMBER(tblY7[[#This Row],[Avg KS2]]),IFERROR(VLOOKUP(STANDARDIZE(tblY7[[#This Row],[Avg KS2]],AVERAGE(tblY7[[Avg KS2]]),_xlfn.STDEV.P(tblY7[[Avg KS2]])),_Stanine,2),5),"")</f>
        <v>5</v>
      </c>
      <c r="J119" s="66" t="inlineStr">
        <is>
          <t>7A/Sc2</t>
        </is>
      </c>
      <c r="K119" s="67">
        <f>IF(tblY7[[#This Row],[Preferred Last name]]="","",COUNTIFS($N$1:$ZZ$1,"*"&amp;CHAR(10)&amp;"Stanine",$N119:$ZZ119,"&gt;=1"))</f>
        <v>4</v>
      </c>
      <c r="L119" s="68">
        <f>IFERROR(AVERAGEIF($N$1:$ZZ$1,"*"&amp;CHAR(10)&amp;"Stanine",$N119:$ZZ119),"")</f>
        <v>4</v>
      </c>
      <c r="M119" s="69">
        <f>IF(AND(ISNUMBER(tblY7[[#This Row],[Mean Stanine]]),ISNUMBER(tblY7[[#This Row],[Avg KS2 Band]])),tblY7[[#This Row],[Mean Stanine]]-tblY7[[#This Row],[Avg KS2 Band]],"")</f>
        <v>-1</v>
      </c>
      <c r="N119" s="66" t="n">
        <v>14</v>
      </c>
      <c r="O119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19" s="66" t="n">
        <v>15</v>
      </c>
      <c r="Q11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19" s="66" t="n">
        <v>14</v>
      </c>
      <c r="S119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19" s="66" t="n">
        <v>12</v>
      </c>
      <c r="U11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20">
      <c r="A120" s="65" t="inlineStr">
        <is>
          <t>X904750809102</t>
        </is>
      </c>
      <c r="B120" s="65" t="inlineStr">
        <is>
          <t>Williams</t>
        </is>
      </c>
      <c r="C120" s="65" t="inlineStr">
        <is>
          <t>Noah</t>
        </is>
      </c>
      <c r="D120" s="66" t="inlineStr">
        <is>
          <t>F</t>
        </is>
      </c>
      <c r="E120" s="66" t="n"/>
      <c r="F120" s="66" t="inlineStr">
        <is>
          <t>N</t>
        </is>
      </c>
      <c r="G120" s="34" t="n">
        <v>95.3</v>
      </c>
      <c r="H120" s="34" t="n">
        <v>106</v>
      </c>
      <c r="I120" s="67">
        <f>IF(ISNUMBER(tblY7[[#This Row],[Avg KS2]]),IFERROR(VLOOKUP(STANDARDIZE(tblY7[[#This Row],[Avg KS2]],AVERAGE(tblY7[[Avg KS2]]),_xlfn.STDEV.P(tblY7[[Avg KS2]])),_Stanine,2),5),"")</f>
        <v>5</v>
      </c>
      <c r="J120" s="66" t="inlineStr">
        <is>
          <t>7A/Sc1</t>
        </is>
      </c>
      <c r="K120" s="67">
        <f>IF(tblY7[[#This Row],[Preferred Last name]]="","",COUNTIFS($N$1:$ZZ$1,"*"&amp;CHAR(10)&amp;"Stanine",$N120:$ZZ120,"&gt;=1"))</f>
        <v>4</v>
      </c>
      <c r="L120" s="68">
        <f>IFERROR(AVERAGEIF($N$1:$ZZ$1,"*"&amp;CHAR(10)&amp;"Stanine",$N120:$ZZ120),"")</f>
        <v>6.25</v>
      </c>
      <c r="M120" s="69">
        <f>IF(AND(ISNUMBER(tblY7[[#This Row],[Mean Stanine]]),ISNUMBER(tblY7[[#This Row],[Avg KS2 Band]])),tblY7[[#This Row],[Mean Stanine]]-tblY7[[#This Row],[Avg KS2 Band]],"")</f>
        <v>1.25</v>
      </c>
      <c r="N120" s="66" t="n">
        <v>23</v>
      </c>
      <c r="O120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120" s="66" t="n">
        <v>17</v>
      </c>
      <c r="Q12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20" s="66" t="n">
        <v>21</v>
      </c>
      <c r="S120" s="67">
        <f>IF(ISNUMBER(tblY7[[#This Row],[7P01 - Forces
Raw Score]]),IFERROR(VLOOKUP(STANDARDIZE(tblY7[[#This Row],[7P01 - Forces
Raw Score]],AVERAGE(tblY7[[7P01 - Forces
Raw Score]]),_xlfn.STDEV.P(tblY7[[7P01 - Forces
Raw Score]])),_Stanine,2),5),"")</f>
        <v>7</v>
      </c>
      <c r="T120" s="66" t="n">
        <v>17</v>
      </c>
      <c r="U12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121">
      <c r="A121" s="65" t="inlineStr">
        <is>
          <t>X906462729157</t>
        </is>
      </c>
      <c r="B121" s="65" t="inlineStr">
        <is>
          <t>Wilson</t>
        </is>
      </c>
      <c r="C121" s="65" t="inlineStr">
        <is>
          <t>Aisha</t>
        </is>
      </c>
      <c r="D121" s="66" t="inlineStr">
        <is>
          <t>M</t>
        </is>
      </c>
      <c r="E121" s="66" t="inlineStr">
        <is>
          <t>K</t>
        </is>
      </c>
      <c r="F121" s="66" t="inlineStr">
        <is>
          <t>N</t>
        </is>
      </c>
      <c r="G121" s="34" t="n">
        <v>100</v>
      </c>
      <c r="H121" s="34" t="n">
        <v>113.5</v>
      </c>
      <c r="I121" s="67">
        <f>IF(ISNUMBER(tblY7[[#This Row],[Avg KS2]]),IFERROR(VLOOKUP(STANDARDIZE(tblY7[[#This Row],[Avg KS2]],AVERAGE(tblY7[[Avg KS2]]),_xlfn.STDEV.P(tblY7[[Avg KS2]])),_Stanine,2),5),"")</f>
        <v>8</v>
      </c>
      <c r="J121" s="66" t="inlineStr">
        <is>
          <t>7A/Sc1</t>
        </is>
      </c>
      <c r="K121" s="67">
        <f>IF(tblY7[[#This Row],[Preferred Last name]]="","",COUNTIFS($N$1:$ZZ$1,"*"&amp;CHAR(10)&amp;"Stanine",$N121:$ZZ121,"&gt;=1"))</f>
        <v>4</v>
      </c>
      <c r="L121" s="68">
        <f>IFERROR(AVERAGEIF($N$1:$ZZ$1,"*"&amp;CHAR(10)&amp;"Stanine",$N121:$ZZ121),"")</f>
        <v>8.5</v>
      </c>
      <c r="M121" s="69">
        <f>IF(AND(ISNUMBER(tblY7[[#This Row],[Mean Stanine]]),ISNUMBER(tblY7[[#This Row],[Avg KS2 Band]])),tblY7[[#This Row],[Mean Stanine]]-tblY7[[#This Row],[Avg KS2 Band]],"")</f>
        <v>0.5</v>
      </c>
      <c r="N121" s="66" t="n">
        <v>25</v>
      </c>
      <c r="O121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121" s="66" t="n">
        <v>23</v>
      </c>
      <c r="Q12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121" s="66" t="n">
        <v>27</v>
      </c>
      <c r="S121" s="67">
        <f>IF(ISNUMBER(tblY7[[#This Row],[7P01 - Forces
Raw Score]]),IFERROR(VLOOKUP(STANDARDIZE(tblY7[[#This Row],[7P01 - Forces
Raw Score]],AVERAGE(tblY7[[7P01 - Forces
Raw Score]]),_xlfn.STDEV.P(tblY7[[7P01 - Forces
Raw Score]])),_Stanine,2),5),"")</f>
        <v>9</v>
      </c>
      <c r="T121" s="66" t="n">
        <v>25</v>
      </c>
      <c r="U12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9</v>
      </c>
    </row>
    <row r="122">
      <c r="A122" s="65" t="inlineStr">
        <is>
          <t>X900777898159</t>
        </is>
      </c>
      <c r="B122" s="65" t="inlineStr">
        <is>
          <t>Wilson</t>
        </is>
      </c>
      <c r="C122" s="65" t="inlineStr">
        <is>
          <t>Ella</t>
        </is>
      </c>
      <c r="D122" s="66" t="inlineStr">
        <is>
          <t>M</t>
        </is>
      </c>
      <c r="E122" s="66" t="inlineStr">
        <is>
          <t>N</t>
        </is>
      </c>
      <c r="F122" s="66" t="inlineStr">
        <is>
          <t>N</t>
        </is>
      </c>
      <c r="G122" s="34" t="n">
        <v>95.7</v>
      </c>
      <c r="H122" s="34" t="n">
        <v>100.5</v>
      </c>
      <c r="I122" s="67">
        <f>IF(ISNUMBER(tblY7[[#This Row],[Avg KS2]]),IFERROR(VLOOKUP(STANDARDIZE(tblY7[[#This Row],[Avg KS2]],AVERAGE(tblY7[[Avg KS2]]),_xlfn.STDEV.P(tblY7[[Avg KS2]])),_Stanine,2),5),"")</f>
        <v>3</v>
      </c>
      <c r="J122" s="66" t="inlineStr">
        <is>
          <t>7B/Sc1</t>
        </is>
      </c>
      <c r="K122" s="67">
        <f>IF(tblY7[[#This Row],[Preferred Last name]]="","",COUNTIFS($N$1:$ZZ$1,"*"&amp;CHAR(10)&amp;"Stanine",$N122:$ZZ122,"&gt;=1"))</f>
        <v>4</v>
      </c>
      <c r="L122" s="68">
        <f>IFERROR(AVERAGEIF($N$1:$ZZ$1,"*"&amp;CHAR(10)&amp;"Stanine",$N122:$ZZ122),"")</f>
        <v>4.25</v>
      </c>
      <c r="M122" s="69">
        <f>IF(AND(ISNUMBER(tblY7[[#This Row],[Mean Stanine]]),ISNUMBER(tblY7[[#This Row],[Avg KS2 Band]])),tblY7[[#This Row],[Mean Stanine]]-tblY7[[#This Row],[Avg KS2 Band]],"")</f>
        <v>1.25</v>
      </c>
      <c r="N122" s="66" t="n">
        <v>14</v>
      </c>
      <c r="O122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22" s="66" t="n">
        <v>13</v>
      </c>
      <c r="Q12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22" s="66" t="n">
        <v>15</v>
      </c>
      <c r="S122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22" s="66" t="n">
        <v>11</v>
      </c>
      <c r="U12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23">
      <c r="A123" s="65" t="inlineStr">
        <is>
          <t>X903083600411</t>
        </is>
      </c>
      <c r="B123" s="65" t="inlineStr">
        <is>
          <t>Wilson</t>
        </is>
      </c>
      <c r="C123" s="65" t="inlineStr">
        <is>
          <t>George</t>
        </is>
      </c>
      <c r="D123" s="66" t="inlineStr">
        <is>
          <t>M</t>
        </is>
      </c>
      <c r="E123" s="66" t="n"/>
      <c r="F123" s="66" t="inlineStr">
        <is>
          <t>Y</t>
        </is>
      </c>
      <c r="G123" s="34" t="n">
        <v>96.8</v>
      </c>
      <c r="H123" s="34" t="n">
        <v>104</v>
      </c>
      <c r="I123" s="67">
        <f>IF(ISNUMBER(tblY7[[#This Row],[Avg KS2]]),IFERROR(VLOOKUP(STANDARDIZE(tblY7[[#This Row],[Avg KS2]],AVERAGE(tblY7[[Avg KS2]]),_xlfn.STDEV.P(tblY7[[Avg KS2]])),_Stanine,2),5),"")</f>
        <v>4</v>
      </c>
      <c r="J123" s="66" t="inlineStr">
        <is>
          <t>7B/Sc3</t>
        </is>
      </c>
      <c r="K123" s="67">
        <f>IF(tblY7[[#This Row],[Preferred Last name]]="","",COUNTIFS($N$1:$ZZ$1,"*"&amp;CHAR(10)&amp;"Stanine",$N123:$ZZ123,"&gt;=1"))</f>
        <v>4</v>
      </c>
      <c r="L123" s="68">
        <f>IFERROR(AVERAGEIF($N$1:$ZZ$1,"*"&amp;CHAR(10)&amp;"Stanine",$N123:$ZZ123),"")</f>
        <v>4.5</v>
      </c>
      <c r="M123" s="69">
        <f>IF(AND(ISNUMBER(tblY7[[#This Row],[Mean Stanine]]),ISNUMBER(tblY7[[#This Row],[Avg KS2 Band]])),tblY7[[#This Row],[Mean Stanine]]-tblY7[[#This Row],[Avg KS2 Band]],"")</f>
        <v>0.5</v>
      </c>
      <c r="N123" s="66" t="n">
        <v>16</v>
      </c>
      <c r="O123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23" s="66" t="n">
        <v>17</v>
      </c>
      <c r="Q123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5</v>
      </c>
      <c r="R123" s="66" t="n">
        <v>16</v>
      </c>
      <c r="S123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23" s="66" t="n">
        <v>13</v>
      </c>
      <c r="U123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24">
      <c r="A124" s="65" t="inlineStr">
        <is>
          <t>X900354547282</t>
        </is>
      </c>
      <c r="B124" s="65" t="inlineStr">
        <is>
          <t>Wilson</t>
        </is>
      </c>
      <c r="C124" s="65" t="inlineStr">
        <is>
          <t>Keira</t>
        </is>
      </c>
      <c r="D124" s="66" t="inlineStr">
        <is>
          <t>F</t>
        </is>
      </c>
      <c r="E124" s="66" t="n"/>
      <c r="F124" s="66" t="inlineStr">
        <is>
          <t>Y</t>
        </is>
      </c>
      <c r="G124" s="34" t="n">
        <v>92.09999999999999</v>
      </c>
      <c r="H124" s="34" t="n">
        <v>106.5</v>
      </c>
      <c r="I124" s="67">
        <f>IF(ISNUMBER(tblY7[[#This Row],[Avg KS2]]),IFERROR(VLOOKUP(STANDARDIZE(tblY7[[#This Row],[Avg KS2]],AVERAGE(tblY7[[Avg KS2]]),_xlfn.STDEV.P(tblY7[[Avg KS2]])),_Stanine,2),5),"")</f>
        <v>5</v>
      </c>
      <c r="J124" s="66" t="inlineStr">
        <is>
          <t>7A/Sc2</t>
        </is>
      </c>
      <c r="K124" s="67">
        <f>IF(tblY7[[#This Row],[Preferred Last name]]="","",COUNTIFS($N$1:$ZZ$1,"*"&amp;CHAR(10)&amp;"Stanine",$N124:$ZZ124,"&gt;=1"))</f>
        <v>4</v>
      </c>
      <c r="L124" s="68">
        <f>IFERROR(AVERAGEIF($N$1:$ZZ$1,"*"&amp;CHAR(10)&amp;"Stanine",$N124:$ZZ124),"")</f>
        <v>5.75</v>
      </c>
      <c r="M124" s="69">
        <f>IF(AND(ISNUMBER(tblY7[[#This Row],[Mean Stanine]]),ISNUMBER(tblY7[[#This Row],[Avg KS2 Band]])),tblY7[[#This Row],[Mean Stanine]]-tblY7[[#This Row],[Avg KS2 Band]],"")</f>
        <v>0.75</v>
      </c>
      <c r="N124" s="66" t="n">
        <v>20</v>
      </c>
      <c r="O124" s="67">
        <f>IF(ISNUMBER(tblY7[[#This Row],[7B01 - Cells
Raw Score]]),IFERROR(VLOOKUP(STANDARDIZE(tblY7[[#This Row],[7B01 - Cells
Raw Score]],AVERAGE(tblY7[[7B01 - Cells
Raw Score]]),_xlfn.STDEV.P(tblY7[[7B01 - Cells
Raw Score]])),_Stanine,2),5),"")</f>
        <v>6</v>
      </c>
      <c r="P124" s="66" t="n">
        <v>18</v>
      </c>
      <c r="Q124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24" s="66" t="n">
        <v>12</v>
      </c>
      <c r="S124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24" s="66" t="n">
        <v>20</v>
      </c>
      <c r="U124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7</v>
      </c>
    </row>
    <row r="125">
      <c r="A125" s="65" t="inlineStr">
        <is>
          <t>X902185113890</t>
        </is>
      </c>
      <c r="B125" s="65" t="inlineStr">
        <is>
          <t>Wilson</t>
        </is>
      </c>
      <c r="C125" s="65" t="inlineStr">
        <is>
          <t>Theo</t>
        </is>
      </c>
      <c r="D125" s="66" t="inlineStr">
        <is>
          <t>F</t>
        </is>
      </c>
      <c r="E125" s="66" t="inlineStr">
        <is>
          <t>N</t>
        </is>
      </c>
      <c r="F125" s="66" t="inlineStr">
        <is>
          <t>Y</t>
        </is>
      </c>
      <c r="G125" s="34" t="n">
        <v>100</v>
      </c>
      <c r="H125" s="34" t="n">
        <v>111</v>
      </c>
      <c r="I125" s="67">
        <f>IF(ISNUMBER(tblY7[[#This Row],[Avg KS2]]),IFERROR(VLOOKUP(STANDARDIZE(tblY7[[#This Row],[Avg KS2]],AVERAGE(tblY7[[Avg KS2]]),_xlfn.STDEV.P(tblY7[[Avg KS2]])),_Stanine,2),5),"")</f>
        <v>7</v>
      </c>
      <c r="J125" s="66" t="inlineStr">
        <is>
          <t>7A/Sc1</t>
        </is>
      </c>
      <c r="K125" s="67">
        <f>IF(tblY7[[#This Row],[Preferred Last name]]="","",COUNTIFS($N$1:$ZZ$1,"*"&amp;CHAR(10)&amp;"Stanine",$N125:$ZZ125,"&gt;=1"))</f>
        <v>4</v>
      </c>
      <c r="L125" s="68">
        <f>IFERROR(AVERAGEIF($N$1:$ZZ$1,"*"&amp;CHAR(10)&amp;"Stanine",$N125:$ZZ125),"")</f>
        <v>8</v>
      </c>
      <c r="M125" s="69">
        <f>IF(AND(ISNUMBER(tblY7[[#This Row],[Mean Stanine]]),ISNUMBER(tblY7[[#This Row],[Avg KS2 Band]])),tblY7[[#This Row],[Mean Stanine]]-tblY7[[#This Row],[Avg KS2 Band]],"")</f>
        <v>1</v>
      </c>
      <c r="N125" s="66" t="n">
        <v>27</v>
      </c>
      <c r="O125" s="67">
        <f>IF(ISNUMBER(tblY7[[#This Row],[7B01 - Cells
Raw Score]]),IFERROR(VLOOKUP(STANDARDIZE(tblY7[[#This Row],[7B01 - Cells
Raw Score]],AVERAGE(tblY7[[7B01 - Cells
Raw Score]]),_xlfn.STDEV.P(tblY7[[7B01 - Cells
Raw Score]])),_Stanine,2),5),"")</f>
        <v>8</v>
      </c>
      <c r="P125" s="66" t="n">
        <v>23</v>
      </c>
      <c r="Q125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8</v>
      </c>
      <c r="R125" s="66" t="n">
        <v>25</v>
      </c>
      <c r="S125" s="67">
        <f>IF(ISNUMBER(tblY7[[#This Row],[7P01 - Forces
Raw Score]]),IFERROR(VLOOKUP(STANDARDIZE(tblY7[[#This Row],[7P01 - Forces
Raw Score]],AVERAGE(tblY7[[7P01 - Forces
Raw Score]]),_xlfn.STDEV.P(tblY7[[7P01 - Forces
Raw Score]])),_Stanine,2),5),"")</f>
        <v>8</v>
      </c>
      <c r="T125" s="66" t="n">
        <v>24</v>
      </c>
      <c r="U125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126">
      <c r="A126" s="65" t="inlineStr">
        <is>
          <t>X908648023742</t>
        </is>
      </c>
      <c r="B126" s="65" t="inlineStr">
        <is>
          <t>Wood</t>
        </is>
      </c>
      <c r="C126" s="65" t="inlineStr">
        <is>
          <t>Freya</t>
        </is>
      </c>
      <c r="D126" s="66" t="inlineStr">
        <is>
          <t>F</t>
        </is>
      </c>
      <c r="E126" s="66" t="n"/>
      <c r="F126" s="66" t="inlineStr">
        <is>
          <t>Y</t>
        </is>
      </c>
      <c r="G126" s="34" t="n">
        <v>100</v>
      </c>
      <c r="H126" s="34" t="n">
        <v>104</v>
      </c>
      <c r="I126" s="67">
        <f>IF(ISNUMBER(tblY7[[#This Row],[Avg KS2]]),IFERROR(VLOOKUP(STANDARDIZE(tblY7[[#This Row],[Avg KS2]],AVERAGE(tblY7[[Avg KS2]]),_xlfn.STDEV.P(tblY7[[Avg KS2]])),_Stanine,2),5),"")</f>
        <v>4</v>
      </c>
      <c r="J126" s="66" t="inlineStr">
        <is>
          <t>7B/Sc2</t>
        </is>
      </c>
      <c r="K126" s="67">
        <f>IF(tblY7[[#This Row],[Preferred Last name]]="","",COUNTIFS($N$1:$ZZ$1,"*"&amp;CHAR(10)&amp;"Stanine",$N126:$ZZ126,"&gt;=1"))</f>
        <v>4</v>
      </c>
      <c r="L126" s="68">
        <f>IFERROR(AVERAGEIF($N$1:$ZZ$1,"*"&amp;CHAR(10)&amp;"Stanine",$N126:$ZZ126),"")</f>
        <v>3.75</v>
      </c>
      <c r="M126" s="69">
        <f>IF(AND(ISNUMBER(tblY7[[#This Row],[Mean Stanine]]),ISNUMBER(tblY7[[#This Row],[Avg KS2 Band]])),tblY7[[#This Row],[Mean Stanine]]-tblY7[[#This Row],[Avg KS2 Band]],"")</f>
        <v>-0.25</v>
      </c>
      <c r="N126" s="66" t="n">
        <v>9</v>
      </c>
      <c r="O126" s="67">
        <f>IF(ISNUMBER(tblY7[[#This Row],[7B01 - Cells
Raw Score]]),IFERROR(VLOOKUP(STANDARDIZE(tblY7[[#This Row],[7B01 - Cells
Raw Score]],AVERAGE(tblY7[[7B01 - Cells
Raw Score]]),_xlfn.STDEV.P(tblY7[[7B01 - Cells
Raw Score]])),_Stanine,2),5),"")</f>
        <v>2</v>
      </c>
      <c r="P126" s="66" t="n">
        <v>15</v>
      </c>
      <c r="Q126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26" s="66" t="n">
        <v>16</v>
      </c>
      <c r="S126" s="67">
        <f>IF(ISNUMBER(tblY7[[#This Row],[7P01 - Forces
Raw Score]]),IFERROR(VLOOKUP(STANDARDIZE(tblY7[[#This Row],[7P01 - Forces
Raw Score]],AVERAGE(tblY7[[7P01 - Forces
Raw Score]]),_xlfn.STDEV.P(tblY7[[7P01 - Forces
Raw Score]])),_Stanine,2),5),"")</f>
        <v>5</v>
      </c>
      <c r="T126" s="66" t="n">
        <v>11</v>
      </c>
      <c r="U126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27">
      <c r="A127" s="65" t="inlineStr">
        <is>
          <t>X909510926117</t>
        </is>
      </c>
      <c r="B127" s="65" t="inlineStr">
        <is>
          <t>Wood</t>
        </is>
      </c>
      <c r="C127" s="65" t="inlineStr">
        <is>
          <t>Rhys</t>
        </is>
      </c>
      <c r="D127" s="66" t="inlineStr">
        <is>
          <t>F</t>
        </is>
      </c>
      <c r="E127" s="66" t="n"/>
      <c r="F127" s="66" t="inlineStr">
        <is>
          <t>Y</t>
        </is>
      </c>
      <c r="G127" s="34" t="n">
        <v>91.3</v>
      </c>
      <c r="H127" s="34" t="n">
        <v>101.5</v>
      </c>
      <c r="I127" s="67">
        <f>IF(ISNUMBER(tblY7[[#This Row],[Avg KS2]]),IFERROR(VLOOKUP(STANDARDIZE(tblY7[[#This Row],[Avg KS2]],AVERAGE(tblY7[[Avg KS2]]),_xlfn.STDEV.P(tblY7[[Avg KS2]])),_Stanine,2),5),"")</f>
        <v>3</v>
      </c>
      <c r="J127" s="66" t="inlineStr">
        <is>
          <t>7A/Sc1</t>
        </is>
      </c>
      <c r="K127" s="67">
        <f>IF(tblY7[[#This Row],[Preferred Last name]]="","",COUNTIFS($N$1:$ZZ$1,"*"&amp;CHAR(10)&amp;"Stanine",$N127:$ZZ127,"&gt;=1"))</f>
        <v>4</v>
      </c>
      <c r="L127" s="68">
        <f>IFERROR(AVERAGEIF($N$1:$ZZ$1,"*"&amp;CHAR(10)&amp;"Stanine",$N127:$ZZ127),"")</f>
        <v>3.75</v>
      </c>
      <c r="M127" s="69">
        <f>IF(AND(ISNUMBER(tblY7[[#This Row],[Mean Stanine]]),ISNUMBER(tblY7[[#This Row],[Avg KS2 Band]])),tblY7[[#This Row],[Mean Stanine]]-tblY7[[#This Row],[Avg KS2 Band]],"")</f>
        <v>0.75</v>
      </c>
      <c r="N127" s="66" t="n">
        <v>15</v>
      </c>
      <c r="O127" s="67">
        <f>IF(ISNUMBER(tblY7[[#This Row],[7B01 - Cells
Raw Score]]),IFERROR(VLOOKUP(STANDARDIZE(tblY7[[#This Row],[7B01 - Cells
Raw Score]],AVERAGE(tblY7[[7B01 - Cells
Raw Score]]),_xlfn.STDEV.P(tblY7[[7B01 - Cells
Raw Score]])),_Stanine,2),5),"")</f>
        <v>4</v>
      </c>
      <c r="P127" s="66" t="n">
        <v>13</v>
      </c>
      <c r="Q127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27" s="66" t="n">
        <v>13</v>
      </c>
      <c r="S127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27" s="66" t="n">
        <v>10</v>
      </c>
      <c r="U127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3</v>
      </c>
    </row>
    <row r="128">
      <c r="A128" s="65" t="inlineStr">
        <is>
          <t>X904108511848</t>
        </is>
      </c>
      <c r="B128" s="65" t="inlineStr">
        <is>
          <t>Wright</t>
        </is>
      </c>
      <c r="C128" s="65" t="inlineStr">
        <is>
          <t>Dylan</t>
        </is>
      </c>
      <c r="D128" s="66" t="inlineStr">
        <is>
          <t>M</t>
        </is>
      </c>
      <c r="E128" s="66" t="inlineStr">
        <is>
          <t>N</t>
        </is>
      </c>
      <c r="F128" s="66" t="inlineStr">
        <is>
          <t>N</t>
        </is>
      </c>
      <c r="G128" s="34" t="n">
        <v>91.90000000000001</v>
      </c>
      <c r="H128" s="34" t="n">
        <v>118</v>
      </c>
      <c r="I128" s="67">
        <f>IF(ISNUMBER(tblY7[[#This Row],[Avg KS2]]),IFERROR(VLOOKUP(STANDARDIZE(tblY7[[#This Row],[Avg KS2]],AVERAGE(tblY7[[Avg KS2]]),_xlfn.STDEV.P(tblY7[[Avg KS2]])),_Stanine,2),5),"")</f>
        <v>9</v>
      </c>
      <c r="J128" s="66" t="inlineStr">
        <is>
          <t>7A/Sc1</t>
        </is>
      </c>
      <c r="K128" s="67">
        <f>IF(tblY7[[#This Row],[Preferred Last name]]="","",COUNTIFS($N$1:$ZZ$1,"*"&amp;CHAR(10)&amp;"Stanine",$N128:$ZZ128,"&gt;=1"))</f>
        <v>4</v>
      </c>
      <c r="L128" s="68">
        <f>IFERROR(AVERAGEIF($N$1:$ZZ$1,"*"&amp;CHAR(10)&amp;"Stanine",$N128:$ZZ128),"")</f>
        <v>7.75</v>
      </c>
      <c r="M128" s="69">
        <f>IF(AND(ISNUMBER(tblY7[[#This Row],[Mean Stanine]]),ISNUMBER(tblY7[[#This Row],[Avg KS2 Band]])),tblY7[[#This Row],[Mean Stanine]]-tblY7[[#This Row],[Avg KS2 Band]],"")</f>
        <v>-1.25</v>
      </c>
      <c r="N128" s="66" t="n">
        <v>24</v>
      </c>
      <c r="O128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128" s="66" t="n">
        <v>21</v>
      </c>
      <c r="Q128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128" s="66" t="n">
        <v>27</v>
      </c>
      <c r="S128" s="67">
        <f>IF(ISNUMBER(tblY7[[#This Row],[7P01 - Forces
Raw Score]]),IFERROR(VLOOKUP(STANDARDIZE(tblY7[[#This Row],[7P01 - Forces
Raw Score]],AVERAGE(tblY7[[7P01 - Forces
Raw Score]]),_xlfn.STDEV.P(tblY7[[7P01 - Forces
Raw Score]])),_Stanine,2),5),"")</f>
        <v>9</v>
      </c>
      <c r="T128" s="66" t="n">
        <v>23</v>
      </c>
      <c r="U128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8</v>
      </c>
    </row>
    <row r="129">
      <c r="A129" s="65" t="inlineStr">
        <is>
          <t>X901340861552</t>
        </is>
      </c>
      <c r="B129" s="65" t="inlineStr">
        <is>
          <t>Wright</t>
        </is>
      </c>
      <c r="C129" s="65" t="inlineStr">
        <is>
          <t>Ethan</t>
        </is>
      </c>
      <c r="D129" s="66" t="inlineStr">
        <is>
          <t>F</t>
        </is>
      </c>
      <c r="E129" s="66" t="inlineStr">
        <is>
          <t>N</t>
        </is>
      </c>
      <c r="F129" s="66" t="inlineStr">
        <is>
          <t>N</t>
        </is>
      </c>
      <c r="G129" s="34" t="n">
        <v>100</v>
      </c>
      <c r="H129" s="34" t="n">
        <v>104.5</v>
      </c>
      <c r="I129" s="67">
        <f>IF(ISNUMBER(tblY7[[#This Row],[Avg KS2]]),IFERROR(VLOOKUP(STANDARDIZE(tblY7[[#This Row],[Avg KS2]],AVERAGE(tblY7[[Avg KS2]]),_xlfn.STDEV.P(tblY7[[Avg KS2]])),_Stanine,2),5),"")</f>
        <v>4</v>
      </c>
      <c r="J129" s="66" t="inlineStr">
        <is>
          <t>7A/Sc1</t>
        </is>
      </c>
      <c r="K129" s="67">
        <f>IF(tblY7[[#This Row],[Preferred Last name]]="","",COUNTIFS($N$1:$ZZ$1,"*"&amp;CHAR(10)&amp;"Stanine",$N129:$ZZ129,"&gt;=1"))</f>
        <v>4</v>
      </c>
      <c r="L129" s="68">
        <f>IFERROR(AVERAGEIF($N$1:$ZZ$1,"*"&amp;CHAR(10)&amp;"Stanine",$N129:$ZZ129),"")</f>
        <v>4.75</v>
      </c>
      <c r="M129" s="69">
        <f>IF(AND(ISNUMBER(tblY7[[#This Row],[Mean Stanine]]),ISNUMBER(tblY7[[#This Row],[Avg KS2 Band]])),tblY7[[#This Row],[Mean Stanine]]-tblY7[[#This Row],[Avg KS2 Band]],"")</f>
        <v>0.75</v>
      </c>
      <c r="N129" s="66" t="n">
        <v>19</v>
      </c>
      <c r="O129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29" s="66" t="n">
        <v>14</v>
      </c>
      <c r="Q129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29" s="66" t="n">
        <v>19</v>
      </c>
      <c r="S129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129" s="66" t="n">
        <v>13</v>
      </c>
      <c r="U129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30">
      <c r="A130" s="65" t="inlineStr">
        <is>
          <t>X908916269586</t>
        </is>
      </c>
      <c r="B130" s="65" t="inlineStr">
        <is>
          <t>Wright</t>
        </is>
      </c>
      <c r="C130" s="65" t="inlineStr">
        <is>
          <t>Maya</t>
        </is>
      </c>
      <c r="D130" s="66" t="inlineStr">
        <is>
          <t>F</t>
        </is>
      </c>
      <c r="E130" s="66" t="n"/>
      <c r="F130" s="66" t="inlineStr">
        <is>
          <t>N</t>
        </is>
      </c>
      <c r="G130" s="34" t="n">
        <v>97.09999999999999</v>
      </c>
      <c r="H130" s="34" t="n">
        <v>99.5</v>
      </c>
      <c r="I130" s="67">
        <f>IF(ISNUMBER(tblY7[[#This Row],[Avg KS2]]),IFERROR(VLOOKUP(STANDARDIZE(tblY7[[#This Row],[Avg KS2]],AVERAGE(tblY7[[Avg KS2]]),_xlfn.STDEV.P(tblY7[[Avg KS2]])),_Stanine,2),5),"")</f>
        <v>3</v>
      </c>
      <c r="J130" s="66" t="inlineStr">
        <is>
          <t>7A/Sc2</t>
        </is>
      </c>
      <c r="K130" s="67">
        <f>IF(tblY7[[#This Row],[Preferred Last name]]="","",COUNTIFS($N$1:$ZZ$1,"*"&amp;CHAR(10)&amp;"Stanine",$N130:$ZZ130,"&gt;=1"))</f>
        <v>4</v>
      </c>
      <c r="L130" s="68">
        <f>IFERROR(AVERAGEIF($N$1:$ZZ$1,"*"&amp;CHAR(10)&amp;"Stanine",$N130:$ZZ130),"")</f>
        <v>3.75</v>
      </c>
      <c r="M130" s="69">
        <f>IF(AND(ISNUMBER(tblY7[[#This Row],[Mean Stanine]]),ISNUMBER(tblY7[[#This Row],[Avg KS2 Band]])),tblY7[[#This Row],[Mean Stanine]]-tblY7[[#This Row],[Avg KS2 Band]],"")</f>
        <v>0.75</v>
      </c>
      <c r="N130" s="66" t="n">
        <v>13</v>
      </c>
      <c r="O130" s="67">
        <f>IF(ISNUMBER(tblY7[[#This Row],[7B01 - Cells
Raw Score]]),IFERROR(VLOOKUP(STANDARDIZE(tblY7[[#This Row],[7B01 - Cells
Raw Score]],AVERAGE(tblY7[[7B01 - Cells
Raw Score]]),_xlfn.STDEV.P(tblY7[[7B01 - Cells
Raw Score]])),_Stanine,2),5),"")</f>
        <v>3</v>
      </c>
      <c r="P130" s="66" t="n">
        <v>15</v>
      </c>
      <c r="Q130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4</v>
      </c>
      <c r="R130" s="66" t="n">
        <v>12</v>
      </c>
      <c r="S130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30" s="66" t="n">
        <v>13</v>
      </c>
      <c r="U130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  <row r="131">
      <c r="A131" s="65" t="inlineStr">
        <is>
          <t>X904324904026</t>
        </is>
      </c>
      <c r="B131" s="65" t="inlineStr">
        <is>
          <t>Wright</t>
        </is>
      </c>
      <c r="C131" s="65" t="inlineStr">
        <is>
          <t>Poppy</t>
        </is>
      </c>
      <c r="D131" s="66" t="inlineStr">
        <is>
          <t>M</t>
        </is>
      </c>
      <c r="E131" s="66" t="n"/>
      <c r="F131" s="66" t="inlineStr">
        <is>
          <t>N</t>
        </is>
      </c>
      <c r="G131" s="34" t="n">
        <v>99</v>
      </c>
      <c r="H131" s="34" t="n">
        <v>110</v>
      </c>
      <c r="I131" s="67">
        <f>IF(ISNUMBER(tblY7[[#This Row],[Avg KS2]]),IFERROR(VLOOKUP(STANDARDIZE(tblY7[[#This Row],[Avg KS2]],AVERAGE(tblY7[[Avg KS2]]),_xlfn.STDEV.P(tblY7[[Avg KS2]])),_Stanine,2),5),"")</f>
        <v>6</v>
      </c>
      <c r="J131" s="66" t="inlineStr">
        <is>
          <t>7B/Sc2</t>
        </is>
      </c>
      <c r="K131" s="67">
        <f>IF(tblY7[[#This Row],[Preferred Last name]]="","",COUNTIFS($N$1:$ZZ$1,"*"&amp;CHAR(10)&amp;"Stanine",$N131:$ZZ131,"&gt;=1"))</f>
        <v>4</v>
      </c>
      <c r="L131" s="68">
        <f>IFERROR(AVERAGEIF($N$1:$ZZ$1,"*"&amp;CHAR(10)&amp;"Stanine",$N131:$ZZ131),"")</f>
        <v>6.25</v>
      </c>
      <c r="M131" s="69">
        <f>IF(AND(ISNUMBER(tblY7[[#This Row],[Mean Stanine]]),ISNUMBER(tblY7[[#This Row],[Avg KS2 Band]])),tblY7[[#This Row],[Mean Stanine]]-tblY7[[#This Row],[Avg KS2 Band]],"")</f>
        <v>0.25</v>
      </c>
      <c r="N131" s="66" t="n">
        <v>23</v>
      </c>
      <c r="O131" s="67">
        <f>IF(ISNUMBER(tblY7[[#This Row],[7B01 - Cells
Raw Score]]),IFERROR(VLOOKUP(STANDARDIZE(tblY7[[#This Row],[7B01 - Cells
Raw Score]],AVERAGE(tblY7[[7B01 - Cells
Raw Score]]),_xlfn.STDEV.P(tblY7[[7B01 - Cells
Raw Score]])),_Stanine,2),5),"")</f>
        <v>7</v>
      </c>
      <c r="P131" s="66" t="n">
        <v>19</v>
      </c>
      <c r="Q131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6</v>
      </c>
      <c r="R131" s="66" t="n">
        <v>20</v>
      </c>
      <c r="S131" s="67">
        <f>IF(ISNUMBER(tblY7[[#This Row],[7P01 - Forces
Raw Score]]),IFERROR(VLOOKUP(STANDARDIZE(tblY7[[#This Row],[7P01 - Forces
Raw Score]],AVERAGE(tblY7[[7P01 - Forces
Raw Score]]),_xlfn.STDEV.P(tblY7[[7P01 - Forces
Raw Score]])),_Stanine,2),5),"")</f>
        <v>6</v>
      </c>
      <c r="T131" s="66" t="n">
        <v>18</v>
      </c>
      <c r="U131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6</v>
      </c>
    </row>
    <row r="132">
      <c r="A132" s="65" t="inlineStr">
        <is>
          <t>X902768883266</t>
        </is>
      </c>
      <c r="B132" s="65" t="inlineStr">
        <is>
          <t>Wright</t>
        </is>
      </c>
      <c r="C132" s="65" t="inlineStr">
        <is>
          <t>Sami</t>
        </is>
      </c>
      <c r="D132" s="66" t="inlineStr">
        <is>
          <t>F</t>
        </is>
      </c>
      <c r="E132" s="66" t="inlineStr">
        <is>
          <t>N</t>
        </is>
      </c>
      <c r="F132" s="66" t="inlineStr">
        <is>
          <t>N</t>
        </is>
      </c>
      <c r="G132" s="34" t="n">
        <v>89</v>
      </c>
      <c r="H132" s="34" t="n">
        <v>108.5</v>
      </c>
      <c r="I132" s="67">
        <f>IF(ISNUMBER(tblY7[[#This Row],[Avg KS2]]),IFERROR(VLOOKUP(STANDARDIZE(tblY7[[#This Row],[Avg KS2]],AVERAGE(tblY7[[Avg KS2]]),_xlfn.STDEV.P(tblY7[[Avg KS2]])),_Stanine,2),5),"")</f>
        <v>6</v>
      </c>
      <c r="J132" s="66" t="inlineStr">
        <is>
          <t>7B/Sc3</t>
        </is>
      </c>
      <c r="K132" s="67">
        <f>IF(tblY7[[#This Row],[Preferred Last name]]="","",COUNTIFS($N$1:$ZZ$1,"*"&amp;CHAR(10)&amp;"Stanine",$N132:$ZZ132,"&gt;=1"))</f>
        <v>4</v>
      </c>
      <c r="L132" s="68">
        <f>IFERROR(AVERAGEIF($N$1:$ZZ$1,"*"&amp;CHAR(10)&amp;"Stanine",$N132:$ZZ132),"")</f>
        <v>5</v>
      </c>
      <c r="M132" s="69">
        <f>IF(AND(ISNUMBER(tblY7[[#This Row],[Mean Stanine]]),ISNUMBER(tblY7[[#This Row],[Avg KS2 Band]])),tblY7[[#This Row],[Mean Stanine]]-tblY7[[#This Row],[Avg KS2 Band]],"")</f>
        <v>-1</v>
      </c>
      <c r="N132" s="66" t="n">
        <v>19</v>
      </c>
      <c r="O132" s="67">
        <f>IF(ISNUMBER(tblY7[[#This Row],[7B01 - Cells
Raw Score]]),IFERROR(VLOOKUP(STANDARDIZE(tblY7[[#This Row],[7B01 - Cells
Raw Score]],AVERAGE(tblY7[[7B01 - Cells
Raw Score]]),_xlfn.STDEV.P(tblY7[[7B01 - Cells
Raw Score]])),_Stanine,2),5),"")</f>
        <v>5</v>
      </c>
      <c r="P132" s="66" t="n">
        <v>21</v>
      </c>
      <c r="Q132" s="67">
        <f>IF(ISNUMBER(tblY7[[#This Row],[7C01 - Particles
Raw Score]]),IFERROR(VLOOKUP(STANDARDIZE(tblY7[[#This Row],[7C01 - Particles
Raw Score]],AVERAGE(tblY7[[7C01 - Particles
Raw Score]]),_xlfn.STDEV.P(tblY7[[7C01 - Particles
Raw Score]])),_Stanine,2),5),"")</f>
        <v>7</v>
      </c>
      <c r="R132" s="66" t="n">
        <v>13</v>
      </c>
      <c r="S132" s="67">
        <f>IF(ISNUMBER(tblY7[[#This Row],[7P01 - Forces
Raw Score]]),IFERROR(VLOOKUP(STANDARDIZE(tblY7[[#This Row],[7P01 - Forces
Raw Score]],AVERAGE(tblY7[[7P01 - Forces
Raw Score]]),_xlfn.STDEV.P(tblY7[[7P01 - Forces
Raw Score]])),_Stanine,2),5),"")</f>
        <v>4</v>
      </c>
      <c r="T132" s="66" t="n">
        <v>13</v>
      </c>
      <c r="U132" s="67">
        <f>IF(ISNUMBER(tblY7[[#This Row],[7B02 - Organ Systems
Raw Score]]),IFERROR(VLOOKUP(STANDARDIZE(tblY7[[#This Row],[7B02 - Organ Systems
Raw Score]],AVERAGE(tblY7[[7B02 - Organ Systems
Raw Score]]),_xlfn.STDEV.P(tblY7[[7B02 - Organ Systems
Raw Score]])),_Stanine,2),5),"")</f>
        <v>4</v>
      </c>
    </row>
  </sheetData>
  <conditionalFormatting sqref="I2:I132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32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32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32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32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32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32">
    <cfRule type="iconSet" priority="7">
      <iconSet iconSet="3TrafficLights1">
        <cfvo type="percent" val="0"/>
        <cfvo type="num" val="4"/>
        <cfvo type="num" val="7"/>
      </iconSet>
    </cfRule>
  </conditionalFormatting>
  <dataValidations count="4">
    <dataValidation sqref="N2:N132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132" showDropDown="0" showInputMessage="0" showErrorMessage="1" allowBlank="1" errorTitle="Score out of range" error="Type a mark from 0 to 25, or A for absent. Leave the cell blank if the student has not sat the test yet." type="custom">
      <formula1>OR(UPPER(P2)="A",AND(ISNUMBER(P2),P2&gt;=0,P2&lt;=25))</formula1>
    </dataValidation>
    <dataValidation sqref="R2:R132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132" showDropDown="0" showInputMessage="0" showErrorMessage="1" allowBlank="1" errorTitle="Score out of range" error="Type a mark from 0 to 28, or A for absent. Leave the cell blank if the student has not sat the test yet." type="custom">
      <formula1>OR(UPPER(T2)="A",AND(ISNUMBER(T2),T2&gt;=0,T2&lt;=28))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6.xml><?xml version="1.0" encoding="utf-8"?>
<worksheet xmlns="http://schemas.openxmlformats.org/spreadsheetml/2006/main">
  <sheetPr codeName="shY8">
    <outlinePr summaryBelow="1" summaryRight="1"/>
    <pageSetUpPr/>
  </sheetPr>
  <dimension ref="A1:W94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8C01 - Periodic Table
Raw Score</t>
        </is>
      </c>
      <c r="O1" s="63" t="inlineStr">
        <is>
          <t>8C01 - Periodic Table
Stanine</t>
        </is>
      </c>
      <c r="P1" s="64" t="inlineStr">
        <is>
          <t>8P01 - Energy
Raw Score</t>
        </is>
      </c>
      <c r="Q1" s="64" t="inlineStr">
        <is>
          <t>8P01 - Energy
Stanine</t>
        </is>
      </c>
      <c r="R1" s="63" t="inlineStr">
        <is>
          <t>8B01 - Digestion
Raw Score</t>
        </is>
      </c>
      <c r="S1" s="63" t="inlineStr">
        <is>
          <t>8B01 - Digestion
Stanine</t>
        </is>
      </c>
      <c r="T1" s="64" t="inlineStr">
        <is>
          <t>8C02 - Metals and Acids
Raw Score</t>
        </is>
      </c>
      <c r="U1" s="64" t="inlineStr">
        <is>
          <t>8C02 - Metals and Acids
Stanine</t>
        </is>
      </c>
      <c r="V1" s="63" t="inlineStr">
        <is>
          <t>8P02 - Light
Raw Score</t>
        </is>
      </c>
      <c r="W1" s="63" t="inlineStr">
        <is>
          <t>8P02 - Light
Stanine</t>
        </is>
      </c>
    </row>
    <row r="2">
      <c r="A2" s="65" t="inlineStr">
        <is>
          <t>X906640088816</t>
        </is>
      </c>
      <c r="B2" s="65" t="inlineStr">
        <is>
          <t>Adeyemi</t>
        </is>
      </c>
      <c r="C2" s="65" t="inlineStr">
        <is>
          <t>Finley</t>
        </is>
      </c>
      <c r="D2" s="66" t="inlineStr">
        <is>
          <t>F</t>
        </is>
      </c>
      <c r="E2" s="66" t="inlineStr">
        <is>
          <t>N</t>
        </is>
      </c>
      <c r="F2" s="66" t="inlineStr">
        <is>
          <t>N</t>
        </is>
      </c>
      <c r="G2" s="34" t="n">
        <v>95.40000000000001</v>
      </c>
      <c r="H2" s="34" t="n">
        <v>104</v>
      </c>
      <c r="I2" s="67">
        <f>IF(ISNUMBER(tblY8[[#This Row],[Avg KS2]]),IFERROR(VLOOKUP(STANDARDIZE(tblY8[[#This Row],[Avg KS2]],AVERAGE(tblY8[[Avg KS2]]),_xlfn.STDEV.P(tblY8[[Avg KS2]])),_Stanine,2),5),"")</f>
        <v>5</v>
      </c>
      <c r="J2" s="66" t="inlineStr">
        <is>
          <t>8A/Sc2</t>
        </is>
      </c>
      <c r="K2" s="67">
        <f>IF(tblY8[[#This Row],[Preferred Last name]]="","",COUNTIFS($N$1:$ZZ$1,"*"&amp;CHAR(10)&amp;"Stanine",$N2:$ZZ2,"&gt;=1"))</f>
        <v>5</v>
      </c>
      <c r="L2" s="68">
        <f>IFERROR(AVERAGEIF($N$1:$ZZ$1,"*"&amp;CHAR(10)&amp;"Stanine",$N2:$ZZ2),"")</f>
        <v>4.6</v>
      </c>
      <c r="M2" s="69">
        <f>IF(AND(ISNUMBER(tblY8[[#This Row],[Mean Stanine]]),ISNUMBER(tblY8[[#This Row],[Avg KS2 Band]])),tblY8[[#This Row],[Mean Stanine]]-tblY8[[#This Row],[Avg KS2 Band]],"")</f>
        <v>-0.4</v>
      </c>
      <c r="N2" s="66" t="n">
        <v>15</v>
      </c>
      <c r="O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2" s="66" t="n">
        <v>14</v>
      </c>
      <c r="Q2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2" s="66" t="n">
        <v>16</v>
      </c>
      <c r="S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2" s="66" t="n">
        <v>8</v>
      </c>
      <c r="U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2" s="66" t="n">
        <v>9</v>
      </c>
      <c r="W2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3">
      <c r="A3" s="65" t="inlineStr">
        <is>
          <t>X901623681113</t>
        </is>
      </c>
      <c r="B3" s="65" t="inlineStr">
        <is>
          <t>Adeyemi</t>
        </is>
      </c>
      <c r="C3" s="65" t="inlineStr">
        <is>
          <t>Sami</t>
        </is>
      </c>
      <c r="D3" s="66" t="inlineStr">
        <is>
          <t>M</t>
        </is>
      </c>
      <c r="E3" s="66" t="inlineStr">
        <is>
          <t>N</t>
        </is>
      </c>
      <c r="F3" s="66" t="inlineStr">
        <is>
          <t>N</t>
        </is>
      </c>
      <c r="G3" s="34" t="n">
        <v>100</v>
      </c>
      <c r="H3" s="34" t="n">
        <v>114.5</v>
      </c>
      <c r="I3" s="67">
        <f>IF(ISNUMBER(tblY8[[#This Row],[Avg KS2]]),IFERROR(VLOOKUP(STANDARDIZE(tblY8[[#This Row],[Avg KS2]],AVERAGE(tblY8[[Avg KS2]]),_xlfn.STDEV.P(tblY8[[Avg KS2]])),_Stanine,2),5),"")</f>
        <v>8</v>
      </c>
      <c r="J3" s="66" t="inlineStr">
        <is>
          <t>8A/Sc1</t>
        </is>
      </c>
      <c r="K3" s="67">
        <f>IF(tblY8[[#This Row],[Preferred Last name]]="","",COUNTIFS($N$1:$ZZ$1,"*"&amp;CHAR(10)&amp;"Stanine",$N3:$ZZ3,"&gt;=1"))</f>
        <v>4</v>
      </c>
      <c r="L3" s="68">
        <f>IFERROR(AVERAGEIF($N$1:$ZZ$1,"*"&amp;CHAR(10)&amp;"Stanine",$N3:$ZZ3),"")</f>
        <v>8</v>
      </c>
      <c r="M3" s="69">
        <f>IF(AND(ISNUMBER(tblY8[[#This Row],[Mean Stanine]]),ISNUMBER(tblY8[[#This Row],[Avg KS2 Band]])),tblY8[[#This Row],[Mean Stanine]]-tblY8[[#This Row],[Avg KS2 Band]],"")</f>
        <v>0</v>
      </c>
      <c r="N3" s="66" t="n">
        <v>25</v>
      </c>
      <c r="O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3" s="66" t="n">
        <v>22</v>
      </c>
      <c r="Q3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3" s="66" t="inlineStr">
        <is>
          <t>A</t>
        </is>
      </c>
      <c r="S3" s="67" t="str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/>
      </c>
      <c r="T3" s="66" t="n">
        <v>20</v>
      </c>
      <c r="U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3" s="66" t="n">
        <v>20</v>
      </c>
      <c r="W3" s="67">
        <f>IF(ISNUMBER(tblY8[[#This Row],[8P02 - Light
Raw Score]]),IFERROR(VLOOKUP(STANDARDIZE(tblY8[[#This Row],[8P02 - Light
Raw Score]],AVERAGE(tblY8[[8P02 - Light
Raw Score]]),_xlfn.STDEV.P(tblY8[[8P02 - Light
Raw Score]])),_Stanine,2),5),"")</f>
        <v>8</v>
      </c>
    </row>
    <row r="4">
      <c r="A4" s="65" t="inlineStr">
        <is>
          <t>X900207943267</t>
        </is>
      </c>
      <c r="B4" s="65" t="inlineStr">
        <is>
          <t>Ahmed</t>
        </is>
      </c>
      <c r="C4" s="65" t="inlineStr">
        <is>
          <t>Alfie</t>
        </is>
      </c>
      <c r="D4" s="66" t="inlineStr">
        <is>
          <t>M</t>
        </is>
      </c>
      <c r="E4" s="66" t="n"/>
      <c r="F4" s="66" t="inlineStr">
        <is>
          <t>N</t>
        </is>
      </c>
      <c r="G4" s="34" t="n">
        <v>90.2</v>
      </c>
      <c r="H4" s="34" t="n">
        <v>102</v>
      </c>
      <c r="I4" s="67">
        <f>IF(ISNUMBER(tblY8[[#This Row],[Avg KS2]]),IFERROR(VLOOKUP(STANDARDIZE(tblY8[[#This Row],[Avg KS2]],AVERAGE(tblY8[[Avg KS2]]),_xlfn.STDEV.P(tblY8[[Avg KS2]])),_Stanine,2),5),"")</f>
        <v>4</v>
      </c>
      <c r="J4" s="66" t="inlineStr">
        <is>
          <t>8A/Sc1</t>
        </is>
      </c>
      <c r="K4" s="67">
        <f>IF(tblY8[[#This Row],[Preferred Last name]]="","",COUNTIFS($N$1:$ZZ$1,"*"&amp;CHAR(10)&amp;"Stanine",$N4:$ZZ4,"&gt;=1"))</f>
        <v>5</v>
      </c>
      <c r="L4" s="68">
        <f>IFERROR(AVERAGEIF($N$1:$ZZ$1,"*"&amp;CHAR(10)&amp;"Stanine",$N4:$ZZ4),"")</f>
        <v>5.2</v>
      </c>
      <c r="M4" s="69">
        <f>IF(AND(ISNUMBER(tblY8[[#This Row],[Mean Stanine]]),ISNUMBER(tblY8[[#This Row],[Avg KS2 Band]])),tblY8[[#This Row],[Mean Stanine]]-tblY8[[#This Row],[Avg KS2 Band]],"")</f>
        <v>1.2</v>
      </c>
      <c r="N4" s="66" t="n">
        <v>16</v>
      </c>
      <c r="O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4" s="66" t="n">
        <v>17</v>
      </c>
      <c r="Q4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4" s="66" t="n">
        <v>13</v>
      </c>
      <c r="S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4" s="66" t="n">
        <v>15</v>
      </c>
      <c r="U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4" s="66" t="n">
        <v>12</v>
      </c>
      <c r="W4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  <row r="5">
      <c r="A5" s="65" t="inlineStr">
        <is>
          <t>X902531467402</t>
        </is>
      </c>
      <c r="B5" s="65" t="inlineStr">
        <is>
          <t>Ahmed</t>
        </is>
      </c>
      <c r="C5" s="65" t="inlineStr">
        <is>
          <t>Alfie</t>
        </is>
      </c>
      <c r="D5" s="66" t="inlineStr">
        <is>
          <t>M</t>
        </is>
      </c>
      <c r="E5" s="66" t="n"/>
      <c r="F5" s="66" t="inlineStr">
        <is>
          <t>N</t>
        </is>
      </c>
      <c r="G5" s="34" t="n">
        <v>88.59999999999999</v>
      </c>
      <c r="H5" s="34" t="n">
        <v>106.5</v>
      </c>
      <c r="I5" s="67">
        <f>IF(ISNUMBER(tblY8[[#This Row],[Avg KS2]]),IFERROR(VLOOKUP(STANDARDIZE(tblY8[[#This Row],[Avg KS2]],AVERAGE(tblY8[[Avg KS2]]),_xlfn.STDEV.P(tblY8[[Avg KS2]])),_Stanine,2),5),"")</f>
        <v>6</v>
      </c>
      <c r="J5" s="66" t="inlineStr">
        <is>
          <t>8A/Sc3</t>
        </is>
      </c>
      <c r="K5" s="67">
        <f>IF(tblY8[[#This Row],[Preferred Last name]]="","",COUNTIFS($N$1:$ZZ$1,"*"&amp;CHAR(10)&amp;"Stanine",$N5:$ZZ5,"&gt;=1"))</f>
        <v>4</v>
      </c>
      <c r="L5" s="68">
        <f>IFERROR(AVERAGEIF($N$1:$ZZ$1,"*"&amp;CHAR(10)&amp;"Stanine",$N5:$ZZ5),"")</f>
        <v>5.5</v>
      </c>
      <c r="M5" s="69">
        <f>IF(AND(ISNUMBER(tblY8[[#This Row],[Mean Stanine]]),ISNUMBER(tblY8[[#This Row],[Avg KS2 Band]])),tblY8[[#This Row],[Mean Stanine]]-tblY8[[#This Row],[Avg KS2 Band]],"")</f>
        <v>-0.5</v>
      </c>
      <c r="N5" s="66" t="n">
        <v>13</v>
      </c>
      <c r="O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5" s="66" t="n">
        <v>17</v>
      </c>
      <c r="Q5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5" s="66" t="n">
        <v>18</v>
      </c>
      <c r="S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5" s="66" t="n">
        <v>12</v>
      </c>
      <c r="U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5" s="66" t="n"/>
      <c r="W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6">
      <c r="A6" s="65" t="inlineStr">
        <is>
          <t>X909169729073</t>
        </is>
      </c>
      <c r="B6" s="65" t="inlineStr">
        <is>
          <t>Ahmed</t>
        </is>
      </c>
      <c r="C6" s="65" t="inlineStr">
        <is>
          <t>George</t>
        </is>
      </c>
      <c r="D6" s="66" t="inlineStr">
        <is>
          <t>F</t>
        </is>
      </c>
      <c r="E6" s="66" t="inlineStr">
        <is>
          <t>N</t>
        </is>
      </c>
      <c r="F6" s="66" t="inlineStr">
        <is>
          <t>N</t>
        </is>
      </c>
      <c r="G6" s="34" t="n">
        <v>100</v>
      </c>
      <c r="H6" s="34" t="n">
        <v>101</v>
      </c>
      <c r="I6" s="67">
        <f>IF(ISNUMBER(tblY8[[#This Row],[Avg KS2]]),IFERROR(VLOOKUP(STANDARDIZE(tblY8[[#This Row],[Avg KS2]],AVERAGE(tblY8[[Avg KS2]]),_xlfn.STDEV.P(tblY8[[Avg KS2]])),_Stanine,2),5),"")</f>
        <v>4</v>
      </c>
      <c r="J6" s="66" t="inlineStr">
        <is>
          <t>8A/Sc3</t>
        </is>
      </c>
      <c r="K6" s="67">
        <f>IF(tblY8[[#This Row],[Preferred Last name]]="","",COUNTIFS($N$1:$ZZ$1,"*"&amp;CHAR(10)&amp;"Stanine",$N6:$ZZ6,"&gt;=1"))</f>
        <v>4</v>
      </c>
      <c r="L6" s="68">
        <f>IFERROR(AVERAGEIF($N$1:$ZZ$1,"*"&amp;CHAR(10)&amp;"Stanine",$N6:$ZZ6),"")</f>
        <v>3</v>
      </c>
      <c r="M6" s="69">
        <f>IF(AND(ISNUMBER(tblY8[[#This Row],[Mean Stanine]]),ISNUMBER(tblY8[[#This Row],[Avg KS2 Band]])),tblY8[[#This Row],[Mean Stanine]]-tblY8[[#This Row],[Avg KS2 Band]],"")</f>
        <v>-1</v>
      </c>
      <c r="N6" s="66" t="n">
        <v>5</v>
      </c>
      <c r="O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6" s="66" t="n">
        <v>10</v>
      </c>
      <c r="Q6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6" s="66" t="n">
        <v>10</v>
      </c>
      <c r="S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6" s="66" t="n">
        <v>9</v>
      </c>
      <c r="U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6" s="66" t="n"/>
      <c r="W6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7">
      <c r="A7" s="65" t="inlineStr">
        <is>
          <t>X905480138364</t>
        </is>
      </c>
      <c r="B7" s="65" t="inlineStr">
        <is>
          <t>Ahmed</t>
        </is>
      </c>
      <c r="C7" s="65" t="inlineStr">
        <is>
          <t>Priya</t>
        </is>
      </c>
      <c r="D7" s="66" t="inlineStr">
        <is>
          <t>F</t>
        </is>
      </c>
      <c r="E7" s="66" t="inlineStr">
        <is>
          <t>N</t>
        </is>
      </c>
      <c r="F7" s="66" t="inlineStr">
        <is>
          <t>N</t>
        </is>
      </c>
      <c r="G7" s="34" t="n">
        <v>89.5</v>
      </c>
      <c r="H7" s="34" t="n">
        <v>102.5</v>
      </c>
      <c r="I7" s="67">
        <f>IF(ISNUMBER(tblY8[[#This Row],[Avg KS2]]),IFERROR(VLOOKUP(STANDARDIZE(tblY8[[#This Row],[Avg KS2]],AVERAGE(tblY8[[Avg KS2]]),_xlfn.STDEV.P(tblY8[[Avg KS2]])),_Stanine,2),5),"")</f>
        <v>4</v>
      </c>
      <c r="J7" s="66" t="inlineStr">
        <is>
          <t>8A/Sc2</t>
        </is>
      </c>
      <c r="K7" s="67">
        <f>IF(tblY8[[#This Row],[Preferred Last name]]="","",COUNTIFS($N$1:$ZZ$1,"*"&amp;CHAR(10)&amp;"Stanine",$N7:$ZZ7,"&gt;=1"))</f>
        <v>5</v>
      </c>
      <c r="L7" s="68">
        <f>IFERROR(AVERAGEIF($N$1:$ZZ$1,"*"&amp;CHAR(10)&amp;"Stanine",$N7:$ZZ7),"")</f>
        <v>4</v>
      </c>
      <c r="M7" s="69">
        <f>IF(AND(ISNUMBER(tblY8[[#This Row],[Mean Stanine]]),ISNUMBER(tblY8[[#This Row],[Avg KS2 Band]])),tblY8[[#This Row],[Mean Stanine]]-tblY8[[#This Row],[Avg KS2 Band]],"")</f>
        <v>0</v>
      </c>
      <c r="N7" s="66" t="n">
        <v>13</v>
      </c>
      <c r="O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7" s="66" t="n">
        <v>10</v>
      </c>
      <c r="Q7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7" s="66" t="n">
        <v>13</v>
      </c>
      <c r="S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7" s="66" t="n">
        <v>7</v>
      </c>
      <c r="U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7" s="66" t="n">
        <v>12</v>
      </c>
      <c r="W7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  <row r="8">
      <c r="A8" s="65" t="inlineStr">
        <is>
          <t>X900872882986</t>
        </is>
      </c>
      <c r="B8" s="65" t="inlineStr">
        <is>
          <t>Barker</t>
        </is>
      </c>
      <c r="C8" s="65" t="inlineStr">
        <is>
          <t>Finley</t>
        </is>
      </c>
      <c r="D8" s="66" t="inlineStr">
        <is>
          <t>F</t>
        </is>
      </c>
      <c r="E8" s="66" t="inlineStr">
        <is>
          <t>N</t>
        </is>
      </c>
      <c r="F8" s="66" t="inlineStr">
        <is>
          <t>N</t>
        </is>
      </c>
      <c r="G8" s="34" t="n">
        <v>91</v>
      </c>
      <c r="H8" s="34" t="n">
        <v>112</v>
      </c>
      <c r="I8" s="67">
        <f>IF(ISNUMBER(tblY8[[#This Row],[Avg KS2]]),IFERROR(VLOOKUP(STANDARDIZE(tblY8[[#This Row],[Avg KS2]],AVERAGE(tblY8[[Avg KS2]]),_xlfn.STDEV.P(tblY8[[Avg KS2]])),_Stanine,2),5),"")</f>
        <v>7</v>
      </c>
      <c r="J8" s="66" t="inlineStr">
        <is>
          <t>8A/Sc3</t>
        </is>
      </c>
      <c r="K8" s="67">
        <f>IF(tblY8[[#This Row],[Preferred Last name]]="","",COUNTIFS($N$1:$ZZ$1,"*"&amp;CHAR(10)&amp;"Stanine",$N8:$ZZ8,"&gt;=1"))</f>
        <v>4</v>
      </c>
      <c r="L8" s="68">
        <f>IFERROR(AVERAGEIF($N$1:$ZZ$1,"*"&amp;CHAR(10)&amp;"Stanine",$N8:$ZZ8),"")</f>
        <v>7.75</v>
      </c>
      <c r="M8" s="69">
        <f>IF(AND(ISNUMBER(tblY8[[#This Row],[Mean Stanine]]),ISNUMBER(tblY8[[#This Row],[Avg KS2 Band]])),tblY8[[#This Row],[Mean Stanine]]-tblY8[[#This Row],[Avg KS2 Band]],"")</f>
        <v>0.75</v>
      </c>
      <c r="N8" s="66" t="n">
        <v>22</v>
      </c>
      <c r="O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8" s="66" t="n">
        <v>23</v>
      </c>
      <c r="Q8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8" s="66" t="n">
        <v>26</v>
      </c>
      <c r="S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8" s="66" t="n">
        <v>20</v>
      </c>
      <c r="U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8" s="66" t="n"/>
      <c r="W8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9">
      <c r="A9" s="65" t="inlineStr">
        <is>
          <t>X907451634341</t>
        </is>
      </c>
      <c r="B9" s="65" t="inlineStr">
        <is>
          <t>Barker</t>
        </is>
      </c>
      <c r="C9" s="65" t="inlineStr">
        <is>
          <t>Keira</t>
        </is>
      </c>
      <c r="D9" s="66" t="inlineStr">
        <is>
          <t>F</t>
        </is>
      </c>
      <c r="E9" s="66" t="n"/>
      <c r="F9" s="66" t="inlineStr">
        <is>
          <t>N</t>
        </is>
      </c>
      <c r="G9" s="34" t="n">
        <v>94.59999999999999</v>
      </c>
      <c r="H9" s="34" t="n">
        <v>112.5</v>
      </c>
      <c r="I9" s="67">
        <f>IF(ISNUMBER(tblY8[[#This Row],[Avg KS2]]),IFERROR(VLOOKUP(STANDARDIZE(tblY8[[#This Row],[Avg KS2]],AVERAGE(tblY8[[Avg KS2]]),_xlfn.STDEV.P(tblY8[[Avg KS2]])),_Stanine,2),5),"")</f>
        <v>8</v>
      </c>
      <c r="J9" s="66" t="inlineStr">
        <is>
          <t>8A/Sc1</t>
        </is>
      </c>
      <c r="K9" s="67">
        <f>IF(tblY8[[#This Row],[Preferred Last name]]="","",COUNTIFS($N$1:$ZZ$1,"*"&amp;CHAR(10)&amp;"Stanine",$N9:$ZZ9,"&gt;=1"))</f>
        <v>4</v>
      </c>
      <c r="L9" s="68">
        <f>IFERROR(AVERAGEIF($N$1:$ZZ$1,"*"&amp;CHAR(10)&amp;"Stanine",$N9:$ZZ9),"")</f>
        <v>8.25</v>
      </c>
      <c r="M9" s="69">
        <f>IF(AND(ISNUMBER(tblY8[[#This Row],[Mean Stanine]]),ISNUMBER(tblY8[[#This Row],[Avg KS2 Band]])),tblY8[[#This Row],[Mean Stanine]]-tblY8[[#This Row],[Avg KS2 Band]],"")</f>
        <v>0.25</v>
      </c>
      <c r="N9" s="66" t="n">
        <v>23</v>
      </c>
      <c r="O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9" s="66" t="n">
        <v>23</v>
      </c>
      <c r="Q9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9" s="66" t="n">
        <v>27</v>
      </c>
      <c r="S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9</v>
      </c>
      <c r="T9" s="66" t="n">
        <v>20</v>
      </c>
      <c r="U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9" s="66" t="inlineStr">
        <is>
          <t>A</t>
        </is>
      </c>
      <c r="W9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0">
      <c r="A10" s="65" t="inlineStr">
        <is>
          <t>X902298725280</t>
        </is>
      </c>
      <c r="B10" s="65" t="inlineStr">
        <is>
          <t>Barker</t>
        </is>
      </c>
      <c r="C10" s="65" t="inlineStr">
        <is>
          <t>Sami</t>
        </is>
      </c>
      <c r="D10" s="66" t="inlineStr">
        <is>
          <t>F</t>
        </is>
      </c>
      <c r="E10" s="66" t="inlineStr">
        <is>
          <t>N</t>
        </is>
      </c>
      <c r="F10" s="66" t="inlineStr">
        <is>
          <t>N</t>
        </is>
      </c>
      <c r="G10" s="34" t="n">
        <v>96.40000000000001</v>
      </c>
      <c r="H10" s="34" t="n">
        <v>97</v>
      </c>
      <c r="I10" s="67">
        <f>IF(ISNUMBER(tblY8[[#This Row],[Avg KS2]]),IFERROR(VLOOKUP(STANDARDIZE(tblY8[[#This Row],[Avg KS2]],AVERAGE(tblY8[[Avg KS2]]),_xlfn.STDEV.P(tblY8[[Avg KS2]])),_Stanine,2),5),"")</f>
        <v>2</v>
      </c>
      <c r="J10" s="66" t="inlineStr">
        <is>
          <t>8A/Sc4</t>
        </is>
      </c>
      <c r="K10" s="67">
        <f>IF(tblY8[[#This Row],[Preferred Last name]]="","",COUNTIFS($N$1:$ZZ$1,"*"&amp;CHAR(10)&amp;"Stanine",$N10:$ZZ10,"&gt;=1"))</f>
        <v>3</v>
      </c>
      <c r="L10" s="68">
        <f>IFERROR(AVERAGEIF($N$1:$ZZ$1,"*"&amp;CHAR(10)&amp;"Stanine",$N10:$ZZ10),"")</f>
        <v>4</v>
      </c>
      <c r="M10" s="69">
        <f>IF(AND(ISNUMBER(tblY8[[#This Row],[Mean Stanine]]),ISNUMBER(tblY8[[#This Row],[Avg KS2 Band]])),tblY8[[#This Row],[Mean Stanine]]-tblY8[[#This Row],[Avg KS2 Band]],"")</f>
        <v>2</v>
      </c>
      <c r="N10" s="66" t="n">
        <v>16</v>
      </c>
      <c r="O1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10" s="66" t="inlineStr">
        <is>
          <t>A</t>
        </is>
      </c>
      <c r="Q10" s="67" t="str">
        <f>IF(ISNUMBER(tblY8[[#This Row],[8P01 - Energy
Raw Score]]),IFERROR(VLOOKUP(STANDARDIZE(tblY8[[#This Row],[8P01 - Energy
Raw Score]],AVERAGE(tblY8[[8P01 - Energy
Raw Score]]),_xlfn.STDEV.P(tblY8[[8P01 - Energy
Raw Score]])),_Stanine,2),5),"")</f>
        <v/>
      </c>
      <c r="R10" s="66" t="n">
        <v>13</v>
      </c>
      <c r="S1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10" s="66" t="n">
        <v>5</v>
      </c>
      <c r="U1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10" s="66" t="n"/>
      <c r="W1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1">
      <c r="A11" s="65" t="inlineStr">
        <is>
          <t>X906136201084</t>
        </is>
      </c>
      <c r="B11" s="65" t="inlineStr">
        <is>
          <t>Begum</t>
        </is>
      </c>
      <c r="C11" s="65" t="inlineStr">
        <is>
          <t>Jack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Y</t>
        </is>
      </c>
      <c r="G11" s="34" t="n">
        <v>86.40000000000001</v>
      </c>
      <c r="H11" s="34" t="n">
        <v>108</v>
      </c>
      <c r="I11" s="67">
        <f>IF(ISNUMBER(tblY8[[#This Row],[Avg KS2]]),IFERROR(VLOOKUP(STANDARDIZE(tblY8[[#This Row],[Avg KS2]],AVERAGE(tblY8[[Avg KS2]]),_xlfn.STDEV.P(tblY8[[Avg KS2]])),_Stanine,2),5),"")</f>
        <v>6</v>
      </c>
      <c r="J11" s="66" t="inlineStr">
        <is>
          <t>8A/Sc2</t>
        </is>
      </c>
      <c r="K11" s="67">
        <f>IF(tblY8[[#This Row],[Preferred Last name]]="","",COUNTIFS($N$1:$ZZ$1,"*"&amp;CHAR(10)&amp;"Stanine",$N11:$ZZ11,"&gt;=1"))</f>
        <v>5</v>
      </c>
      <c r="L11" s="68">
        <f>IFERROR(AVERAGEIF($N$1:$ZZ$1,"*"&amp;CHAR(10)&amp;"Stanine",$N11:$ZZ11),"")</f>
        <v>3.8</v>
      </c>
      <c r="M11" s="69">
        <f>IF(AND(ISNUMBER(tblY8[[#This Row],[Mean Stanine]]),ISNUMBER(tblY8[[#This Row],[Avg KS2 Band]])),tblY8[[#This Row],[Mean Stanine]]-tblY8[[#This Row],[Avg KS2 Band]],"")</f>
        <v>-2.2</v>
      </c>
      <c r="N11" s="66" t="n">
        <v>13</v>
      </c>
      <c r="O1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11" s="66" t="n">
        <v>14</v>
      </c>
      <c r="Q11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11" s="66" t="n">
        <v>8</v>
      </c>
      <c r="S1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11" s="66" t="n">
        <v>8</v>
      </c>
      <c r="U1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11" s="66" t="n">
        <v>8</v>
      </c>
      <c r="W11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12">
      <c r="A12" s="65" t="inlineStr">
        <is>
          <t>X906798031624</t>
        </is>
      </c>
      <c r="B12" s="65" t="inlineStr">
        <is>
          <t>Begum</t>
        </is>
      </c>
      <c r="C12" s="65" t="inlineStr">
        <is>
          <t>Mia</t>
        </is>
      </c>
      <c r="D12" s="66" t="inlineStr">
        <is>
          <t>F</t>
        </is>
      </c>
      <c r="E12" s="66" t="n"/>
      <c r="F12" s="66" t="inlineStr">
        <is>
          <t>N</t>
        </is>
      </c>
      <c r="G12" s="34" t="n">
        <v>94.09999999999999</v>
      </c>
      <c r="H12" s="34" t="n">
        <v>111</v>
      </c>
      <c r="I12" s="67">
        <f>IF(ISNUMBER(tblY8[[#This Row],[Avg KS2]]),IFERROR(VLOOKUP(STANDARDIZE(tblY8[[#This Row],[Avg KS2]],AVERAGE(tblY8[[Avg KS2]]),_xlfn.STDEV.P(tblY8[[Avg KS2]])),_Stanine,2),5),"")</f>
        <v>7</v>
      </c>
      <c r="J12" s="66" t="inlineStr">
        <is>
          <t>8A/Sc1</t>
        </is>
      </c>
      <c r="K12" s="67">
        <f>IF(tblY8[[#This Row],[Preferred Last name]]="","",COUNTIFS($N$1:$ZZ$1,"*"&amp;CHAR(10)&amp;"Stanine",$N12:$ZZ12,"&gt;=1"))</f>
        <v>5</v>
      </c>
      <c r="L12" s="68">
        <f>IFERROR(AVERAGEIF($N$1:$ZZ$1,"*"&amp;CHAR(10)&amp;"Stanine",$N12:$ZZ12),"")</f>
        <v>7.6</v>
      </c>
      <c r="M12" s="69">
        <f>IF(AND(ISNUMBER(tblY8[[#This Row],[Mean Stanine]]),ISNUMBER(tblY8[[#This Row],[Avg KS2 Band]])),tblY8[[#This Row],[Mean Stanine]]-tblY8[[#This Row],[Avg KS2 Band]],"")</f>
        <v>0.6</v>
      </c>
      <c r="N12" s="66" t="n">
        <v>25</v>
      </c>
      <c r="O1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12" s="66" t="n">
        <v>20</v>
      </c>
      <c r="Q12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12" s="66" t="n">
        <v>27</v>
      </c>
      <c r="S1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9</v>
      </c>
      <c r="T12" s="66" t="n">
        <v>21</v>
      </c>
      <c r="U1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12" s="66" t="n">
        <v>14</v>
      </c>
      <c r="W12" s="67">
        <f>IF(ISNUMBER(tblY8[[#This Row],[8P02 - Light
Raw Score]]),IFERROR(VLOOKUP(STANDARDIZE(tblY8[[#This Row],[8P02 - Light
Raw Score]],AVERAGE(tblY8[[8P02 - Light
Raw Score]]),_xlfn.STDEV.P(tblY8[[8P02 - Light
Raw Score]])),_Stanine,2),5),"")</f>
        <v>6</v>
      </c>
    </row>
    <row r="13">
      <c r="A13" s="65" t="inlineStr">
        <is>
          <t>X903226107397</t>
        </is>
      </c>
      <c r="B13" s="65" t="inlineStr">
        <is>
          <t>Begum</t>
        </is>
      </c>
      <c r="C13" s="65" t="inlineStr">
        <is>
          <t>Nia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95.8</v>
      </c>
      <c r="H13" s="34" t="n">
        <v>103</v>
      </c>
      <c r="I13" s="67">
        <f>IF(ISNUMBER(tblY8[[#This Row],[Avg KS2]]),IFERROR(VLOOKUP(STANDARDIZE(tblY8[[#This Row],[Avg KS2]],AVERAGE(tblY8[[Avg KS2]]),_xlfn.STDEV.P(tblY8[[Avg KS2]])),_Stanine,2),5),"")</f>
        <v>4</v>
      </c>
      <c r="J13" s="66" t="inlineStr">
        <is>
          <t>8A/Sc3</t>
        </is>
      </c>
      <c r="K13" s="67">
        <f>IF(tblY8[[#This Row],[Preferred Last name]]="","",COUNTIFS($N$1:$ZZ$1,"*"&amp;CHAR(10)&amp;"Stanine",$N13:$ZZ13,"&gt;=1"))</f>
        <v>4</v>
      </c>
      <c r="L13" s="68">
        <f>IFERROR(AVERAGEIF($N$1:$ZZ$1,"*"&amp;CHAR(10)&amp;"Stanine",$N13:$ZZ13),"")</f>
        <v>5</v>
      </c>
      <c r="M13" s="69">
        <f>IF(AND(ISNUMBER(tblY8[[#This Row],[Mean Stanine]]),ISNUMBER(tblY8[[#This Row],[Avg KS2 Band]])),tblY8[[#This Row],[Mean Stanine]]-tblY8[[#This Row],[Avg KS2 Band]],"")</f>
        <v>1</v>
      </c>
      <c r="N13" s="66" t="n">
        <v>18</v>
      </c>
      <c r="O1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13" s="66" t="n">
        <v>13</v>
      </c>
      <c r="Q13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13" s="66" t="n">
        <v>16</v>
      </c>
      <c r="S1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13" s="66" t="n">
        <v>13</v>
      </c>
      <c r="U1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13" s="66" t="n"/>
      <c r="W13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4">
      <c r="A14" s="65" t="inlineStr">
        <is>
          <t>X900056795399</t>
        </is>
      </c>
      <c r="B14" s="65" t="inlineStr">
        <is>
          <t>Bennett</t>
        </is>
      </c>
      <c r="C14" s="65" t="inlineStr">
        <is>
          <t>Ethan</t>
        </is>
      </c>
      <c r="D14" s="66" t="inlineStr">
        <is>
          <t>M</t>
        </is>
      </c>
      <c r="E14" s="66" t="inlineStr">
        <is>
          <t>N</t>
        </is>
      </c>
      <c r="F14" s="66" t="inlineStr">
        <is>
          <t>N</t>
        </is>
      </c>
      <c r="G14" s="34" t="n">
        <v>93</v>
      </c>
      <c r="H14" s="34" t="n">
        <v>99</v>
      </c>
      <c r="I14" s="67">
        <f>IF(ISNUMBER(tblY8[[#This Row],[Avg KS2]]),IFERROR(VLOOKUP(STANDARDIZE(tblY8[[#This Row],[Avg KS2]],AVERAGE(tblY8[[Avg KS2]]),_xlfn.STDEV.P(tblY8[[Avg KS2]])),_Stanine,2),5),"")</f>
        <v>3</v>
      </c>
      <c r="J14" s="66" t="inlineStr">
        <is>
          <t>8A/Sc4</t>
        </is>
      </c>
      <c r="K14" s="67">
        <f>IF(tblY8[[#This Row],[Preferred Last name]]="","",COUNTIFS($N$1:$ZZ$1,"*"&amp;CHAR(10)&amp;"Stanine",$N14:$ZZ14,"&gt;=1"))</f>
        <v>4</v>
      </c>
      <c r="L14" s="68">
        <f>IFERROR(AVERAGEIF($N$1:$ZZ$1,"*"&amp;CHAR(10)&amp;"Stanine",$N14:$ZZ14),"")</f>
        <v>1</v>
      </c>
      <c r="M14" s="69">
        <f>IF(AND(ISNUMBER(tblY8[[#This Row],[Mean Stanine]]),ISNUMBER(tblY8[[#This Row],[Avg KS2 Band]])),tblY8[[#This Row],[Mean Stanine]]-tblY8[[#This Row],[Avg KS2 Band]],"")</f>
        <v>-2</v>
      </c>
      <c r="N14" s="66" t="n">
        <v>3</v>
      </c>
      <c r="O1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1</v>
      </c>
      <c r="P14" s="66" t="n">
        <v>4</v>
      </c>
      <c r="Q14" s="67">
        <f>IF(ISNUMBER(tblY8[[#This Row],[8P01 - Energy
Raw Score]]),IFERROR(VLOOKUP(STANDARDIZE(tblY8[[#This Row],[8P01 - Energy
Raw Score]],AVERAGE(tblY8[[8P01 - Energy
Raw Score]]),_xlfn.STDEV.P(tblY8[[8P01 - Energy
Raw Score]])),_Stanine,2),5),"")</f>
        <v>1</v>
      </c>
      <c r="R14" s="66" t="n">
        <v>4</v>
      </c>
      <c r="S1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1</v>
      </c>
      <c r="T14" s="66" t="n">
        <v>2</v>
      </c>
      <c r="U1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1</v>
      </c>
      <c r="V14" s="66" t="n"/>
      <c r="W14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5">
      <c r="A15" s="65" t="inlineStr">
        <is>
          <t>X901231562489</t>
        </is>
      </c>
      <c r="B15" s="65" t="inlineStr">
        <is>
          <t>Bennett</t>
        </is>
      </c>
      <c r="C15" s="65" t="inlineStr">
        <is>
          <t>Isla</t>
        </is>
      </c>
      <c r="D15" s="66" t="inlineStr">
        <is>
          <t>M</t>
        </is>
      </c>
      <c r="E15" s="66" t="inlineStr">
        <is>
          <t>K</t>
        </is>
      </c>
      <c r="F15" s="66" t="inlineStr">
        <is>
          <t>Y</t>
        </is>
      </c>
      <c r="G15" s="34" t="n">
        <v>94</v>
      </c>
      <c r="H15" s="34" t="n">
        <v>100.5</v>
      </c>
      <c r="I15" s="67">
        <f>IF(ISNUMBER(tblY8[[#This Row],[Avg KS2]]),IFERROR(VLOOKUP(STANDARDIZE(tblY8[[#This Row],[Avg KS2]],AVERAGE(tblY8[[Avg KS2]]),_xlfn.STDEV.P(tblY8[[Avg KS2]])),_Stanine,2),5),"")</f>
        <v>3</v>
      </c>
      <c r="J15" s="66" t="inlineStr">
        <is>
          <t>8A/Sc4</t>
        </is>
      </c>
      <c r="K15" s="67">
        <f>IF(tblY8[[#This Row],[Preferred Last name]]="","",COUNTIFS($N$1:$ZZ$1,"*"&amp;CHAR(10)&amp;"Stanine",$N15:$ZZ15,"&gt;=1"))</f>
        <v>3</v>
      </c>
      <c r="L15" s="68">
        <f>IFERROR(AVERAGEIF($N$1:$ZZ$1,"*"&amp;CHAR(10)&amp;"Stanine",$N15:$ZZ15),"")</f>
        <v>3.66666666666667</v>
      </c>
      <c r="M15" s="69">
        <f>IF(AND(ISNUMBER(tblY8[[#This Row],[Mean Stanine]]),ISNUMBER(tblY8[[#This Row],[Avg KS2 Band]])),tblY8[[#This Row],[Mean Stanine]]-tblY8[[#This Row],[Avg KS2 Band]],"")</f>
        <v>0.666666666666667</v>
      </c>
      <c r="N15" s="66" t="inlineStr">
        <is>
          <t>A</t>
        </is>
      </c>
      <c r="O15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15" s="66" t="n">
        <v>10</v>
      </c>
      <c r="Q15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15" s="66" t="n">
        <v>12</v>
      </c>
      <c r="S1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15" s="66" t="n">
        <v>8</v>
      </c>
      <c r="U1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15" s="66" t="n"/>
      <c r="W1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6">
      <c r="A16" s="65" t="inlineStr">
        <is>
          <t>X903976214363</t>
        </is>
      </c>
      <c r="B16" s="65" t="inlineStr">
        <is>
          <t>Bennett</t>
        </is>
      </c>
      <c r="C16" s="65" t="inlineStr">
        <is>
          <t>Lily</t>
        </is>
      </c>
      <c r="D16" s="66" t="inlineStr">
        <is>
          <t>M</t>
        </is>
      </c>
      <c r="E16" s="66" t="n"/>
      <c r="F16" s="66" t="inlineStr">
        <is>
          <t>N</t>
        </is>
      </c>
      <c r="G16" s="34" t="n">
        <v>94.40000000000001</v>
      </c>
      <c r="H16" s="34" t="n">
        <v>110.5</v>
      </c>
      <c r="I16" s="67">
        <f>IF(ISNUMBER(tblY8[[#This Row],[Avg KS2]]),IFERROR(VLOOKUP(STANDARDIZE(tblY8[[#This Row],[Avg KS2]],AVERAGE(tblY8[[Avg KS2]]),_xlfn.STDEV.P(tblY8[[Avg KS2]])),_Stanine,2),5),"")</f>
        <v>7</v>
      </c>
      <c r="J16" s="66" t="inlineStr">
        <is>
          <t>8A/Sc2</t>
        </is>
      </c>
      <c r="K16" s="67">
        <f>IF(tblY8[[#This Row],[Preferred Last name]]="","",COUNTIFS($N$1:$ZZ$1,"*"&amp;CHAR(10)&amp;"Stanine",$N16:$ZZ16,"&gt;=1"))</f>
        <v>5</v>
      </c>
      <c r="L16" s="68">
        <f>IFERROR(AVERAGEIF($N$1:$ZZ$1,"*"&amp;CHAR(10)&amp;"Stanine",$N16:$ZZ16),"")</f>
        <v>6.6</v>
      </c>
      <c r="M16" s="69">
        <f>IF(AND(ISNUMBER(tblY8[[#This Row],[Mean Stanine]]),ISNUMBER(tblY8[[#This Row],[Avg KS2 Band]])),tblY8[[#This Row],[Mean Stanine]]-tblY8[[#This Row],[Avg KS2 Band]],"")</f>
        <v>-0.4</v>
      </c>
      <c r="N16" s="66" t="n">
        <v>17</v>
      </c>
      <c r="O1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16" s="66" t="n">
        <v>21</v>
      </c>
      <c r="Q16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16" s="66" t="n">
        <v>22</v>
      </c>
      <c r="S1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16" s="66" t="n">
        <v>19</v>
      </c>
      <c r="U1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16" s="66" t="n">
        <v>14</v>
      </c>
      <c r="W16" s="67">
        <f>IF(ISNUMBER(tblY8[[#This Row],[8P02 - Light
Raw Score]]),IFERROR(VLOOKUP(STANDARDIZE(tblY8[[#This Row],[8P02 - Light
Raw Score]],AVERAGE(tblY8[[8P02 - Light
Raw Score]]),_xlfn.STDEV.P(tblY8[[8P02 - Light
Raw Score]])),_Stanine,2),5),"")</f>
        <v>6</v>
      </c>
    </row>
    <row r="17">
      <c r="A17" s="65" t="inlineStr">
        <is>
          <t>X908063235620</t>
        </is>
      </c>
      <c r="B17" s="65" t="inlineStr">
        <is>
          <t>Brown</t>
        </is>
      </c>
      <c r="C17" s="65" t="inlineStr">
        <is>
          <t>Aisha</t>
        </is>
      </c>
      <c r="D17" s="66" t="inlineStr">
        <is>
          <t>M</t>
        </is>
      </c>
      <c r="E17" s="66" t="inlineStr">
        <is>
          <t>N</t>
        </is>
      </c>
      <c r="F17" s="66" t="inlineStr">
        <is>
          <t>Y</t>
        </is>
      </c>
      <c r="G17" s="34" t="n">
        <v>92.59999999999999</v>
      </c>
      <c r="H17" s="34" t="n">
        <v>102.5</v>
      </c>
      <c r="I17" s="67">
        <f>IF(ISNUMBER(tblY8[[#This Row],[Avg KS2]]),IFERROR(VLOOKUP(STANDARDIZE(tblY8[[#This Row],[Avg KS2]],AVERAGE(tblY8[[Avg KS2]]),_xlfn.STDEV.P(tblY8[[Avg KS2]])),_Stanine,2),5),"")</f>
        <v>4</v>
      </c>
      <c r="J17" s="66" t="inlineStr">
        <is>
          <t>8A/Sc2</t>
        </is>
      </c>
      <c r="K17" s="67">
        <f>IF(tblY8[[#This Row],[Preferred Last name]]="","",COUNTIFS($N$1:$ZZ$1,"*"&amp;CHAR(10)&amp;"Stanine",$N17:$ZZ17,"&gt;=1"))</f>
        <v>5</v>
      </c>
      <c r="L17" s="68">
        <f>IFERROR(AVERAGEIF($N$1:$ZZ$1,"*"&amp;CHAR(10)&amp;"Stanine",$N17:$ZZ17),"")</f>
        <v>5.8</v>
      </c>
      <c r="M17" s="69">
        <f>IF(AND(ISNUMBER(tblY8[[#This Row],[Mean Stanine]]),ISNUMBER(tblY8[[#This Row],[Avg KS2 Band]])),tblY8[[#This Row],[Mean Stanine]]-tblY8[[#This Row],[Avg KS2 Band]],"")</f>
        <v>1.8</v>
      </c>
      <c r="N17" s="66" t="n">
        <v>15</v>
      </c>
      <c r="O1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17" s="66" t="n">
        <v>17</v>
      </c>
      <c r="Q17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17" s="66" t="n">
        <v>16</v>
      </c>
      <c r="S1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17" s="66" t="n">
        <v>15</v>
      </c>
      <c r="U1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17" s="66" t="n">
        <v>16</v>
      </c>
      <c r="W17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18">
      <c r="A18" s="65" t="inlineStr">
        <is>
          <t>X909227659556</t>
        </is>
      </c>
      <c r="B18" s="65" t="inlineStr">
        <is>
          <t>Clarke</t>
        </is>
      </c>
      <c r="C18" s="65" t="inlineStr">
        <is>
          <t>Hannah</t>
        </is>
      </c>
      <c r="D18" s="66" t="inlineStr">
        <is>
          <t>M</t>
        </is>
      </c>
      <c r="E18" s="66" t="inlineStr">
        <is>
          <t>N</t>
        </is>
      </c>
      <c r="F18" s="66" t="inlineStr">
        <is>
          <t>Y</t>
        </is>
      </c>
      <c r="G18" s="34" t="n">
        <v>88.59999999999999</v>
      </c>
      <c r="H18" s="34" t="n">
        <v>103.5</v>
      </c>
      <c r="I18" s="67">
        <f>IF(ISNUMBER(tblY8[[#This Row],[Avg KS2]]),IFERROR(VLOOKUP(STANDARDIZE(tblY8[[#This Row],[Avg KS2]],AVERAGE(tblY8[[Avg KS2]]),_xlfn.STDEV.P(tblY8[[Avg KS2]])),_Stanine,2),5),"")</f>
        <v>4</v>
      </c>
      <c r="J18" s="66" t="inlineStr">
        <is>
          <t>8A/Sc4</t>
        </is>
      </c>
      <c r="K18" s="67">
        <f>IF(tblY8[[#This Row],[Preferred Last name]]="","",COUNTIFS($N$1:$ZZ$1,"*"&amp;CHAR(10)&amp;"Stanine",$N18:$ZZ18,"&gt;=1"))</f>
        <v>4</v>
      </c>
      <c r="L18" s="68">
        <f>IFERROR(AVERAGEIF($N$1:$ZZ$1,"*"&amp;CHAR(10)&amp;"Stanine",$N18:$ZZ18),"")</f>
        <v>5.25</v>
      </c>
      <c r="M18" s="69">
        <f>IF(AND(ISNUMBER(tblY8[[#This Row],[Mean Stanine]]),ISNUMBER(tblY8[[#This Row],[Avg KS2 Band]])),tblY8[[#This Row],[Mean Stanine]]-tblY8[[#This Row],[Avg KS2 Band]],"")</f>
        <v>1.25</v>
      </c>
      <c r="N18" s="66" t="n">
        <v>14</v>
      </c>
      <c r="O1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18" s="66" t="n">
        <v>14</v>
      </c>
      <c r="Q18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18" s="66" t="n">
        <v>16</v>
      </c>
      <c r="S1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18" s="66" t="n">
        <v>15</v>
      </c>
      <c r="U1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18" s="66" t="n"/>
      <c r="W18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19">
      <c r="A19" s="65" t="inlineStr">
        <is>
          <t>X901330536800</t>
        </is>
      </c>
      <c r="B19" s="65" t="inlineStr">
        <is>
          <t>Clarke</t>
        </is>
      </c>
      <c r="C19" s="65" t="inlineStr">
        <is>
          <t>Nia</t>
        </is>
      </c>
      <c r="D19" s="66" t="inlineStr">
        <is>
          <t>F</t>
        </is>
      </c>
      <c r="E19" s="66" t="inlineStr">
        <is>
          <t>N</t>
        </is>
      </c>
      <c r="F19" s="66" t="inlineStr">
        <is>
          <t>N</t>
        </is>
      </c>
      <c r="G19" s="34" t="n">
        <v>99.90000000000001</v>
      </c>
      <c r="H19" s="34" t="n">
        <v>108.5</v>
      </c>
      <c r="I19" s="67">
        <f>IF(ISNUMBER(tblY8[[#This Row],[Avg KS2]]),IFERROR(VLOOKUP(STANDARDIZE(tblY8[[#This Row],[Avg KS2]],AVERAGE(tblY8[[Avg KS2]]),_xlfn.STDEV.P(tblY8[[Avg KS2]])),_Stanine,2),5),"")</f>
        <v>6</v>
      </c>
      <c r="J19" s="66" t="inlineStr">
        <is>
          <t>8A/Sc1</t>
        </is>
      </c>
      <c r="K19" s="67">
        <f>IF(tblY8[[#This Row],[Preferred Last name]]="","",COUNTIFS($N$1:$ZZ$1,"*"&amp;CHAR(10)&amp;"Stanine",$N19:$ZZ19,"&gt;=1"))</f>
        <v>5</v>
      </c>
      <c r="L19" s="68">
        <f>IFERROR(AVERAGEIF($N$1:$ZZ$1,"*"&amp;CHAR(10)&amp;"Stanine",$N19:$ZZ19),"")</f>
        <v>6.4</v>
      </c>
      <c r="M19" s="69">
        <f>IF(AND(ISNUMBER(tblY8[[#This Row],[Mean Stanine]]),ISNUMBER(tblY8[[#This Row],[Avg KS2 Band]])),tblY8[[#This Row],[Mean Stanine]]-tblY8[[#This Row],[Avg KS2 Band]],"")</f>
        <v>0.4</v>
      </c>
      <c r="N19" s="66" t="n">
        <v>19</v>
      </c>
      <c r="O1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19" s="66" t="n">
        <v>19</v>
      </c>
      <c r="Q19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19" s="66" t="n">
        <v>21</v>
      </c>
      <c r="S1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19" s="66" t="n">
        <v>12</v>
      </c>
      <c r="U1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19" s="66" t="n">
        <v>16</v>
      </c>
      <c r="W19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20">
      <c r="A20" s="65" t="inlineStr">
        <is>
          <t>X909978837475</t>
        </is>
      </c>
      <c r="B20" s="65" t="inlineStr">
        <is>
          <t>Davies</t>
        </is>
      </c>
      <c r="C20" s="65" t="inlineStr">
        <is>
          <t>Arthur</t>
        </is>
      </c>
      <c r="D20" s="66" t="inlineStr">
        <is>
          <t>F</t>
        </is>
      </c>
      <c r="E20" s="66" t="inlineStr">
        <is>
          <t>N</t>
        </is>
      </c>
      <c r="F20" s="66" t="inlineStr">
        <is>
          <t>N</t>
        </is>
      </c>
      <c r="G20" s="34" t="n">
        <v>96.5</v>
      </c>
      <c r="H20" s="34" t="n">
        <v>105.5</v>
      </c>
      <c r="I20" s="67">
        <f>IF(ISNUMBER(tblY8[[#This Row],[Avg KS2]]),IFERROR(VLOOKUP(STANDARDIZE(tblY8[[#This Row],[Avg KS2]],AVERAGE(tblY8[[Avg KS2]]),_xlfn.STDEV.P(tblY8[[Avg KS2]])),_Stanine,2),5),"")</f>
        <v>5</v>
      </c>
      <c r="J20" s="66" t="inlineStr">
        <is>
          <t>8A/Sc3</t>
        </is>
      </c>
      <c r="K20" s="67">
        <f>IF(tblY8[[#This Row],[Preferred Last name]]="","",COUNTIFS($N$1:$ZZ$1,"*"&amp;CHAR(10)&amp;"Stanine",$N20:$ZZ20,"&gt;=1"))</f>
        <v>3</v>
      </c>
      <c r="L20" s="68">
        <f>IFERROR(AVERAGEIF($N$1:$ZZ$1,"*"&amp;CHAR(10)&amp;"Stanine",$N20:$ZZ20),"")</f>
        <v>6.33333333333333</v>
      </c>
      <c r="M20" s="69">
        <f>IF(AND(ISNUMBER(tblY8[[#This Row],[Mean Stanine]]),ISNUMBER(tblY8[[#This Row],[Avg KS2 Band]])),tblY8[[#This Row],[Mean Stanine]]-tblY8[[#This Row],[Avg KS2 Band]],"")</f>
        <v>1.33333333333333</v>
      </c>
      <c r="N20" s="66" t="inlineStr">
        <is>
          <t>A</t>
        </is>
      </c>
      <c r="O20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20" s="66" t="n">
        <v>17</v>
      </c>
      <c r="Q20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20" s="66" t="n">
        <v>17</v>
      </c>
      <c r="S2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20" s="66" t="n">
        <v>20</v>
      </c>
      <c r="U2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20" s="66" t="n"/>
      <c r="W2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1">
      <c r="A21" s="65" t="inlineStr">
        <is>
          <t>X907315710208</t>
        </is>
      </c>
      <c r="B21" s="65" t="inlineStr">
        <is>
          <t>Davies</t>
        </is>
      </c>
      <c r="C21" s="65" t="inlineStr">
        <is>
          <t>Ella</t>
        </is>
      </c>
      <c r="D21" s="66" t="inlineStr">
        <is>
          <t>M</t>
        </is>
      </c>
      <c r="E21" s="66" t="n"/>
      <c r="F21" s="66" t="inlineStr">
        <is>
          <t>N</t>
        </is>
      </c>
      <c r="G21" s="34" t="n">
        <v>91.7</v>
      </c>
      <c r="H21" s="34" t="n">
        <v>94.5</v>
      </c>
      <c r="I21" s="67">
        <f>IF(ISNUMBER(tblY8[[#This Row],[Avg KS2]]),IFERROR(VLOOKUP(STANDARDIZE(tblY8[[#This Row],[Avg KS2]],AVERAGE(tblY8[[Avg KS2]]),_xlfn.STDEV.P(tblY8[[Avg KS2]])),_Stanine,2),5),"")</f>
        <v>1</v>
      </c>
      <c r="J21" s="66" t="inlineStr">
        <is>
          <t>8A/Sc4</t>
        </is>
      </c>
      <c r="K21" s="67">
        <f>IF(tblY8[[#This Row],[Preferred Last name]]="","",COUNTIFS($N$1:$ZZ$1,"*"&amp;CHAR(10)&amp;"Stanine",$N21:$ZZ21,"&gt;=1"))</f>
        <v>4</v>
      </c>
      <c r="L21" s="68">
        <f>IFERROR(AVERAGEIF($N$1:$ZZ$1,"*"&amp;CHAR(10)&amp;"Stanine",$N21:$ZZ21),"")</f>
        <v>2</v>
      </c>
      <c r="M21" s="69">
        <f>IF(AND(ISNUMBER(tblY8[[#This Row],[Mean Stanine]]),ISNUMBER(tblY8[[#This Row],[Avg KS2 Band]])),tblY8[[#This Row],[Mean Stanine]]-tblY8[[#This Row],[Avg KS2 Band]],"")</f>
        <v>1</v>
      </c>
      <c r="N21" s="66" t="n">
        <v>3</v>
      </c>
      <c r="O2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1</v>
      </c>
      <c r="P21" s="66" t="n">
        <v>11</v>
      </c>
      <c r="Q21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21" s="66" t="n">
        <v>6</v>
      </c>
      <c r="S2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21" s="66" t="n">
        <v>2</v>
      </c>
      <c r="U2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1</v>
      </c>
      <c r="V21" s="66" t="n"/>
      <c r="W21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2">
      <c r="A22" s="65" t="inlineStr">
        <is>
          <t>X908104038944</t>
        </is>
      </c>
      <c r="B22" s="65" t="inlineStr">
        <is>
          <t>Davies</t>
        </is>
      </c>
      <c r="C22" s="65" t="inlineStr">
        <is>
          <t>Maisie</t>
        </is>
      </c>
      <c r="D22" s="66" t="inlineStr">
        <is>
          <t>F</t>
        </is>
      </c>
      <c r="E22" s="66" t="inlineStr">
        <is>
          <t>N</t>
        </is>
      </c>
      <c r="F22" s="66" t="inlineStr">
        <is>
          <t>N</t>
        </is>
      </c>
      <c r="G22" s="34" t="n">
        <v>95.40000000000001</v>
      </c>
      <c r="H22" s="34" t="n">
        <v>105</v>
      </c>
      <c r="I22" s="67">
        <f>IF(ISNUMBER(tblY8[[#This Row],[Avg KS2]]),IFERROR(VLOOKUP(STANDARDIZE(tblY8[[#This Row],[Avg KS2]],AVERAGE(tblY8[[Avg KS2]]),_xlfn.STDEV.P(tblY8[[Avg KS2]])),_Stanine,2),5),"")</f>
        <v>5</v>
      </c>
      <c r="J22" s="66" t="inlineStr">
        <is>
          <t>8A/Sc3</t>
        </is>
      </c>
      <c r="K22" s="67">
        <f>IF(tblY8[[#This Row],[Preferred Last name]]="","",COUNTIFS($N$1:$ZZ$1,"*"&amp;CHAR(10)&amp;"Stanine",$N22:$ZZ22,"&gt;=1"))</f>
        <v>4</v>
      </c>
      <c r="L22" s="68">
        <f>IFERROR(AVERAGEIF($N$1:$ZZ$1,"*"&amp;CHAR(10)&amp;"Stanine",$N22:$ZZ22),"")</f>
        <v>6.75</v>
      </c>
      <c r="M22" s="69">
        <f>IF(AND(ISNUMBER(tblY8[[#This Row],[Mean Stanine]]),ISNUMBER(tblY8[[#This Row],[Avg KS2 Band]])),tblY8[[#This Row],[Mean Stanine]]-tblY8[[#This Row],[Avg KS2 Band]],"")</f>
        <v>1.75</v>
      </c>
      <c r="N22" s="66" t="n">
        <v>17</v>
      </c>
      <c r="O2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22" s="66" t="n">
        <v>20</v>
      </c>
      <c r="Q22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22" s="66" t="n">
        <v>21</v>
      </c>
      <c r="S2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22" s="66" t="n">
        <v>17</v>
      </c>
      <c r="U2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22" s="66" t="n"/>
      <c r="W22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3">
      <c r="A23" s="65" t="inlineStr">
        <is>
          <t>X909698291084</t>
        </is>
      </c>
      <c r="B23" s="65" t="inlineStr">
        <is>
          <t>Edwards</t>
        </is>
      </c>
      <c r="C23" s="65" t="inlineStr">
        <is>
          <t>Sami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N</t>
        </is>
      </c>
      <c r="G23" s="34" t="n">
        <v>86.40000000000001</v>
      </c>
      <c r="H23" s="34" t="n">
        <v>113</v>
      </c>
      <c r="I23" s="67">
        <f>IF(ISNUMBER(tblY8[[#This Row],[Avg KS2]]),IFERROR(VLOOKUP(STANDARDIZE(tblY8[[#This Row],[Avg KS2]],AVERAGE(tblY8[[Avg KS2]]),_xlfn.STDEV.P(tblY8[[Avg KS2]])),_Stanine,2),5),"")</f>
        <v>8</v>
      </c>
      <c r="J23" s="66" t="inlineStr">
        <is>
          <t>8A/Sc2</t>
        </is>
      </c>
      <c r="K23" s="67">
        <f>IF(tblY8[[#This Row],[Preferred Last name]]="","",COUNTIFS($N$1:$ZZ$1,"*"&amp;CHAR(10)&amp;"Stanine",$N23:$ZZ23,"&gt;=1"))</f>
        <v>5</v>
      </c>
      <c r="L23" s="68">
        <f>IFERROR(AVERAGEIF($N$1:$ZZ$1,"*"&amp;CHAR(10)&amp;"Stanine",$N23:$ZZ23),"")</f>
        <v>7.6</v>
      </c>
      <c r="M23" s="69">
        <f>IF(AND(ISNUMBER(tblY8[[#This Row],[Mean Stanine]]),ISNUMBER(tblY8[[#This Row],[Avg KS2 Band]])),tblY8[[#This Row],[Mean Stanine]]-tblY8[[#This Row],[Avg KS2 Band]],"")</f>
        <v>-0.4</v>
      </c>
      <c r="N23" s="66" t="n">
        <v>25</v>
      </c>
      <c r="O2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23" s="66" t="n">
        <v>22</v>
      </c>
      <c r="Q23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23" s="66" t="n">
        <v>26</v>
      </c>
      <c r="S2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23" s="66" t="n">
        <v>18</v>
      </c>
      <c r="U2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23" s="66" t="n">
        <v>17</v>
      </c>
      <c r="W23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24">
      <c r="A24" s="65" t="inlineStr">
        <is>
          <t>X906575135071</t>
        </is>
      </c>
      <c r="B24" s="65" t="inlineStr">
        <is>
          <t>Evans</t>
        </is>
      </c>
      <c r="C24" s="65" t="inlineStr">
        <is>
          <t>Callum</t>
        </is>
      </c>
      <c r="D24" s="66" t="inlineStr">
        <is>
          <t>F</t>
        </is>
      </c>
      <c r="E24" s="66" t="n"/>
      <c r="F24" s="66" t="inlineStr">
        <is>
          <t>N</t>
        </is>
      </c>
      <c r="G24" s="34" t="n">
        <v>83.90000000000001</v>
      </c>
      <c r="H24" s="34" t="n">
        <v>105.5</v>
      </c>
      <c r="I24" s="67">
        <f>IF(ISNUMBER(tblY8[[#This Row],[Avg KS2]]),IFERROR(VLOOKUP(STANDARDIZE(tblY8[[#This Row],[Avg KS2]],AVERAGE(tblY8[[Avg KS2]]),_xlfn.STDEV.P(tblY8[[Avg KS2]])),_Stanine,2),5),"")</f>
        <v>5</v>
      </c>
      <c r="J24" s="66" t="inlineStr">
        <is>
          <t>8A/Sc1</t>
        </is>
      </c>
      <c r="K24" s="67">
        <f>IF(tblY8[[#This Row],[Preferred Last name]]="","",COUNTIFS($N$1:$ZZ$1,"*"&amp;CHAR(10)&amp;"Stanine",$N24:$ZZ24,"&gt;=1"))</f>
        <v>5</v>
      </c>
      <c r="L24" s="68">
        <f>IFERROR(AVERAGEIF($N$1:$ZZ$1,"*"&amp;CHAR(10)&amp;"Stanine",$N24:$ZZ24),"")</f>
        <v>5.8</v>
      </c>
      <c r="M24" s="69">
        <f>IF(AND(ISNUMBER(tblY8[[#This Row],[Mean Stanine]]),ISNUMBER(tblY8[[#This Row],[Avg KS2 Band]])),tblY8[[#This Row],[Mean Stanine]]-tblY8[[#This Row],[Avg KS2 Band]],"")</f>
        <v>0.8</v>
      </c>
      <c r="N24" s="66" t="n">
        <v>13</v>
      </c>
      <c r="O2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24" s="66" t="n">
        <v>19</v>
      </c>
      <c r="Q24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24" s="66" t="n">
        <v>17</v>
      </c>
      <c r="S2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24" s="66" t="n">
        <v>11</v>
      </c>
      <c r="U2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24" s="66" t="n">
        <v>18</v>
      </c>
      <c r="W24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25">
      <c r="A25" s="65" t="inlineStr">
        <is>
          <t>X902550369569</t>
        </is>
      </c>
      <c r="B25" s="65" t="inlineStr">
        <is>
          <t>Evans</t>
        </is>
      </c>
      <c r="C25" s="65" t="inlineStr">
        <is>
          <t>Jacob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N</t>
        </is>
      </c>
      <c r="G25" s="34" t="n">
        <v>93.40000000000001</v>
      </c>
      <c r="H25" s="34" t="n">
        <v>103.5</v>
      </c>
      <c r="I25" s="67">
        <f>IF(ISNUMBER(tblY8[[#This Row],[Avg KS2]]),IFERROR(VLOOKUP(STANDARDIZE(tblY8[[#This Row],[Avg KS2]],AVERAGE(tblY8[[Avg KS2]]),_xlfn.STDEV.P(tblY8[[Avg KS2]])),_Stanine,2),5),"")</f>
        <v>4</v>
      </c>
      <c r="J25" s="66" t="inlineStr">
        <is>
          <t>8A/Sc3</t>
        </is>
      </c>
      <c r="K25" s="67">
        <f>IF(tblY8[[#This Row],[Preferred Last name]]="","",COUNTIFS($N$1:$ZZ$1,"*"&amp;CHAR(10)&amp;"Stanine",$N25:$ZZ25,"&gt;=1"))</f>
        <v>4</v>
      </c>
      <c r="L25" s="68">
        <f>IFERROR(AVERAGEIF($N$1:$ZZ$1,"*"&amp;CHAR(10)&amp;"Stanine",$N25:$ZZ25),"")</f>
        <v>4.75</v>
      </c>
      <c r="M25" s="69">
        <f>IF(AND(ISNUMBER(tblY8[[#This Row],[Mean Stanine]]),ISNUMBER(tblY8[[#This Row],[Avg KS2 Band]])),tblY8[[#This Row],[Mean Stanine]]-tblY8[[#This Row],[Avg KS2 Band]],"")</f>
        <v>0.75</v>
      </c>
      <c r="N25" s="66" t="n">
        <v>16</v>
      </c>
      <c r="O2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25" s="66" t="n">
        <v>16</v>
      </c>
      <c r="Q25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25" s="66" t="n">
        <v>15</v>
      </c>
      <c r="S2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25" s="66" t="n">
        <v>10</v>
      </c>
      <c r="U2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25" s="66" t="n"/>
      <c r="W2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6">
      <c r="A26" s="65" t="inlineStr">
        <is>
          <t>X903299655633</t>
        </is>
      </c>
      <c r="B26" s="65" t="inlineStr">
        <is>
          <t>Evans</t>
        </is>
      </c>
      <c r="C26" s="65" t="inlineStr">
        <is>
          <t>Noah</t>
        </is>
      </c>
      <c r="D26" s="66" t="inlineStr">
        <is>
          <t>F</t>
        </is>
      </c>
      <c r="E26" s="66" t="inlineStr">
        <is>
          <t>N</t>
        </is>
      </c>
      <c r="F26" s="66" t="inlineStr">
        <is>
          <t>N</t>
        </is>
      </c>
      <c r="G26" s="34" t="n">
        <v>95.2</v>
      </c>
      <c r="H26" s="34" t="n">
        <v>99.5</v>
      </c>
      <c r="I26" s="67">
        <f>IF(ISNUMBER(tblY8[[#This Row],[Avg KS2]]),IFERROR(VLOOKUP(STANDARDIZE(tblY8[[#This Row],[Avg KS2]],AVERAGE(tblY8[[Avg KS2]]),_xlfn.STDEV.P(tblY8[[Avg KS2]])),_Stanine,2),5),"")</f>
        <v>3</v>
      </c>
      <c r="J26" s="66" t="inlineStr">
        <is>
          <t>8A/Sc4</t>
        </is>
      </c>
      <c r="K26" s="67">
        <f>IF(tblY8[[#This Row],[Preferred Last name]]="","",COUNTIFS($N$1:$ZZ$1,"*"&amp;CHAR(10)&amp;"Stanine",$N26:$ZZ26,"&gt;=1"))</f>
        <v>4</v>
      </c>
      <c r="L26" s="68">
        <f>IFERROR(AVERAGEIF($N$1:$ZZ$1,"*"&amp;CHAR(10)&amp;"Stanine",$N26:$ZZ26),"")</f>
        <v>2.5</v>
      </c>
      <c r="M26" s="69">
        <f>IF(AND(ISNUMBER(tblY8[[#This Row],[Mean Stanine]]),ISNUMBER(tblY8[[#This Row],[Avg KS2 Band]])),tblY8[[#This Row],[Mean Stanine]]-tblY8[[#This Row],[Avg KS2 Band]],"")</f>
        <v>-0.5</v>
      </c>
      <c r="N26" s="66" t="n">
        <v>7</v>
      </c>
      <c r="O2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26" s="66" t="n">
        <v>8</v>
      </c>
      <c r="Q26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26" s="66" t="n">
        <v>6</v>
      </c>
      <c r="S2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26" s="66" t="n">
        <v>6</v>
      </c>
      <c r="U2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26" s="66" t="n"/>
      <c r="W26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7">
      <c r="A27" s="65" t="inlineStr">
        <is>
          <t>X900322978673</t>
        </is>
      </c>
      <c r="B27" s="65" t="inlineStr">
        <is>
          <t>Evans</t>
        </is>
      </c>
      <c r="C27" s="65" t="inlineStr">
        <is>
          <t>Reuben</t>
        </is>
      </c>
      <c r="D27" s="66" t="inlineStr">
        <is>
          <t>F</t>
        </is>
      </c>
      <c r="E27" s="66" t="inlineStr">
        <is>
          <t>K</t>
        </is>
      </c>
      <c r="F27" s="66" t="inlineStr">
        <is>
          <t>Y</t>
        </is>
      </c>
      <c r="G27" s="34" t="n">
        <v>98.7</v>
      </c>
      <c r="H27" s="34" t="n">
        <v>111</v>
      </c>
      <c r="I27" s="67">
        <f>IF(ISNUMBER(tblY8[[#This Row],[Avg KS2]]),IFERROR(VLOOKUP(STANDARDIZE(tblY8[[#This Row],[Avg KS2]],AVERAGE(tblY8[[Avg KS2]]),_xlfn.STDEV.P(tblY8[[Avg KS2]])),_Stanine,2),5),"")</f>
        <v>7</v>
      </c>
      <c r="J27" s="66" t="inlineStr">
        <is>
          <t>8A/Sc1</t>
        </is>
      </c>
      <c r="K27" s="67">
        <f>IF(tblY8[[#This Row],[Preferred Last name]]="","",COUNTIFS($N$1:$ZZ$1,"*"&amp;CHAR(10)&amp;"Stanine",$N27:$ZZ27,"&gt;=1"))</f>
        <v>4</v>
      </c>
      <c r="L27" s="68">
        <f>IFERROR(AVERAGEIF($N$1:$ZZ$1,"*"&amp;CHAR(10)&amp;"Stanine",$N27:$ZZ27),"")</f>
        <v>6.5</v>
      </c>
      <c r="M27" s="69">
        <f>IF(AND(ISNUMBER(tblY8[[#This Row],[Mean Stanine]]),ISNUMBER(tblY8[[#This Row],[Avg KS2 Band]])),tblY8[[#This Row],[Mean Stanine]]-tblY8[[#This Row],[Avg KS2 Band]],"")</f>
        <v>-0.5</v>
      </c>
      <c r="N27" s="66" t="n">
        <v>22</v>
      </c>
      <c r="O2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27" s="66" t="inlineStr">
        <is>
          <t>A</t>
        </is>
      </c>
      <c r="Q27" s="67" t="str">
        <f>IF(ISNUMBER(tblY8[[#This Row],[8P01 - Energy
Raw Score]]),IFERROR(VLOOKUP(STANDARDIZE(tblY8[[#This Row],[8P01 - Energy
Raw Score]],AVERAGE(tblY8[[8P01 - Energy
Raw Score]]),_xlfn.STDEV.P(tblY8[[8P01 - Energy
Raw Score]])),_Stanine,2),5),"")</f>
        <v/>
      </c>
      <c r="R27" s="66" t="n">
        <v>22</v>
      </c>
      <c r="S2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27" s="66" t="n">
        <v>13</v>
      </c>
      <c r="U2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27" s="66" t="n">
        <v>16</v>
      </c>
      <c r="W27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28">
      <c r="A28" s="65" t="inlineStr">
        <is>
          <t>X909654281407</t>
        </is>
      </c>
      <c r="B28" s="65" t="inlineStr">
        <is>
          <t>Evans</t>
        </is>
      </c>
      <c r="C28" s="65" t="inlineStr">
        <is>
          <t>Zara</t>
        </is>
      </c>
      <c r="D28" s="66" t="inlineStr">
        <is>
          <t>F</t>
        </is>
      </c>
      <c r="E28" s="66" t="inlineStr">
        <is>
          <t>N</t>
        </is>
      </c>
      <c r="F28" s="66" t="inlineStr">
        <is>
          <t>N</t>
        </is>
      </c>
      <c r="G28" s="34" t="n">
        <v>86.09999999999999</v>
      </c>
      <c r="H28" s="34" t="n">
        <v>106.5</v>
      </c>
      <c r="I28" s="67">
        <f>IF(ISNUMBER(tblY8[[#This Row],[Avg KS2]]),IFERROR(VLOOKUP(STANDARDIZE(tblY8[[#This Row],[Avg KS2]],AVERAGE(tblY8[[Avg KS2]]),_xlfn.STDEV.P(tblY8[[Avg KS2]])),_Stanine,2),5),"")</f>
        <v>6</v>
      </c>
      <c r="J28" s="66" t="inlineStr">
        <is>
          <t>8A/Sc3</t>
        </is>
      </c>
      <c r="K28" s="67">
        <f>IF(tblY8[[#This Row],[Preferred Last name]]="","",COUNTIFS($N$1:$ZZ$1,"*"&amp;CHAR(10)&amp;"Stanine",$N28:$ZZ28,"&gt;=1"))</f>
        <v>4</v>
      </c>
      <c r="L28" s="68">
        <f>IFERROR(AVERAGEIF($N$1:$ZZ$1,"*"&amp;CHAR(10)&amp;"Stanine",$N28:$ZZ28),"")</f>
        <v>5.75</v>
      </c>
      <c r="M28" s="69">
        <f>IF(AND(ISNUMBER(tblY8[[#This Row],[Mean Stanine]]),ISNUMBER(tblY8[[#This Row],[Avg KS2 Band]])),tblY8[[#This Row],[Mean Stanine]]-tblY8[[#This Row],[Avg KS2 Band]],"")</f>
        <v>-0.25</v>
      </c>
      <c r="N28" s="66" t="n">
        <v>18</v>
      </c>
      <c r="O2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28" s="66" t="n">
        <v>16</v>
      </c>
      <c r="Q28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28" s="66" t="n">
        <v>21</v>
      </c>
      <c r="S2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28" s="66" t="n">
        <v>13</v>
      </c>
      <c r="U2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28" s="66" t="n"/>
      <c r="W28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29">
      <c r="A29" s="65" t="inlineStr">
        <is>
          <t>X905113644920</t>
        </is>
      </c>
      <c r="B29" s="65" t="inlineStr">
        <is>
          <t>Fletcher</t>
        </is>
      </c>
      <c r="C29" s="65" t="inlineStr">
        <is>
          <t>Amelia</t>
        </is>
      </c>
      <c r="D29" s="66" t="inlineStr">
        <is>
          <t>F</t>
        </is>
      </c>
      <c r="E29" s="66" t="inlineStr">
        <is>
          <t>N</t>
        </is>
      </c>
      <c r="F29" s="66" t="inlineStr">
        <is>
          <t>Y</t>
        </is>
      </c>
      <c r="G29" s="34" t="n">
        <v>97.90000000000001</v>
      </c>
      <c r="H29" s="34" t="n">
        <v>104.5</v>
      </c>
      <c r="I29" s="67">
        <f>IF(ISNUMBER(tblY8[[#This Row],[Avg KS2]]),IFERROR(VLOOKUP(STANDARDIZE(tblY8[[#This Row],[Avg KS2]],AVERAGE(tblY8[[Avg KS2]]),_xlfn.STDEV.P(tblY8[[Avg KS2]])),_Stanine,2),5),"")</f>
        <v>5</v>
      </c>
      <c r="J29" s="66" t="inlineStr">
        <is>
          <t>8A/Sc2</t>
        </is>
      </c>
      <c r="K29" s="67">
        <f>IF(tblY8[[#This Row],[Preferred Last name]]="","",COUNTIFS($N$1:$ZZ$1,"*"&amp;CHAR(10)&amp;"Stanine",$N29:$ZZ29,"&gt;=1"))</f>
        <v>4</v>
      </c>
      <c r="L29" s="68">
        <f>IFERROR(AVERAGEIF($N$1:$ZZ$1,"*"&amp;CHAR(10)&amp;"Stanine",$N29:$ZZ29),"")</f>
        <v>4</v>
      </c>
      <c r="M29" s="69">
        <f>IF(AND(ISNUMBER(tblY8[[#This Row],[Mean Stanine]]),ISNUMBER(tblY8[[#This Row],[Avg KS2 Band]])),tblY8[[#This Row],[Mean Stanine]]-tblY8[[#This Row],[Avg KS2 Band]],"")</f>
        <v>-1</v>
      </c>
      <c r="N29" s="66" t="n">
        <v>8</v>
      </c>
      <c r="O2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29" s="66" t="n">
        <v>12</v>
      </c>
      <c r="Q29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29" s="66" t="n">
        <v>16</v>
      </c>
      <c r="S2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29" s="66" t="inlineStr">
        <is>
          <t>A</t>
        </is>
      </c>
      <c r="U29" s="67" t="str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/>
      </c>
      <c r="V29" s="66" t="n">
        <v>10</v>
      </c>
      <c r="W29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30">
      <c r="A30" s="65" t="inlineStr">
        <is>
          <t>X905641776643</t>
        </is>
      </c>
      <c r="B30" s="65" t="inlineStr">
        <is>
          <t>Fletcher</t>
        </is>
      </c>
      <c r="C30" s="65" t="inlineStr">
        <is>
          <t>Arthur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90.5</v>
      </c>
      <c r="H30" s="34" t="n">
        <v>107.5</v>
      </c>
      <c r="I30" s="67">
        <f>IF(ISNUMBER(tblY8[[#This Row],[Avg KS2]]),IFERROR(VLOOKUP(STANDARDIZE(tblY8[[#This Row],[Avg KS2]],AVERAGE(tblY8[[Avg KS2]]),_xlfn.STDEV.P(tblY8[[Avg KS2]])),_Stanine,2),5),"")</f>
        <v>6</v>
      </c>
      <c r="J30" s="66" t="inlineStr">
        <is>
          <t>8A/Sc3</t>
        </is>
      </c>
      <c r="K30" s="67">
        <f>IF(tblY8[[#This Row],[Preferred Last name]]="","",COUNTIFS($N$1:$ZZ$1,"*"&amp;CHAR(10)&amp;"Stanine",$N30:$ZZ30,"&gt;=1"))</f>
        <v>3</v>
      </c>
      <c r="L30" s="68">
        <f>IFERROR(AVERAGEIF($N$1:$ZZ$1,"*"&amp;CHAR(10)&amp;"Stanine",$N30:$ZZ30),"")</f>
        <v>7.33333333333333</v>
      </c>
      <c r="M30" s="69">
        <f>IF(AND(ISNUMBER(tblY8[[#This Row],[Mean Stanine]]),ISNUMBER(tblY8[[#This Row],[Avg KS2 Band]])),tblY8[[#This Row],[Mean Stanine]]-tblY8[[#This Row],[Avg KS2 Band]],"")</f>
        <v>1.33333333333333</v>
      </c>
      <c r="N30" s="66" t="inlineStr">
        <is>
          <t>A</t>
        </is>
      </c>
      <c r="O30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30" s="66" t="n">
        <v>21</v>
      </c>
      <c r="Q30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30" s="66" t="n">
        <v>24</v>
      </c>
      <c r="S3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30" s="66" t="n">
        <v>18</v>
      </c>
      <c r="U3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30" s="66" t="n"/>
      <c r="W3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31">
      <c r="A31" s="65" t="inlineStr">
        <is>
          <t>X900406350347</t>
        </is>
      </c>
      <c r="B31" s="65" t="inlineStr">
        <is>
          <t>Fletcher</t>
        </is>
      </c>
      <c r="C31" s="65" t="inlineStr">
        <is>
          <t>Hollie</t>
        </is>
      </c>
      <c r="D31" s="66" t="inlineStr">
        <is>
          <t>M</t>
        </is>
      </c>
      <c r="E31" s="66" t="inlineStr">
        <is>
          <t>N</t>
        </is>
      </c>
      <c r="F31" s="66" t="inlineStr">
        <is>
          <t>Y</t>
        </is>
      </c>
      <c r="G31" s="34" t="n">
        <v>93.90000000000001</v>
      </c>
      <c r="H31" s="34" t="n">
        <v>103.5</v>
      </c>
      <c r="I31" s="67">
        <f>IF(ISNUMBER(tblY8[[#This Row],[Avg KS2]]),IFERROR(VLOOKUP(STANDARDIZE(tblY8[[#This Row],[Avg KS2]],AVERAGE(tblY8[[Avg KS2]]),_xlfn.STDEV.P(tblY8[[Avg KS2]])),_Stanine,2),5),"")</f>
        <v>4</v>
      </c>
      <c r="J31" s="66" t="inlineStr">
        <is>
          <t>8A/Sc3</t>
        </is>
      </c>
      <c r="K31" s="67">
        <f>IF(tblY8[[#This Row],[Preferred Last name]]="","",COUNTIFS($N$1:$ZZ$1,"*"&amp;CHAR(10)&amp;"Stanine",$N31:$ZZ31,"&gt;=1"))</f>
        <v>4</v>
      </c>
      <c r="L31" s="68">
        <f>IFERROR(AVERAGEIF($N$1:$ZZ$1,"*"&amp;CHAR(10)&amp;"Stanine",$N31:$ZZ31),"")</f>
        <v>4.25</v>
      </c>
      <c r="M31" s="69">
        <f>IF(AND(ISNUMBER(tblY8[[#This Row],[Mean Stanine]]),ISNUMBER(tblY8[[#This Row],[Avg KS2 Band]])),tblY8[[#This Row],[Mean Stanine]]-tblY8[[#This Row],[Avg KS2 Band]],"")</f>
        <v>0.25</v>
      </c>
      <c r="N31" s="66" t="n">
        <v>15</v>
      </c>
      <c r="O3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31" s="66" t="n">
        <v>13</v>
      </c>
      <c r="Q31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31" s="66" t="n">
        <v>14</v>
      </c>
      <c r="S3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31" s="66" t="n">
        <v>9</v>
      </c>
      <c r="U3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31" s="66" t="n"/>
      <c r="W31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32">
      <c r="A32" s="65" t="inlineStr">
        <is>
          <t>X905823282685</t>
        </is>
      </c>
      <c r="B32" s="65" t="inlineStr">
        <is>
          <t>Green</t>
        </is>
      </c>
      <c r="C32" s="65" t="inlineStr">
        <is>
          <t>Maisie</t>
        </is>
      </c>
      <c r="D32" s="66" t="inlineStr">
        <is>
          <t>F</t>
        </is>
      </c>
      <c r="E32" s="66" t="inlineStr">
        <is>
          <t>K</t>
        </is>
      </c>
      <c r="F32" s="66" t="inlineStr">
        <is>
          <t>N</t>
        </is>
      </c>
      <c r="G32" s="34" t="n">
        <v>86.8</v>
      </c>
      <c r="H32" s="34" t="n">
        <v>103.5</v>
      </c>
      <c r="I32" s="67">
        <f>IF(ISNUMBER(tblY8[[#This Row],[Avg KS2]]),IFERROR(VLOOKUP(STANDARDIZE(tblY8[[#This Row],[Avg KS2]],AVERAGE(tblY8[[Avg KS2]]),_xlfn.STDEV.P(tblY8[[Avg KS2]])),_Stanine,2),5),"")</f>
        <v>4</v>
      </c>
      <c r="J32" s="66" t="inlineStr">
        <is>
          <t>8A/Sc2</t>
        </is>
      </c>
      <c r="K32" s="67">
        <f>IF(tblY8[[#This Row],[Preferred Last name]]="","",COUNTIFS($N$1:$ZZ$1,"*"&amp;CHAR(10)&amp;"Stanine",$N32:$ZZ32,"&gt;=1"))</f>
        <v>4</v>
      </c>
      <c r="L32" s="68">
        <f>IFERROR(AVERAGEIF($N$1:$ZZ$1,"*"&amp;CHAR(10)&amp;"Stanine",$N32:$ZZ32),"")</f>
        <v>5</v>
      </c>
      <c r="M32" s="69">
        <f>IF(AND(ISNUMBER(tblY8[[#This Row],[Mean Stanine]]),ISNUMBER(tblY8[[#This Row],[Avg KS2 Band]])),tblY8[[#This Row],[Mean Stanine]]-tblY8[[#This Row],[Avg KS2 Band]],"")</f>
        <v>1</v>
      </c>
      <c r="N32" s="66" t="inlineStr">
        <is>
          <t>A</t>
        </is>
      </c>
      <c r="O32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32" s="66" t="n">
        <v>11</v>
      </c>
      <c r="Q32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32" s="66" t="n">
        <v>17</v>
      </c>
      <c r="S3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32" s="66" t="n">
        <v>14</v>
      </c>
      <c r="U3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32" s="66" t="n">
        <v>12</v>
      </c>
      <c r="W32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  <row r="33">
      <c r="A33" s="65" t="inlineStr">
        <is>
          <t>X903620724000</t>
        </is>
      </c>
      <c r="B33" s="65" t="inlineStr">
        <is>
          <t>Green</t>
        </is>
      </c>
      <c r="C33" s="65" t="inlineStr">
        <is>
          <t>Megan</t>
        </is>
      </c>
      <c r="D33" s="66" t="inlineStr">
        <is>
          <t>M</t>
        </is>
      </c>
      <c r="E33" s="66" t="inlineStr">
        <is>
          <t>K</t>
        </is>
      </c>
      <c r="F33" s="66" t="inlineStr">
        <is>
          <t>Y</t>
        </is>
      </c>
      <c r="G33" s="34" t="n">
        <v>99.3</v>
      </c>
      <c r="H33" s="34" t="n">
        <v>97.5</v>
      </c>
      <c r="I33" s="67">
        <f>IF(ISNUMBER(tblY8[[#This Row],[Avg KS2]]),IFERROR(VLOOKUP(STANDARDIZE(tblY8[[#This Row],[Avg KS2]],AVERAGE(tblY8[[Avg KS2]]),_xlfn.STDEV.P(tblY8[[Avg KS2]])),_Stanine,2),5),"")</f>
        <v>2</v>
      </c>
      <c r="J33" s="66" t="inlineStr">
        <is>
          <t>8A/Sc2</t>
        </is>
      </c>
      <c r="K33" s="67">
        <f>IF(tblY8[[#This Row],[Preferred Last name]]="","",COUNTIFS($N$1:$ZZ$1,"*"&amp;CHAR(10)&amp;"Stanine",$N33:$ZZ33,"&gt;=1"))</f>
        <v>4</v>
      </c>
      <c r="L33" s="68">
        <f>IFERROR(AVERAGEIF($N$1:$ZZ$1,"*"&amp;CHAR(10)&amp;"Stanine",$N33:$ZZ33),"")</f>
        <v>3.5</v>
      </c>
      <c r="M33" s="69">
        <f>IF(AND(ISNUMBER(tblY8[[#This Row],[Mean Stanine]]),ISNUMBER(tblY8[[#This Row],[Avg KS2 Band]])),tblY8[[#This Row],[Mean Stanine]]-tblY8[[#This Row],[Avg KS2 Band]],"")</f>
        <v>1.5</v>
      </c>
      <c r="N33" s="66" t="n">
        <v>12</v>
      </c>
      <c r="O3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33" s="66" t="n">
        <v>10</v>
      </c>
      <c r="Q33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33" s="66" t="n">
        <v>14</v>
      </c>
      <c r="S3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33" s="66" t="inlineStr">
        <is>
          <t>A</t>
        </is>
      </c>
      <c r="U33" s="67" t="str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/>
      </c>
      <c r="V33" s="66" t="n">
        <v>7</v>
      </c>
      <c r="W33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34">
      <c r="A34" s="65" t="inlineStr">
        <is>
          <t>X905935880793</t>
        </is>
      </c>
      <c r="B34" s="65" t="inlineStr">
        <is>
          <t>Green</t>
        </is>
      </c>
      <c r="C34" s="65" t="inlineStr">
        <is>
          <t>Priya</t>
        </is>
      </c>
      <c r="D34" s="66" t="inlineStr">
        <is>
          <t>F</t>
        </is>
      </c>
      <c r="E34" s="66" t="inlineStr">
        <is>
          <t>N</t>
        </is>
      </c>
      <c r="F34" s="66" t="inlineStr">
        <is>
          <t>N</t>
        </is>
      </c>
      <c r="G34" s="34" t="n">
        <v>86.5</v>
      </c>
      <c r="H34" s="34" t="n">
        <v>109</v>
      </c>
      <c r="I34" s="67">
        <f>IF(ISNUMBER(tblY8[[#This Row],[Avg KS2]]),IFERROR(VLOOKUP(STANDARDIZE(tblY8[[#This Row],[Avg KS2]],AVERAGE(tblY8[[Avg KS2]]),_xlfn.STDEV.P(tblY8[[Avg KS2]])),_Stanine,2),5),"")</f>
        <v>6</v>
      </c>
      <c r="J34" s="66" t="inlineStr">
        <is>
          <t>8A/Sc1</t>
        </is>
      </c>
      <c r="K34" s="67">
        <f>IF(tblY8[[#This Row],[Preferred Last name]]="","",COUNTIFS($N$1:$ZZ$1,"*"&amp;CHAR(10)&amp;"Stanine",$N34:$ZZ34,"&gt;=1"))</f>
        <v>5</v>
      </c>
      <c r="L34" s="68">
        <f>IFERROR(AVERAGEIF($N$1:$ZZ$1,"*"&amp;CHAR(10)&amp;"Stanine",$N34:$ZZ34),"")</f>
        <v>7.4</v>
      </c>
      <c r="M34" s="69">
        <f>IF(AND(ISNUMBER(tblY8[[#This Row],[Mean Stanine]]),ISNUMBER(tblY8[[#This Row],[Avg KS2 Band]])),tblY8[[#This Row],[Mean Stanine]]-tblY8[[#This Row],[Avg KS2 Band]],"")</f>
        <v>1.4</v>
      </c>
      <c r="N34" s="66" t="n">
        <v>24</v>
      </c>
      <c r="O3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34" s="66" t="n">
        <v>21</v>
      </c>
      <c r="Q34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34" s="66" t="n">
        <v>22</v>
      </c>
      <c r="S3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34" s="66" t="n">
        <v>19</v>
      </c>
      <c r="U3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34" s="66" t="n">
        <v>19</v>
      </c>
      <c r="W34" s="67">
        <f>IF(ISNUMBER(tblY8[[#This Row],[8P02 - Light
Raw Score]]),IFERROR(VLOOKUP(STANDARDIZE(tblY8[[#This Row],[8P02 - Light
Raw Score]],AVERAGE(tblY8[[8P02 - Light
Raw Score]]),_xlfn.STDEV.P(tblY8[[8P02 - Light
Raw Score]])),_Stanine,2),5),"")</f>
        <v>8</v>
      </c>
    </row>
    <row r="35">
      <c r="A35" s="65" t="inlineStr">
        <is>
          <t>X908229435478</t>
        </is>
      </c>
      <c r="B35" s="65" t="inlineStr">
        <is>
          <t>Green</t>
        </is>
      </c>
      <c r="C35" s="65" t="inlineStr">
        <is>
          <t>Tomasz</t>
        </is>
      </c>
      <c r="D35" s="66" t="inlineStr">
        <is>
          <t>F</t>
        </is>
      </c>
      <c r="E35" s="66" t="inlineStr">
        <is>
          <t>N</t>
        </is>
      </c>
      <c r="F35" s="66" t="inlineStr">
        <is>
          <t>N</t>
        </is>
      </c>
      <c r="G35" s="34" t="n">
        <v>95.7</v>
      </c>
      <c r="H35" s="34" t="n">
        <v>103.5</v>
      </c>
      <c r="I35" s="67">
        <f>IF(ISNUMBER(tblY8[[#This Row],[Avg KS2]]),IFERROR(VLOOKUP(STANDARDIZE(tblY8[[#This Row],[Avg KS2]],AVERAGE(tblY8[[Avg KS2]]),_xlfn.STDEV.P(tblY8[[Avg KS2]])),_Stanine,2),5),"")</f>
        <v>4</v>
      </c>
      <c r="J35" s="66" t="inlineStr">
        <is>
          <t>8A/Sc2</t>
        </is>
      </c>
      <c r="K35" s="67">
        <f>IF(tblY8[[#This Row],[Preferred Last name]]="","",COUNTIFS($N$1:$ZZ$1,"*"&amp;CHAR(10)&amp;"Stanine",$N35:$ZZ35,"&gt;=1"))</f>
        <v>4</v>
      </c>
      <c r="L35" s="68">
        <f>IFERROR(AVERAGEIF($N$1:$ZZ$1,"*"&amp;CHAR(10)&amp;"Stanine",$N35:$ZZ35),"")</f>
        <v>4.25</v>
      </c>
      <c r="M35" s="69">
        <f>IF(AND(ISNUMBER(tblY8[[#This Row],[Mean Stanine]]),ISNUMBER(tblY8[[#This Row],[Avg KS2 Band]])),tblY8[[#This Row],[Mean Stanine]]-tblY8[[#This Row],[Avg KS2 Band]],"")</f>
        <v>0.25</v>
      </c>
      <c r="N35" s="66" t="inlineStr">
        <is>
          <t>A</t>
        </is>
      </c>
      <c r="O35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35" s="66" t="n">
        <v>13</v>
      </c>
      <c r="Q35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35" s="66" t="n">
        <v>17</v>
      </c>
      <c r="S3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35" s="66" t="n">
        <v>11</v>
      </c>
      <c r="U3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35" s="66" t="n">
        <v>8</v>
      </c>
      <c r="W35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36">
      <c r="A36" s="65" t="inlineStr">
        <is>
          <t>X903365278336</t>
        </is>
      </c>
      <c r="B36" s="65" t="inlineStr">
        <is>
          <t>Griffiths</t>
        </is>
      </c>
      <c r="C36" s="65" t="inlineStr">
        <is>
          <t>Keira</t>
        </is>
      </c>
      <c r="D36" s="66" t="inlineStr">
        <is>
          <t>F</t>
        </is>
      </c>
      <c r="E36" s="66" t="inlineStr">
        <is>
          <t>N</t>
        </is>
      </c>
      <c r="F36" s="66" t="inlineStr">
        <is>
          <t>N</t>
        </is>
      </c>
      <c r="G36" s="34" t="n">
        <v>100</v>
      </c>
      <c r="H36" s="34" t="n">
        <v>103.5</v>
      </c>
      <c r="I36" s="67">
        <f>IF(ISNUMBER(tblY8[[#This Row],[Avg KS2]]),IFERROR(VLOOKUP(STANDARDIZE(tblY8[[#This Row],[Avg KS2]],AVERAGE(tblY8[[Avg KS2]]),_xlfn.STDEV.P(tblY8[[Avg KS2]])),_Stanine,2),5),"")</f>
        <v>4</v>
      </c>
      <c r="J36" s="66" t="inlineStr">
        <is>
          <t>8A/Sc2</t>
        </is>
      </c>
      <c r="K36" s="67">
        <f>IF(tblY8[[#This Row],[Preferred Last name]]="","",COUNTIFS($N$1:$ZZ$1,"*"&amp;CHAR(10)&amp;"Stanine",$N36:$ZZ36,"&gt;=1"))</f>
        <v>5</v>
      </c>
      <c r="L36" s="68">
        <f>IFERROR(AVERAGEIF($N$1:$ZZ$1,"*"&amp;CHAR(10)&amp;"Stanine",$N36:$ZZ36),"")</f>
        <v>3</v>
      </c>
      <c r="M36" s="69">
        <f>IF(AND(ISNUMBER(tblY8[[#This Row],[Mean Stanine]]),ISNUMBER(tblY8[[#This Row],[Avg KS2 Band]])),tblY8[[#This Row],[Mean Stanine]]-tblY8[[#This Row],[Avg KS2 Band]],"")</f>
        <v>-1</v>
      </c>
      <c r="N36" s="66" t="n">
        <v>8</v>
      </c>
      <c r="O3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36" s="66" t="n">
        <v>10</v>
      </c>
      <c r="Q36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36" s="66" t="n">
        <v>12</v>
      </c>
      <c r="S3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36" s="66" t="n">
        <v>6</v>
      </c>
      <c r="U3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36" s="66" t="n">
        <v>5</v>
      </c>
      <c r="W36" s="67">
        <f>IF(ISNUMBER(tblY8[[#This Row],[8P02 - Light
Raw Score]]),IFERROR(VLOOKUP(STANDARDIZE(tblY8[[#This Row],[8P02 - Light
Raw Score]],AVERAGE(tblY8[[8P02 - Light
Raw Score]]),_xlfn.STDEV.P(tblY8[[8P02 - Light
Raw Score]])),_Stanine,2),5),"")</f>
        <v>2</v>
      </c>
    </row>
    <row r="37">
      <c r="A37" s="65" t="inlineStr">
        <is>
          <t>X903299245842</t>
        </is>
      </c>
      <c r="B37" s="65" t="inlineStr">
        <is>
          <t>Hall</t>
        </is>
      </c>
      <c r="C37" s="65" t="inlineStr">
        <is>
          <t>Rosie</t>
        </is>
      </c>
      <c r="D37" s="66" t="inlineStr">
        <is>
          <t>M</t>
        </is>
      </c>
      <c r="E37" s="66" t="inlineStr">
        <is>
          <t>N</t>
        </is>
      </c>
      <c r="F37" s="66" t="inlineStr">
        <is>
          <t>N</t>
        </is>
      </c>
      <c r="G37" s="34" t="n">
        <v>90.2</v>
      </c>
      <c r="H37" s="34" t="n">
        <v>102.5</v>
      </c>
      <c r="I37" s="67">
        <f>IF(ISNUMBER(tblY8[[#This Row],[Avg KS2]]),IFERROR(VLOOKUP(STANDARDIZE(tblY8[[#This Row],[Avg KS2]],AVERAGE(tblY8[[Avg KS2]]),_xlfn.STDEV.P(tblY8[[Avg KS2]])),_Stanine,2),5),"")</f>
        <v>4</v>
      </c>
      <c r="J37" s="66" t="inlineStr">
        <is>
          <t>8A/Sc3</t>
        </is>
      </c>
      <c r="K37" s="67">
        <f>IF(tblY8[[#This Row],[Preferred Last name]]="","",COUNTIFS($N$1:$ZZ$1,"*"&amp;CHAR(10)&amp;"Stanine",$N37:$ZZ37,"&gt;=1"))</f>
        <v>3</v>
      </c>
      <c r="L37" s="68">
        <f>IFERROR(AVERAGEIF($N$1:$ZZ$1,"*"&amp;CHAR(10)&amp;"Stanine",$N37:$ZZ37),"")</f>
        <v>4.66666666666667</v>
      </c>
      <c r="M37" s="69">
        <f>IF(AND(ISNUMBER(tblY8[[#This Row],[Mean Stanine]]),ISNUMBER(tblY8[[#This Row],[Avg KS2 Band]])),tblY8[[#This Row],[Mean Stanine]]-tblY8[[#This Row],[Avg KS2 Band]],"")</f>
        <v>0.666666666666667</v>
      </c>
      <c r="N37" s="66" t="n">
        <v>16</v>
      </c>
      <c r="O3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37" s="66" t="n">
        <v>13</v>
      </c>
      <c r="Q37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37" s="66" t="n">
        <v>16</v>
      </c>
      <c r="S3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37" s="66" t="inlineStr">
        <is>
          <t>A</t>
        </is>
      </c>
      <c r="U37" s="67" t="str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/>
      </c>
      <c r="V37" s="66" t="n"/>
      <c r="W37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38">
      <c r="A38" s="65" t="inlineStr">
        <is>
          <t>X900130714211</t>
        </is>
      </c>
      <c r="B38" s="65" t="inlineStr">
        <is>
          <t>Harrison</t>
        </is>
      </c>
      <c r="C38" s="65" t="inlineStr">
        <is>
          <t>Hannah</t>
        </is>
      </c>
      <c r="D38" s="66" t="inlineStr">
        <is>
          <t>M</t>
        </is>
      </c>
      <c r="E38" s="66" t="inlineStr">
        <is>
          <t>N</t>
        </is>
      </c>
      <c r="F38" s="66" t="inlineStr">
        <is>
          <t>N</t>
        </is>
      </c>
      <c r="G38" s="34" t="n">
        <v>100</v>
      </c>
      <c r="H38" s="34" t="n">
        <v>107</v>
      </c>
      <c r="I38" s="67">
        <f>IF(ISNUMBER(tblY8[[#This Row],[Avg KS2]]),IFERROR(VLOOKUP(STANDARDIZE(tblY8[[#This Row],[Avg KS2]],AVERAGE(tblY8[[Avg KS2]]),_xlfn.STDEV.P(tblY8[[Avg KS2]])),_Stanine,2),5),"")</f>
        <v>6</v>
      </c>
      <c r="J38" s="66" t="inlineStr">
        <is>
          <t>8A/Sc1</t>
        </is>
      </c>
      <c r="K38" s="67">
        <f>IF(tblY8[[#This Row],[Preferred Last name]]="","",COUNTIFS($N$1:$ZZ$1,"*"&amp;CHAR(10)&amp;"Stanine",$N38:$ZZ38,"&gt;=1"))</f>
        <v>5</v>
      </c>
      <c r="L38" s="68">
        <f>IFERROR(AVERAGEIF($N$1:$ZZ$1,"*"&amp;CHAR(10)&amp;"Stanine",$N38:$ZZ38),"")</f>
        <v>7.4</v>
      </c>
      <c r="M38" s="69">
        <f>IF(AND(ISNUMBER(tblY8[[#This Row],[Mean Stanine]]),ISNUMBER(tblY8[[#This Row],[Avg KS2 Band]])),tblY8[[#This Row],[Mean Stanine]]-tblY8[[#This Row],[Avg KS2 Band]],"")</f>
        <v>1.4</v>
      </c>
      <c r="N38" s="66" t="n">
        <v>24</v>
      </c>
      <c r="O3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38" s="66" t="n">
        <v>19</v>
      </c>
      <c r="Q38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38" s="66" t="n">
        <v>25</v>
      </c>
      <c r="S3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38" s="66" t="n">
        <v>19</v>
      </c>
      <c r="U3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38" s="66" t="n">
        <v>17</v>
      </c>
      <c r="W38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39">
      <c r="A39" s="65" t="inlineStr">
        <is>
          <t>X903851187143</t>
        </is>
      </c>
      <c r="B39" s="65" t="inlineStr">
        <is>
          <t>Hussain</t>
        </is>
      </c>
      <c r="C39" s="65" t="inlineStr">
        <is>
          <t>Evie</t>
        </is>
      </c>
      <c r="D39" s="66" t="inlineStr">
        <is>
          <t>F</t>
        </is>
      </c>
      <c r="E39" s="66" t="inlineStr">
        <is>
          <t>N</t>
        </is>
      </c>
      <c r="F39" s="66" t="inlineStr">
        <is>
          <t>N</t>
        </is>
      </c>
      <c r="G39" s="34" t="n">
        <v>99.2</v>
      </c>
      <c r="H39" s="34" t="n">
        <v>107.5</v>
      </c>
      <c r="I39" s="67">
        <f>IF(ISNUMBER(tblY8[[#This Row],[Avg KS2]]),IFERROR(VLOOKUP(STANDARDIZE(tblY8[[#This Row],[Avg KS2]],AVERAGE(tblY8[[Avg KS2]]),_xlfn.STDEV.P(tblY8[[Avg KS2]])),_Stanine,2),5),"")</f>
        <v>6</v>
      </c>
      <c r="J39" s="66" t="inlineStr">
        <is>
          <t>8A/Sc2</t>
        </is>
      </c>
      <c r="K39" s="67">
        <f>IF(tblY8[[#This Row],[Preferred Last name]]="","",COUNTIFS($N$1:$ZZ$1,"*"&amp;CHAR(10)&amp;"Stanine",$N39:$ZZ39,"&gt;=1"))</f>
        <v>4</v>
      </c>
      <c r="L39" s="68">
        <f>IFERROR(AVERAGEIF($N$1:$ZZ$1,"*"&amp;CHAR(10)&amp;"Stanine",$N39:$ZZ39),"")</f>
        <v>3</v>
      </c>
      <c r="M39" s="69">
        <f>IF(AND(ISNUMBER(tblY8[[#This Row],[Mean Stanine]]),ISNUMBER(tblY8[[#This Row],[Avg KS2 Band]])),tblY8[[#This Row],[Mean Stanine]]-tblY8[[#This Row],[Avg KS2 Band]],"")</f>
        <v>-3</v>
      </c>
      <c r="N39" s="66" t="n">
        <v>10</v>
      </c>
      <c r="O3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39" s="66" t="inlineStr">
        <is>
          <t>A</t>
        </is>
      </c>
      <c r="Q39" s="67" t="str">
        <f>IF(ISNUMBER(tblY8[[#This Row],[8P01 - Energy
Raw Score]]),IFERROR(VLOOKUP(STANDARDIZE(tblY8[[#This Row],[8P01 - Energy
Raw Score]],AVERAGE(tblY8[[8P01 - Energy
Raw Score]]),_xlfn.STDEV.P(tblY8[[8P01 - Energy
Raw Score]])),_Stanine,2),5),"")</f>
        <v/>
      </c>
      <c r="R39" s="66" t="n">
        <v>13</v>
      </c>
      <c r="S3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39" s="66" t="n">
        <v>4</v>
      </c>
      <c r="U3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2</v>
      </c>
      <c r="V39" s="66" t="n">
        <v>5</v>
      </c>
      <c r="W39" s="67">
        <f>IF(ISNUMBER(tblY8[[#This Row],[8P02 - Light
Raw Score]]),IFERROR(VLOOKUP(STANDARDIZE(tblY8[[#This Row],[8P02 - Light
Raw Score]],AVERAGE(tblY8[[8P02 - Light
Raw Score]]),_xlfn.STDEV.P(tblY8[[8P02 - Light
Raw Score]])),_Stanine,2),5),"")</f>
        <v>2</v>
      </c>
    </row>
    <row r="40">
      <c r="A40" s="65" t="inlineStr">
        <is>
          <t>X909251578332</t>
        </is>
      </c>
      <c r="B40" s="65" t="inlineStr">
        <is>
          <t>Hussain</t>
        </is>
      </c>
      <c r="C40" s="65" t="inlineStr">
        <is>
          <t>Kai</t>
        </is>
      </c>
      <c r="D40" s="66" t="inlineStr">
        <is>
          <t>M</t>
        </is>
      </c>
      <c r="E40" s="66" t="inlineStr">
        <is>
          <t>N</t>
        </is>
      </c>
      <c r="F40" s="66" t="inlineStr">
        <is>
          <t>N</t>
        </is>
      </c>
      <c r="G40" s="34" t="n">
        <v>100</v>
      </c>
      <c r="H40" s="34" t="n">
        <v>97</v>
      </c>
      <c r="I40" s="67">
        <f>IF(ISNUMBER(tblY8[[#This Row],[Avg KS2]]),IFERROR(VLOOKUP(STANDARDIZE(tblY8[[#This Row],[Avg KS2]],AVERAGE(tblY8[[Avg KS2]]),_xlfn.STDEV.P(tblY8[[Avg KS2]])),_Stanine,2),5),"")</f>
        <v>2</v>
      </c>
      <c r="J40" s="66" t="inlineStr">
        <is>
          <t>8A/Sc4</t>
        </is>
      </c>
      <c r="K40" s="67">
        <f>IF(tblY8[[#This Row],[Preferred Last name]]="","",COUNTIFS($N$1:$ZZ$1,"*"&amp;CHAR(10)&amp;"Stanine",$N40:$ZZ40,"&gt;=1"))</f>
        <v>4</v>
      </c>
      <c r="L40" s="68">
        <f>IFERROR(AVERAGEIF($N$1:$ZZ$1,"*"&amp;CHAR(10)&amp;"Stanine",$N40:$ZZ40),"")</f>
        <v>1.75</v>
      </c>
      <c r="M40" s="69">
        <f>IF(AND(ISNUMBER(tblY8[[#This Row],[Mean Stanine]]),ISNUMBER(tblY8[[#This Row],[Avg KS2 Band]])),tblY8[[#This Row],[Mean Stanine]]-tblY8[[#This Row],[Avg KS2 Band]],"")</f>
        <v>-0.25</v>
      </c>
      <c r="N40" s="66" t="n">
        <v>4</v>
      </c>
      <c r="O4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40" s="66" t="n">
        <v>3</v>
      </c>
      <c r="Q40" s="67">
        <f>IF(ISNUMBER(tblY8[[#This Row],[8P01 - Energy
Raw Score]]),IFERROR(VLOOKUP(STANDARDIZE(tblY8[[#This Row],[8P01 - Energy
Raw Score]],AVERAGE(tblY8[[8P01 - Energy
Raw Score]]),_xlfn.STDEV.P(tblY8[[8P01 - Energy
Raw Score]])),_Stanine,2),5),"")</f>
        <v>1</v>
      </c>
      <c r="R40" s="66" t="n">
        <v>6</v>
      </c>
      <c r="S4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40" s="66" t="n">
        <v>3</v>
      </c>
      <c r="U4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2</v>
      </c>
      <c r="V40" s="66" t="n"/>
      <c r="W4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41">
      <c r="A41" s="65" t="inlineStr">
        <is>
          <t>X909704646513</t>
        </is>
      </c>
      <c r="B41" s="65" t="inlineStr">
        <is>
          <t>Jackson</t>
        </is>
      </c>
      <c r="C41" s="65" t="inlineStr">
        <is>
          <t>Freya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N</t>
        </is>
      </c>
      <c r="G41" s="34" t="n">
        <v>90.8</v>
      </c>
      <c r="H41" s="34" t="n">
        <v>106</v>
      </c>
      <c r="I41" s="67">
        <f>IF(ISNUMBER(tblY8[[#This Row],[Avg KS2]]),IFERROR(VLOOKUP(STANDARDIZE(tblY8[[#This Row],[Avg KS2]],AVERAGE(tblY8[[Avg KS2]]),_xlfn.STDEV.P(tblY8[[Avg KS2]])),_Stanine,2),5),"")</f>
        <v>5</v>
      </c>
      <c r="J41" s="66" t="inlineStr">
        <is>
          <t>8A/Sc4</t>
        </is>
      </c>
      <c r="K41" s="67">
        <f>IF(tblY8[[#This Row],[Preferred Last name]]="","",COUNTIFS($N$1:$ZZ$1,"*"&amp;CHAR(10)&amp;"Stanine",$N41:$ZZ41,"&gt;=1"))</f>
        <v>4</v>
      </c>
      <c r="L41" s="68">
        <f>IFERROR(AVERAGEIF($N$1:$ZZ$1,"*"&amp;CHAR(10)&amp;"Stanine",$N41:$ZZ41),"")</f>
        <v>5.75</v>
      </c>
      <c r="M41" s="69">
        <f>IF(AND(ISNUMBER(tblY8[[#This Row],[Mean Stanine]]),ISNUMBER(tblY8[[#This Row],[Avg KS2 Band]])),tblY8[[#This Row],[Mean Stanine]]-tblY8[[#This Row],[Avg KS2 Band]],"")</f>
        <v>0.75</v>
      </c>
      <c r="N41" s="66" t="n">
        <v>12</v>
      </c>
      <c r="O4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41" s="66" t="n">
        <v>20</v>
      </c>
      <c r="Q41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41" s="66" t="n">
        <v>19</v>
      </c>
      <c r="S4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41" s="66" t="n">
        <v>14</v>
      </c>
      <c r="U4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41" s="66" t="n"/>
      <c r="W41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42">
      <c r="A42" s="65" t="inlineStr">
        <is>
          <t>X909884854855</t>
        </is>
      </c>
      <c r="B42" s="65" t="inlineStr">
        <is>
          <t>Johnson</t>
        </is>
      </c>
      <c r="C42" s="65" t="inlineStr">
        <is>
          <t>Theo</t>
        </is>
      </c>
      <c r="D42" s="66" t="inlineStr">
        <is>
          <t>F</t>
        </is>
      </c>
      <c r="E42" s="66" t="inlineStr">
        <is>
          <t>N</t>
        </is>
      </c>
      <c r="F42" s="66" t="inlineStr">
        <is>
          <t>N</t>
        </is>
      </c>
      <c r="G42" s="34" t="n">
        <v>90.3</v>
      </c>
      <c r="H42" s="34" t="n">
        <v>107.5</v>
      </c>
      <c r="I42" s="67">
        <f>IF(ISNUMBER(tblY8[[#This Row],[Avg KS2]]),IFERROR(VLOOKUP(STANDARDIZE(tblY8[[#This Row],[Avg KS2]],AVERAGE(tblY8[[Avg KS2]]),_xlfn.STDEV.P(tblY8[[Avg KS2]])),_Stanine,2),5),"")</f>
        <v>6</v>
      </c>
      <c r="J42" s="66" t="inlineStr">
        <is>
          <t>8A/Sc2</t>
        </is>
      </c>
      <c r="K42" s="67">
        <f>IF(tblY8[[#This Row],[Preferred Last name]]="","",COUNTIFS($N$1:$ZZ$1,"*"&amp;CHAR(10)&amp;"Stanine",$N42:$ZZ42,"&gt;=1"))</f>
        <v>5</v>
      </c>
      <c r="L42" s="68">
        <f>IFERROR(AVERAGEIF($N$1:$ZZ$1,"*"&amp;CHAR(10)&amp;"Stanine",$N42:$ZZ42),"")</f>
        <v>5.8</v>
      </c>
      <c r="M42" s="69">
        <f>IF(AND(ISNUMBER(tblY8[[#This Row],[Mean Stanine]]),ISNUMBER(tblY8[[#This Row],[Avg KS2 Band]])),tblY8[[#This Row],[Mean Stanine]]-tblY8[[#This Row],[Avg KS2 Band]],"")</f>
        <v>-0.2</v>
      </c>
      <c r="N42" s="66" t="n">
        <v>16</v>
      </c>
      <c r="O4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42" s="66" t="n">
        <v>18</v>
      </c>
      <c r="Q42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42" s="66" t="n">
        <v>18</v>
      </c>
      <c r="S4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42" s="66" t="n">
        <v>15</v>
      </c>
      <c r="U4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42" s="66" t="n">
        <v>15</v>
      </c>
      <c r="W42" s="67">
        <f>IF(ISNUMBER(tblY8[[#This Row],[8P02 - Light
Raw Score]]),IFERROR(VLOOKUP(STANDARDIZE(tblY8[[#This Row],[8P02 - Light
Raw Score]],AVERAGE(tblY8[[8P02 - Light
Raw Score]]),_xlfn.STDEV.P(tblY8[[8P02 - Light
Raw Score]])),_Stanine,2),5),"")</f>
        <v>6</v>
      </c>
    </row>
    <row r="43">
      <c r="A43" s="65" t="inlineStr">
        <is>
          <t>X904851870049</t>
        </is>
      </c>
      <c r="B43" s="65" t="inlineStr">
        <is>
          <t>Jones</t>
        </is>
      </c>
      <c r="C43" s="65" t="inlineStr">
        <is>
          <t>Aisha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Y</t>
        </is>
      </c>
      <c r="G43" s="34" t="n">
        <v>84.40000000000001</v>
      </c>
      <c r="H43" s="34" t="n">
        <v>100.5</v>
      </c>
      <c r="I43" s="67">
        <f>IF(ISNUMBER(tblY8[[#This Row],[Avg KS2]]),IFERROR(VLOOKUP(STANDARDIZE(tblY8[[#This Row],[Avg KS2]],AVERAGE(tblY8[[Avg KS2]]),_xlfn.STDEV.P(tblY8[[Avg KS2]])),_Stanine,2),5),"")</f>
        <v>3</v>
      </c>
      <c r="J43" s="66" t="inlineStr">
        <is>
          <t>8A/Sc4</t>
        </is>
      </c>
      <c r="K43" s="67">
        <f>IF(tblY8[[#This Row],[Preferred Last name]]="","",COUNTIFS($N$1:$ZZ$1,"*"&amp;CHAR(10)&amp;"Stanine",$N43:$ZZ43,"&gt;=1"))</f>
        <v>3</v>
      </c>
      <c r="L43" s="68">
        <f>IFERROR(AVERAGEIF($N$1:$ZZ$1,"*"&amp;CHAR(10)&amp;"Stanine",$N43:$ZZ43),"")</f>
        <v>2.33333333333333</v>
      </c>
      <c r="M43" s="69">
        <f>IF(AND(ISNUMBER(tblY8[[#This Row],[Mean Stanine]]),ISNUMBER(tblY8[[#This Row],[Avg KS2 Band]])),tblY8[[#This Row],[Mean Stanine]]-tblY8[[#This Row],[Avg KS2 Band]],"")</f>
        <v>-0.666666666666667</v>
      </c>
      <c r="N43" s="66" t="n">
        <v>5</v>
      </c>
      <c r="O4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43" s="66" t="n">
        <v>8</v>
      </c>
      <c r="Q43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43" s="66" t="n">
        <v>11</v>
      </c>
      <c r="S4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43" s="66" t="inlineStr">
        <is>
          <t>A</t>
        </is>
      </c>
      <c r="U43" s="67" t="str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/>
      </c>
      <c r="V43" s="66" t="n"/>
      <c r="W43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44">
      <c r="A44" s="65" t="inlineStr">
        <is>
          <t>X900358407907</t>
        </is>
      </c>
      <c r="B44" s="65" t="inlineStr">
        <is>
          <t>Jones</t>
        </is>
      </c>
      <c r="C44" s="65" t="inlineStr">
        <is>
          <t>Zara</t>
        </is>
      </c>
      <c r="D44" s="66" t="inlineStr">
        <is>
          <t>F</t>
        </is>
      </c>
      <c r="E44" s="66" t="inlineStr">
        <is>
          <t>N</t>
        </is>
      </c>
      <c r="F44" s="66" t="inlineStr">
        <is>
          <t>N</t>
        </is>
      </c>
      <c r="G44" s="34" t="n">
        <v>87.2</v>
      </c>
      <c r="H44" s="34" t="n">
        <v>106</v>
      </c>
      <c r="I44" s="67">
        <f>IF(ISNUMBER(tblY8[[#This Row],[Avg KS2]]),IFERROR(VLOOKUP(STANDARDIZE(tblY8[[#This Row],[Avg KS2]],AVERAGE(tblY8[[Avg KS2]]),_xlfn.STDEV.P(tblY8[[Avg KS2]])),_Stanine,2),5),"")</f>
        <v>5</v>
      </c>
      <c r="J44" s="66" t="inlineStr">
        <is>
          <t>8A/Sc1</t>
        </is>
      </c>
      <c r="K44" s="67">
        <f>IF(tblY8[[#This Row],[Preferred Last name]]="","",COUNTIFS($N$1:$ZZ$1,"*"&amp;CHAR(10)&amp;"Stanine",$N44:$ZZ44,"&gt;=1"))</f>
        <v>4</v>
      </c>
      <c r="L44" s="68">
        <f>IFERROR(AVERAGEIF($N$1:$ZZ$1,"*"&amp;CHAR(10)&amp;"Stanine",$N44:$ZZ44),"")</f>
        <v>5.25</v>
      </c>
      <c r="M44" s="69">
        <f>IF(AND(ISNUMBER(tblY8[[#This Row],[Mean Stanine]]),ISNUMBER(tblY8[[#This Row],[Avg KS2 Band]])),tblY8[[#This Row],[Mean Stanine]]-tblY8[[#This Row],[Avg KS2 Band]],"")</f>
        <v>0.25</v>
      </c>
      <c r="N44" s="66" t="n">
        <v>17</v>
      </c>
      <c r="O4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44" s="66" t="inlineStr">
        <is>
          <t>A</t>
        </is>
      </c>
      <c r="Q44" s="67" t="str">
        <f>IF(ISNUMBER(tblY8[[#This Row],[8P01 - Energy
Raw Score]]),IFERROR(VLOOKUP(STANDARDIZE(tblY8[[#This Row],[8P01 - Energy
Raw Score]],AVERAGE(tblY8[[8P01 - Energy
Raw Score]]),_xlfn.STDEV.P(tblY8[[8P01 - Energy
Raw Score]])),_Stanine,2),5),"")</f>
        <v/>
      </c>
      <c r="R44" s="66" t="n">
        <v>15</v>
      </c>
      <c r="S4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44" s="66" t="n">
        <v>16</v>
      </c>
      <c r="U4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44" s="66" t="n">
        <v>10</v>
      </c>
      <c r="W44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45">
      <c r="A45" s="65" t="inlineStr">
        <is>
          <t>X901507743181</t>
        </is>
      </c>
      <c r="B45" s="65" t="inlineStr">
        <is>
          <t>Jones</t>
        </is>
      </c>
      <c r="C45" s="65" t="inlineStr">
        <is>
          <t>Zofia</t>
        </is>
      </c>
      <c r="D45" s="66" t="inlineStr">
        <is>
          <t>M</t>
        </is>
      </c>
      <c r="E45" s="66" t="n"/>
      <c r="F45" s="66" t="inlineStr">
        <is>
          <t>Y</t>
        </is>
      </c>
      <c r="G45" s="34" t="n">
        <v>100</v>
      </c>
      <c r="H45" s="34" t="n">
        <v>102</v>
      </c>
      <c r="I45" s="67">
        <f>IF(ISNUMBER(tblY8[[#This Row],[Avg KS2]]),IFERROR(VLOOKUP(STANDARDIZE(tblY8[[#This Row],[Avg KS2]],AVERAGE(tblY8[[Avg KS2]]),_xlfn.STDEV.P(tblY8[[Avg KS2]])),_Stanine,2),5),"")</f>
        <v>4</v>
      </c>
      <c r="J45" s="66" t="inlineStr">
        <is>
          <t>8A/Sc3</t>
        </is>
      </c>
      <c r="K45" s="67">
        <f>IF(tblY8[[#This Row],[Preferred Last name]]="","",COUNTIFS($N$1:$ZZ$1,"*"&amp;CHAR(10)&amp;"Stanine",$N45:$ZZ45,"&gt;=1"))</f>
        <v>3</v>
      </c>
      <c r="L45" s="68">
        <f>IFERROR(AVERAGEIF($N$1:$ZZ$1,"*"&amp;CHAR(10)&amp;"Stanine",$N45:$ZZ45),"")</f>
        <v>4.66666666666667</v>
      </c>
      <c r="M45" s="69">
        <f>IF(AND(ISNUMBER(tblY8[[#This Row],[Mean Stanine]]),ISNUMBER(tblY8[[#This Row],[Avg KS2 Band]])),tblY8[[#This Row],[Mean Stanine]]-tblY8[[#This Row],[Avg KS2 Band]],"")</f>
        <v>0.666666666666667</v>
      </c>
      <c r="N45" s="66" t="n">
        <v>18</v>
      </c>
      <c r="O4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45" s="66" t="n">
        <v>12</v>
      </c>
      <c r="Q45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45" s="66" t="inlineStr">
        <is>
          <t>A</t>
        </is>
      </c>
      <c r="S45" s="67" t="str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/>
      </c>
      <c r="T45" s="66" t="n">
        <v>10</v>
      </c>
      <c r="U4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45" s="66" t="n"/>
      <c r="W4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46">
      <c r="A46" s="65" t="inlineStr">
        <is>
          <t>X900116562865</t>
        </is>
      </c>
      <c r="B46" s="65" t="inlineStr">
        <is>
          <t>Kelly</t>
        </is>
      </c>
      <c r="C46" s="65" t="inlineStr">
        <is>
          <t>Sophie</t>
        </is>
      </c>
      <c r="D46" s="66" t="inlineStr">
        <is>
          <t>M</t>
        </is>
      </c>
      <c r="E46" s="66" t="inlineStr">
        <is>
          <t>N</t>
        </is>
      </c>
      <c r="F46" s="66" t="inlineStr">
        <is>
          <t>N</t>
        </is>
      </c>
      <c r="G46" s="34" t="n">
        <v>91.3</v>
      </c>
      <c r="H46" s="34" t="n">
        <v>110</v>
      </c>
      <c r="I46" s="67">
        <f>IF(ISNUMBER(tblY8[[#This Row],[Avg KS2]]),IFERROR(VLOOKUP(STANDARDIZE(tblY8[[#This Row],[Avg KS2]],AVERAGE(tblY8[[Avg KS2]]),_xlfn.STDEV.P(tblY8[[Avg KS2]])),_Stanine,2),5),"")</f>
        <v>7</v>
      </c>
      <c r="J46" s="66" t="inlineStr">
        <is>
          <t>8A/Sc1</t>
        </is>
      </c>
      <c r="K46" s="67">
        <f>IF(tblY8[[#This Row],[Preferred Last name]]="","",COUNTIFS($N$1:$ZZ$1,"*"&amp;CHAR(10)&amp;"Stanine",$N46:$ZZ46,"&gt;=1"))</f>
        <v>5</v>
      </c>
      <c r="L46" s="68">
        <f>IFERROR(AVERAGEIF($N$1:$ZZ$1,"*"&amp;CHAR(10)&amp;"Stanine",$N46:$ZZ46),"")</f>
        <v>5.6</v>
      </c>
      <c r="M46" s="69">
        <f>IF(AND(ISNUMBER(tblY8[[#This Row],[Mean Stanine]]),ISNUMBER(tblY8[[#This Row],[Avg KS2 Band]])),tblY8[[#This Row],[Mean Stanine]]-tblY8[[#This Row],[Avg KS2 Band]],"")</f>
        <v>-1.4</v>
      </c>
      <c r="N46" s="66" t="n">
        <v>17</v>
      </c>
      <c r="O4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46" s="66" t="n">
        <v>16</v>
      </c>
      <c r="Q46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46" s="66" t="n">
        <v>20</v>
      </c>
      <c r="S4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46" s="66" t="n">
        <v>17</v>
      </c>
      <c r="U4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46" s="66" t="n">
        <v>10</v>
      </c>
      <c r="W46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47">
      <c r="A47" s="65" t="inlineStr">
        <is>
          <t>X908814127876</t>
        </is>
      </c>
      <c r="B47" s="65" t="inlineStr">
        <is>
          <t>Kelly</t>
        </is>
      </c>
      <c r="C47" s="65" t="inlineStr">
        <is>
          <t>Zofia</t>
        </is>
      </c>
      <c r="D47" s="66" t="inlineStr">
        <is>
          <t>M</t>
        </is>
      </c>
      <c r="E47" s="66" t="inlineStr">
        <is>
          <t>N</t>
        </is>
      </c>
      <c r="F47" s="66" t="inlineStr">
        <is>
          <t>N</t>
        </is>
      </c>
      <c r="G47" s="34" t="n">
        <v>92</v>
      </c>
      <c r="H47" s="34" t="n">
        <v>106</v>
      </c>
      <c r="I47" s="67">
        <f>IF(ISNUMBER(tblY8[[#This Row],[Avg KS2]]),IFERROR(VLOOKUP(STANDARDIZE(tblY8[[#This Row],[Avg KS2]],AVERAGE(tblY8[[Avg KS2]]),_xlfn.STDEV.P(tblY8[[Avg KS2]])),_Stanine,2),5),"")</f>
        <v>5</v>
      </c>
      <c r="J47" s="66" t="inlineStr">
        <is>
          <t>8A/Sc4</t>
        </is>
      </c>
      <c r="K47" s="67">
        <f>IF(tblY8[[#This Row],[Preferred Last name]]="","",COUNTIFS($N$1:$ZZ$1,"*"&amp;CHAR(10)&amp;"Stanine",$N47:$ZZ47,"&gt;=1"))</f>
        <v>4</v>
      </c>
      <c r="L47" s="68">
        <f>IFERROR(AVERAGEIF($N$1:$ZZ$1,"*"&amp;CHAR(10)&amp;"Stanine",$N47:$ZZ47),"")</f>
        <v>6.5</v>
      </c>
      <c r="M47" s="69">
        <f>IF(AND(ISNUMBER(tblY8[[#This Row],[Mean Stanine]]),ISNUMBER(tblY8[[#This Row],[Avg KS2 Band]])),tblY8[[#This Row],[Mean Stanine]]-tblY8[[#This Row],[Avg KS2 Band]],"")</f>
        <v>1.5</v>
      </c>
      <c r="N47" s="66" t="n">
        <v>18</v>
      </c>
      <c r="O4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47" s="66" t="n">
        <v>19</v>
      </c>
      <c r="Q47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47" s="66" t="n">
        <v>20</v>
      </c>
      <c r="S4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47" s="66" t="n">
        <v>18</v>
      </c>
      <c r="U4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47" s="66" t="n"/>
      <c r="W47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48">
      <c r="A48" s="65" t="inlineStr">
        <is>
          <t>X903785570676</t>
        </is>
      </c>
      <c r="B48" s="65" t="inlineStr">
        <is>
          <t>Khan</t>
        </is>
      </c>
      <c r="C48" s="65" t="inlineStr">
        <is>
          <t>Hollie</t>
        </is>
      </c>
      <c r="D48" s="66" t="inlineStr">
        <is>
          <t>M</t>
        </is>
      </c>
      <c r="E48" s="66" t="inlineStr">
        <is>
          <t>N</t>
        </is>
      </c>
      <c r="F48" s="66" t="inlineStr">
        <is>
          <t>Y</t>
        </is>
      </c>
      <c r="G48" s="34" t="n">
        <v>88.90000000000001</v>
      </c>
      <c r="H48" s="34" t="n">
        <v>113</v>
      </c>
      <c r="I48" s="67">
        <f>IF(ISNUMBER(tblY8[[#This Row],[Avg KS2]]),IFERROR(VLOOKUP(STANDARDIZE(tblY8[[#This Row],[Avg KS2]],AVERAGE(tblY8[[Avg KS2]]),_xlfn.STDEV.P(tblY8[[Avg KS2]])),_Stanine,2),5),"")</f>
        <v>8</v>
      </c>
      <c r="J48" s="66" t="inlineStr">
        <is>
          <t>8A/Sc1</t>
        </is>
      </c>
      <c r="K48" s="67">
        <f>IF(tblY8[[#This Row],[Preferred Last name]]="","",COUNTIFS($N$1:$ZZ$1,"*"&amp;CHAR(10)&amp;"Stanine",$N48:$ZZ48,"&gt;=1"))</f>
        <v>5</v>
      </c>
      <c r="L48" s="68">
        <f>IFERROR(AVERAGEIF($N$1:$ZZ$1,"*"&amp;CHAR(10)&amp;"Stanine",$N48:$ZZ48),"")</f>
        <v>5.4</v>
      </c>
      <c r="M48" s="69">
        <f>IF(AND(ISNUMBER(tblY8[[#This Row],[Mean Stanine]]),ISNUMBER(tblY8[[#This Row],[Avg KS2 Band]])),tblY8[[#This Row],[Mean Stanine]]-tblY8[[#This Row],[Avg KS2 Band]],"")</f>
        <v>-2.6</v>
      </c>
      <c r="N48" s="66" t="n">
        <v>15</v>
      </c>
      <c r="O4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48" s="66" t="n">
        <v>17</v>
      </c>
      <c r="Q48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48" s="66" t="n">
        <v>20</v>
      </c>
      <c r="S4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48" s="66" t="n">
        <v>15</v>
      </c>
      <c r="U4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48" s="66" t="n">
        <v>11</v>
      </c>
      <c r="W48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49">
      <c r="A49" s="65" t="inlineStr">
        <is>
          <t>X901127000609</t>
        </is>
      </c>
      <c r="B49" s="65" t="inlineStr">
        <is>
          <t>Kowalski</t>
        </is>
      </c>
      <c r="C49" s="65" t="inlineStr">
        <is>
          <t>Poppy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Y</t>
        </is>
      </c>
      <c r="G49" s="34" t="n">
        <v>83.8</v>
      </c>
      <c r="H49" s="34" t="n">
        <v>119</v>
      </c>
      <c r="I49" s="67">
        <f>IF(ISNUMBER(tblY8[[#This Row],[Avg KS2]]),IFERROR(VLOOKUP(STANDARDIZE(tblY8[[#This Row],[Avg KS2]],AVERAGE(tblY8[[Avg KS2]]),_xlfn.STDEV.P(tblY8[[Avg KS2]])),_Stanine,2),5),"")</f>
        <v>9</v>
      </c>
      <c r="J49" s="66" t="inlineStr">
        <is>
          <t>8A/Sc3</t>
        </is>
      </c>
      <c r="K49" s="67">
        <f>IF(tblY8[[#This Row],[Preferred Last name]]="","",COUNTIFS($N$1:$ZZ$1,"*"&amp;CHAR(10)&amp;"Stanine",$N49:$ZZ49,"&gt;=1"))</f>
        <v>4</v>
      </c>
      <c r="L49" s="68">
        <f>IFERROR(AVERAGEIF($N$1:$ZZ$1,"*"&amp;CHAR(10)&amp;"Stanine",$N49:$ZZ49),"")</f>
        <v>6</v>
      </c>
      <c r="M49" s="69">
        <f>IF(AND(ISNUMBER(tblY8[[#This Row],[Mean Stanine]]),ISNUMBER(tblY8[[#This Row],[Avg KS2 Band]])),tblY8[[#This Row],[Mean Stanine]]-tblY8[[#This Row],[Avg KS2 Band]],"")</f>
        <v>-3</v>
      </c>
      <c r="N49" s="66" t="n">
        <v>19</v>
      </c>
      <c r="O4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49" s="66" t="n">
        <v>20</v>
      </c>
      <c r="Q49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49" s="66" t="n">
        <v>14</v>
      </c>
      <c r="S4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49" s="66" t="n">
        <v>17</v>
      </c>
      <c r="U4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49" s="66" t="n"/>
      <c r="W49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50">
      <c r="A50" s="65" t="inlineStr">
        <is>
          <t>X900328497183</t>
        </is>
      </c>
      <c r="B50" s="65" t="inlineStr">
        <is>
          <t>Lewis</t>
        </is>
      </c>
      <c r="C50" s="65" t="inlineStr">
        <is>
          <t>Jack</t>
        </is>
      </c>
      <c r="D50" s="66" t="inlineStr">
        <is>
          <t>F</t>
        </is>
      </c>
      <c r="E50" s="66" t="n"/>
      <c r="F50" s="66" t="inlineStr">
        <is>
          <t>Y</t>
        </is>
      </c>
      <c r="G50" s="34" t="n">
        <v>94.8</v>
      </c>
      <c r="H50" s="34" t="n">
        <v>107</v>
      </c>
      <c r="I50" s="67">
        <f>IF(ISNUMBER(tblY8[[#This Row],[Avg KS2]]),IFERROR(VLOOKUP(STANDARDIZE(tblY8[[#This Row],[Avg KS2]],AVERAGE(tblY8[[Avg KS2]]),_xlfn.STDEV.P(tblY8[[Avg KS2]])),_Stanine,2),5),"")</f>
        <v>6</v>
      </c>
      <c r="J50" s="66" t="inlineStr">
        <is>
          <t>8A/Sc1</t>
        </is>
      </c>
      <c r="K50" s="67">
        <f>IF(tblY8[[#This Row],[Preferred Last name]]="","",COUNTIFS($N$1:$ZZ$1,"*"&amp;CHAR(10)&amp;"Stanine",$N50:$ZZ50,"&gt;=1"))</f>
        <v>5</v>
      </c>
      <c r="L50" s="68">
        <f>IFERROR(AVERAGEIF($N$1:$ZZ$1,"*"&amp;CHAR(10)&amp;"Stanine",$N50:$ZZ50),"")</f>
        <v>5.8</v>
      </c>
      <c r="M50" s="69">
        <f>IF(AND(ISNUMBER(tblY8[[#This Row],[Mean Stanine]]),ISNUMBER(tblY8[[#This Row],[Avg KS2 Band]])),tblY8[[#This Row],[Mean Stanine]]-tblY8[[#This Row],[Avg KS2 Band]],"")</f>
        <v>-0.2</v>
      </c>
      <c r="N50" s="66" t="n">
        <v>17</v>
      </c>
      <c r="O5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50" s="66" t="n">
        <v>18</v>
      </c>
      <c r="Q50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50" s="66" t="n">
        <v>21</v>
      </c>
      <c r="S5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50" s="66" t="n">
        <v>11</v>
      </c>
      <c r="U5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50" s="66" t="n">
        <v>13</v>
      </c>
      <c r="W50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  <row r="51">
      <c r="A51" s="65" t="inlineStr">
        <is>
          <t>X906375459102</t>
        </is>
      </c>
      <c r="B51" s="65" t="inlineStr">
        <is>
          <t>Lewis</t>
        </is>
      </c>
      <c r="C51" s="65" t="inlineStr">
        <is>
          <t>Megan</t>
        </is>
      </c>
      <c r="D51" s="66" t="inlineStr">
        <is>
          <t>M</t>
        </is>
      </c>
      <c r="E51" s="66" t="n"/>
      <c r="F51" s="66" t="inlineStr">
        <is>
          <t>Y</t>
        </is>
      </c>
      <c r="G51" s="34" t="n">
        <v>89</v>
      </c>
      <c r="H51" s="34" t="n">
        <v>106</v>
      </c>
      <c r="I51" s="67">
        <f>IF(ISNUMBER(tblY8[[#This Row],[Avg KS2]]),IFERROR(VLOOKUP(STANDARDIZE(tblY8[[#This Row],[Avg KS2]],AVERAGE(tblY8[[Avg KS2]]),_xlfn.STDEV.P(tblY8[[Avg KS2]])),_Stanine,2),5),"")</f>
        <v>5</v>
      </c>
      <c r="J51" s="66" t="inlineStr">
        <is>
          <t>8A/Sc1</t>
        </is>
      </c>
      <c r="K51" s="67">
        <f>IF(tblY8[[#This Row],[Preferred Last name]]="","",COUNTIFS($N$1:$ZZ$1,"*"&amp;CHAR(10)&amp;"Stanine",$N51:$ZZ51,"&gt;=1"))</f>
        <v>5</v>
      </c>
      <c r="L51" s="68">
        <f>IFERROR(AVERAGEIF($N$1:$ZZ$1,"*"&amp;CHAR(10)&amp;"Stanine",$N51:$ZZ51),"")</f>
        <v>6.2</v>
      </c>
      <c r="M51" s="69">
        <f>IF(AND(ISNUMBER(tblY8[[#This Row],[Mean Stanine]]),ISNUMBER(tblY8[[#This Row],[Avg KS2 Band]])),tblY8[[#This Row],[Mean Stanine]]-tblY8[[#This Row],[Avg KS2 Band]],"")</f>
        <v>1.2</v>
      </c>
      <c r="N51" s="66" t="n">
        <v>22</v>
      </c>
      <c r="O5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51" s="66" t="n">
        <v>17</v>
      </c>
      <c r="Q51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51" s="66" t="n">
        <v>18</v>
      </c>
      <c r="S5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51" s="66" t="n">
        <v>18</v>
      </c>
      <c r="U5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51" s="66" t="n">
        <v>13</v>
      </c>
      <c r="W51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  <row r="52">
      <c r="A52" s="65" t="inlineStr">
        <is>
          <t>X900896431448</t>
        </is>
      </c>
      <c r="B52" s="65" t="inlineStr">
        <is>
          <t>Lewis</t>
        </is>
      </c>
      <c r="C52" s="65" t="inlineStr">
        <is>
          <t>Mia</t>
        </is>
      </c>
      <c r="D52" s="66" t="inlineStr">
        <is>
          <t>F</t>
        </is>
      </c>
      <c r="E52" s="66" t="n"/>
      <c r="F52" s="66" t="inlineStr">
        <is>
          <t>N</t>
        </is>
      </c>
      <c r="G52" s="34" t="n">
        <v>90.90000000000001</v>
      </c>
      <c r="H52" s="34" t="n">
        <v>102.5</v>
      </c>
      <c r="I52" s="67">
        <f>IF(ISNUMBER(tblY8[[#This Row],[Avg KS2]]),IFERROR(VLOOKUP(STANDARDIZE(tblY8[[#This Row],[Avg KS2]],AVERAGE(tblY8[[Avg KS2]]),_xlfn.STDEV.P(tblY8[[Avg KS2]])),_Stanine,2),5),"")</f>
        <v>4</v>
      </c>
      <c r="J52" s="66" t="inlineStr">
        <is>
          <t>8A/Sc1</t>
        </is>
      </c>
      <c r="K52" s="67">
        <f>IF(tblY8[[#This Row],[Preferred Last name]]="","",COUNTIFS($N$1:$ZZ$1,"*"&amp;CHAR(10)&amp;"Stanine",$N52:$ZZ52,"&gt;=1"))</f>
        <v>4</v>
      </c>
      <c r="L52" s="68">
        <f>IFERROR(AVERAGEIF($N$1:$ZZ$1,"*"&amp;CHAR(10)&amp;"Stanine",$N52:$ZZ52),"")</f>
        <v>3.75</v>
      </c>
      <c r="M52" s="69">
        <f>IF(AND(ISNUMBER(tblY8[[#This Row],[Mean Stanine]]),ISNUMBER(tblY8[[#This Row],[Avg KS2 Band]])),tblY8[[#This Row],[Mean Stanine]]-tblY8[[#This Row],[Avg KS2 Band]],"")</f>
        <v>-0.25</v>
      </c>
      <c r="N52" s="66" t="n">
        <v>10</v>
      </c>
      <c r="O5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52" s="66" t="n">
        <v>13</v>
      </c>
      <c r="Q52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52" s="66" t="n">
        <v>11</v>
      </c>
      <c r="S5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52" s="66" t="n">
        <v>8</v>
      </c>
      <c r="U5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52" s="66" t="inlineStr">
        <is>
          <t>A</t>
        </is>
      </c>
      <c r="W52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53">
      <c r="A53" s="65" t="inlineStr">
        <is>
          <t>X904727306942</t>
        </is>
      </c>
      <c r="B53" s="65" t="inlineStr">
        <is>
          <t>Lewis</t>
        </is>
      </c>
      <c r="C53" s="65" t="inlineStr">
        <is>
          <t>Nia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97.2</v>
      </c>
      <c r="H53" s="34" t="n">
        <v>103</v>
      </c>
      <c r="I53" s="67">
        <f>IF(ISNUMBER(tblY8[[#This Row],[Avg KS2]]),IFERROR(VLOOKUP(STANDARDIZE(tblY8[[#This Row],[Avg KS2]],AVERAGE(tblY8[[Avg KS2]]),_xlfn.STDEV.P(tblY8[[Avg KS2]])),_Stanine,2),5),"")</f>
        <v>4</v>
      </c>
      <c r="J53" s="66" t="inlineStr">
        <is>
          <t>8A/Sc4</t>
        </is>
      </c>
      <c r="K53" s="67">
        <f>IF(tblY8[[#This Row],[Preferred Last name]]="","",COUNTIFS($N$1:$ZZ$1,"*"&amp;CHAR(10)&amp;"Stanine",$N53:$ZZ53,"&gt;=1"))</f>
        <v>4</v>
      </c>
      <c r="L53" s="68">
        <f>IFERROR(AVERAGEIF($N$1:$ZZ$1,"*"&amp;CHAR(10)&amp;"Stanine",$N53:$ZZ53),"")</f>
        <v>3.5</v>
      </c>
      <c r="M53" s="69">
        <f>IF(AND(ISNUMBER(tblY8[[#This Row],[Mean Stanine]]),ISNUMBER(tblY8[[#This Row],[Avg KS2 Band]])),tblY8[[#This Row],[Mean Stanine]]-tblY8[[#This Row],[Avg KS2 Band]],"")</f>
        <v>-0.5</v>
      </c>
      <c r="N53" s="66" t="n">
        <v>5</v>
      </c>
      <c r="O5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53" s="66" t="n">
        <v>14</v>
      </c>
      <c r="Q53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53" s="66" t="n">
        <v>13</v>
      </c>
      <c r="S5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53" s="66" t="n">
        <v>7</v>
      </c>
      <c r="U5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53" s="66" t="n"/>
      <c r="W53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54">
      <c r="A54" s="65" t="inlineStr">
        <is>
          <t>X900971399961</t>
        </is>
      </c>
      <c r="B54" s="65" t="inlineStr">
        <is>
          <t>Lloyd</t>
        </is>
      </c>
      <c r="C54" s="65" t="inlineStr">
        <is>
          <t>George</t>
        </is>
      </c>
      <c r="D54" s="66" t="inlineStr">
        <is>
          <t>F</t>
        </is>
      </c>
      <c r="E54" s="66" t="inlineStr">
        <is>
          <t>N</t>
        </is>
      </c>
      <c r="F54" s="66" t="inlineStr">
        <is>
          <t>N</t>
        </is>
      </c>
      <c r="G54" s="34" t="n">
        <v>100</v>
      </c>
      <c r="H54" s="34" t="n">
        <v>94.5</v>
      </c>
      <c r="I54" s="67">
        <f>IF(ISNUMBER(tblY8[[#This Row],[Avg KS2]]),IFERROR(VLOOKUP(STANDARDIZE(tblY8[[#This Row],[Avg KS2]],AVERAGE(tblY8[[Avg KS2]]),_xlfn.STDEV.P(tblY8[[Avg KS2]])),_Stanine,2),5),"")</f>
        <v>1</v>
      </c>
      <c r="J54" s="66" t="inlineStr">
        <is>
          <t>8A/Sc2</t>
        </is>
      </c>
      <c r="K54" s="67">
        <f>IF(tblY8[[#This Row],[Preferred Last name]]="","",COUNTIFS($N$1:$ZZ$1,"*"&amp;CHAR(10)&amp;"Stanine",$N54:$ZZ54,"&gt;=1"))</f>
        <v>5</v>
      </c>
      <c r="L54" s="68">
        <f>IFERROR(AVERAGEIF($N$1:$ZZ$1,"*"&amp;CHAR(10)&amp;"Stanine",$N54:$ZZ54),"")</f>
        <v>2</v>
      </c>
      <c r="M54" s="69">
        <f>IF(AND(ISNUMBER(tblY8[[#This Row],[Mean Stanine]]),ISNUMBER(tblY8[[#This Row],[Avg KS2 Band]])),tblY8[[#This Row],[Mean Stanine]]-tblY8[[#This Row],[Avg KS2 Band]],"")</f>
        <v>1</v>
      </c>
      <c r="N54" s="66" t="n">
        <v>6</v>
      </c>
      <c r="O5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54" s="66" t="n">
        <v>8</v>
      </c>
      <c r="Q54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54" s="66" t="n">
        <v>6</v>
      </c>
      <c r="S5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54" s="66" t="n">
        <v>5</v>
      </c>
      <c r="U5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54" s="66" t="n">
        <v>3</v>
      </c>
      <c r="W54" s="67">
        <f>IF(ISNUMBER(tblY8[[#This Row],[8P02 - Light
Raw Score]]),IFERROR(VLOOKUP(STANDARDIZE(tblY8[[#This Row],[8P02 - Light
Raw Score]],AVERAGE(tblY8[[8P02 - Light
Raw Score]]),_xlfn.STDEV.P(tblY8[[8P02 - Light
Raw Score]])),_Stanine,2),5),"")</f>
        <v>1</v>
      </c>
    </row>
    <row r="55">
      <c r="A55" s="65" t="inlineStr">
        <is>
          <t>X908641871620</t>
        </is>
      </c>
      <c r="B55" s="65" t="inlineStr">
        <is>
          <t>Mistry</t>
        </is>
      </c>
      <c r="C55" s="65" t="inlineStr">
        <is>
          <t>Arthur</t>
        </is>
      </c>
      <c r="D55" s="66" t="inlineStr">
        <is>
          <t>F</t>
        </is>
      </c>
      <c r="E55" s="66" t="n"/>
      <c r="F55" s="66" t="inlineStr">
        <is>
          <t>N</t>
        </is>
      </c>
      <c r="G55" s="34" t="n">
        <v>100</v>
      </c>
      <c r="H55" s="34" t="n">
        <v>110</v>
      </c>
      <c r="I55" s="67">
        <f>IF(ISNUMBER(tblY8[[#This Row],[Avg KS2]]),IFERROR(VLOOKUP(STANDARDIZE(tblY8[[#This Row],[Avg KS2]],AVERAGE(tblY8[[Avg KS2]]),_xlfn.STDEV.P(tblY8[[Avg KS2]])),_Stanine,2),5),"")</f>
        <v>7</v>
      </c>
      <c r="J55" s="66" t="inlineStr">
        <is>
          <t>8A/Sc1</t>
        </is>
      </c>
      <c r="K55" s="67">
        <f>IF(tblY8[[#This Row],[Preferred Last name]]="","",COUNTIFS($N$1:$ZZ$1,"*"&amp;CHAR(10)&amp;"Stanine",$N55:$ZZ55,"&gt;=1"))</f>
        <v>4</v>
      </c>
      <c r="L55" s="68">
        <f>IFERROR(AVERAGEIF($N$1:$ZZ$1,"*"&amp;CHAR(10)&amp;"Stanine",$N55:$ZZ55),"")</f>
        <v>5.25</v>
      </c>
      <c r="M55" s="69">
        <f>IF(AND(ISNUMBER(tblY8[[#This Row],[Mean Stanine]]),ISNUMBER(tblY8[[#This Row],[Avg KS2 Band]])),tblY8[[#This Row],[Mean Stanine]]-tblY8[[#This Row],[Avg KS2 Band]],"")</f>
        <v>-1.75</v>
      </c>
      <c r="N55" s="66" t="n">
        <v>14</v>
      </c>
      <c r="O5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55" s="66" t="n">
        <v>15</v>
      </c>
      <c r="Q55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55" s="66" t="n">
        <v>17</v>
      </c>
      <c r="S5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55" s="66" t="n">
        <v>14</v>
      </c>
      <c r="U5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55" s="66" t="inlineStr">
        <is>
          <t>A</t>
        </is>
      </c>
      <c r="W5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56">
      <c r="A56" s="65" t="inlineStr">
        <is>
          <t>X905424399434</t>
        </is>
      </c>
      <c r="B56" s="65" t="inlineStr">
        <is>
          <t>Morgan</t>
        </is>
      </c>
      <c r="C56" s="65" t="inlineStr">
        <is>
          <t>Rosie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N</t>
        </is>
      </c>
      <c r="G56" s="34" t="n">
        <v>99.90000000000001</v>
      </c>
      <c r="H56" s="34" t="n">
        <v>112</v>
      </c>
      <c r="I56" s="67">
        <f>IF(ISNUMBER(tblY8[[#This Row],[Avg KS2]]),IFERROR(VLOOKUP(STANDARDIZE(tblY8[[#This Row],[Avg KS2]],AVERAGE(tblY8[[Avg KS2]]),_xlfn.STDEV.P(tblY8[[Avg KS2]])),_Stanine,2),5),"")</f>
        <v>7</v>
      </c>
      <c r="J56" s="66" t="inlineStr">
        <is>
          <t>8A/Sc1</t>
        </is>
      </c>
      <c r="K56" s="67">
        <f>IF(tblY8[[#This Row],[Preferred Last name]]="","",COUNTIFS($N$1:$ZZ$1,"*"&amp;CHAR(10)&amp;"Stanine",$N56:$ZZ56,"&gt;=1"))</f>
        <v>5</v>
      </c>
      <c r="L56" s="68">
        <f>IFERROR(AVERAGEIF($N$1:$ZZ$1,"*"&amp;CHAR(10)&amp;"Stanine",$N56:$ZZ56),"")</f>
        <v>7.6</v>
      </c>
      <c r="M56" s="69">
        <f>IF(AND(ISNUMBER(tblY8[[#This Row],[Mean Stanine]]),ISNUMBER(tblY8[[#This Row],[Avg KS2 Band]])),tblY8[[#This Row],[Mean Stanine]]-tblY8[[#This Row],[Avg KS2 Band]],"")</f>
        <v>0.6</v>
      </c>
      <c r="N56" s="66" t="n">
        <v>23</v>
      </c>
      <c r="O5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56" s="66" t="n">
        <v>20</v>
      </c>
      <c r="Q56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56" s="66" t="n">
        <v>25</v>
      </c>
      <c r="S5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56" s="66" t="n">
        <v>20</v>
      </c>
      <c r="U5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56" s="66" t="n">
        <v>17</v>
      </c>
      <c r="W56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57">
      <c r="A57" s="65" t="inlineStr">
        <is>
          <t>X909238023814</t>
        </is>
      </c>
      <c r="B57" s="65" t="inlineStr">
        <is>
          <t>Murphy</t>
        </is>
      </c>
      <c r="C57" s="65" t="inlineStr">
        <is>
          <t>Charlie</t>
        </is>
      </c>
      <c r="D57" s="66" t="inlineStr">
        <is>
          <t>M</t>
        </is>
      </c>
      <c r="E57" s="66" t="n"/>
      <c r="F57" s="66" t="inlineStr">
        <is>
          <t>N</t>
        </is>
      </c>
      <c r="G57" s="34" t="n">
        <v>98.5</v>
      </c>
      <c r="H57" s="34" t="n">
        <v>107.5</v>
      </c>
      <c r="I57" s="67">
        <f>IF(ISNUMBER(tblY8[[#This Row],[Avg KS2]]),IFERROR(VLOOKUP(STANDARDIZE(tblY8[[#This Row],[Avg KS2]],AVERAGE(tblY8[[Avg KS2]]),_xlfn.STDEV.P(tblY8[[Avg KS2]])),_Stanine,2),5),"")</f>
        <v>6</v>
      </c>
      <c r="J57" s="66" t="inlineStr">
        <is>
          <t>8A/Sc1</t>
        </is>
      </c>
      <c r="K57" s="67">
        <f>IF(tblY8[[#This Row],[Preferred Last name]]="","",COUNTIFS($N$1:$ZZ$1,"*"&amp;CHAR(10)&amp;"Stanine",$N57:$ZZ57,"&gt;=1"))</f>
        <v>4</v>
      </c>
      <c r="L57" s="68">
        <f>IFERROR(AVERAGEIF($N$1:$ZZ$1,"*"&amp;CHAR(10)&amp;"Stanine",$N57:$ZZ57),"")</f>
        <v>4.75</v>
      </c>
      <c r="M57" s="69">
        <f>IF(AND(ISNUMBER(tblY8[[#This Row],[Mean Stanine]]),ISNUMBER(tblY8[[#This Row],[Avg KS2 Band]])),tblY8[[#This Row],[Mean Stanine]]-tblY8[[#This Row],[Avg KS2 Band]],"")</f>
        <v>-1.25</v>
      </c>
      <c r="N57" s="66" t="n">
        <v>18</v>
      </c>
      <c r="O5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57" s="66" t="n">
        <v>12</v>
      </c>
      <c r="Q57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57" s="66" t="n">
        <v>13</v>
      </c>
      <c r="S5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57" s="66" t="n">
        <v>12</v>
      </c>
      <c r="U5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57" s="66" t="inlineStr">
        <is>
          <t>A</t>
        </is>
      </c>
      <c r="W57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58">
      <c r="A58" s="65" t="inlineStr">
        <is>
          <t>X902843043655</t>
        </is>
      </c>
      <c r="B58" s="65" t="inlineStr">
        <is>
          <t>Murphy</t>
        </is>
      </c>
      <c r="C58" s="65" t="inlineStr">
        <is>
          <t>Seren</t>
        </is>
      </c>
      <c r="D58" s="66" t="inlineStr">
        <is>
          <t>M</t>
        </is>
      </c>
      <c r="E58" s="66" t="n"/>
      <c r="F58" s="66" t="inlineStr">
        <is>
          <t>N</t>
        </is>
      </c>
      <c r="G58" s="34" t="n">
        <v>95.8</v>
      </c>
      <c r="H58" s="34" t="n">
        <v>117.5</v>
      </c>
      <c r="I58" s="67">
        <f>IF(ISNUMBER(tblY8[[#This Row],[Avg KS2]]),IFERROR(VLOOKUP(STANDARDIZE(tblY8[[#This Row],[Avg KS2]],AVERAGE(tblY8[[Avg KS2]]),_xlfn.STDEV.P(tblY8[[Avg KS2]])),_Stanine,2),5),"")</f>
        <v>9</v>
      </c>
      <c r="J58" s="66" t="inlineStr">
        <is>
          <t>8A/Sc1</t>
        </is>
      </c>
      <c r="K58" s="67">
        <f>IF(tblY8[[#This Row],[Preferred Last name]]="","",COUNTIFS($N$1:$ZZ$1,"*"&amp;CHAR(10)&amp;"Stanine",$N58:$ZZ58,"&gt;=1"))</f>
        <v>5</v>
      </c>
      <c r="L58" s="68">
        <f>IFERROR(AVERAGEIF($N$1:$ZZ$1,"*"&amp;CHAR(10)&amp;"Stanine",$N58:$ZZ58),"")</f>
        <v>8.2</v>
      </c>
      <c r="M58" s="69">
        <f>IF(AND(ISNUMBER(tblY8[[#This Row],[Mean Stanine]]),ISNUMBER(tblY8[[#This Row],[Avg KS2 Band]])),tblY8[[#This Row],[Mean Stanine]]-tblY8[[#This Row],[Avg KS2 Band]],"")</f>
        <v>-0.800000000000001</v>
      </c>
      <c r="N58" s="66" t="n">
        <v>26</v>
      </c>
      <c r="O5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9</v>
      </c>
      <c r="P58" s="66" t="n">
        <v>23</v>
      </c>
      <c r="Q58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58" s="66" t="n">
        <v>25</v>
      </c>
      <c r="S5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58" s="66" t="n">
        <v>23</v>
      </c>
      <c r="U5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9</v>
      </c>
      <c r="V58" s="66" t="n">
        <v>18</v>
      </c>
      <c r="W58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59">
      <c r="A59" s="65" t="inlineStr">
        <is>
          <t>X906560258012</t>
        </is>
      </c>
      <c r="B59" s="65" t="inlineStr">
        <is>
          <t>Okafor</t>
        </is>
      </c>
      <c r="C59" s="65" t="inlineStr">
        <is>
          <t>Callum</t>
        </is>
      </c>
      <c r="D59" s="66" t="inlineStr">
        <is>
          <t>F</t>
        </is>
      </c>
      <c r="E59" s="66" t="inlineStr">
        <is>
          <t>N</t>
        </is>
      </c>
      <c r="F59" s="66" t="inlineStr">
        <is>
          <t>N</t>
        </is>
      </c>
      <c r="G59" s="34" t="n">
        <v>100</v>
      </c>
      <c r="H59" s="34" t="n">
        <v>97.5</v>
      </c>
      <c r="I59" s="67">
        <f>IF(ISNUMBER(tblY8[[#This Row],[Avg KS2]]),IFERROR(VLOOKUP(STANDARDIZE(tblY8[[#This Row],[Avg KS2]],AVERAGE(tblY8[[Avg KS2]]),_xlfn.STDEV.P(tblY8[[Avg KS2]])),_Stanine,2),5),"")</f>
        <v>2</v>
      </c>
      <c r="J59" s="66" t="inlineStr">
        <is>
          <t>8A/Sc3</t>
        </is>
      </c>
      <c r="K59" s="67">
        <f>IF(tblY8[[#This Row],[Preferred Last name]]="","",COUNTIFS($N$1:$ZZ$1,"*"&amp;CHAR(10)&amp;"Stanine",$N59:$ZZ59,"&gt;=1"))</f>
        <v>4</v>
      </c>
      <c r="L59" s="68">
        <f>IFERROR(AVERAGEIF($N$1:$ZZ$1,"*"&amp;CHAR(10)&amp;"Stanine",$N59:$ZZ59),"")</f>
        <v>2.5</v>
      </c>
      <c r="M59" s="69">
        <f>IF(AND(ISNUMBER(tblY8[[#This Row],[Mean Stanine]]),ISNUMBER(tblY8[[#This Row],[Avg KS2 Band]])),tblY8[[#This Row],[Mean Stanine]]-tblY8[[#This Row],[Avg KS2 Band]],"")</f>
        <v>0.5</v>
      </c>
      <c r="N59" s="66" t="n">
        <v>4</v>
      </c>
      <c r="O5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59" s="66" t="n">
        <v>10</v>
      </c>
      <c r="Q59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59" s="66" t="n">
        <v>8</v>
      </c>
      <c r="S5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59" s="66" t="n">
        <v>6</v>
      </c>
      <c r="U5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59" s="66" t="n"/>
      <c r="W59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60">
      <c r="A60" s="65" t="inlineStr">
        <is>
          <t>X909843482162</t>
        </is>
      </c>
      <c r="B60" s="65" t="inlineStr">
        <is>
          <t>Okafor</t>
        </is>
      </c>
      <c r="C60" s="65" t="inlineStr">
        <is>
          <t>Zofia</t>
        </is>
      </c>
      <c r="D60" s="66" t="inlineStr">
        <is>
          <t>M</t>
        </is>
      </c>
      <c r="E60" s="66" t="inlineStr">
        <is>
          <t>K</t>
        </is>
      </c>
      <c r="F60" s="66" t="inlineStr">
        <is>
          <t>N</t>
        </is>
      </c>
      <c r="G60" s="34" t="n">
        <v>82</v>
      </c>
      <c r="H60" s="34" t="n">
        <v>102.5</v>
      </c>
      <c r="I60" s="67">
        <f>IF(ISNUMBER(tblY8[[#This Row],[Avg KS2]]),IFERROR(VLOOKUP(STANDARDIZE(tblY8[[#This Row],[Avg KS2]],AVERAGE(tblY8[[Avg KS2]]),_xlfn.STDEV.P(tblY8[[Avg KS2]])),_Stanine,2),5),"")</f>
        <v>4</v>
      </c>
      <c r="J60" s="66" t="inlineStr">
        <is>
          <t>8A/Sc4</t>
        </is>
      </c>
      <c r="K60" s="67">
        <f>IF(tblY8[[#This Row],[Preferred Last name]]="","",COUNTIFS($N$1:$ZZ$1,"*"&amp;CHAR(10)&amp;"Stanine",$N60:$ZZ60,"&gt;=1"))</f>
        <v>4</v>
      </c>
      <c r="L60" s="68">
        <f>IFERROR(AVERAGEIF($N$1:$ZZ$1,"*"&amp;CHAR(10)&amp;"Stanine",$N60:$ZZ60),"")</f>
        <v>4.25</v>
      </c>
      <c r="M60" s="69">
        <f>IF(AND(ISNUMBER(tblY8[[#This Row],[Mean Stanine]]),ISNUMBER(tblY8[[#This Row],[Avg KS2 Band]])),tblY8[[#This Row],[Mean Stanine]]-tblY8[[#This Row],[Avg KS2 Band]],"")</f>
        <v>0.25</v>
      </c>
      <c r="N60" s="66" t="n">
        <v>10</v>
      </c>
      <c r="O6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60" s="66" t="n">
        <v>12</v>
      </c>
      <c r="Q60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60" s="66" t="n">
        <v>15</v>
      </c>
      <c r="S6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60" s="66" t="n">
        <v>10</v>
      </c>
      <c r="U6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60" s="66" t="n"/>
      <c r="W6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61">
      <c r="A61" s="65" t="inlineStr">
        <is>
          <t>X902741265329</t>
        </is>
      </c>
      <c r="B61" s="65" t="inlineStr">
        <is>
          <t>Patel</t>
        </is>
      </c>
      <c r="C61" s="65" t="inlineStr">
        <is>
          <t>Lily</t>
        </is>
      </c>
      <c r="D61" s="66" t="inlineStr">
        <is>
          <t>F</t>
        </is>
      </c>
      <c r="E61" s="66" t="inlineStr">
        <is>
          <t>N</t>
        </is>
      </c>
      <c r="F61" s="66" t="inlineStr">
        <is>
          <t>N</t>
        </is>
      </c>
      <c r="G61" s="34" t="n">
        <v>97</v>
      </c>
      <c r="H61" s="34" t="n">
        <v>117</v>
      </c>
      <c r="I61" s="67">
        <f>IF(ISNUMBER(tblY8[[#This Row],[Avg KS2]]),IFERROR(VLOOKUP(STANDARDIZE(tblY8[[#This Row],[Avg KS2]],AVERAGE(tblY8[[Avg KS2]]),_xlfn.STDEV.P(tblY8[[Avg KS2]])),_Stanine,2),5),"")</f>
        <v>9</v>
      </c>
      <c r="J61" s="66" t="inlineStr">
        <is>
          <t>8A/Sc1</t>
        </is>
      </c>
      <c r="K61" s="67">
        <f>IF(tblY8[[#This Row],[Preferred Last name]]="","",COUNTIFS($N$1:$ZZ$1,"*"&amp;CHAR(10)&amp;"Stanine",$N61:$ZZ61,"&gt;=1"))</f>
        <v>4</v>
      </c>
      <c r="L61" s="68">
        <f>IFERROR(AVERAGEIF($N$1:$ZZ$1,"*"&amp;CHAR(10)&amp;"Stanine",$N61:$ZZ61),"")</f>
        <v>8.75</v>
      </c>
      <c r="M61" s="69">
        <f>IF(AND(ISNUMBER(tblY8[[#This Row],[Mean Stanine]]),ISNUMBER(tblY8[[#This Row],[Avg KS2 Band]])),tblY8[[#This Row],[Mean Stanine]]-tblY8[[#This Row],[Avg KS2 Band]],"")</f>
        <v>-0.25</v>
      </c>
      <c r="N61" s="66" t="n">
        <v>26</v>
      </c>
      <c r="O6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9</v>
      </c>
      <c r="P61" s="66" t="n">
        <v>23</v>
      </c>
      <c r="Q61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61" s="66" t="inlineStr">
        <is>
          <t>A</t>
        </is>
      </c>
      <c r="S61" s="67" t="str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/>
      </c>
      <c r="T61" s="66" t="n">
        <v>23</v>
      </c>
      <c r="U6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9</v>
      </c>
      <c r="V61" s="66" t="n">
        <v>22</v>
      </c>
      <c r="W61" s="67">
        <f>IF(ISNUMBER(tblY8[[#This Row],[8P02 - Light
Raw Score]]),IFERROR(VLOOKUP(STANDARDIZE(tblY8[[#This Row],[8P02 - Light
Raw Score]],AVERAGE(tblY8[[8P02 - Light
Raw Score]]),_xlfn.STDEV.P(tblY8[[8P02 - Light
Raw Score]])),_Stanine,2),5),"")</f>
        <v>9</v>
      </c>
    </row>
    <row r="62">
      <c r="A62" s="65" t="inlineStr">
        <is>
          <t>X901825059790</t>
        </is>
      </c>
      <c r="B62" s="65" t="inlineStr">
        <is>
          <t>Patel</t>
        </is>
      </c>
      <c r="C62" s="65" t="inlineStr">
        <is>
          <t>Niamh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98.3</v>
      </c>
      <c r="H62" s="34" t="n">
        <v>102</v>
      </c>
      <c r="I62" s="67">
        <f>IF(ISNUMBER(tblY8[[#This Row],[Avg KS2]]),IFERROR(VLOOKUP(STANDARDIZE(tblY8[[#This Row],[Avg KS2]],AVERAGE(tblY8[[Avg KS2]]),_xlfn.STDEV.P(tblY8[[Avg KS2]])),_Stanine,2),5),"")</f>
        <v>4</v>
      </c>
      <c r="J62" s="66" t="inlineStr">
        <is>
          <t>8A/Sc3</t>
        </is>
      </c>
      <c r="K62" s="67">
        <f>IF(tblY8[[#This Row],[Preferred Last name]]="","",COUNTIFS($N$1:$ZZ$1,"*"&amp;CHAR(10)&amp;"Stanine",$N62:$ZZ62,"&gt;=1"))</f>
        <v>4</v>
      </c>
      <c r="L62" s="68">
        <f>IFERROR(AVERAGEIF($N$1:$ZZ$1,"*"&amp;CHAR(10)&amp;"Stanine",$N62:$ZZ62),"")</f>
        <v>4</v>
      </c>
      <c r="M62" s="69">
        <f>IF(AND(ISNUMBER(tblY8[[#This Row],[Mean Stanine]]),ISNUMBER(tblY8[[#This Row],[Avg KS2 Band]])),tblY8[[#This Row],[Mean Stanine]]-tblY8[[#This Row],[Avg KS2 Band]],"")</f>
        <v>0</v>
      </c>
      <c r="N62" s="66" t="n">
        <v>10</v>
      </c>
      <c r="O6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62" s="66" t="n">
        <v>13</v>
      </c>
      <c r="Q62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62" s="66" t="n">
        <v>15</v>
      </c>
      <c r="S6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62" s="66" t="n">
        <v>7</v>
      </c>
      <c r="U6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62" s="66" t="n"/>
      <c r="W62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63">
      <c r="A63" s="65" t="inlineStr">
        <is>
          <t>X905959081399</t>
        </is>
      </c>
      <c r="B63" s="65" t="inlineStr">
        <is>
          <t>Patel</t>
        </is>
      </c>
      <c r="C63" s="65" t="inlineStr">
        <is>
          <t>Reuben</t>
        </is>
      </c>
      <c r="D63" s="66" t="inlineStr">
        <is>
          <t>F</t>
        </is>
      </c>
      <c r="E63" s="66" t="inlineStr">
        <is>
          <t>N</t>
        </is>
      </c>
      <c r="F63" s="66" t="inlineStr">
        <is>
          <t>N</t>
        </is>
      </c>
      <c r="G63" s="34" t="n">
        <v>95.90000000000001</v>
      </c>
      <c r="H63" s="34" t="n">
        <v>102.5</v>
      </c>
      <c r="I63" s="67">
        <f>IF(ISNUMBER(tblY8[[#This Row],[Avg KS2]]),IFERROR(VLOOKUP(STANDARDIZE(tblY8[[#This Row],[Avg KS2]],AVERAGE(tblY8[[Avg KS2]]),_xlfn.STDEV.P(tblY8[[Avg KS2]])),_Stanine,2),5),"")</f>
        <v>4</v>
      </c>
      <c r="J63" s="66" t="inlineStr">
        <is>
          <t>8A/Sc2</t>
        </is>
      </c>
      <c r="K63" s="67">
        <f>IF(tblY8[[#This Row],[Preferred Last name]]="","",COUNTIFS($N$1:$ZZ$1,"*"&amp;CHAR(10)&amp;"Stanine",$N63:$ZZ63,"&gt;=1"))</f>
        <v>5</v>
      </c>
      <c r="L63" s="68">
        <f>IFERROR(AVERAGEIF($N$1:$ZZ$1,"*"&amp;CHAR(10)&amp;"Stanine",$N63:$ZZ63),"")</f>
        <v>2.2</v>
      </c>
      <c r="M63" s="69">
        <f>IF(AND(ISNUMBER(tblY8[[#This Row],[Mean Stanine]]),ISNUMBER(tblY8[[#This Row],[Avg KS2 Band]])),tblY8[[#This Row],[Mean Stanine]]-tblY8[[#This Row],[Avg KS2 Band]],"")</f>
        <v>-1.8</v>
      </c>
      <c r="N63" s="66" t="n">
        <v>5</v>
      </c>
      <c r="O6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63" s="66" t="n">
        <v>6</v>
      </c>
      <c r="Q63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63" s="66" t="n">
        <v>7</v>
      </c>
      <c r="S6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63" s="66" t="n">
        <v>5</v>
      </c>
      <c r="U6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63" s="66" t="n">
        <v>5</v>
      </c>
      <c r="W63" s="67">
        <f>IF(ISNUMBER(tblY8[[#This Row],[8P02 - Light
Raw Score]]),IFERROR(VLOOKUP(STANDARDIZE(tblY8[[#This Row],[8P02 - Light
Raw Score]],AVERAGE(tblY8[[8P02 - Light
Raw Score]]),_xlfn.STDEV.P(tblY8[[8P02 - Light
Raw Score]])),_Stanine,2),5),"")</f>
        <v>2</v>
      </c>
    </row>
    <row r="64">
      <c r="A64" s="65" t="inlineStr">
        <is>
          <t>X906585256325</t>
        </is>
      </c>
      <c r="B64" s="65" t="inlineStr">
        <is>
          <t>Pearson</t>
        </is>
      </c>
      <c r="C64" s="65" t="inlineStr">
        <is>
          <t>Ethan</t>
        </is>
      </c>
      <c r="D64" s="66" t="inlineStr">
        <is>
          <t>M</t>
        </is>
      </c>
      <c r="E64" s="66" t="inlineStr">
        <is>
          <t>N</t>
        </is>
      </c>
      <c r="F64" s="66" t="inlineStr">
        <is>
          <t>Y</t>
        </is>
      </c>
      <c r="G64" s="34" t="n">
        <v>89.7</v>
      </c>
      <c r="H64" s="34" t="n">
        <v>104.5</v>
      </c>
      <c r="I64" s="67">
        <f>IF(ISNUMBER(tblY8[[#This Row],[Avg KS2]]),IFERROR(VLOOKUP(STANDARDIZE(tblY8[[#This Row],[Avg KS2]],AVERAGE(tblY8[[Avg KS2]]),_xlfn.STDEV.P(tblY8[[Avg KS2]])),_Stanine,2),5),"")</f>
        <v>5</v>
      </c>
      <c r="J64" s="66" t="inlineStr">
        <is>
          <t>8A/Sc2</t>
        </is>
      </c>
      <c r="K64" s="67">
        <f>IF(tblY8[[#This Row],[Preferred Last name]]="","",COUNTIFS($N$1:$ZZ$1,"*"&amp;CHAR(10)&amp;"Stanine",$N64:$ZZ64,"&gt;=1"))</f>
        <v>5</v>
      </c>
      <c r="L64" s="68">
        <f>IFERROR(AVERAGEIF($N$1:$ZZ$1,"*"&amp;CHAR(10)&amp;"Stanine",$N64:$ZZ64),"")</f>
        <v>3.6</v>
      </c>
      <c r="M64" s="69">
        <f>IF(AND(ISNUMBER(tblY8[[#This Row],[Mean Stanine]]),ISNUMBER(tblY8[[#This Row],[Avg KS2 Band]])),tblY8[[#This Row],[Mean Stanine]]-tblY8[[#This Row],[Avg KS2 Band]],"")</f>
        <v>-1.4</v>
      </c>
      <c r="N64" s="66" t="n">
        <v>12</v>
      </c>
      <c r="O6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64" s="66" t="n">
        <v>9</v>
      </c>
      <c r="Q64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64" s="66" t="n">
        <v>16</v>
      </c>
      <c r="S6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64" s="66" t="n">
        <v>7</v>
      </c>
      <c r="U6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64" s="66" t="n">
        <v>8</v>
      </c>
      <c r="W64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65">
      <c r="A65" s="65" t="inlineStr">
        <is>
          <t>X903614265969</t>
        </is>
      </c>
      <c r="B65" s="65" t="inlineStr">
        <is>
          <t>Price</t>
        </is>
      </c>
      <c r="C65" s="65" t="inlineStr">
        <is>
          <t>Arjun</t>
        </is>
      </c>
      <c r="D65" s="66" t="inlineStr">
        <is>
          <t>F</t>
        </is>
      </c>
      <c r="E65" s="66" t="n"/>
      <c r="F65" s="66" t="inlineStr">
        <is>
          <t>N</t>
        </is>
      </c>
      <c r="G65" s="34" t="n">
        <v>85.40000000000001</v>
      </c>
      <c r="H65" s="34" t="n">
        <v>100</v>
      </c>
      <c r="I65" s="67">
        <f>IF(ISNUMBER(tblY8[[#This Row],[Avg KS2]]),IFERROR(VLOOKUP(STANDARDIZE(tblY8[[#This Row],[Avg KS2]],AVERAGE(tblY8[[Avg KS2]]),_xlfn.STDEV.P(tblY8[[Avg KS2]])),_Stanine,2),5),"")</f>
        <v>3</v>
      </c>
      <c r="J65" s="66" t="inlineStr">
        <is>
          <t>8A/Sc3</t>
        </is>
      </c>
      <c r="K65" s="67">
        <f>IF(tblY8[[#This Row],[Preferred Last name]]="","",COUNTIFS($N$1:$ZZ$1,"*"&amp;CHAR(10)&amp;"Stanine",$N65:$ZZ65,"&gt;=1"))</f>
        <v>4</v>
      </c>
      <c r="L65" s="68">
        <f>IFERROR(AVERAGEIF($N$1:$ZZ$1,"*"&amp;CHAR(10)&amp;"Stanine",$N65:$ZZ65),"")</f>
        <v>2.5</v>
      </c>
      <c r="M65" s="69">
        <f>IF(AND(ISNUMBER(tblY8[[#This Row],[Mean Stanine]]),ISNUMBER(tblY8[[#This Row],[Avg KS2 Band]])),tblY8[[#This Row],[Mean Stanine]]-tblY8[[#This Row],[Avg KS2 Band]],"")</f>
        <v>-0.5</v>
      </c>
      <c r="N65" s="66" t="n">
        <v>7</v>
      </c>
      <c r="O6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65" s="66" t="n">
        <v>8</v>
      </c>
      <c r="Q65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65" s="66" t="n">
        <v>8</v>
      </c>
      <c r="S6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65" s="66" t="n">
        <v>6</v>
      </c>
      <c r="U6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65" s="66" t="n"/>
      <c r="W6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66">
      <c r="A66" s="65" t="inlineStr">
        <is>
          <t>X906456504520</t>
        </is>
      </c>
      <c r="B66" s="65" t="inlineStr">
        <is>
          <t>Roberts</t>
        </is>
      </c>
      <c r="C66" s="65" t="inlineStr">
        <is>
          <t>Dylan</t>
        </is>
      </c>
      <c r="D66" s="66" t="inlineStr">
        <is>
          <t>M</t>
        </is>
      </c>
      <c r="E66" s="66" t="inlineStr">
        <is>
          <t>K</t>
        </is>
      </c>
      <c r="F66" s="66" t="inlineStr">
        <is>
          <t>N</t>
        </is>
      </c>
      <c r="G66" s="34" t="n">
        <v>91.5</v>
      </c>
      <c r="H66" s="34" t="n">
        <v>91</v>
      </c>
      <c r="I66" s="67">
        <f>IF(ISNUMBER(tblY8[[#This Row],[Avg KS2]]),IFERROR(VLOOKUP(STANDARDIZE(tblY8[[#This Row],[Avg KS2]],AVERAGE(tblY8[[Avg KS2]]),_xlfn.STDEV.P(tblY8[[Avg KS2]])),_Stanine,2),5),"")</f>
        <v>1</v>
      </c>
      <c r="J66" s="66" t="inlineStr">
        <is>
          <t>Science Support</t>
        </is>
      </c>
      <c r="K66" s="67">
        <f>IF(tblY8[[#This Row],[Preferred Last name]]="","",COUNTIFS($N$1:$ZZ$1,"*"&amp;CHAR(10)&amp;"Stanine",$N66:$ZZ66,"&gt;=1"))</f>
        <v>4</v>
      </c>
      <c r="L66" s="68">
        <f>IFERROR(AVERAGEIF($N$1:$ZZ$1,"*"&amp;CHAR(10)&amp;"Stanine",$N66:$ZZ66),"")</f>
        <v>1</v>
      </c>
      <c r="M66" s="69">
        <f>IF(AND(ISNUMBER(tblY8[[#This Row],[Mean Stanine]]),ISNUMBER(tblY8[[#This Row],[Avg KS2 Band]])),tblY8[[#This Row],[Mean Stanine]]-tblY8[[#This Row],[Avg KS2 Band]],"")</f>
        <v>0</v>
      </c>
      <c r="N66" s="66" t="inlineStr">
        <is>
          <t>A</t>
        </is>
      </c>
      <c r="O66" s="67" t="str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/>
      </c>
      <c r="P66" s="66" t="n">
        <v>4</v>
      </c>
      <c r="Q66" s="67">
        <f>IF(ISNUMBER(tblY8[[#This Row],[8P01 - Energy
Raw Score]]),IFERROR(VLOOKUP(STANDARDIZE(tblY8[[#This Row],[8P01 - Energy
Raw Score]],AVERAGE(tblY8[[8P01 - Energy
Raw Score]]),_xlfn.STDEV.P(tblY8[[8P01 - Energy
Raw Score]])),_Stanine,2),5),"")</f>
        <v>1</v>
      </c>
      <c r="R66" s="66" t="n">
        <v>5</v>
      </c>
      <c r="S6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1</v>
      </c>
      <c r="T66" s="66" t="n">
        <v>2</v>
      </c>
      <c r="U6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1</v>
      </c>
      <c r="V66" s="66" t="n">
        <v>2</v>
      </c>
      <c r="W66" s="67">
        <f>IF(ISNUMBER(tblY8[[#This Row],[8P02 - Light
Raw Score]]),IFERROR(VLOOKUP(STANDARDIZE(tblY8[[#This Row],[8P02 - Light
Raw Score]],AVERAGE(tblY8[[8P02 - Light
Raw Score]]),_xlfn.STDEV.P(tblY8[[8P02 - Light
Raw Score]])),_Stanine,2),5),"")</f>
        <v>1</v>
      </c>
    </row>
    <row r="67">
      <c r="A67" s="65" t="inlineStr">
        <is>
          <t>X906933308681</t>
        </is>
      </c>
      <c r="B67" s="65" t="inlineStr">
        <is>
          <t>Roberts</t>
        </is>
      </c>
      <c r="C67" s="65" t="inlineStr">
        <is>
          <t>George</t>
        </is>
      </c>
      <c r="D67" s="66" t="inlineStr">
        <is>
          <t>F</t>
        </is>
      </c>
      <c r="E67" s="66" t="inlineStr">
        <is>
          <t>N</t>
        </is>
      </c>
      <c r="F67" s="66" t="inlineStr">
        <is>
          <t>N</t>
        </is>
      </c>
      <c r="G67" s="34" t="n">
        <v>90.40000000000001</v>
      </c>
      <c r="H67" s="34" t="n">
        <v>104.5</v>
      </c>
      <c r="I67" s="67">
        <f>IF(ISNUMBER(tblY8[[#This Row],[Avg KS2]]),IFERROR(VLOOKUP(STANDARDIZE(tblY8[[#This Row],[Avg KS2]],AVERAGE(tblY8[[Avg KS2]]),_xlfn.STDEV.P(tblY8[[Avg KS2]])),_Stanine,2),5),"")</f>
        <v>5</v>
      </c>
      <c r="J67" s="66" t="inlineStr">
        <is>
          <t>8A/Sc2</t>
        </is>
      </c>
      <c r="K67" s="67">
        <f>IF(tblY8[[#This Row],[Preferred Last name]]="","",COUNTIFS($N$1:$ZZ$1,"*"&amp;CHAR(10)&amp;"Stanine",$N67:$ZZ67,"&gt;=1"))</f>
        <v>5</v>
      </c>
      <c r="L67" s="68">
        <f>IFERROR(AVERAGEIF($N$1:$ZZ$1,"*"&amp;CHAR(10)&amp;"Stanine",$N67:$ZZ67),"")</f>
        <v>5.8</v>
      </c>
      <c r="M67" s="69">
        <f>IF(AND(ISNUMBER(tblY8[[#This Row],[Mean Stanine]]),ISNUMBER(tblY8[[#This Row],[Avg KS2 Band]])),tblY8[[#This Row],[Mean Stanine]]-tblY8[[#This Row],[Avg KS2 Band]],"")</f>
        <v>0.8</v>
      </c>
      <c r="N67" s="66" t="n">
        <v>19</v>
      </c>
      <c r="O6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67" s="66" t="n">
        <v>16</v>
      </c>
      <c r="Q67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67" s="66" t="n">
        <v>17</v>
      </c>
      <c r="S6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67" s="66" t="n">
        <v>16</v>
      </c>
      <c r="U6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67" s="66" t="n">
        <v>16</v>
      </c>
      <c r="W67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68">
      <c r="A68" s="65" t="inlineStr">
        <is>
          <t>X903657978947</t>
        </is>
      </c>
      <c r="B68" s="65" t="inlineStr">
        <is>
          <t>Roberts</t>
        </is>
      </c>
      <c r="C68" s="65" t="inlineStr">
        <is>
          <t>Poppy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N</t>
        </is>
      </c>
      <c r="G68" s="34" t="n">
        <v>90.90000000000001</v>
      </c>
      <c r="H68" s="34" t="n">
        <v>111</v>
      </c>
      <c r="I68" s="67">
        <f>IF(ISNUMBER(tblY8[[#This Row],[Avg KS2]]),IFERROR(VLOOKUP(STANDARDIZE(tblY8[[#This Row],[Avg KS2]],AVERAGE(tblY8[[Avg KS2]]),_xlfn.STDEV.P(tblY8[[Avg KS2]])),_Stanine,2),5),"")</f>
        <v>7</v>
      </c>
      <c r="J68" s="66" t="inlineStr">
        <is>
          <t>8A/Sc1</t>
        </is>
      </c>
      <c r="K68" s="67">
        <f>IF(tblY8[[#This Row],[Preferred Last name]]="","",COUNTIFS($N$1:$ZZ$1,"*"&amp;CHAR(10)&amp;"Stanine",$N68:$ZZ68,"&gt;=1"))</f>
        <v>5</v>
      </c>
      <c r="L68" s="68">
        <f>IFERROR(AVERAGEIF($N$1:$ZZ$1,"*"&amp;CHAR(10)&amp;"Stanine",$N68:$ZZ68),"")</f>
        <v>7.6</v>
      </c>
      <c r="M68" s="69">
        <f>IF(AND(ISNUMBER(tblY8[[#This Row],[Mean Stanine]]),ISNUMBER(tblY8[[#This Row],[Avg KS2 Band]])),tblY8[[#This Row],[Mean Stanine]]-tblY8[[#This Row],[Avg KS2 Band]],"")</f>
        <v>0.6</v>
      </c>
      <c r="N68" s="66" t="n">
        <v>23</v>
      </c>
      <c r="O6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68" s="66" t="n">
        <v>21</v>
      </c>
      <c r="Q68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68" s="66" t="n">
        <v>25</v>
      </c>
      <c r="S6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68" s="66" t="n">
        <v>20</v>
      </c>
      <c r="U6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68" s="66" t="n">
        <v>18</v>
      </c>
      <c r="W68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69">
      <c r="A69" s="65" t="inlineStr">
        <is>
          <t>X907978613446</t>
        </is>
      </c>
      <c r="B69" s="65" t="inlineStr">
        <is>
          <t>Roberts</t>
        </is>
      </c>
      <c r="C69" s="65" t="inlineStr">
        <is>
          <t>Seren</t>
        </is>
      </c>
      <c r="D69" s="66" t="inlineStr">
        <is>
          <t>M</t>
        </is>
      </c>
      <c r="E69" s="66" t="n"/>
      <c r="F69" s="66" t="inlineStr">
        <is>
          <t>N</t>
        </is>
      </c>
      <c r="G69" s="34" t="n">
        <v>100</v>
      </c>
      <c r="H69" s="34" t="n">
        <v>103</v>
      </c>
      <c r="I69" s="67">
        <f>IF(ISNUMBER(tblY8[[#This Row],[Avg KS2]]),IFERROR(VLOOKUP(STANDARDIZE(tblY8[[#This Row],[Avg KS2]],AVERAGE(tblY8[[Avg KS2]]),_xlfn.STDEV.P(tblY8[[Avg KS2]])),_Stanine,2),5),"")</f>
        <v>4</v>
      </c>
      <c r="J69" s="66" t="inlineStr">
        <is>
          <t>8A/Sc4</t>
        </is>
      </c>
      <c r="K69" s="67">
        <f>IF(tblY8[[#This Row],[Preferred Last name]]="","",COUNTIFS($N$1:$ZZ$1,"*"&amp;CHAR(10)&amp;"Stanine",$N69:$ZZ69,"&gt;=1"))</f>
        <v>4</v>
      </c>
      <c r="L69" s="68">
        <f>IFERROR(AVERAGEIF($N$1:$ZZ$1,"*"&amp;CHAR(10)&amp;"Stanine",$N69:$ZZ69),"")</f>
        <v>5.25</v>
      </c>
      <c r="M69" s="69">
        <f>IF(AND(ISNUMBER(tblY8[[#This Row],[Mean Stanine]]),ISNUMBER(tblY8[[#This Row],[Avg KS2 Band]])),tblY8[[#This Row],[Mean Stanine]]-tblY8[[#This Row],[Avg KS2 Band]],"")</f>
        <v>1.25</v>
      </c>
      <c r="N69" s="66" t="n">
        <v>13</v>
      </c>
      <c r="O6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69" s="66" t="n">
        <v>17</v>
      </c>
      <c r="Q69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69" s="66" t="n">
        <v>16</v>
      </c>
      <c r="S6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69" s="66" t="n">
        <v>11</v>
      </c>
      <c r="U6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69" s="66" t="n"/>
      <c r="W69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70">
      <c r="A70" s="65" t="inlineStr">
        <is>
          <t>X909358925895</t>
        </is>
      </c>
      <c r="B70" s="65" t="inlineStr">
        <is>
          <t>Robinson</t>
        </is>
      </c>
      <c r="C70" s="65" t="inlineStr">
        <is>
          <t>Ivy</t>
        </is>
      </c>
      <c r="D70" s="66" t="inlineStr">
        <is>
          <t>M</t>
        </is>
      </c>
      <c r="E70" s="66" t="inlineStr">
        <is>
          <t>K</t>
        </is>
      </c>
      <c r="F70" s="66" t="inlineStr">
        <is>
          <t>Y</t>
        </is>
      </c>
      <c r="G70" s="34" t="n">
        <v>87.7</v>
      </c>
      <c r="H70" s="34" t="n">
        <v>102</v>
      </c>
      <c r="I70" s="67">
        <f>IF(ISNUMBER(tblY8[[#This Row],[Avg KS2]]),IFERROR(VLOOKUP(STANDARDIZE(tblY8[[#This Row],[Avg KS2]],AVERAGE(tblY8[[Avg KS2]]),_xlfn.STDEV.P(tblY8[[Avg KS2]])),_Stanine,2),5),"")</f>
        <v>4</v>
      </c>
      <c r="J70" s="66" t="inlineStr">
        <is>
          <t>8A/Sc2</t>
        </is>
      </c>
      <c r="K70" s="67">
        <f>IF(tblY8[[#This Row],[Preferred Last name]]="","",COUNTIFS($N$1:$ZZ$1,"*"&amp;CHAR(10)&amp;"Stanine",$N70:$ZZ70,"&gt;=1"))</f>
        <v>5</v>
      </c>
      <c r="L70" s="68">
        <f>IFERROR(AVERAGEIF($N$1:$ZZ$1,"*"&amp;CHAR(10)&amp;"Stanine",$N70:$ZZ70),"")</f>
        <v>5.8</v>
      </c>
      <c r="M70" s="69">
        <f>IF(AND(ISNUMBER(tblY8[[#This Row],[Mean Stanine]]),ISNUMBER(tblY8[[#This Row],[Avg KS2 Band]])),tblY8[[#This Row],[Mean Stanine]]-tblY8[[#This Row],[Avg KS2 Band]],"")</f>
        <v>1.8</v>
      </c>
      <c r="N70" s="66" t="n">
        <v>17</v>
      </c>
      <c r="O7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70" s="66" t="n">
        <v>19</v>
      </c>
      <c r="Q70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70" s="66" t="n">
        <v>17</v>
      </c>
      <c r="S7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70" s="66" t="n">
        <v>17</v>
      </c>
      <c r="U7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70" s="66" t="n">
        <v>9</v>
      </c>
      <c r="W70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71">
      <c r="A71" s="65" t="inlineStr">
        <is>
          <t>X909611844756</t>
        </is>
      </c>
      <c r="B71" s="65" t="inlineStr">
        <is>
          <t>Robinson</t>
        </is>
      </c>
      <c r="C71" s="65" t="inlineStr">
        <is>
          <t>Poppy</t>
        </is>
      </c>
      <c r="D71" s="66" t="inlineStr">
        <is>
          <t>M</t>
        </is>
      </c>
      <c r="E71" s="66" t="inlineStr">
        <is>
          <t>K</t>
        </is>
      </c>
      <c r="F71" s="66" t="inlineStr">
        <is>
          <t>N</t>
        </is>
      </c>
      <c r="G71" s="34" t="n">
        <v>100</v>
      </c>
      <c r="H71" s="34" t="n">
        <v>113.5</v>
      </c>
      <c r="I71" s="67">
        <f>IF(ISNUMBER(tblY8[[#This Row],[Avg KS2]]),IFERROR(VLOOKUP(STANDARDIZE(tblY8[[#This Row],[Avg KS2]],AVERAGE(tblY8[[Avg KS2]]),_xlfn.STDEV.P(tblY8[[Avg KS2]])),_Stanine,2),5),"")</f>
        <v>8</v>
      </c>
      <c r="J71" s="66" t="inlineStr">
        <is>
          <t>8A/Sc3</t>
        </is>
      </c>
      <c r="K71" s="67">
        <f>IF(tblY8[[#This Row],[Preferred Last name]]="","",COUNTIFS($N$1:$ZZ$1,"*"&amp;CHAR(10)&amp;"Stanine",$N71:$ZZ71,"&gt;=1"))</f>
        <v>4</v>
      </c>
      <c r="L71" s="68">
        <f>IFERROR(AVERAGEIF($N$1:$ZZ$1,"*"&amp;CHAR(10)&amp;"Stanine",$N71:$ZZ71),"")</f>
        <v>5.75</v>
      </c>
      <c r="M71" s="69">
        <f>IF(AND(ISNUMBER(tblY8[[#This Row],[Mean Stanine]]),ISNUMBER(tblY8[[#This Row],[Avg KS2 Band]])),tblY8[[#This Row],[Mean Stanine]]-tblY8[[#This Row],[Avg KS2 Band]],"")</f>
        <v>-2.25</v>
      </c>
      <c r="N71" s="66" t="n">
        <v>17</v>
      </c>
      <c r="O7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6</v>
      </c>
      <c r="P71" s="66" t="n">
        <v>16</v>
      </c>
      <c r="Q71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71" s="66" t="n">
        <v>18</v>
      </c>
      <c r="S7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71" s="66" t="n">
        <v>16</v>
      </c>
      <c r="U7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71" s="66" t="n"/>
      <c r="W71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72">
      <c r="A72" s="65" t="inlineStr">
        <is>
          <t>X900113516258</t>
        </is>
      </c>
      <c r="B72" s="65" t="inlineStr">
        <is>
          <t>Taylor</t>
        </is>
      </c>
      <c r="C72" s="65" t="inlineStr">
        <is>
          <t>Maya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84.5</v>
      </c>
      <c r="H72" s="34" t="n">
        <v>101</v>
      </c>
      <c r="I72" s="67">
        <f>IF(ISNUMBER(tblY8[[#This Row],[Avg KS2]]),IFERROR(VLOOKUP(STANDARDIZE(tblY8[[#This Row],[Avg KS2]],AVERAGE(tblY8[[Avg KS2]]),_xlfn.STDEV.P(tblY8[[Avg KS2]])),_Stanine,2),5),"")</f>
        <v>4</v>
      </c>
      <c r="J72" s="66" t="inlineStr">
        <is>
          <t>8A/Sc2</t>
        </is>
      </c>
      <c r="K72" s="67">
        <f>IF(tblY8[[#This Row],[Preferred Last name]]="","",COUNTIFS($N$1:$ZZ$1,"*"&amp;CHAR(10)&amp;"Stanine",$N72:$ZZ72,"&gt;=1"))</f>
        <v>5</v>
      </c>
      <c r="L72" s="68">
        <f>IFERROR(AVERAGEIF($N$1:$ZZ$1,"*"&amp;CHAR(10)&amp;"Stanine",$N72:$ZZ72),"")</f>
        <v>4.4</v>
      </c>
      <c r="M72" s="69">
        <f>IF(AND(ISNUMBER(tblY8[[#This Row],[Mean Stanine]]),ISNUMBER(tblY8[[#This Row],[Avg KS2 Band]])),tblY8[[#This Row],[Mean Stanine]]-tblY8[[#This Row],[Avg KS2 Band]],"")</f>
        <v>0.4</v>
      </c>
      <c r="N72" s="66" t="n">
        <v>10</v>
      </c>
      <c r="O7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72" s="66" t="n">
        <v>15</v>
      </c>
      <c r="Q72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72" s="66" t="n">
        <v>15</v>
      </c>
      <c r="S7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72" s="66" t="n">
        <v>12</v>
      </c>
      <c r="U7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72" s="66" t="n">
        <v>8</v>
      </c>
      <c r="W72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73">
      <c r="A73" s="65" t="inlineStr">
        <is>
          <t>X905161584177</t>
        </is>
      </c>
      <c r="B73" s="65" t="inlineStr">
        <is>
          <t>Taylor</t>
        </is>
      </c>
      <c r="C73" s="65" t="inlineStr">
        <is>
          <t>Sami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Y</t>
        </is>
      </c>
      <c r="G73" s="34" t="n">
        <v>94.40000000000001</v>
      </c>
      <c r="H73" s="34" t="n">
        <v>110.5</v>
      </c>
      <c r="I73" s="67">
        <f>IF(ISNUMBER(tblY8[[#This Row],[Avg KS2]]),IFERROR(VLOOKUP(STANDARDIZE(tblY8[[#This Row],[Avg KS2]],AVERAGE(tblY8[[Avg KS2]]),_xlfn.STDEV.P(tblY8[[Avg KS2]])),_Stanine,2),5),"")</f>
        <v>7</v>
      </c>
      <c r="J73" s="66" t="inlineStr">
        <is>
          <t>8A/Sc1</t>
        </is>
      </c>
      <c r="K73" s="67">
        <f>IF(tblY8[[#This Row],[Preferred Last name]]="","",COUNTIFS($N$1:$ZZ$1,"*"&amp;CHAR(10)&amp;"Stanine",$N73:$ZZ73,"&gt;=1"))</f>
        <v>3</v>
      </c>
      <c r="L73" s="68">
        <f>IFERROR(AVERAGEIF($N$1:$ZZ$1,"*"&amp;CHAR(10)&amp;"Stanine",$N73:$ZZ73),"")</f>
        <v>7.66666666666667</v>
      </c>
      <c r="M73" s="69">
        <f>IF(AND(ISNUMBER(tblY8[[#This Row],[Mean Stanine]]),ISNUMBER(tblY8[[#This Row],[Avg KS2 Band]])),tblY8[[#This Row],[Mean Stanine]]-tblY8[[#This Row],[Avg KS2 Band]],"")</f>
        <v>0.666666666666667</v>
      </c>
      <c r="N73" s="66" t="n">
        <v>23</v>
      </c>
      <c r="O7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73" s="66" t="n">
        <v>22</v>
      </c>
      <c r="Q73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73" s="66" t="inlineStr">
        <is>
          <t>A</t>
        </is>
      </c>
      <c r="S73" s="67" t="str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/>
      </c>
      <c r="T73" s="66" t="inlineStr">
        <is>
          <t>A</t>
        </is>
      </c>
      <c r="U73" s="67" t="str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/>
      </c>
      <c r="V73" s="66" t="n">
        <v>16</v>
      </c>
      <c r="W73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74">
      <c r="A74" s="65" t="inlineStr">
        <is>
          <t>X907717993749</t>
        </is>
      </c>
      <c r="B74" s="65" t="inlineStr">
        <is>
          <t>Thompson</t>
        </is>
      </c>
      <c r="C74" s="65" t="inlineStr">
        <is>
          <t>Ethan</t>
        </is>
      </c>
      <c r="D74" s="66" t="inlineStr">
        <is>
          <t>F</t>
        </is>
      </c>
      <c r="E74" s="66" t="inlineStr">
        <is>
          <t>K</t>
        </is>
      </c>
      <c r="F74" s="66" t="inlineStr">
        <is>
          <t>Y</t>
        </is>
      </c>
      <c r="G74" s="34" t="n">
        <v>99.5</v>
      </c>
      <c r="H74" s="34" t="n">
        <v>87</v>
      </c>
      <c r="I74" s="67">
        <f>IF(ISNUMBER(tblY8[[#This Row],[Avg KS2]]),IFERROR(VLOOKUP(STANDARDIZE(tblY8[[#This Row],[Avg KS2]],AVERAGE(tblY8[[Avg KS2]]),_xlfn.STDEV.P(tblY8[[Avg KS2]])),_Stanine,2),5),"")</f>
        <v>1</v>
      </c>
      <c r="J74" s="66" t="inlineStr">
        <is>
          <t>8A/Sc4</t>
        </is>
      </c>
      <c r="K74" s="67">
        <f>IF(tblY8[[#This Row],[Preferred Last name]]="","",COUNTIFS($N$1:$ZZ$1,"*"&amp;CHAR(10)&amp;"Stanine",$N74:$ZZ74,"&gt;=1"))</f>
        <v>4</v>
      </c>
      <c r="L74" s="68">
        <f>IFERROR(AVERAGEIF($N$1:$ZZ$1,"*"&amp;CHAR(10)&amp;"Stanine",$N74:$ZZ74),"")</f>
        <v>1</v>
      </c>
      <c r="M74" s="69">
        <f>IF(AND(ISNUMBER(tblY8[[#This Row],[Mean Stanine]]),ISNUMBER(tblY8[[#This Row],[Avg KS2 Band]])),tblY8[[#This Row],[Mean Stanine]]-tblY8[[#This Row],[Avg KS2 Band]],"")</f>
        <v>0</v>
      </c>
      <c r="N74" s="66" t="n">
        <v>2</v>
      </c>
      <c r="O7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1</v>
      </c>
      <c r="P74" s="66" t="n">
        <v>3</v>
      </c>
      <c r="Q74" s="67">
        <f>IF(ISNUMBER(tblY8[[#This Row],[8P01 - Energy
Raw Score]]),IFERROR(VLOOKUP(STANDARDIZE(tblY8[[#This Row],[8P01 - Energy
Raw Score]],AVERAGE(tblY8[[8P01 - Energy
Raw Score]]),_xlfn.STDEV.P(tblY8[[8P01 - Energy
Raw Score]])),_Stanine,2),5),"")</f>
        <v>1</v>
      </c>
      <c r="R74" s="66" t="n">
        <v>2</v>
      </c>
      <c r="S7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1</v>
      </c>
      <c r="T74" s="66" t="n">
        <v>1</v>
      </c>
      <c r="U7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1</v>
      </c>
      <c r="V74" s="66" t="n"/>
      <c r="W74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75">
      <c r="A75" s="65" t="inlineStr">
        <is>
          <t>X900694066887</t>
        </is>
      </c>
      <c r="B75" s="65" t="inlineStr">
        <is>
          <t>Thompson</t>
        </is>
      </c>
      <c r="C75" s="65" t="inlineStr">
        <is>
          <t>Finley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N</t>
        </is>
      </c>
      <c r="G75" s="34" t="n">
        <v>99.2</v>
      </c>
      <c r="H75" s="34" t="n">
        <v>99.5</v>
      </c>
      <c r="I75" s="67">
        <f>IF(ISNUMBER(tblY8[[#This Row],[Avg KS2]]),IFERROR(VLOOKUP(STANDARDIZE(tblY8[[#This Row],[Avg KS2]],AVERAGE(tblY8[[Avg KS2]]),_xlfn.STDEV.P(tblY8[[Avg KS2]])),_Stanine,2),5),"")</f>
        <v>3</v>
      </c>
      <c r="J75" s="66" t="inlineStr">
        <is>
          <t>8A/Sc2</t>
        </is>
      </c>
      <c r="K75" s="67">
        <f>IF(tblY8[[#This Row],[Preferred Last name]]="","",COUNTIFS($N$1:$ZZ$1,"*"&amp;CHAR(10)&amp;"Stanine",$N75:$ZZ75,"&gt;=1"))</f>
        <v>5</v>
      </c>
      <c r="L75" s="68">
        <f>IFERROR(AVERAGEIF($N$1:$ZZ$1,"*"&amp;CHAR(10)&amp;"Stanine",$N75:$ZZ75),"")</f>
        <v>2.2</v>
      </c>
      <c r="M75" s="69">
        <f>IF(AND(ISNUMBER(tblY8[[#This Row],[Mean Stanine]]),ISNUMBER(tblY8[[#This Row],[Avg KS2 Band]])),tblY8[[#This Row],[Mean Stanine]]-tblY8[[#This Row],[Avg KS2 Band]],"")</f>
        <v>-0.8</v>
      </c>
      <c r="N75" s="66" t="n">
        <v>5</v>
      </c>
      <c r="O7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75" s="66" t="n">
        <v>8</v>
      </c>
      <c r="Q75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75" s="66" t="n">
        <v>11</v>
      </c>
      <c r="S7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75" s="66" t="n">
        <v>4</v>
      </c>
      <c r="U7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2</v>
      </c>
      <c r="V75" s="66" t="n">
        <v>6</v>
      </c>
      <c r="W75" s="67">
        <f>IF(ISNUMBER(tblY8[[#This Row],[8P02 - Light
Raw Score]]),IFERROR(VLOOKUP(STANDARDIZE(tblY8[[#This Row],[8P02 - Light
Raw Score]],AVERAGE(tblY8[[8P02 - Light
Raw Score]]),_xlfn.STDEV.P(tblY8[[8P02 - Light
Raw Score]])),_Stanine,2),5),"")</f>
        <v>2</v>
      </c>
    </row>
    <row r="76">
      <c r="A76" s="65" t="inlineStr">
        <is>
          <t>X900504369500</t>
        </is>
      </c>
      <c r="B76" s="65" t="inlineStr">
        <is>
          <t>Thompson</t>
        </is>
      </c>
      <c r="C76" s="65" t="inlineStr">
        <is>
          <t>Maisie</t>
        </is>
      </c>
      <c r="D76" s="66" t="inlineStr">
        <is>
          <t>F</t>
        </is>
      </c>
      <c r="E76" s="66" t="n"/>
      <c r="F76" s="66" t="inlineStr">
        <is>
          <t>N</t>
        </is>
      </c>
      <c r="G76" s="34" t="n">
        <v>87.7</v>
      </c>
      <c r="H76" s="34" t="n">
        <v>106.5</v>
      </c>
      <c r="I76" s="67">
        <f>IF(ISNUMBER(tblY8[[#This Row],[Avg KS2]]),IFERROR(VLOOKUP(STANDARDIZE(tblY8[[#This Row],[Avg KS2]],AVERAGE(tblY8[[Avg KS2]]),_xlfn.STDEV.P(tblY8[[Avg KS2]])),_Stanine,2),5),"")</f>
        <v>6</v>
      </c>
      <c r="J76" s="66" t="inlineStr">
        <is>
          <t>8A/Sc1</t>
        </is>
      </c>
      <c r="K76" s="67">
        <f>IF(tblY8[[#This Row],[Preferred Last name]]="","",COUNTIFS($N$1:$ZZ$1,"*"&amp;CHAR(10)&amp;"Stanine",$N76:$ZZ76,"&gt;=1"))</f>
        <v>5</v>
      </c>
      <c r="L76" s="68">
        <f>IFERROR(AVERAGEIF($N$1:$ZZ$1,"*"&amp;CHAR(10)&amp;"Stanine",$N76:$ZZ76),"")</f>
        <v>4.2</v>
      </c>
      <c r="M76" s="69">
        <f>IF(AND(ISNUMBER(tblY8[[#This Row],[Mean Stanine]]),ISNUMBER(tblY8[[#This Row],[Avg KS2 Band]])),tblY8[[#This Row],[Mean Stanine]]-tblY8[[#This Row],[Avg KS2 Band]],"")</f>
        <v>-1.8</v>
      </c>
      <c r="N76" s="66" t="n">
        <v>10</v>
      </c>
      <c r="O7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76" s="66" t="n">
        <v>16</v>
      </c>
      <c r="Q76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76" s="66" t="n">
        <v>16</v>
      </c>
      <c r="S7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76" s="66" t="n">
        <v>9</v>
      </c>
      <c r="U7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76" s="66" t="n">
        <v>8</v>
      </c>
      <c r="W76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77">
      <c r="A77" s="65" t="inlineStr">
        <is>
          <t>X900630570451</t>
        </is>
      </c>
      <c r="B77" s="65" t="inlineStr">
        <is>
          <t>Turner</t>
        </is>
      </c>
      <c r="C77" s="65" t="inlineStr">
        <is>
          <t>Aisha</t>
        </is>
      </c>
      <c r="D77" s="66" t="inlineStr">
        <is>
          <t>F</t>
        </is>
      </c>
      <c r="E77" s="66" t="inlineStr">
        <is>
          <t>N</t>
        </is>
      </c>
      <c r="F77" s="66" t="inlineStr">
        <is>
          <t>N</t>
        </is>
      </c>
      <c r="G77" s="34" t="n">
        <v>87.59999999999999</v>
      </c>
      <c r="H77" s="34" t="n">
        <v>96</v>
      </c>
      <c r="I77" s="67">
        <f>IF(ISNUMBER(tblY8[[#This Row],[Avg KS2]]),IFERROR(VLOOKUP(STANDARDIZE(tblY8[[#This Row],[Avg KS2]],AVERAGE(tblY8[[Avg KS2]]),_xlfn.STDEV.P(tblY8[[Avg KS2]])),_Stanine,2),5),"")</f>
        <v>2</v>
      </c>
      <c r="J77" s="66" t="inlineStr">
        <is>
          <t>Science Support</t>
        </is>
      </c>
      <c r="K77" s="67">
        <f>IF(tblY8[[#This Row],[Preferred Last name]]="","",COUNTIFS($N$1:$ZZ$1,"*"&amp;CHAR(10)&amp;"Stanine",$N77:$ZZ77,"&gt;=1"))</f>
        <v>5</v>
      </c>
      <c r="L77" s="68">
        <f>IFERROR(AVERAGEIF($N$1:$ZZ$1,"*"&amp;CHAR(10)&amp;"Stanine",$N77:$ZZ77),"")</f>
        <v>3.2</v>
      </c>
      <c r="M77" s="69">
        <f>IF(AND(ISNUMBER(tblY8[[#This Row],[Mean Stanine]]),ISNUMBER(tblY8[[#This Row],[Avg KS2 Band]])),tblY8[[#This Row],[Mean Stanine]]-tblY8[[#This Row],[Avg KS2 Band]],"")</f>
        <v>1.2</v>
      </c>
      <c r="N77" s="66" t="n">
        <v>7</v>
      </c>
      <c r="O7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77" s="66" t="n">
        <v>11</v>
      </c>
      <c r="Q77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77" s="66" t="n">
        <v>9</v>
      </c>
      <c r="S7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77" s="66" t="n">
        <v>5</v>
      </c>
      <c r="U7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77" s="66" t="n">
        <v>8</v>
      </c>
      <c r="W77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78">
      <c r="A78" s="65" t="inlineStr">
        <is>
          <t>X903953395570</t>
        </is>
      </c>
      <c r="B78" s="65" t="inlineStr">
        <is>
          <t>Turner</t>
        </is>
      </c>
      <c r="C78" s="65" t="inlineStr">
        <is>
          <t>Ibrahim</t>
        </is>
      </c>
      <c r="D78" s="66" t="inlineStr">
        <is>
          <t>M</t>
        </is>
      </c>
      <c r="E78" s="66" t="inlineStr">
        <is>
          <t>N</t>
        </is>
      </c>
      <c r="F78" s="66" t="inlineStr">
        <is>
          <t>N</t>
        </is>
      </c>
      <c r="G78" s="34" t="n">
        <v>86.09999999999999</v>
      </c>
      <c r="H78" s="34" t="n">
        <v>114.5</v>
      </c>
      <c r="I78" s="67">
        <f>IF(ISNUMBER(tblY8[[#This Row],[Avg KS2]]),IFERROR(VLOOKUP(STANDARDIZE(tblY8[[#This Row],[Avg KS2]],AVERAGE(tblY8[[Avg KS2]]),_xlfn.STDEV.P(tblY8[[Avg KS2]])),_Stanine,2),5),"")</f>
        <v>8</v>
      </c>
      <c r="J78" s="66" t="inlineStr">
        <is>
          <t>8A/Sc1</t>
        </is>
      </c>
      <c r="K78" s="67">
        <f>IF(tblY8[[#This Row],[Preferred Last name]]="","",COUNTIFS($N$1:$ZZ$1,"*"&amp;CHAR(10)&amp;"Stanine",$N78:$ZZ78,"&gt;=1"))</f>
        <v>5</v>
      </c>
      <c r="L78" s="68">
        <f>IFERROR(AVERAGEIF($N$1:$ZZ$1,"*"&amp;CHAR(10)&amp;"Stanine",$N78:$ZZ78),"")</f>
        <v>7.4</v>
      </c>
      <c r="M78" s="69">
        <f>IF(AND(ISNUMBER(tblY8[[#This Row],[Mean Stanine]]),ISNUMBER(tblY8[[#This Row],[Avg KS2 Band]])),tblY8[[#This Row],[Mean Stanine]]-tblY8[[#This Row],[Avg KS2 Band]],"")</f>
        <v>-0.6</v>
      </c>
      <c r="N78" s="66" t="n">
        <v>25</v>
      </c>
      <c r="O7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78" s="66" t="n">
        <v>21</v>
      </c>
      <c r="Q78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78" s="66" t="n">
        <v>23</v>
      </c>
      <c r="S7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78" s="66" t="n">
        <v>19</v>
      </c>
      <c r="U7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78" s="66" t="n">
        <v>19</v>
      </c>
      <c r="W78" s="67">
        <f>IF(ISNUMBER(tblY8[[#This Row],[8P02 - Light
Raw Score]]),IFERROR(VLOOKUP(STANDARDIZE(tblY8[[#This Row],[8P02 - Light
Raw Score]],AVERAGE(tblY8[[8P02 - Light
Raw Score]]),_xlfn.STDEV.P(tblY8[[8P02 - Light
Raw Score]])),_Stanine,2),5),"")</f>
        <v>8</v>
      </c>
    </row>
    <row r="79">
      <c r="A79" s="65" t="inlineStr">
        <is>
          <t>X906492988530</t>
        </is>
      </c>
      <c r="B79" s="65" t="inlineStr">
        <is>
          <t>Turner</t>
        </is>
      </c>
      <c r="C79" s="65" t="inlineStr">
        <is>
          <t>Leo</t>
        </is>
      </c>
      <c r="D79" s="66" t="inlineStr">
        <is>
          <t>M</t>
        </is>
      </c>
      <c r="E79" s="66" t="inlineStr">
        <is>
          <t>N</t>
        </is>
      </c>
      <c r="F79" s="66" t="inlineStr">
        <is>
          <t>N</t>
        </is>
      </c>
      <c r="G79" s="34" t="n">
        <v>100</v>
      </c>
      <c r="H79" s="34" t="n">
        <v>108</v>
      </c>
      <c r="I79" s="67">
        <f>IF(ISNUMBER(tblY8[[#This Row],[Avg KS2]]),IFERROR(VLOOKUP(STANDARDIZE(tblY8[[#This Row],[Avg KS2]],AVERAGE(tblY8[[Avg KS2]]),_xlfn.STDEV.P(tblY8[[Avg KS2]])),_Stanine,2),5),"")</f>
        <v>6</v>
      </c>
      <c r="J79" s="66" t="inlineStr">
        <is>
          <t>8A/Sc2</t>
        </is>
      </c>
      <c r="K79" s="67">
        <f>IF(tblY8[[#This Row],[Preferred Last name]]="","",COUNTIFS($N$1:$ZZ$1,"*"&amp;CHAR(10)&amp;"Stanine",$N79:$ZZ79,"&gt;=1"))</f>
        <v>5</v>
      </c>
      <c r="L79" s="68">
        <f>IFERROR(AVERAGEIF($N$1:$ZZ$1,"*"&amp;CHAR(10)&amp;"Stanine",$N79:$ZZ79),"")</f>
        <v>7</v>
      </c>
      <c r="M79" s="69">
        <f>IF(AND(ISNUMBER(tblY8[[#This Row],[Mean Stanine]]),ISNUMBER(tblY8[[#This Row],[Avg KS2 Band]])),tblY8[[#This Row],[Mean Stanine]]-tblY8[[#This Row],[Avg KS2 Band]],"")</f>
        <v>1</v>
      </c>
      <c r="N79" s="66" t="n">
        <v>21</v>
      </c>
      <c r="O7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79" s="66" t="n">
        <v>19</v>
      </c>
      <c r="Q79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79" s="66" t="n">
        <v>22</v>
      </c>
      <c r="S7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79" s="66" t="n">
        <v>18</v>
      </c>
      <c r="U7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79" s="66" t="n">
        <v>16</v>
      </c>
      <c r="W79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80">
      <c r="A80" s="65" t="inlineStr">
        <is>
          <t>X903991224959</t>
        </is>
      </c>
      <c r="B80" s="65" t="inlineStr">
        <is>
          <t>Walker</t>
        </is>
      </c>
      <c r="C80" s="65" t="inlineStr">
        <is>
          <t>Ethan</t>
        </is>
      </c>
      <c r="D80" s="66" t="inlineStr">
        <is>
          <t>M</t>
        </is>
      </c>
      <c r="E80" s="66" t="n"/>
      <c r="F80" s="66" t="inlineStr">
        <is>
          <t>N</t>
        </is>
      </c>
      <c r="G80" s="34" t="n">
        <v>95.3</v>
      </c>
      <c r="H80" s="34" t="n">
        <v>103.5</v>
      </c>
      <c r="I80" s="67">
        <f>IF(ISNUMBER(tblY8[[#This Row],[Avg KS2]]),IFERROR(VLOOKUP(STANDARDIZE(tblY8[[#This Row],[Avg KS2]],AVERAGE(tblY8[[Avg KS2]]),_xlfn.STDEV.P(tblY8[[Avg KS2]])),_Stanine,2),5),"")</f>
        <v>4</v>
      </c>
      <c r="J80" s="66" t="inlineStr">
        <is>
          <t>8A/Sc2</t>
        </is>
      </c>
      <c r="K80" s="67">
        <f>IF(tblY8[[#This Row],[Preferred Last name]]="","",COUNTIFS($N$1:$ZZ$1,"*"&amp;CHAR(10)&amp;"Stanine",$N80:$ZZ80,"&gt;=1"))</f>
        <v>4</v>
      </c>
      <c r="L80" s="68">
        <f>IFERROR(AVERAGEIF($N$1:$ZZ$1,"*"&amp;CHAR(10)&amp;"Stanine",$N80:$ZZ80),"")</f>
        <v>4.5</v>
      </c>
      <c r="M80" s="69">
        <f>IF(AND(ISNUMBER(tblY8[[#This Row],[Mean Stanine]]),ISNUMBER(tblY8[[#This Row],[Avg KS2 Band]])),tblY8[[#This Row],[Mean Stanine]]-tblY8[[#This Row],[Avg KS2 Band]],"")</f>
        <v>0.5</v>
      </c>
      <c r="N80" s="66" t="n">
        <v>11</v>
      </c>
      <c r="O8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80" s="66" t="n">
        <v>16</v>
      </c>
      <c r="Q80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80" s="66" t="n">
        <v>15</v>
      </c>
      <c r="S8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80" s="66" t="n">
        <v>10</v>
      </c>
      <c r="U8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80" s="66" t="inlineStr">
        <is>
          <t>A</t>
        </is>
      </c>
      <c r="W8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81">
      <c r="A81" s="65" t="inlineStr">
        <is>
          <t>X905559797970</t>
        </is>
      </c>
      <c r="B81" s="65" t="inlineStr">
        <is>
          <t>Walker</t>
        </is>
      </c>
      <c r="C81" s="65" t="inlineStr">
        <is>
          <t>Leo</t>
        </is>
      </c>
      <c r="D81" s="66" t="inlineStr">
        <is>
          <t>M</t>
        </is>
      </c>
      <c r="E81" s="66" t="inlineStr">
        <is>
          <t>N</t>
        </is>
      </c>
      <c r="F81" s="66" t="inlineStr">
        <is>
          <t>Y</t>
        </is>
      </c>
      <c r="G81" s="34" t="n">
        <v>100</v>
      </c>
      <c r="H81" s="34" t="n">
        <v>112.5</v>
      </c>
      <c r="I81" s="67">
        <f>IF(ISNUMBER(tblY8[[#This Row],[Avg KS2]]),IFERROR(VLOOKUP(STANDARDIZE(tblY8[[#This Row],[Avg KS2]],AVERAGE(tblY8[[Avg KS2]]),_xlfn.STDEV.P(tblY8[[Avg KS2]])),_Stanine,2),5),"")</f>
        <v>8</v>
      </c>
      <c r="J81" s="66" t="inlineStr">
        <is>
          <t>8A/Sc2</t>
        </is>
      </c>
      <c r="K81" s="67">
        <f>IF(tblY8[[#This Row],[Preferred Last name]]="","",COUNTIFS($N$1:$ZZ$1,"*"&amp;CHAR(10)&amp;"Stanine",$N81:$ZZ81,"&gt;=1"))</f>
        <v>5</v>
      </c>
      <c r="L81" s="68">
        <f>IFERROR(AVERAGEIF($N$1:$ZZ$1,"*"&amp;CHAR(10)&amp;"Stanine",$N81:$ZZ81),"")</f>
        <v>6.8</v>
      </c>
      <c r="M81" s="69">
        <f>IF(AND(ISNUMBER(tblY8[[#This Row],[Mean Stanine]]),ISNUMBER(tblY8[[#This Row],[Avg KS2 Band]])),tblY8[[#This Row],[Mean Stanine]]-tblY8[[#This Row],[Avg KS2 Band]],"")</f>
        <v>-1.2</v>
      </c>
      <c r="N81" s="66" t="n">
        <v>23</v>
      </c>
      <c r="O8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8</v>
      </c>
      <c r="P81" s="66" t="n">
        <v>19</v>
      </c>
      <c r="Q81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81" s="66" t="n">
        <v>16</v>
      </c>
      <c r="S8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81" s="66" t="n">
        <v>19</v>
      </c>
      <c r="U8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7</v>
      </c>
      <c r="V81" s="66" t="n">
        <v>17</v>
      </c>
      <c r="W81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82">
      <c r="A82" s="65" t="inlineStr">
        <is>
          <t>X908097886407</t>
        </is>
      </c>
      <c r="B82" s="65" t="inlineStr">
        <is>
          <t>Ward</t>
        </is>
      </c>
      <c r="C82" s="65" t="inlineStr">
        <is>
          <t>Aisha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96.09999999999999</v>
      </c>
      <c r="H82" s="34" t="n">
        <v>103</v>
      </c>
      <c r="I82" s="67">
        <f>IF(ISNUMBER(tblY8[[#This Row],[Avg KS2]]),IFERROR(VLOOKUP(STANDARDIZE(tblY8[[#This Row],[Avg KS2]],AVERAGE(tblY8[[Avg KS2]]),_xlfn.STDEV.P(tblY8[[Avg KS2]])),_Stanine,2),5),"")</f>
        <v>4</v>
      </c>
      <c r="J82" s="66" t="inlineStr">
        <is>
          <t>8A/Sc1</t>
        </is>
      </c>
      <c r="K82" s="67">
        <f>IF(tblY8[[#This Row],[Preferred Last name]]="","",COUNTIFS($N$1:$ZZ$1,"*"&amp;CHAR(10)&amp;"Stanine",$N82:$ZZ82,"&gt;=1"))</f>
        <v>5</v>
      </c>
      <c r="L82" s="68">
        <f>IFERROR(AVERAGEIF($N$1:$ZZ$1,"*"&amp;CHAR(10)&amp;"Stanine",$N82:$ZZ82),"")</f>
        <v>5.2</v>
      </c>
      <c r="M82" s="69">
        <f>IF(AND(ISNUMBER(tblY8[[#This Row],[Mean Stanine]]),ISNUMBER(tblY8[[#This Row],[Avg KS2 Band]])),tblY8[[#This Row],[Mean Stanine]]-tblY8[[#This Row],[Avg KS2 Band]],"")</f>
        <v>1.2</v>
      </c>
      <c r="N82" s="66" t="n">
        <v>11</v>
      </c>
      <c r="O8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82" s="66" t="n">
        <v>13</v>
      </c>
      <c r="Q82" s="67">
        <f>IF(ISNUMBER(tblY8[[#This Row],[8P01 - Energy
Raw Score]]),IFERROR(VLOOKUP(STANDARDIZE(tblY8[[#This Row],[8P01 - Energy
Raw Score]],AVERAGE(tblY8[[8P01 - Energy
Raw Score]]),_xlfn.STDEV.P(tblY8[[8P01 - Energy
Raw Score]])),_Stanine,2),5),"")</f>
        <v>4</v>
      </c>
      <c r="R82" s="66" t="n">
        <v>22</v>
      </c>
      <c r="S8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82" s="66" t="n">
        <v>13</v>
      </c>
      <c r="U8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82" s="66" t="n">
        <v>15</v>
      </c>
      <c r="W82" s="67">
        <f>IF(ISNUMBER(tblY8[[#This Row],[8P02 - Light
Raw Score]]),IFERROR(VLOOKUP(STANDARDIZE(tblY8[[#This Row],[8P02 - Light
Raw Score]],AVERAGE(tblY8[[8P02 - Light
Raw Score]]),_xlfn.STDEV.P(tblY8[[8P02 - Light
Raw Score]])),_Stanine,2),5),"")</f>
        <v>6</v>
      </c>
    </row>
    <row r="83">
      <c r="A83" s="65" t="inlineStr">
        <is>
          <t>X907532122804</t>
        </is>
      </c>
      <c r="B83" s="65" t="inlineStr">
        <is>
          <t>Ward</t>
        </is>
      </c>
      <c r="C83" s="65" t="inlineStr">
        <is>
          <t>Rhys</t>
        </is>
      </c>
      <c r="D83" s="66" t="inlineStr">
        <is>
          <t>F</t>
        </is>
      </c>
      <c r="E83" s="66" t="inlineStr">
        <is>
          <t>N</t>
        </is>
      </c>
      <c r="F83" s="66" t="inlineStr">
        <is>
          <t>Y</t>
        </is>
      </c>
      <c r="G83" s="34" t="n">
        <v>100</v>
      </c>
      <c r="H83" s="34" t="n">
        <v>104</v>
      </c>
      <c r="I83" s="67">
        <f>IF(ISNUMBER(tblY8[[#This Row],[Avg KS2]]),IFERROR(VLOOKUP(STANDARDIZE(tblY8[[#This Row],[Avg KS2]],AVERAGE(tblY8[[Avg KS2]]),_xlfn.STDEV.P(tblY8[[Avg KS2]])),_Stanine,2),5),"")</f>
        <v>5</v>
      </c>
      <c r="J83" s="66" t="inlineStr">
        <is>
          <t>8A/Sc3</t>
        </is>
      </c>
      <c r="K83" s="67">
        <f>IF(tblY8[[#This Row],[Preferred Last name]]="","",COUNTIFS($N$1:$ZZ$1,"*"&amp;CHAR(10)&amp;"Stanine",$N83:$ZZ83,"&gt;=1"))</f>
        <v>4</v>
      </c>
      <c r="L83" s="68">
        <f>IFERROR(AVERAGEIF($N$1:$ZZ$1,"*"&amp;CHAR(10)&amp;"Stanine",$N83:$ZZ83),"")</f>
        <v>4</v>
      </c>
      <c r="M83" s="69">
        <f>IF(AND(ISNUMBER(tblY8[[#This Row],[Mean Stanine]]),ISNUMBER(tblY8[[#This Row],[Avg KS2 Band]])),tblY8[[#This Row],[Mean Stanine]]-tblY8[[#This Row],[Avg KS2 Band]],"")</f>
        <v>-1</v>
      </c>
      <c r="N83" s="66" t="n">
        <v>12</v>
      </c>
      <c r="O8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83" s="66" t="n">
        <v>14</v>
      </c>
      <c r="Q83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83" s="66" t="n">
        <v>12</v>
      </c>
      <c r="S8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83" s="66" t="n">
        <v>7</v>
      </c>
      <c r="U8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83" s="66" t="n"/>
      <c r="W83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84">
      <c r="A84" s="65" t="inlineStr">
        <is>
          <t>X907925992776</t>
        </is>
      </c>
      <c r="B84" s="65" t="inlineStr">
        <is>
          <t>White</t>
        </is>
      </c>
      <c r="C84" s="65" t="inlineStr">
        <is>
          <t>Dylan</t>
        </is>
      </c>
      <c r="D84" s="66" t="inlineStr">
        <is>
          <t>M</t>
        </is>
      </c>
      <c r="E84" s="66" t="inlineStr">
        <is>
          <t>K</t>
        </is>
      </c>
      <c r="F84" s="66" t="inlineStr">
        <is>
          <t>N</t>
        </is>
      </c>
      <c r="G84" s="34" t="n">
        <v>98.3</v>
      </c>
      <c r="H84" s="34" t="n">
        <v>106.5</v>
      </c>
      <c r="I84" s="67">
        <f>IF(ISNUMBER(tblY8[[#This Row],[Avg KS2]]),IFERROR(VLOOKUP(STANDARDIZE(tblY8[[#This Row],[Avg KS2]],AVERAGE(tblY8[[Avg KS2]]),_xlfn.STDEV.P(tblY8[[Avg KS2]])),_Stanine,2),5),"")</f>
        <v>6</v>
      </c>
      <c r="J84" s="66" t="inlineStr">
        <is>
          <t>8A/Sc2</t>
        </is>
      </c>
      <c r="K84" s="67">
        <f>IF(tblY8[[#This Row],[Preferred Last name]]="","",COUNTIFS($N$1:$ZZ$1,"*"&amp;CHAR(10)&amp;"Stanine",$N84:$ZZ84,"&gt;=1"))</f>
        <v>5</v>
      </c>
      <c r="L84" s="68">
        <f>IFERROR(AVERAGEIF($N$1:$ZZ$1,"*"&amp;CHAR(10)&amp;"Stanine",$N84:$ZZ84),"")</f>
        <v>5</v>
      </c>
      <c r="M84" s="69">
        <f>IF(AND(ISNUMBER(tblY8[[#This Row],[Mean Stanine]]),ISNUMBER(tblY8[[#This Row],[Avg KS2 Band]])),tblY8[[#This Row],[Mean Stanine]]-tblY8[[#This Row],[Avg KS2 Band]],"")</f>
        <v>-1</v>
      </c>
      <c r="N84" s="66" t="n">
        <v>16</v>
      </c>
      <c r="O8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84" s="66" t="n">
        <v>17</v>
      </c>
      <c r="Q84" s="67">
        <f>IF(ISNUMBER(tblY8[[#This Row],[8P01 - Energy
Raw Score]]),IFERROR(VLOOKUP(STANDARDIZE(tblY8[[#This Row],[8P01 - Energy
Raw Score]],AVERAGE(tblY8[[8P01 - Energy
Raw Score]]),_xlfn.STDEV.P(tblY8[[8P01 - Energy
Raw Score]])),_Stanine,2),5),"")</f>
        <v>6</v>
      </c>
      <c r="R84" s="66" t="n">
        <v>18</v>
      </c>
      <c r="S8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84" s="66" t="n">
        <v>10</v>
      </c>
      <c r="U8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84" s="66" t="n">
        <v>9</v>
      </c>
      <c r="W84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85">
      <c r="A85" s="65" t="inlineStr">
        <is>
          <t>X904460824475</t>
        </is>
      </c>
      <c r="B85" s="65" t="inlineStr">
        <is>
          <t>White</t>
        </is>
      </c>
      <c r="C85" s="65" t="inlineStr">
        <is>
          <t>Ibrahim</t>
        </is>
      </c>
      <c r="D85" s="66" t="inlineStr">
        <is>
          <t>M</t>
        </is>
      </c>
      <c r="E85" s="66" t="n"/>
      <c r="F85" s="66" t="inlineStr">
        <is>
          <t>N</t>
        </is>
      </c>
      <c r="G85" s="34" t="n">
        <v>99.09999999999999</v>
      </c>
      <c r="H85" s="34" t="n">
        <v>102</v>
      </c>
      <c r="I85" s="67">
        <f>IF(ISNUMBER(tblY8[[#This Row],[Avg KS2]]),IFERROR(VLOOKUP(STANDARDIZE(tblY8[[#This Row],[Avg KS2]],AVERAGE(tblY8[[Avg KS2]]),_xlfn.STDEV.P(tblY8[[Avg KS2]])),_Stanine,2),5),"")</f>
        <v>4</v>
      </c>
      <c r="J85" s="66" t="inlineStr">
        <is>
          <t>8A/Sc4</t>
        </is>
      </c>
      <c r="K85" s="67">
        <f>IF(tblY8[[#This Row],[Preferred Last name]]="","",COUNTIFS($N$1:$ZZ$1,"*"&amp;CHAR(10)&amp;"Stanine",$N85:$ZZ85,"&gt;=1"))</f>
        <v>4</v>
      </c>
      <c r="L85" s="68">
        <f>IFERROR(AVERAGEIF($N$1:$ZZ$1,"*"&amp;CHAR(10)&amp;"Stanine",$N85:$ZZ85),"")</f>
        <v>3.5</v>
      </c>
      <c r="M85" s="69">
        <f>IF(AND(ISNUMBER(tblY8[[#This Row],[Mean Stanine]]),ISNUMBER(tblY8[[#This Row],[Avg KS2 Band]])),tblY8[[#This Row],[Mean Stanine]]-tblY8[[#This Row],[Avg KS2 Band]],"")</f>
        <v>-0.5</v>
      </c>
      <c r="N85" s="66" t="n">
        <v>10</v>
      </c>
      <c r="O85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85" s="66" t="n">
        <v>8</v>
      </c>
      <c r="Q85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85" s="66" t="n">
        <v>17</v>
      </c>
      <c r="S85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85" s="66" t="n">
        <v>5</v>
      </c>
      <c r="U85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85" s="66" t="n"/>
      <c r="W85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86">
      <c r="A86" s="65" t="inlineStr">
        <is>
          <t>X907296040121</t>
        </is>
      </c>
      <c r="B86" s="65" t="inlineStr">
        <is>
          <t>White</t>
        </is>
      </c>
      <c r="C86" s="65" t="inlineStr">
        <is>
          <t>Megan</t>
        </is>
      </c>
      <c r="D86" s="66" t="inlineStr">
        <is>
          <t>F</t>
        </is>
      </c>
      <c r="E86" s="66" t="inlineStr">
        <is>
          <t>K</t>
        </is>
      </c>
      <c r="F86" s="66" t="inlineStr">
        <is>
          <t>N</t>
        </is>
      </c>
      <c r="G86" s="34" t="n">
        <v>97.3</v>
      </c>
      <c r="H86" s="34" t="n">
        <v>104</v>
      </c>
      <c r="I86" s="67">
        <f>IF(ISNUMBER(tblY8[[#This Row],[Avg KS2]]),IFERROR(VLOOKUP(STANDARDIZE(tblY8[[#This Row],[Avg KS2]],AVERAGE(tblY8[[Avg KS2]]),_xlfn.STDEV.P(tblY8[[Avg KS2]])),_Stanine,2),5),"")</f>
        <v>5</v>
      </c>
      <c r="J86" s="66" t="inlineStr">
        <is>
          <t>8A/Sc3</t>
        </is>
      </c>
      <c r="K86" s="67">
        <f>IF(tblY8[[#This Row],[Preferred Last name]]="","",COUNTIFS($N$1:$ZZ$1,"*"&amp;CHAR(10)&amp;"Stanine",$N86:$ZZ86,"&gt;=1"))</f>
        <v>4</v>
      </c>
      <c r="L86" s="68">
        <f>IFERROR(AVERAGEIF($N$1:$ZZ$1,"*"&amp;CHAR(10)&amp;"Stanine",$N86:$ZZ86),"")</f>
        <v>3.5</v>
      </c>
      <c r="M86" s="69">
        <f>IF(AND(ISNUMBER(tblY8[[#This Row],[Mean Stanine]]),ISNUMBER(tblY8[[#This Row],[Avg KS2 Band]])),tblY8[[#This Row],[Mean Stanine]]-tblY8[[#This Row],[Avg KS2 Band]],"")</f>
        <v>-1.5</v>
      </c>
      <c r="N86" s="66" t="n">
        <v>10</v>
      </c>
      <c r="O86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4</v>
      </c>
      <c r="P86" s="66" t="n">
        <v>8</v>
      </c>
      <c r="Q86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86" s="66" t="n">
        <v>13</v>
      </c>
      <c r="S86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4</v>
      </c>
      <c r="T86" s="66" t="n">
        <v>8</v>
      </c>
      <c r="U86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86" s="66" t="n"/>
      <c r="W86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87">
      <c r="A87" s="65" t="inlineStr">
        <is>
          <t>X902699099788</t>
        </is>
      </c>
      <c r="B87" s="65" t="inlineStr">
        <is>
          <t>Wilson</t>
        </is>
      </c>
      <c r="C87" s="65" t="inlineStr">
        <is>
          <t>Arjun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99.2</v>
      </c>
      <c r="H87" s="34" t="n">
        <v>104.5</v>
      </c>
      <c r="I87" s="67">
        <f>IF(ISNUMBER(tblY8[[#This Row],[Avg KS2]]),IFERROR(VLOOKUP(STANDARDIZE(tblY8[[#This Row],[Avg KS2]],AVERAGE(tblY8[[Avg KS2]]),_xlfn.STDEV.P(tblY8[[Avg KS2]])),_Stanine,2),5),"")</f>
        <v>5</v>
      </c>
      <c r="J87" s="66" t="inlineStr">
        <is>
          <t>8A/Sc2</t>
        </is>
      </c>
      <c r="K87" s="67">
        <f>IF(tblY8[[#This Row],[Preferred Last name]]="","",COUNTIFS($N$1:$ZZ$1,"*"&amp;CHAR(10)&amp;"Stanine",$N87:$ZZ87,"&gt;=1"))</f>
        <v>5</v>
      </c>
      <c r="L87" s="68">
        <f>IFERROR(AVERAGEIF($N$1:$ZZ$1,"*"&amp;CHAR(10)&amp;"Stanine",$N87:$ZZ87),"")</f>
        <v>4.4</v>
      </c>
      <c r="M87" s="69">
        <f>IF(AND(ISNUMBER(tblY8[[#This Row],[Mean Stanine]]),ISNUMBER(tblY8[[#This Row],[Avg KS2 Band]])),tblY8[[#This Row],[Mean Stanine]]-tblY8[[#This Row],[Avg KS2 Band]],"")</f>
        <v>-0.6</v>
      </c>
      <c r="N87" s="66" t="n">
        <v>16</v>
      </c>
      <c r="O87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87" s="66" t="n">
        <v>15</v>
      </c>
      <c r="Q87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87" s="66" t="n">
        <v>17</v>
      </c>
      <c r="S87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87" s="66" t="n">
        <v>10</v>
      </c>
      <c r="U87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87" s="66" t="n">
        <v>7</v>
      </c>
      <c r="W87" s="67">
        <f>IF(ISNUMBER(tblY8[[#This Row],[8P02 - Light
Raw Score]]),IFERROR(VLOOKUP(STANDARDIZE(tblY8[[#This Row],[8P02 - Light
Raw Score]],AVERAGE(tblY8[[8P02 - Light
Raw Score]]),_xlfn.STDEV.P(tblY8[[8P02 - Light
Raw Score]])),_Stanine,2),5),"")</f>
        <v>3</v>
      </c>
    </row>
    <row r="88">
      <c r="A88" s="65" t="inlineStr">
        <is>
          <t>X903751631383</t>
        </is>
      </c>
      <c r="B88" s="65" t="inlineStr">
        <is>
          <t>Wood</t>
        </is>
      </c>
      <c r="C88" s="65" t="inlineStr">
        <is>
          <t>Ivy</t>
        </is>
      </c>
      <c r="D88" s="66" t="inlineStr">
        <is>
          <t>F</t>
        </is>
      </c>
      <c r="E88" s="66" t="inlineStr">
        <is>
          <t>N</t>
        </is>
      </c>
      <c r="F88" s="66" t="inlineStr">
        <is>
          <t>N</t>
        </is>
      </c>
      <c r="G88" s="34" t="n">
        <v>99.09999999999999</v>
      </c>
      <c r="H88" s="34" t="n">
        <v>107.5</v>
      </c>
      <c r="I88" s="67">
        <f>IF(ISNUMBER(tblY8[[#This Row],[Avg KS2]]),IFERROR(VLOOKUP(STANDARDIZE(tblY8[[#This Row],[Avg KS2]],AVERAGE(tblY8[[Avg KS2]]),_xlfn.STDEV.P(tblY8[[Avg KS2]])),_Stanine,2),5),"")</f>
        <v>6</v>
      </c>
      <c r="J88" s="66" t="inlineStr">
        <is>
          <t>8A/Sc1</t>
        </is>
      </c>
      <c r="K88" s="67">
        <f>IF(tblY8[[#This Row],[Preferred Last name]]="","",COUNTIFS($N$1:$ZZ$1,"*"&amp;CHAR(10)&amp;"Stanine",$N88:$ZZ88,"&gt;=1"))</f>
        <v>5</v>
      </c>
      <c r="L88" s="68">
        <f>IFERROR(AVERAGEIF($N$1:$ZZ$1,"*"&amp;CHAR(10)&amp;"Stanine",$N88:$ZZ88),"")</f>
        <v>4.8</v>
      </c>
      <c r="M88" s="69">
        <f>IF(AND(ISNUMBER(tblY8[[#This Row],[Mean Stanine]]),ISNUMBER(tblY8[[#This Row],[Avg KS2 Band]])),tblY8[[#This Row],[Mean Stanine]]-tblY8[[#This Row],[Avg KS2 Band]],"")</f>
        <v>-1.2</v>
      </c>
      <c r="N88" s="66" t="n">
        <v>15</v>
      </c>
      <c r="O88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88" s="66" t="n">
        <v>16</v>
      </c>
      <c r="Q88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88" s="66" t="n">
        <v>20</v>
      </c>
      <c r="S88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6</v>
      </c>
      <c r="T88" s="66" t="n">
        <v>9</v>
      </c>
      <c r="U88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88" s="66" t="n">
        <v>10</v>
      </c>
      <c r="W88" s="67">
        <f>IF(ISNUMBER(tblY8[[#This Row],[8P02 - Light
Raw Score]]),IFERROR(VLOOKUP(STANDARDIZE(tblY8[[#This Row],[8P02 - Light
Raw Score]],AVERAGE(tblY8[[8P02 - Light
Raw Score]]),_xlfn.STDEV.P(tblY8[[8P02 - Light
Raw Score]])),_Stanine,2),5),"")</f>
        <v>4</v>
      </c>
    </row>
    <row r="89">
      <c r="A89" s="65" t="inlineStr">
        <is>
          <t>X909846261826</t>
        </is>
      </c>
      <c r="B89" s="65" t="inlineStr">
        <is>
          <t>Wood</t>
        </is>
      </c>
      <c r="C89" s="65" t="inlineStr">
        <is>
          <t>Noah</t>
        </is>
      </c>
      <c r="D89" s="66" t="inlineStr">
        <is>
          <t>F</t>
        </is>
      </c>
      <c r="E89" s="66" t="inlineStr">
        <is>
          <t>N</t>
        </is>
      </c>
      <c r="F89" s="66" t="inlineStr">
        <is>
          <t>Y</t>
        </is>
      </c>
      <c r="G89" s="34" t="n">
        <v>83</v>
      </c>
      <c r="H89" s="34" t="n">
        <v>105</v>
      </c>
      <c r="I89" s="67">
        <f>IF(ISNUMBER(tblY8[[#This Row],[Avg KS2]]),IFERROR(VLOOKUP(STANDARDIZE(tblY8[[#This Row],[Avg KS2]],AVERAGE(tblY8[[Avg KS2]]),_xlfn.STDEV.P(tblY8[[Avg KS2]])),_Stanine,2),5),"")</f>
        <v>5</v>
      </c>
      <c r="J89" s="66" t="inlineStr">
        <is>
          <t>8A/Sc4</t>
        </is>
      </c>
      <c r="K89" s="67">
        <f>IF(tblY8[[#This Row],[Preferred Last name]]="","",COUNTIFS($N$1:$ZZ$1,"*"&amp;CHAR(10)&amp;"Stanine",$N89:$ZZ89,"&gt;=1"))</f>
        <v>4</v>
      </c>
      <c r="L89" s="68">
        <f>IFERROR(AVERAGEIF($N$1:$ZZ$1,"*"&amp;CHAR(10)&amp;"Stanine",$N89:$ZZ89),"")</f>
        <v>2.5</v>
      </c>
      <c r="M89" s="69">
        <f>IF(AND(ISNUMBER(tblY8[[#This Row],[Mean Stanine]]),ISNUMBER(tblY8[[#This Row],[Avg KS2 Band]])),tblY8[[#This Row],[Mean Stanine]]-tblY8[[#This Row],[Avg KS2 Band]],"")</f>
        <v>-2.5</v>
      </c>
      <c r="N89" s="66" t="n">
        <v>9</v>
      </c>
      <c r="O89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3</v>
      </c>
      <c r="P89" s="66" t="n">
        <v>9</v>
      </c>
      <c r="Q89" s="67">
        <f>IF(ISNUMBER(tblY8[[#This Row],[8P01 - Energy
Raw Score]]),IFERROR(VLOOKUP(STANDARDIZE(tblY8[[#This Row],[8P01 - Energy
Raw Score]],AVERAGE(tblY8[[8P01 - Energy
Raw Score]]),_xlfn.STDEV.P(tblY8[[8P01 - Energy
Raw Score]])),_Stanine,2),5),"")</f>
        <v>3</v>
      </c>
      <c r="R89" s="66" t="n">
        <v>7</v>
      </c>
      <c r="S89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2</v>
      </c>
      <c r="T89" s="66" t="n">
        <v>4</v>
      </c>
      <c r="U89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2</v>
      </c>
      <c r="V89" s="66" t="n"/>
      <c r="W89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90">
      <c r="A90" s="65" t="inlineStr">
        <is>
          <t>X908102823070</t>
        </is>
      </c>
      <c r="B90" s="65" t="inlineStr">
        <is>
          <t>Wood</t>
        </is>
      </c>
      <c r="C90" s="65" t="inlineStr">
        <is>
          <t>Zara</t>
        </is>
      </c>
      <c r="D90" s="66" t="inlineStr">
        <is>
          <t>F</t>
        </is>
      </c>
      <c r="E90" s="66" t="inlineStr">
        <is>
          <t>N</t>
        </is>
      </c>
      <c r="F90" s="66" t="inlineStr">
        <is>
          <t>N</t>
        </is>
      </c>
      <c r="G90" s="34" t="n">
        <v>99.09999999999999</v>
      </c>
      <c r="H90" s="34" t="n">
        <v>98.5</v>
      </c>
      <c r="I90" s="67">
        <f>IF(ISNUMBER(tblY8[[#This Row],[Avg KS2]]),IFERROR(VLOOKUP(STANDARDIZE(tblY8[[#This Row],[Avg KS2]],AVERAGE(tblY8[[Avg KS2]]),_xlfn.STDEV.P(tblY8[[Avg KS2]])),_Stanine,2),5),"")</f>
        <v>3</v>
      </c>
      <c r="J90" s="66" t="inlineStr">
        <is>
          <t>8A/Sc3</t>
        </is>
      </c>
      <c r="K90" s="67">
        <f>IF(tblY8[[#This Row],[Preferred Last name]]="","",COUNTIFS($N$1:$ZZ$1,"*"&amp;CHAR(10)&amp;"Stanine",$N90:$ZZ90,"&gt;=1"))</f>
        <v>4</v>
      </c>
      <c r="L90" s="68">
        <f>IFERROR(AVERAGEIF($N$1:$ZZ$1,"*"&amp;CHAR(10)&amp;"Stanine",$N90:$ZZ90),"")</f>
        <v>4</v>
      </c>
      <c r="M90" s="69">
        <f>IF(AND(ISNUMBER(tblY8[[#This Row],[Mean Stanine]]),ISNUMBER(tblY8[[#This Row],[Avg KS2 Band]])),tblY8[[#This Row],[Mean Stanine]]-tblY8[[#This Row],[Avg KS2 Band]],"")</f>
        <v>1</v>
      </c>
      <c r="N90" s="66" t="n">
        <v>6</v>
      </c>
      <c r="O90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90" s="66" t="n">
        <v>14</v>
      </c>
      <c r="Q90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90" s="66" t="n">
        <v>15</v>
      </c>
      <c r="S90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5</v>
      </c>
      <c r="T90" s="66" t="n">
        <v>10</v>
      </c>
      <c r="U90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4</v>
      </c>
      <c r="V90" s="66" t="n"/>
      <c r="W90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91">
      <c r="A91" s="65" t="inlineStr">
        <is>
          <t>X906603270139</t>
        </is>
      </c>
      <c r="B91" s="65" t="inlineStr">
        <is>
          <t>Wright</t>
        </is>
      </c>
      <c r="C91" s="65" t="inlineStr">
        <is>
          <t>George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90.40000000000001</v>
      </c>
      <c r="H91" s="34" t="n">
        <v>105.5</v>
      </c>
      <c r="I91" s="67">
        <f>IF(ISNUMBER(tblY8[[#This Row],[Avg KS2]]),IFERROR(VLOOKUP(STANDARDIZE(tblY8[[#This Row],[Avg KS2]],AVERAGE(tblY8[[Avg KS2]]),_xlfn.STDEV.P(tblY8[[Avg KS2]])),_Stanine,2),5),"")</f>
        <v>5</v>
      </c>
      <c r="J91" s="66" t="inlineStr">
        <is>
          <t>8A/Sc3</t>
        </is>
      </c>
      <c r="K91" s="67">
        <f>IF(tblY8[[#This Row],[Preferred Last name]]="","",COUNTIFS($N$1:$ZZ$1,"*"&amp;CHAR(10)&amp;"Stanine",$N91:$ZZ91,"&gt;=1"))</f>
        <v>4</v>
      </c>
      <c r="L91" s="68">
        <f>IFERROR(AVERAGEIF($N$1:$ZZ$1,"*"&amp;CHAR(10)&amp;"Stanine",$N91:$ZZ91),"")</f>
        <v>6.75</v>
      </c>
      <c r="M91" s="69">
        <f>IF(AND(ISNUMBER(tblY8[[#This Row],[Mean Stanine]]),ISNUMBER(tblY8[[#This Row],[Avg KS2 Band]])),tblY8[[#This Row],[Mean Stanine]]-tblY8[[#This Row],[Avg KS2 Band]],"")</f>
        <v>1.75</v>
      </c>
      <c r="N91" s="66" t="n">
        <v>22</v>
      </c>
      <c r="O91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91" s="66" t="n">
        <v>19</v>
      </c>
      <c r="Q91" s="67">
        <f>IF(ISNUMBER(tblY8[[#This Row],[8P01 - Energy
Raw Score]]),IFERROR(VLOOKUP(STANDARDIZE(tblY8[[#This Row],[8P01 - Energy
Raw Score]],AVERAGE(tblY8[[8P01 - Energy
Raw Score]]),_xlfn.STDEV.P(tblY8[[8P01 - Energy
Raw Score]])),_Stanine,2),5),"")</f>
        <v>7</v>
      </c>
      <c r="R91" s="66" t="n">
        <v>23</v>
      </c>
      <c r="S91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91" s="66" t="n">
        <v>16</v>
      </c>
      <c r="U91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6</v>
      </c>
      <c r="V91" s="66" t="n"/>
      <c r="W91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92">
      <c r="A92" s="65" t="inlineStr">
        <is>
          <t>X905225323387</t>
        </is>
      </c>
      <c r="B92" s="65" t="inlineStr">
        <is>
          <t>Wright</t>
        </is>
      </c>
      <c r="C92" s="65" t="inlineStr">
        <is>
          <t>Nia</t>
        </is>
      </c>
      <c r="D92" s="66" t="inlineStr">
        <is>
          <t>M</t>
        </is>
      </c>
      <c r="E92" s="66" t="inlineStr">
        <is>
          <t>K</t>
        </is>
      </c>
      <c r="F92" s="66" t="inlineStr">
        <is>
          <t>N</t>
        </is>
      </c>
      <c r="G92" s="34" t="n">
        <v>94.59999999999999</v>
      </c>
      <c r="H92" s="34" t="n">
        <v>103</v>
      </c>
      <c r="I92" s="67">
        <f>IF(ISNUMBER(tblY8[[#This Row],[Avg KS2]]),IFERROR(VLOOKUP(STANDARDIZE(tblY8[[#This Row],[Avg KS2]],AVERAGE(tblY8[[Avg KS2]]),_xlfn.STDEV.P(tblY8[[Avg KS2]])),_Stanine,2),5),"")</f>
        <v>4</v>
      </c>
      <c r="J92" s="66" t="inlineStr">
        <is>
          <t>8A/Sc3</t>
        </is>
      </c>
      <c r="K92" s="67">
        <f>IF(tblY8[[#This Row],[Preferred Last name]]="","",COUNTIFS($N$1:$ZZ$1,"*"&amp;CHAR(10)&amp;"Stanine",$N92:$ZZ92,"&gt;=1"))</f>
        <v>4</v>
      </c>
      <c r="L92" s="68">
        <f>IFERROR(AVERAGEIF($N$1:$ZZ$1,"*"&amp;CHAR(10)&amp;"Stanine",$N92:$ZZ92),"")</f>
        <v>2.5</v>
      </c>
      <c r="M92" s="69">
        <f>IF(AND(ISNUMBER(tblY8[[#This Row],[Mean Stanine]]),ISNUMBER(tblY8[[#This Row],[Avg KS2 Band]])),tblY8[[#This Row],[Mean Stanine]]-tblY8[[#This Row],[Avg KS2 Band]],"")</f>
        <v>-1.5</v>
      </c>
      <c r="N92" s="66" t="n">
        <v>4</v>
      </c>
      <c r="O92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2</v>
      </c>
      <c r="P92" s="66" t="n">
        <v>6</v>
      </c>
      <c r="Q92" s="67">
        <f>IF(ISNUMBER(tblY8[[#This Row],[8P01 - Energy
Raw Score]]),IFERROR(VLOOKUP(STANDARDIZE(tblY8[[#This Row],[8P01 - Energy
Raw Score]],AVERAGE(tblY8[[8P01 - Energy
Raw Score]]),_xlfn.STDEV.P(tblY8[[8P01 - Energy
Raw Score]])),_Stanine,2),5),"")</f>
        <v>2</v>
      </c>
      <c r="R92" s="66" t="n">
        <v>10</v>
      </c>
      <c r="S92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3</v>
      </c>
      <c r="T92" s="66" t="n">
        <v>6</v>
      </c>
      <c r="U92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3</v>
      </c>
      <c r="V92" s="66" t="n"/>
      <c r="W92" s="67" t="str">
        <f>IF(ISNUMBER(tblY8[[#This Row],[8P02 - Light
Raw Score]]),IFERROR(VLOOKUP(STANDARDIZE(tblY8[[#This Row],[8P02 - Light
Raw Score]],AVERAGE(tblY8[[8P02 - Light
Raw Score]]),_xlfn.STDEV.P(tblY8[[8P02 - Light
Raw Score]])),_Stanine,2),5),"")</f>
        <v/>
      </c>
    </row>
    <row r="93">
      <c r="A93" s="65" t="inlineStr">
        <is>
          <t>X903018358012</t>
        </is>
      </c>
      <c r="B93" s="65" t="inlineStr">
        <is>
          <t>Wright</t>
        </is>
      </c>
      <c r="C93" s="65" t="inlineStr">
        <is>
          <t>Oscar</t>
        </is>
      </c>
      <c r="D93" s="66" t="inlineStr">
        <is>
          <t>F</t>
        </is>
      </c>
      <c r="E93" s="66" t="inlineStr">
        <is>
          <t>K</t>
        </is>
      </c>
      <c r="F93" s="66" t="inlineStr">
        <is>
          <t>N</t>
        </is>
      </c>
      <c r="G93" s="34" t="n">
        <v>92.09999999999999</v>
      </c>
      <c r="H93" s="34" t="n">
        <v>113</v>
      </c>
      <c r="I93" s="67">
        <f>IF(ISNUMBER(tblY8[[#This Row],[Avg KS2]]),IFERROR(VLOOKUP(STANDARDIZE(tblY8[[#This Row],[Avg KS2]],AVERAGE(tblY8[[Avg KS2]]),_xlfn.STDEV.P(tblY8[[Avg KS2]])),_Stanine,2),5),"")</f>
        <v>8</v>
      </c>
      <c r="J93" s="66" t="inlineStr">
        <is>
          <t>8A/Sc1</t>
        </is>
      </c>
      <c r="K93" s="67">
        <f>IF(tblY8[[#This Row],[Preferred Last name]]="","",COUNTIFS($N$1:$ZZ$1,"*"&amp;CHAR(10)&amp;"Stanine",$N93:$ZZ93,"&gt;=1"))</f>
        <v>5</v>
      </c>
      <c r="L93" s="68">
        <f>IFERROR(AVERAGEIF($N$1:$ZZ$1,"*"&amp;CHAR(10)&amp;"Stanine",$N93:$ZZ93),"")</f>
        <v>7.6</v>
      </c>
      <c r="M93" s="69">
        <f>IF(AND(ISNUMBER(tblY8[[#This Row],[Mean Stanine]]),ISNUMBER(tblY8[[#This Row],[Avg KS2 Band]])),tblY8[[#This Row],[Mean Stanine]]-tblY8[[#This Row],[Avg KS2 Band]],"")</f>
        <v>-0.4</v>
      </c>
      <c r="N93" s="66" t="n">
        <v>22</v>
      </c>
      <c r="O93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7</v>
      </c>
      <c r="P93" s="66" t="n">
        <v>22</v>
      </c>
      <c r="Q93" s="67">
        <f>IF(ISNUMBER(tblY8[[#This Row],[8P01 - Energy
Raw Score]]),IFERROR(VLOOKUP(STANDARDIZE(tblY8[[#This Row],[8P01 - Energy
Raw Score]],AVERAGE(tblY8[[8P01 - Energy
Raw Score]]),_xlfn.STDEV.P(tblY8[[8P01 - Energy
Raw Score]])),_Stanine,2),5),"")</f>
        <v>8</v>
      </c>
      <c r="R93" s="66" t="n">
        <v>25</v>
      </c>
      <c r="S93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8</v>
      </c>
      <c r="T93" s="66" t="n">
        <v>20</v>
      </c>
      <c r="U93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8</v>
      </c>
      <c r="V93" s="66" t="n">
        <v>18</v>
      </c>
      <c r="W93" s="67">
        <f>IF(ISNUMBER(tblY8[[#This Row],[8P02 - Light
Raw Score]]),IFERROR(VLOOKUP(STANDARDIZE(tblY8[[#This Row],[8P02 - Light
Raw Score]],AVERAGE(tblY8[[8P02 - Light
Raw Score]]),_xlfn.STDEV.P(tblY8[[8P02 - Light
Raw Score]])),_Stanine,2),5),"")</f>
        <v>7</v>
      </c>
    </row>
    <row r="94">
      <c r="A94" s="65" t="inlineStr">
        <is>
          <t>X908091550060</t>
        </is>
      </c>
      <c r="B94" s="65" t="inlineStr">
        <is>
          <t>Wright</t>
        </is>
      </c>
      <c r="C94" s="65" t="inlineStr">
        <is>
          <t>Rosie</t>
        </is>
      </c>
      <c r="D94" s="66" t="inlineStr">
        <is>
          <t>M</t>
        </is>
      </c>
      <c r="E94" s="66" t="n"/>
      <c r="F94" s="66" t="inlineStr">
        <is>
          <t>Y</t>
        </is>
      </c>
      <c r="G94" s="34" t="n">
        <v>95.09999999999999</v>
      </c>
      <c r="H94" s="34" t="n">
        <v>103</v>
      </c>
      <c r="I94" s="67">
        <f>IF(ISNUMBER(tblY8[[#This Row],[Avg KS2]]),IFERROR(VLOOKUP(STANDARDIZE(tblY8[[#This Row],[Avg KS2]],AVERAGE(tblY8[[Avg KS2]]),_xlfn.STDEV.P(tblY8[[Avg KS2]])),_Stanine,2),5),"")</f>
        <v>4</v>
      </c>
      <c r="J94" s="66" t="inlineStr">
        <is>
          <t>8A/Sc1</t>
        </is>
      </c>
      <c r="K94" s="67">
        <f>IF(tblY8[[#This Row],[Preferred Last name]]="","",COUNTIFS($N$1:$ZZ$1,"*"&amp;CHAR(10)&amp;"Stanine",$N94:$ZZ94,"&gt;=1"))</f>
        <v>5</v>
      </c>
      <c r="L94" s="68">
        <f>IFERROR(AVERAGEIF($N$1:$ZZ$1,"*"&amp;CHAR(10)&amp;"Stanine",$N94:$ZZ94),"")</f>
        <v>5.4</v>
      </c>
      <c r="M94" s="69">
        <f>IF(AND(ISNUMBER(tblY8[[#This Row],[Mean Stanine]]),ISNUMBER(tblY8[[#This Row],[Avg KS2 Band]])),tblY8[[#This Row],[Mean Stanine]]-tblY8[[#This Row],[Avg KS2 Band]],"")</f>
        <v>1.4</v>
      </c>
      <c r="N94" s="66" t="n">
        <v>15</v>
      </c>
      <c r="O94" s="67">
        <f>IF(ISNUMBER(tblY8[[#This Row],[8C01 - Periodic Table
Raw Score]]),IFERROR(VLOOKUP(STANDARDIZE(tblY8[[#This Row],[8C01 - Periodic Table
Raw Score]],AVERAGE(tblY8[[8C01 - Periodic Table
Raw Score]]),_xlfn.STDEV.P(tblY8[[8C01 - Periodic Table
Raw Score]])),_Stanine,2),5),"")</f>
        <v>5</v>
      </c>
      <c r="P94" s="66" t="n">
        <v>14</v>
      </c>
      <c r="Q94" s="67">
        <f>IF(ISNUMBER(tblY8[[#This Row],[8P01 - Energy
Raw Score]]),IFERROR(VLOOKUP(STANDARDIZE(tblY8[[#This Row],[8P01 - Energy
Raw Score]],AVERAGE(tblY8[[8P01 - Energy
Raw Score]]),_xlfn.STDEV.P(tblY8[[8P01 - Energy
Raw Score]])),_Stanine,2),5),"")</f>
        <v>5</v>
      </c>
      <c r="R94" s="66" t="n">
        <v>23</v>
      </c>
      <c r="S94" s="67">
        <f>IF(ISNUMBER(tblY8[[#This Row],[8B01 - Digestion
Raw Score]]),IFERROR(VLOOKUP(STANDARDIZE(tblY8[[#This Row],[8B01 - Digestion
Raw Score]],AVERAGE(tblY8[[8B01 - Digestion
Raw Score]]),_xlfn.STDEV.P(tblY8[[8B01 - Digestion
Raw Score]])),_Stanine,2),5),"")</f>
        <v>7</v>
      </c>
      <c r="T94" s="66" t="n">
        <v>12</v>
      </c>
      <c r="U94" s="67">
        <f>IF(ISNUMBER(tblY8[[#This Row],[8C02 - Metals and Acids
Raw Score]]),IFERROR(VLOOKUP(STANDARDIZE(tblY8[[#This Row],[8C02 - Metals and Acids
Raw Score]],AVERAGE(tblY8[[8C02 - Metals and Acids
Raw Score]]),_xlfn.STDEV.P(tblY8[[8C02 - Metals and Acids
Raw Score]])),_Stanine,2),5),"")</f>
        <v>5</v>
      </c>
      <c r="V94" s="66" t="n">
        <v>12</v>
      </c>
      <c r="W94" s="67">
        <f>IF(ISNUMBER(tblY8[[#This Row],[8P02 - Light
Raw Score]]),IFERROR(VLOOKUP(STANDARDIZE(tblY8[[#This Row],[8P02 - Light
Raw Score]],AVERAGE(tblY8[[8P02 - Light
Raw Score]]),_xlfn.STDEV.P(tblY8[[8P02 - Light
Raw Score]])),_Stanine,2),5),"")</f>
        <v>5</v>
      </c>
    </row>
  </sheetData>
  <conditionalFormatting sqref="I2:I94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94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94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94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94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94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94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94">
    <cfRule type="iconSet" priority="8">
      <iconSet iconSet="3TrafficLights1">
        <cfvo type="percent" val="0"/>
        <cfvo type="num" val="4"/>
        <cfvo type="num" val="7"/>
      </iconSet>
    </cfRule>
  </conditionalFormatting>
  <dataValidations count="5">
    <dataValidation sqref="N2:N94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94" showDropDown="0" showInputMessage="0" showErrorMessage="1" allowBlank="1" errorTitle="Score out of range" error="Type a mark from 0 to 25, or A for absent. Leave the cell blank if the student has not sat the test yet." type="custom">
      <formula1>OR(UPPER(P2)="A",AND(ISNUMBER(P2),P2&gt;=0,P2&lt;=25))</formula1>
    </dataValidation>
    <dataValidation sqref="R2:R94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94" showDropDown="0" showInputMessage="0" showErrorMessage="1" allowBlank="1" errorTitle="Score out of range" error="Type a mark from 0 to 26, or A for absent. Leave the cell blank if the student has not sat the test yet." type="custom">
      <formula1>OR(UPPER(T2)="A",AND(ISNUMBER(T2),T2&gt;=0,T2&lt;=26))</formula1>
    </dataValidation>
    <dataValidation sqref="V2:V94" showDropDown="0" showInputMessage="0" showErrorMessage="1" allowBlank="1" errorTitle="Score out of range" error="Type a mark from 0 to 24, or A for absent. Leave the cell blank if the student has not sat the test yet." type="custom">
      <formula1>OR(UPPER(V2)="A",AND(ISNUMBER(V2),V2&gt;=0,V2&lt;=24))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7.xml><?xml version="1.0" encoding="utf-8"?>
<worksheet xmlns="http://schemas.openxmlformats.org/spreadsheetml/2006/main">
  <sheetPr codeName="shY9">
    <outlinePr summaryBelow="1" summaryRight="1"/>
    <pageSetUpPr/>
  </sheetPr>
  <dimension ref="A1:U126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9B01 - Genetics
Raw Score</t>
        </is>
      </c>
      <c r="O1" s="63" t="inlineStr">
        <is>
          <t>9B01 - Genetics
Stanine</t>
        </is>
      </c>
      <c r="P1" s="64" t="inlineStr">
        <is>
          <t>9C01 - Chemical Reactions
Raw Score</t>
        </is>
      </c>
      <c r="Q1" s="64" t="inlineStr">
        <is>
          <t>9C01 - Chemical Reactions
Stanine</t>
        </is>
      </c>
      <c r="R1" s="63" t="inlineStr">
        <is>
          <t>9P01 - Electricity
Raw Score</t>
        </is>
      </c>
      <c r="S1" s="63" t="inlineStr">
        <is>
          <t>9P01 - Electricity
Stanine</t>
        </is>
      </c>
      <c r="T1" s="64" t="inlineStr">
        <is>
          <t>9B02 - Ecology
Raw Score</t>
        </is>
      </c>
      <c r="U1" s="64" t="inlineStr">
        <is>
          <t>9B02 - Ecology
Stanine</t>
        </is>
      </c>
    </row>
    <row r="2">
      <c r="A2" s="65" t="inlineStr">
        <is>
          <t>X900822335097</t>
        </is>
      </c>
      <c r="B2" s="65" t="inlineStr">
        <is>
          <t>Adeyemi</t>
        </is>
      </c>
      <c r="C2" s="65" t="inlineStr">
        <is>
          <t>Finley</t>
        </is>
      </c>
      <c r="D2" s="66" t="inlineStr">
        <is>
          <t>F</t>
        </is>
      </c>
      <c r="E2" s="66" t="inlineStr">
        <is>
          <t>N</t>
        </is>
      </c>
      <c r="F2" s="66" t="inlineStr">
        <is>
          <t>Y</t>
        </is>
      </c>
      <c r="G2" s="34" t="n">
        <v>96.8</v>
      </c>
      <c r="H2" s="34" t="n">
        <v>110</v>
      </c>
      <c r="I2" s="67">
        <f>IF(ISNUMBER(tblY9[[#This Row],[Avg KS2]]),IFERROR(VLOOKUP(STANDARDIZE(tblY9[[#This Row],[Avg KS2]],AVERAGE(tblY9[[Avg KS2]]),_xlfn.STDEV.P(tblY9[[Avg KS2]])),_Stanine,2),5),"")</f>
        <v>7</v>
      </c>
      <c r="J2" s="66" t="inlineStr">
        <is>
          <t>9B/Sc1</t>
        </is>
      </c>
      <c r="K2" s="67">
        <f>IF(tblY9[[#This Row],[Preferred Last name]]="","",COUNTIFS($N$1:$ZZ$1,"*"&amp;CHAR(10)&amp;"Stanine",$N2:$ZZ2,"&gt;=1"))</f>
        <v>4</v>
      </c>
      <c r="L2" s="68">
        <f>IFERROR(AVERAGEIF($N$1:$ZZ$1,"*"&amp;CHAR(10)&amp;"Stanine",$N2:$ZZ2),"")</f>
        <v>6.75</v>
      </c>
      <c r="M2" s="69">
        <f>IF(AND(ISNUMBER(tblY9[[#This Row],[Mean Stanine]]),ISNUMBER(tblY9[[#This Row],[Avg KS2 Band]])),tblY9[[#This Row],[Mean Stanine]]-tblY9[[#This Row],[Avg KS2 Band]],"")</f>
        <v>-0.25</v>
      </c>
      <c r="N2" s="66" t="n">
        <v>21</v>
      </c>
      <c r="O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2" s="66" t="n">
        <v>24</v>
      </c>
      <c r="Q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2" s="66" t="n">
        <v>24</v>
      </c>
      <c r="S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2" s="66" t="n">
        <v>19</v>
      </c>
      <c r="U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3">
      <c r="A3" s="65" t="inlineStr">
        <is>
          <t>X902402339273</t>
        </is>
      </c>
      <c r="B3" s="65" t="inlineStr">
        <is>
          <t>Ahmed</t>
        </is>
      </c>
      <c r="C3" s="65" t="inlineStr">
        <is>
          <t>Ava</t>
        </is>
      </c>
      <c r="D3" s="66" t="inlineStr">
        <is>
          <t>F</t>
        </is>
      </c>
      <c r="E3" s="66" t="inlineStr">
        <is>
          <t>K</t>
        </is>
      </c>
      <c r="F3" s="66" t="inlineStr">
        <is>
          <t>N</t>
        </is>
      </c>
      <c r="G3" s="34" t="n">
        <v>84.8</v>
      </c>
      <c r="H3" s="34" t="n">
        <v>106</v>
      </c>
      <c r="I3" s="67">
        <f>IF(ISNUMBER(tblY9[[#This Row],[Avg KS2]]),IFERROR(VLOOKUP(STANDARDIZE(tblY9[[#This Row],[Avg KS2]],AVERAGE(tblY9[[Avg KS2]]),_xlfn.STDEV.P(tblY9[[Avg KS2]])),_Stanine,2),5),"")</f>
        <v>5</v>
      </c>
      <c r="J3" s="66" t="inlineStr">
        <is>
          <t>9A/Sc3</t>
        </is>
      </c>
      <c r="K3" s="67">
        <f>IF(tblY9[[#This Row],[Preferred Last name]]="","",COUNTIFS($N$1:$ZZ$1,"*"&amp;CHAR(10)&amp;"Stanine",$N3:$ZZ3,"&gt;=1"))</f>
        <v>4</v>
      </c>
      <c r="L3" s="68">
        <f>IFERROR(AVERAGEIF($N$1:$ZZ$1,"*"&amp;CHAR(10)&amp;"Stanine",$N3:$ZZ3),"")</f>
        <v>6.75</v>
      </c>
      <c r="M3" s="69">
        <f>IF(AND(ISNUMBER(tblY9[[#This Row],[Mean Stanine]]),ISNUMBER(tblY9[[#This Row],[Avg KS2 Band]])),tblY9[[#This Row],[Mean Stanine]]-tblY9[[#This Row],[Avg KS2 Band]],"")</f>
        <v>1.75</v>
      </c>
      <c r="N3" s="66" t="n">
        <v>21</v>
      </c>
      <c r="O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3" s="66" t="n">
        <v>25</v>
      </c>
      <c r="Q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3" s="66" t="n">
        <v>23</v>
      </c>
      <c r="S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3" s="66" t="n">
        <v>17</v>
      </c>
      <c r="U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4">
      <c r="A4" s="65" t="inlineStr">
        <is>
          <t>X908274726881</t>
        </is>
      </c>
      <c r="B4" s="65" t="inlineStr">
        <is>
          <t>Ahmed</t>
        </is>
      </c>
      <c r="C4" s="65" t="inlineStr">
        <is>
          <t>Layla</t>
        </is>
      </c>
      <c r="D4" s="66" t="inlineStr">
        <is>
          <t>F</t>
        </is>
      </c>
      <c r="E4" s="66" t="n"/>
      <c r="F4" s="66" t="inlineStr">
        <is>
          <t>N</t>
        </is>
      </c>
      <c r="G4" s="34" t="n">
        <v>95.3</v>
      </c>
      <c r="H4" s="34" t="n">
        <v>105.5</v>
      </c>
      <c r="I4" s="67">
        <f>IF(ISNUMBER(tblY9[[#This Row],[Avg KS2]]),IFERROR(VLOOKUP(STANDARDIZE(tblY9[[#This Row],[Avg KS2]],AVERAGE(tblY9[[Avg KS2]]),_xlfn.STDEV.P(tblY9[[Avg KS2]])),_Stanine,2),5),"")</f>
        <v>5</v>
      </c>
      <c r="J4" s="66" t="inlineStr">
        <is>
          <t>9A/Sc2</t>
        </is>
      </c>
      <c r="K4" s="67">
        <f>IF(tblY9[[#This Row],[Preferred Last name]]="","",COUNTIFS($N$1:$ZZ$1,"*"&amp;CHAR(10)&amp;"Stanine",$N4:$ZZ4,"&gt;=1"))</f>
        <v>4</v>
      </c>
      <c r="L4" s="68">
        <f>IFERROR(AVERAGEIF($N$1:$ZZ$1,"*"&amp;CHAR(10)&amp;"Stanine",$N4:$ZZ4),"")</f>
        <v>5.75</v>
      </c>
      <c r="M4" s="69">
        <f>IF(AND(ISNUMBER(tblY9[[#This Row],[Mean Stanine]]),ISNUMBER(tblY9[[#This Row],[Avg KS2 Band]])),tblY9[[#This Row],[Mean Stanine]]-tblY9[[#This Row],[Avg KS2 Band]],"")</f>
        <v>0.75</v>
      </c>
      <c r="N4" s="66" t="n">
        <v>16</v>
      </c>
      <c r="O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4" s="66" t="n">
        <v>22</v>
      </c>
      <c r="Q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4" s="66" t="n">
        <v>21</v>
      </c>
      <c r="S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4" s="66" t="n">
        <v>18</v>
      </c>
      <c r="U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5">
      <c r="A5" s="65" t="inlineStr">
        <is>
          <t>X909259589310</t>
        </is>
      </c>
      <c r="B5" s="65" t="inlineStr">
        <is>
          <t>Ahmed</t>
        </is>
      </c>
      <c r="C5" s="65" t="inlineStr">
        <is>
          <t>Megan</t>
        </is>
      </c>
      <c r="D5" s="66" t="inlineStr">
        <is>
          <t>F</t>
        </is>
      </c>
      <c r="E5" s="66" t="inlineStr">
        <is>
          <t>K</t>
        </is>
      </c>
      <c r="F5" s="66" t="inlineStr">
        <is>
          <t>N</t>
        </is>
      </c>
      <c r="G5" s="34" t="n">
        <v>91.5</v>
      </c>
      <c r="H5" s="34" t="n">
        <v>108</v>
      </c>
      <c r="I5" s="67">
        <f>IF(ISNUMBER(tblY9[[#This Row],[Avg KS2]]),IFERROR(VLOOKUP(STANDARDIZE(tblY9[[#This Row],[Avg KS2]],AVERAGE(tblY9[[Avg KS2]]),_xlfn.STDEV.P(tblY9[[Avg KS2]])),_Stanine,2),5),"")</f>
        <v>6</v>
      </c>
      <c r="J5" s="66" t="inlineStr">
        <is>
          <t>9B/Sc2</t>
        </is>
      </c>
      <c r="K5" s="67">
        <f>IF(tblY9[[#This Row],[Preferred Last name]]="","",COUNTIFS($N$1:$ZZ$1,"*"&amp;CHAR(10)&amp;"Stanine",$N5:$ZZ5,"&gt;=1"))</f>
        <v>4</v>
      </c>
      <c r="L5" s="68">
        <f>IFERROR(AVERAGEIF($N$1:$ZZ$1,"*"&amp;CHAR(10)&amp;"Stanine",$N5:$ZZ5),"")</f>
        <v>4</v>
      </c>
      <c r="M5" s="69">
        <f>IF(AND(ISNUMBER(tblY9[[#This Row],[Mean Stanine]]),ISNUMBER(tblY9[[#This Row],[Avg KS2 Band]])),tblY9[[#This Row],[Mean Stanine]]-tblY9[[#This Row],[Avg KS2 Band]],"")</f>
        <v>-2</v>
      </c>
      <c r="N5" s="66" t="n">
        <v>14</v>
      </c>
      <c r="O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5" s="66" t="n">
        <v>12</v>
      </c>
      <c r="Q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5" s="66" t="n">
        <v>15</v>
      </c>
      <c r="S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5" s="66" t="n">
        <v>15</v>
      </c>
      <c r="U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6">
      <c r="A6" s="65" t="inlineStr">
        <is>
          <t>X901031476227</t>
        </is>
      </c>
      <c r="B6" s="65" t="inlineStr">
        <is>
          <t>Ahmed</t>
        </is>
      </c>
      <c r="C6" s="65" t="inlineStr">
        <is>
          <t>Oliver</t>
        </is>
      </c>
      <c r="D6" s="66" t="inlineStr">
        <is>
          <t>M</t>
        </is>
      </c>
      <c r="E6" s="66" t="n"/>
      <c r="F6" s="66" t="inlineStr">
        <is>
          <t>N</t>
        </is>
      </c>
      <c r="G6" s="34" t="n">
        <v>90.7</v>
      </c>
      <c r="H6" s="34" t="n">
        <v>94</v>
      </c>
      <c r="I6" s="67">
        <f>IF(ISNUMBER(tblY9[[#This Row],[Avg KS2]]),IFERROR(VLOOKUP(STANDARDIZE(tblY9[[#This Row],[Avg KS2]],AVERAGE(tblY9[[Avg KS2]]),_xlfn.STDEV.P(tblY9[[Avg KS2]])),_Stanine,2),5),"")</f>
        <v>1</v>
      </c>
      <c r="J6" s="66" t="inlineStr">
        <is>
          <t>Science Support</t>
        </is>
      </c>
      <c r="K6" s="67">
        <f>IF(tblY9[[#This Row],[Preferred Last name]]="","",COUNTIFS($N$1:$ZZ$1,"*"&amp;CHAR(10)&amp;"Stanine",$N6:$ZZ6,"&gt;=1"))</f>
        <v>4</v>
      </c>
      <c r="L6" s="68">
        <f>IFERROR(AVERAGEIF($N$1:$ZZ$1,"*"&amp;CHAR(10)&amp;"Stanine",$N6:$ZZ6),"")</f>
        <v>1</v>
      </c>
      <c r="M6" s="69">
        <f>IF(AND(ISNUMBER(tblY9[[#This Row],[Mean Stanine]]),ISNUMBER(tblY9[[#This Row],[Avg KS2 Band]])),tblY9[[#This Row],[Mean Stanine]]-tblY9[[#This Row],[Avg KS2 Band]],"")</f>
        <v>0</v>
      </c>
      <c r="N6" s="66" t="n">
        <v>4</v>
      </c>
      <c r="O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6" s="66" t="n">
        <v>7</v>
      </c>
      <c r="Q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6" s="66" t="n">
        <v>8</v>
      </c>
      <c r="S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6" s="66" t="n">
        <v>5</v>
      </c>
      <c r="U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7">
      <c r="A7" s="65" t="inlineStr">
        <is>
          <t>X906545987659</t>
        </is>
      </c>
      <c r="B7" s="65" t="inlineStr">
        <is>
          <t>Begum</t>
        </is>
      </c>
      <c r="C7" s="65" t="inlineStr">
        <is>
          <t>Alfie</t>
        </is>
      </c>
      <c r="D7" s="66" t="inlineStr">
        <is>
          <t>F</t>
        </is>
      </c>
      <c r="E7" s="66" t="n"/>
      <c r="F7" s="66" t="inlineStr">
        <is>
          <t>Y</t>
        </is>
      </c>
      <c r="G7" s="34" t="n">
        <v>97.09999999999999</v>
      </c>
      <c r="H7" s="34" t="n">
        <v>95</v>
      </c>
      <c r="I7" s="67">
        <f>IF(ISNUMBER(tblY9[[#This Row],[Avg KS2]]),IFERROR(VLOOKUP(STANDARDIZE(tblY9[[#This Row],[Avg KS2]],AVERAGE(tblY9[[Avg KS2]]),_xlfn.STDEV.P(tblY9[[Avg KS2]])),_Stanine,2),5),"")</f>
        <v>1</v>
      </c>
      <c r="J7" s="66" t="inlineStr">
        <is>
          <t>9B/Sc2</t>
        </is>
      </c>
      <c r="K7" s="67">
        <f>IF(tblY9[[#This Row],[Preferred Last name]]="","",COUNTIFS($N$1:$ZZ$1,"*"&amp;CHAR(10)&amp;"Stanine",$N7:$ZZ7,"&gt;=1"))</f>
        <v>4</v>
      </c>
      <c r="L7" s="68">
        <f>IFERROR(AVERAGEIF($N$1:$ZZ$1,"*"&amp;CHAR(10)&amp;"Stanine",$N7:$ZZ7),"")</f>
        <v>3.25</v>
      </c>
      <c r="M7" s="69">
        <f>IF(AND(ISNUMBER(tblY9[[#This Row],[Mean Stanine]]),ISNUMBER(tblY9[[#This Row],[Avg KS2 Band]])),tblY9[[#This Row],[Mean Stanine]]-tblY9[[#This Row],[Avg KS2 Band]],"")</f>
        <v>2.25</v>
      </c>
      <c r="N7" s="66" t="n">
        <v>13</v>
      </c>
      <c r="O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7" s="66" t="n">
        <v>10</v>
      </c>
      <c r="Q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7" s="66" t="n">
        <v>16</v>
      </c>
      <c r="S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7" s="66" t="n">
        <v>11</v>
      </c>
      <c r="U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8">
      <c r="A8" s="65" t="inlineStr">
        <is>
          <t>X906073697742</t>
        </is>
      </c>
      <c r="B8" s="65" t="inlineStr">
        <is>
          <t>Begum</t>
        </is>
      </c>
      <c r="C8" s="65" t="inlineStr">
        <is>
          <t>Ella</t>
        </is>
      </c>
      <c r="D8" s="66" t="inlineStr">
        <is>
          <t>M</t>
        </is>
      </c>
      <c r="E8" s="66" t="inlineStr">
        <is>
          <t>N</t>
        </is>
      </c>
      <c r="F8" s="66" t="inlineStr">
        <is>
          <t>Y</t>
        </is>
      </c>
      <c r="G8" s="34" t="n">
        <v>80.7</v>
      </c>
      <c r="H8" s="34" t="n">
        <v>99.5</v>
      </c>
      <c r="I8" s="67">
        <f>IF(ISNUMBER(tblY9[[#This Row],[Avg KS2]]),IFERROR(VLOOKUP(STANDARDIZE(tblY9[[#This Row],[Avg KS2]],AVERAGE(tblY9[[Avg KS2]]),_xlfn.STDEV.P(tblY9[[Avg KS2]])),_Stanine,2),5),"")</f>
        <v>3</v>
      </c>
      <c r="J8" s="66" t="inlineStr">
        <is>
          <t>9B/Sc2</t>
        </is>
      </c>
      <c r="K8" s="67">
        <f>IF(tblY9[[#This Row],[Preferred Last name]]="","",COUNTIFS($N$1:$ZZ$1,"*"&amp;CHAR(10)&amp;"Stanine",$N8:$ZZ8,"&gt;=1"))</f>
        <v>4</v>
      </c>
      <c r="L8" s="68">
        <f>IFERROR(AVERAGEIF($N$1:$ZZ$1,"*"&amp;CHAR(10)&amp;"Stanine",$N8:$ZZ8),"")</f>
        <v>3.5</v>
      </c>
      <c r="M8" s="69">
        <f>IF(AND(ISNUMBER(tblY9[[#This Row],[Mean Stanine]]),ISNUMBER(tblY9[[#This Row],[Avg KS2 Band]])),tblY9[[#This Row],[Mean Stanine]]-tblY9[[#This Row],[Avg KS2 Band]],"")</f>
        <v>0.5</v>
      </c>
      <c r="N8" s="66" t="n">
        <v>15</v>
      </c>
      <c r="O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8" s="66" t="n">
        <v>13</v>
      </c>
      <c r="Q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8" s="66" t="n">
        <v>14</v>
      </c>
      <c r="S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8" s="66" t="n">
        <v>10</v>
      </c>
      <c r="U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9">
      <c r="A9" s="65" t="inlineStr">
        <is>
          <t>X900451151160</t>
        </is>
      </c>
      <c r="B9" s="65" t="inlineStr">
        <is>
          <t>Begum</t>
        </is>
      </c>
      <c r="C9" s="65" t="inlineStr">
        <is>
          <t>Evie</t>
        </is>
      </c>
      <c r="D9" s="66" t="inlineStr">
        <is>
          <t>F</t>
        </is>
      </c>
      <c r="E9" s="66" t="inlineStr">
        <is>
          <t>N</t>
        </is>
      </c>
      <c r="F9" s="66" t="inlineStr">
        <is>
          <t>N</t>
        </is>
      </c>
      <c r="G9" s="34" t="n">
        <v>91.5</v>
      </c>
      <c r="H9" s="34" t="n">
        <v>104</v>
      </c>
      <c r="I9" s="67">
        <f>IF(ISNUMBER(tblY9[[#This Row],[Avg KS2]]),IFERROR(VLOOKUP(STANDARDIZE(tblY9[[#This Row],[Avg KS2]],AVERAGE(tblY9[[Avg KS2]]),_xlfn.STDEV.P(tblY9[[Avg KS2]])),_Stanine,2),5),"")</f>
        <v>4</v>
      </c>
      <c r="J9" s="66" t="inlineStr">
        <is>
          <t>9B/Sc1</t>
        </is>
      </c>
      <c r="K9" s="67">
        <f>IF(tblY9[[#This Row],[Preferred Last name]]="","",COUNTIFS($N$1:$ZZ$1,"*"&amp;CHAR(10)&amp;"Stanine",$N9:$ZZ9,"&gt;=1"))</f>
        <v>4</v>
      </c>
      <c r="L9" s="68">
        <f>IFERROR(AVERAGEIF($N$1:$ZZ$1,"*"&amp;CHAR(10)&amp;"Stanine",$N9:$ZZ9),"")</f>
        <v>3.75</v>
      </c>
      <c r="M9" s="69">
        <f>IF(AND(ISNUMBER(tblY9[[#This Row],[Mean Stanine]]),ISNUMBER(tblY9[[#This Row],[Avg KS2 Band]])),tblY9[[#This Row],[Mean Stanine]]-tblY9[[#This Row],[Avg KS2 Band]],"")</f>
        <v>-0.25</v>
      </c>
      <c r="N9" s="66" t="n">
        <v>16</v>
      </c>
      <c r="O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9" s="66" t="n">
        <v>12</v>
      </c>
      <c r="Q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9" s="66" t="n">
        <v>16</v>
      </c>
      <c r="S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9" s="66" t="n">
        <v>10</v>
      </c>
      <c r="U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0">
      <c r="A10" s="65" t="inlineStr">
        <is>
          <t>X908221305133</t>
        </is>
      </c>
      <c r="B10" s="65" t="inlineStr">
        <is>
          <t>Bennett</t>
        </is>
      </c>
      <c r="C10" s="65" t="inlineStr">
        <is>
          <t>Arjun</t>
        </is>
      </c>
      <c r="D10" s="66" t="inlineStr">
        <is>
          <t>M</t>
        </is>
      </c>
      <c r="E10" s="66" t="n"/>
      <c r="F10" s="66" t="inlineStr">
        <is>
          <t>Y</t>
        </is>
      </c>
      <c r="G10" s="34" t="n">
        <v>99.09999999999999</v>
      </c>
      <c r="H10" s="34" t="n">
        <v>105</v>
      </c>
      <c r="I10" s="67">
        <f>IF(ISNUMBER(tblY9[[#This Row],[Avg KS2]]),IFERROR(VLOOKUP(STANDARDIZE(tblY9[[#This Row],[Avg KS2]],AVERAGE(tblY9[[Avg KS2]]),_xlfn.STDEV.P(tblY9[[Avg KS2]])),_Stanine,2),5),"")</f>
        <v>5</v>
      </c>
      <c r="J10" s="66" t="inlineStr">
        <is>
          <t>9A/Sc1</t>
        </is>
      </c>
      <c r="K10" s="67">
        <f>IF(tblY9[[#This Row],[Preferred Last name]]="","",COUNTIFS($N$1:$ZZ$1,"*"&amp;CHAR(10)&amp;"Stanine",$N10:$ZZ10,"&gt;=1"))</f>
        <v>4</v>
      </c>
      <c r="L10" s="68">
        <f>IFERROR(AVERAGEIF($N$1:$ZZ$1,"*"&amp;CHAR(10)&amp;"Stanine",$N10:$ZZ10),"")</f>
        <v>5</v>
      </c>
      <c r="M10" s="69">
        <f>IF(AND(ISNUMBER(tblY9[[#This Row],[Mean Stanine]]),ISNUMBER(tblY9[[#This Row],[Avg KS2 Band]])),tblY9[[#This Row],[Mean Stanine]]-tblY9[[#This Row],[Avg KS2 Band]],"")</f>
        <v>0</v>
      </c>
      <c r="N10" s="66" t="n">
        <v>15</v>
      </c>
      <c r="O1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10" s="66" t="n">
        <v>13</v>
      </c>
      <c r="Q1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10" s="66" t="n">
        <v>24</v>
      </c>
      <c r="S1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0" s="66" t="n">
        <v>15</v>
      </c>
      <c r="U1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1">
      <c r="A11" s="65" t="inlineStr">
        <is>
          <t>X904273793729</t>
        </is>
      </c>
      <c r="B11" s="65" t="inlineStr">
        <is>
          <t>Bennett</t>
        </is>
      </c>
      <c r="C11" s="65" t="inlineStr">
        <is>
          <t>Ella</t>
        </is>
      </c>
      <c r="D11" s="66" t="inlineStr">
        <is>
          <t>M</t>
        </is>
      </c>
      <c r="E11" s="66" t="inlineStr">
        <is>
          <t>K</t>
        </is>
      </c>
      <c r="F11" s="66" t="inlineStr">
        <is>
          <t>N</t>
        </is>
      </c>
      <c r="G11" s="34" t="n">
        <v>82.5</v>
      </c>
      <c r="H11" s="34" t="n">
        <v>107.5</v>
      </c>
      <c r="I11" s="67">
        <f>IF(ISNUMBER(tblY9[[#This Row],[Avg KS2]]),IFERROR(VLOOKUP(STANDARDIZE(tblY9[[#This Row],[Avg KS2]],AVERAGE(tblY9[[Avg KS2]]),_xlfn.STDEV.P(tblY9[[Avg KS2]])),_Stanine,2),5),"")</f>
        <v>6</v>
      </c>
      <c r="J11" s="66" t="inlineStr">
        <is>
          <t>9A/Sc1</t>
        </is>
      </c>
      <c r="K11" s="67">
        <f>IF(tblY9[[#This Row],[Preferred Last name]]="","",COUNTIFS($N$1:$ZZ$1,"*"&amp;CHAR(10)&amp;"Stanine",$N11:$ZZ11,"&gt;=1"))</f>
        <v>3</v>
      </c>
      <c r="L11" s="68">
        <f>IFERROR(AVERAGEIF($N$1:$ZZ$1,"*"&amp;CHAR(10)&amp;"Stanine",$N11:$ZZ11),"")</f>
        <v>4</v>
      </c>
      <c r="M11" s="69">
        <f>IF(AND(ISNUMBER(tblY9[[#This Row],[Mean Stanine]]),ISNUMBER(tblY9[[#This Row],[Avg KS2 Band]])),tblY9[[#This Row],[Mean Stanine]]-tblY9[[#This Row],[Avg KS2 Band]],"")</f>
        <v>-2</v>
      </c>
      <c r="N11" s="66" t="n">
        <v>16</v>
      </c>
      <c r="O1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11" s="66" t="inlineStr">
        <is>
          <t>A</t>
        </is>
      </c>
      <c r="Q11" s="67" t="str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/>
      </c>
      <c r="R11" s="66" t="n">
        <v>17</v>
      </c>
      <c r="S1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11" s="66" t="n">
        <v>12</v>
      </c>
      <c r="U1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2">
      <c r="A12" s="65" t="inlineStr">
        <is>
          <t>X908591620663</t>
        </is>
      </c>
      <c r="B12" s="65" t="inlineStr">
        <is>
          <t>Bennett</t>
        </is>
      </c>
      <c r="C12" s="65" t="inlineStr">
        <is>
          <t>Hannah</t>
        </is>
      </c>
      <c r="D12" s="66" t="inlineStr">
        <is>
          <t>F</t>
        </is>
      </c>
      <c r="E12" s="66" t="inlineStr">
        <is>
          <t>K</t>
        </is>
      </c>
      <c r="F12" s="66" t="inlineStr">
        <is>
          <t>N</t>
        </is>
      </c>
      <c r="G12" s="34" t="n">
        <v>100</v>
      </c>
      <c r="H12" s="34" t="n">
        <v>92.5</v>
      </c>
      <c r="I12" s="67">
        <f>IF(ISNUMBER(tblY9[[#This Row],[Avg KS2]]),IFERROR(VLOOKUP(STANDARDIZE(tblY9[[#This Row],[Avg KS2]],AVERAGE(tblY9[[Avg KS2]]),_xlfn.STDEV.P(tblY9[[Avg KS2]])),_Stanine,2),5),"")</f>
        <v>1</v>
      </c>
      <c r="J12" s="66" t="inlineStr">
        <is>
          <t>9A/Sc2</t>
        </is>
      </c>
      <c r="K12" s="67">
        <f>IF(tblY9[[#This Row],[Preferred Last name]]="","",COUNTIFS($N$1:$ZZ$1,"*"&amp;CHAR(10)&amp;"Stanine",$N12:$ZZ12,"&gt;=1"))</f>
        <v>3</v>
      </c>
      <c r="L12" s="68">
        <f>IFERROR(AVERAGEIF($N$1:$ZZ$1,"*"&amp;CHAR(10)&amp;"Stanine",$N12:$ZZ12),"")</f>
        <v>1.66666666666667</v>
      </c>
      <c r="M12" s="69">
        <f>IF(AND(ISNUMBER(tblY9[[#This Row],[Mean Stanine]]),ISNUMBER(tblY9[[#This Row],[Avg KS2 Band]])),tblY9[[#This Row],[Mean Stanine]]-tblY9[[#This Row],[Avg KS2 Band]],"")</f>
        <v>0.666666666666667</v>
      </c>
      <c r="N12" s="66" t="n">
        <v>5</v>
      </c>
      <c r="O1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12" s="66" t="n">
        <v>7</v>
      </c>
      <c r="Q1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12" s="66" t="inlineStr">
        <is>
          <t>A</t>
        </is>
      </c>
      <c r="S12" s="67" t="str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/>
      </c>
      <c r="T12" s="66" t="n">
        <v>11</v>
      </c>
      <c r="U1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3">
      <c r="A13" s="65" t="inlineStr">
        <is>
          <t>X909430192979</t>
        </is>
      </c>
      <c r="B13" s="65" t="inlineStr">
        <is>
          <t>Bennett</t>
        </is>
      </c>
      <c r="C13" s="65" t="inlineStr">
        <is>
          <t>Oscar</t>
        </is>
      </c>
      <c r="D13" s="66" t="inlineStr">
        <is>
          <t>F</t>
        </is>
      </c>
      <c r="E13" s="66" t="inlineStr">
        <is>
          <t>K</t>
        </is>
      </c>
      <c r="F13" s="66" t="inlineStr">
        <is>
          <t>N</t>
        </is>
      </c>
      <c r="G13" s="34" t="n">
        <v>97.09999999999999</v>
      </c>
      <c r="H13" s="34" t="n">
        <v>102</v>
      </c>
      <c r="I13" s="67">
        <f>IF(ISNUMBER(tblY9[[#This Row],[Avg KS2]]),IFERROR(VLOOKUP(STANDARDIZE(tblY9[[#This Row],[Avg KS2]],AVERAGE(tblY9[[Avg KS2]]),_xlfn.STDEV.P(tblY9[[Avg KS2]])),_Stanine,2),5),"")</f>
        <v>4</v>
      </c>
      <c r="J13" s="66" t="inlineStr">
        <is>
          <t>9A/Sc2</t>
        </is>
      </c>
      <c r="K13" s="67">
        <f>IF(tblY9[[#This Row],[Preferred Last name]]="","",COUNTIFS($N$1:$ZZ$1,"*"&amp;CHAR(10)&amp;"Stanine",$N13:$ZZ13,"&gt;=1"))</f>
        <v>4</v>
      </c>
      <c r="L13" s="68">
        <f>IFERROR(AVERAGEIF($N$1:$ZZ$1,"*"&amp;CHAR(10)&amp;"Stanine",$N13:$ZZ13),"")</f>
        <v>5.5</v>
      </c>
      <c r="M13" s="69">
        <f>IF(AND(ISNUMBER(tblY9[[#This Row],[Mean Stanine]]),ISNUMBER(tblY9[[#This Row],[Avg KS2 Band]])),tblY9[[#This Row],[Mean Stanine]]-tblY9[[#This Row],[Avg KS2 Band]],"")</f>
        <v>1.5</v>
      </c>
      <c r="N13" s="66" t="n">
        <v>20</v>
      </c>
      <c r="O1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3" s="66" t="n">
        <v>19</v>
      </c>
      <c r="Q1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13" s="66" t="n">
        <v>22</v>
      </c>
      <c r="S1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3" s="66" t="n">
        <v>16</v>
      </c>
      <c r="U1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4">
      <c r="A14" s="65" t="inlineStr">
        <is>
          <t>X906875074307</t>
        </is>
      </c>
      <c r="B14" s="65" t="inlineStr">
        <is>
          <t>Brown</t>
        </is>
      </c>
      <c r="C14" s="65" t="inlineStr">
        <is>
          <t>Harry</t>
        </is>
      </c>
      <c r="D14" s="66" t="inlineStr">
        <is>
          <t>F</t>
        </is>
      </c>
      <c r="E14" s="66" t="inlineStr">
        <is>
          <t>N</t>
        </is>
      </c>
      <c r="F14" s="66" t="inlineStr">
        <is>
          <t>Y</t>
        </is>
      </c>
      <c r="G14" s="34" t="n">
        <v>94.59999999999999</v>
      </c>
      <c r="H14" s="34" t="n">
        <v>112</v>
      </c>
      <c r="I14" s="67">
        <f>IF(ISNUMBER(tblY9[[#This Row],[Avg KS2]]),IFERROR(VLOOKUP(STANDARDIZE(tblY9[[#This Row],[Avg KS2]],AVERAGE(tblY9[[Avg KS2]]),_xlfn.STDEV.P(tblY9[[Avg KS2]])),_Stanine,2),5),"")</f>
        <v>7</v>
      </c>
      <c r="J14" s="66" t="inlineStr">
        <is>
          <t>9B/Sc1</t>
        </is>
      </c>
      <c r="K14" s="67">
        <f>IF(tblY9[[#This Row],[Preferred Last name]]="","",COUNTIFS($N$1:$ZZ$1,"*"&amp;CHAR(10)&amp;"Stanine",$N14:$ZZ14,"&gt;=1"))</f>
        <v>4</v>
      </c>
      <c r="L14" s="68">
        <f>IFERROR(AVERAGEIF($N$1:$ZZ$1,"*"&amp;CHAR(10)&amp;"Stanine",$N14:$ZZ14),"")</f>
        <v>7.75</v>
      </c>
      <c r="M14" s="69">
        <f>IF(AND(ISNUMBER(tblY9[[#This Row],[Mean Stanine]]),ISNUMBER(tblY9[[#This Row],[Avg KS2 Band]])),tblY9[[#This Row],[Mean Stanine]]-tblY9[[#This Row],[Avg KS2 Band]],"")</f>
        <v>0.75</v>
      </c>
      <c r="N14" s="66" t="n">
        <v>24</v>
      </c>
      <c r="O1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14" s="66" t="n">
        <v>30</v>
      </c>
      <c r="Q1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14" s="66" t="n">
        <v>26</v>
      </c>
      <c r="S1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14" s="66" t="n">
        <v>21</v>
      </c>
      <c r="U1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5">
      <c r="A15" s="65" t="inlineStr">
        <is>
          <t>X907178625035</t>
        </is>
      </c>
      <c r="B15" s="65" t="inlineStr">
        <is>
          <t>Cooper</t>
        </is>
      </c>
      <c r="C15" s="65" t="inlineStr">
        <is>
          <t>George</t>
        </is>
      </c>
      <c r="D15" s="66" t="inlineStr">
        <is>
          <t>M</t>
        </is>
      </c>
      <c r="E15" s="66" t="inlineStr">
        <is>
          <t>N</t>
        </is>
      </c>
      <c r="F15" s="66" t="inlineStr">
        <is>
          <t>Y</t>
        </is>
      </c>
      <c r="G15" s="34" t="n">
        <v>100</v>
      </c>
      <c r="H15" s="34" t="n">
        <v>95</v>
      </c>
      <c r="I15" s="67">
        <f>IF(ISNUMBER(tblY9[[#This Row],[Avg KS2]]),IFERROR(VLOOKUP(STANDARDIZE(tblY9[[#This Row],[Avg KS2]],AVERAGE(tblY9[[Avg KS2]]),_xlfn.STDEV.P(tblY9[[Avg KS2]])),_Stanine,2),5),"")</f>
        <v>1</v>
      </c>
      <c r="J15" s="66" t="inlineStr">
        <is>
          <t>9A/Sc2</t>
        </is>
      </c>
      <c r="K15" s="67">
        <f>IF(tblY9[[#This Row],[Preferred Last name]]="","",COUNTIFS($N$1:$ZZ$1,"*"&amp;CHAR(10)&amp;"Stanine",$N15:$ZZ15,"&gt;=1"))</f>
        <v>4</v>
      </c>
      <c r="L15" s="68">
        <f>IFERROR(AVERAGEIF($N$1:$ZZ$1,"*"&amp;CHAR(10)&amp;"Stanine",$N15:$ZZ15),"")</f>
        <v>3.5</v>
      </c>
      <c r="M15" s="69">
        <f>IF(AND(ISNUMBER(tblY9[[#This Row],[Mean Stanine]]),ISNUMBER(tblY9[[#This Row],[Avg KS2 Band]])),tblY9[[#This Row],[Mean Stanine]]-tblY9[[#This Row],[Avg KS2 Band]],"")</f>
        <v>2.5</v>
      </c>
      <c r="N15" s="66" t="n">
        <v>14</v>
      </c>
      <c r="O1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5" s="66" t="n">
        <v>13</v>
      </c>
      <c r="Q1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15" s="66" t="n">
        <v>12</v>
      </c>
      <c r="S1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15" s="66" t="n">
        <v>13</v>
      </c>
      <c r="U1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16">
      <c r="A16" s="65" t="inlineStr">
        <is>
          <t>X903534402176</t>
        </is>
      </c>
      <c r="B16" s="65" t="inlineStr">
        <is>
          <t>Cooper</t>
        </is>
      </c>
      <c r="C16" s="65" t="inlineStr">
        <is>
          <t>Seren</t>
        </is>
      </c>
      <c r="D16" s="66" t="inlineStr">
        <is>
          <t>F</t>
        </is>
      </c>
      <c r="E16" s="66" t="inlineStr">
        <is>
          <t>N</t>
        </is>
      </c>
      <c r="F16" s="66" t="inlineStr">
        <is>
          <t>N</t>
        </is>
      </c>
      <c r="G16" s="34" t="n">
        <v>88.3</v>
      </c>
      <c r="H16" s="34" t="n">
        <v>96.5</v>
      </c>
      <c r="I16" s="67">
        <f>IF(ISNUMBER(tblY9[[#This Row],[Avg KS2]]),IFERROR(VLOOKUP(STANDARDIZE(tblY9[[#This Row],[Avg KS2]],AVERAGE(tblY9[[Avg KS2]]),_xlfn.STDEV.P(tblY9[[Avg KS2]])),_Stanine,2),5),"")</f>
        <v>1</v>
      </c>
      <c r="J16" s="66" t="inlineStr">
        <is>
          <t>9B/Sc2</t>
        </is>
      </c>
      <c r="K16" s="67">
        <f>IF(tblY9[[#This Row],[Preferred Last name]]="","",COUNTIFS($N$1:$ZZ$1,"*"&amp;CHAR(10)&amp;"Stanine",$N16:$ZZ16,"&gt;=1"))</f>
        <v>4</v>
      </c>
      <c r="L16" s="68">
        <f>IFERROR(AVERAGEIF($N$1:$ZZ$1,"*"&amp;CHAR(10)&amp;"Stanine",$N16:$ZZ16),"")</f>
        <v>2.25</v>
      </c>
      <c r="M16" s="69">
        <f>IF(AND(ISNUMBER(tblY9[[#This Row],[Mean Stanine]]),ISNUMBER(tblY9[[#This Row],[Avg KS2 Band]])),tblY9[[#This Row],[Mean Stanine]]-tblY9[[#This Row],[Avg KS2 Band]],"")</f>
        <v>1.25</v>
      </c>
      <c r="N16" s="66" t="n">
        <v>8</v>
      </c>
      <c r="O1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16" s="66" t="n">
        <v>12</v>
      </c>
      <c r="Q1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16" s="66" t="n">
        <v>13</v>
      </c>
      <c r="S1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16" s="66" t="n">
        <v>5</v>
      </c>
      <c r="U1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17">
      <c r="A17" s="65" t="inlineStr">
        <is>
          <t>X906199819885</t>
        </is>
      </c>
      <c r="B17" s="65" t="inlineStr">
        <is>
          <t>Davies</t>
        </is>
      </c>
      <c r="C17" s="65" t="inlineStr">
        <is>
          <t>Alfie</t>
        </is>
      </c>
      <c r="D17" s="66" t="inlineStr">
        <is>
          <t>M</t>
        </is>
      </c>
      <c r="E17" s="66" t="inlineStr">
        <is>
          <t>K</t>
        </is>
      </c>
      <c r="F17" s="66" t="inlineStr">
        <is>
          <t>N</t>
        </is>
      </c>
      <c r="G17" s="34" t="n">
        <v>91.8</v>
      </c>
      <c r="H17" s="34" t="n">
        <v>111</v>
      </c>
      <c r="I17" s="67">
        <f>IF(ISNUMBER(tblY9[[#This Row],[Avg KS2]]),IFERROR(VLOOKUP(STANDARDIZE(tblY9[[#This Row],[Avg KS2]],AVERAGE(tblY9[[Avg KS2]]),_xlfn.STDEV.P(tblY9[[Avg KS2]])),_Stanine,2),5),"")</f>
        <v>7</v>
      </c>
      <c r="J17" s="66" t="inlineStr">
        <is>
          <t>9B/Sc1</t>
        </is>
      </c>
      <c r="K17" s="67">
        <f>IF(tblY9[[#This Row],[Preferred Last name]]="","",COUNTIFS($N$1:$ZZ$1,"*"&amp;CHAR(10)&amp;"Stanine",$N17:$ZZ17,"&gt;=1"))</f>
        <v>4</v>
      </c>
      <c r="L17" s="68">
        <f>IFERROR(AVERAGEIF($N$1:$ZZ$1,"*"&amp;CHAR(10)&amp;"Stanine",$N17:$ZZ17),"")</f>
        <v>6.5</v>
      </c>
      <c r="M17" s="69">
        <f>IF(AND(ISNUMBER(tblY9[[#This Row],[Mean Stanine]]),ISNUMBER(tblY9[[#This Row],[Avg KS2 Band]])),tblY9[[#This Row],[Mean Stanine]]-tblY9[[#This Row],[Avg KS2 Band]],"")</f>
        <v>-0.5</v>
      </c>
      <c r="N17" s="66" t="n">
        <v>18</v>
      </c>
      <c r="O1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7" s="66" t="n">
        <v>26</v>
      </c>
      <c r="Q1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7" s="66" t="n">
        <v>24</v>
      </c>
      <c r="S1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7" s="66" t="n">
        <v>19</v>
      </c>
      <c r="U1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8">
      <c r="A18" s="65" t="inlineStr">
        <is>
          <t>X906922869514</t>
        </is>
      </c>
      <c r="B18" s="65" t="inlineStr">
        <is>
          <t>Davies</t>
        </is>
      </c>
      <c r="C18" s="65" t="inlineStr">
        <is>
          <t>Ibrahim</t>
        </is>
      </c>
      <c r="D18" s="66" t="inlineStr">
        <is>
          <t>F</t>
        </is>
      </c>
      <c r="E18" s="66" t="inlineStr">
        <is>
          <t>N</t>
        </is>
      </c>
      <c r="F18" s="66" t="inlineStr">
        <is>
          <t>N</t>
        </is>
      </c>
      <c r="G18" s="34" t="n">
        <v>93.40000000000001</v>
      </c>
      <c r="H18" s="34" t="n">
        <v>106.5</v>
      </c>
      <c r="I18" s="67">
        <f>IF(ISNUMBER(tblY9[[#This Row],[Avg KS2]]),IFERROR(VLOOKUP(STANDARDIZE(tblY9[[#This Row],[Avg KS2]],AVERAGE(tblY9[[Avg KS2]]),_xlfn.STDEV.P(tblY9[[Avg KS2]])),_Stanine,2),5),"")</f>
        <v>5</v>
      </c>
      <c r="J18" s="66" t="inlineStr">
        <is>
          <t>9A/Sc2</t>
        </is>
      </c>
      <c r="K18" s="67">
        <f>IF(tblY9[[#This Row],[Preferred Last name]]="","",COUNTIFS($N$1:$ZZ$1,"*"&amp;CHAR(10)&amp;"Stanine",$N18:$ZZ18,"&gt;=1"))</f>
        <v>4</v>
      </c>
      <c r="L18" s="68">
        <f>IFERROR(AVERAGEIF($N$1:$ZZ$1,"*"&amp;CHAR(10)&amp;"Stanine",$N18:$ZZ18),"")</f>
        <v>7</v>
      </c>
      <c r="M18" s="69">
        <f>IF(AND(ISNUMBER(tblY9[[#This Row],[Mean Stanine]]),ISNUMBER(tblY9[[#This Row],[Avg KS2 Band]])),tblY9[[#This Row],[Mean Stanine]]-tblY9[[#This Row],[Avg KS2 Band]],"")</f>
        <v>2</v>
      </c>
      <c r="N18" s="66" t="n">
        <v>21</v>
      </c>
      <c r="O1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18" s="66" t="n">
        <v>25</v>
      </c>
      <c r="Q1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8" s="66" t="n">
        <v>26</v>
      </c>
      <c r="S1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18" s="66" t="n">
        <v>17</v>
      </c>
      <c r="U1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9">
      <c r="A19" s="65" t="inlineStr">
        <is>
          <t>X900708336037</t>
        </is>
      </c>
      <c r="B19" s="65" t="inlineStr">
        <is>
          <t>Davies</t>
        </is>
      </c>
      <c r="C19" s="65" t="inlineStr">
        <is>
          <t>Lily</t>
        </is>
      </c>
      <c r="D19" s="66" t="inlineStr">
        <is>
          <t>F</t>
        </is>
      </c>
      <c r="E19" s="66" t="n"/>
      <c r="F19" s="66" t="inlineStr">
        <is>
          <t>N</t>
        </is>
      </c>
      <c r="G19" s="34" t="n">
        <v>82.8</v>
      </c>
      <c r="H19" s="34" t="n">
        <v>103</v>
      </c>
      <c r="I19" s="67">
        <f>IF(ISNUMBER(tblY9[[#This Row],[Avg KS2]]),IFERROR(VLOOKUP(STANDARDIZE(tblY9[[#This Row],[Avg KS2]],AVERAGE(tblY9[[Avg KS2]]),_xlfn.STDEV.P(tblY9[[Avg KS2]])),_Stanine,2),5),"")</f>
        <v>4</v>
      </c>
      <c r="J19" s="66" t="inlineStr">
        <is>
          <t>9A/Sc1</t>
        </is>
      </c>
      <c r="K19" s="67">
        <f>IF(tblY9[[#This Row],[Preferred Last name]]="","",COUNTIFS($N$1:$ZZ$1,"*"&amp;CHAR(10)&amp;"Stanine",$N19:$ZZ19,"&gt;=1"))</f>
        <v>4</v>
      </c>
      <c r="L19" s="68">
        <f>IFERROR(AVERAGEIF($N$1:$ZZ$1,"*"&amp;CHAR(10)&amp;"Stanine",$N19:$ZZ19),"")</f>
        <v>4.25</v>
      </c>
      <c r="M19" s="69">
        <f>IF(AND(ISNUMBER(tblY9[[#This Row],[Mean Stanine]]),ISNUMBER(tblY9[[#This Row],[Avg KS2 Band]])),tblY9[[#This Row],[Mean Stanine]]-tblY9[[#This Row],[Avg KS2 Band]],"")</f>
        <v>0.25</v>
      </c>
      <c r="N19" s="66" t="n">
        <v>11</v>
      </c>
      <c r="O1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19" s="66" t="n">
        <v>16</v>
      </c>
      <c r="Q1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19" s="66" t="n">
        <v>18</v>
      </c>
      <c r="S1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19" s="66" t="n">
        <v>16</v>
      </c>
      <c r="U1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20">
      <c r="A20" s="65" t="inlineStr">
        <is>
          <t>X900961368072</t>
        </is>
      </c>
      <c r="B20" s="65" t="inlineStr">
        <is>
          <t>Davies</t>
        </is>
      </c>
      <c r="C20" s="65" t="inlineStr">
        <is>
          <t>Megan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87.09999999999999</v>
      </c>
      <c r="H20" s="34" t="n">
        <v>99.5</v>
      </c>
      <c r="I20" s="67">
        <f>IF(ISNUMBER(tblY9[[#This Row],[Avg KS2]]),IFERROR(VLOOKUP(STANDARDIZE(tblY9[[#This Row],[Avg KS2]],AVERAGE(tblY9[[Avg KS2]]),_xlfn.STDEV.P(tblY9[[Avg KS2]])),_Stanine,2),5),"")</f>
        <v>3</v>
      </c>
      <c r="J20" s="66" t="inlineStr">
        <is>
          <t>9B/Sc1</t>
        </is>
      </c>
      <c r="K20" s="67">
        <f>IF(tblY9[[#This Row],[Preferred Last name]]="","",COUNTIFS($N$1:$ZZ$1,"*"&amp;CHAR(10)&amp;"Stanine",$N20:$ZZ20,"&gt;=1"))</f>
        <v>4</v>
      </c>
      <c r="L20" s="68">
        <f>IFERROR(AVERAGEIF($N$1:$ZZ$1,"*"&amp;CHAR(10)&amp;"Stanine",$N20:$ZZ20),"")</f>
        <v>4.5</v>
      </c>
      <c r="M20" s="69">
        <f>IF(AND(ISNUMBER(tblY9[[#This Row],[Mean Stanine]]),ISNUMBER(tblY9[[#This Row],[Avg KS2 Band]])),tblY9[[#This Row],[Mean Stanine]]-tblY9[[#This Row],[Avg KS2 Band]],"")</f>
        <v>1.5</v>
      </c>
      <c r="N20" s="66" t="n">
        <v>13</v>
      </c>
      <c r="O2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20" s="66" t="n">
        <v>12</v>
      </c>
      <c r="Q2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20" s="66" t="n">
        <v>18</v>
      </c>
      <c r="S2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20" s="66" t="n">
        <v>18</v>
      </c>
      <c r="U2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21">
      <c r="A21" s="65" t="inlineStr">
        <is>
          <t>X907027826721</t>
        </is>
      </c>
      <c r="B21" s="65" t="inlineStr">
        <is>
          <t>Edwards</t>
        </is>
      </c>
      <c r="C21" s="65" t="inlineStr">
        <is>
          <t>Chidi</t>
        </is>
      </c>
      <c r="D21" s="66" t="inlineStr">
        <is>
          <t>M</t>
        </is>
      </c>
      <c r="E21" s="66" t="inlineStr">
        <is>
          <t>N</t>
        </is>
      </c>
      <c r="F21" s="66" t="inlineStr">
        <is>
          <t>Y</t>
        </is>
      </c>
      <c r="G21" s="34" t="n">
        <v>97.8</v>
      </c>
      <c r="H21" s="34" t="n">
        <v>111.5</v>
      </c>
      <c r="I21" s="67">
        <f>IF(ISNUMBER(tblY9[[#This Row],[Avg KS2]]),IFERROR(VLOOKUP(STANDARDIZE(tblY9[[#This Row],[Avg KS2]],AVERAGE(tblY9[[Avg KS2]]),_xlfn.STDEV.P(tblY9[[Avg KS2]])),_Stanine,2),5),"")</f>
        <v>7</v>
      </c>
      <c r="J21" s="66" t="inlineStr">
        <is>
          <t>9B/Sc1</t>
        </is>
      </c>
      <c r="K21" s="67">
        <f>IF(tblY9[[#This Row],[Preferred Last name]]="","",COUNTIFS($N$1:$ZZ$1,"*"&amp;CHAR(10)&amp;"Stanine",$N21:$ZZ21,"&gt;=1"))</f>
        <v>4</v>
      </c>
      <c r="L21" s="68">
        <f>IFERROR(AVERAGEIF($N$1:$ZZ$1,"*"&amp;CHAR(10)&amp;"Stanine",$N21:$ZZ21),"")</f>
        <v>7</v>
      </c>
      <c r="M21" s="69">
        <f>IF(AND(ISNUMBER(tblY9[[#This Row],[Mean Stanine]]),ISNUMBER(tblY9[[#This Row],[Avg KS2 Band]])),tblY9[[#This Row],[Mean Stanine]]-tblY9[[#This Row],[Avg KS2 Band]],"")</f>
        <v>0</v>
      </c>
      <c r="N21" s="66" t="n">
        <v>23</v>
      </c>
      <c r="O2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21" s="66" t="n">
        <v>27</v>
      </c>
      <c r="Q2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21" s="66" t="n">
        <v>23</v>
      </c>
      <c r="S2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21" s="66" t="n">
        <v>19</v>
      </c>
      <c r="U2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22">
      <c r="A22" s="65" t="inlineStr">
        <is>
          <t>X906191305151</t>
        </is>
      </c>
      <c r="B22" s="65" t="inlineStr">
        <is>
          <t>Edwards</t>
        </is>
      </c>
      <c r="C22" s="65" t="inlineStr">
        <is>
          <t>Finley</t>
        </is>
      </c>
      <c r="D22" s="66" t="inlineStr">
        <is>
          <t>M</t>
        </is>
      </c>
      <c r="E22" s="66" t="inlineStr">
        <is>
          <t>N</t>
        </is>
      </c>
      <c r="F22" s="66" t="inlineStr">
        <is>
          <t>N</t>
        </is>
      </c>
      <c r="G22" s="34" t="n">
        <v>82.2</v>
      </c>
      <c r="H22" s="34" t="n">
        <v>110</v>
      </c>
      <c r="I22" s="67">
        <f>IF(ISNUMBER(tblY9[[#This Row],[Avg KS2]]),IFERROR(VLOOKUP(STANDARDIZE(tblY9[[#This Row],[Avg KS2]],AVERAGE(tblY9[[Avg KS2]]),_xlfn.STDEV.P(tblY9[[Avg KS2]])),_Stanine,2),5),"")</f>
        <v>7</v>
      </c>
      <c r="J22" s="66" t="inlineStr">
        <is>
          <t>9A/Sc2</t>
        </is>
      </c>
      <c r="K22" s="67">
        <f>IF(tblY9[[#This Row],[Preferred Last name]]="","",COUNTIFS($N$1:$ZZ$1,"*"&amp;CHAR(10)&amp;"Stanine",$N22:$ZZ22,"&gt;=1"))</f>
        <v>4</v>
      </c>
      <c r="L22" s="68">
        <f>IFERROR(AVERAGEIF($N$1:$ZZ$1,"*"&amp;CHAR(10)&amp;"Stanine",$N22:$ZZ22),"")</f>
        <v>6.25</v>
      </c>
      <c r="M22" s="69">
        <f>IF(AND(ISNUMBER(tblY9[[#This Row],[Mean Stanine]]),ISNUMBER(tblY9[[#This Row],[Avg KS2 Band]])),tblY9[[#This Row],[Mean Stanine]]-tblY9[[#This Row],[Avg KS2 Band]],"")</f>
        <v>-0.75</v>
      </c>
      <c r="N22" s="66" t="n">
        <v>21</v>
      </c>
      <c r="O2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22" s="66" t="n">
        <v>20</v>
      </c>
      <c r="Q2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22" s="66" t="n">
        <v>25</v>
      </c>
      <c r="S2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22" s="66" t="n">
        <v>17</v>
      </c>
      <c r="U2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23">
      <c r="A23" s="65" t="inlineStr">
        <is>
          <t>X907123731044</t>
        </is>
      </c>
      <c r="B23" s="65" t="inlineStr">
        <is>
          <t>Edwards</t>
        </is>
      </c>
      <c r="C23" s="65" t="inlineStr">
        <is>
          <t>Jacob</t>
        </is>
      </c>
      <c r="D23" s="66" t="inlineStr">
        <is>
          <t>M</t>
        </is>
      </c>
      <c r="E23" s="66" t="n"/>
      <c r="F23" s="66" t="inlineStr">
        <is>
          <t>N</t>
        </is>
      </c>
      <c r="G23" s="34" t="n">
        <v>89</v>
      </c>
      <c r="H23" s="34" t="inlineStr">
        <is>
          <t>No Data</t>
        </is>
      </c>
      <c r="I23" s="67" t="str">
        <f>IF(ISNUMBER(tblY9[[#This Row],[Avg KS2]]),IFERROR(VLOOKUP(STANDARDIZE(tblY9[[#This Row],[Avg KS2]],AVERAGE(tblY9[[Avg KS2]]),_xlfn.STDEV.P(tblY9[[Avg KS2]])),_Stanine,2),5),"")</f>
        <v/>
      </c>
      <c r="J23" s="66" t="inlineStr">
        <is>
          <t>9B/Sc1</t>
        </is>
      </c>
      <c r="K23" s="67">
        <f>IF(tblY9[[#This Row],[Preferred Last name]]="","",COUNTIFS($N$1:$ZZ$1,"*"&amp;CHAR(10)&amp;"Stanine",$N23:$ZZ23,"&gt;=1"))</f>
        <v>4</v>
      </c>
      <c r="L23" s="68">
        <f>IFERROR(AVERAGEIF($N$1:$ZZ$1,"*"&amp;CHAR(10)&amp;"Stanine",$N23:$ZZ23),"")</f>
        <v>5.25</v>
      </c>
      <c r="M23" s="69" t="str">
        <f>IF(AND(ISNUMBER(tblY9[[#This Row],[Mean Stanine]]),ISNUMBER(tblY9[[#This Row],[Avg KS2 Band]])),tblY9[[#This Row],[Mean Stanine]]-tblY9[[#This Row],[Avg KS2 Band]],"")</f>
        <v/>
      </c>
      <c r="N23" s="66" t="n">
        <v>15</v>
      </c>
      <c r="O2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23" s="66" t="n">
        <v>22</v>
      </c>
      <c r="Q2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23" s="66" t="n">
        <v>16</v>
      </c>
      <c r="S2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23" s="66" t="n">
        <v>19</v>
      </c>
      <c r="U2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24">
      <c r="A24" s="65" t="inlineStr">
        <is>
          <t>X907888577547</t>
        </is>
      </c>
      <c r="B24" s="65" t="inlineStr">
        <is>
          <t>Edwards</t>
        </is>
      </c>
      <c r="C24" s="65" t="inlineStr">
        <is>
          <t>Keira</t>
        </is>
      </c>
      <c r="D24" s="66" t="inlineStr">
        <is>
          <t>M</t>
        </is>
      </c>
      <c r="E24" s="66" t="n"/>
      <c r="F24" s="66" t="inlineStr">
        <is>
          <t>Y</t>
        </is>
      </c>
      <c r="G24" s="34" t="n">
        <v>81.2</v>
      </c>
      <c r="H24" s="34" t="n">
        <v>96</v>
      </c>
      <c r="I24" s="67">
        <f>IF(ISNUMBER(tblY9[[#This Row],[Avg KS2]]),IFERROR(VLOOKUP(STANDARDIZE(tblY9[[#This Row],[Avg KS2]],AVERAGE(tblY9[[Avg KS2]]),_xlfn.STDEV.P(tblY9[[Avg KS2]])),_Stanine,2),5),"")</f>
        <v>1</v>
      </c>
      <c r="J24" s="66" t="inlineStr">
        <is>
          <t>9A/Sc2</t>
        </is>
      </c>
      <c r="K24" s="67">
        <f>IF(tblY9[[#This Row],[Preferred Last name]]="","",COUNTIFS($N$1:$ZZ$1,"*"&amp;CHAR(10)&amp;"Stanine",$N24:$ZZ24,"&gt;=1"))</f>
        <v>4</v>
      </c>
      <c r="L24" s="68">
        <f>IFERROR(AVERAGEIF($N$1:$ZZ$1,"*"&amp;CHAR(10)&amp;"Stanine",$N24:$ZZ24),"")</f>
        <v>1.75</v>
      </c>
      <c r="M24" s="69">
        <f>IF(AND(ISNUMBER(tblY9[[#This Row],[Mean Stanine]]),ISNUMBER(tblY9[[#This Row],[Avg KS2 Band]])),tblY9[[#This Row],[Mean Stanine]]-tblY9[[#This Row],[Avg KS2 Band]],"")</f>
        <v>0.75</v>
      </c>
      <c r="N24" s="66" t="n">
        <v>8</v>
      </c>
      <c r="O2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24" s="66" t="n">
        <v>10</v>
      </c>
      <c r="Q2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24" s="66" t="n">
        <v>6</v>
      </c>
      <c r="S2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24" s="66" t="n">
        <v>9</v>
      </c>
      <c r="U2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2</v>
      </c>
    </row>
    <row r="25">
      <c r="A25" s="65" t="inlineStr">
        <is>
          <t>X909997754467</t>
        </is>
      </c>
      <c r="B25" s="65" t="inlineStr">
        <is>
          <t>Evans</t>
        </is>
      </c>
      <c r="C25" s="65" t="inlineStr">
        <is>
          <t>Aisha</t>
        </is>
      </c>
      <c r="D25" s="66" t="inlineStr">
        <is>
          <t>M</t>
        </is>
      </c>
      <c r="E25" s="66" t="inlineStr">
        <is>
          <t>N</t>
        </is>
      </c>
      <c r="F25" s="66" t="inlineStr">
        <is>
          <t>N</t>
        </is>
      </c>
      <c r="G25" s="34" t="n">
        <v>92.7</v>
      </c>
      <c r="H25" s="34" t="n">
        <v>104</v>
      </c>
      <c r="I25" s="67">
        <f>IF(ISNUMBER(tblY9[[#This Row],[Avg KS2]]),IFERROR(VLOOKUP(STANDARDIZE(tblY9[[#This Row],[Avg KS2]],AVERAGE(tblY9[[Avg KS2]]),_xlfn.STDEV.P(tblY9[[Avg KS2]])),_Stanine,2),5),"")</f>
        <v>4</v>
      </c>
      <c r="J25" s="66" t="inlineStr">
        <is>
          <t>9A/Sc2</t>
        </is>
      </c>
      <c r="K25" s="67">
        <f>IF(tblY9[[#This Row],[Preferred Last name]]="","",COUNTIFS($N$1:$ZZ$1,"*"&amp;CHAR(10)&amp;"Stanine",$N25:$ZZ25,"&gt;=1"))</f>
        <v>4</v>
      </c>
      <c r="L25" s="68">
        <f>IFERROR(AVERAGEIF($N$1:$ZZ$1,"*"&amp;CHAR(10)&amp;"Stanine",$N25:$ZZ25),"")</f>
        <v>3</v>
      </c>
      <c r="M25" s="69">
        <f>IF(AND(ISNUMBER(tblY9[[#This Row],[Mean Stanine]]),ISNUMBER(tblY9[[#This Row],[Avg KS2 Band]])),tblY9[[#This Row],[Mean Stanine]]-tblY9[[#This Row],[Avg KS2 Band]],"")</f>
        <v>-1</v>
      </c>
      <c r="N25" s="66" t="n">
        <v>8</v>
      </c>
      <c r="O2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25" s="66" t="n">
        <v>13</v>
      </c>
      <c r="Q2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25" s="66" t="n">
        <v>12</v>
      </c>
      <c r="S2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25" s="66" t="n">
        <v>13</v>
      </c>
      <c r="U2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26">
      <c r="A26" s="65" t="inlineStr">
        <is>
          <t>X900080633145</t>
        </is>
      </c>
      <c r="B26" s="65" t="inlineStr">
        <is>
          <t>Evans</t>
        </is>
      </c>
      <c r="C26" s="65" t="inlineStr">
        <is>
          <t>Freya</t>
        </is>
      </c>
      <c r="D26" s="66" t="inlineStr">
        <is>
          <t>F</t>
        </is>
      </c>
      <c r="E26" s="66" t="inlineStr">
        <is>
          <t>K</t>
        </is>
      </c>
      <c r="F26" s="66" t="inlineStr">
        <is>
          <t>Y</t>
        </is>
      </c>
      <c r="G26" s="34" t="n">
        <v>99.5</v>
      </c>
      <c r="H26" s="34" t="n">
        <v>113.5</v>
      </c>
      <c r="I26" s="67">
        <f>IF(ISNUMBER(tblY9[[#This Row],[Avg KS2]]),IFERROR(VLOOKUP(STANDARDIZE(tblY9[[#This Row],[Avg KS2]],AVERAGE(tblY9[[Avg KS2]]),_xlfn.STDEV.P(tblY9[[Avg KS2]])),_Stanine,2),5),"")</f>
        <v>8</v>
      </c>
      <c r="J26" s="66" t="inlineStr">
        <is>
          <t>9B/Sc1</t>
        </is>
      </c>
      <c r="K26" s="67">
        <f>IF(tblY9[[#This Row],[Preferred Last name]]="","",COUNTIFS($N$1:$ZZ$1,"*"&amp;CHAR(10)&amp;"Stanine",$N26:$ZZ26,"&gt;=1"))</f>
        <v>4</v>
      </c>
      <c r="L26" s="68">
        <f>IFERROR(AVERAGEIF($N$1:$ZZ$1,"*"&amp;CHAR(10)&amp;"Stanine",$N26:$ZZ26),"")</f>
        <v>6.5</v>
      </c>
      <c r="M26" s="69">
        <f>IF(AND(ISNUMBER(tblY9[[#This Row],[Mean Stanine]]),ISNUMBER(tblY9[[#This Row],[Avg KS2 Band]])),tblY9[[#This Row],[Mean Stanine]]-tblY9[[#This Row],[Avg KS2 Band]],"")</f>
        <v>-1.5</v>
      </c>
      <c r="N26" s="66" t="n">
        <v>16</v>
      </c>
      <c r="O2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26" s="66" t="n">
        <v>23</v>
      </c>
      <c r="Q2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26" s="66" t="n">
        <v>26</v>
      </c>
      <c r="S2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26" s="66" t="n">
        <v>21</v>
      </c>
      <c r="U2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27">
      <c r="A27" s="65" t="inlineStr">
        <is>
          <t>X909045122201</t>
        </is>
      </c>
      <c r="B27" s="65" t="inlineStr">
        <is>
          <t>Evans</t>
        </is>
      </c>
      <c r="C27" s="65" t="inlineStr">
        <is>
          <t>Hollie</t>
        </is>
      </c>
      <c r="D27" s="66" t="inlineStr">
        <is>
          <t>M</t>
        </is>
      </c>
      <c r="E27" s="66" t="inlineStr">
        <is>
          <t>N</t>
        </is>
      </c>
      <c r="F27" s="66" t="inlineStr">
        <is>
          <t>Y</t>
        </is>
      </c>
      <c r="G27" s="34" t="n">
        <v>100</v>
      </c>
      <c r="H27" s="34" t="n">
        <v>107</v>
      </c>
      <c r="I27" s="67">
        <f>IF(ISNUMBER(tblY9[[#This Row],[Avg KS2]]),IFERROR(VLOOKUP(STANDARDIZE(tblY9[[#This Row],[Avg KS2]],AVERAGE(tblY9[[Avg KS2]]),_xlfn.STDEV.P(tblY9[[Avg KS2]])),_Stanine,2),5),"")</f>
        <v>5</v>
      </c>
      <c r="J27" s="66" t="inlineStr">
        <is>
          <t>9A/Sc1</t>
        </is>
      </c>
      <c r="K27" s="67">
        <f>IF(tblY9[[#This Row],[Preferred Last name]]="","",COUNTIFS($N$1:$ZZ$1,"*"&amp;CHAR(10)&amp;"Stanine",$N27:$ZZ27,"&gt;=1"))</f>
        <v>4</v>
      </c>
      <c r="L27" s="68">
        <f>IFERROR(AVERAGEIF($N$1:$ZZ$1,"*"&amp;CHAR(10)&amp;"Stanine",$N27:$ZZ27),"")</f>
        <v>5</v>
      </c>
      <c r="M27" s="69">
        <f>IF(AND(ISNUMBER(tblY9[[#This Row],[Mean Stanine]]),ISNUMBER(tblY9[[#This Row],[Avg KS2 Band]])),tblY9[[#This Row],[Mean Stanine]]-tblY9[[#This Row],[Avg KS2 Band]],"")</f>
        <v>0</v>
      </c>
      <c r="N27" s="66" t="n">
        <v>15</v>
      </c>
      <c r="O2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27" s="66" t="n">
        <v>20</v>
      </c>
      <c r="Q2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27" s="66" t="n">
        <v>18</v>
      </c>
      <c r="S2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27" s="66" t="n">
        <v>15</v>
      </c>
      <c r="U2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28">
      <c r="A28" s="65" t="inlineStr">
        <is>
          <t>X902863682122</t>
        </is>
      </c>
      <c r="B28" s="65" t="inlineStr">
        <is>
          <t>Evans</t>
        </is>
      </c>
      <c r="C28" s="65" t="inlineStr">
        <is>
          <t>Mia</t>
        </is>
      </c>
      <c r="D28" s="66" t="inlineStr">
        <is>
          <t>M</t>
        </is>
      </c>
      <c r="E28" s="66" t="n"/>
      <c r="F28" s="66" t="inlineStr">
        <is>
          <t>Y</t>
        </is>
      </c>
      <c r="G28" s="34" t="n">
        <v>95.09999999999999</v>
      </c>
      <c r="H28" s="34" t="n">
        <v>96</v>
      </c>
      <c r="I28" s="67">
        <f>IF(ISNUMBER(tblY9[[#This Row],[Avg KS2]]),IFERROR(VLOOKUP(STANDARDIZE(tblY9[[#This Row],[Avg KS2]],AVERAGE(tblY9[[Avg KS2]]),_xlfn.STDEV.P(tblY9[[Avg KS2]])),_Stanine,2),5),"")</f>
        <v>1</v>
      </c>
      <c r="J28" s="66" t="inlineStr">
        <is>
          <t>Science Support</t>
        </is>
      </c>
      <c r="K28" s="67">
        <f>IF(tblY9[[#This Row],[Preferred Last name]]="","",COUNTIFS($N$1:$ZZ$1,"*"&amp;CHAR(10)&amp;"Stanine",$N28:$ZZ28,"&gt;=1"))</f>
        <v>4</v>
      </c>
      <c r="L28" s="68">
        <f>IFERROR(AVERAGEIF($N$1:$ZZ$1,"*"&amp;CHAR(10)&amp;"Stanine",$N28:$ZZ28),"")</f>
        <v>1</v>
      </c>
      <c r="M28" s="69">
        <f>IF(AND(ISNUMBER(tblY9[[#This Row],[Mean Stanine]]),ISNUMBER(tblY9[[#This Row],[Avg KS2 Band]])),tblY9[[#This Row],[Mean Stanine]]-tblY9[[#This Row],[Avg KS2 Band]],"")</f>
        <v>0</v>
      </c>
      <c r="N28" s="66" t="n">
        <v>2</v>
      </c>
      <c r="O2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28" s="66" t="n">
        <v>2</v>
      </c>
      <c r="Q2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28" s="66" t="n">
        <v>2</v>
      </c>
      <c r="S2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28" s="66" t="n">
        <v>2</v>
      </c>
      <c r="U2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29">
      <c r="A29" s="65" t="inlineStr">
        <is>
          <t>X901299667300</t>
        </is>
      </c>
      <c r="B29" s="65" t="inlineStr">
        <is>
          <t>Fletcher</t>
        </is>
      </c>
      <c r="C29" s="65" t="inlineStr">
        <is>
          <t>Hannah</t>
        </is>
      </c>
      <c r="D29" s="66" t="inlineStr">
        <is>
          <t>M</t>
        </is>
      </c>
      <c r="E29" s="66" t="n"/>
      <c r="F29" s="66" t="inlineStr">
        <is>
          <t>Y</t>
        </is>
      </c>
      <c r="G29" s="34" t="n">
        <v>91.3</v>
      </c>
      <c r="H29" s="34" t="n">
        <v>98</v>
      </c>
      <c r="I29" s="67">
        <f>IF(ISNUMBER(tblY9[[#This Row],[Avg KS2]]),IFERROR(VLOOKUP(STANDARDIZE(tblY9[[#This Row],[Avg KS2]],AVERAGE(tblY9[[Avg KS2]]),_xlfn.STDEV.P(tblY9[[Avg KS2]])),_Stanine,2),5),"")</f>
        <v>2</v>
      </c>
      <c r="J29" s="66" t="inlineStr">
        <is>
          <t>9B/Sc2</t>
        </is>
      </c>
      <c r="K29" s="67">
        <f>IF(tblY9[[#This Row],[Preferred Last name]]="","",COUNTIFS($N$1:$ZZ$1,"*"&amp;CHAR(10)&amp;"Stanine",$N29:$ZZ29,"&gt;=1"))</f>
        <v>4</v>
      </c>
      <c r="L29" s="68">
        <f>IFERROR(AVERAGEIF($N$1:$ZZ$1,"*"&amp;CHAR(10)&amp;"Stanine",$N29:$ZZ29),"")</f>
        <v>3</v>
      </c>
      <c r="M29" s="69">
        <f>IF(AND(ISNUMBER(tblY9[[#This Row],[Mean Stanine]]),ISNUMBER(tblY9[[#This Row],[Avg KS2 Band]])),tblY9[[#This Row],[Mean Stanine]]-tblY9[[#This Row],[Avg KS2 Band]],"")</f>
        <v>1</v>
      </c>
      <c r="N29" s="66" t="n">
        <v>8</v>
      </c>
      <c r="O2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29" s="66" t="n">
        <v>18</v>
      </c>
      <c r="Q2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29" s="66" t="n">
        <v>11</v>
      </c>
      <c r="S2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29" s="66" t="n">
        <v>10</v>
      </c>
      <c r="U2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30">
      <c r="A30" s="65" t="inlineStr">
        <is>
          <t>X903980030034</t>
        </is>
      </c>
      <c r="B30" s="65" t="inlineStr">
        <is>
          <t>Fletcher</t>
        </is>
      </c>
      <c r="C30" s="65" t="inlineStr">
        <is>
          <t>Ibrahim</t>
        </is>
      </c>
      <c r="D30" s="66" t="inlineStr">
        <is>
          <t>M</t>
        </is>
      </c>
      <c r="E30" s="66" t="inlineStr">
        <is>
          <t>N</t>
        </is>
      </c>
      <c r="F30" s="66" t="inlineStr">
        <is>
          <t>N</t>
        </is>
      </c>
      <c r="G30" s="34" t="n">
        <v>95.09999999999999</v>
      </c>
      <c r="H30" s="34" t="n">
        <v>100.5</v>
      </c>
      <c r="I30" s="67">
        <f>IF(ISNUMBER(tblY9[[#This Row],[Avg KS2]]),IFERROR(VLOOKUP(STANDARDIZE(tblY9[[#This Row],[Avg KS2]],AVERAGE(tblY9[[Avg KS2]]),_xlfn.STDEV.P(tblY9[[Avg KS2]])),_Stanine,2),5),"")</f>
        <v>3</v>
      </c>
      <c r="J30" s="66" t="inlineStr">
        <is>
          <t>9A/Sc3</t>
        </is>
      </c>
      <c r="K30" s="67">
        <f>IF(tblY9[[#This Row],[Preferred Last name]]="","",COUNTIFS($N$1:$ZZ$1,"*"&amp;CHAR(10)&amp;"Stanine",$N30:$ZZ30,"&gt;=1"))</f>
        <v>4</v>
      </c>
      <c r="L30" s="68">
        <f>IFERROR(AVERAGEIF($N$1:$ZZ$1,"*"&amp;CHAR(10)&amp;"Stanine",$N30:$ZZ30),"")</f>
        <v>3.25</v>
      </c>
      <c r="M30" s="69">
        <f>IF(AND(ISNUMBER(tblY9[[#This Row],[Mean Stanine]]),ISNUMBER(tblY9[[#This Row],[Avg KS2 Band]])),tblY9[[#This Row],[Mean Stanine]]-tblY9[[#This Row],[Avg KS2 Band]],"")</f>
        <v>0.25</v>
      </c>
      <c r="N30" s="66" t="n">
        <v>10</v>
      </c>
      <c r="O3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30" s="66" t="n">
        <v>14</v>
      </c>
      <c r="Q3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30" s="66" t="n">
        <v>13</v>
      </c>
      <c r="S3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30" s="66" t="n">
        <v>11</v>
      </c>
      <c r="U3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31">
      <c r="A31" s="65" t="inlineStr">
        <is>
          <t>X909862001612</t>
        </is>
      </c>
      <c r="B31" s="65" t="inlineStr">
        <is>
          <t>Fletcher</t>
        </is>
      </c>
      <c r="C31" s="65" t="inlineStr">
        <is>
          <t>Oscar</t>
        </is>
      </c>
      <c r="D31" s="66" t="inlineStr">
        <is>
          <t>M</t>
        </is>
      </c>
      <c r="E31" s="66" t="n"/>
      <c r="F31" s="66" t="inlineStr">
        <is>
          <t>N</t>
        </is>
      </c>
      <c r="G31" s="34" t="n">
        <v>79.8</v>
      </c>
      <c r="H31" s="34" t="n">
        <v>98</v>
      </c>
      <c r="I31" s="67">
        <f>IF(ISNUMBER(tblY9[[#This Row],[Avg KS2]]),IFERROR(VLOOKUP(STANDARDIZE(tblY9[[#This Row],[Avg KS2]],AVERAGE(tblY9[[Avg KS2]]),_xlfn.STDEV.P(tblY9[[Avg KS2]])),_Stanine,2),5),"")</f>
        <v>2</v>
      </c>
      <c r="J31" s="66" t="inlineStr">
        <is>
          <t>9A/Sc3</t>
        </is>
      </c>
      <c r="K31" s="67">
        <f>IF(tblY9[[#This Row],[Preferred Last name]]="","",COUNTIFS($N$1:$ZZ$1,"*"&amp;CHAR(10)&amp;"Stanine",$N31:$ZZ31,"&gt;=1"))</f>
        <v>4</v>
      </c>
      <c r="L31" s="68">
        <f>IFERROR(AVERAGEIF($N$1:$ZZ$1,"*"&amp;CHAR(10)&amp;"Stanine",$N31:$ZZ31),"")</f>
        <v>2.25</v>
      </c>
      <c r="M31" s="69">
        <f>IF(AND(ISNUMBER(tblY9[[#This Row],[Mean Stanine]]),ISNUMBER(tblY9[[#This Row],[Avg KS2 Band]])),tblY9[[#This Row],[Mean Stanine]]-tblY9[[#This Row],[Avg KS2 Band]],"")</f>
        <v>0.25</v>
      </c>
      <c r="N31" s="66" t="n">
        <v>11</v>
      </c>
      <c r="O3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31" s="66" t="n">
        <v>7</v>
      </c>
      <c r="Q3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31" s="66" t="n">
        <v>11</v>
      </c>
      <c r="S3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31" s="66" t="n">
        <v>11</v>
      </c>
      <c r="U3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32">
      <c r="A32" s="65" t="inlineStr">
        <is>
          <t>X909086719225</t>
        </is>
      </c>
      <c r="B32" s="65" t="inlineStr">
        <is>
          <t>Fletcher</t>
        </is>
      </c>
      <c r="C32" s="65" t="inlineStr">
        <is>
          <t>Priya</t>
        </is>
      </c>
      <c r="D32" s="66" t="inlineStr">
        <is>
          <t>F</t>
        </is>
      </c>
      <c r="E32" s="66" t="n"/>
      <c r="F32" s="66" t="inlineStr">
        <is>
          <t>N</t>
        </is>
      </c>
      <c r="G32" s="34" t="n">
        <v>96.8</v>
      </c>
      <c r="H32" s="34" t="n">
        <v>101</v>
      </c>
      <c r="I32" s="67">
        <f>IF(ISNUMBER(tblY9[[#This Row],[Avg KS2]]),IFERROR(VLOOKUP(STANDARDIZE(tblY9[[#This Row],[Avg KS2]],AVERAGE(tblY9[[Avg KS2]]),_xlfn.STDEV.P(tblY9[[Avg KS2]])),_Stanine,2),5),"")</f>
        <v>3</v>
      </c>
      <c r="J32" s="66" t="inlineStr">
        <is>
          <t>9A/Sc2</t>
        </is>
      </c>
      <c r="K32" s="67">
        <f>IF(tblY9[[#This Row],[Preferred Last name]]="","",COUNTIFS($N$1:$ZZ$1,"*"&amp;CHAR(10)&amp;"Stanine",$N32:$ZZ32,"&gt;=1"))</f>
        <v>4</v>
      </c>
      <c r="L32" s="68">
        <f>IFERROR(AVERAGEIF($N$1:$ZZ$1,"*"&amp;CHAR(10)&amp;"Stanine",$N32:$ZZ32),"")</f>
        <v>5.25</v>
      </c>
      <c r="M32" s="69">
        <f>IF(AND(ISNUMBER(tblY9[[#This Row],[Mean Stanine]]),ISNUMBER(tblY9[[#This Row],[Avg KS2 Band]])),tblY9[[#This Row],[Mean Stanine]]-tblY9[[#This Row],[Avg KS2 Band]],"")</f>
        <v>2.25</v>
      </c>
      <c r="N32" s="66" t="n">
        <v>18</v>
      </c>
      <c r="O3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32" s="66" t="n">
        <v>18</v>
      </c>
      <c r="Q3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32" s="66" t="n">
        <v>18</v>
      </c>
      <c r="S3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32" s="66" t="n">
        <v>15</v>
      </c>
      <c r="U3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33">
      <c r="A33" s="65" t="inlineStr">
        <is>
          <t>X905283953344</t>
        </is>
      </c>
      <c r="B33" s="65" t="inlineStr">
        <is>
          <t>Green</t>
        </is>
      </c>
      <c r="C33" s="65" t="inlineStr">
        <is>
          <t>Zara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Y</t>
        </is>
      </c>
      <c r="G33" s="34" t="n">
        <v>98.2</v>
      </c>
      <c r="H33" s="34" t="n">
        <v>112.5</v>
      </c>
      <c r="I33" s="67">
        <f>IF(ISNUMBER(tblY9[[#This Row],[Avg KS2]]),IFERROR(VLOOKUP(STANDARDIZE(tblY9[[#This Row],[Avg KS2]],AVERAGE(tblY9[[Avg KS2]]),_xlfn.STDEV.P(tblY9[[Avg KS2]])),_Stanine,2),5),"")</f>
        <v>8</v>
      </c>
      <c r="J33" s="66" t="inlineStr">
        <is>
          <t>9B/Sc1</t>
        </is>
      </c>
      <c r="K33" s="67">
        <f>IF(tblY9[[#This Row],[Preferred Last name]]="","",COUNTIFS($N$1:$ZZ$1,"*"&amp;CHAR(10)&amp;"Stanine",$N33:$ZZ33,"&gt;=1"))</f>
        <v>4</v>
      </c>
      <c r="L33" s="68">
        <f>IFERROR(AVERAGEIF($N$1:$ZZ$1,"*"&amp;CHAR(10)&amp;"Stanine",$N33:$ZZ33),"")</f>
        <v>7.5</v>
      </c>
      <c r="M33" s="69">
        <f>IF(AND(ISNUMBER(tblY9[[#This Row],[Mean Stanine]]),ISNUMBER(tblY9[[#This Row],[Avg KS2 Band]])),tblY9[[#This Row],[Mean Stanine]]-tblY9[[#This Row],[Avg KS2 Band]],"")</f>
        <v>-0.5</v>
      </c>
      <c r="N33" s="66" t="n">
        <v>24</v>
      </c>
      <c r="O3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33" s="66" t="n">
        <v>26</v>
      </c>
      <c r="Q3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33" s="66" t="n">
        <v>25</v>
      </c>
      <c r="S3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33" s="66" t="n">
        <v>22</v>
      </c>
      <c r="U3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34">
      <c r="A34" s="65" t="inlineStr">
        <is>
          <t>X909837983848</t>
        </is>
      </c>
      <c r="B34" s="65" t="inlineStr">
        <is>
          <t>Griffiths</t>
        </is>
      </c>
      <c r="C34" s="65" t="inlineStr">
        <is>
          <t>Charlie</t>
        </is>
      </c>
      <c r="D34" s="66" t="inlineStr">
        <is>
          <t>M</t>
        </is>
      </c>
      <c r="E34" s="66" t="inlineStr">
        <is>
          <t>K</t>
        </is>
      </c>
      <c r="F34" s="66" t="inlineStr">
        <is>
          <t>N</t>
        </is>
      </c>
      <c r="G34" s="34" t="n">
        <v>93.09999999999999</v>
      </c>
      <c r="H34" s="34" t="n">
        <v>108.5</v>
      </c>
      <c r="I34" s="67">
        <f>IF(ISNUMBER(tblY9[[#This Row],[Avg KS2]]),IFERROR(VLOOKUP(STANDARDIZE(tblY9[[#This Row],[Avg KS2]],AVERAGE(tblY9[[Avg KS2]]),_xlfn.STDEV.P(tblY9[[Avg KS2]])),_Stanine,2),5),"")</f>
        <v>6</v>
      </c>
      <c r="J34" s="66" t="inlineStr">
        <is>
          <t>9B/Sc1</t>
        </is>
      </c>
      <c r="K34" s="67">
        <f>IF(tblY9[[#This Row],[Preferred Last name]]="","",COUNTIFS($N$1:$ZZ$1,"*"&amp;CHAR(10)&amp;"Stanine",$N34:$ZZ34,"&gt;=1"))</f>
        <v>4</v>
      </c>
      <c r="L34" s="68">
        <f>IFERROR(AVERAGEIF($N$1:$ZZ$1,"*"&amp;CHAR(10)&amp;"Stanine",$N34:$ZZ34),"")</f>
        <v>6.75</v>
      </c>
      <c r="M34" s="69">
        <f>IF(AND(ISNUMBER(tblY9[[#This Row],[Mean Stanine]]),ISNUMBER(tblY9[[#This Row],[Avg KS2 Band]])),tblY9[[#This Row],[Mean Stanine]]-tblY9[[#This Row],[Avg KS2 Band]],"")</f>
        <v>0.75</v>
      </c>
      <c r="N34" s="66" t="n">
        <v>22</v>
      </c>
      <c r="O3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34" s="66" t="n">
        <v>23</v>
      </c>
      <c r="Q3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34" s="66" t="n">
        <v>25</v>
      </c>
      <c r="S3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34" s="66" t="n">
        <v>20</v>
      </c>
      <c r="U3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35">
      <c r="A35" s="65" t="inlineStr">
        <is>
          <t>X908940127681</t>
        </is>
      </c>
      <c r="B35" s="65" t="inlineStr">
        <is>
          <t>Griffiths</t>
        </is>
      </c>
      <c r="C35" s="65" t="inlineStr">
        <is>
          <t>Nia</t>
        </is>
      </c>
      <c r="D35" s="66" t="inlineStr">
        <is>
          <t>M</t>
        </is>
      </c>
      <c r="E35" s="66" t="inlineStr">
        <is>
          <t>K</t>
        </is>
      </c>
      <c r="F35" s="66" t="inlineStr">
        <is>
          <t>Y</t>
        </is>
      </c>
      <c r="G35" s="34" t="n">
        <v>87.59999999999999</v>
      </c>
      <c r="H35" s="34" t="n">
        <v>112.5</v>
      </c>
      <c r="I35" s="67">
        <f>IF(ISNUMBER(tblY9[[#This Row],[Avg KS2]]),IFERROR(VLOOKUP(STANDARDIZE(tblY9[[#This Row],[Avg KS2]],AVERAGE(tblY9[[Avg KS2]]),_xlfn.STDEV.P(tblY9[[Avg KS2]])),_Stanine,2),5),"")</f>
        <v>8</v>
      </c>
      <c r="J35" s="66" t="inlineStr">
        <is>
          <t>9A/Sc3</t>
        </is>
      </c>
      <c r="K35" s="67">
        <f>IF(tblY9[[#This Row],[Preferred Last name]]="","",COUNTIFS($N$1:$ZZ$1,"*"&amp;CHAR(10)&amp;"Stanine",$N35:$ZZ35,"&gt;=1"))</f>
        <v>3</v>
      </c>
      <c r="L35" s="68">
        <f>IFERROR(AVERAGEIF($N$1:$ZZ$1,"*"&amp;CHAR(10)&amp;"Stanine",$N35:$ZZ35),"")</f>
        <v>6.33333333333333</v>
      </c>
      <c r="M35" s="69">
        <f>IF(AND(ISNUMBER(tblY9[[#This Row],[Mean Stanine]]),ISNUMBER(tblY9[[#This Row],[Avg KS2 Band]])),tblY9[[#This Row],[Mean Stanine]]-tblY9[[#This Row],[Avg KS2 Band]],"")</f>
        <v>-1.66666666666667</v>
      </c>
      <c r="N35" s="66" t="inlineStr">
        <is>
          <t>A</t>
        </is>
      </c>
      <c r="O35" s="67" t="str">
        <f>IF(ISNUMBER(tblY9[[#This Row],[9B01 - Genetics
Raw Score]]),IFERROR(VLOOKUP(STANDARDIZE(tblY9[[#This Row],[9B01 - Genetics
Raw Score]],AVERAGE(tblY9[[9B01 - Genetics
Raw Score]]),_xlfn.STDEV.P(tblY9[[9B01 - Genetics
Raw Score]])),_Stanine,2),5),"")</f>
        <v/>
      </c>
      <c r="P35" s="66" t="n">
        <v>21</v>
      </c>
      <c r="Q3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35" s="66" t="n">
        <v>23</v>
      </c>
      <c r="S3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35" s="66" t="n">
        <v>17</v>
      </c>
      <c r="U3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36">
      <c r="A36" s="65" t="inlineStr">
        <is>
          <t>X908990708768</t>
        </is>
      </c>
      <c r="B36" s="65" t="inlineStr">
        <is>
          <t>Hall</t>
        </is>
      </c>
      <c r="C36" s="65" t="inlineStr">
        <is>
          <t>Amelia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98.40000000000001</v>
      </c>
      <c r="H36" s="34" t="n">
        <v>105</v>
      </c>
      <c r="I36" s="67">
        <f>IF(ISNUMBER(tblY9[[#This Row],[Avg KS2]]),IFERROR(VLOOKUP(STANDARDIZE(tblY9[[#This Row],[Avg KS2]],AVERAGE(tblY9[[Avg KS2]]),_xlfn.STDEV.P(tblY9[[Avg KS2]])),_Stanine,2),5),"")</f>
        <v>5</v>
      </c>
      <c r="J36" s="66" t="inlineStr">
        <is>
          <t>9A/Sc3</t>
        </is>
      </c>
      <c r="K36" s="67">
        <f>IF(tblY9[[#This Row],[Preferred Last name]]="","",COUNTIFS($N$1:$ZZ$1,"*"&amp;CHAR(10)&amp;"Stanine",$N36:$ZZ36,"&gt;=1"))</f>
        <v>4</v>
      </c>
      <c r="L36" s="68">
        <f>IFERROR(AVERAGEIF($N$1:$ZZ$1,"*"&amp;CHAR(10)&amp;"Stanine",$N36:$ZZ36),"")</f>
        <v>4.25</v>
      </c>
      <c r="M36" s="69">
        <f>IF(AND(ISNUMBER(tblY9[[#This Row],[Mean Stanine]]),ISNUMBER(tblY9[[#This Row],[Avg KS2 Band]])),tblY9[[#This Row],[Mean Stanine]]-tblY9[[#This Row],[Avg KS2 Band]],"")</f>
        <v>-0.75</v>
      </c>
      <c r="N36" s="66" t="n">
        <v>13</v>
      </c>
      <c r="O3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36" s="66" t="n">
        <v>21</v>
      </c>
      <c r="Q3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36" s="66" t="n">
        <v>13</v>
      </c>
      <c r="S3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36" s="66" t="n">
        <v>14</v>
      </c>
      <c r="U3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37">
      <c r="A37" s="65" t="inlineStr">
        <is>
          <t>X907363408697</t>
        </is>
      </c>
      <c r="B37" s="65" t="inlineStr">
        <is>
          <t>Hall</t>
        </is>
      </c>
      <c r="C37" s="65" t="inlineStr">
        <is>
          <t>Freya</t>
        </is>
      </c>
      <c r="D37" s="66" t="inlineStr">
        <is>
          <t>M</t>
        </is>
      </c>
      <c r="E37" s="66" t="inlineStr">
        <is>
          <t>N</t>
        </is>
      </c>
      <c r="F37" s="66" t="inlineStr">
        <is>
          <t>Y</t>
        </is>
      </c>
      <c r="G37" s="34" t="n">
        <v>86.5</v>
      </c>
      <c r="H37" s="34" t="n">
        <v>107.5</v>
      </c>
      <c r="I37" s="67">
        <f>IF(ISNUMBER(tblY9[[#This Row],[Avg KS2]]),IFERROR(VLOOKUP(STANDARDIZE(tblY9[[#This Row],[Avg KS2]],AVERAGE(tblY9[[Avg KS2]]),_xlfn.STDEV.P(tblY9[[Avg KS2]])),_Stanine,2),5),"")</f>
        <v>6</v>
      </c>
      <c r="J37" s="66" t="inlineStr">
        <is>
          <t>9B/Sc1</t>
        </is>
      </c>
      <c r="K37" s="67">
        <f>IF(tblY9[[#This Row],[Preferred Last name]]="","",COUNTIFS($N$1:$ZZ$1,"*"&amp;CHAR(10)&amp;"Stanine",$N37:$ZZ37,"&gt;=1"))</f>
        <v>4</v>
      </c>
      <c r="L37" s="68">
        <f>IFERROR(AVERAGEIF($N$1:$ZZ$1,"*"&amp;CHAR(10)&amp;"Stanine",$N37:$ZZ37),"")</f>
        <v>5.5</v>
      </c>
      <c r="M37" s="69">
        <f>IF(AND(ISNUMBER(tblY9[[#This Row],[Mean Stanine]]),ISNUMBER(tblY9[[#This Row],[Avg KS2 Band]])),tblY9[[#This Row],[Mean Stanine]]-tblY9[[#This Row],[Avg KS2 Band]],"")</f>
        <v>-0.5</v>
      </c>
      <c r="N37" s="66" t="n">
        <v>15</v>
      </c>
      <c r="O3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37" s="66" t="n">
        <v>23</v>
      </c>
      <c r="Q3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37" s="66" t="n">
        <v>18</v>
      </c>
      <c r="S3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37" s="66" t="n">
        <v>19</v>
      </c>
      <c r="U3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38">
      <c r="A38" s="65" t="inlineStr">
        <is>
          <t>X905814126739</t>
        </is>
      </c>
      <c r="B38" s="65" t="inlineStr">
        <is>
          <t>Hall</t>
        </is>
      </c>
      <c r="C38" s="65" t="inlineStr">
        <is>
          <t>Maya</t>
        </is>
      </c>
      <c r="D38" s="66" t="inlineStr">
        <is>
          <t>F</t>
        </is>
      </c>
      <c r="E38" s="66" t="n"/>
      <c r="F38" s="66" t="inlineStr">
        <is>
          <t>N</t>
        </is>
      </c>
      <c r="G38" s="34" t="n">
        <v>93.40000000000001</v>
      </c>
      <c r="H38" s="34" t="n">
        <v>111</v>
      </c>
      <c r="I38" s="67">
        <f>IF(ISNUMBER(tblY9[[#This Row],[Avg KS2]]),IFERROR(VLOOKUP(STANDARDIZE(tblY9[[#This Row],[Avg KS2]],AVERAGE(tblY9[[Avg KS2]]),_xlfn.STDEV.P(tblY9[[Avg KS2]])),_Stanine,2),5),"")</f>
        <v>7</v>
      </c>
      <c r="J38" s="66" t="inlineStr">
        <is>
          <t>9B/Sc2</t>
        </is>
      </c>
      <c r="K38" s="67">
        <f>IF(tblY9[[#This Row],[Preferred Last name]]="","",COUNTIFS($N$1:$ZZ$1,"*"&amp;CHAR(10)&amp;"Stanine",$N38:$ZZ38,"&gt;=1"))</f>
        <v>3</v>
      </c>
      <c r="L38" s="68">
        <f>IFERROR(AVERAGEIF($N$1:$ZZ$1,"*"&amp;CHAR(10)&amp;"Stanine",$N38:$ZZ38),"")</f>
        <v>7</v>
      </c>
      <c r="M38" s="69">
        <f>IF(AND(ISNUMBER(tblY9[[#This Row],[Mean Stanine]]),ISNUMBER(tblY9[[#This Row],[Avg KS2 Band]])),tblY9[[#This Row],[Mean Stanine]]-tblY9[[#This Row],[Avg KS2 Band]],"")</f>
        <v>0</v>
      </c>
      <c r="N38" s="66" t="inlineStr">
        <is>
          <t>A</t>
        </is>
      </c>
      <c r="O38" s="67" t="str">
        <f>IF(ISNUMBER(tblY9[[#This Row],[9B01 - Genetics
Raw Score]]),IFERROR(VLOOKUP(STANDARDIZE(tblY9[[#This Row],[9B01 - Genetics
Raw Score]],AVERAGE(tblY9[[9B01 - Genetics
Raw Score]]),_xlfn.STDEV.P(tblY9[[9B01 - Genetics
Raw Score]])),_Stanine,2),5),"")</f>
        <v/>
      </c>
      <c r="P38" s="66" t="n">
        <v>24</v>
      </c>
      <c r="Q3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38" s="66" t="n">
        <v>25</v>
      </c>
      <c r="S3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38" s="66" t="n">
        <v>21</v>
      </c>
      <c r="U3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39">
      <c r="A39" s="65" t="inlineStr">
        <is>
          <t>X907603292654</t>
        </is>
      </c>
      <c r="B39" s="65" t="inlineStr">
        <is>
          <t>Hall</t>
        </is>
      </c>
      <c r="C39" s="65" t="inlineStr">
        <is>
          <t>Mia</t>
        </is>
      </c>
      <c r="D39" s="66" t="inlineStr">
        <is>
          <t>M</t>
        </is>
      </c>
      <c r="E39" s="66" t="inlineStr">
        <is>
          <t>N</t>
        </is>
      </c>
      <c r="F39" s="66" t="inlineStr">
        <is>
          <t>Y</t>
        </is>
      </c>
      <c r="G39" s="34" t="n">
        <v>99.5</v>
      </c>
      <c r="H39" s="34" t="n">
        <v>102</v>
      </c>
      <c r="I39" s="67">
        <f>IF(ISNUMBER(tblY9[[#This Row],[Avg KS2]]),IFERROR(VLOOKUP(STANDARDIZE(tblY9[[#This Row],[Avg KS2]],AVERAGE(tblY9[[Avg KS2]]),_xlfn.STDEV.P(tblY9[[Avg KS2]])),_Stanine,2),5),"")</f>
        <v>4</v>
      </c>
      <c r="J39" s="66" t="inlineStr">
        <is>
          <t>9A/Sc2</t>
        </is>
      </c>
      <c r="K39" s="67">
        <f>IF(tblY9[[#This Row],[Preferred Last name]]="","",COUNTIFS($N$1:$ZZ$1,"*"&amp;CHAR(10)&amp;"Stanine",$N39:$ZZ39,"&gt;=1"))</f>
        <v>4</v>
      </c>
      <c r="L39" s="68">
        <f>IFERROR(AVERAGEIF($N$1:$ZZ$1,"*"&amp;CHAR(10)&amp;"Stanine",$N39:$ZZ39),"")</f>
        <v>3.5</v>
      </c>
      <c r="M39" s="69">
        <f>IF(AND(ISNUMBER(tblY9[[#This Row],[Mean Stanine]]),ISNUMBER(tblY9[[#This Row],[Avg KS2 Band]])),tblY9[[#This Row],[Mean Stanine]]-tblY9[[#This Row],[Avg KS2 Band]],"")</f>
        <v>-0.5</v>
      </c>
      <c r="N39" s="66" t="n">
        <v>11</v>
      </c>
      <c r="O3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39" s="66" t="n">
        <v>13</v>
      </c>
      <c r="Q3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39" s="66" t="n">
        <v>18</v>
      </c>
      <c r="S3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39" s="66" t="n">
        <v>11</v>
      </c>
      <c r="U3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40">
      <c r="A40" s="65" t="inlineStr">
        <is>
          <t>X908295242980</t>
        </is>
      </c>
      <c r="B40" s="65" t="inlineStr">
        <is>
          <t>Hall</t>
        </is>
      </c>
      <c r="C40" s="65" t="inlineStr">
        <is>
          <t>Nia</t>
        </is>
      </c>
      <c r="D40" s="66" t="inlineStr">
        <is>
          <t>M</t>
        </is>
      </c>
      <c r="E40" s="66" t="n"/>
      <c r="F40" s="66" t="inlineStr">
        <is>
          <t>N</t>
        </is>
      </c>
      <c r="G40" s="34" t="n">
        <v>92</v>
      </c>
      <c r="H40" s="34" t="n">
        <v>93</v>
      </c>
      <c r="I40" s="67">
        <f>IF(ISNUMBER(tblY9[[#This Row],[Avg KS2]]),IFERROR(VLOOKUP(STANDARDIZE(tblY9[[#This Row],[Avg KS2]],AVERAGE(tblY9[[Avg KS2]]),_xlfn.STDEV.P(tblY9[[Avg KS2]])),_Stanine,2),5),"")</f>
        <v>1</v>
      </c>
      <c r="J40" s="66" t="inlineStr">
        <is>
          <t>Science Support</t>
        </is>
      </c>
      <c r="K40" s="67">
        <f>IF(tblY9[[#This Row],[Preferred Last name]]="","",COUNTIFS($N$1:$ZZ$1,"*"&amp;CHAR(10)&amp;"Stanine",$N40:$ZZ40,"&gt;=1"))</f>
        <v>4</v>
      </c>
      <c r="L40" s="68">
        <f>IFERROR(AVERAGEIF($N$1:$ZZ$1,"*"&amp;CHAR(10)&amp;"Stanine",$N40:$ZZ40),"")</f>
        <v>1</v>
      </c>
      <c r="M40" s="69">
        <f>IF(AND(ISNUMBER(tblY9[[#This Row],[Mean Stanine]]),ISNUMBER(tblY9[[#This Row],[Avg KS2 Band]])),tblY9[[#This Row],[Mean Stanine]]-tblY9[[#This Row],[Avg KS2 Band]],"")</f>
        <v>0</v>
      </c>
      <c r="N40" s="66" t="n">
        <v>4</v>
      </c>
      <c r="O4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40" s="66" t="n">
        <v>5</v>
      </c>
      <c r="Q4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40" s="66" t="n">
        <v>8</v>
      </c>
      <c r="S4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40" s="66" t="n">
        <v>6</v>
      </c>
      <c r="U4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41">
      <c r="A41" s="65" t="inlineStr">
        <is>
          <t>X904830118188</t>
        </is>
      </c>
      <c r="B41" s="65" t="inlineStr">
        <is>
          <t>Harrison</t>
        </is>
      </c>
      <c r="C41" s="65" t="inlineStr">
        <is>
          <t>Amelia</t>
        </is>
      </c>
      <c r="D41" s="66" t="inlineStr">
        <is>
          <t>M</t>
        </is>
      </c>
      <c r="E41" s="66" t="inlineStr">
        <is>
          <t>K</t>
        </is>
      </c>
      <c r="F41" s="66" t="inlineStr">
        <is>
          <t>Y</t>
        </is>
      </c>
      <c r="G41" s="34" t="n">
        <v>100</v>
      </c>
      <c r="H41" s="34" t="n">
        <v>106</v>
      </c>
      <c r="I41" s="67">
        <f>IF(ISNUMBER(tblY9[[#This Row],[Avg KS2]]),IFERROR(VLOOKUP(STANDARDIZE(tblY9[[#This Row],[Avg KS2]],AVERAGE(tblY9[[Avg KS2]]),_xlfn.STDEV.P(tblY9[[Avg KS2]])),_Stanine,2),5),"")</f>
        <v>5</v>
      </c>
      <c r="J41" s="66" t="inlineStr">
        <is>
          <t>9B/Sc2</t>
        </is>
      </c>
      <c r="K41" s="67">
        <f>IF(tblY9[[#This Row],[Preferred Last name]]="","",COUNTIFS($N$1:$ZZ$1,"*"&amp;CHAR(10)&amp;"Stanine",$N41:$ZZ41,"&gt;=1"))</f>
        <v>4</v>
      </c>
      <c r="L41" s="68">
        <f>IFERROR(AVERAGEIF($N$1:$ZZ$1,"*"&amp;CHAR(10)&amp;"Stanine",$N41:$ZZ41),"")</f>
        <v>3.25</v>
      </c>
      <c r="M41" s="69">
        <f>IF(AND(ISNUMBER(tblY9[[#This Row],[Mean Stanine]]),ISNUMBER(tblY9[[#This Row],[Avg KS2 Band]])),tblY9[[#This Row],[Mean Stanine]]-tblY9[[#This Row],[Avg KS2 Band]],"")</f>
        <v>-1.75</v>
      </c>
      <c r="N41" s="66" t="n">
        <v>11</v>
      </c>
      <c r="O4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41" s="66" t="n">
        <v>11</v>
      </c>
      <c r="Q4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41" s="66" t="n">
        <v>15</v>
      </c>
      <c r="S4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41" s="66" t="n">
        <v>11</v>
      </c>
      <c r="U4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42">
      <c r="A42" s="65" t="inlineStr">
        <is>
          <t>X901110646508</t>
        </is>
      </c>
      <c r="B42" s="65" t="inlineStr">
        <is>
          <t>Harrison</t>
        </is>
      </c>
      <c r="C42" s="65" t="inlineStr">
        <is>
          <t>Arjun</t>
        </is>
      </c>
      <c r="D42" s="66" t="inlineStr">
        <is>
          <t>M</t>
        </is>
      </c>
      <c r="E42" s="66" t="inlineStr">
        <is>
          <t>N</t>
        </is>
      </c>
      <c r="F42" s="66" t="inlineStr">
        <is>
          <t>N</t>
        </is>
      </c>
      <c r="G42" s="34" t="n">
        <v>100</v>
      </c>
      <c r="H42" s="34" t="n">
        <v>106</v>
      </c>
      <c r="I42" s="67">
        <f>IF(ISNUMBER(tblY9[[#This Row],[Avg KS2]]),IFERROR(VLOOKUP(STANDARDIZE(tblY9[[#This Row],[Avg KS2]],AVERAGE(tblY9[[Avg KS2]]),_xlfn.STDEV.P(tblY9[[Avg KS2]])),_Stanine,2),5),"")</f>
        <v>5</v>
      </c>
      <c r="J42" s="66" t="inlineStr">
        <is>
          <t>9B/Sc1</t>
        </is>
      </c>
      <c r="K42" s="67">
        <f>IF(tblY9[[#This Row],[Preferred Last name]]="","",COUNTIFS($N$1:$ZZ$1,"*"&amp;CHAR(10)&amp;"Stanine",$N42:$ZZ42,"&gt;=1"))</f>
        <v>4</v>
      </c>
      <c r="L42" s="68">
        <f>IFERROR(AVERAGEIF($N$1:$ZZ$1,"*"&amp;CHAR(10)&amp;"Stanine",$N42:$ZZ42),"")</f>
        <v>6.75</v>
      </c>
      <c r="M42" s="69">
        <f>IF(AND(ISNUMBER(tblY9[[#This Row],[Mean Stanine]]),ISNUMBER(tblY9[[#This Row],[Avg KS2 Band]])),tblY9[[#This Row],[Mean Stanine]]-tblY9[[#This Row],[Avg KS2 Band]],"")</f>
        <v>1.75</v>
      </c>
      <c r="N42" s="66" t="n">
        <v>19</v>
      </c>
      <c r="O4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42" s="66" t="n">
        <v>21</v>
      </c>
      <c r="Q4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42" s="66" t="n">
        <v>26</v>
      </c>
      <c r="S4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42" s="66" t="n">
        <v>20</v>
      </c>
      <c r="U4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43">
      <c r="A43" s="65" t="inlineStr">
        <is>
          <t>X904419093350</t>
        </is>
      </c>
      <c r="B43" s="65" t="inlineStr">
        <is>
          <t>Harrison</t>
        </is>
      </c>
      <c r="C43" s="65" t="inlineStr">
        <is>
          <t>Arthur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Y</t>
        </is>
      </c>
      <c r="G43" s="34" t="n">
        <v>97.2</v>
      </c>
      <c r="H43" s="34" t="n">
        <v>105.5</v>
      </c>
      <c r="I43" s="67">
        <f>IF(ISNUMBER(tblY9[[#This Row],[Avg KS2]]),IFERROR(VLOOKUP(STANDARDIZE(tblY9[[#This Row],[Avg KS2]],AVERAGE(tblY9[[Avg KS2]]),_xlfn.STDEV.P(tblY9[[Avg KS2]])),_Stanine,2),5),"")</f>
        <v>5</v>
      </c>
      <c r="J43" s="66" t="inlineStr">
        <is>
          <t>9A/Sc2</t>
        </is>
      </c>
      <c r="K43" s="67">
        <f>IF(tblY9[[#This Row],[Preferred Last name]]="","",COUNTIFS($N$1:$ZZ$1,"*"&amp;CHAR(10)&amp;"Stanine",$N43:$ZZ43,"&gt;=1"))</f>
        <v>4</v>
      </c>
      <c r="L43" s="68">
        <f>IFERROR(AVERAGEIF($N$1:$ZZ$1,"*"&amp;CHAR(10)&amp;"Stanine",$N43:$ZZ43),"")</f>
        <v>6</v>
      </c>
      <c r="M43" s="69">
        <f>IF(AND(ISNUMBER(tblY9[[#This Row],[Mean Stanine]]),ISNUMBER(tblY9[[#This Row],[Avg KS2 Band]])),tblY9[[#This Row],[Mean Stanine]]-tblY9[[#This Row],[Avg KS2 Band]],"")</f>
        <v>1</v>
      </c>
      <c r="N43" s="66" t="n">
        <v>20</v>
      </c>
      <c r="O4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43" s="66" t="n">
        <v>25</v>
      </c>
      <c r="Q4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43" s="66" t="n">
        <v>19</v>
      </c>
      <c r="S4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43" s="66" t="n">
        <v>18</v>
      </c>
      <c r="U4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44">
      <c r="A44" s="65" t="inlineStr">
        <is>
          <t>X907355388055</t>
        </is>
      </c>
      <c r="B44" s="65" t="inlineStr">
        <is>
          <t>Harrison</t>
        </is>
      </c>
      <c r="C44" s="65" t="inlineStr">
        <is>
          <t>George</t>
        </is>
      </c>
      <c r="D44" s="66" t="inlineStr">
        <is>
          <t>F</t>
        </is>
      </c>
      <c r="E44" s="66" t="n"/>
      <c r="F44" s="66" t="inlineStr">
        <is>
          <t>Y</t>
        </is>
      </c>
      <c r="G44" s="34" t="n">
        <v>83.40000000000001</v>
      </c>
      <c r="H44" s="34" t="n">
        <v>106</v>
      </c>
      <c r="I44" s="67">
        <f>IF(ISNUMBER(tblY9[[#This Row],[Avg KS2]]),IFERROR(VLOOKUP(STANDARDIZE(tblY9[[#This Row],[Avg KS2]],AVERAGE(tblY9[[Avg KS2]]),_xlfn.STDEV.P(tblY9[[Avg KS2]])),_Stanine,2),5),"")</f>
        <v>5</v>
      </c>
      <c r="J44" s="66" t="inlineStr">
        <is>
          <t>9A/Sc3</t>
        </is>
      </c>
      <c r="K44" s="67">
        <f>IF(tblY9[[#This Row],[Preferred Last name]]="","",COUNTIFS($N$1:$ZZ$1,"*"&amp;CHAR(10)&amp;"Stanine",$N44:$ZZ44,"&gt;=1"))</f>
        <v>4</v>
      </c>
      <c r="L44" s="68">
        <f>IFERROR(AVERAGEIF($N$1:$ZZ$1,"*"&amp;CHAR(10)&amp;"Stanine",$N44:$ZZ44),"")</f>
        <v>6</v>
      </c>
      <c r="M44" s="69">
        <f>IF(AND(ISNUMBER(tblY9[[#This Row],[Mean Stanine]]),ISNUMBER(tblY9[[#This Row],[Avg KS2 Band]])),tblY9[[#This Row],[Mean Stanine]]-tblY9[[#This Row],[Avg KS2 Band]],"")</f>
        <v>1</v>
      </c>
      <c r="N44" s="66" t="n">
        <v>18</v>
      </c>
      <c r="O4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44" s="66" t="n">
        <v>20</v>
      </c>
      <c r="Q4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44" s="66" t="n">
        <v>22</v>
      </c>
      <c r="S4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44" s="66" t="n">
        <v>20</v>
      </c>
      <c r="U4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45">
      <c r="A45" s="65" t="inlineStr">
        <is>
          <t>X908707139407</t>
        </is>
      </c>
      <c r="B45" s="65" t="inlineStr">
        <is>
          <t>Harrison</t>
        </is>
      </c>
      <c r="C45" s="65" t="inlineStr">
        <is>
          <t>Nia</t>
        </is>
      </c>
      <c r="D45" s="66" t="inlineStr">
        <is>
          <t>F</t>
        </is>
      </c>
      <c r="E45" s="66" t="inlineStr">
        <is>
          <t>K</t>
        </is>
      </c>
      <c r="F45" s="66" t="inlineStr">
        <is>
          <t>Y</t>
        </is>
      </c>
      <c r="G45" s="34" t="n">
        <v>100</v>
      </c>
      <c r="H45" s="34" t="n">
        <v>105.5</v>
      </c>
      <c r="I45" s="67">
        <f>IF(ISNUMBER(tblY9[[#This Row],[Avg KS2]]),IFERROR(VLOOKUP(STANDARDIZE(tblY9[[#This Row],[Avg KS2]],AVERAGE(tblY9[[Avg KS2]]),_xlfn.STDEV.P(tblY9[[Avg KS2]])),_Stanine,2),5),"")</f>
        <v>5</v>
      </c>
      <c r="J45" s="66" t="inlineStr">
        <is>
          <t>9B/Sc1</t>
        </is>
      </c>
      <c r="K45" s="67">
        <f>IF(tblY9[[#This Row],[Preferred Last name]]="","",COUNTIFS($N$1:$ZZ$1,"*"&amp;CHAR(10)&amp;"Stanine",$N45:$ZZ45,"&gt;=1"))</f>
        <v>4</v>
      </c>
      <c r="L45" s="68">
        <f>IFERROR(AVERAGEIF($N$1:$ZZ$1,"*"&amp;CHAR(10)&amp;"Stanine",$N45:$ZZ45),"")</f>
        <v>4.75</v>
      </c>
      <c r="M45" s="69">
        <f>IF(AND(ISNUMBER(tblY9[[#This Row],[Mean Stanine]]),ISNUMBER(tblY9[[#This Row],[Avg KS2 Band]])),tblY9[[#This Row],[Mean Stanine]]-tblY9[[#This Row],[Avg KS2 Band]],"")</f>
        <v>-0.25</v>
      </c>
      <c r="N45" s="66" t="n">
        <v>14</v>
      </c>
      <c r="O4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45" s="66" t="n">
        <v>20</v>
      </c>
      <c r="Q4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45" s="66" t="n">
        <v>16</v>
      </c>
      <c r="S4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45" s="66" t="n">
        <v>18</v>
      </c>
      <c r="U4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46">
      <c r="A46" s="65" t="inlineStr">
        <is>
          <t>X900460431334</t>
        </is>
      </c>
      <c r="B46" s="65" t="inlineStr">
        <is>
          <t>Hughes</t>
        </is>
      </c>
      <c r="C46" s="65" t="inlineStr">
        <is>
          <t>Arjun</t>
        </is>
      </c>
      <c r="D46" s="66" t="inlineStr">
        <is>
          <t>M</t>
        </is>
      </c>
      <c r="E46" s="66" t="n"/>
      <c r="F46" s="66" t="inlineStr">
        <is>
          <t>N</t>
        </is>
      </c>
      <c r="G46" s="34" t="n">
        <v>91.8</v>
      </c>
      <c r="H46" s="34" t="n">
        <v>106.5</v>
      </c>
      <c r="I46" s="67">
        <f>IF(ISNUMBER(tblY9[[#This Row],[Avg KS2]]),IFERROR(VLOOKUP(STANDARDIZE(tblY9[[#This Row],[Avg KS2]],AVERAGE(tblY9[[Avg KS2]]),_xlfn.STDEV.P(tblY9[[Avg KS2]])),_Stanine,2),5),"")</f>
        <v>5</v>
      </c>
      <c r="J46" s="66" t="inlineStr">
        <is>
          <t>9A/Sc2</t>
        </is>
      </c>
      <c r="K46" s="67">
        <f>IF(tblY9[[#This Row],[Preferred Last name]]="","",COUNTIFS($N$1:$ZZ$1,"*"&amp;CHAR(10)&amp;"Stanine",$N46:$ZZ46,"&gt;=1"))</f>
        <v>4</v>
      </c>
      <c r="L46" s="68">
        <f>IFERROR(AVERAGEIF($N$1:$ZZ$1,"*"&amp;CHAR(10)&amp;"Stanine",$N46:$ZZ46),"")</f>
        <v>5.5</v>
      </c>
      <c r="M46" s="69">
        <f>IF(AND(ISNUMBER(tblY9[[#This Row],[Mean Stanine]]),ISNUMBER(tblY9[[#This Row],[Avg KS2 Band]])),tblY9[[#This Row],[Mean Stanine]]-tblY9[[#This Row],[Avg KS2 Band]],"")</f>
        <v>0.5</v>
      </c>
      <c r="N46" s="66" t="n">
        <v>17</v>
      </c>
      <c r="O4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46" s="66" t="n">
        <v>19</v>
      </c>
      <c r="Q4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46" s="66" t="n">
        <v>20</v>
      </c>
      <c r="S4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46" s="66" t="n">
        <v>21</v>
      </c>
      <c r="U4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47">
      <c r="A47" s="65" t="inlineStr">
        <is>
          <t>X904529530837</t>
        </is>
      </c>
      <c r="B47" s="65" t="inlineStr">
        <is>
          <t>Hughes</t>
        </is>
      </c>
      <c r="C47" s="65" t="inlineStr">
        <is>
          <t>George</t>
        </is>
      </c>
      <c r="D47" s="66" t="inlineStr">
        <is>
          <t>M</t>
        </is>
      </c>
      <c r="E47" s="66" t="n"/>
      <c r="F47" s="66" t="inlineStr">
        <is>
          <t>N</t>
        </is>
      </c>
      <c r="G47" s="34" t="n">
        <v>82.3</v>
      </c>
      <c r="H47" s="34" t="n">
        <v>116</v>
      </c>
      <c r="I47" s="67">
        <f>IF(ISNUMBER(tblY9[[#This Row],[Avg KS2]]),IFERROR(VLOOKUP(STANDARDIZE(tblY9[[#This Row],[Avg KS2]],AVERAGE(tblY9[[Avg KS2]]),_xlfn.STDEV.P(tblY9[[Avg KS2]])),_Stanine,2),5),"")</f>
        <v>9</v>
      </c>
      <c r="J47" s="66" t="inlineStr">
        <is>
          <t>9B/Sc2</t>
        </is>
      </c>
      <c r="K47" s="67">
        <f>IF(tblY9[[#This Row],[Preferred Last name]]="","",COUNTIFS($N$1:$ZZ$1,"*"&amp;CHAR(10)&amp;"Stanine",$N47:$ZZ47,"&gt;=1"))</f>
        <v>4</v>
      </c>
      <c r="L47" s="68">
        <f>IFERROR(AVERAGEIF($N$1:$ZZ$1,"*"&amp;CHAR(10)&amp;"Stanine",$N47:$ZZ47),"")</f>
        <v>8</v>
      </c>
      <c r="M47" s="69">
        <f>IF(AND(ISNUMBER(tblY9[[#This Row],[Mean Stanine]]),ISNUMBER(tblY9[[#This Row],[Avg KS2 Band]])),tblY9[[#This Row],[Mean Stanine]]-tblY9[[#This Row],[Avg KS2 Band]],"")</f>
        <v>-1</v>
      </c>
      <c r="N47" s="66" t="n">
        <v>26</v>
      </c>
      <c r="O4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47" s="66" t="n">
        <v>28</v>
      </c>
      <c r="Q4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47" s="66" t="n">
        <v>27</v>
      </c>
      <c r="S4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47" s="66" t="n">
        <v>22</v>
      </c>
      <c r="U4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48">
      <c r="A48" s="65" t="inlineStr">
        <is>
          <t>X901828900982</t>
        </is>
      </c>
      <c r="B48" s="65" t="inlineStr">
        <is>
          <t>Hughes</t>
        </is>
      </c>
      <c r="C48" s="65" t="inlineStr">
        <is>
          <t>Harry</t>
        </is>
      </c>
      <c r="D48" s="66" t="inlineStr">
        <is>
          <t>M</t>
        </is>
      </c>
      <c r="E48" s="66" t="inlineStr">
        <is>
          <t>K</t>
        </is>
      </c>
      <c r="F48" s="66" t="inlineStr">
        <is>
          <t>N</t>
        </is>
      </c>
      <c r="G48" s="34" t="n">
        <v>87.5</v>
      </c>
      <c r="H48" s="34" t="n">
        <v>106.5</v>
      </c>
      <c r="I48" s="67">
        <f>IF(ISNUMBER(tblY9[[#This Row],[Avg KS2]]),IFERROR(VLOOKUP(STANDARDIZE(tblY9[[#This Row],[Avg KS2]],AVERAGE(tblY9[[Avg KS2]]),_xlfn.STDEV.P(tblY9[[Avg KS2]])),_Stanine,2),5),"")</f>
        <v>5</v>
      </c>
      <c r="J48" s="66" t="inlineStr">
        <is>
          <t>9A/Sc1</t>
        </is>
      </c>
      <c r="K48" s="67">
        <f>IF(tblY9[[#This Row],[Preferred Last name]]="","",COUNTIFS($N$1:$ZZ$1,"*"&amp;CHAR(10)&amp;"Stanine",$N48:$ZZ48,"&gt;=1"))</f>
        <v>4</v>
      </c>
      <c r="L48" s="68">
        <f>IFERROR(AVERAGEIF($N$1:$ZZ$1,"*"&amp;CHAR(10)&amp;"Stanine",$N48:$ZZ48),"")</f>
        <v>5.75</v>
      </c>
      <c r="M48" s="69">
        <f>IF(AND(ISNUMBER(tblY9[[#This Row],[Mean Stanine]]),ISNUMBER(tblY9[[#This Row],[Avg KS2 Band]])),tblY9[[#This Row],[Mean Stanine]]-tblY9[[#This Row],[Avg KS2 Band]],"")</f>
        <v>0.75</v>
      </c>
      <c r="N48" s="66" t="n">
        <v>19</v>
      </c>
      <c r="O4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48" s="66" t="n">
        <v>18</v>
      </c>
      <c r="Q4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48" s="66" t="n">
        <v>21</v>
      </c>
      <c r="S4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48" s="66" t="n">
        <v>17</v>
      </c>
      <c r="U4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49">
      <c r="A49" s="65" t="inlineStr">
        <is>
          <t>X908202935034</t>
        </is>
      </c>
      <c r="B49" s="65" t="inlineStr">
        <is>
          <t>Hughes</t>
        </is>
      </c>
      <c r="C49" s="65" t="inlineStr">
        <is>
          <t>Oscar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N</t>
        </is>
      </c>
      <c r="G49" s="34" t="n">
        <v>84.7</v>
      </c>
      <c r="H49" s="34" t="n">
        <v>107</v>
      </c>
      <c r="I49" s="67">
        <f>IF(ISNUMBER(tblY9[[#This Row],[Avg KS2]]),IFERROR(VLOOKUP(STANDARDIZE(tblY9[[#This Row],[Avg KS2]],AVERAGE(tblY9[[Avg KS2]]),_xlfn.STDEV.P(tblY9[[Avg KS2]])),_Stanine,2),5),"")</f>
        <v>5</v>
      </c>
      <c r="J49" s="66" t="inlineStr">
        <is>
          <t>9B/Sc1</t>
        </is>
      </c>
      <c r="K49" s="67">
        <f>IF(tblY9[[#This Row],[Preferred Last name]]="","",COUNTIFS($N$1:$ZZ$1,"*"&amp;CHAR(10)&amp;"Stanine",$N49:$ZZ49,"&gt;=1"))</f>
        <v>3</v>
      </c>
      <c r="L49" s="68">
        <f>IFERROR(AVERAGEIF($N$1:$ZZ$1,"*"&amp;CHAR(10)&amp;"Stanine",$N49:$ZZ49),"")</f>
        <v>6.33333333333333</v>
      </c>
      <c r="M49" s="69">
        <f>IF(AND(ISNUMBER(tblY9[[#This Row],[Mean Stanine]]),ISNUMBER(tblY9[[#This Row],[Avg KS2 Band]])),tblY9[[#This Row],[Mean Stanine]]-tblY9[[#This Row],[Avg KS2 Band]],"")</f>
        <v>1.33333333333333</v>
      </c>
      <c r="N49" s="66" t="n">
        <v>19</v>
      </c>
      <c r="O4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49" s="66" t="inlineStr">
        <is>
          <t>A</t>
        </is>
      </c>
      <c r="Q49" s="67" t="str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/>
      </c>
      <c r="R49" s="66" t="n">
        <v>25</v>
      </c>
      <c r="S4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49" s="66" t="n">
        <v>18</v>
      </c>
      <c r="U4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50">
      <c r="A50" s="65" t="inlineStr">
        <is>
          <t>X902782190872</t>
        </is>
      </c>
      <c r="B50" s="65" t="inlineStr">
        <is>
          <t>Hughes</t>
        </is>
      </c>
      <c r="C50" s="65" t="inlineStr">
        <is>
          <t>Rhys</t>
        </is>
      </c>
      <c r="D50" s="66" t="inlineStr">
        <is>
          <t>F</t>
        </is>
      </c>
      <c r="E50" s="66" t="n"/>
      <c r="F50" s="66" t="inlineStr">
        <is>
          <t>N</t>
        </is>
      </c>
      <c r="G50" s="34" t="n">
        <v>97.09999999999999</v>
      </c>
      <c r="H50" s="34" t="n">
        <v>109</v>
      </c>
      <c r="I50" s="67">
        <f>IF(ISNUMBER(tblY9[[#This Row],[Avg KS2]]),IFERROR(VLOOKUP(STANDARDIZE(tblY9[[#This Row],[Avg KS2]],AVERAGE(tblY9[[Avg KS2]]),_xlfn.STDEV.P(tblY9[[Avg KS2]])),_Stanine,2),5),"")</f>
        <v>6</v>
      </c>
      <c r="J50" s="66" t="inlineStr">
        <is>
          <t>9A/Sc1</t>
        </is>
      </c>
      <c r="K50" s="67">
        <f>IF(tblY9[[#This Row],[Preferred Last name]]="","",COUNTIFS($N$1:$ZZ$1,"*"&amp;CHAR(10)&amp;"Stanine",$N50:$ZZ50,"&gt;=1"))</f>
        <v>4</v>
      </c>
      <c r="L50" s="68">
        <f>IFERROR(AVERAGEIF($N$1:$ZZ$1,"*"&amp;CHAR(10)&amp;"Stanine",$N50:$ZZ50),"")</f>
        <v>4.25</v>
      </c>
      <c r="M50" s="69">
        <f>IF(AND(ISNUMBER(tblY9[[#This Row],[Mean Stanine]]),ISNUMBER(tblY9[[#This Row],[Avg KS2 Band]])),tblY9[[#This Row],[Mean Stanine]]-tblY9[[#This Row],[Avg KS2 Band]],"")</f>
        <v>-1.75</v>
      </c>
      <c r="N50" s="66" t="n">
        <v>11</v>
      </c>
      <c r="O5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50" s="66" t="n">
        <v>14</v>
      </c>
      <c r="Q5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50" s="66" t="n">
        <v>20</v>
      </c>
      <c r="S5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50" s="66" t="n">
        <v>15</v>
      </c>
      <c r="U5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51">
      <c r="A51" s="65" t="inlineStr">
        <is>
          <t>X902820676381</t>
        </is>
      </c>
      <c r="B51" s="65" t="inlineStr">
        <is>
          <t>Hughes</t>
        </is>
      </c>
      <c r="C51" s="65" t="inlineStr">
        <is>
          <t>Zofia</t>
        </is>
      </c>
      <c r="D51" s="66" t="inlineStr">
        <is>
          <t>M</t>
        </is>
      </c>
      <c r="E51" s="66" t="inlineStr">
        <is>
          <t>K</t>
        </is>
      </c>
      <c r="F51" s="66" t="inlineStr">
        <is>
          <t>N</t>
        </is>
      </c>
      <c r="G51" s="34" t="n">
        <v>100</v>
      </c>
      <c r="H51" s="34" t="n">
        <v>104</v>
      </c>
      <c r="I51" s="67">
        <f>IF(ISNUMBER(tblY9[[#This Row],[Avg KS2]]),IFERROR(VLOOKUP(STANDARDIZE(tblY9[[#This Row],[Avg KS2]],AVERAGE(tblY9[[Avg KS2]]),_xlfn.STDEV.P(tblY9[[Avg KS2]])),_Stanine,2),5),"")</f>
        <v>4</v>
      </c>
      <c r="J51" s="66" t="inlineStr">
        <is>
          <t>9A/Sc2</t>
        </is>
      </c>
      <c r="K51" s="67">
        <f>IF(tblY9[[#This Row],[Preferred Last name]]="","",COUNTIFS($N$1:$ZZ$1,"*"&amp;CHAR(10)&amp;"Stanine",$N51:$ZZ51,"&gt;=1"))</f>
        <v>4</v>
      </c>
      <c r="L51" s="68">
        <f>IFERROR(AVERAGEIF($N$1:$ZZ$1,"*"&amp;CHAR(10)&amp;"Stanine",$N51:$ZZ51),"")</f>
        <v>3.75</v>
      </c>
      <c r="M51" s="69">
        <f>IF(AND(ISNUMBER(tblY9[[#This Row],[Mean Stanine]]),ISNUMBER(tblY9[[#This Row],[Avg KS2 Band]])),tblY9[[#This Row],[Mean Stanine]]-tblY9[[#This Row],[Avg KS2 Band]],"")</f>
        <v>-0.25</v>
      </c>
      <c r="N51" s="66" t="n">
        <v>12</v>
      </c>
      <c r="O5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51" s="66" t="n">
        <v>12</v>
      </c>
      <c r="Q5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51" s="66" t="n">
        <v>19</v>
      </c>
      <c r="S5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51" s="66" t="n">
        <v>12</v>
      </c>
      <c r="U5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52">
      <c r="A52" s="65" t="inlineStr">
        <is>
          <t>X909264952007</t>
        </is>
      </c>
      <c r="B52" s="65" t="inlineStr">
        <is>
          <t>Hussain</t>
        </is>
      </c>
      <c r="C52" s="65" t="inlineStr">
        <is>
          <t>Ava</t>
        </is>
      </c>
      <c r="D52" s="66" t="inlineStr">
        <is>
          <t>F</t>
        </is>
      </c>
      <c r="E52" s="66" t="n"/>
      <c r="F52" s="66" t="inlineStr">
        <is>
          <t>N</t>
        </is>
      </c>
      <c r="G52" s="34" t="n">
        <v>79.09999999999999</v>
      </c>
      <c r="H52" s="34" t="n">
        <v>105.5</v>
      </c>
      <c r="I52" s="67">
        <f>IF(ISNUMBER(tblY9[[#This Row],[Avg KS2]]),IFERROR(VLOOKUP(STANDARDIZE(tblY9[[#This Row],[Avg KS2]],AVERAGE(tblY9[[Avg KS2]]),_xlfn.STDEV.P(tblY9[[Avg KS2]])),_Stanine,2),5),"")</f>
        <v>5</v>
      </c>
      <c r="J52" s="66" t="inlineStr">
        <is>
          <t>9B/Sc1</t>
        </is>
      </c>
      <c r="K52" s="67">
        <f>IF(tblY9[[#This Row],[Preferred Last name]]="","",COUNTIFS($N$1:$ZZ$1,"*"&amp;CHAR(10)&amp;"Stanine",$N52:$ZZ52,"&gt;=1"))</f>
        <v>3</v>
      </c>
      <c r="L52" s="68">
        <f>IFERROR(AVERAGEIF($N$1:$ZZ$1,"*"&amp;CHAR(10)&amp;"Stanine",$N52:$ZZ52),"")</f>
        <v>4.33333333333333</v>
      </c>
      <c r="M52" s="69">
        <f>IF(AND(ISNUMBER(tblY9[[#This Row],[Mean Stanine]]),ISNUMBER(tblY9[[#This Row],[Avg KS2 Band]])),tblY9[[#This Row],[Mean Stanine]]-tblY9[[#This Row],[Avg KS2 Band]],"")</f>
        <v>-0.666666666666667</v>
      </c>
      <c r="N52" s="66" t="n">
        <v>14</v>
      </c>
      <c r="O5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52" s="66" t="n">
        <v>18</v>
      </c>
      <c r="Q5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52" s="66" t="n">
        <v>17</v>
      </c>
      <c r="S5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52" s="66" t="inlineStr">
        <is>
          <t>A</t>
        </is>
      </c>
      <c r="U52" s="67" t="str">
        <f>IF(ISNUMBER(tblY9[[#This Row],[9B02 - Ecology
Raw Score]]),IFERROR(VLOOKUP(STANDARDIZE(tblY9[[#This Row],[9B02 - Ecology
Raw Score]],AVERAGE(tblY9[[9B02 - Ecology
Raw Score]]),_xlfn.STDEV.P(tblY9[[9B02 - Ecology
Raw Score]])),_Stanine,2),5),"")</f>
        <v/>
      </c>
    </row>
    <row r="53">
      <c r="A53" s="65" t="inlineStr">
        <is>
          <t>X901928273051</t>
        </is>
      </c>
      <c r="B53" s="65" t="inlineStr">
        <is>
          <t>Hussain</t>
        </is>
      </c>
      <c r="C53" s="65" t="inlineStr">
        <is>
          <t>Lily</t>
        </is>
      </c>
      <c r="D53" s="66" t="inlineStr">
        <is>
          <t>F</t>
        </is>
      </c>
      <c r="E53" s="66" t="n"/>
      <c r="F53" s="66" t="inlineStr">
        <is>
          <t>N</t>
        </is>
      </c>
      <c r="G53" s="34" t="n">
        <v>99.40000000000001</v>
      </c>
      <c r="H53" s="34" t="n">
        <v>103</v>
      </c>
      <c r="I53" s="67">
        <f>IF(ISNUMBER(tblY9[[#This Row],[Avg KS2]]),IFERROR(VLOOKUP(STANDARDIZE(tblY9[[#This Row],[Avg KS2]],AVERAGE(tblY9[[Avg KS2]]),_xlfn.STDEV.P(tblY9[[Avg KS2]])),_Stanine,2),5),"")</f>
        <v>4</v>
      </c>
      <c r="J53" s="66" t="inlineStr">
        <is>
          <t>9B/Sc2</t>
        </is>
      </c>
      <c r="K53" s="67">
        <f>IF(tblY9[[#This Row],[Preferred Last name]]="","",COUNTIFS($N$1:$ZZ$1,"*"&amp;CHAR(10)&amp;"Stanine",$N53:$ZZ53,"&gt;=1"))</f>
        <v>4</v>
      </c>
      <c r="L53" s="68">
        <f>IFERROR(AVERAGEIF($N$1:$ZZ$1,"*"&amp;CHAR(10)&amp;"Stanine",$N53:$ZZ53),"")</f>
        <v>5.5</v>
      </c>
      <c r="M53" s="69">
        <f>IF(AND(ISNUMBER(tblY9[[#This Row],[Mean Stanine]]),ISNUMBER(tblY9[[#This Row],[Avg KS2 Band]])),tblY9[[#This Row],[Mean Stanine]]-tblY9[[#This Row],[Avg KS2 Band]],"")</f>
        <v>1.5</v>
      </c>
      <c r="N53" s="66" t="n">
        <v>16</v>
      </c>
      <c r="O5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53" s="66" t="n">
        <v>24</v>
      </c>
      <c r="Q5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53" s="66" t="n">
        <v>18</v>
      </c>
      <c r="S5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53" s="66" t="n">
        <v>16</v>
      </c>
      <c r="U5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54">
      <c r="A54" s="65" t="inlineStr">
        <is>
          <t>X905617976372</t>
        </is>
      </c>
      <c r="B54" s="65" t="inlineStr">
        <is>
          <t>Hussain</t>
        </is>
      </c>
      <c r="C54" s="65" t="inlineStr">
        <is>
          <t>Maya</t>
        </is>
      </c>
      <c r="D54" s="66" t="inlineStr">
        <is>
          <t>F</t>
        </is>
      </c>
      <c r="E54" s="66" t="n"/>
      <c r="F54" s="66" t="inlineStr">
        <is>
          <t>N</t>
        </is>
      </c>
      <c r="G54" s="34" t="n">
        <v>94.3</v>
      </c>
      <c r="H54" s="34" t="n">
        <v>105.5</v>
      </c>
      <c r="I54" s="67">
        <f>IF(ISNUMBER(tblY9[[#This Row],[Avg KS2]]),IFERROR(VLOOKUP(STANDARDIZE(tblY9[[#This Row],[Avg KS2]],AVERAGE(tblY9[[Avg KS2]]),_xlfn.STDEV.P(tblY9[[Avg KS2]])),_Stanine,2),5),"")</f>
        <v>5</v>
      </c>
      <c r="J54" s="66" t="inlineStr">
        <is>
          <t>9B/Sc2</t>
        </is>
      </c>
      <c r="K54" s="67">
        <f>IF(tblY9[[#This Row],[Preferred Last name]]="","",COUNTIFS($N$1:$ZZ$1,"*"&amp;CHAR(10)&amp;"Stanine",$N54:$ZZ54,"&gt;=1"))</f>
        <v>4</v>
      </c>
      <c r="L54" s="68">
        <f>IFERROR(AVERAGEIF($N$1:$ZZ$1,"*"&amp;CHAR(10)&amp;"Stanine",$N54:$ZZ54),"")</f>
        <v>3</v>
      </c>
      <c r="M54" s="69">
        <f>IF(AND(ISNUMBER(tblY9[[#This Row],[Mean Stanine]]),ISNUMBER(tblY9[[#This Row],[Avg KS2 Band]])),tblY9[[#This Row],[Mean Stanine]]-tblY9[[#This Row],[Avg KS2 Band]],"")</f>
        <v>-2</v>
      </c>
      <c r="N54" s="66" t="n">
        <v>11</v>
      </c>
      <c r="O5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54" s="66" t="n">
        <v>10</v>
      </c>
      <c r="Q5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54" s="66" t="n">
        <v>12</v>
      </c>
      <c r="S5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54" s="66" t="n">
        <v>13</v>
      </c>
      <c r="U5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55">
      <c r="A55" s="65" t="inlineStr">
        <is>
          <t>X904447040863</t>
        </is>
      </c>
      <c r="B55" s="65" t="inlineStr">
        <is>
          <t>Jackson</t>
        </is>
      </c>
      <c r="C55" s="65" t="inlineStr">
        <is>
          <t>Chidi</t>
        </is>
      </c>
      <c r="D55" s="66" t="inlineStr">
        <is>
          <t>M</t>
        </is>
      </c>
      <c r="E55" s="66" t="inlineStr">
        <is>
          <t>K</t>
        </is>
      </c>
      <c r="F55" s="66" t="inlineStr">
        <is>
          <t>Y</t>
        </is>
      </c>
      <c r="G55" s="34" t="n">
        <v>95.40000000000001</v>
      </c>
      <c r="H55" s="34" t="n">
        <v>105</v>
      </c>
      <c r="I55" s="67">
        <f>IF(ISNUMBER(tblY9[[#This Row],[Avg KS2]]),IFERROR(VLOOKUP(STANDARDIZE(tblY9[[#This Row],[Avg KS2]],AVERAGE(tblY9[[Avg KS2]]),_xlfn.STDEV.P(tblY9[[Avg KS2]])),_Stanine,2),5),"")</f>
        <v>5</v>
      </c>
      <c r="J55" s="66" t="inlineStr">
        <is>
          <t>9B/Sc1</t>
        </is>
      </c>
      <c r="K55" s="67">
        <f>IF(tblY9[[#This Row],[Preferred Last name]]="","",COUNTIFS($N$1:$ZZ$1,"*"&amp;CHAR(10)&amp;"Stanine",$N55:$ZZ55,"&gt;=1"))</f>
        <v>4</v>
      </c>
      <c r="L55" s="68">
        <f>IFERROR(AVERAGEIF($N$1:$ZZ$1,"*"&amp;CHAR(10)&amp;"Stanine",$N55:$ZZ55),"")</f>
        <v>6.75</v>
      </c>
      <c r="M55" s="69">
        <f>IF(AND(ISNUMBER(tblY9[[#This Row],[Mean Stanine]]),ISNUMBER(tblY9[[#This Row],[Avg KS2 Band]])),tblY9[[#This Row],[Mean Stanine]]-tblY9[[#This Row],[Avg KS2 Band]],"")</f>
        <v>1.75</v>
      </c>
      <c r="N55" s="66" t="n">
        <v>24</v>
      </c>
      <c r="O5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55" s="66" t="n">
        <v>23</v>
      </c>
      <c r="Q5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55" s="66" t="n">
        <v>25</v>
      </c>
      <c r="S5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55" s="66" t="n">
        <v>19</v>
      </c>
      <c r="U5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56">
      <c r="A56" s="65" t="inlineStr">
        <is>
          <t>X902313602071</t>
        </is>
      </c>
      <c r="B56" s="65" t="inlineStr">
        <is>
          <t>Jackson</t>
        </is>
      </c>
      <c r="C56" s="65" t="inlineStr">
        <is>
          <t>Kai</t>
        </is>
      </c>
      <c r="D56" s="66" t="inlineStr">
        <is>
          <t>M</t>
        </is>
      </c>
      <c r="E56" s="66" t="n"/>
      <c r="F56" s="66" t="inlineStr">
        <is>
          <t>N</t>
        </is>
      </c>
      <c r="G56" s="34" t="n">
        <v>100</v>
      </c>
      <c r="H56" s="34" t="n">
        <v>110</v>
      </c>
      <c r="I56" s="67">
        <f>IF(ISNUMBER(tblY9[[#This Row],[Avg KS2]]),IFERROR(VLOOKUP(STANDARDIZE(tblY9[[#This Row],[Avg KS2]],AVERAGE(tblY9[[Avg KS2]]),_xlfn.STDEV.P(tblY9[[Avg KS2]])),_Stanine,2),5),"")</f>
        <v>7</v>
      </c>
      <c r="J56" s="66" t="inlineStr">
        <is>
          <t>9A/Sc1</t>
        </is>
      </c>
      <c r="K56" s="67">
        <f>IF(tblY9[[#This Row],[Preferred Last name]]="","",COUNTIFS($N$1:$ZZ$1,"*"&amp;CHAR(10)&amp;"Stanine",$N56:$ZZ56,"&gt;=1"))</f>
        <v>3</v>
      </c>
      <c r="L56" s="68">
        <f>IFERROR(AVERAGEIF($N$1:$ZZ$1,"*"&amp;CHAR(10)&amp;"Stanine",$N56:$ZZ56),"")</f>
        <v>6</v>
      </c>
      <c r="M56" s="69">
        <f>IF(AND(ISNUMBER(tblY9[[#This Row],[Mean Stanine]]),ISNUMBER(tblY9[[#This Row],[Avg KS2 Band]])),tblY9[[#This Row],[Mean Stanine]]-tblY9[[#This Row],[Avg KS2 Band]],"")</f>
        <v>-1</v>
      </c>
      <c r="N56" s="66" t="n">
        <v>17</v>
      </c>
      <c r="O5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56" s="66" t="n">
        <v>21</v>
      </c>
      <c r="Q5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56" s="66" t="n">
        <v>23</v>
      </c>
      <c r="S5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56" s="66" t="inlineStr">
        <is>
          <t>A</t>
        </is>
      </c>
      <c r="U56" s="67" t="str">
        <f>IF(ISNUMBER(tblY9[[#This Row],[9B02 - Ecology
Raw Score]]),IFERROR(VLOOKUP(STANDARDIZE(tblY9[[#This Row],[9B02 - Ecology
Raw Score]],AVERAGE(tblY9[[9B02 - Ecology
Raw Score]]),_xlfn.STDEV.P(tblY9[[9B02 - Ecology
Raw Score]])),_Stanine,2),5),"")</f>
        <v/>
      </c>
    </row>
    <row r="57">
      <c r="A57" s="65" t="inlineStr">
        <is>
          <t>X908845376244</t>
        </is>
      </c>
      <c r="B57" s="65" t="inlineStr">
        <is>
          <t>Jackson</t>
        </is>
      </c>
      <c r="C57" s="65" t="inlineStr">
        <is>
          <t>Seren</t>
        </is>
      </c>
      <c r="D57" s="66" t="inlineStr">
        <is>
          <t>M</t>
        </is>
      </c>
      <c r="E57" s="66" t="inlineStr">
        <is>
          <t>K</t>
        </is>
      </c>
      <c r="F57" s="66" t="inlineStr">
        <is>
          <t>Y</t>
        </is>
      </c>
      <c r="G57" s="34" t="n">
        <v>81.2</v>
      </c>
      <c r="H57" s="34" t="n">
        <v>102</v>
      </c>
      <c r="I57" s="67">
        <f>IF(ISNUMBER(tblY9[[#This Row],[Avg KS2]]),IFERROR(VLOOKUP(STANDARDIZE(tblY9[[#This Row],[Avg KS2]],AVERAGE(tblY9[[Avg KS2]]),_xlfn.STDEV.P(tblY9[[Avg KS2]])),_Stanine,2),5),"")</f>
        <v>4</v>
      </c>
      <c r="J57" s="66" t="inlineStr">
        <is>
          <t>9A/Sc3</t>
        </is>
      </c>
      <c r="K57" s="67">
        <f>IF(tblY9[[#This Row],[Preferred Last name]]="","",COUNTIFS($N$1:$ZZ$1,"*"&amp;CHAR(10)&amp;"Stanine",$N57:$ZZ57,"&gt;=1"))</f>
        <v>4</v>
      </c>
      <c r="L57" s="68">
        <f>IFERROR(AVERAGEIF($N$1:$ZZ$1,"*"&amp;CHAR(10)&amp;"Stanine",$N57:$ZZ57),"")</f>
        <v>3</v>
      </c>
      <c r="M57" s="69">
        <f>IF(AND(ISNUMBER(tblY9[[#This Row],[Mean Stanine]]),ISNUMBER(tblY9[[#This Row],[Avg KS2 Band]])),tblY9[[#This Row],[Mean Stanine]]-tblY9[[#This Row],[Avg KS2 Band]],"")</f>
        <v>-1</v>
      </c>
      <c r="N57" s="66" t="n">
        <v>9</v>
      </c>
      <c r="O5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57" s="66" t="n">
        <v>9</v>
      </c>
      <c r="Q5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57" s="66" t="n">
        <v>13</v>
      </c>
      <c r="S5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57" s="66" t="n">
        <v>13</v>
      </c>
      <c r="U5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58">
      <c r="A58" s="65" t="inlineStr">
        <is>
          <t>X905564000587</t>
        </is>
      </c>
      <c r="B58" s="65" t="inlineStr">
        <is>
          <t>Jackson</t>
        </is>
      </c>
      <c r="C58" s="65" t="inlineStr">
        <is>
          <t>Sophie</t>
        </is>
      </c>
      <c r="D58" s="66" t="inlineStr">
        <is>
          <t>F</t>
        </is>
      </c>
      <c r="E58" s="66" t="n"/>
      <c r="F58" s="66" t="inlineStr">
        <is>
          <t>N</t>
        </is>
      </c>
      <c r="G58" s="34" t="n">
        <v>86.90000000000001</v>
      </c>
      <c r="H58" s="34" t="n">
        <v>100</v>
      </c>
      <c r="I58" s="67">
        <f>IF(ISNUMBER(tblY9[[#This Row],[Avg KS2]]),IFERROR(VLOOKUP(STANDARDIZE(tblY9[[#This Row],[Avg KS2]],AVERAGE(tblY9[[Avg KS2]]),_xlfn.STDEV.P(tblY9[[Avg KS2]])),_Stanine,2),5),"")</f>
        <v>3</v>
      </c>
      <c r="J58" s="66" t="inlineStr">
        <is>
          <t>9A/Sc3</t>
        </is>
      </c>
      <c r="K58" s="67">
        <f>IF(tblY9[[#This Row],[Preferred Last name]]="","",COUNTIFS($N$1:$ZZ$1,"*"&amp;CHAR(10)&amp;"Stanine",$N58:$ZZ58,"&gt;=1"))</f>
        <v>4</v>
      </c>
      <c r="L58" s="68">
        <f>IFERROR(AVERAGEIF($N$1:$ZZ$1,"*"&amp;CHAR(10)&amp;"Stanine",$N58:$ZZ58),"")</f>
        <v>2.25</v>
      </c>
      <c r="M58" s="69">
        <f>IF(AND(ISNUMBER(tblY9[[#This Row],[Mean Stanine]]),ISNUMBER(tblY9[[#This Row],[Avg KS2 Band]])),tblY9[[#This Row],[Mean Stanine]]-tblY9[[#This Row],[Avg KS2 Band]],"")</f>
        <v>-0.75</v>
      </c>
      <c r="N58" s="66" t="n">
        <v>7</v>
      </c>
      <c r="O5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58" s="66" t="n">
        <v>12</v>
      </c>
      <c r="Q5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58" s="66" t="n">
        <v>9</v>
      </c>
      <c r="S5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58" s="66" t="n">
        <v>9</v>
      </c>
      <c r="U5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2</v>
      </c>
    </row>
    <row r="59">
      <c r="A59" s="65" t="inlineStr">
        <is>
          <t>X900467031928</t>
        </is>
      </c>
      <c r="B59" s="65" t="inlineStr">
        <is>
          <t>Johnson</t>
        </is>
      </c>
      <c r="C59" s="65" t="inlineStr">
        <is>
          <t>Aisha</t>
        </is>
      </c>
      <c r="D59" s="66" t="inlineStr">
        <is>
          <t>M</t>
        </is>
      </c>
      <c r="E59" s="66" t="inlineStr">
        <is>
          <t>N</t>
        </is>
      </c>
      <c r="F59" s="66" t="inlineStr">
        <is>
          <t>N</t>
        </is>
      </c>
      <c r="G59" s="34" t="n">
        <v>96</v>
      </c>
      <c r="H59" s="34" t="n">
        <v>115.5</v>
      </c>
      <c r="I59" s="67">
        <f>IF(ISNUMBER(tblY9[[#This Row],[Avg KS2]]),IFERROR(VLOOKUP(STANDARDIZE(tblY9[[#This Row],[Avg KS2]],AVERAGE(tblY9[[Avg KS2]]),_xlfn.STDEV.P(tblY9[[Avg KS2]])),_Stanine,2),5),"")</f>
        <v>9</v>
      </c>
      <c r="J59" s="66" t="inlineStr">
        <is>
          <t>9B/Sc1</t>
        </is>
      </c>
      <c r="K59" s="67">
        <f>IF(tblY9[[#This Row],[Preferred Last name]]="","",COUNTIFS($N$1:$ZZ$1,"*"&amp;CHAR(10)&amp;"Stanine",$N59:$ZZ59,"&gt;=1"))</f>
        <v>4</v>
      </c>
      <c r="L59" s="68">
        <f>IFERROR(AVERAGEIF($N$1:$ZZ$1,"*"&amp;CHAR(10)&amp;"Stanine",$N59:$ZZ59),"")</f>
        <v>7.75</v>
      </c>
      <c r="M59" s="69">
        <f>IF(AND(ISNUMBER(tblY9[[#This Row],[Mean Stanine]]),ISNUMBER(tblY9[[#This Row],[Avg KS2 Band]])),tblY9[[#This Row],[Mean Stanine]]-tblY9[[#This Row],[Avg KS2 Band]],"")</f>
        <v>-1.25</v>
      </c>
      <c r="N59" s="66" t="n">
        <v>25</v>
      </c>
      <c r="O5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59" s="66" t="n">
        <v>28</v>
      </c>
      <c r="Q5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59" s="66" t="n">
        <v>26</v>
      </c>
      <c r="S5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59" s="66" t="n">
        <v>21</v>
      </c>
      <c r="U5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60">
      <c r="A60" s="65" t="inlineStr">
        <is>
          <t>X909600719526</t>
        </is>
      </c>
      <c r="B60" s="65" t="inlineStr">
        <is>
          <t>Johnson</t>
        </is>
      </c>
      <c r="C60" s="65" t="inlineStr">
        <is>
          <t>Oliver</t>
        </is>
      </c>
      <c r="D60" s="66" t="inlineStr">
        <is>
          <t>M</t>
        </is>
      </c>
      <c r="E60" s="66" t="inlineStr">
        <is>
          <t>N</t>
        </is>
      </c>
      <c r="F60" s="66" t="inlineStr">
        <is>
          <t>N</t>
        </is>
      </c>
      <c r="G60" s="34" t="n">
        <v>98.59999999999999</v>
      </c>
      <c r="H60" s="34" t="n">
        <v>107</v>
      </c>
      <c r="I60" s="67">
        <f>IF(ISNUMBER(tblY9[[#This Row],[Avg KS2]]),IFERROR(VLOOKUP(STANDARDIZE(tblY9[[#This Row],[Avg KS2]],AVERAGE(tblY9[[Avg KS2]]),_xlfn.STDEV.P(tblY9[[Avg KS2]])),_Stanine,2),5),"")</f>
        <v>5</v>
      </c>
      <c r="J60" s="66" t="inlineStr">
        <is>
          <t>9A/Sc1</t>
        </is>
      </c>
      <c r="K60" s="67">
        <f>IF(tblY9[[#This Row],[Preferred Last name]]="","",COUNTIFS($N$1:$ZZ$1,"*"&amp;CHAR(10)&amp;"Stanine",$N60:$ZZ60,"&gt;=1"))</f>
        <v>4</v>
      </c>
      <c r="L60" s="68">
        <f>IFERROR(AVERAGEIF($N$1:$ZZ$1,"*"&amp;CHAR(10)&amp;"Stanine",$N60:$ZZ60),"")</f>
        <v>2.5</v>
      </c>
      <c r="M60" s="69">
        <f>IF(AND(ISNUMBER(tblY9[[#This Row],[Mean Stanine]]),ISNUMBER(tblY9[[#This Row],[Avg KS2 Band]])),tblY9[[#This Row],[Mean Stanine]]-tblY9[[#This Row],[Avg KS2 Band]],"")</f>
        <v>-2.5</v>
      </c>
      <c r="N60" s="66" t="n">
        <v>10</v>
      </c>
      <c r="O6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60" s="66" t="n">
        <v>9</v>
      </c>
      <c r="Q6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60" s="66" t="n">
        <v>15</v>
      </c>
      <c r="S6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60" s="66" t="n">
        <v>7</v>
      </c>
      <c r="U6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61">
      <c r="A61" s="65" t="inlineStr">
        <is>
          <t>X903689143883</t>
        </is>
      </c>
      <c r="B61" s="65" t="inlineStr">
        <is>
          <t>Jones</t>
        </is>
      </c>
      <c r="C61" s="65" t="inlineStr">
        <is>
          <t>Rosie</t>
        </is>
      </c>
      <c r="D61" s="66" t="inlineStr">
        <is>
          <t>F</t>
        </is>
      </c>
      <c r="E61" s="66" t="n"/>
      <c r="F61" s="66" t="inlineStr">
        <is>
          <t>N</t>
        </is>
      </c>
      <c r="G61" s="34" t="n">
        <v>91.8</v>
      </c>
      <c r="H61" s="34" t="n">
        <v>104</v>
      </c>
      <c r="I61" s="67">
        <f>IF(ISNUMBER(tblY9[[#This Row],[Avg KS2]]),IFERROR(VLOOKUP(STANDARDIZE(tblY9[[#This Row],[Avg KS2]],AVERAGE(tblY9[[Avg KS2]]),_xlfn.STDEV.P(tblY9[[Avg KS2]])),_Stanine,2),5),"")</f>
        <v>4</v>
      </c>
      <c r="J61" s="66" t="inlineStr">
        <is>
          <t>9A/Sc3</t>
        </is>
      </c>
      <c r="K61" s="67">
        <f>IF(tblY9[[#This Row],[Preferred Last name]]="","",COUNTIFS($N$1:$ZZ$1,"*"&amp;CHAR(10)&amp;"Stanine",$N61:$ZZ61,"&gt;=1"))</f>
        <v>4</v>
      </c>
      <c r="L61" s="68">
        <f>IFERROR(AVERAGEIF($N$1:$ZZ$1,"*"&amp;CHAR(10)&amp;"Stanine",$N61:$ZZ61),"")</f>
        <v>4.25</v>
      </c>
      <c r="M61" s="69">
        <f>IF(AND(ISNUMBER(tblY9[[#This Row],[Mean Stanine]]),ISNUMBER(tblY9[[#This Row],[Avg KS2 Band]])),tblY9[[#This Row],[Mean Stanine]]-tblY9[[#This Row],[Avg KS2 Band]],"")</f>
        <v>0.25</v>
      </c>
      <c r="N61" s="66" t="n">
        <v>14</v>
      </c>
      <c r="O6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61" s="66" t="n">
        <v>19</v>
      </c>
      <c r="Q6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61" s="66" t="n">
        <v>16</v>
      </c>
      <c r="S6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61" s="66" t="n">
        <v>14</v>
      </c>
      <c r="U6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62">
      <c r="A62" s="65" t="inlineStr">
        <is>
          <t>X907770590082</t>
        </is>
      </c>
      <c r="B62" s="65" t="inlineStr">
        <is>
          <t>Kelly</t>
        </is>
      </c>
      <c r="C62" s="65" t="inlineStr">
        <is>
          <t>Oscar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89.09999999999999</v>
      </c>
      <c r="H62" s="34" t="n">
        <v>115</v>
      </c>
      <c r="I62" s="67">
        <f>IF(ISNUMBER(tblY9[[#This Row],[Avg KS2]]),IFERROR(VLOOKUP(STANDARDIZE(tblY9[[#This Row],[Avg KS2]],AVERAGE(tblY9[[Avg KS2]]),_xlfn.STDEV.P(tblY9[[Avg KS2]])),_Stanine,2),5),"")</f>
        <v>9</v>
      </c>
      <c r="J62" s="66" t="inlineStr">
        <is>
          <t>9A/Sc1</t>
        </is>
      </c>
      <c r="K62" s="67">
        <f>IF(tblY9[[#This Row],[Preferred Last name]]="","",COUNTIFS($N$1:$ZZ$1,"*"&amp;CHAR(10)&amp;"Stanine",$N62:$ZZ62,"&gt;=1"))</f>
        <v>4</v>
      </c>
      <c r="L62" s="68">
        <f>IFERROR(AVERAGEIF($N$1:$ZZ$1,"*"&amp;CHAR(10)&amp;"Stanine",$N62:$ZZ62),"")</f>
        <v>8</v>
      </c>
      <c r="M62" s="69">
        <f>IF(AND(ISNUMBER(tblY9[[#This Row],[Mean Stanine]]),ISNUMBER(tblY9[[#This Row],[Avg KS2 Band]])),tblY9[[#This Row],[Mean Stanine]]-tblY9[[#This Row],[Avg KS2 Band]],"")</f>
        <v>-1</v>
      </c>
      <c r="N62" s="66" t="n">
        <v>25</v>
      </c>
      <c r="O6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62" s="66" t="n">
        <v>28</v>
      </c>
      <c r="Q6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62" s="66" t="n">
        <v>27</v>
      </c>
      <c r="S6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62" s="66" t="n">
        <v>23</v>
      </c>
      <c r="U6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63">
      <c r="A63" s="65" t="inlineStr">
        <is>
          <t>X907113961273</t>
        </is>
      </c>
      <c r="B63" s="65" t="inlineStr">
        <is>
          <t>Kelly</t>
        </is>
      </c>
      <c r="C63" s="65" t="inlineStr">
        <is>
          <t>Seren</t>
        </is>
      </c>
      <c r="D63" s="66" t="inlineStr">
        <is>
          <t>M</t>
        </is>
      </c>
      <c r="E63" s="66" t="n"/>
      <c r="F63" s="66" t="inlineStr">
        <is>
          <t>N</t>
        </is>
      </c>
      <c r="G63" s="34" t="n">
        <v>88.8</v>
      </c>
      <c r="H63" s="34" t="n">
        <v>105</v>
      </c>
      <c r="I63" s="67">
        <f>IF(ISNUMBER(tblY9[[#This Row],[Avg KS2]]),IFERROR(VLOOKUP(STANDARDIZE(tblY9[[#This Row],[Avg KS2]],AVERAGE(tblY9[[Avg KS2]]),_xlfn.STDEV.P(tblY9[[Avg KS2]])),_Stanine,2),5),"")</f>
        <v>5</v>
      </c>
      <c r="J63" s="66" t="inlineStr">
        <is>
          <t>9B/Sc2</t>
        </is>
      </c>
      <c r="K63" s="67">
        <f>IF(tblY9[[#This Row],[Preferred Last name]]="","",COUNTIFS($N$1:$ZZ$1,"*"&amp;CHAR(10)&amp;"Stanine",$N63:$ZZ63,"&gt;=1"))</f>
        <v>4</v>
      </c>
      <c r="L63" s="68">
        <f>IFERROR(AVERAGEIF($N$1:$ZZ$1,"*"&amp;CHAR(10)&amp;"Stanine",$N63:$ZZ63),"")</f>
        <v>6.25</v>
      </c>
      <c r="M63" s="69">
        <f>IF(AND(ISNUMBER(tblY9[[#This Row],[Mean Stanine]]),ISNUMBER(tblY9[[#This Row],[Avg KS2 Band]])),tblY9[[#This Row],[Mean Stanine]]-tblY9[[#This Row],[Avg KS2 Band]],"")</f>
        <v>1.25</v>
      </c>
      <c r="N63" s="66" t="n">
        <v>22</v>
      </c>
      <c r="O6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63" s="66" t="n">
        <v>23</v>
      </c>
      <c r="Q6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63" s="66" t="n">
        <v>20</v>
      </c>
      <c r="S6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63" s="66" t="n">
        <v>20</v>
      </c>
      <c r="U6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64">
      <c r="A64" s="65" t="inlineStr">
        <is>
          <t>X902356603051</t>
        </is>
      </c>
      <c r="B64" s="65" t="inlineStr">
        <is>
          <t>Khan</t>
        </is>
      </c>
      <c r="C64" s="65" t="inlineStr">
        <is>
          <t>Harry</t>
        </is>
      </c>
      <c r="D64" s="66" t="inlineStr">
        <is>
          <t>M</t>
        </is>
      </c>
      <c r="E64" s="66" t="inlineStr">
        <is>
          <t>K</t>
        </is>
      </c>
      <c r="F64" s="66" t="inlineStr">
        <is>
          <t>N</t>
        </is>
      </c>
      <c r="G64" s="34" t="n">
        <v>89</v>
      </c>
      <c r="H64" s="34" t="n">
        <v>108.5</v>
      </c>
      <c r="I64" s="67">
        <f>IF(ISNUMBER(tblY9[[#This Row],[Avg KS2]]),IFERROR(VLOOKUP(STANDARDIZE(tblY9[[#This Row],[Avg KS2]],AVERAGE(tblY9[[Avg KS2]]),_xlfn.STDEV.P(tblY9[[Avg KS2]])),_Stanine,2),5),"")</f>
        <v>6</v>
      </c>
      <c r="J64" s="66" t="inlineStr">
        <is>
          <t>9A/Sc1</t>
        </is>
      </c>
      <c r="K64" s="67">
        <f>IF(tblY9[[#This Row],[Preferred Last name]]="","",COUNTIFS($N$1:$ZZ$1,"*"&amp;CHAR(10)&amp;"Stanine",$N64:$ZZ64,"&gt;=1"))</f>
        <v>4</v>
      </c>
      <c r="L64" s="68">
        <f>IFERROR(AVERAGEIF($N$1:$ZZ$1,"*"&amp;CHAR(10)&amp;"Stanine",$N64:$ZZ64),"")</f>
        <v>3.75</v>
      </c>
      <c r="M64" s="69">
        <f>IF(AND(ISNUMBER(tblY9[[#This Row],[Mean Stanine]]),ISNUMBER(tblY9[[#This Row],[Avg KS2 Band]])),tblY9[[#This Row],[Mean Stanine]]-tblY9[[#This Row],[Avg KS2 Band]],"")</f>
        <v>-2.25</v>
      </c>
      <c r="N64" s="66" t="n">
        <v>10</v>
      </c>
      <c r="O6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64" s="66" t="n">
        <v>12</v>
      </c>
      <c r="Q6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64" s="66" t="n">
        <v>18</v>
      </c>
      <c r="S6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64" s="66" t="n">
        <v>13</v>
      </c>
      <c r="U6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65">
      <c r="A65" s="65" t="inlineStr">
        <is>
          <t>X908202726379</t>
        </is>
      </c>
      <c r="B65" s="65" t="inlineStr">
        <is>
          <t>Khan</t>
        </is>
      </c>
      <c r="C65" s="65" t="inlineStr">
        <is>
          <t>Jack</t>
        </is>
      </c>
      <c r="D65" s="66" t="inlineStr">
        <is>
          <t>M</t>
        </is>
      </c>
      <c r="E65" s="66" t="inlineStr">
        <is>
          <t>N</t>
        </is>
      </c>
      <c r="F65" s="66" t="inlineStr">
        <is>
          <t>N</t>
        </is>
      </c>
      <c r="G65" s="34" t="n">
        <v>96.8</v>
      </c>
      <c r="H65" s="34" t="n">
        <v>100</v>
      </c>
      <c r="I65" s="67">
        <f>IF(ISNUMBER(tblY9[[#This Row],[Avg KS2]]),IFERROR(VLOOKUP(STANDARDIZE(tblY9[[#This Row],[Avg KS2]],AVERAGE(tblY9[[Avg KS2]]),_xlfn.STDEV.P(tblY9[[Avg KS2]])),_Stanine,2),5),"")</f>
        <v>3</v>
      </c>
      <c r="J65" s="66" t="inlineStr">
        <is>
          <t>9A/Sc2</t>
        </is>
      </c>
      <c r="K65" s="67">
        <f>IF(tblY9[[#This Row],[Preferred Last name]]="","",COUNTIFS($N$1:$ZZ$1,"*"&amp;CHAR(10)&amp;"Stanine",$N65:$ZZ65,"&gt;=1"))</f>
        <v>4</v>
      </c>
      <c r="L65" s="68">
        <f>IFERROR(AVERAGEIF($N$1:$ZZ$1,"*"&amp;CHAR(10)&amp;"Stanine",$N65:$ZZ65),"")</f>
        <v>2.5</v>
      </c>
      <c r="M65" s="69">
        <f>IF(AND(ISNUMBER(tblY9[[#This Row],[Mean Stanine]]),ISNUMBER(tblY9[[#This Row],[Avg KS2 Band]])),tblY9[[#This Row],[Mean Stanine]]-tblY9[[#This Row],[Avg KS2 Band]],"")</f>
        <v>-0.5</v>
      </c>
      <c r="N65" s="66" t="n">
        <v>10</v>
      </c>
      <c r="O6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65" s="66" t="n">
        <v>13</v>
      </c>
      <c r="Q6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65" s="66" t="n">
        <v>14</v>
      </c>
      <c r="S6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65" s="66" t="n">
        <v>6</v>
      </c>
      <c r="U6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66">
      <c r="A66" s="65" t="inlineStr">
        <is>
          <t>X900606336909</t>
        </is>
      </c>
      <c r="B66" s="65" t="inlineStr">
        <is>
          <t>Khan</t>
        </is>
      </c>
      <c r="C66" s="65" t="inlineStr">
        <is>
          <t>Leo</t>
        </is>
      </c>
      <c r="D66" s="66" t="inlineStr">
        <is>
          <t>M</t>
        </is>
      </c>
      <c r="E66" s="66" t="inlineStr">
        <is>
          <t>K</t>
        </is>
      </c>
      <c r="F66" s="66" t="inlineStr">
        <is>
          <t>Y</t>
        </is>
      </c>
      <c r="G66" s="34" t="n">
        <v>100</v>
      </c>
      <c r="H66" s="34" t="n">
        <v>102</v>
      </c>
      <c r="I66" s="67">
        <f>IF(ISNUMBER(tblY9[[#This Row],[Avg KS2]]),IFERROR(VLOOKUP(STANDARDIZE(tblY9[[#This Row],[Avg KS2]],AVERAGE(tblY9[[Avg KS2]]),_xlfn.STDEV.P(tblY9[[Avg KS2]])),_Stanine,2),5),"")</f>
        <v>4</v>
      </c>
      <c r="J66" s="66" t="inlineStr">
        <is>
          <t>9A/Sc3</t>
        </is>
      </c>
      <c r="K66" s="67">
        <f>IF(tblY9[[#This Row],[Preferred Last name]]="","",COUNTIFS($N$1:$ZZ$1,"*"&amp;CHAR(10)&amp;"Stanine",$N66:$ZZ66,"&gt;=1"))</f>
        <v>4</v>
      </c>
      <c r="L66" s="68">
        <f>IFERROR(AVERAGEIF($N$1:$ZZ$1,"*"&amp;CHAR(10)&amp;"Stanine",$N66:$ZZ66),"")</f>
        <v>2.25</v>
      </c>
      <c r="M66" s="69">
        <f>IF(AND(ISNUMBER(tblY9[[#This Row],[Mean Stanine]]),ISNUMBER(tblY9[[#This Row],[Avg KS2 Band]])),tblY9[[#This Row],[Mean Stanine]]-tblY9[[#This Row],[Avg KS2 Band]],"")</f>
        <v>-1.75</v>
      </c>
      <c r="N66" s="66" t="n">
        <v>11</v>
      </c>
      <c r="O6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66" s="66" t="n">
        <v>7</v>
      </c>
      <c r="Q6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66" s="66" t="n">
        <v>11</v>
      </c>
      <c r="S6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66" s="66" t="n">
        <v>11</v>
      </c>
      <c r="U6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67">
      <c r="A67" s="65" t="inlineStr">
        <is>
          <t>X901318958369</t>
        </is>
      </c>
      <c r="B67" s="65" t="inlineStr">
        <is>
          <t>Khan</t>
        </is>
      </c>
      <c r="C67" s="65" t="inlineStr">
        <is>
          <t>Muhammad</t>
        </is>
      </c>
      <c r="D67" s="66" t="inlineStr">
        <is>
          <t>F</t>
        </is>
      </c>
      <c r="E67" s="66" t="n"/>
      <c r="F67" s="66" t="inlineStr">
        <is>
          <t>Y</t>
        </is>
      </c>
      <c r="G67" s="34" t="n">
        <v>100</v>
      </c>
      <c r="H67" s="34" t="n">
        <v>95</v>
      </c>
      <c r="I67" s="67">
        <f>IF(ISNUMBER(tblY9[[#This Row],[Avg KS2]]),IFERROR(VLOOKUP(STANDARDIZE(tblY9[[#This Row],[Avg KS2]],AVERAGE(tblY9[[Avg KS2]]),_xlfn.STDEV.P(tblY9[[Avg KS2]])),_Stanine,2),5),"")</f>
        <v>1</v>
      </c>
      <c r="J67" s="66" t="inlineStr">
        <is>
          <t>9A/Sc3</t>
        </is>
      </c>
      <c r="K67" s="67">
        <f>IF(tblY9[[#This Row],[Preferred Last name]]="","",COUNTIFS($N$1:$ZZ$1,"*"&amp;CHAR(10)&amp;"Stanine",$N67:$ZZ67,"&gt;=1"))</f>
        <v>4</v>
      </c>
      <c r="L67" s="68">
        <f>IFERROR(AVERAGEIF($N$1:$ZZ$1,"*"&amp;CHAR(10)&amp;"Stanine",$N67:$ZZ67),"")</f>
        <v>4</v>
      </c>
      <c r="M67" s="69">
        <f>IF(AND(ISNUMBER(tblY9[[#This Row],[Mean Stanine]]),ISNUMBER(tblY9[[#This Row],[Avg KS2 Band]])),tblY9[[#This Row],[Mean Stanine]]-tblY9[[#This Row],[Avg KS2 Band]],"")</f>
        <v>3</v>
      </c>
      <c r="N67" s="66" t="n">
        <v>12</v>
      </c>
      <c r="O6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67" s="66" t="n">
        <v>16</v>
      </c>
      <c r="Q6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67" s="66" t="n">
        <v>17</v>
      </c>
      <c r="S6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67" s="66" t="n">
        <v>14</v>
      </c>
      <c r="U6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68">
      <c r="A68" s="65" t="inlineStr">
        <is>
          <t>X909864510041</t>
        </is>
      </c>
      <c r="B68" s="65" t="inlineStr">
        <is>
          <t>Khan</t>
        </is>
      </c>
      <c r="C68" s="65" t="inlineStr">
        <is>
          <t>Rhys</t>
        </is>
      </c>
      <c r="D68" s="66" t="inlineStr">
        <is>
          <t>F</t>
        </is>
      </c>
      <c r="E68" s="66" t="inlineStr">
        <is>
          <t>N</t>
        </is>
      </c>
      <c r="F68" s="66" t="inlineStr">
        <is>
          <t>N</t>
        </is>
      </c>
      <c r="G68" s="34" t="n">
        <v>93.59999999999999</v>
      </c>
      <c r="H68" s="34" t="n">
        <v>107.5</v>
      </c>
      <c r="I68" s="67">
        <f>IF(ISNUMBER(tblY9[[#This Row],[Avg KS2]]),IFERROR(VLOOKUP(STANDARDIZE(tblY9[[#This Row],[Avg KS2]],AVERAGE(tblY9[[Avg KS2]]),_xlfn.STDEV.P(tblY9[[Avg KS2]])),_Stanine,2),5),"")</f>
        <v>6</v>
      </c>
      <c r="J68" s="66" t="inlineStr">
        <is>
          <t>9B/Sc1</t>
        </is>
      </c>
      <c r="K68" s="67">
        <f>IF(tblY9[[#This Row],[Preferred Last name]]="","",COUNTIFS($N$1:$ZZ$1,"*"&amp;CHAR(10)&amp;"Stanine",$N68:$ZZ68,"&gt;=1"))</f>
        <v>4</v>
      </c>
      <c r="L68" s="68">
        <f>IFERROR(AVERAGEIF($N$1:$ZZ$1,"*"&amp;CHAR(10)&amp;"Stanine",$N68:$ZZ68),"")</f>
        <v>5.75</v>
      </c>
      <c r="M68" s="69">
        <f>IF(AND(ISNUMBER(tblY9[[#This Row],[Mean Stanine]]),ISNUMBER(tblY9[[#This Row],[Avg KS2 Band]])),tblY9[[#This Row],[Mean Stanine]]-tblY9[[#This Row],[Avg KS2 Band]],"")</f>
        <v>-0.25</v>
      </c>
      <c r="N68" s="66" t="n">
        <v>19</v>
      </c>
      <c r="O6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68" s="66" t="n">
        <v>22</v>
      </c>
      <c r="Q6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68" s="66" t="n">
        <v>19</v>
      </c>
      <c r="S6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68" s="66" t="n">
        <v>18</v>
      </c>
      <c r="U6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69">
      <c r="A69" s="65" t="inlineStr">
        <is>
          <t>X905744891834</t>
        </is>
      </c>
      <c r="B69" s="65" t="inlineStr">
        <is>
          <t>Khan</t>
        </is>
      </c>
      <c r="C69" s="65" t="inlineStr">
        <is>
          <t>Seren</t>
        </is>
      </c>
      <c r="D69" s="66" t="inlineStr">
        <is>
          <t>F</t>
        </is>
      </c>
      <c r="E69" s="66" t="n"/>
      <c r="F69" s="66" t="inlineStr">
        <is>
          <t>Y</t>
        </is>
      </c>
      <c r="G69" s="34" t="n">
        <v>92.5</v>
      </c>
      <c r="H69" s="34" t="n">
        <v>112.5</v>
      </c>
      <c r="I69" s="67">
        <f>IF(ISNUMBER(tblY9[[#This Row],[Avg KS2]]),IFERROR(VLOOKUP(STANDARDIZE(tblY9[[#This Row],[Avg KS2]],AVERAGE(tblY9[[Avg KS2]]),_xlfn.STDEV.P(tblY9[[Avg KS2]])),_Stanine,2),5),"")</f>
        <v>8</v>
      </c>
      <c r="J69" s="66" t="inlineStr">
        <is>
          <t>9A/Sc1</t>
        </is>
      </c>
      <c r="K69" s="67">
        <f>IF(tblY9[[#This Row],[Preferred Last name]]="","",COUNTIFS($N$1:$ZZ$1,"*"&amp;CHAR(10)&amp;"Stanine",$N69:$ZZ69,"&gt;=1"))</f>
        <v>4</v>
      </c>
      <c r="L69" s="68">
        <f>IFERROR(AVERAGEIF($N$1:$ZZ$1,"*"&amp;CHAR(10)&amp;"Stanine",$N69:$ZZ69),"")</f>
        <v>7.5</v>
      </c>
      <c r="M69" s="69">
        <f>IF(AND(ISNUMBER(tblY9[[#This Row],[Mean Stanine]]),ISNUMBER(tblY9[[#This Row],[Avg KS2 Band]])),tblY9[[#This Row],[Mean Stanine]]-tblY9[[#This Row],[Avg KS2 Band]],"")</f>
        <v>-0.5</v>
      </c>
      <c r="N69" s="66" t="n">
        <v>24</v>
      </c>
      <c r="O6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69" s="66" t="n">
        <v>28</v>
      </c>
      <c r="Q6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69" s="66" t="n">
        <v>25</v>
      </c>
      <c r="S6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69" s="66" t="n">
        <v>20</v>
      </c>
      <c r="U6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70">
      <c r="A70" s="65" t="inlineStr">
        <is>
          <t>X901486919231</t>
        </is>
      </c>
      <c r="B70" s="65" t="inlineStr">
        <is>
          <t>Khan</t>
        </is>
      </c>
      <c r="C70" s="65" t="inlineStr">
        <is>
          <t>Zofia</t>
        </is>
      </c>
      <c r="D70" s="66" t="inlineStr">
        <is>
          <t>F</t>
        </is>
      </c>
      <c r="E70" s="66" t="n"/>
      <c r="F70" s="66" t="inlineStr">
        <is>
          <t>N</t>
        </is>
      </c>
      <c r="G70" s="34" t="n">
        <v>97.2</v>
      </c>
      <c r="H70" s="34" t="n">
        <v>101</v>
      </c>
      <c r="I70" s="67">
        <f>IF(ISNUMBER(tblY9[[#This Row],[Avg KS2]]),IFERROR(VLOOKUP(STANDARDIZE(tblY9[[#This Row],[Avg KS2]],AVERAGE(tblY9[[Avg KS2]]),_xlfn.STDEV.P(tblY9[[Avg KS2]])),_Stanine,2),5),"")</f>
        <v>3</v>
      </c>
      <c r="J70" s="66" t="inlineStr">
        <is>
          <t>9A/Sc2</t>
        </is>
      </c>
      <c r="K70" s="67">
        <f>IF(tblY9[[#This Row],[Preferred Last name]]="","",COUNTIFS($N$1:$ZZ$1,"*"&amp;CHAR(10)&amp;"Stanine",$N70:$ZZ70,"&gt;=1"))</f>
        <v>4</v>
      </c>
      <c r="L70" s="68">
        <f>IFERROR(AVERAGEIF($N$1:$ZZ$1,"*"&amp;CHAR(10)&amp;"Stanine",$N70:$ZZ70),"")</f>
        <v>3.75</v>
      </c>
      <c r="M70" s="69">
        <f>IF(AND(ISNUMBER(tblY9[[#This Row],[Mean Stanine]]),ISNUMBER(tblY9[[#This Row],[Avg KS2 Band]])),tblY9[[#This Row],[Mean Stanine]]-tblY9[[#This Row],[Avg KS2 Band]],"")</f>
        <v>0.75</v>
      </c>
      <c r="N70" s="66" t="n">
        <v>9</v>
      </c>
      <c r="O7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70" s="66" t="n">
        <v>15</v>
      </c>
      <c r="Q7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70" s="66" t="n">
        <v>17</v>
      </c>
      <c r="S7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70" s="66" t="n">
        <v>13</v>
      </c>
      <c r="U7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71">
      <c r="A71" s="65" t="inlineStr">
        <is>
          <t>X905029503894</t>
        </is>
      </c>
      <c r="B71" s="65" t="inlineStr">
        <is>
          <t>Kowalski</t>
        </is>
      </c>
      <c r="C71" s="65" t="inlineStr">
        <is>
          <t>Rhys</t>
        </is>
      </c>
      <c r="D71" s="66" t="inlineStr">
        <is>
          <t>F</t>
        </is>
      </c>
      <c r="E71" s="66" t="n"/>
      <c r="F71" s="66" t="inlineStr">
        <is>
          <t>N</t>
        </is>
      </c>
      <c r="G71" s="34" t="n">
        <v>87.8</v>
      </c>
      <c r="H71" s="34" t="n">
        <v>105</v>
      </c>
      <c r="I71" s="67">
        <f>IF(ISNUMBER(tblY9[[#This Row],[Avg KS2]]),IFERROR(VLOOKUP(STANDARDIZE(tblY9[[#This Row],[Avg KS2]],AVERAGE(tblY9[[Avg KS2]]),_xlfn.STDEV.P(tblY9[[Avg KS2]])),_Stanine,2),5),"")</f>
        <v>5</v>
      </c>
      <c r="J71" s="66" t="inlineStr">
        <is>
          <t>9B/Sc2</t>
        </is>
      </c>
      <c r="K71" s="67">
        <f>IF(tblY9[[#This Row],[Preferred Last name]]="","",COUNTIFS($N$1:$ZZ$1,"*"&amp;CHAR(10)&amp;"Stanine",$N71:$ZZ71,"&gt;=1"))</f>
        <v>4</v>
      </c>
      <c r="L71" s="68">
        <f>IFERROR(AVERAGEIF($N$1:$ZZ$1,"*"&amp;CHAR(10)&amp;"Stanine",$N71:$ZZ71),"")</f>
        <v>6.25</v>
      </c>
      <c r="M71" s="69">
        <f>IF(AND(ISNUMBER(tblY9[[#This Row],[Mean Stanine]]),ISNUMBER(tblY9[[#This Row],[Avg KS2 Band]])),tblY9[[#This Row],[Mean Stanine]]-tblY9[[#This Row],[Avg KS2 Band]],"")</f>
        <v>1.25</v>
      </c>
      <c r="N71" s="66" t="n">
        <v>22</v>
      </c>
      <c r="O7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71" s="66" t="n">
        <v>18</v>
      </c>
      <c r="Q7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71" s="66" t="n">
        <v>24</v>
      </c>
      <c r="S7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71" s="66" t="n">
        <v>18</v>
      </c>
      <c r="U7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72">
      <c r="A72" s="65" t="inlineStr">
        <is>
          <t>X908321067788</t>
        </is>
      </c>
      <c r="B72" s="65" t="inlineStr">
        <is>
          <t>Lewis</t>
        </is>
      </c>
      <c r="C72" s="65" t="inlineStr">
        <is>
          <t>Dylan</t>
        </is>
      </c>
      <c r="D72" s="66" t="inlineStr">
        <is>
          <t>F</t>
        </is>
      </c>
      <c r="E72" s="66" t="inlineStr">
        <is>
          <t>N</t>
        </is>
      </c>
      <c r="F72" s="66" t="inlineStr">
        <is>
          <t>Y</t>
        </is>
      </c>
      <c r="G72" s="34" t="n">
        <v>100</v>
      </c>
      <c r="H72" s="34" t="n">
        <v>110</v>
      </c>
      <c r="I72" s="67">
        <f>IF(ISNUMBER(tblY9[[#This Row],[Avg KS2]]),IFERROR(VLOOKUP(STANDARDIZE(tblY9[[#This Row],[Avg KS2]],AVERAGE(tblY9[[Avg KS2]]),_xlfn.STDEV.P(tblY9[[Avg KS2]])),_Stanine,2),5),"")</f>
        <v>7</v>
      </c>
      <c r="J72" s="66" t="inlineStr">
        <is>
          <t>9B/Sc1</t>
        </is>
      </c>
      <c r="K72" s="67">
        <f>IF(tblY9[[#This Row],[Preferred Last name]]="","",COUNTIFS($N$1:$ZZ$1,"*"&amp;CHAR(10)&amp;"Stanine",$N72:$ZZ72,"&gt;=1"))</f>
        <v>4</v>
      </c>
      <c r="L72" s="68">
        <f>IFERROR(AVERAGEIF($N$1:$ZZ$1,"*"&amp;CHAR(10)&amp;"Stanine",$N72:$ZZ72),"")</f>
        <v>6.25</v>
      </c>
      <c r="M72" s="69">
        <f>IF(AND(ISNUMBER(tblY9[[#This Row],[Mean Stanine]]),ISNUMBER(tblY9[[#This Row],[Avg KS2 Band]])),tblY9[[#This Row],[Mean Stanine]]-tblY9[[#This Row],[Avg KS2 Band]],"")</f>
        <v>-0.75</v>
      </c>
      <c r="N72" s="66" t="n">
        <v>21</v>
      </c>
      <c r="O7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72" s="66" t="n">
        <v>20</v>
      </c>
      <c r="Q7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72" s="66" t="n">
        <v>22</v>
      </c>
      <c r="S7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72" s="66" t="n">
        <v>20</v>
      </c>
      <c r="U7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73">
      <c r="A73" s="65" t="inlineStr">
        <is>
          <t>X901918091201</t>
        </is>
      </c>
      <c r="B73" s="65" t="inlineStr">
        <is>
          <t>Lloyd</t>
        </is>
      </c>
      <c r="C73" s="65" t="inlineStr">
        <is>
          <t>Layla</t>
        </is>
      </c>
      <c r="D73" s="66" t="inlineStr">
        <is>
          <t>M</t>
        </is>
      </c>
      <c r="E73" s="66" t="n"/>
      <c r="F73" s="66" t="inlineStr">
        <is>
          <t>N</t>
        </is>
      </c>
      <c r="G73" s="34" t="n">
        <v>100</v>
      </c>
      <c r="H73" s="34" t="n">
        <v>103</v>
      </c>
      <c r="I73" s="67">
        <f>IF(ISNUMBER(tblY9[[#This Row],[Avg KS2]]),IFERROR(VLOOKUP(STANDARDIZE(tblY9[[#This Row],[Avg KS2]],AVERAGE(tblY9[[Avg KS2]]),_xlfn.STDEV.P(tblY9[[Avg KS2]])),_Stanine,2),5),"")</f>
        <v>4</v>
      </c>
      <c r="J73" s="66" t="inlineStr">
        <is>
          <t>9A/Sc2</t>
        </is>
      </c>
      <c r="K73" s="67">
        <f>IF(tblY9[[#This Row],[Preferred Last name]]="","",COUNTIFS($N$1:$ZZ$1,"*"&amp;CHAR(10)&amp;"Stanine",$N73:$ZZ73,"&gt;=1"))</f>
        <v>3</v>
      </c>
      <c r="L73" s="68">
        <f>IFERROR(AVERAGEIF($N$1:$ZZ$1,"*"&amp;CHAR(10)&amp;"Stanine",$N73:$ZZ73),"")</f>
        <v>3.33333333333333</v>
      </c>
      <c r="M73" s="69">
        <f>IF(AND(ISNUMBER(tblY9[[#This Row],[Mean Stanine]]),ISNUMBER(tblY9[[#This Row],[Avg KS2 Band]])),tblY9[[#This Row],[Mean Stanine]]-tblY9[[#This Row],[Avg KS2 Band]],"")</f>
        <v>-0.666666666666667</v>
      </c>
      <c r="N73" s="66" t="n">
        <v>11</v>
      </c>
      <c r="O7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73" s="66" t="n">
        <v>15</v>
      </c>
      <c r="Q7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73" s="66" t="inlineStr">
        <is>
          <t>A</t>
        </is>
      </c>
      <c r="S73" s="67" t="str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/>
      </c>
      <c r="T73" s="66" t="n">
        <v>11</v>
      </c>
      <c r="U7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74">
      <c r="A74" s="65" t="inlineStr">
        <is>
          <t>X903779484181</t>
        </is>
      </c>
      <c r="B74" s="65" t="inlineStr">
        <is>
          <t>Mistry</t>
        </is>
      </c>
      <c r="C74" s="65" t="inlineStr">
        <is>
          <t>Aisha</t>
        </is>
      </c>
      <c r="D74" s="66" t="inlineStr">
        <is>
          <t>M</t>
        </is>
      </c>
      <c r="E74" s="66" t="inlineStr">
        <is>
          <t>K</t>
        </is>
      </c>
      <c r="F74" s="66" t="inlineStr">
        <is>
          <t>Y</t>
        </is>
      </c>
      <c r="G74" s="34" t="n">
        <v>94.09999999999999</v>
      </c>
      <c r="H74" s="34" t="n">
        <v>102</v>
      </c>
      <c r="I74" s="67">
        <f>IF(ISNUMBER(tblY9[[#This Row],[Avg KS2]]),IFERROR(VLOOKUP(STANDARDIZE(tblY9[[#This Row],[Avg KS2]],AVERAGE(tblY9[[Avg KS2]]),_xlfn.STDEV.P(tblY9[[Avg KS2]])),_Stanine,2),5),"")</f>
        <v>4</v>
      </c>
      <c r="J74" s="66" t="inlineStr">
        <is>
          <t>9A/Sc3</t>
        </is>
      </c>
      <c r="K74" s="67">
        <f>IF(tblY9[[#This Row],[Preferred Last name]]="","",COUNTIFS($N$1:$ZZ$1,"*"&amp;CHAR(10)&amp;"Stanine",$N74:$ZZ74,"&gt;=1"))</f>
        <v>4</v>
      </c>
      <c r="L74" s="68">
        <f>IFERROR(AVERAGEIF($N$1:$ZZ$1,"*"&amp;CHAR(10)&amp;"Stanine",$N74:$ZZ74),"")</f>
        <v>1.5</v>
      </c>
      <c r="M74" s="69">
        <f>IF(AND(ISNUMBER(tblY9[[#This Row],[Mean Stanine]]),ISNUMBER(tblY9[[#This Row],[Avg KS2 Band]])),tblY9[[#This Row],[Mean Stanine]]-tblY9[[#This Row],[Avg KS2 Band]],"")</f>
        <v>-2.5</v>
      </c>
      <c r="N74" s="66" t="n">
        <v>5</v>
      </c>
      <c r="O7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74" s="66" t="n">
        <v>9</v>
      </c>
      <c r="Q7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74" s="66" t="n">
        <v>9</v>
      </c>
      <c r="S7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74" s="66" t="n">
        <v>4</v>
      </c>
      <c r="U7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75">
      <c r="A75" s="65" t="inlineStr">
        <is>
          <t>X905793748805</t>
        </is>
      </c>
      <c r="B75" s="65" t="inlineStr">
        <is>
          <t>Morgan</t>
        </is>
      </c>
      <c r="C75" s="65" t="inlineStr">
        <is>
          <t>Finley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Y</t>
        </is>
      </c>
      <c r="G75" s="34" t="n">
        <v>86.90000000000001</v>
      </c>
      <c r="H75" s="34" t="n">
        <v>106.5</v>
      </c>
      <c r="I75" s="67">
        <f>IF(ISNUMBER(tblY9[[#This Row],[Avg KS2]]),IFERROR(VLOOKUP(STANDARDIZE(tblY9[[#This Row],[Avg KS2]],AVERAGE(tblY9[[Avg KS2]]),_xlfn.STDEV.P(tblY9[[Avg KS2]])),_Stanine,2),5),"")</f>
        <v>5</v>
      </c>
      <c r="J75" s="66" t="inlineStr">
        <is>
          <t>9B/Sc2</t>
        </is>
      </c>
      <c r="K75" s="67">
        <f>IF(tblY9[[#This Row],[Preferred Last name]]="","",COUNTIFS($N$1:$ZZ$1,"*"&amp;CHAR(10)&amp;"Stanine",$N75:$ZZ75,"&gt;=1"))</f>
        <v>4</v>
      </c>
      <c r="L75" s="68">
        <f>IFERROR(AVERAGEIF($N$1:$ZZ$1,"*"&amp;CHAR(10)&amp;"Stanine",$N75:$ZZ75),"")</f>
        <v>6.5</v>
      </c>
      <c r="M75" s="69">
        <f>IF(AND(ISNUMBER(tblY9[[#This Row],[Mean Stanine]]),ISNUMBER(tblY9[[#This Row],[Avg KS2 Band]])),tblY9[[#This Row],[Mean Stanine]]-tblY9[[#This Row],[Avg KS2 Band]],"")</f>
        <v>1.5</v>
      </c>
      <c r="N75" s="66" t="n">
        <v>19</v>
      </c>
      <c r="O7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75" s="66" t="n">
        <v>27</v>
      </c>
      <c r="Q7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75" s="66" t="n">
        <v>17</v>
      </c>
      <c r="S7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75" s="66" t="n">
        <v>22</v>
      </c>
      <c r="U7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76">
      <c r="A76" s="65" t="inlineStr">
        <is>
          <t>X906740078143</t>
        </is>
      </c>
      <c r="B76" s="65" t="inlineStr">
        <is>
          <t>Morgan</t>
        </is>
      </c>
      <c r="C76" s="65" t="inlineStr">
        <is>
          <t>Hollie</t>
        </is>
      </c>
      <c r="D76" s="66" t="inlineStr">
        <is>
          <t>F</t>
        </is>
      </c>
      <c r="E76" s="66" t="inlineStr">
        <is>
          <t>N</t>
        </is>
      </c>
      <c r="F76" s="66" t="inlineStr">
        <is>
          <t>N</t>
        </is>
      </c>
      <c r="G76" s="34" t="n">
        <v>92.2</v>
      </c>
      <c r="H76" s="34" t="n">
        <v>109</v>
      </c>
      <c r="I76" s="67">
        <f>IF(ISNUMBER(tblY9[[#This Row],[Avg KS2]]),IFERROR(VLOOKUP(STANDARDIZE(tblY9[[#This Row],[Avg KS2]],AVERAGE(tblY9[[Avg KS2]]),_xlfn.STDEV.P(tblY9[[Avg KS2]])),_Stanine,2),5),"")</f>
        <v>6</v>
      </c>
      <c r="J76" s="66" t="inlineStr">
        <is>
          <t>9B/Sc2</t>
        </is>
      </c>
      <c r="K76" s="67">
        <f>IF(tblY9[[#This Row],[Preferred Last name]]="","",COUNTIFS($N$1:$ZZ$1,"*"&amp;CHAR(10)&amp;"Stanine",$N76:$ZZ76,"&gt;=1"))</f>
        <v>4</v>
      </c>
      <c r="L76" s="68">
        <f>IFERROR(AVERAGEIF($N$1:$ZZ$1,"*"&amp;CHAR(10)&amp;"Stanine",$N76:$ZZ76),"")</f>
        <v>4</v>
      </c>
      <c r="M76" s="69">
        <f>IF(AND(ISNUMBER(tblY9[[#This Row],[Mean Stanine]]),ISNUMBER(tblY9[[#This Row],[Avg KS2 Band]])),tblY9[[#This Row],[Mean Stanine]]-tblY9[[#This Row],[Avg KS2 Band]],"")</f>
        <v>-2</v>
      </c>
      <c r="N76" s="66" t="n">
        <v>9</v>
      </c>
      <c r="O7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76" s="66" t="n">
        <v>14</v>
      </c>
      <c r="Q7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76" s="66" t="n">
        <v>15</v>
      </c>
      <c r="S7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76" s="66" t="n">
        <v>15</v>
      </c>
      <c r="U7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77">
      <c r="A77" s="65" t="inlineStr">
        <is>
          <t>X906030669410</t>
        </is>
      </c>
      <c r="B77" s="65" t="inlineStr">
        <is>
          <t>Morgan</t>
        </is>
      </c>
      <c r="C77" s="65" t="inlineStr">
        <is>
          <t>Maya</t>
        </is>
      </c>
      <c r="D77" s="66" t="inlineStr">
        <is>
          <t>F</t>
        </is>
      </c>
      <c r="E77" s="66" t="n"/>
      <c r="F77" s="66" t="inlineStr">
        <is>
          <t>N</t>
        </is>
      </c>
      <c r="G77" s="34" t="n">
        <v>100</v>
      </c>
      <c r="H77" s="34" t="n">
        <v>117</v>
      </c>
      <c r="I77" s="67">
        <f>IF(ISNUMBER(tblY9[[#This Row],[Avg KS2]]),IFERROR(VLOOKUP(STANDARDIZE(tblY9[[#This Row],[Avg KS2]],AVERAGE(tblY9[[Avg KS2]]),_xlfn.STDEV.P(tblY9[[Avg KS2]])),_Stanine,2),5),"")</f>
        <v>9</v>
      </c>
      <c r="J77" s="66" t="inlineStr">
        <is>
          <t>9A/Sc1</t>
        </is>
      </c>
      <c r="K77" s="67">
        <f>IF(tblY9[[#This Row],[Preferred Last name]]="","",COUNTIFS($N$1:$ZZ$1,"*"&amp;CHAR(10)&amp;"Stanine",$N77:$ZZ77,"&gt;=1"))</f>
        <v>4</v>
      </c>
      <c r="L77" s="68">
        <f>IFERROR(AVERAGEIF($N$1:$ZZ$1,"*"&amp;CHAR(10)&amp;"Stanine",$N77:$ZZ77),"")</f>
        <v>7.25</v>
      </c>
      <c r="M77" s="69">
        <f>IF(AND(ISNUMBER(tblY9[[#This Row],[Mean Stanine]]),ISNUMBER(tblY9[[#This Row],[Avg KS2 Band]])),tblY9[[#This Row],[Mean Stanine]]-tblY9[[#This Row],[Avg KS2 Band]],"")</f>
        <v>-1.75</v>
      </c>
      <c r="N77" s="66" t="n">
        <v>24</v>
      </c>
      <c r="O7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77" s="66" t="n">
        <v>25</v>
      </c>
      <c r="Q7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77" s="66" t="n">
        <v>24</v>
      </c>
      <c r="S7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77" s="66" t="n">
        <v>21</v>
      </c>
      <c r="U7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78">
      <c r="A78" s="65" t="inlineStr">
        <is>
          <t>X909737787003</t>
        </is>
      </c>
      <c r="B78" s="65" t="inlineStr">
        <is>
          <t>Murphy</t>
        </is>
      </c>
      <c r="C78" s="65" t="inlineStr">
        <is>
          <t>Ella</t>
        </is>
      </c>
      <c r="D78" s="66" t="inlineStr">
        <is>
          <t>M</t>
        </is>
      </c>
      <c r="E78" s="66" t="n"/>
      <c r="F78" s="66" t="inlineStr">
        <is>
          <t>Y</t>
        </is>
      </c>
      <c r="G78" s="34" t="n">
        <v>93.59999999999999</v>
      </c>
      <c r="H78" s="34" t="n">
        <v>108</v>
      </c>
      <c r="I78" s="67">
        <f>IF(ISNUMBER(tblY9[[#This Row],[Avg KS2]]),IFERROR(VLOOKUP(STANDARDIZE(tblY9[[#This Row],[Avg KS2]],AVERAGE(tblY9[[Avg KS2]]),_xlfn.STDEV.P(tblY9[[Avg KS2]])),_Stanine,2),5),"")</f>
        <v>6</v>
      </c>
      <c r="J78" s="66" t="inlineStr">
        <is>
          <t>9B/Sc2</t>
        </is>
      </c>
      <c r="K78" s="67">
        <f>IF(tblY9[[#This Row],[Preferred Last name]]="","",COUNTIFS($N$1:$ZZ$1,"*"&amp;CHAR(10)&amp;"Stanine",$N78:$ZZ78,"&gt;=1"))</f>
        <v>3</v>
      </c>
      <c r="L78" s="68">
        <f>IFERROR(AVERAGEIF($N$1:$ZZ$1,"*"&amp;CHAR(10)&amp;"Stanine",$N78:$ZZ78),"")</f>
        <v>6.33333333333333</v>
      </c>
      <c r="M78" s="69">
        <f>IF(AND(ISNUMBER(tblY9[[#This Row],[Mean Stanine]]),ISNUMBER(tblY9[[#This Row],[Avg KS2 Band]])),tblY9[[#This Row],[Mean Stanine]]-tblY9[[#This Row],[Avg KS2 Band]],"")</f>
        <v>0.333333333333333</v>
      </c>
      <c r="N78" s="66" t="n">
        <v>22</v>
      </c>
      <c r="O7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78" s="66" t="inlineStr">
        <is>
          <t>A</t>
        </is>
      </c>
      <c r="Q78" s="67" t="str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/>
      </c>
      <c r="R78" s="66" t="n">
        <v>19</v>
      </c>
      <c r="S7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78" s="66" t="n">
        <v>20</v>
      </c>
      <c r="U7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79">
      <c r="A79" s="65" t="inlineStr">
        <is>
          <t>X902318668876</t>
        </is>
      </c>
      <c r="B79" s="65" t="inlineStr">
        <is>
          <t>Nowak</t>
        </is>
      </c>
      <c r="C79" s="65" t="inlineStr">
        <is>
          <t>Ella</t>
        </is>
      </c>
      <c r="D79" s="66" t="inlineStr">
        <is>
          <t>F</t>
        </is>
      </c>
      <c r="E79" s="66" t="inlineStr">
        <is>
          <t>N</t>
        </is>
      </c>
      <c r="F79" s="66" t="inlineStr">
        <is>
          <t>N</t>
        </is>
      </c>
      <c r="G79" s="34" t="n">
        <v>90.59999999999999</v>
      </c>
      <c r="H79" s="34" t="n">
        <v>107</v>
      </c>
      <c r="I79" s="67">
        <f>IF(ISNUMBER(tblY9[[#This Row],[Avg KS2]]),IFERROR(VLOOKUP(STANDARDIZE(tblY9[[#This Row],[Avg KS2]],AVERAGE(tblY9[[Avg KS2]]),_xlfn.STDEV.P(tblY9[[Avg KS2]])),_Stanine,2),5),"")</f>
        <v>5</v>
      </c>
      <c r="J79" s="66" t="inlineStr">
        <is>
          <t>9B/Sc1</t>
        </is>
      </c>
      <c r="K79" s="67">
        <f>IF(tblY9[[#This Row],[Preferred Last name]]="","",COUNTIFS($N$1:$ZZ$1,"*"&amp;CHAR(10)&amp;"Stanine",$N79:$ZZ79,"&gt;=1"))</f>
        <v>3</v>
      </c>
      <c r="L79" s="68">
        <f>IFERROR(AVERAGEIF($N$1:$ZZ$1,"*"&amp;CHAR(10)&amp;"Stanine",$N79:$ZZ79),"")</f>
        <v>6.33333333333333</v>
      </c>
      <c r="M79" s="69">
        <f>IF(AND(ISNUMBER(tblY9[[#This Row],[Mean Stanine]]),ISNUMBER(tblY9[[#This Row],[Avg KS2 Band]])),tblY9[[#This Row],[Mean Stanine]]-tblY9[[#This Row],[Avg KS2 Band]],"")</f>
        <v>1.33333333333333</v>
      </c>
      <c r="N79" s="66" t="inlineStr">
        <is>
          <t>A</t>
        </is>
      </c>
      <c r="O79" s="67" t="str">
        <f>IF(ISNUMBER(tblY9[[#This Row],[9B01 - Genetics
Raw Score]]),IFERROR(VLOOKUP(STANDARDIZE(tblY9[[#This Row],[9B01 - Genetics
Raw Score]],AVERAGE(tblY9[[9B01 - Genetics
Raw Score]]),_xlfn.STDEV.P(tblY9[[9B01 - Genetics
Raw Score]])),_Stanine,2),5),"")</f>
        <v/>
      </c>
      <c r="P79" s="66" t="n">
        <v>23</v>
      </c>
      <c r="Q7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79" s="66" t="n">
        <v>24</v>
      </c>
      <c r="S7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79" s="66" t="n">
        <v>19</v>
      </c>
      <c r="U7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80">
      <c r="A80" s="65" t="inlineStr">
        <is>
          <t>X905757278424</t>
        </is>
      </c>
      <c r="B80" s="65" t="inlineStr">
        <is>
          <t>Nowak</t>
        </is>
      </c>
      <c r="C80" s="65" t="inlineStr">
        <is>
          <t>Freya</t>
        </is>
      </c>
      <c r="D80" s="66" t="inlineStr">
        <is>
          <t>F</t>
        </is>
      </c>
      <c r="E80" s="66" t="n"/>
      <c r="F80" s="66" t="inlineStr">
        <is>
          <t>N</t>
        </is>
      </c>
      <c r="G80" s="34" t="n">
        <v>96.2</v>
      </c>
      <c r="H80" s="34" t="n">
        <v>108</v>
      </c>
      <c r="I80" s="67">
        <f>IF(ISNUMBER(tblY9[[#This Row],[Avg KS2]]),IFERROR(VLOOKUP(STANDARDIZE(tblY9[[#This Row],[Avg KS2]],AVERAGE(tblY9[[Avg KS2]]),_xlfn.STDEV.P(tblY9[[Avg KS2]])),_Stanine,2),5),"")</f>
        <v>6</v>
      </c>
      <c r="J80" s="66" t="inlineStr">
        <is>
          <t>9A/Sc2</t>
        </is>
      </c>
      <c r="K80" s="67">
        <f>IF(tblY9[[#This Row],[Preferred Last name]]="","",COUNTIFS($N$1:$ZZ$1,"*"&amp;CHAR(10)&amp;"Stanine",$N80:$ZZ80,"&gt;=1"))</f>
        <v>4</v>
      </c>
      <c r="L80" s="68">
        <f>IFERROR(AVERAGEIF($N$1:$ZZ$1,"*"&amp;CHAR(10)&amp;"Stanine",$N80:$ZZ80),"")</f>
        <v>6.25</v>
      </c>
      <c r="M80" s="69">
        <f>IF(AND(ISNUMBER(tblY9[[#This Row],[Mean Stanine]]),ISNUMBER(tblY9[[#This Row],[Avg KS2 Band]])),tblY9[[#This Row],[Mean Stanine]]-tblY9[[#This Row],[Avg KS2 Band]],"")</f>
        <v>0.25</v>
      </c>
      <c r="N80" s="66" t="n">
        <v>19</v>
      </c>
      <c r="O8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80" s="66" t="n">
        <v>22</v>
      </c>
      <c r="Q8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80" s="66" t="n">
        <v>23</v>
      </c>
      <c r="S8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80" s="66" t="n">
        <v>19</v>
      </c>
      <c r="U8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81">
      <c r="A81" s="65" t="inlineStr">
        <is>
          <t>X904819592875</t>
        </is>
      </c>
      <c r="B81" s="65" t="inlineStr">
        <is>
          <t>Nowak</t>
        </is>
      </c>
      <c r="C81" s="65" t="inlineStr">
        <is>
          <t>Jack</t>
        </is>
      </c>
      <c r="D81" s="66" t="inlineStr">
        <is>
          <t>M</t>
        </is>
      </c>
      <c r="E81" s="66" t="inlineStr">
        <is>
          <t>K</t>
        </is>
      </c>
      <c r="F81" s="66" t="inlineStr">
        <is>
          <t>N</t>
        </is>
      </c>
      <c r="G81" s="34" t="n">
        <v>85.2</v>
      </c>
      <c r="H81" s="34" t="n">
        <v>110.5</v>
      </c>
      <c r="I81" s="67">
        <f>IF(ISNUMBER(tblY9[[#This Row],[Avg KS2]]),IFERROR(VLOOKUP(STANDARDIZE(tblY9[[#This Row],[Avg KS2]],AVERAGE(tblY9[[Avg KS2]]),_xlfn.STDEV.P(tblY9[[Avg KS2]])),_Stanine,2),5),"")</f>
        <v>7</v>
      </c>
      <c r="J81" s="66" t="inlineStr">
        <is>
          <t>9A/Sc2</t>
        </is>
      </c>
      <c r="K81" s="67">
        <f>IF(tblY9[[#This Row],[Preferred Last name]]="","",COUNTIFS($N$1:$ZZ$1,"*"&amp;CHAR(10)&amp;"Stanine",$N81:$ZZ81,"&gt;=1"))</f>
        <v>4</v>
      </c>
      <c r="L81" s="68">
        <f>IFERROR(AVERAGEIF($N$1:$ZZ$1,"*"&amp;CHAR(10)&amp;"Stanine",$N81:$ZZ81),"")</f>
        <v>4.5</v>
      </c>
      <c r="M81" s="69">
        <f>IF(AND(ISNUMBER(tblY9[[#This Row],[Mean Stanine]]),ISNUMBER(tblY9[[#This Row],[Avg KS2 Band]])),tblY9[[#This Row],[Mean Stanine]]-tblY9[[#This Row],[Avg KS2 Band]],"")</f>
        <v>-2.5</v>
      </c>
      <c r="N81" s="66" t="n">
        <v>15</v>
      </c>
      <c r="O8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81" s="66" t="n">
        <v>17</v>
      </c>
      <c r="Q8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81" s="66" t="n">
        <v>14</v>
      </c>
      <c r="S8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81" s="66" t="n">
        <v>16</v>
      </c>
      <c r="U8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82">
      <c r="A82" s="65" t="inlineStr">
        <is>
          <t>X904305224042</t>
        </is>
      </c>
      <c r="B82" s="65" t="inlineStr">
        <is>
          <t>Nowak</t>
        </is>
      </c>
      <c r="C82" s="65" t="inlineStr">
        <is>
          <t>Noah</t>
        </is>
      </c>
      <c r="D82" s="66" t="inlineStr">
        <is>
          <t>F</t>
        </is>
      </c>
      <c r="E82" s="66" t="inlineStr">
        <is>
          <t>K</t>
        </is>
      </c>
      <c r="F82" s="66" t="inlineStr">
        <is>
          <t>N</t>
        </is>
      </c>
      <c r="G82" s="34" t="n">
        <v>85.90000000000001</v>
      </c>
      <c r="H82" s="34" t="n">
        <v>107.5</v>
      </c>
      <c r="I82" s="67">
        <f>IF(ISNUMBER(tblY9[[#This Row],[Avg KS2]]),IFERROR(VLOOKUP(STANDARDIZE(tblY9[[#This Row],[Avg KS2]],AVERAGE(tblY9[[Avg KS2]]),_xlfn.STDEV.P(tblY9[[Avg KS2]])),_Stanine,2),5),"")</f>
        <v>6</v>
      </c>
      <c r="J82" s="66" t="inlineStr">
        <is>
          <t>9A/Sc1</t>
        </is>
      </c>
      <c r="K82" s="67">
        <f>IF(tblY9[[#This Row],[Preferred Last name]]="","",COUNTIFS($N$1:$ZZ$1,"*"&amp;CHAR(10)&amp;"Stanine",$N82:$ZZ82,"&gt;=1"))</f>
        <v>4</v>
      </c>
      <c r="L82" s="68">
        <f>IFERROR(AVERAGEIF($N$1:$ZZ$1,"*"&amp;CHAR(10)&amp;"Stanine",$N82:$ZZ82),"")</f>
        <v>5.75</v>
      </c>
      <c r="M82" s="69">
        <f>IF(AND(ISNUMBER(tblY9[[#This Row],[Mean Stanine]]),ISNUMBER(tblY9[[#This Row],[Avg KS2 Band]])),tblY9[[#This Row],[Mean Stanine]]-tblY9[[#This Row],[Avg KS2 Band]],"")</f>
        <v>-0.25</v>
      </c>
      <c r="N82" s="66" t="n">
        <v>18</v>
      </c>
      <c r="O8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82" s="66" t="n">
        <v>22</v>
      </c>
      <c r="Q8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82" s="66" t="n">
        <v>20</v>
      </c>
      <c r="S8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82" s="66" t="n">
        <v>17</v>
      </c>
      <c r="U8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83">
      <c r="A83" s="65" t="inlineStr">
        <is>
          <t>X904891482649</t>
        </is>
      </c>
      <c r="B83" s="65" t="inlineStr">
        <is>
          <t>Okafor</t>
        </is>
      </c>
      <c r="C83" s="65" t="inlineStr">
        <is>
          <t>Dylan</t>
        </is>
      </c>
      <c r="D83" s="66" t="inlineStr">
        <is>
          <t>M</t>
        </is>
      </c>
      <c r="E83" s="66" t="inlineStr">
        <is>
          <t>N</t>
        </is>
      </c>
      <c r="F83" s="66" t="inlineStr">
        <is>
          <t>N</t>
        </is>
      </c>
      <c r="G83" s="34" t="n">
        <v>95.3</v>
      </c>
      <c r="H83" s="34" t="n">
        <v>120</v>
      </c>
      <c r="I83" s="67">
        <f>IF(ISNUMBER(tblY9[[#This Row],[Avg KS2]]),IFERROR(VLOOKUP(STANDARDIZE(tblY9[[#This Row],[Avg KS2]],AVERAGE(tblY9[[Avg KS2]]),_xlfn.STDEV.P(tblY9[[Avg KS2]])),_Stanine,2),5),"")</f>
        <v>9</v>
      </c>
      <c r="J83" s="66" t="inlineStr">
        <is>
          <t>9B/Sc2</t>
        </is>
      </c>
      <c r="K83" s="67">
        <f>IF(tblY9[[#This Row],[Preferred Last name]]="","",COUNTIFS($N$1:$ZZ$1,"*"&amp;CHAR(10)&amp;"Stanine",$N83:$ZZ83,"&gt;=1"))</f>
        <v>4</v>
      </c>
      <c r="L83" s="68">
        <f>IFERROR(AVERAGEIF($N$1:$ZZ$1,"*"&amp;CHAR(10)&amp;"Stanine",$N83:$ZZ83),"")</f>
        <v>8.25</v>
      </c>
      <c r="M83" s="69">
        <f>IF(AND(ISNUMBER(tblY9[[#This Row],[Mean Stanine]]),ISNUMBER(tblY9[[#This Row],[Avg KS2 Band]])),tblY9[[#This Row],[Mean Stanine]]-tblY9[[#This Row],[Avg KS2 Band]],"")</f>
        <v>-0.75</v>
      </c>
      <c r="N83" s="66" t="n">
        <v>27</v>
      </c>
      <c r="O8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9</v>
      </c>
      <c r="P83" s="66" t="n">
        <v>30</v>
      </c>
      <c r="Q8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83" s="66" t="n">
        <v>27</v>
      </c>
      <c r="S8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83" s="66" t="n">
        <v>24</v>
      </c>
      <c r="U8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84">
      <c r="A84" s="65" t="inlineStr">
        <is>
          <t>X909741904650</t>
        </is>
      </c>
      <c r="B84" s="65" t="inlineStr">
        <is>
          <t>Okafor</t>
        </is>
      </c>
      <c r="C84" s="65" t="inlineStr">
        <is>
          <t>Maisie</t>
        </is>
      </c>
      <c r="D84" s="66" t="inlineStr">
        <is>
          <t>M</t>
        </is>
      </c>
      <c r="E84" s="66" t="inlineStr">
        <is>
          <t>K</t>
        </is>
      </c>
      <c r="F84" s="66" t="inlineStr">
        <is>
          <t>N</t>
        </is>
      </c>
      <c r="G84" s="34" t="n">
        <v>83.5</v>
      </c>
      <c r="H84" s="34" t="n">
        <v>105</v>
      </c>
      <c r="I84" s="67">
        <f>IF(ISNUMBER(tblY9[[#This Row],[Avg KS2]]),IFERROR(VLOOKUP(STANDARDIZE(tblY9[[#This Row],[Avg KS2]],AVERAGE(tblY9[[Avg KS2]]),_xlfn.STDEV.P(tblY9[[Avg KS2]])),_Stanine,2),5),"")</f>
        <v>5</v>
      </c>
      <c r="J84" s="66" t="inlineStr">
        <is>
          <t>9A/Sc2</t>
        </is>
      </c>
      <c r="K84" s="67">
        <f>IF(tblY9[[#This Row],[Preferred Last name]]="","",COUNTIFS($N$1:$ZZ$1,"*"&amp;CHAR(10)&amp;"Stanine",$N84:$ZZ84,"&gt;=1"))</f>
        <v>4</v>
      </c>
      <c r="L84" s="68">
        <f>IFERROR(AVERAGEIF($N$1:$ZZ$1,"*"&amp;CHAR(10)&amp;"Stanine",$N84:$ZZ84),"")</f>
        <v>4.75</v>
      </c>
      <c r="M84" s="69">
        <f>IF(AND(ISNUMBER(tblY9[[#This Row],[Mean Stanine]]),ISNUMBER(tblY9[[#This Row],[Avg KS2 Band]])),tblY9[[#This Row],[Mean Stanine]]-tblY9[[#This Row],[Avg KS2 Band]],"")</f>
        <v>-0.25</v>
      </c>
      <c r="N84" s="66" t="n">
        <v>14</v>
      </c>
      <c r="O8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84" s="66" t="n">
        <v>21</v>
      </c>
      <c r="Q8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84" s="66" t="n">
        <v>19</v>
      </c>
      <c r="S8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84" s="66" t="n">
        <v>14</v>
      </c>
      <c r="U8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85">
      <c r="A85" s="65" t="inlineStr">
        <is>
          <t>X903089707833</t>
        </is>
      </c>
      <c r="B85" s="65" t="inlineStr">
        <is>
          <t>Parker</t>
        </is>
      </c>
      <c r="C85" s="65" t="inlineStr">
        <is>
          <t>Amelia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N</t>
        </is>
      </c>
      <c r="G85" s="34" t="n">
        <v>91.7</v>
      </c>
      <c r="H85" s="34" t="n">
        <v>109</v>
      </c>
      <c r="I85" s="67">
        <f>IF(ISNUMBER(tblY9[[#This Row],[Avg KS2]]),IFERROR(VLOOKUP(STANDARDIZE(tblY9[[#This Row],[Avg KS2]],AVERAGE(tblY9[[Avg KS2]]),_xlfn.STDEV.P(tblY9[[Avg KS2]])),_Stanine,2),5),"")</f>
        <v>6</v>
      </c>
      <c r="J85" s="66" t="inlineStr">
        <is>
          <t>9B/Sc2</t>
        </is>
      </c>
      <c r="K85" s="67">
        <f>IF(tblY9[[#This Row],[Preferred Last name]]="","",COUNTIFS($N$1:$ZZ$1,"*"&amp;CHAR(10)&amp;"Stanine",$N85:$ZZ85,"&gt;=1"))</f>
        <v>4</v>
      </c>
      <c r="L85" s="68">
        <f>IFERROR(AVERAGEIF($N$1:$ZZ$1,"*"&amp;CHAR(10)&amp;"Stanine",$N85:$ZZ85),"")</f>
        <v>5.75</v>
      </c>
      <c r="M85" s="69">
        <f>IF(AND(ISNUMBER(tblY9[[#This Row],[Mean Stanine]]),ISNUMBER(tblY9[[#This Row],[Avg KS2 Band]])),tblY9[[#This Row],[Mean Stanine]]-tblY9[[#This Row],[Avg KS2 Band]],"")</f>
        <v>-0.25</v>
      </c>
      <c r="N85" s="66" t="n">
        <v>16</v>
      </c>
      <c r="O8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85" s="66" t="n">
        <v>22</v>
      </c>
      <c r="Q8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85" s="66" t="n">
        <v>19</v>
      </c>
      <c r="S8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85" s="66" t="n">
        <v>20</v>
      </c>
      <c r="U8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86">
      <c r="A86" s="65" t="inlineStr">
        <is>
          <t>X905092095271</t>
        </is>
      </c>
      <c r="B86" s="65" t="inlineStr">
        <is>
          <t>Parker</t>
        </is>
      </c>
      <c r="C86" s="65" t="inlineStr">
        <is>
          <t>Callum</t>
        </is>
      </c>
      <c r="D86" s="66" t="inlineStr">
        <is>
          <t>M</t>
        </is>
      </c>
      <c r="E86" s="66" t="inlineStr">
        <is>
          <t>N</t>
        </is>
      </c>
      <c r="F86" s="66" t="inlineStr">
        <is>
          <t>N</t>
        </is>
      </c>
      <c r="G86" s="34" t="n">
        <v>96.09999999999999</v>
      </c>
      <c r="H86" s="34" t="n">
        <v>109</v>
      </c>
      <c r="I86" s="67">
        <f>IF(ISNUMBER(tblY9[[#This Row],[Avg KS2]]),IFERROR(VLOOKUP(STANDARDIZE(tblY9[[#This Row],[Avg KS2]],AVERAGE(tblY9[[Avg KS2]]),_xlfn.STDEV.P(tblY9[[Avg KS2]])),_Stanine,2),5),"")</f>
        <v>6</v>
      </c>
      <c r="J86" s="66" t="inlineStr">
        <is>
          <t>9B/Sc1</t>
        </is>
      </c>
      <c r="K86" s="67">
        <f>IF(tblY9[[#This Row],[Preferred Last name]]="","",COUNTIFS($N$1:$ZZ$1,"*"&amp;CHAR(10)&amp;"Stanine",$N86:$ZZ86,"&gt;=1"))</f>
        <v>4</v>
      </c>
      <c r="L86" s="68">
        <f>IFERROR(AVERAGEIF($N$1:$ZZ$1,"*"&amp;CHAR(10)&amp;"Stanine",$N86:$ZZ86),"")</f>
        <v>8</v>
      </c>
      <c r="M86" s="69">
        <f>IF(AND(ISNUMBER(tblY9[[#This Row],[Mean Stanine]]),ISNUMBER(tblY9[[#This Row],[Avg KS2 Band]])),tblY9[[#This Row],[Mean Stanine]]-tblY9[[#This Row],[Avg KS2 Band]],"")</f>
        <v>2</v>
      </c>
      <c r="N86" s="66" t="n">
        <v>25</v>
      </c>
      <c r="O8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86" s="66" t="n">
        <v>29</v>
      </c>
      <c r="Q8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86" s="66" t="n">
        <v>26</v>
      </c>
      <c r="S8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86" s="66" t="n">
        <v>22</v>
      </c>
      <c r="U8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87">
      <c r="A87" s="65" t="inlineStr">
        <is>
          <t>X908066422668</t>
        </is>
      </c>
      <c r="B87" s="65" t="inlineStr">
        <is>
          <t>Parker</t>
        </is>
      </c>
      <c r="C87" s="65" t="inlineStr">
        <is>
          <t>Lily</t>
        </is>
      </c>
      <c r="D87" s="66" t="inlineStr">
        <is>
          <t>F</t>
        </is>
      </c>
      <c r="E87" s="66" t="inlineStr">
        <is>
          <t>K</t>
        </is>
      </c>
      <c r="F87" s="66" t="inlineStr">
        <is>
          <t>N</t>
        </is>
      </c>
      <c r="G87" s="34" t="n">
        <v>100</v>
      </c>
      <c r="H87" s="34" t="n">
        <v>105</v>
      </c>
      <c r="I87" s="67">
        <f>IF(ISNUMBER(tblY9[[#This Row],[Avg KS2]]),IFERROR(VLOOKUP(STANDARDIZE(tblY9[[#This Row],[Avg KS2]],AVERAGE(tblY9[[Avg KS2]]),_xlfn.STDEV.P(tblY9[[Avg KS2]])),_Stanine,2),5),"")</f>
        <v>5</v>
      </c>
      <c r="J87" s="66" t="inlineStr">
        <is>
          <t>9A/Sc1</t>
        </is>
      </c>
      <c r="K87" s="67">
        <f>IF(tblY9[[#This Row],[Preferred Last name]]="","",COUNTIFS($N$1:$ZZ$1,"*"&amp;CHAR(10)&amp;"Stanine",$N87:$ZZ87,"&gt;=1"))</f>
        <v>4</v>
      </c>
      <c r="L87" s="68">
        <f>IFERROR(AVERAGEIF($N$1:$ZZ$1,"*"&amp;CHAR(10)&amp;"Stanine",$N87:$ZZ87),"")</f>
        <v>5.75</v>
      </c>
      <c r="M87" s="69">
        <f>IF(AND(ISNUMBER(tblY9[[#This Row],[Mean Stanine]]),ISNUMBER(tblY9[[#This Row],[Avg KS2 Band]])),tblY9[[#This Row],[Mean Stanine]]-tblY9[[#This Row],[Avg KS2 Band]],"")</f>
        <v>0.75</v>
      </c>
      <c r="N87" s="66" t="n">
        <v>18</v>
      </c>
      <c r="O8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87" s="66" t="n">
        <v>23</v>
      </c>
      <c r="Q8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87" s="66" t="n">
        <v>22</v>
      </c>
      <c r="S8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87" s="66" t="n">
        <v>15</v>
      </c>
      <c r="U8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88">
      <c r="A88" s="65" t="inlineStr">
        <is>
          <t>X905193861567</t>
        </is>
      </c>
      <c r="B88" s="65" t="inlineStr">
        <is>
          <t>Patel</t>
        </is>
      </c>
      <c r="C88" s="65" t="inlineStr">
        <is>
          <t>Kai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96.5</v>
      </c>
      <c r="H88" s="34" t="n">
        <v>97.5</v>
      </c>
      <c r="I88" s="67">
        <f>IF(ISNUMBER(tblY9[[#This Row],[Avg KS2]]),IFERROR(VLOOKUP(STANDARDIZE(tblY9[[#This Row],[Avg KS2]],AVERAGE(tblY9[[Avg KS2]]),_xlfn.STDEV.P(tblY9[[Avg KS2]])),_Stanine,2),5),"")</f>
        <v>2</v>
      </c>
      <c r="J88" s="66" t="inlineStr">
        <is>
          <t>9A/Sc3</t>
        </is>
      </c>
      <c r="K88" s="67">
        <f>IF(tblY9[[#This Row],[Preferred Last name]]="","",COUNTIFS($N$1:$ZZ$1,"*"&amp;CHAR(10)&amp;"Stanine",$N88:$ZZ88,"&gt;=1"))</f>
        <v>4</v>
      </c>
      <c r="L88" s="68">
        <f>IFERROR(AVERAGEIF($N$1:$ZZ$1,"*"&amp;CHAR(10)&amp;"Stanine",$N88:$ZZ88),"")</f>
        <v>1</v>
      </c>
      <c r="M88" s="69">
        <f>IF(AND(ISNUMBER(tblY9[[#This Row],[Mean Stanine]]),ISNUMBER(tblY9[[#This Row],[Avg KS2 Band]])),tblY9[[#This Row],[Mean Stanine]]-tblY9[[#This Row],[Avg KS2 Band]],"")</f>
        <v>-1</v>
      </c>
      <c r="N88" s="66" t="n">
        <v>4</v>
      </c>
      <c r="O8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1</v>
      </c>
      <c r="P88" s="66" t="n">
        <v>3</v>
      </c>
      <c r="Q8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1</v>
      </c>
      <c r="R88" s="66" t="n">
        <v>5</v>
      </c>
      <c r="S8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88" s="66" t="n">
        <v>4</v>
      </c>
      <c r="U8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1</v>
      </c>
    </row>
    <row r="89">
      <c r="A89" s="65" t="inlineStr">
        <is>
          <t>X905949347239</t>
        </is>
      </c>
      <c r="B89" s="65" t="inlineStr">
        <is>
          <t>Patel</t>
        </is>
      </c>
      <c r="C89" s="65" t="inlineStr">
        <is>
          <t>Leo</t>
        </is>
      </c>
      <c r="D89" s="66" t="inlineStr">
        <is>
          <t>M</t>
        </is>
      </c>
      <c r="E89" s="66" t="inlineStr">
        <is>
          <t>K</t>
        </is>
      </c>
      <c r="F89" s="66" t="inlineStr">
        <is>
          <t>Y</t>
        </is>
      </c>
      <c r="G89" s="34" t="n">
        <v>89.90000000000001</v>
      </c>
      <c r="H89" s="34" t="n">
        <v>108.5</v>
      </c>
      <c r="I89" s="67">
        <f>IF(ISNUMBER(tblY9[[#This Row],[Avg KS2]]),IFERROR(VLOOKUP(STANDARDIZE(tblY9[[#This Row],[Avg KS2]],AVERAGE(tblY9[[Avg KS2]]),_xlfn.STDEV.P(tblY9[[Avg KS2]])),_Stanine,2),5),"")</f>
        <v>6</v>
      </c>
      <c r="J89" s="66" t="inlineStr">
        <is>
          <t>9A/Sc1</t>
        </is>
      </c>
      <c r="K89" s="67">
        <f>IF(tblY9[[#This Row],[Preferred Last name]]="","",COUNTIFS($N$1:$ZZ$1,"*"&amp;CHAR(10)&amp;"Stanine",$N89:$ZZ89,"&gt;=1"))</f>
        <v>4</v>
      </c>
      <c r="L89" s="68">
        <f>IFERROR(AVERAGEIF($N$1:$ZZ$1,"*"&amp;CHAR(10)&amp;"Stanine",$N89:$ZZ89),"")</f>
        <v>7.5</v>
      </c>
      <c r="M89" s="69">
        <f>IF(AND(ISNUMBER(tblY9[[#This Row],[Mean Stanine]]),ISNUMBER(tblY9[[#This Row],[Avg KS2 Band]])),tblY9[[#This Row],[Mean Stanine]]-tblY9[[#This Row],[Avg KS2 Band]],"")</f>
        <v>1.5</v>
      </c>
      <c r="N89" s="66" t="n">
        <v>21</v>
      </c>
      <c r="O8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89" s="66" t="n">
        <v>26</v>
      </c>
      <c r="Q8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89" s="66" t="n">
        <v>26</v>
      </c>
      <c r="S8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89" s="66" t="n">
        <v>23</v>
      </c>
      <c r="U8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90">
      <c r="A90" s="65" t="inlineStr">
        <is>
          <t>X905394423968</t>
        </is>
      </c>
      <c r="B90" s="65" t="inlineStr">
        <is>
          <t>Patel</t>
        </is>
      </c>
      <c r="C90" s="65" t="inlineStr">
        <is>
          <t>Maya</t>
        </is>
      </c>
      <c r="D90" s="66" t="inlineStr">
        <is>
          <t>M</t>
        </is>
      </c>
      <c r="E90" s="66" t="n"/>
      <c r="F90" s="66" t="inlineStr">
        <is>
          <t>N</t>
        </is>
      </c>
      <c r="G90" s="34" t="n">
        <v>95.90000000000001</v>
      </c>
      <c r="H90" s="34" t="n">
        <v>111.5</v>
      </c>
      <c r="I90" s="67">
        <f>IF(ISNUMBER(tblY9[[#This Row],[Avg KS2]]),IFERROR(VLOOKUP(STANDARDIZE(tblY9[[#This Row],[Avg KS2]],AVERAGE(tblY9[[Avg KS2]]),_xlfn.STDEV.P(tblY9[[Avg KS2]])),_Stanine,2),5),"")</f>
        <v>7</v>
      </c>
      <c r="J90" s="66" t="inlineStr">
        <is>
          <t>9A/Sc3</t>
        </is>
      </c>
      <c r="K90" s="67">
        <f>IF(tblY9[[#This Row],[Preferred Last name]]="","",COUNTIFS($N$1:$ZZ$1,"*"&amp;CHAR(10)&amp;"Stanine",$N90:$ZZ90,"&gt;=1"))</f>
        <v>4</v>
      </c>
      <c r="L90" s="68">
        <f>IFERROR(AVERAGEIF($N$1:$ZZ$1,"*"&amp;CHAR(10)&amp;"Stanine",$N90:$ZZ90),"")</f>
        <v>5.75</v>
      </c>
      <c r="M90" s="69">
        <f>IF(AND(ISNUMBER(tblY9[[#This Row],[Mean Stanine]]),ISNUMBER(tblY9[[#This Row],[Avg KS2 Band]])),tblY9[[#This Row],[Mean Stanine]]-tblY9[[#This Row],[Avg KS2 Band]],"")</f>
        <v>-1.25</v>
      </c>
      <c r="N90" s="66" t="n">
        <v>16</v>
      </c>
      <c r="O9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90" s="66" t="n">
        <v>23</v>
      </c>
      <c r="Q9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90" s="66" t="n">
        <v>21</v>
      </c>
      <c r="S9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90" s="66" t="n">
        <v>19</v>
      </c>
      <c r="U9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91">
      <c r="A91" s="65" t="inlineStr">
        <is>
          <t>X904839548524</t>
        </is>
      </c>
      <c r="B91" s="65" t="inlineStr">
        <is>
          <t>Pearson</t>
        </is>
      </c>
      <c r="C91" s="65" t="inlineStr">
        <is>
          <t>Ella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94.2</v>
      </c>
      <c r="H91" s="34" t="n">
        <v>102.5</v>
      </c>
      <c r="I91" s="67">
        <f>IF(ISNUMBER(tblY9[[#This Row],[Avg KS2]]),IFERROR(VLOOKUP(STANDARDIZE(tblY9[[#This Row],[Avg KS2]],AVERAGE(tblY9[[Avg KS2]]),_xlfn.STDEV.P(tblY9[[Avg KS2]])),_Stanine,2),5),"")</f>
        <v>4</v>
      </c>
      <c r="J91" s="66" t="inlineStr">
        <is>
          <t>9A/Sc3</t>
        </is>
      </c>
      <c r="K91" s="67">
        <f>IF(tblY9[[#This Row],[Preferred Last name]]="","",COUNTIFS($N$1:$ZZ$1,"*"&amp;CHAR(10)&amp;"Stanine",$N91:$ZZ91,"&gt;=1"))</f>
        <v>4</v>
      </c>
      <c r="L91" s="68">
        <f>IFERROR(AVERAGEIF($N$1:$ZZ$1,"*"&amp;CHAR(10)&amp;"Stanine",$N91:$ZZ91),"")</f>
        <v>3</v>
      </c>
      <c r="M91" s="69">
        <f>IF(AND(ISNUMBER(tblY9[[#This Row],[Mean Stanine]]),ISNUMBER(tblY9[[#This Row],[Avg KS2 Band]])),tblY9[[#This Row],[Mean Stanine]]-tblY9[[#This Row],[Avg KS2 Band]],"")</f>
        <v>-1</v>
      </c>
      <c r="N91" s="66" t="n">
        <v>10</v>
      </c>
      <c r="O9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91" s="66" t="n">
        <v>15</v>
      </c>
      <c r="Q9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91" s="66" t="n">
        <v>11</v>
      </c>
      <c r="S9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91" s="66" t="n">
        <v>10</v>
      </c>
      <c r="U9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92">
      <c r="A92" s="65" t="inlineStr">
        <is>
          <t>X907170959157</t>
        </is>
      </c>
      <c r="B92" s="65" t="inlineStr">
        <is>
          <t>Pearson</t>
        </is>
      </c>
      <c r="C92" s="65" t="inlineStr">
        <is>
          <t>Mia</t>
        </is>
      </c>
      <c r="D92" s="66" t="inlineStr">
        <is>
          <t>F</t>
        </is>
      </c>
      <c r="E92" s="66" t="inlineStr">
        <is>
          <t>N</t>
        </is>
      </c>
      <c r="F92" s="66" t="inlineStr">
        <is>
          <t>N</t>
        </is>
      </c>
      <c r="G92" s="34" t="n">
        <v>93.5</v>
      </c>
      <c r="H92" s="34" t="n">
        <v>104</v>
      </c>
      <c r="I92" s="67">
        <f>IF(ISNUMBER(tblY9[[#This Row],[Avg KS2]]),IFERROR(VLOOKUP(STANDARDIZE(tblY9[[#This Row],[Avg KS2]],AVERAGE(tblY9[[Avg KS2]]),_xlfn.STDEV.P(tblY9[[Avg KS2]])),_Stanine,2),5),"")</f>
        <v>4</v>
      </c>
      <c r="J92" s="66" t="inlineStr">
        <is>
          <t>9A/Sc3</t>
        </is>
      </c>
      <c r="K92" s="67">
        <f>IF(tblY9[[#This Row],[Preferred Last name]]="","",COUNTIFS($N$1:$ZZ$1,"*"&amp;CHAR(10)&amp;"Stanine",$N92:$ZZ92,"&gt;=1"))</f>
        <v>4</v>
      </c>
      <c r="L92" s="68">
        <f>IFERROR(AVERAGEIF($N$1:$ZZ$1,"*"&amp;CHAR(10)&amp;"Stanine",$N92:$ZZ92),"")</f>
        <v>6.75</v>
      </c>
      <c r="M92" s="69">
        <f>IF(AND(ISNUMBER(tblY9[[#This Row],[Mean Stanine]]),ISNUMBER(tblY9[[#This Row],[Avg KS2 Band]])),tblY9[[#This Row],[Mean Stanine]]-tblY9[[#This Row],[Avg KS2 Band]],"")</f>
        <v>2.75</v>
      </c>
      <c r="N92" s="66" t="n">
        <v>23</v>
      </c>
      <c r="O9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92" s="66" t="n">
        <v>22</v>
      </c>
      <c r="Q9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92" s="66" t="n">
        <v>25</v>
      </c>
      <c r="S9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92" s="66" t="n">
        <v>21</v>
      </c>
      <c r="U9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93">
      <c r="A93" s="65" t="inlineStr">
        <is>
          <t>X906905402283</t>
        </is>
      </c>
      <c r="B93" s="65" t="inlineStr">
        <is>
          <t>Pearson</t>
        </is>
      </c>
      <c r="C93" s="65" t="inlineStr">
        <is>
          <t>Rhys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90.5</v>
      </c>
      <c r="H93" s="34" t="n">
        <v>106.5</v>
      </c>
      <c r="I93" s="67">
        <f>IF(ISNUMBER(tblY9[[#This Row],[Avg KS2]]),IFERROR(VLOOKUP(STANDARDIZE(tblY9[[#This Row],[Avg KS2]],AVERAGE(tblY9[[Avg KS2]]),_xlfn.STDEV.P(tblY9[[Avg KS2]])),_Stanine,2),5),"")</f>
        <v>5</v>
      </c>
      <c r="J93" s="66" t="inlineStr">
        <is>
          <t>9A/Sc2</t>
        </is>
      </c>
      <c r="K93" s="67">
        <f>IF(tblY9[[#This Row],[Preferred Last name]]="","",COUNTIFS($N$1:$ZZ$1,"*"&amp;CHAR(10)&amp;"Stanine",$N93:$ZZ93,"&gt;=1"))</f>
        <v>4</v>
      </c>
      <c r="L93" s="68">
        <f>IFERROR(AVERAGEIF($N$1:$ZZ$1,"*"&amp;CHAR(10)&amp;"Stanine",$N93:$ZZ93),"")</f>
        <v>3.25</v>
      </c>
      <c r="M93" s="69">
        <f>IF(AND(ISNUMBER(tblY9[[#This Row],[Mean Stanine]]),ISNUMBER(tblY9[[#This Row],[Avg KS2 Band]])),tblY9[[#This Row],[Mean Stanine]]-tblY9[[#This Row],[Avg KS2 Band]],"")</f>
        <v>-1.75</v>
      </c>
      <c r="N93" s="66" t="n">
        <v>11</v>
      </c>
      <c r="O9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3</v>
      </c>
      <c r="P93" s="66" t="n">
        <v>12</v>
      </c>
      <c r="Q9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93" s="66" t="n">
        <v>14</v>
      </c>
      <c r="S9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93" s="66" t="n">
        <v>13</v>
      </c>
      <c r="U9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94">
      <c r="A94" s="65" t="inlineStr">
        <is>
          <t>X908046441058</t>
        </is>
      </c>
      <c r="B94" s="65" t="inlineStr">
        <is>
          <t>Price</t>
        </is>
      </c>
      <c r="C94" s="65" t="inlineStr">
        <is>
          <t>Freya</t>
        </is>
      </c>
      <c r="D94" s="66" t="inlineStr">
        <is>
          <t>M</t>
        </is>
      </c>
      <c r="E94" s="66" t="inlineStr">
        <is>
          <t>K</t>
        </is>
      </c>
      <c r="F94" s="66" t="inlineStr">
        <is>
          <t>Y</t>
        </is>
      </c>
      <c r="G94" s="34" t="n">
        <v>92.59999999999999</v>
      </c>
      <c r="H94" s="34" t="n">
        <v>98.5</v>
      </c>
      <c r="I94" s="67">
        <f>IF(ISNUMBER(tblY9[[#This Row],[Avg KS2]]),IFERROR(VLOOKUP(STANDARDIZE(tblY9[[#This Row],[Avg KS2]],AVERAGE(tblY9[[Avg KS2]]),_xlfn.STDEV.P(tblY9[[Avg KS2]])),_Stanine,2),5),"")</f>
        <v>2</v>
      </c>
      <c r="J94" s="66" t="inlineStr">
        <is>
          <t>9B/Sc2</t>
        </is>
      </c>
      <c r="K94" s="67">
        <f>IF(tblY9[[#This Row],[Preferred Last name]]="","",COUNTIFS($N$1:$ZZ$1,"*"&amp;CHAR(10)&amp;"Stanine",$N94:$ZZ94,"&gt;=1"))</f>
        <v>4</v>
      </c>
      <c r="L94" s="68">
        <f>IFERROR(AVERAGEIF($N$1:$ZZ$1,"*"&amp;CHAR(10)&amp;"Stanine",$N94:$ZZ94),"")</f>
        <v>2.5</v>
      </c>
      <c r="M94" s="69">
        <f>IF(AND(ISNUMBER(tblY9[[#This Row],[Mean Stanine]]),ISNUMBER(tblY9[[#This Row],[Avg KS2 Band]])),tblY9[[#This Row],[Mean Stanine]]-tblY9[[#This Row],[Avg KS2 Band]],"")</f>
        <v>0.5</v>
      </c>
      <c r="N94" s="66" t="n">
        <v>8</v>
      </c>
      <c r="O9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94" s="66" t="n">
        <v>12</v>
      </c>
      <c r="Q9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94" s="66" t="n">
        <v>9</v>
      </c>
      <c r="S9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94" s="66" t="n">
        <v>12</v>
      </c>
      <c r="U9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95">
      <c r="A95" s="65" t="inlineStr">
        <is>
          <t>X902822804417</t>
        </is>
      </c>
      <c r="B95" s="65" t="inlineStr">
        <is>
          <t>Roberts</t>
        </is>
      </c>
      <c r="C95" s="65" t="inlineStr">
        <is>
          <t>Grace</t>
        </is>
      </c>
      <c r="D95" s="66" t="inlineStr">
        <is>
          <t>F</t>
        </is>
      </c>
      <c r="E95" s="66" t="inlineStr">
        <is>
          <t>N</t>
        </is>
      </c>
      <c r="F95" s="66" t="inlineStr">
        <is>
          <t>Y</t>
        </is>
      </c>
      <c r="G95" s="34" t="n">
        <v>96.40000000000001</v>
      </c>
      <c r="H95" s="34" t="n">
        <v>111.5</v>
      </c>
      <c r="I95" s="67">
        <f>IF(ISNUMBER(tblY9[[#This Row],[Avg KS2]]),IFERROR(VLOOKUP(STANDARDIZE(tblY9[[#This Row],[Avg KS2]],AVERAGE(tblY9[[Avg KS2]]),_xlfn.STDEV.P(tblY9[[Avg KS2]])),_Stanine,2),5),"")</f>
        <v>7</v>
      </c>
      <c r="J95" s="66" t="inlineStr">
        <is>
          <t>9B/Sc2</t>
        </is>
      </c>
      <c r="K95" s="67">
        <f>IF(tblY9[[#This Row],[Preferred Last name]]="","",COUNTIFS($N$1:$ZZ$1,"*"&amp;CHAR(10)&amp;"Stanine",$N95:$ZZ95,"&gt;=1"))</f>
        <v>4</v>
      </c>
      <c r="L95" s="68">
        <f>IFERROR(AVERAGEIF($N$1:$ZZ$1,"*"&amp;CHAR(10)&amp;"Stanine",$N95:$ZZ95),"")</f>
        <v>7.5</v>
      </c>
      <c r="M95" s="69">
        <f>IF(AND(ISNUMBER(tblY9[[#This Row],[Mean Stanine]]),ISNUMBER(tblY9[[#This Row],[Avg KS2 Band]])),tblY9[[#This Row],[Mean Stanine]]-tblY9[[#This Row],[Avg KS2 Band]],"")</f>
        <v>0.5</v>
      </c>
      <c r="N95" s="66" t="n">
        <v>22</v>
      </c>
      <c r="O9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95" s="66" t="n">
        <v>27</v>
      </c>
      <c r="Q9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95" s="66" t="n">
        <v>25</v>
      </c>
      <c r="S9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95" s="66" t="n">
        <v>22</v>
      </c>
      <c r="U9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96">
      <c r="A96" s="65" t="inlineStr">
        <is>
          <t>X909293448344</t>
        </is>
      </c>
      <c r="B96" s="65" t="inlineStr">
        <is>
          <t>Roberts</t>
        </is>
      </c>
      <c r="C96" s="65" t="inlineStr">
        <is>
          <t>Mia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Y</t>
        </is>
      </c>
      <c r="G96" s="34" t="n">
        <v>93.09999999999999</v>
      </c>
      <c r="H96" s="34" t="n">
        <v>107</v>
      </c>
      <c r="I96" s="67">
        <f>IF(ISNUMBER(tblY9[[#This Row],[Avg KS2]]),IFERROR(VLOOKUP(STANDARDIZE(tblY9[[#This Row],[Avg KS2]],AVERAGE(tblY9[[Avg KS2]]),_xlfn.STDEV.P(tblY9[[Avg KS2]])),_Stanine,2),5),"")</f>
        <v>5</v>
      </c>
      <c r="J96" s="66" t="inlineStr">
        <is>
          <t>9B/Sc2</t>
        </is>
      </c>
      <c r="K96" s="67">
        <f>IF(tblY9[[#This Row],[Preferred Last name]]="","",COUNTIFS($N$1:$ZZ$1,"*"&amp;CHAR(10)&amp;"Stanine",$N96:$ZZ96,"&gt;=1"))</f>
        <v>4</v>
      </c>
      <c r="L96" s="68">
        <f>IFERROR(AVERAGEIF($N$1:$ZZ$1,"*"&amp;CHAR(10)&amp;"Stanine",$N96:$ZZ96),"")</f>
        <v>4</v>
      </c>
      <c r="M96" s="69">
        <f>IF(AND(ISNUMBER(tblY9[[#This Row],[Mean Stanine]]),ISNUMBER(tblY9[[#This Row],[Avg KS2 Band]])),tblY9[[#This Row],[Mean Stanine]]-tblY9[[#This Row],[Avg KS2 Band]],"")</f>
        <v>-1</v>
      </c>
      <c r="N96" s="66" t="n">
        <v>14</v>
      </c>
      <c r="O9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96" s="66" t="n">
        <v>15</v>
      </c>
      <c r="Q9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96" s="66" t="n">
        <v>15</v>
      </c>
      <c r="S9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96" s="66" t="n">
        <v>13</v>
      </c>
      <c r="U9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97">
      <c r="A97" s="65" t="inlineStr">
        <is>
          <t>X902334948360</t>
        </is>
      </c>
      <c r="B97" s="65" t="inlineStr">
        <is>
          <t>Roberts</t>
        </is>
      </c>
      <c r="C97" s="65" t="inlineStr">
        <is>
          <t>Oliver</t>
        </is>
      </c>
      <c r="D97" s="66" t="inlineStr">
        <is>
          <t>M</t>
        </is>
      </c>
      <c r="E97" s="66" t="inlineStr">
        <is>
          <t>N</t>
        </is>
      </c>
      <c r="F97" s="66" t="inlineStr">
        <is>
          <t>Y</t>
        </is>
      </c>
      <c r="G97" s="34" t="n">
        <v>89</v>
      </c>
      <c r="H97" s="34" t="n">
        <v>101.5</v>
      </c>
      <c r="I97" s="67">
        <f>IF(ISNUMBER(tblY9[[#This Row],[Avg KS2]]),IFERROR(VLOOKUP(STANDARDIZE(tblY9[[#This Row],[Avg KS2]],AVERAGE(tblY9[[Avg KS2]]),_xlfn.STDEV.P(tblY9[[Avg KS2]])),_Stanine,2),5),"")</f>
        <v>3</v>
      </c>
      <c r="J97" s="66" t="inlineStr">
        <is>
          <t>9B/Sc2</t>
        </is>
      </c>
      <c r="K97" s="67">
        <f>IF(tblY9[[#This Row],[Preferred Last name]]="","",COUNTIFS($N$1:$ZZ$1,"*"&amp;CHAR(10)&amp;"Stanine",$N97:$ZZ97,"&gt;=1"))</f>
        <v>4</v>
      </c>
      <c r="L97" s="68">
        <f>IFERROR(AVERAGEIF($N$1:$ZZ$1,"*"&amp;CHAR(10)&amp;"Stanine",$N97:$ZZ97),"")</f>
        <v>3.25</v>
      </c>
      <c r="M97" s="69">
        <f>IF(AND(ISNUMBER(tblY9[[#This Row],[Mean Stanine]]),ISNUMBER(tblY9[[#This Row],[Avg KS2 Band]])),tblY9[[#This Row],[Mean Stanine]]-tblY9[[#This Row],[Avg KS2 Band]],"")</f>
        <v>0.25</v>
      </c>
      <c r="N97" s="66" t="n">
        <v>8</v>
      </c>
      <c r="O9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97" s="66" t="n">
        <v>14</v>
      </c>
      <c r="Q9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97" s="66" t="n">
        <v>14</v>
      </c>
      <c r="S9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97" s="66" t="n">
        <v>14</v>
      </c>
      <c r="U9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98">
      <c r="A98" s="65" t="inlineStr">
        <is>
          <t>X904630447161</t>
        </is>
      </c>
      <c r="B98" s="65" t="inlineStr">
        <is>
          <t>Robinson</t>
        </is>
      </c>
      <c r="C98" s="65" t="inlineStr">
        <is>
          <t>Alfie</t>
        </is>
      </c>
      <c r="D98" s="66" t="inlineStr">
        <is>
          <t>M</t>
        </is>
      </c>
      <c r="E98" s="66" t="inlineStr">
        <is>
          <t>N</t>
        </is>
      </c>
      <c r="F98" s="66" t="inlineStr">
        <is>
          <t>N</t>
        </is>
      </c>
      <c r="G98" s="34" t="n">
        <v>100</v>
      </c>
      <c r="H98" s="34" t="n">
        <v>101</v>
      </c>
      <c r="I98" s="67">
        <f>IF(ISNUMBER(tblY9[[#This Row],[Avg KS2]]),IFERROR(VLOOKUP(STANDARDIZE(tblY9[[#This Row],[Avg KS2]],AVERAGE(tblY9[[Avg KS2]]),_xlfn.STDEV.P(tblY9[[Avg KS2]])),_Stanine,2),5),"")</f>
        <v>3</v>
      </c>
      <c r="J98" s="66" t="inlineStr">
        <is>
          <t>9B/Sc1</t>
        </is>
      </c>
      <c r="K98" s="67">
        <f>IF(tblY9[[#This Row],[Preferred Last name]]="","",COUNTIFS($N$1:$ZZ$1,"*"&amp;CHAR(10)&amp;"Stanine",$N98:$ZZ98,"&gt;=1"))</f>
        <v>4</v>
      </c>
      <c r="L98" s="68">
        <f>IFERROR(AVERAGEIF($N$1:$ZZ$1,"*"&amp;CHAR(10)&amp;"Stanine",$N98:$ZZ98),"")</f>
        <v>5.75</v>
      </c>
      <c r="M98" s="69">
        <f>IF(AND(ISNUMBER(tblY9[[#This Row],[Mean Stanine]]),ISNUMBER(tblY9[[#This Row],[Avg KS2 Band]])),tblY9[[#This Row],[Mean Stanine]]-tblY9[[#This Row],[Avg KS2 Band]],"")</f>
        <v>2.75</v>
      </c>
      <c r="N98" s="66" t="n">
        <v>16</v>
      </c>
      <c r="O9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98" s="66" t="n">
        <v>21</v>
      </c>
      <c r="Q9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98" s="66" t="n">
        <v>19</v>
      </c>
      <c r="S9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98" s="66" t="n">
        <v>20</v>
      </c>
      <c r="U9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99">
      <c r="A99" s="65" t="inlineStr">
        <is>
          <t>X904928697409</t>
        </is>
      </c>
      <c r="B99" s="65" t="inlineStr">
        <is>
          <t>Robinson</t>
        </is>
      </c>
      <c r="C99" s="65" t="inlineStr">
        <is>
          <t>Finley</t>
        </is>
      </c>
      <c r="D99" s="66" t="inlineStr">
        <is>
          <t>M</t>
        </is>
      </c>
      <c r="E99" s="66" t="inlineStr">
        <is>
          <t>N</t>
        </is>
      </c>
      <c r="F99" s="66" t="inlineStr">
        <is>
          <t>N</t>
        </is>
      </c>
      <c r="G99" s="34" t="n">
        <v>89.5</v>
      </c>
      <c r="H99" s="34" t="n">
        <v>103</v>
      </c>
      <c r="I99" s="67">
        <f>IF(ISNUMBER(tblY9[[#This Row],[Avg KS2]]),IFERROR(VLOOKUP(STANDARDIZE(tblY9[[#This Row],[Avg KS2]],AVERAGE(tblY9[[Avg KS2]]),_xlfn.STDEV.P(tblY9[[Avg KS2]])),_Stanine,2),5),"")</f>
        <v>4</v>
      </c>
      <c r="J99" s="66" t="inlineStr">
        <is>
          <t>9B/Sc2</t>
        </is>
      </c>
      <c r="K99" s="67">
        <f>IF(tblY9[[#This Row],[Preferred Last name]]="","",COUNTIFS($N$1:$ZZ$1,"*"&amp;CHAR(10)&amp;"Stanine",$N99:$ZZ99,"&gt;=1"))</f>
        <v>4</v>
      </c>
      <c r="L99" s="68">
        <f>IFERROR(AVERAGEIF($N$1:$ZZ$1,"*"&amp;CHAR(10)&amp;"Stanine",$N99:$ZZ99),"")</f>
        <v>7.5</v>
      </c>
      <c r="M99" s="69">
        <f>IF(AND(ISNUMBER(tblY9[[#This Row],[Mean Stanine]]),ISNUMBER(tblY9[[#This Row],[Avg KS2 Band]])),tblY9[[#This Row],[Mean Stanine]]-tblY9[[#This Row],[Avg KS2 Band]],"")</f>
        <v>3.5</v>
      </c>
      <c r="N99" s="66" t="n">
        <v>25</v>
      </c>
      <c r="O9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99" s="66" t="n">
        <v>26</v>
      </c>
      <c r="Q9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99" s="66" t="n">
        <v>27</v>
      </c>
      <c r="S9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99" s="66" t="n">
        <v>20</v>
      </c>
      <c r="U9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00">
      <c r="A100" s="65" t="inlineStr">
        <is>
          <t>X906552820514</t>
        </is>
      </c>
      <c r="B100" s="65" t="inlineStr">
        <is>
          <t>Robinson</t>
        </is>
      </c>
      <c r="C100" s="65" t="inlineStr">
        <is>
          <t>Priya</t>
        </is>
      </c>
      <c r="D100" s="66" t="inlineStr">
        <is>
          <t>M</t>
        </is>
      </c>
      <c r="E100" s="66" t="inlineStr">
        <is>
          <t>N</t>
        </is>
      </c>
      <c r="F100" s="66" t="inlineStr">
        <is>
          <t>N</t>
        </is>
      </c>
      <c r="G100" s="34" t="n">
        <v>93.3</v>
      </c>
      <c r="H100" s="34" t="n">
        <v>103</v>
      </c>
      <c r="I100" s="67">
        <f>IF(ISNUMBER(tblY9[[#This Row],[Avg KS2]]),IFERROR(VLOOKUP(STANDARDIZE(tblY9[[#This Row],[Avg KS2]],AVERAGE(tblY9[[Avg KS2]]),_xlfn.STDEV.P(tblY9[[Avg KS2]])),_Stanine,2),5),"")</f>
        <v>4</v>
      </c>
      <c r="J100" s="66" t="inlineStr">
        <is>
          <t>9A/Sc1</t>
        </is>
      </c>
      <c r="K100" s="67">
        <f>IF(tblY9[[#This Row],[Preferred Last name]]="","",COUNTIFS($N$1:$ZZ$1,"*"&amp;CHAR(10)&amp;"Stanine",$N100:$ZZ100,"&gt;=1"))</f>
        <v>4</v>
      </c>
      <c r="L100" s="68">
        <f>IFERROR(AVERAGEIF($N$1:$ZZ$1,"*"&amp;CHAR(10)&amp;"Stanine",$N100:$ZZ100),"")</f>
        <v>5.75</v>
      </c>
      <c r="M100" s="69">
        <f>IF(AND(ISNUMBER(tblY9[[#This Row],[Mean Stanine]]),ISNUMBER(tblY9[[#This Row],[Avg KS2 Band]])),tblY9[[#This Row],[Mean Stanine]]-tblY9[[#This Row],[Avg KS2 Band]],"")</f>
        <v>1.75</v>
      </c>
      <c r="N100" s="66" t="n">
        <v>18</v>
      </c>
      <c r="O10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00" s="66" t="n">
        <v>26</v>
      </c>
      <c r="Q10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00" s="66" t="n">
        <v>20</v>
      </c>
      <c r="S10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100" s="66" t="n">
        <v>15</v>
      </c>
      <c r="U10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01">
      <c r="A101" s="65" t="inlineStr">
        <is>
          <t>X905093354938</t>
        </is>
      </c>
      <c r="B101" s="65" t="inlineStr">
        <is>
          <t>Shaw</t>
        </is>
      </c>
      <c r="C101" s="65" t="inlineStr">
        <is>
          <t>Aisha</t>
        </is>
      </c>
      <c r="D101" s="66" t="inlineStr">
        <is>
          <t>F</t>
        </is>
      </c>
      <c r="E101" s="66" t="inlineStr">
        <is>
          <t>K</t>
        </is>
      </c>
      <c r="F101" s="66" t="inlineStr">
        <is>
          <t>N</t>
        </is>
      </c>
      <c r="G101" s="34" t="n">
        <v>100</v>
      </c>
      <c r="H101" s="34" t="n">
        <v>101</v>
      </c>
      <c r="I101" s="67">
        <f>IF(ISNUMBER(tblY9[[#This Row],[Avg KS2]]),IFERROR(VLOOKUP(STANDARDIZE(tblY9[[#This Row],[Avg KS2]],AVERAGE(tblY9[[Avg KS2]]),_xlfn.STDEV.P(tblY9[[Avg KS2]])),_Stanine,2),5),"")</f>
        <v>3</v>
      </c>
      <c r="J101" s="66" t="inlineStr">
        <is>
          <t>9A/Sc3</t>
        </is>
      </c>
      <c r="K101" s="67">
        <f>IF(tblY9[[#This Row],[Preferred Last name]]="","",COUNTIFS($N$1:$ZZ$1,"*"&amp;CHAR(10)&amp;"Stanine",$N101:$ZZ101,"&gt;=1"))</f>
        <v>4</v>
      </c>
      <c r="L101" s="68">
        <f>IFERROR(AVERAGEIF($N$1:$ZZ$1,"*"&amp;CHAR(10)&amp;"Stanine",$N101:$ZZ101),"")</f>
        <v>2.75</v>
      </c>
      <c r="M101" s="69">
        <f>IF(AND(ISNUMBER(tblY9[[#This Row],[Mean Stanine]]),ISNUMBER(tblY9[[#This Row],[Avg KS2 Band]])),tblY9[[#This Row],[Mean Stanine]]-tblY9[[#This Row],[Avg KS2 Band]],"")</f>
        <v>-0.25</v>
      </c>
      <c r="N101" s="66" t="n">
        <v>7</v>
      </c>
      <c r="O10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101" s="66" t="n">
        <v>15</v>
      </c>
      <c r="Q10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101" s="66" t="n">
        <v>10</v>
      </c>
      <c r="S10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101" s="66" t="n">
        <v>12</v>
      </c>
      <c r="U10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02">
      <c r="A102" s="65" t="inlineStr">
        <is>
          <t>X901680767982</t>
        </is>
      </c>
      <c r="B102" s="65" t="inlineStr">
        <is>
          <t>Smith</t>
        </is>
      </c>
      <c r="C102" s="65" t="inlineStr">
        <is>
          <t>Chidi</t>
        </is>
      </c>
      <c r="D102" s="66" t="inlineStr">
        <is>
          <t>M</t>
        </is>
      </c>
      <c r="E102" s="66" t="inlineStr">
        <is>
          <t>N</t>
        </is>
      </c>
      <c r="F102" s="66" t="inlineStr">
        <is>
          <t>Y</t>
        </is>
      </c>
      <c r="G102" s="34" t="n">
        <v>99.3</v>
      </c>
      <c r="H102" s="34" t="n">
        <v>113</v>
      </c>
      <c r="I102" s="67">
        <f>IF(ISNUMBER(tblY9[[#This Row],[Avg KS2]]),IFERROR(VLOOKUP(STANDARDIZE(tblY9[[#This Row],[Avg KS2]],AVERAGE(tblY9[[Avg KS2]]),_xlfn.STDEV.P(tblY9[[Avg KS2]])),_Stanine,2),5),"")</f>
        <v>8</v>
      </c>
      <c r="J102" s="66" t="inlineStr">
        <is>
          <t>9A/Sc2</t>
        </is>
      </c>
      <c r="K102" s="67">
        <f>IF(tblY9[[#This Row],[Preferred Last name]]="","",COUNTIFS($N$1:$ZZ$1,"*"&amp;CHAR(10)&amp;"Stanine",$N102:$ZZ102,"&gt;=1"))</f>
        <v>4</v>
      </c>
      <c r="L102" s="68">
        <f>IFERROR(AVERAGEIF($N$1:$ZZ$1,"*"&amp;CHAR(10)&amp;"Stanine",$N102:$ZZ102),"")</f>
        <v>7.5</v>
      </c>
      <c r="M102" s="69">
        <f>IF(AND(ISNUMBER(tblY9[[#This Row],[Mean Stanine]]),ISNUMBER(tblY9[[#This Row],[Avg KS2 Band]])),tblY9[[#This Row],[Mean Stanine]]-tblY9[[#This Row],[Avg KS2 Band]],"")</f>
        <v>-0.5</v>
      </c>
      <c r="N102" s="66" t="n">
        <v>26</v>
      </c>
      <c r="O10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102" s="66" t="n">
        <v>26</v>
      </c>
      <c r="Q10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02" s="66" t="n">
        <v>25</v>
      </c>
      <c r="S10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02" s="66" t="n">
        <v>23</v>
      </c>
      <c r="U10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103">
      <c r="A103" s="65" t="inlineStr">
        <is>
          <t>X901929184481</t>
        </is>
      </c>
      <c r="B103" s="65" t="inlineStr">
        <is>
          <t>Smith</t>
        </is>
      </c>
      <c r="C103" s="65" t="inlineStr">
        <is>
          <t>Chidi</t>
        </is>
      </c>
      <c r="D103" s="66" t="inlineStr">
        <is>
          <t>F</t>
        </is>
      </c>
      <c r="E103" s="66" t="n"/>
      <c r="F103" s="66" t="inlineStr">
        <is>
          <t>Y</t>
        </is>
      </c>
      <c r="G103" s="34" t="n">
        <v>93.7</v>
      </c>
      <c r="H103" s="34" t="n">
        <v>110</v>
      </c>
      <c r="I103" s="67">
        <f>IF(ISNUMBER(tblY9[[#This Row],[Avg KS2]]),IFERROR(VLOOKUP(STANDARDIZE(tblY9[[#This Row],[Avg KS2]],AVERAGE(tblY9[[Avg KS2]]),_xlfn.STDEV.P(tblY9[[Avg KS2]])),_Stanine,2),5),"")</f>
        <v>7</v>
      </c>
      <c r="J103" s="66" t="inlineStr">
        <is>
          <t>9B/Sc2</t>
        </is>
      </c>
      <c r="K103" s="67">
        <f>IF(tblY9[[#This Row],[Preferred Last name]]="","",COUNTIFS($N$1:$ZZ$1,"*"&amp;CHAR(10)&amp;"Stanine",$N103:$ZZ103,"&gt;=1"))</f>
        <v>3</v>
      </c>
      <c r="L103" s="68">
        <f>IFERROR(AVERAGEIF($N$1:$ZZ$1,"*"&amp;CHAR(10)&amp;"Stanine",$N103:$ZZ103),"")</f>
        <v>6</v>
      </c>
      <c r="M103" s="69">
        <f>IF(AND(ISNUMBER(tblY9[[#This Row],[Mean Stanine]]),ISNUMBER(tblY9[[#This Row],[Avg KS2 Band]])),tblY9[[#This Row],[Mean Stanine]]-tblY9[[#This Row],[Avg KS2 Band]],"")</f>
        <v>-1</v>
      </c>
      <c r="N103" s="66" t="inlineStr">
        <is>
          <t>A</t>
        </is>
      </c>
      <c r="O103" s="67" t="str">
        <f>IF(ISNUMBER(tblY9[[#This Row],[9B01 - Genetics
Raw Score]]),IFERROR(VLOOKUP(STANDARDIZE(tblY9[[#This Row],[9B01 - Genetics
Raw Score]],AVERAGE(tblY9[[9B01 - Genetics
Raw Score]]),_xlfn.STDEV.P(tblY9[[9B01 - Genetics
Raw Score]])),_Stanine,2),5),"")</f>
        <v/>
      </c>
      <c r="P103" s="66" t="n">
        <v>23</v>
      </c>
      <c r="Q10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03" s="66" t="n">
        <v>20</v>
      </c>
      <c r="S10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103" s="66" t="n">
        <v>21</v>
      </c>
      <c r="U10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04">
      <c r="A104" s="65" t="inlineStr">
        <is>
          <t>X900368222821</t>
        </is>
      </c>
      <c r="B104" s="65" t="inlineStr">
        <is>
          <t>Smith</t>
        </is>
      </c>
      <c r="C104" s="65" t="inlineStr">
        <is>
          <t>Ella</t>
        </is>
      </c>
      <c r="D104" s="66" t="inlineStr">
        <is>
          <t>M</t>
        </is>
      </c>
      <c r="E104" s="66" t="inlineStr">
        <is>
          <t>K</t>
        </is>
      </c>
      <c r="F104" s="66" t="inlineStr">
        <is>
          <t>Y</t>
        </is>
      </c>
      <c r="G104" s="34" t="n">
        <v>98.3</v>
      </c>
      <c r="H104" s="34" t="n">
        <v>104</v>
      </c>
      <c r="I104" s="67">
        <f>IF(ISNUMBER(tblY9[[#This Row],[Avg KS2]]),IFERROR(VLOOKUP(STANDARDIZE(tblY9[[#This Row],[Avg KS2]],AVERAGE(tblY9[[Avg KS2]]),_xlfn.STDEV.P(tblY9[[Avg KS2]])),_Stanine,2),5),"")</f>
        <v>4</v>
      </c>
      <c r="J104" s="66" t="inlineStr">
        <is>
          <t>9A/Sc1</t>
        </is>
      </c>
      <c r="K104" s="67">
        <f>IF(tblY9[[#This Row],[Preferred Last name]]="","",COUNTIFS($N$1:$ZZ$1,"*"&amp;CHAR(10)&amp;"Stanine",$N104:$ZZ104,"&gt;=1"))</f>
        <v>4</v>
      </c>
      <c r="L104" s="68">
        <f>IFERROR(AVERAGEIF($N$1:$ZZ$1,"*"&amp;CHAR(10)&amp;"Stanine",$N104:$ZZ104),"")</f>
        <v>4.5</v>
      </c>
      <c r="M104" s="69">
        <f>IF(AND(ISNUMBER(tblY9[[#This Row],[Mean Stanine]]),ISNUMBER(tblY9[[#This Row],[Avg KS2 Band]])),tblY9[[#This Row],[Mean Stanine]]-tblY9[[#This Row],[Avg KS2 Band]],"")</f>
        <v>0.5</v>
      </c>
      <c r="N104" s="66" t="n">
        <v>14</v>
      </c>
      <c r="O10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04" s="66" t="n">
        <v>18</v>
      </c>
      <c r="Q10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104" s="66" t="n">
        <v>17</v>
      </c>
      <c r="S10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104" s="66" t="n">
        <v>16</v>
      </c>
      <c r="U10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05">
      <c r="A105" s="65" t="inlineStr">
        <is>
          <t>X903885354467</t>
        </is>
      </c>
      <c r="B105" s="65" t="inlineStr">
        <is>
          <t>Smith</t>
        </is>
      </c>
      <c r="C105" s="65" t="inlineStr">
        <is>
          <t>Priya</t>
        </is>
      </c>
      <c r="D105" s="66" t="inlineStr">
        <is>
          <t>M</t>
        </is>
      </c>
      <c r="E105" s="66" t="n"/>
      <c r="F105" s="66" t="inlineStr">
        <is>
          <t>N</t>
        </is>
      </c>
      <c r="G105" s="34" t="n">
        <v>89</v>
      </c>
      <c r="H105" s="34" t="n">
        <v>106</v>
      </c>
      <c r="I105" s="67">
        <f>IF(ISNUMBER(tblY9[[#This Row],[Avg KS2]]),IFERROR(VLOOKUP(STANDARDIZE(tblY9[[#This Row],[Avg KS2]],AVERAGE(tblY9[[Avg KS2]]),_xlfn.STDEV.P(tblY9[[Avg KS2]])),_Stanine,2),5),"")</f>
        <v>5</v>
      </c>
      <c r="J105" s="66" t="inlineStr">
        <is>
          <t>9B/Sc1</t>
        </is>
      </c>
      <c r="K105" s="67">
        <f>IF(tblY9[[#This Row],[Preferred Last name]]="","",COUNTIFS($N$1:$ZZ$1,"*"&amp;CHAR(10)&amp;"Stanine",$N105:$ZZ105,"&gt;=1"))</f>
        <v>4</v>
      </c>
      <c r="L105" s="68">
        <f>IFERROR(AVERAGEIF($N$1:$ZZ$1,"*"&amp;CHAR(10)&amp;"Stanine",$N105:$ZZ105),"")</f>
        <v>5.75</v>
      </c>
      <c r="M105" s="69">
        <f>IF(AND(ISNUMBER(tblY9[[#This Row],[Mean Stanine]]),ISNUMBER(tblY9[[#This Row],[Avg KS2 Band]])),tblY9[[#This Row],[Mean Stanine]]-tblY9[[#This Row],[Avg KS2 Band]],"")</f>
        <v>0.75</v>
      </c>
      <c r="N105" s="66" t="n">
        <v>19</v>
      </c>
      <c r="O10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05" s="66" t="n">
        <v>19</v>
      </c>
      <c r="Q10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105" s="66" t="n">
        <v>22</v>
      </c>
      <c r="S10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05" s="66" t="n">
        <v>17</v>
      </c>
      <c r="U10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06">
      <c r="A106" s="65" t="inlineStr">
        <is>
          <t>X905723001969</t>
        </is>
      </c>
      <c r="B106" s="65" t="inlineStr">
        <is>
          <t>Smith</t>
        </is>
      </c>
      <c r="C106" s="65" t="inlineStr">
        <is>
          <t>Rosie</t>
        </is>
      </c>
      <c r="D106" s="66" t="inlineStr">
        <is>
          <t>F</t>
        </is>
      </c>
      <c r="E106" s="66" t="inlineStr">
        <is>
          <t>N</t>
        </is>
      </c>
      <c r="F106" s="66" t="inlineStr">
        <is>
          <t>Y</t>
        </is>
      </c>
      <c r="G106" s="34" t="n">
        <v>92.8</v>
      </c>
      <c r="H106" s="34" t="n">
        <v>106.5</v>
      </c>
      <c r="I106" s="67">
        <f>IF(ISNUMBER(tblY9[[#This Row],[Avg KS2]]),IFERROR(VLOOKUP(STANDARDIZE(tblY9[[#This Row],[Avg KS2]],AVERAGE(tblY9[[Avg KS2]]),_xlfn.STDEV.P(tblY9[[Avg KS2]])),_Stanine,2),5),"")</f>
        <v>5</v>
      </c>
      <c r="J106" s="66" t="inlineStr">
        <is>
          <t>9A/Sc1</t>
        </is>
      </c>
      <c r="K106" s="67">
        <f>IF(tblY9[[#This Row],[Preferred Last name]]="","",COUNTIFS($N$1:$ZZ$1,"*"&amp;CHAR(10)&amp;"Stanine",$N106:$ZZ106,"&gt;=1"))</f>
        <v>3</v>
      </c>
      <c r="L106" s="68">
        <f>IFERROR(AVERAGEIF($N$1:$ZZ$1,"*"&amp;CHAR(10)&amp;"Stanine",$N106:$ZZ106),"")</f>
        <v>7.66666666666667</v>
      </c>
      <c r="M106" s="69">
        <f>IF(AND(ISNUMBER(tblY9[[#This Row],[Mean Stanine]]),ISNUMBER(tblY9[[#This Row],[Avg KS2 Band]])),tblY9[[#This Row],[Mean Stanine]]-tblY9[[#This Row],[Avg KS2 Band]],"")</f>
        <v>2.66666666666667</v>
      </c>
      <c r="N106" s="66" t="n">
        <v>25</v>
      </c>
      <c r="O10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8</v>
      </c>
      <c r="P106" s="66" t="inlineStr">
        <is>
          <t>A</t>
        </is>
      </c>
      <c r="Q106" s="67" t="str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/>
      </c>
      <c r="R106" s="66" t="n">
        <v>26</v>
      </c>
      <c r="S10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106" s="66" t="n">
        <v>20</v>
      </c>
      <c r="U10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07">
      <c r="A107" s="65" t="inlineStr">
        <is>
          <t>X909357137995</t>
        </is>
      </c>
      <c r="B107" s="65" t="inlineStr">
        <is>
          <t>Smith</t>
        </is>
      </c>
      <c r="C107" s="65" t="inlineStr">
        <is>
          <t>Theo</t>
        </is>
      </c>
      <c r="D107" s="66" t="inlineStr">
        <is>
          <t>M</t>
        </is>
      </c>
      <c r="E107" s="66" t="n"/>
      <c r="F107" s="66" t="inlineStr">
        <is>
          <t>N</t>
        </is>
      </c>
      <c r="G107" s="34" t="n">
        <v>100</v>
      </c>
      <c r="H107" s="34" t="n">
        <v>103</v>
      </c>
      <c r="I107" s="67">
        <f>IF(ISNUMBER(tblY9[[#This Row],[Avg KS2]]),IFERROR(VLOOKUP(STANDARDIZE(tblY9[[#This Row],[Avg KS2]],AVERAGE(tblY9[[Avg KS2]]),_xlfn.STDEV.P(tblY9[[Avg KS2]])),_Stanine,2),5),"")</f>
        <v>4</v>
      </c>
      <c r="J107" s="66" t="inlineStr">
        <is>
          <t>9B/Sc2</t>
        </is>
      </c>
      <c r="K107" s="67">
        <f>IF(tblY9[[#This Row],[Preferred Last name]]="","",COUNTIFS($N$1:$ZZ$1,"*"&amp;CHAR(10)&amp;"Stanine",$N107:$ZZ107,"&gt;=1"))</f>
        <v>4</v>
      </c>
      <c r="L107" s="68">
        <f>IFERROR(AVERAGEIF($N$1:$ZZ$1,"*"&amp;CHAR(10)&amp;"Stanine",$N107:$ZZ107),"")</f>
        <v>5.75</v>
      </c>
      <c r="M107" s="69">
        <f>IF(AND(ISNUMBER(tblY9[[#This Row],[Mean Stanine]]),ISNUMBER(tblY9[[#This Row],[Avg KS2 Band]])),tblY9[[#This Row],[Mean Stanine]]-tblY9[[#This Row],[Avg KS2 Band]],"")</f>
        <v>1.75</v>
      </c>
      <c r="N107" s="66" t="n">
        <v>14</v>
      </c>
      <c r="O10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07" s="66" t="n">
        <v>23</v>
      </c>
      <c r="Q10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07" s="66" t="n">
        <v>23</v>
      </c>
      <c r="S10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07" s="66" t="n">
        <v>18</v>
      </c>
      <c r="U10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08">
      <c r="A108" s="65" t="inlineStr">
        <is>
          <t>X907426621409</t>
        </is>
      </c>
      <c r="B108" s="65" t="inlineStr">
        <is>
          <t>Taylor</t>
        </is>
      </c>
      <c r="C108" s="65" t="inlineStr">
        <is>
          <t>Alfie</t>
        </is>
      </c>
      <c r="D108" s="66" t="inlineStr">
        <is>
          <t>F</t>
        </is>
      </c>
      <c r="E108" s="66" t="inlineStr">
        <is>
          <t>N</t>
        </is>
      </c>
      <c r="F108" s="66" t="inlineStr">
        <is>
          <t>N</t>
        </is>
      </c>
      <c r="G108" s="34" t="n">
        <v>89.09999999999999</v>
      </c>
      <c r="H108" s="34" t="n">
        <v>104.5</v>
      </c>
      <c r="I108" s="67">
        <f>IF(ISNUMBER(tblY9[[#This Row],[Avg KS2]]),IFERROR(VLOOKUP(STANDARDIZE(tblY9[[#This Row],[Avg KS2]],AVERAGE(tblY9[[Avg KS2]]),_xlfn.STDEV.P(tblY9[[Avg KS2]])),_Stanine,2),5),"")</f>
        <v>5</v>
      </c>
      <c r="J108" s="66" t="inlineStr">
        <is>
          <t>9A/Sc2</t>
        </is>
      </c>
      <c r="K108" s="67">
        <f>IF(tblY9[[#This Row],[Preferred Last name]]="","",COUNTIFS($N$1:$ZZ$1,"*"&amp;CHAR(10)&amp;"Stanine",$N108:$ZZ108,"&gt;=1"))</f>
        <v>4</v>
      </c>
      <c r="L108" s="68">
        <f>IFERROR(AVERAGEIF($N$1:$ZZ$1,"*"&amp;CHAR(10)&amp;"Stanine",$N108:$ZZ108),"")</f>
        <v>3.25</v>
      </c>
      <c r="M108" s="69">
        <f>IF(AND(ISNUMBER(tblY9[[#This Row],[Mean Stanine]]),ISNUMBER(tblY9[[#This Row],[Avg KS2 Band]])),tblY9[[#This Row],[Mean Stanine]]-tblY9[[#This Row],[Avg KS2 Band]],"")</f>
        <v>-1.75</v>
      </c>
      <c r="N108" s="66" t="n">
        <v>14</v>
      </c>
      <c r="O10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08" s="66" t="n">
        <v>11</v>
      </c>
      <c r="Q10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108" s="66" t="n">
        <v>14</v>
      </c>
      <c r="S10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108" s="66" t="n">
        <v>11</v>
      </c>
      <c r="U10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09">
      <c r="A109" s="65" t="inlineStr">
        <is>
          <t>X904880224151</t>
        </is>
      </c>
      <c r="B109" s="65" t="inlineStr">
        <is>
          <t>Taylor</t>
        </is>
      </c>
      <c r="C109" s="65" t="inlineStr">
        <is>
          <t>Chidi</t>
        </is>
      </c>
      <c r="D109" s="66" t="inlineStr">
        <is>
          <t>F</t>
        </is>
      </c>
      <c r="E109" s="66" t="inlineStr">
        <is>
          <t>N</t>
        </is>
      </c>
      <c r="F109" s="66" t="inlineStr">
        <is>
          <t>N</t>
        </is>
      </c>
      <c r="G109" s="34" t="n">
        <v>100</v>
      </c>
      <c r="H109" s="34" t="n">
        <v>106.5</v>
      </c>
      <c r="I109" s="67">
        <f>IF(ISNUMBER(tblY9[[#This Row],[Avg KS2]]),IFERROR(VLOOKUP(STANDARDIZE(tblY9[[#This Row],[Avg KS2]],AVERAGE(tblY9[[Avg KS2]]),_xlfn.STDEV.P(tblY9[[Avg KS2]])),_Stanine,2),5),"")</f>
        <v>5</v>
      </c>
      <c r="J109" s="66" t="inlineStr">
        <is>
          <t>9A/Sc1</t>
        </is>
      </c>
      <c r="K109" s="67">
        <f>IF(tblY9[[#This Row],[Preferred Last name]]="","",COUNTIFS($N$1:$ZZ$1,"*"&amp;CHAR(10)&amp;"Stanine",$N109:$ZZ109,"&gt;=1"))</f>
        <v>4</v>
      </c>
      <c r="L109" s="68">
        <f>IFERROR(AVERAGEIF($N$1:$ZZ$1,"*"&amp;CHAR(10)&amp;"Stanine",$N109:$ZZ109),"")</f>
        <v>6</v>
      </c>
      <c r="M109" s="69">
        <f>IF(AND(ISNUMBER(tblY9[[#This Row],[Mean Stanine]]),ISNUMBER(tblY9[[#This Row],[Avg KS2 Band]])),tblY9[[#This Row],[Mean Stanine]]-tblY9[[#This Row],[Avg KS2 Band]],"")</f>
        <v>1</v>
      </c>
      <c r="N109" s="66" t="n">
        <v>17</v>
      </c>
      <c r="O10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109" s="66" t="n">
        <v>23</v>
      </c>
      <c r="Q10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09" s="66" t="n">
        <v>23</v>
      </c>
      <c r="S10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09" s="66" t="n">
        <v>18</v>
      </c>
      <c r="U10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10">
      <c r="A110" s="65" t="inlineStr">
        <is>
          <t>X901091806533</t>
        </is>
      </c>
      <c r="B110" s="65" t="inlineStr">
        <is>
          <t>Thompson</t>
        </is>
      </c>
      <c r="C110" s="65" t="inlineStr">
        <is>
          <t>Evie</t>
        </is>
      </c>
      <c r="D110" s="66" t="inlineStr">
        <is>
          <t>M</t>
        </is>
      </c>
      <c r="E110" s="66" t="inlineStr">
        <is>
          <t>N</t>
        </is>
      </c>
      <c r="F110" s="66" t="inlineStr">
        <is>
          <t>N</t>
        </is>
      </c>
      <c r="G110" s="34" t="n">
        <v>87.8</v>
      </c>
      <c r="H110" s="34" t="n">
        <v>103.5</v>
      </c>
      <c r="I110" s="67">
        <f>IF(ISNUMBER(tblY9[[#This Row],[Avg KS2]]),IFERROR(VLOOKUP(STANDARDIZE(tblY9[[#This Row],[Avg KS2]],AVERAGE(tblY9[[Avg KS2]]),_xlfn.STDEV.P(tblY9[[Avg KS2]])),_Stanine,2),5),"")</f>
        <v>4</v>
      </c>
      <c r="J110" s="66" t="inlineStr">
        <is>
          <t>9B/Sc2</t>
        </is>
      </c>
      <c r="K110" s="67">
        <f>IF(tblY9[[#This Row],[Preferred Last name]]="","",COUNTIFS($N$1:$ZZ$1,"*"&amp;CHAR(10)&amp;"Stanine",$N110:$ZZ110,"&gt;=1"))</f>
        <v>4</v>
      </c>
      <c r="L110" s="68">
        <f>IFERROR(AVERAGEIF($N$1:$ZZ$1,"*"&amp;CHAR(10)&amp;"Stanine",$N110:$ZZ110),"")</f>
        <v>2.75</v>
      </c>
      <c r="M110" s="69">
        <f>IF(AND(ISNUMBER(tblY9[[#This Row],[Mean Stanine]]),ISNUMBER(tblY9[[#This Row],[Avg KS2 Band]])),tblY9[[#This Row],[Mean Stanine]]-tblY9[[#This Row],[Avg KS2 Band]],"")</f>
        <v>-1.25</v>
      </c>
      <c r="N110" s="66" t="n">
        <v>6</v>
      </c>
      <c r="O11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110" s="66" t="n">
        <v>12</v>
      </c>
      <c r="Q11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3</v>
      </c>
      <c r="R110" s="66" t="n">
        <v>11</v>
      </c>
      <c r="S11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2</v>
      </c>
      <c r="T110" s="66" t="n">
        <v>14</v>
      </c>
      <c r="U11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111">
      <c r="A111" s="65" t="inlineStr">
        <is>
          <t>X908227033958</t>
        </is>
      </c>
      <c r="B111" s="65" t="inlineStr">
        <is>
          <t>Thompson</t>
        </is>
      </c>
      <c r="C111" s="65" t="inlineStr">
        <is>
          <t>Rhys</t>
        </is>
      </c>
      <c r="D111" s="66" t="inlineStr">
        <is>
          <t>M</t>
        </is>
      </c>
      <c r="E111" s="66" t="n"/>
      <c r="F111" s="66" t="inlineStr">
        <is>
          <t>N</t>
        </is>
      </c>
      <c r="G111" s="34" t="n">
        <v>86.2</v>
      </c>
      <c r="H111" s="34" t="n">
        <v>102.5</v>
      </c>
      <c r="I111" s="67">
        <f>IF(ISNUMBER(tblY9[[#This Row],[Avg KS2]]),IFERROR(VLOOKUP(STANDARDIZE(tblY9[[#This Row],[Avg KS2]],AVERAGE(tblY9[[Avg KS2]]),_xlfn.STDEV.P(tblY9[[Avg KS2]])),_Stanine,2),5),"")</f>
        <v>4</v>
      </c>
      <c r="J111" s="66" t="inlineStr">
        <is>
          <t>9B/Sc2</t>
        </is>
      </c>
      <c r="K111" s="67">
        <f>IF(tblY9[[#This Row],[Preferred Last name]]="","",COUNTIFS($N$1:$ZZ$1,"*"&amp;CHAR(10)&amp;"Stanine",$N111:$ZZ111,"&gt;=1"))</f>
        <v>4</v>
      </c>
      <c r="L111" s="68">
        <f>IFERROR(AVERAGEIF($N$1:$ZZ$1,"*"&amp;CHAR(10)&amp;"Stanine",$N111:$ZZ111),"")</f>
        <v>5</v>
      </c>
      <c r="M111" s="69">
        <f>IF(AND(ISNUMBER(tblY9[[#This Row],[Mean Stanine]]),ISNUMBER(tblY9[[#This Row],[Avg KS2 Band]])),tblY9[[#This Row],[Mean Stanine]]-tblY9[[#This Row],[Avg KS2 Band]],"")</f>
        <v>1</v>
      </c>
      <c r="N111" s="66" t="n">
        <v>17</v>
      </c>
      <c r="O11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111" s="66" t="n">
        <v>19</v>
      </c>
      <c r="Q11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5</v>
      </c>
      <c r="R111" s="66" t="n">
        <v>20</v>
      </c>
      <c r="S11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111" s="66" t="n">
        <v>16</v>
      </c>
      <c r="U111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12">
      <c r="A112" s="65" t="inlineStr">
        <is>
          <t>X906408392619</t>
        </is>
      </c>
      <c r="B112" s="65" t="inlineStr">
        <is>
          <t>Turner</t>
        </is>
      </c>
      <c r="C112" s="65" t="inlineStr">
        <is>
          <t>Jack</t>
        </is>
      </c>
      <c r="D112" s="66" t="inlineStr">
        <is>
          <t>F</t>
        </is>
      </c>
      <c r="E112" s="66" t="n"/>
      <c r="F112" s="66" t="inlineStr">
        <is>
          <t>N</t>
        </is>
      </c>
      <c r="G112" s="34" t="n">
        <v>91.3</v>
      </c>
      <c r="H112" s="34" t="n">
        <v>111</v>
      </c>
      <c r="I112" s="67">
        <f>IF(ISNUMBER(tblY9[[#This Row],[Avg KS2]]),IFERROR(VLOOKUP(STANDARDIZE(tblY9[[#This Row],[Avg KS2]],AVERAGE(tblY9[[Avg KS2]]),_xlfn.STDEV.P(tblY9[[Avg KS2]])),_Stanine,2),5),"")</f>
        <v>7</v>
      </c>
      <c r="J112" s="66" t="inlineStr">
        <is>
          <t>9B/Sc1</t>
        </is>
      </c>
      <c r="K112" s="67">
        <f>IF(tblY9[[#This Row],[Preferred Last name]]="","",COUNTIFS($N$1:$ZZ$1,"*"&amp;CHAR(10)&amp;"Stanine",$N112:$ZZ112,"&gt;=1"))</f>
        <v>4</v>
      </c>
      <c r="L112" s="68">
        <f>IFERROR(AVERAGEIF($N$1:$ZZ$1,"*"&amp;CHAR(10)&amp;"Stanine",$N112:$ZZ112),"")</f>
        <v>5.5</v>
      </c>
      <c r="M112" s="69">
        <f>IF(AND(ISNUMBER(tblY9[[#This Row],[Mean Stanine]]),ISNUMBER(tblY9[[#This Row],[Avg KS2 Band]])),tblY9[[#This Row],[Mean Stanine]]-tblY9[[#This Row],[Avg KS2 Band]],"")</f>
        <v>-1.5</v>
      </c>
      <c r="N112" s="66" t="n">
        <v>18</v>
      </c>
      <c r="O11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12" s="66" t="n">
        <v>21</v>
      </c>
      <c r="Q11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12" s="66" t="n">
        <v>16</v>
      </c>
      <c r="S11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112" s="66" t="n">
        <v>19</v>
      </c>
      <c r="U11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13">
      <c r="A113" s="65" t="inlineStr">
        <is>
          <t>X909143324942</t>
        </is>
      </c>
      <c r="B113" s="65" t="inlineStr">
        <is>
          <t>Walker</t>
        </is>
      </c>
      <c r="C113" s="65" t="inlineStr">
        <is>
          <t>Maya</t>
        </is>
      </c>
      <c r="D113" s="66" t="inlineStr">
        <is>
          <t>F</t>
        </is>
      </c>
      <c r="E113" s="66" t="inlineStr">
        <is>
          <t>K</t>
        </is>
      </c>
      <c r="F113" s="66" t="inlineStr">
        <is>
          <t>N</t>
        </is>
      </c>
      <c r="G113" s="34" t="n">
        <v>99.8</v>
      </c>
      <c r="H113" s="34" t="n">
        <v>106</v>
      </c>
      <c r="I113" s="67">
        <f>IF(ISNUMBER(tblY9[[#This Row],[Avg KS2]]),IFERROR(VLOOKUP(STANDARDIZE(tblY9[[#This Row],[Avg KS2]],AVERAGE(tblY9[[Avg KS2]]),_xlfn.STDEV.P(tblY9[[Avg KS2]])),_Stanine,2),5),"")</f>
        <v>5</v>
      </c>
      <c r="J113" s="66" t="inlineStr">
        <is>
          <t>9A/Sc2</t>
        </is>
      </c>
      <c r="K113" s="67">
        <f>IF(tblY9[[#This Row],[Preferred Last name]]="","",COUNTIFS($N$1:$ZZ$1,"*"&amp;CHAR(10)&amp;"Stanine",$N113:$ZZ113,"&gt;=1"))</f>
        <v>3</v>
      </c>
      <c r="L113" s="68">
        <f>IFERROR(AVERAGEIF($N$1:$ZZ$1,"*"&amp;CHAR(10)&amp;"Stanine",$N113:$ZZ113),"")</f>
        <v>4.66666666666667</v>
      </c>
      <c r="M113" s="69">
        <f>IF(AND(ISNUMBER(tblY9[[#This Row],[Mean Stanine]]),ISNUMBER(tblY9[[#This Row],[Avg KS2 Band]])),tblY9[[#This Row],[Mean Stanine]]-tblY9[[#This Row],[Avg KS2 Band]],"")</f>
        <v>-0.333333333333333</v>
      </c>
      <c r="N113" s="66" t="n">
        <v>16</v>
      </c>
      <c r="O11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5</v>
      </c>
      <c r="P113" s="66" t="inlineStr">
        <is>
          <t>A</t>
        </is>
      </c>
      <c r="Q113" s="67" t="str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/>
      </c>
      <c r="R113" s="66" t="n">
        <v>16</v>
      </c>
      <c r="S11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4</v>
      </c>
      <c r="T113" s="66" t="n">
        <v>15</v>
      </c>
      <c r="U11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14">
      <c r="A114" s="65" t="inlineStr">
        <is>
          <t>X902717263355</t>
        </is>
      </c>
      <c r="B114" s="65" t="inlineStr">
        <is>
          <t>Walker</t>
        </is>
      </c>
      <c r="C114" s="65" t="inlineStr">
        <is>
          <t>Zara</t>
        </is>
      </c>
      <c r="D114" s="66" t="inlineStr">
        <is>
          <t>M</t>
        </is>
      </c>
      <c r="E114" s="66" t="inlineStr">
        <is>
          <t>K</t>
        </is>
      </c>
      <c r="F114" s="66" t="inlineStr">
        <is>
          <t>N</t>
        </is>
      </c>
      <c r="G114" s="34" t="n">
        <v>94.40000000000001</v>
      </c>
      <c r="H114" s="34" t="n">
        <v>115.5</v>
      </c>
      <c r="I114" s="67">
        <f>IF(ISNUMBER(tblY9[[#This Row],[Avg KS2]]),IFERROR(VLOOKUP(STANDARDIZE(tblY9[[#This Row],[Avg KS2]],AVERAGE(tblY9[[Avg KS2]]),_xlfn.STDEV.P(tblY9[[Avg KS2]])),_Stanine,2),5),"")</f>
        <v>9</v>
      </c>
      <c r="J114" s="66" t="inlineStr">
        <is>
          <t>9A/Sc1</t>
        </is>
      </c>
      <c r="K114" s="67">
        <f>IF(tblY9[[#This Row],[Preferred Last name]]="","",COUNTIFS($N$1:$ZZ$1,"*"&amp;CHAR(10)&amp;"Stanine",$N114:$ZZ114,"&gt;=1"))</f>
        <v>4</v>
      </c>
      <c r="L114" s="68">
        <f>IFERROR(AVERAGEIF($N$1:$ZZ$1,"*"&amp;CHAR(10)&amp;"Stanine",$N114:$ZZ114),"")</f>
        <v>8.25</v>
      </c>
      <c r="M114" s="69">
        <f>IF(AND(ISNUMBER(tblY9[[#This Row],[Mean Stanine]]),ISNUMBER(tblY9[[#This Row],[Avg KS2 Band]])),tblY9[[#This Row],[Mean Stanine]]-tblY9[[#This Row],[Avg KS2 Band]],"")</f>
        <v>-0.75</v>
      </c>
      <c r="N114" s="66" t="n">
        <v>27</v>
      </c>
      <c r="O11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9</v>
      </c>
      <c r="P114" s="66" t="n">
        <v>29</v>
      </c>
      <c r="Q11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114" s="66" t="n">
        <v>26</v>
      </c>
      <c r="S11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8</v>
      </c>
      <c r="T114" s="66" t="n">
        <v>23</v>
      </c>
      <c r="U11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115">
      <c r="A115" s="65" t="inlineStr">
        <is>
          <t>X900370769259</t>
        </is>
      </c>
      <c r="B115" s="65" t="inlineStr">
        <is>
          <t>Ward</t>
        </is>
      </c>
      <c r="C115" s="65" t="inlineStr">
        <is>
          <t>George</t>
        </is>
      </c>
      <c r="D115" s="66" t="inlineStr">
        <is>
          <t>F</t>
        </is>
      </c>
      <c r="E115" s="66" t="inlineStr">
        <is>
          <t>N</t>
        </is>
      </c>
      <c r="F115" s="66" t="inlineStr">
        <is>
          <t>N</t>
        </is>
      </c>
      <c r="G115" s="34" t="n">
        <v>100</v>
      </c>
      <c r="H115" s="34" t="n">
        <v>107.5</v>
      </c>
      <c r="I115" s="67">
        <f>IF(ISNUMBER(tblY9[[#This Row],[Avg KS2]]),IFERROR(VLOOKUP(STANDARDIZE(tblY9[[#This Row],[Avg KS2]],AVERAGE(tblY9[[Avg KS2]]),_xlfn.STDEV.P(tblY9[[Avg KS2]])),_Stanine,2),5),"")</f>
        <v>6</v>
      </c>
      <c r="J115" s="66" t="inlineStr">
        <is>
          <t>9B/Sc1</t>
        </is>
      </c>
      <c r="K115" s="67">
        <f>IF(tblY9[[#This Row],[Preferred Last name]]="","",COUNTIFS($N$1:$ZZ$1,"*"&amp;CHAR(10)&amp;"Stanine",$N115:$ZZ115,"&gt;=1"))</f>
        <v>4</v>
      </c>
      <c r="L115" s="68">
        <f>IFERROR(AVERAGEIF($N$1:$ZZ$1,"*"&amp;CHAR(10)&amp;"Stanine",$N115:$ZZ115),"")</f>
        <v>7</v>
      </c>
      <c r="M115" s="69">
        <f>IF(AND(ISNUMBER(tblY9[[#This Row],[Mean Stanine]]),ISNUMBER(tblY9[[#This Row],[Avg KS2 Band]])),tblY9[[#This Row],[Mean Stanine]]-tblY9[[#This Row],[Avg KS2 Band]],"")</f>
        <v>1</v>
      </c>
      <c r="N115" s="66" t="n">
        <v>22</v>
      </c>
      <c r="O11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115" s="66" t="n">
        <v>28</v>
      </c>
      <c r="Q11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8</v>
      </c>
      <c r="R115" s="66" t="n">
        <v>21</v>
      </c>
      <c r="S11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15" s="66" t="n">
        <v>20</v>
      </c>
      <c r="U11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16">
      <c r="A116" s="65" t="inlineStr">
        <is>
          <t>X902450906402</t>
        </is>
      </c>
      <c r="B116" s="65" t="inlineStr">
        <is>
          <t>Ward</t>
        </is>
      </c>
      <c r="C116" s="65" t="inlineStr">
        <is>
          <t>Isla</t>
        </is>
      </c>
      <c r="D116" s="66" t="inlineStr">
        <is>
          <t>M</t>
        </is>
      </c>
      <c r="E116" s="66" t="n"/>
      <c r="F116" s="66" t="inlineStr">
        <is>
          <t>N</t>
        </is>
      </c>
      <c r="G116" s="34" t="n">
        <v>95.09999999999999</v>
      </c>
      <c r="H116" s="34" t="n">
        <v>104.5</v>
      </c>
      <c r="I116" s="67">
        <f>IF(ISNUMBER(tblY9[[#This Row],[Avg KS2]]),IFERROR(VLOOKUP(STANDARDIZE(tblY9[[#This Row],[Avg KS2]],AVERAGE(tblY9[[Avg KS2]]),_xlfn.STDEV.P(tblY9[[Avg KS2]])),_Stanine,2),5),"")</f>
        <v>5</v>
      </c>
      <c r="J116" s="66" t="inlineStr">
        <is>
          <t>9B/Sc2</t>
        </is>
      </c>
      <c r="K116" s="67">
        <f>IF(tblY9[[#This Row],[Preferred Last name]]="","",COUNTIFS($N$1:$ZZ$1,"*"&amp;CHAR(10)&amp;"Stanine",$N116:$ZZ116,"&gt;=1"))</f>
        <v>4</v>
      </c>
      <c r="L116" s="68">
        <f>IFERROR(AVERAGEIF($N$1:$ZZ$1,"*"&amp;CHAR(10)&amp;"Stanine",$N116:$ZZ116),"")</f>
        <v>3</v>
      </c>
      <c r="M116" s="69">
        <f>IF(AND(ISNUMBER(tblY9[[#This Row],[Mean Stanine]]),ISNUMBER(tblY9[[#This Row],[Avg KS2 Band]])),tblY9[[#This Row],[Mean Stanine]]-tblY9[[#This Row],[Avg KS2 Band]],"")</f>
        <v>-2</v>
      </c>
      <c r="N116" s="66" t="n">
        <v>12</v>
      </c>
      <c r="O11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16" s="66" t="n">
        <v>10</v>
      </c>
      <c r="Q11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116" s="66" t="n">
        <v>13</v>
      </c>
      <c r="S11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116" s="66" t="n">
        <v>12</v>
      </c>
      <c r="U11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17">
      <c r="A117" s="65" t="inlineStr">
        <is>
          <t>X900866592899</t>
        </is>
      </c>
      <c r="B117" s="65" t="inlineStr">
        <is>
          <t>Ward</t>
        </is>
      </c>
      <c r="C117" s="65" t="inlineStr">
        <is>
          <t>Megan</t>
        </is>
      </c>
      <c r="D117" s="66" t="inlineStr">
        <is>
          <t>F</t>
        </is>
      </c>
      <c r="E117" s="66" t="n"/>
      <c r="F117" s="66" t="inlineStr">
        <is>
          <t>Y</t>
        </is>
      </c>
      <c r="G117" s="34" t="n">
        <v>96.2</v>
      </c>
      <c r="H117" s="34" t="n">
        <v>111.5</v>
      </c>
      <c r="I117" s="67">
        <f>IF(ISNUMBER(tblY9[[#This Row],[Avg KS2]]),IFERROR(VLOOKUP(STANDARDIZE(tblY9[[#This Row],[Avg KS2]],AVERAGE(tblY9[[Avg KS2]]),_xlfn.STDEV.P(tblY9[[Avg KS2]])),_Stanine,2),5),"")</f>
        <v>7</v>
      </c>
      <c r="J117" s="66" t="inlineStr">
        <is>
          <t>9B/Sc1</t>
        </is>
      </c>
      <c r="K117" s="67">
        <f>IF(tblY9[[#This Row],[Preferred Last name]]="","",COUNTIFS($N$1:$ZZ$1,"*"&amp;CHAR(10)&amp;"Stanine",$N117:$ZZ117,"&gt;=1"))</f>
        <v>4</v>
      </c>
      <c r="L117" s="68">
        <f>IFERROR(AVERAGEIF($N$1:$ZZ$1,"*"&amp;CHAR(10)&amp;"Stanine",$N117:$ZZ117),"")</f>
        <v>5.5</v>
      </c>
      <c r="M117" s="69">
        <f>IF(AND(ISNUMBER(tblY9[[#This Row],[Mean Stanine]]),ISNUMBER(tblY9[[#This Row],[Avg KS2 Band]])),tblY9[[#This Row],[Mean Stanine]]-tblY9[[#This Row],[Avg KS2 Band]],"")</f>
        <v>-1.5</v>
      </c>
      <c r="N117" s="66" t="n">
        <v>22</v>
      </c>
      <c r="O117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117" s="66" t="n">
        <v>16</v>
      </c>
      <c r="Q117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117" s="66" t="n">
        <v>19</v>
      </c>
      <c r="S117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5</v>
      </c>
      <c r="T117" s="66" t="n">
        <v>18</v>
      </c>
      <c r="U117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18">
      <c r="A118" s="65" t="inlineStr">
        <is>
          <t>X901733432334</t>
        </is>
      </c>
      <c r="B118" s="65" t="inlineStr">
        <is>
          <t>White</t>
        </is>
      </c>
      <c r="C118" s="65" t="inlineStr">
        <is>
          <t>Harry</t>
        </is>
      </c>
      <c r="D118" s="66" t="inlineStr">
        <is>
          <t>M</t>
        </is>
      </c>
      <c r="E118" s="66" t="inlineStr">
        <is>
          <t>N</t>
        </is>
      </c>
      <c r="F118" s="66" t="inlineStr">
        <is>
          <t>Y</t>
        </is>
      </c>
      <c r="G118" s="34" t="n">
        <v>99.2</v>
      </c>
      <c r="H118" s="34" t="n">
        <v>104</v>
      </c>
      <c r="I118" s="67">
        <f>IF(ISNUMBER(tblY9[[#This Row],[Avg KS2]]),IFERROR(VLOOKUP(STANDARDIZE(tblY9[[#This Row],[Avg KS2]],AVERAGE(tblY9[[Avg KS2]]),_xlfn.STDEV.P(tblY9[[Avg KS2]])),_Stanine,2),5),"")</f>
        <v>4</v>
      </c>
      <c r="J118" s="66" t="inlineStr">
        <is>
          <t>9A/Sc2</t>
        </is>
      </c>
      <c r="K118" s="67">
        <f>IF(tblY9[[#This Row],[Preferred Last name]]="","",COUNTIFS($N$1:$ZZ$1,"*"&amp;CHAR(10)&amp;"Stanine",$N118:$ZZ118,"&gt;=1"))</f>
        <v>4</v>
      </c>
      <c r="L118" s="68">
        <f>IFERROR(AVERAGEIF($N$1:$ZZ$1,"*"&amp;CHAR(10)&amp;"Stanine",$N118:$ZZ118),"")</f>
        <v>3</v>
      </c>
      <c r="M118" s="69">
        <f>IF(AND(ISNUMBER(tblY9[[#This Row],[Mean Stanine]]),ISNUMBER(tblY9[[#This Row],[Avg KS2 Band]])),tblY9[[#This Row],[Mean Stanine]]-tblY9[[#This Row],[Avg KS2 Band]],"")</f>
        <v>-1</v>
      </c>
      <c r="N118" s="66" t="n">
        <v>12</v>
      </c>
      <c r="O118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4</v>
      </c>
      <c r="P118" s="66" t="n">
        <v>9</v>
      </c>
      <c r="Q118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118" s="66" t="n">
        <v>12</v>
      </c>
      <c r="S118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3</v>
      </c>
      <c r="T118" s="66" t="n">
        <v>12</v>
      </c>
      <c r="U118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3</v>
      </c>
    </row>
    <row r="119">
      <c r="A119" s="65" t="inlineStr">
        <is>
          <t>X907363381242</t>
        </is>
      </c>
      <c r="B119" s="65" t="inlineStr">
        <is>
          <t>White</t>
        </is>
      </c>
      <c r="C119" s="65" t="inlineStr">
        <is>
          <t>Oscar</t>
        </is>
      </c>
      <c r="D119" s="66" t="inlineStr">
        <is>
          <t>M</t>
        </is>
      </c>
      <c r="E119" s="66" t="inlineStr">
        <is>
          <t>K</t>
        </is>
      </c>
      <c r="F119" s="66" t="inlineStr">
        <is>
          <t>N</t>
        </is>
      </c>
      <c r="G119" s="34" t="n">
        <v>100</v>
      </c>
      <c r="H119" s="34" t="n">
        <v>108.5</v>
      </c>
      <c r="I119" s="67">
        <f>IF(ISNUMBER(tblY9[[#This Row],[Avg KS2]]),IFERROR(VLOOKUP(STANDARDIZE(tblY9[[#This Row],[Avg KS2]],AVERAGE(tblY9[[Avg KS2]]),_xlfn.STDEV.P(tblY9[[Avg KS2]])),_Stanine,2),5),"")</f>
        <v>6</v>
      </c>
      <c r="J119" s="66" t="inlineStr">
        <is>
          <t>9A/Sc3</t>
        </is>
      </c>
      <c r="K119" s="67">
        <f>IF(tblY9[[#This Row],[Preferred Last name]]="","",COUNTIFS($N$1:$ZZ$1,"*"&amp;CHAR(10)&amp;"Stanine",$N119:$ZZ119,"&gt;=1"))</f>
        <v>4</v>
      </c>
      <c r="L119" s="68">
        <f>IFERROR(AVERAGEIF($N$1:$ZZ$1,"*"&amp;CHAR(10)&amp;"Stanine",$N119:$ZZ119),"")</f>
        <v>7</v>
      </c>
      <c r="M119" s="69">
        <f>IF(AND(ISNUMBER(tblY9[[#This Row],[Mean Stanine]]),ISNUMBER(tblY9[[#This Row],[Avg KS2 Band]])),tblY9[[#This Row],[Mean Stanine]]-tblY9[[#This Row],[Avg KS2 Band]],"")</f>
        <v>1</v>
      </c>
      <c r="N119" s="66" t="n">
        <v>21</v>
      </c>
      <c r="O119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119" s="66" t="n">
        <v>26</v>
      </c>
      <c r="Q119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19" s="66" t="n">
        <v>24</v>
      </c>
      <c r="S119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19" s="66" t="n">
        <v>21</v>
      </c>
      <c r="U119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20">
      <c r="A120" s="65" t="inlineStr">
        <is>
          <t>X907633246226</t>
        </is>
      </c>
      <c r="B120" s="65" t="inlineStr">
        <is>
          <t>Williams</t>
        </is>
      </c>
      <c r="C120" s="65" t="inlineStr">
        <is>
          <t>Amelia</t>
        </is>
      </c>
      <c r="D120" s="66" t="inlineStr">
        <is>
          <t>F</t>
        </is>
      </c>
      <c r="E120" s="66" t="n"/>
      <c r="F120" s="66" t="inlineStr">
        <is>
          <t>N</t>
        </is>
      </c>
      <c r="G120" s="34" t="n">
        <v>97</v>
      </c>
      <c r="H120" s="34" t="n">
        <v>107</v>
      </c>
      <c r="I120" s="67">
        <f>IF(ISNUMBER(tblY9[[#This Row],[Avg KS2]]),IFERROR(VLOOKUP(STANDARDIZE(tblY9[[#This Row],[Avg KS2]],AVERAGE(tblY9[[Avg KS2]]),_xlfn.STDEV.P(tblY9[[Avg KS2]])),_Stanine,2),5),"")</f>
        <v>5</v>
      </c>
      <c r="J120" s="66" t="inlineStr">
        <is>
          <t>9A/Sc1</t>
        </is>
      </c>
      <c r="K120" s="67">
        <f>IF(tblY9[[#This Row],[Preferred Last name]]="","",COUNTIFS($N$1:$ZZ$1,"*"&amp;CHAR(10)&amp;"Stanine",$N120:$ZZ120,"&gt;=1"))</f>
        <v>4</v>
      </c>
      <c r="L120" s="68">
        <f>IFERROR(AVERAGEIF($N$1:$ZZ$1,"*"&amp;CHAR(10)&amp;"Stanine",$N120:$ZZ120),"")</f>
        <v>5</v>
      </c>
      <c r="M120" s="69">
        <f>IF(AND(ISNUMBER(tblY9[[#This Row],[Mean Stanine]]),ISNUMBER(tblY9[[#This Row],[Avg KS2 Band]])),tblY9[[#This Row],[Mean Stanine]]-tblY9[[#This Row],[Avg KS2 Band]],"")</f>
        <v>0</v>
      </c>
      <c r="N120" s="66" t="n">
        <v>18</v>
      </c>
      <c r="O120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20" s="66" t="n">
        <v>14</v>
      </c>
      <c r="Q120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4</v>
      </c>
      <c r="R120" s="66" t="n">
        <v>22</v>
      </c>
      <c r="S120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20" s="66" t="n">
        <v>13</v>
      </c>
      <c r="U120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4</v>
      </c>
    </row>
    <row r="121">
      <c r="A121" s="65" t="inlineStr">
        <is>
          <t>X903148662897</t>
        </is>
      </c>
      <c r="B121" s="65" t="inlineStr">
        <is>
          <t>Williams</t>
        </is>
      </c>
      <c r="C121" s="65" t="inlineStr">
        <is>
          <t>Arthur</t>
        </is>
      </c>
      <c r="D121" s="66" t="inlineStr">
        <is>
          <t>M</t>
        </is>
      </c>
      <c r="E121" s="66" t="inlineStr">
        <is>
          <t>N</t>
        </is>
      </c>
      <c r="F121" s="66" t="inlineStr">
        <is>
          <t>N</t>
        </is>
      </c>
      <c r="G121" s="34" t="n">
        <v>100</v>
      </c>
      <c r="H121" s="34" t="n">
        <v>111</v>
      </c>
      <c r="I121" s="67">
        <f>IF(ISNUMBER(tblY9[[#This Row],[Avg KS2]]),IFERROR(VLOOKUP(STANDARDIZE(tblY9[[#This Row],[Avg KS2]],AVERAGE(tblY9[[Avg KS2]]),_xlfn.STDEV.P(tblY9[[Avg KS2]])),_Stanine,2),5),"")</f>
        <v>7</v>
      </c>
      <c r="J121" s="66" t="inlineStr">
        <is>
          <t>9B/Sc1</t>
        </is>
      </c>
      <c r="K121" s="67">
        <f>IF(tblY9[[#This Row],[Preferred Last name]]="","",COUNTIFS($N$1:$ZZ$1,"*"&amp;CHAR(10)&amp;"Stanine",$N121:$ZZ121,"&gt;=1"))</f>
        <v>3</v>
      </c>
      <c r="L121" s="68">
        <f>IFERROR(AVERAGEIF($N$1:$ZZ$1,"*"&amp;CHAR(10)&amp;"Stanine",$N121:$ZZ121),"")</f>
        <v>6.66666666666667</v>
      </c>
      <c r="M121" s="69">
        <f>IF(AND(ISNUMBER(tblY9[[#This Row],[Mean Stanine]]),ISNUMBER(tblY9[[#This Row],[Avg KS2 Band]])),tblY9[[#This Row],[Mean Stanine]]-tblY9[[#This Row],[Avg KS2 Band]],"")</f>
        <v>-0.333333333333333</v>
      </c>
      <c r="N121" s="66" t="n">
        <v>20</v>
      </c>
      <c r="O121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21" s="66" t="n">
        <v>25</v>
      </c>
      <c r="Q121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21" s="66" t="n">
        <v>23</v>
      </c>
      <c r="S121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21" s="66" t="inlineStr">
        <is>
          <t>A</t>
        </is>
      </c>
      <c r="U121" s="67" t="str">
        <f>IF(ISNUMBER(tblY9[[#This Row],[9B02 - Ecology
Raw Score]]),IFERROR(VLOOKUP(STANDARDIZE(tblY9[[#This Row],[9B02 - Ecology
Raw Score]],AVERAGE(tblY9[[9B02 - Ecology
Raw Score]]),_xlfn.STDEV.P(tblY9[[9B02 - Ecology
Raw Score]])),_Stanine,2),5),"")</f>
        <v/>
      </c>
    </row>
    <row r="122">
      <c r="A122" s="65" t="inlineStr">
        <is>
          <t>X905108894055</t>
        </is>
      </c>
      <c r="B122" s="65" t="inlineStr">
        <is>
          <t>Williams</t>
        </is>
      </c>
      <c r="C122" s="65" t="inlineStr">
        <is>
          <t>Chidi</t>
        </is>
      </c>
      <c r="D122" s="66" t="inlineStr">
        <is>
          <t>F</t>
        </is>
      </c>
      <c r="E122" s="66" t="inlineStr">
        <is>
          <t>N</t>
        </is>
      </c>
      <c r="F122" s="66" t="inlineStr">
        <is>
          <t>Y</t>
        </is>
      </c>
      <c r="G122" s="34" t="n">
        <v>89</v>
      </c>
      <c r="H122" s="34" t="n">
        <v>107</v>
      </c>
      <c r="I122" s="67">
        <f>IF(ISNUMBER(tblY9[[#This Row],[Avg KS2]]),IFERROR(VLOOKUP(STANDARDIZE(tblY9[[#This Row],[Avg KS2]],AVERAGE(tblY9[[Avg KS2]]),_xlfn.STDEV.P(tblY9[[Avg KS2]])),_Stanine,2),5),"")</f>
        <v>5</v>
      </c>
      <c r="J122" s="66" t="inlineStr">
        <is>
          <t>9A/Sc1</t>
        </is>
      </c>
      <c r="K122" s="67">
        <f>IF(tblY9[[#This Row],[Preferred Last name]]="","",COUNTIFS($N$1:$ZZ$1,"*"&amp;CHAR(10)&amp;"Stanine",$N122:$ZZ122,"&gt;=1"))</f>
        <v>4</v>
      </c>
      <c r="L122" s="68">
        <f>IFERROR(AVERAGEIF($N$1:$ZZ$1,"*"&amp;CHAR(10)&amp;"Stanine",$N122:$ZZ122),"")</f>
        <v>6</v>
      </c>
      <c r="M122" s="69">
        <f>IF(AND(ISNUMBER(tblY9[[#This Row],[Mean Stanine]]),ISNUMBER(tblY9[[#This Row],[Avg KS2 Band]])),tblY9[[#This Row],[Mean Stanine]]-tblY9[[#This Row],[Avg KS2 Band]],"")</f>
        <v>1</v>
      </c>
      <c r="N122" s="66" t="n">
        <v>18</v>
      </c>
      <c r="O122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22" s="66" t="n">
        <v>23</v>
      </c>
      <c r="Q122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22" s="66" t="n">
        <v>22</v>
      </c>
      <c r="S122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22" s="66" t="n">
        <v>18</v>
      </c>
      <c r="U122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6</v>
      </c>
    </row>
    <row r="123">
      <c r="A123" s="65" t="inlineStr">
        <is>
          <t>X902776841035</t>
        </is>
      </c>
      <c r="B123" s="65" t="inlineStr">
        <is>
          <t>Williams</t>
        </is>
      </c>
      <c r="C123" s="65" t="inlineStr">
        <is>
          <t>Ibrahim</t>
        </is>
      </c>
      <c r="D123" s="66" t="inlineStr">
        <is>
          <t>M</t>
        </is>
      </c>
      <c r="E123" s="66" t="inlineStr">
        <is>
          <t>N</t>
        </is>
      </c>
      <c r="F123" s="66" t="inlineStr">
        <is>
          <t>Y</t>
        </is>
      </c>
      <c r="G123" s="34" t="n">
        <v>86</v>
      </c>
      <c r="H123" s="34" t="n">
        <v>110</v>
      </c>
      <c r="I123" s="67">
        <f>IF(ISNUMBER(tblY9[[#This Row],[Avg KS2]]),IFERROR(VLOOKUP(STANDARDIZE(tblY9[[#This Row],[Avg KS2]],AVERAGE(tblY9[[Avg KS2]]),_xlfn.STDEV.P(tblY9[[Avg KS2]])),_Stanine,2),5),"")</f>
        <v>7</v>
      </c>
      <c r="J123" s="66" t="inlineStr">
        <is>
          <t>9B/Sc2</t>
        </is>
      </c>
      <c r="K123" s="67">
        <f>IF(tblY9[[#This Row],[Preferred Last name]]="","",COUNTIFS($N$1:$ZZ$1,"*"&amp;CHAR(10)&amp;"Stanine",$N123:$ZZ123,"&gt;=1"))</f>
        <v>4</v>
      </c>
      <c r="L123" s="68">
        <f>IFERROR(AVERAGEIF($N$1:$ZZ$1,"*"&amp;CHAR(10)&amp;"Stanine",$N123:$ZZ123),"")</f>
        <v>6.5</v>
      </c>
      <c r="M123" s="69">
        <f>IF(AND(ISNUMBER(tblY9[[#This Row],[Mean Stanine]]),ISNUMBER(tblY9[[#This Row],[Avg KS2 Band]])),tblY9[[#This Row],[Mean Stanine]]-tblY9[[#This Row],[Avg KS2 Band]],"")</f>
        <v>-0.5</v>
      </c>
      <c r="N123" s="66" t="n">
        <v>20</v>
      </c>
      <c r="O123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23" s="66" t="n">
        <v>23</v>
      </c>
      <c r="Q123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6</v>
      </c>
      <c r="R123" s="66" t="n">
        <v>25</v>
      </c>
      <c r="S123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23" s="66" t="n">
        <v>20</v>
      </c>
      <c r="U123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7</v>
      </c>
    </row>
    <row r="124">
      <c r="A124" s="65" t="inlineStr">
        <is>
          <t>X903447664555</t>
        </is>
      </c>
      <c r="B124" s="65" t="inlineStr">
        <is>
          <t>Williams</t>
        </is>
      </c>
      <c r="C124" s="65" t="inlineStr">
        <is>
          <t>Poppy</t>
        </is>
      </c>
      <c r="D124" s="66" t="inlineStr">
        <is>
          <t>M</t>
        </is>
      </c>
      <c r="E124" s="66" t="inlineStr">
        <is>
          <t>N</t>
        </is>
      </c>
      <c r="F124" s="66" t="inlineStr">
        <is>
          <t>N</t>
        </is>
      </c>
      <c r="G124" s="34" t="n">
        <v>89.2</v>
      </c>
      <c r="H124" s="34" t="n">
        <v>110</v>
      </c>
      <c r="I124" s="67">
        <f>IF(ISNUMBER(tblY9[[#This Row],[Avg KS2]]),IFERROR(VLOOKUP(STANDARDIZE(tblY9[[#This Row],[Avg KS2]],AVERAGE(tblY9[[Avg KS2]]),_xlfn.STDEV.P(tblY9[[Avg KS2]])),_Stanine,2),5),"")</f>
        <v>7</v>
      </c>
      <c r="J124" s="66" t="inlineStr">
        <is>
          <t>9B/Sc2</t>
        </is>
      </c>
      <c r="K124" s="67">
        <f>IF(tblY9[[#This Row],[Preferred Last name]]="","",COUNTIFS($N$1:$ZZ$1,"*"&amp;CHAR(10)&amp;"Stanine",$N124:$ZZ124,"&gt;=1"))</f>
        <v>4</v>
      </c>
      <c r="L124" s="68">
        <f>IFERROR(AVERAGEIF($N$1:$ZZ$1,"*"&amp;CHAR(10)&amp;"Stanine",$N124:$ZZ124),"")</f>
        <v>6.75</v>
      </c>
      <c r="M124" s="69">
        <f>IF(AND(ISNUMBER(tblY9[[#This Row],[Mean Stanine]]),ISNUMBER(tblY9[[#This Row],[Avg KS2 Band]])),tblY9[[#This Row],[Mean Stanine]]-tblY9[[#This Row],[Avg KS2 Band]],"")</f>
        <v>-0.25</v>
      </c>
      <c r="N124" s="66" t="n">
        <v>19</v>
      </c>
      <c r="O124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6</v>
      </c>
      <c r="P124" s="66" t="n">
        <v>24</v>
      </c>
      <c r="Q124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24" s="66" t="n">
        <v>21</v>
      </c>
      <c r="S124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6</v>
      </c>
      <c r="T124" s="66" t="n">
        <v>22</v>
      </c>
      <c r="U124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8</v>
      </c>
    </row>
    <row r="125">
      <c r="A125" s="65" t="inlineStr">
        <is>
          <t>X905354734519</t>
        </is>
      </c>
      <c r="B125" s="65" t="inlineStr">
        <is>
          <t>Wilson</t>
        </is>
      </c>
      <c r="C125" s="65" t="inlineStr">
        <is>
          <t>Poppy</t>
        </is>
      </c>
      <c r="D125" s="66" t="inlineStr">
        <is>
          <t>F</t>
        </is>
      </c>
      <c r="E125" s="66" t="inlineStr">
        <is>
          <t>E</t>
        </is>
      </c>
      <c r="F125" s="66" t="inlineStr">
        <is>
          <t>N</t>
        </is>
      </c>
      <c r="G125" s="34" t="n">
        <v>85.5</v>
      </c>
      <c r="H125" s="34" t="n">
        <v>113</v>
      </c>
      <c r="I125" s="67">
        <f>IF(ISNUMBER(tblY9[[#This Row],[Avg KS2]]),IFERROR(VLOOKUP(STANDARDIZE(tblY9[[#This Row],[Avg KS2]],AVERAGE(tblY9[[Avg KS2]]),_xlfn.STDEV.P(tblY9[[Avg KS2]])),_Stanine,2),5),"")</f>
        <v>8</v>
      </c>
      <c r="J125" s="66" t="inlineStr">
        <is>
          <t>9A/Sc2</t>
        </is>
      </c>
      <c r="K125" s="67">
        <f>IF(tblY9[[#This Row],[Preferred Last name]]="","",COUNTIFS($N$1:$ZZ$1,"*"&amp;CHAR(10)&amp;"Stanine",$N125:$ZZ125,"&gt;=1"))</f>
        <v>4</v>
      </c>
      <c r="L125" s="68">
        <f>IFERROR(AVERAGEIF($N$1:$ZZ$1,"*"&amp;CHAR(10)&amp;"Stanine",$N125:$ZZ125),"")</f>
        <v>6.5</v>
      </c>
      <c r="M125" s="69">
        <f>IF(AND(ISNUMBER(tblY9[[#This Row],[Mean Stanine]]),ISNUMBER(tblY9[[#This Row],[Avg KS2 Band]])),tblY9[[#This Row],[Mean Stanine]]-tblY9[[#This Row],[Avg KS2 Band]],"")</f>
        <v>-1.5</v>
      </c>
      <c r="N125" s="66" t="n">
        <v>21</v>
      </c>
      <c r="O125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7</v>
      </c>
      <c r="P125" s="66" t="n">
        <v>25</v>
      </c>
      <c r="Q125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7</v>
      </c>
      <c r="R125" s="66" t="n">
        <v>25</v>
      </c>
      <c r="S125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7</v>
      </c>
      <c r="T125" s="66" t="n">
        <v>16</v>
      </c>
      <c r="U125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5</v>
      </c>
    </row>
    <row r="126">
      <c r="A126" s="65" t="inlineStr">
        <is>
          <t>X900789946013</t>
        </is>
      </c>
      <c r="B126" s="65" t="inlineStr">
        <is>
          <t>Wright</t>
        </is>
      </c>
      <c r="C126" s="65" t="inlineStr">
        <is>
          <t>Leo</t>
        </is>
      </c>
      <c r="D126" s="66" t="inlineStr">
        <is>
          <t>M</t>
        </is>
      </c>
      <c r="E126" s="66" t="n"/>
      <c r="F126" s="66" t="inlineStr">
        <is>
          <t>N</t>
        </is>
      </c>
      <c r="G126" s="34" t="n">
        <v>91.5</v>
      </c>
      <c r="H126" s="34" t="n">
        <v>101</v>
      </c>
      <c r="I126" s="67">
        <f>IF(ISNUMBER(tblY9[[#This Row],[Avg KS2]]),IFERROR(VLOOKUP(STANDARDIZE(tblY9[[#This Row],[Avg KS2]],AVERAGE(tblY9[[Avg KS2]]),_xlfn.STDEV.P(tblY9[[Avg KS2]])),_Stanine,2),5),"")</f>
        <v>3</v>
      </c>
      <c r="J126" s="66" t="inlineStr">
        <is>
          <t>9A/Sc3</t>
        </is>
      </c>
      <c r="K126" s="67">
        <f>IF(tblY9[[#This Row],[Preferred Last name]]="","",COUNTIFS($N$1:$ZZ$1,"*"&amp;CHAR(10)&amp;"Stanine",$N126:$ZZ126,"&gt;=1"))</f>
        <v>4</v>
      </c>
      <c r="L126" s="68">
        <f>IFERROR(AVERAGEIF($N$1:$ZZ$1,"*"&amp;CHAR(10)&amp;"Stanine",$N126:$ZZ126),"")</f>
        <v>1.75</v>
      </c>
      <c r="M126" s="69">
        <f>IF(AND(ISNUMBER(tblY9[[#This Row],[Mean Stanine]]),ISNUMBER(tblY9[[#This Row],[Avg KS2 Band]])),tblY9[[#This Row],[Mean Stanine]]-tblY9[[#This Row],[Avg KS2 Band]],"")</f>
        <v>-1.25</v>
      </c>
      <c r="N126" s="66" t="n">
        <v>7</v>
      </c>
      <c r="O126" s="67">
        <f>IF(ISNUMBER(tblY9[[#This Row],[9B01 - Genetics
Raw Score]]),IFERROR(VLOOKUP(STANDARDIZE(tblY9[[#This Row],[9B01 - Genetics
Raw Score]],AVERAGE(tblY9[[9B01 - Genetics
Raw Score]]),_xlfn.STDEV.P(tblY9[[9B01 - Genetics
Raw Score]])),_Stanine,2),5),"")</f>
        <v>2</v>
      </c>
      <c r="P126" s="66" t="n">
        <v>9</v>
      </c>
      <c r="Q126" s="67">
        <f>IF(ISNUMBER(tblY9[[#This Row],[9C01 - Chemical Reactions
Raw Score]]),IFERROR(VLOOKUP(STANDARDIZE(tblY9[[#This Row],[9C01 - Chemical Reactions
Raw Score]],AVERAGE(tblY9[[9C01 - Chemical Reactions
Raw Score]]),_xlfn.STDEV.P(tblY9[[9C01 - Chemical Reactions
Raw Score]])),_Stanine,2),5),"")</f>
        <v>2</v>
      </c>
      <c r="R126" s="66" t="n">
        <v>6</v>
      </c>
      <c r="S126" s="67">
        <f>IF(ISNUMBER(tblY9[[#This Row],[9P01 - Electricity
Raw Score]]),IFERROR(VLOOKUP(STANDARDIZE(tblY9[[#This Row],[9P01 - Electricity
Raw Score]],AVERAGE(tblY9[[9P01 - Electricity
Raw Score]]),_xlfn.STDEV.P(tblY9[[9P01 - Electricity
Raw Score]])),_Stanine,2),5),"")</f>
        <v>1</v>
      </c>
      <c r="T126" s="66" t="n">
        <v>8</v>
      </c>
      <c r="U126" s="67">
        <f>IF(ISNUMBER(tblY9[[#This Row],[9B02 - Ecology
Raw Score]]),IFERROR(VLOOKUP(STANDARDIZE(tblY9[[#This Row],[9B02 - Ecology
Raw Score]],AVERAGE(tblY9[[9B02 - Ecology
Raw Score]]),_xlfn.STDEV.P(tblY9[[9B02 - Ecology
Raw Score]])),_Stanine,2),5),"")</f>
        <v>2</v>
      </c>
    </row>
  </sheetData>
  <conditionalFormatting sqref="I2:I126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26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26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26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26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26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26">
    <cfRule type="iconSet" priority="7">
      <iconSet iconSet="3TrafficLights1">
        <cfvo type="percent" val="0"/>
        <cfvo type="num" val="4"/>
        <cfvo type="num" val="7"/>
      </iconSet>
    </cfRule>
  </conditionalFormatting>
  <dataValidations count="4">
    <dataValidation sqref="N2:N126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126" showDropDown="0" showInputMessage="0" showErrorMessage="1" allowBlank="1" errorTitle="Score out of range" error="Type a mark from 0 to 32, or A for absent. Leave the cell blank if the student has not sat the test yet." type="custom">
      <formula1>OR(UPPER(P2)="A",AND(ISNUMBER(P2),P2&gt;=0,P2&lt;=32))</formula1>
    </dataValidation>
    <dataValidation sqref="R2:R126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126" showDropDown="0" showInputMessage="0" showErrorMessage="1" allowBlank="1" errorTitle="Score out of range" error="Type a mark from 0 to 25, or A for absent. Leave the cell blank if the student has not sat the test yet." type="custom">
      <formula1>OR(UPPER(T2)="A",AND(ISNUMBER(T2),T2&gt;=0,T2&lt;=25))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8.xml><?xml version="1.0" encoding="utf-8"?>
<worksheet xmlns="http://schemas.openxmlformats.org/spreadsheetml/2006/main">
  <sheetPr codeName="shY10">
    <outlinePr summaryBelow="1" summaryRight="1"/>
    <pageSetUpPr/>
  </sheetPr>
  <dimension ref="A1:W118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4B01 - Cell Biology
Raw Score</t>
        </is>
      </c>
      <c r="O1" s="63" t="inlineStr">
        <is>
          <t>4B01 - Cell Biology
Stanine</t>
        </is>
      </c>
      <c r="P1" s="64" t="inlineStr">
        <is>
          <t>4C01 - Atomic Structure
Raw Score</t>
        </is>
      </c>
      <c r="Q1" s="64" t="inlineStr">
        <is>
          <t>4C01 - Atomic Structure
Stanine</t>
        </is>
      </c>
      <c r="R1" s="63" t="inlineStr">
        <is>
          <t>4P01 - Energy
Raw Score</t>
        </is>
      </c>
      <c r="S1" s="63" t="inlineStr">
        <is>
          <t>4P01 - Energy
Stanine</t>
        </is>
      </c>
      <c r="T1" s="64" t="inlineStr">
        <is>
          <t>4B02 - Organisation
Raw Score</t>
        </is>
      </c>
      <c r="U1" s="64" t="inlineStr">
        <is>
          <t>4B02 - Organisation
Stanine</t>
        </is>
      </c>
      <c r="V1" s="63" t="inlineStr">
        <is>
          <t>4C02 - Bonding
Raw Score</t>
        </is>
      </c>
      <c r="W1" s="63" t="inlineStr">
        <is>
          <t>4C02 - Bonding
Stanine</t>
        </is>
      </c>
    </row>
    <row r="2">
      <c r="A2" s="65" t="inlineStr">
        <is>
          <t>X904515016001</t>
        </is>
      </c>
      <c r="B2" s="65" t="inlineStr">
        <is>
          <t>Adeyemi</t>
        </is>
      </c>
      <c r="C2" s="65" t="inlineStr">
        <is>
          <t>Ivy</t>
        </is>
      </c>
      <c r="D2" s="66" t="inlineStr">
        <is>
          <t>M</t>
        </is>
      </c>
      <c r="E2" s="66" t="n"/>
      <c r="F2" s="66" t="inlineStr">
        <is>
          <t>Y</t>
        </is>
      </c>
      <c r="G2" s="34" t="n">
        <v>100</v>
      </c>
      <c r="H2" s="34" t="n">
        <v>106.5</v>
      </c>
      <c r="I2" s="67">
        <f>IF(ISNUMBER(tblY10[[#This Row],[Avg KS2]]),IFERROR(VLOOKUP(STANDARDIZE(tblY10[[#This Row],[Avg KS2]],AVERAGE(tblY10[[Avg KS2]]),_xlfn.STDEV.P(tblY10[[Avg KS2]])),_Stanine,2),5),"")</f>
        <v>6</v>
      </c>
      <c r="J2" s="66" t="inlineStr">
        <is>
          <t>10S/Sc3</t>
        </is>
      </c>
      <c r="K2" s="67">
        <f>IF(tblY10[[#This Row],[Preferred Last name]]="","",COUNTIFS($N$1:$ZZ$1,"*"&amp;CHAR(10)&amp;"Stanine",$N2:$ZZ2,"&gt;=1"))</f>
        <v>4</v>
      </c>
      <c r="L2" s="68">
        <f>IFERROR(AVERAGEIF($N$1:$ZZ$1,"*"&amp;CHAR(10)&amp;"Stanine",$N2:$ZZ2),"")</f>
        <v>6.5</v>
      </c>
      <c r="M2" s="69">
        <f>IF(AND(ISNUMBER(tblY10[[#This Row],[Mean Stanine]]),ISNUMBER(tblY10[[#This Row],[Avg KS2 Band]])),tblY10[[#This Row],[Mean Stanine]]-tblY10[[#This Row],[Avg KS2 Band]],"")</f>
        <v>0.5</v>
      </c>
      <c r="N2" s="66" t="n">
        <v>26</v>
      </c>
      <c r="O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2" s="66" t="n">
        <v>27</v>
      </c>
      <c r="Q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2" s="66" t="n">
        <v>25</v>
      </c>
      <c r="S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2" s="66" t="n">
        <v>22</v>
      </c>
      <c r="U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2" s="66" t="n"/>
      <c r="W2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3">
      <c r="A3" s="65" t="inlineStr">
        <is>
          <t>X905622718417</t>
        </is>
      </c>
      <c r="B3" s="65" t="inlineStr">
        <is>
          <t>Adeyemi</t>
        </is>
      </c>
      <c r="C3" s="65" t="inlineStr">
        <is>
          <t>Rhys</t>
        </is>
      </c>
      <c r="D3" s="66" t="inlineStr">
        <is>
          <t>F</t>
        </is>
      </c>
      <c r="E3" s="66" t="inlineStr">
        <is>
          <t>K</t>
        </is>
      </c>
      <c r="F3" s="66" t="inlineStr">
        <is>
          <t>Y</t>
        </is>
      </c>
      <c r="G3" s="34" t="n">
        <v>99.3</v>
      </c>
      <c r="H3" s="34" t="n">
        <v>104</v>
      </c>
      <c r="I3" s="67">
        <f>IF(ISNUMBER(tblY10[[#This Row],[Avg KS2]]),IFERROR(VLOOKUP(STANDARDIZE(tblY10[[#This Row],[Avg KS2]],AVERAGE(tblY10[[Avg KS2]]),_xlfn.STDEV.P(tblY10[[Avg KS2]])),_Stanine,2),5),"")</f>
        <v>5</v>
      </c>
      <c r="J3" s="66" t="inlineStr">
        <is>
          <t>10S/Sc2</t>
        </is>
      </c>
      <c r="K3" s="67">
        <f>IF(tblY10[[#This Row],[Preferred Last name]]="","",COUNTIFS($N$1:$ZZ$1,"*"&amp;CHAR(10)&amp;"Stanine",$N3:$ZZ3,"&gt;=1"))</f>
        <v>5</v>
      </c>
      <c r="L3" s="68">
        <f>IFERROR(AVERAGEIF($N$1:$ZZ$1,"*"&amp;CHAR(10)&amp;"Stanine",$N3:$ZZ3),"")</f>
        <v>4.6</v>
      </c>
      <c r="M3" s="69">
        <f>IF(AND(ISNUMBER(tblY10[[#This Row],[Mean Stanine]]),ISNUMBER(tblY10[[#This Row],[Avg KS2 Band]])),tblY10[[#This Row],[Mean Stanine]]-tblY10[[#This Row],[Avg KS2 Band]],"")</f>
        <v>-0.4</v>
      </c>
      <c r="N3" s="66" t="n">
        <v>12</v>
      </c>
      <c r="O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3" s="66" t="n">
        <v>23</v>
      </c>
      <c r="Q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3" s="66" t="n">
        <v>15</v>
      </c>
      <c r="S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3" s="66" t="n">
        <v>25</v>
      </c>
      <c r="U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3" s="66" t="n">
        <v>21</v>
      </c>
      <c r="W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4">
      <c r="A4" s="65" t="inlineStr">
        <is>
          <t>X901621023388</t>
        </is>
      </c>
      <c r="B4" s="65" t="inlineStr">
        <is>
          <t>Ahmed</t>
        </is>
      </c>
      <c r="C4" s="65" t="inlineStr">
        <is>
          <t>Aisha</t>
        </is>
      </c>
      <c r="D4" s="66" t="inlineStr">
        <is>
          <t>M</t>
        </is>
      </c>
      <c r="E4" s="66" t="inlineStr">
        <is>
          <t>N</t>
        </is>
      </c>
      <c r="F4" s="66" t="inlineStr">
        <is>
          <t>N</t>
        </is>
      </c>
      <c r="G4" s="34" t="n">
        <v>97.09999999999999</v>
      </c>
      <c r="H4" s="34" t="n">
        <v>96</v>
      </c>
      <c r="I4" s="67">
        <f>IF(ISNUMBER(tblY10[[#This Row],[Avg KS2]]),IFERROR(VLOOKUP(STANDARDIZE(tblY10[[#This Row],[Avg KS2]],AVERAGE(tblY10[[Avg KS2]]),_xlfn.STDEV.P(tblY10[[Avg KS2]])),_Stanine,2),5),"")</f>
        <v>2</v>
      </c>
      <c r="J4" s="66" t="inlineStr">
        <is>
          <t>10S/Sc2</t>
        </is>
      </c>
      <c r="K4" s="67">
        <f>IF(tblY10[[#This Row],[Preferred Last name]]="","",COUNTIFS($N$1:$ZZ$1,"*"&amp;CHAR(10)&amp;"Stanine",$N4:$ZZ4,"&gt;=1"))</f>
        <v>5</v>
      </c>
      <c r="L4" s="68">
        <f>IFERROR(AVERAGEIF($N$1:$ZZ$1,"*"&amp;CHAR(10)&amp;"Stanine",$N4:$ZZ4),"")</f>
        <v>2.8</v>
      </c>
      <c r="M4" s="69">
        <f>IF(AND(ISNUMBER(tblY10[[#This Row],[Mean Stanine]]),ISNUMBER(tblY10[[#This Row],[Avg KS2 Band]])),tblY10[[#This Row],[Mean Stanine]]-tblY10[[#This Row],[Avg KS2 Band]],"")</f>
        <v>0.8</v>
      </c>
      <c r="N4" s="66" t="n">
        <v>10</v>
      </c>
      <c r="O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4" s="66" t="n">
        <v>14</v>
      </c>
      <c r="Q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4" s="66" t="n">
        <v>14</v>
      </c>
      <c r="S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4" s="66" t="n">
        <v>12</v>
      </c>
      <c r="U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4" s="66" t="n">
        <v>10</v>
      </c>
      <c r="W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5">
      <c r="A5" s="65" t="inlineStr">
        <is>
          <t>X904783009428</t>
        </is>
      </c>
      <c r="B5" s="65" t="inlineStr">
        <is>
          <t>Ahmed</t>
        </is>
      </c>
      <c r="C5" s="65" t="inlineStr">
        <is>
          <t>Harry</t>
        </is>
      </c>
      <c r="D5" s="66" t="inlineStr">
        <is>
          <t>F</t>
        </is>
      </c>
      <c r="E5" s="66" t="n"/>
      <c r="F5" s="66" t="inlineStr">
        <is>
          <t>N</t>
        </is>
      </c>
      <c r="G5" s="34" t="n">
        <v>98.59999999999999</v>
      </c>
      <c r="H5" s="34" t="n">
        <v>94</v>
      </c>
      <c r="I5" s="67">
        <f>IF(ISNUMBER(tblY10[[#This Row],[Avg KS2]]),IFERROR(VLOOKUP(STANDARDIZE(tblY10[[#This Row],[Avg KS2]],AVERAGE(tblY10[[Avg KS2]]),_xlfn.STDEV.P(tblY10[[Avg KS2]])),_Stanine,2),5),"")</f>
        <v>1</v>
      </c>
      <c r="J5" s="66" t="inlineStr">
        <is>
          <t>10S/Sc1</t>
        </is>
      </c>
      <c r="K5" s="67">
        <f>IF(tblY10[[#This Row],[Preferred Last name]]="","",COUNTIFS($N$1:$ZZ$1,"*"&amp;CHAR(10)&amp;"Stanine",$N5:$ZZ5,"&gt;=1"))</f>
        <v>5</v>
      </c>
      <c r="L5" s="68">
        <f>IFERROR(AVERAGEIF($N$1:$ZZ$1,"*"&amp;CHAR(10)&amp;"Stanine",$N5:$ZZ5),"")</f>
        <v>1.6</v>
      </c>
      <c r="M5" s="69">
        <f>IF(AND(ISNUMBER(tblY10[[#This Row],[Mean Stanine]]),ISNUMBER(tblY10[[#This Row],[Avg KS2 Band]])),tblY10[[#This Row],[Mean Stanine]]-tblY10[[#This Row],[Avg KS2 Band]],"")</f>
        <v>0.6</v>
      </c>
      <c r="N5" s="66" t="n">
        <v>9</v>
      </c>
      <c r="O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5" s="66" t="n">
        <v>6</v>
      </c>
      <c r="Q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5" s="66" t="n">
        <v>6</v>
      </c>
      <c r="S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1</v>
      </c>
      <c r="T5" s="66" t="n">
        <v>5</v>
      </c>
      <c r="U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5" s="66" t="n">
        <v>3</v>
      </c>
      <c r="W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1</v>
      </c>
    </row>
    <row r="6">
      <c r="A6" s="65" t="inlineStr">
        <is>
          <t>X901544248622</t>
        </is>
      </c>
      <c r="B6" s="65" t="inlineStr">
        <is>
          <t>Ahmed</t>
        </is>
      </c>
      <c r="C6" s="65" t="inlineStr">
        <is>
          <t>Ivy</t>
        </is>
      </c>
      <c r="D6" s="66" t="inlineStr">
        <is>
          <t>F</t>
        </is>
      </c>
      <c r="E6" s="66" t="inlineStr">
        <is>
          <t>K</t>
        </is>
      </c>
      <c r="F6" s="66" t="inlineStr">
        <is>
          <t>N</t>
        </is>
      </c>
      <c r="G6" s="34" t="n">
        <v>100</v>
      </c>
      <c r="H6" s="34" t="n">
        <v>108</v>
      </c>
      <c r="I6" s="67">
        <f>IF(ISNUMBER(tblY10[[#This Row],[Avg KS2]]),IFERROR(VLOOKUP(STANDARDIZE(tblY10[[#This Row],[Avg KS2]],AVERAGE(tblY10[[Avg KS2]]),_xlfn.STDEV.P(tblY10[[Avg KS2]])),_Stanine,2),5),"")</f>
        <v>6</v>
      </c>
      <c r="J6" s="66" t="inlineStr">
        <is>
          <t>10S/Sc1</t>
        </is>
      </c>
      <c r="K6" s="67">
        <f>IF(tblY10[[#This Row],[Preferred Last name]]="","",COUNTIFS($N$1:$ZZ$1,"*"&amp;CHAR(10)&amp;"Stanine",$N6:$ZZ6,"&gt;=1"))</f>
        <v>5</v>
      </c>
      <c r="L6" s="68">
        <f>IFERROR(AVERAGEIF($N$1:$ZZ$1,"*"&amp;CHAR(10)&amp;"Stanine",$N6:$ZZ6),"")</f>
        <v>5.4</v>
      </c>
      <c r="M6" s="69">
        <f>IF(AND(ISNUMBER(tblY10[[#This Row],[Mean Stanine]]),ISNUMBER(tblY10[[#This Row],[Avg KS2 Band]])),tblY10[[#This Row],[Mean Stanine]]-tblY10[[#This Row],[Avg KS2 Band]],"")</f>
        <v>-0.6</v>
      </c>
      <c r="N6" s="66" t="n">
        <v>22</v>
      </c>
      <c r="O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6" s="66" t="n">
        <v>22</v>
      </c>
      <c r="Q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6" s="66" t="n">
        <v>26</v>
      </c>
      <c r="S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6" s="66" t="n">
        <v>20</v>
      </c>
      <c r="U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6" s="66" t="n">
        <v>22</v>
      </c>
      <c r="W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7">
      <c r="A7" s="65" t="inlineStr">
        <is>
          <t>X907925907676</t>
        </is>
      </c>
      <c r="B7" s="65" t="inlineStr">
        <is>
          <t>Ahmed</t>
        </is>
      </c>
      <c r="C7" s="65" t="inlineStr">
        <is>
          <t>Niamh</t>
        </is>
      </c>
      <c r="D7" s="66" t="inlineStr">
        <is>
          <t>F</t>
        </is>
      </c>
      <c r="E7" s="66" t="inlineStr">
        <is>
          <t>N</t>
        </is>
      </c>
      <c r="F7" s="66" t="inlineStr">
        <is>
          <t>N</t>
        </is>
      </c>
      <c r="G7" s="34" t="n">
        <v>85.90000000000001</v>
      </c>
      <c r="H7" s="34" t="n">
        <v>100.5</v>
      </c>
      <c r="I7" s="67">
        <f>IF(ISNUMBER(tblY10[[#This Row],[Avg KS2]]),IFERROR(VLOOKUP(STANDARDIZE(tblY10[[#This Row],[Avg KS2]],AVERAGE(tblY10[[Avg KS2]]),_xlfn.STDEV.P(tblY10[[Avg KS2]])),_Stanine,2),5),"")</f>
        <v>4</v>
      </c>
      <c r="J7" s="66" t="inlineStr">
        <is>
          <t>10S/Sc3</t>
        </is>
      </c>
      <c r="K7" s="67">
        <f>IF(tblY10[[#This Row],[Preferred Last name]]="","",COUNTIFS($N$1:$ZZ$1,"*"&amp;CHAR(10)&amp;"Stanine",$N7:$ZZ7,"&gt;=1"))</f>
        <v>4</v>
      </c>
      <c r="L7" s="68">
        <f>IFERROR(AVERAGEIF($N$1:$ZZ$1,"*"&amp;CHAR(10)&amp;"Stanine",$N7:$ZZ7),"")</f>
        <v>4.75</v>
      </c>
      <c r="M7" s="69">
        <f>IF(AND(ISNUMBER(tblY10[[#This Row],[Mean Stanine]]),ISNUMBER(tblY10[[#This Row],[Avg KS2 Band]])),tblY10[[#This Row],[Mean Stanine]]-tblY10[[#This Row],[Avg KS2 Band]],"")</f>
        <v>0.75</v>
      </c>
      <c r="N7" s="66" t="n">
        <v>21</v>
      </c>
      <c r="O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7" s="66" t="n">
        <v>16</v>
      </c>
      <c r="Q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7" s="66" t="n">
        <v>16</v>
      </c>
      <c r="S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7" s="66" t="n">
        <v>18</v>
      </c>
      <c r="U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7" s="66" t="n"/>
      <c r="W7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8">
      <c r="A8" s="65" t="inlineStr">
        <is>
          <t>X900251701618</t>
        </is>
      </c>
      <c r="B8" s="65" t="inlineStr">
        <is>
          <t>Barker</t>
        </is>
      </c>
      <c r="C8" s="65" t="inlineStr">
        <is>
          <t>Sami</t>
        </is>
      </c>
      <c r="D8" s="66" t="inlineStr">
        <is>
          <t>F</t>
        </is>
      </c>
      <c r="E8" s="66" t="inlineStr">
        <is>
          <t>N</t>
        </is>
      </c>
      <c r="F8" s="66" t="inlineStr">
        <is>
          <t>Y</t>
        </is>
      </c>
      <c r="G8" s="34" t="n">
        <v>94.5</v>
      </c>
      <c r="H8" s="34" t="n">
        <v>96</v>
      </c>
      <c r="I8" s="67">
        <f>IF(ISNUMBER(tblY10[[#This Row],[Avg KS2]]),IFERROR(VLOOKUP(STANDARDIZE(tblY10[[#This Row],[Avg KS2]],AVERAGE(tblY10[[Avg KS2]]),_xlfn.STDEV.P(tblY10[[Avg KS2]])),_Stanine,2),5),"")</f>
        <v>2</v>
      </c>
      <c r="J8" s="66" t="inlineStr">
        <is>
          <t>10S/Sc3</t>
        </is>
      </c>
      <c r="K8" s="67">
        <f>IF(tblY10[[#This Row],[Preferred Last name]]="","",COUNTIFS($N$1:$ZZ$1,"*"&amp;CHAR(10)&amp;"Stanine",$N8:$ZZ8,"&gt;=1"))</f>
        <v>4</v>
      </c>
      <c r="L8" s="68">
        <f>IFERROR(AVERAGEIF($N$1:$ZZ$1,"*"&amp;CHAR(10)&amp;"Stanine",$N8:$ZZ8),"")</f>
        <v>3.25</v>
      </c>
      <c r="M8" s="69">
        <f>IF(AND(ISNUMBER(tblY10[[#This Row],[Mean Stanine]]),ISNUMBER(tblY10[[#This Row],[Avg KS2 Band]])),tblY10[[#This Row],[Mean Stanine]]-tblY10[[#This Row],[Avg KS2 Band]],"")</f>
        <v>1.25</v>
      </c>
      <c r="N8" s="66" t="n">
        <v>11</v>
      </c>
      <c r="O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8" s="66" t="n">
        <v>11</v>
      </c>
      <c r="Q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8" s="66" t="n">
        <v>16</v>
      </c>
      <c r="S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8" s="66" t="n">
        <v>11</v>
      </c>
      <c r="U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8" s="66" t="n"/>
      <c r="W8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9">
      <c r="A9" s="65" t="inlineStr">
        <is>
          <t>X905497514660</t>
        </is>
      </c>
      <c r="B9" s="65" t="inlineStr">
        <is>
          <t>Bennett</t>
        </is>
      </c>
      <c r="C9" s="65" t="inlineStr">
        <is>
          <t>Arjun</t>
        </is>
      </c>
      <c r="D9" s="66" t="inlineStr">
        <is>
          <t>F</t>
        </is>
      </c>
      <c r="E9" s="66" t="inlineStr">
        <is>
          <t>N</t>
        </is>
      </c>
      <c r="F9" s="66" t="inlineStr">
        <is>
          <t>N</t>
        </is>
      </c>
      <c r="G9" s="34" t="n">
        <v>82.59999999999999</v>
      </c>
      <c r="H9" s="34" t="n">
        <v>117</v>
      </c>
      <c r="I9" s="67">
        <f>IF(ISNUMBER(tblY10[[#This Row],[Avg KS2]]),IFERROR(VLOOKUP(STANDARDIZE(tblY10[[#This Row],[Avg KS2]],AVERAGE(tblY10[[Avg KS2]]),_xlfn.STDEV.P(tblY10[[Avg KS2]])),_Stanine,2),5),"")</f>
        <v>9</v>
      </c>
      <c r="J9" s="66" t="inlineStr">
        <is>
          <t>10S/Sc1</t>
        </is>
      </c>
      <c r="K9" s="67">
        <f>IF(tblY10[[#This Row],[Preferred Last name]]="","",COUNTIFS($N$1:$ZZ$1,"*"&amp;CHAR(10)&amp;"Stanine",$N9:$ZZ9,"&gt;=1"))</f>
        <v>4</v>
      </c>
      <c r="L9" s="68">
        <f>IFERROR(AVERAGEIF($N$1:$ZZ$1,"*"&amp;CHAR(10)&amp;"Stanine",$N9:$ZZ9),"")</f>
        <v>8.75</v>
      </c>
      <c r="M9" s="69">
        <f>IF(AND(ISNUMBER(tblY10[[#This Row],[Mean Stanine]]),ISNUMBER(tblY10[[#This Row],[Avg KS2 Band]])),tblY10[[#This Row],[Mean Stanine]]-tblY10[[#This Row],[Avg KS2 Band]],"")</f>
        <v>-0.25</v>
      </c>
      <c r="N9" s="66" t="n">
        <v>36</v>
      </c>
      <c r="O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9" s="66" t="n">
        <v>35</v>
      </c>
      <c r="Q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9</v>
      </c>
      <c r="R9" s="66" t="inlineStr">
        <is>
          <t>A</t>
        </is>
      </c>
      <c r="S9" s="67" t="str">
        <f>IF(ISNUMBER(tblY10[[#This Row],[4P01 - Energy
Raw Score]]),IFERROR(VLOOKUP(STANDARDIZE(tblY10[[#This Row],[4P01 - Energy
Raw Score]],AVERAGE(tblY10[[4P01 - Energy
Raw Score]]),_xlfn.STDEV.P(tblY10[[4P01 - Energy
Raw Score]])),_Stanine,2),5),"")</f>
        <v/>
      </c>
      <c r="T9" s="66" t="n">
        <v>37</v>
      </c>
      <c r="U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9</v>
      </c>
      <c r="V9" s="66" t="n">
        <v>34</v>
      </c>
      <c r="W9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8</v>
      </c>
    </row>
    <row r="10">
      <c r="A10" s="65" t="inlineStr">
        <is>
          <t>X902006929723</t>
        </is>
      </c>
      <c r="B10" s="65" t="inlineStr">
        <is>
          <t>Bennett</t>
        </is>
      </c>
      <c r="C10" s="65" t="inlineStr">
        <is>
          <t>Ibrahim</t>
        </is>
      </c>
      <c r="D10" s="66" t="inlineStr">
        <is>
          <t>M</t>
        </is>
      </c>
      <c r="E10" s="66" t="n"/>
      <c r="F10" s="66" t="inlineStr">
        <is>
          <t>Y</t>
        </is>
      </c>
      <c r="G10" s="34" t="n">
        <v>91.7</v>
      </c>
      <c r="H10" s="34" t="n">
        <v>101</v>
      </c>
      <c r="I10" s="67">
        <f>IF(ISNUMBER(tblY10[[#This Row],[Avg KS2]]),IFERROR(VLOOKUP(STANDARDIZE(tblY10[[#This Row],[Avg KS2]],AVERAGE(tblY10[[Avg KS2]]),_xlfn.STDEV.P(tblY10[[Avg KS2]])),_Stanine,2),5),"")</f>
        <v>4</v>
      </c>
      <c r="J10" s="66" t="inlineStr">
        <is>
          <t>10S/Sc4</t>
        </is>
      </c>
      <c r="K10" s="67">
        <f>IF(tblY10[[#This Row],[Preferred Last name]]="","",COUNTIFS($N$1:$ZZ$1,"*"&amp;CHAR(10)&amp;"Stanine",$N10:$ZZ10,"&gt;=1"))</f>
        <v>4</v>
      </c>
      <c r="L10" s="68">
        <f>IFERROR(AVERAGEIF($N$1:$ZZ$1,"*"&amp;CHAR(10)&amp;"Stanine",$N10:$ZZ10),"")</f>
        <v>2.75</v>
      </c>
      <c r="M10" s="69">
        <f>IF(AND(ISNUMBER(tblY10[[#This Row],[Mean Stanine]]),ISNUMBER(tblY10[[#This Row],[Avg KS2 Band]])),tblY10[[#This Row],[Mean Stanine]]-tblY10[[#This Row],[Avg KS2 Band]],"")</f>
        <v>-1.25</v>
      </c>
      <c r="N10" s="66" t="n">
        <v>12</v>
      </c>
      <c r="O1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10" s="66" t="n">
        <v>11</v>
      </c>
      <c r="Q1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10" s="66" t="n">
        <v>11</v>
      </c>
      <c r="S1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10" s="66" t="n">
        <v>10</v>
      </c>
      <c r="U1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0" s="66" t="n"/>
      <c r="W10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1">
      <c r="A11" s="65" t="inlineStr">
        <is>
          <t>X906082510020</t>
        </is>
      </c>
      <c r="B11" s="65" t="inlineStr">
        <is>
          <t>Bennett</t>
        </is>
      </c>
      <c r="C11" s="65" t="inlineStr">
        <is>
          <t>Oliver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N</t>
        </is>
      </c>
      <c r="G11" s="34" t="n">
        <v>91.90000000000001</v>
      </c>
      <c r="H11" s="34" t="n">
        <v>107</v>
      </c>
      <c r="I11" s="67">
        <f>IF(ISNUMBER(tblY10[[#This Row],[Avg KS2]]),IFERROR(VLOOKUP(STANDARDIZE(tblY10[[#This Row],[Avg KS2]],AVERAGE(tblY10[[Avg KS2]]),_xlfn.STDEV.P(tblY10[[Avg KS2]])),_Stanine,2),5),"")</f>
        <v>6</v>
      </c>
      <c r="J11" s="66" t="inlineStr">
        <is>
          <t>10S/Sc3</t>
        </is>
      </c>
      <c r="K11" s="67">
        <f>IF(tblY10[[#This Row],[Preferred Last name]]="","",COUNTIFS($N$1:$ZZ$1,"*"&amp;CHAR(10)&amp;"Stanine",$N11:$ZZ11,"&gt;=1"))</f>
        <v>4</v>
      </c>
      <c r="L11" s="68">
        <f>IFERROR(AVERAGEIF($N$1:$ZZ$1,"*"&amp;CHAR(10)&amp;"Stanine",$N11:$ZZ11),"")</f>
        <v>5.25</v>
      </c>
      <c r="M11" s="69">
        <f>IF(AND(ISNUMBER(tblY10[[#This Row],[Mean Stanine]]),ISNUMBER(tblY10[[#This Row],[Avg KS2 Band]])),tblY10[[#This Row],[Mean Stanine]]-tblY10[[#This Row],[Avg KS2 Band]],"")</f>
        <v>-0.75</v>
      </c>
      <c r="N11" s="66" t="n">
        <v>14</v>
      </c>
      <c r="O1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11" s="66" t="n">
        <v>26</v>
      </c>
      <c r="Q1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11" s="66" t="n">
        <v>20</v>
      </c>
      <c r="S1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11" s="66" t="n">
        <v>17</v>
      </c>
      <c r="U1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1" s="66" t="n"/>
      <c r="W1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2">
      <c r="A12" s="65" t="inlineStr">
        <is>
          <t>X903897473844</t>
        </is>
      </c>
      <c r="B12" s="65" t="inlineStr">
        <is>
          <t>Brown</t>
        </is>
      </c>
      <c r="C12" s="65" t="inlineStr">
        <is>
          <t>Dylan</t>
        </is>
      </c>
      <c r="D12" s="66" t="inlineStr">
        <is>
          <t>F</t>
        </is>
      </c>
      <c r="E12" s="66" t="inlineStr">
        <is>
          <t>N</t>
        </is>
      </c>
      <c r="F12" s="66" t="inlineStr">
        <is>
          <t>N</t>
        </is>
      </c>
      <c r="G12" s="34" t="n">
        <v>90.2</v>
      </c>
      <c r="H12" s="34" t="n">
        <v>108</v>
      </c>
      <c r="I12" s="67">
        <f>IF(ISNUMBER(tblY10[[#This Row],[Avg KS2]]),IFERROR(VLOOKUP(STANDARDIZE(tblY10[[#This Row],[Avg KS2]],AVERAGE(tblY10[[Avg KS2]]),_xlfn.STDEV.P(tblY10[[Avg KS2]])),_Stanine,2),5),"")</f>
        <v>6</v>
      </c>
      <c r="J12" s="66" t="inlineStr">
        <is>
          <t>10S/Sc1</t>
        </is>
      </c>
      <c r="K12" s="67">
        <f>IF(tblY10[[#This Row],[Preferred Last name]]="","",COUNTIFS($N$1:$ZZ$1,"*"&amp;CHAR(10)&amp;"Stanine",$N12:$ZZ12,"&gt;=1"))</f>
        <v>5</v>
      </c>
      <c r="L12" s="68">
        <f>IFERROR(AVERAGEIF($N$1:$ZZ$1,"*"&amp;CHAR(10)&amp;"Stanine",$N12:$ZZ12),"")</f>
        <v>7.8</v>
      </c>
      <c r="M12" s="69">
        <f>IF(AND(ISNUMBER(tblY10[[#This Row],[Mean Stanine]]),ISNUMBER(tblY10[[#This Row],[Avg KS2 Band]])),tblY10[[#This Row],[Mean Stanine]]-tblY10[[#This Row],[Avg KS2 Band]],"")</f>
        <v>1.8</v>
      </c>
      <c r="N12" s="66" t="n">
        <v>29</v>
      </c>
      <c r="O1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12" s="66" t="n">
        <v>34</v>
      </c>
      <c r="Q1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9</v>
      </c>
      <c r="R12" s="66" t="n">
        <v>31</v>
      </c>
      <c r="S1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12" s="66" t="n">
        <v>29</v>
      </c>
      <c r="U1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12" s="66" t="n">
        <v>31</v>
      </c>
      <c r="W1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3">
      <c r="A13" s="65" t="inlineStr">
        <is>
          <t>X907991947234</t>
        </is>
      </c>
      <c r="B13" s="65" t="inlineStr">
        <is>
          <t>Brown</t>
        </is>
      </c>
      <c r="C13" s="65" t="inlineStr">
        <is>
          <t>Rosie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100</v>
      </c>
      <c r="H13" s="34" t="n">
        <v>103.5</v>
      </c>
      <c r="I13" s="67">
        <f>IF(ISNUMBER(tblY10[[#This Row],[Avg KS2]]),IFERROR(VLOOKUP(STANDARDIZE(tblY10[[#This Row],[Avg KS2]],AVERAGE(tblY10[[Avg KS2]]),_xlfn.STDEV.P(tblY10[[Avg KS2]])),_Stanine,2),5),"")</f>
        <v>5</v>
      </c>
      <c r="J13" s="66" t="inlineStr">
        <is>
          <t>10S/Sc3</t>
        </is>
      </c>
      <c r="K13" s="67">
        <f>IF(tblY10[[#This Row],[Preferred Last name]]="","",COUNTIFS($N$1:$ZZ$1,"*"&amp;CHAR(10)&amp;"Stanine",$N13:$ZZ13,"&gt;=1"))</f>
        <v>4</v>
      </c>
      <c r="L13" s="68">
        <f>IFERROR(AVERAGEIF($N$1:$ZZ$1,"*"&amp;CHAR(10)&amp;"Stanine",$N13:$ZZ13),"")</f>
        <v>4.25</v>
      </c>
      <c r="M13" s="69">
        <f>IF(AND(ISNUMBER(tblY10[[#This Row],[Mean Stanine]]),ISNUMBER(tblY10[[#This Row],[Avg KS2 Band]])),tblY10[[#This Row],[Mean Stanine]]-tblY10[[#This Row],[Avg KS2 Band]],"")</f>
        <v>-0.75</v>
      </c>
      <c r="N13" s="66" t="n">
        <v>14</v>
      </c>
      <c r="O1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13" s="66" t="n">
        <v>15</v>
      </c>
      <c r="Q1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3" s="66" t="n">
        <v>17</v>
      </c>
      <c r="S1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13" s="66" t="n">
        <v>18</v>
      </c>
      <c r="U1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3" s="66" t="n"/>
      <c r="W13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4">
      <c r="A14" s="65" t="inlineStr">
        <is>
          <t>X901199556519</t>
        </is>
      </c>
      <c r="B14" s="65" t="inlineStr">
        <is>
          <t>Clarke</t>
        </is>
      </c>
      <c r="C14" s="65" t="inlineStr">
        <is>
          <t>Harry</t>
        </is>
      </c>
      <c r="D14" s="66" t="inlineStr">
        <is>
          <t>M</t>
        </is>
      </c>
      <c r="E14" s="66" t="inlineStr">
        <is>
          <t>N</t>
        </is>
      </c>
      <c r="F14" s="66" t="inlineStr">
        <is>
          <t>Y</t>
        </is>
      </c>
      <c r="G14" s="34" t="n">
        <v>86.40000000000001</v>
      </c>
      <c r="H14" s="34" t="n">
        <v>101.5</v>
      </c>
      <c r="I14" s="67">
        <f>IF(ISNUMBER(tblY10[[#This Row],[Avg KS2]]),IFERROR(VLOOKUP(STANDARDIZE(tblY10[[#This Row],[Avg KS2]],AVERAGE(tblY10[[Avg KS2]]),_xlfn.STDEV.P(tblY10[[Avg KS2]])),_Stanine,2),5),"")</f>
        <v>4</v>
      </c>
      <c r="J14" s="66" t="inlineStr">
        <is>
          <t>10S/Sc2</t>
        </is>
      </c>
      <c r="K14" s="67">
        <f>IF(tblY10[[#This Row],[Preferred Last name]]="","",COUNTIFS($N$1:$ZZ$1,"*"&amp;CHAR(10)&amp;"Stanine",$N14:$ZZ14,"&gt;=1"))</f>
        <v>5</v>
      </c>
      <c r="L14" s="68">
        <f>IFERROR(AVERAGEIF($N$1:$ZZ$1,"*"&amp;CHAR(10)&amp;"Stanine",$N14:$ZZ14),"")</f>
        <v>4.6</v>
      </c>
      <c r="M14" s="69">
        <f>IF(AND(ISNUMBER(tblY10[[#This Row],[Mean Stanine]]),ISNUMBER(tblY10[[#This Row],[Avg KS2 Band]])),tblY10[[#This Row],[Mean Stanine]]-tblY10[[#This Row],[Avg KS2 Band]],"")</f>
        <v>0.6</v>
      </c>
      <c r="N14" s="66" t="n">
        <v>17</v>
      </c>
      <c r="O1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14" s="66" t="n">
        <v>18</v>
      </c>
      <c r="Q1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4" s="66" t="n">
        <v>18</v>
      </c>
      <c r="S1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14" s="66" t="n">
        <v>19</v>
      </c>
      <c r="U1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4" s="66" t="n">
        <v>22</v>
      </c>
      <c r="W1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15">
      <c r="A15" s="65" t="inlineStr">
        <is>
          <t>X902091541301</t>
        </is>
      </c>
      <c r="B15" s="65" t="inlineStr">
        <is>
          <t>Cooper</t>
        </is>
      </c>
      <c r="C15" s="65" t="inlineStr">
        <is>
          <t>Chidi</t>
        </is>
      </c>
      <c r="D15" s="66" t="inlineStr">
        <is>
          <t>M</t>
        </is>
      </c>
      <c r="E15" s="66" t="n"/>
      <c r="F15" s="66" t="inlineStr">
        <is>
          <t>N</t>
        </is>
      </c>
      <c r="G15" s="34" t="n">
        <v>93.90000000000001</v>
      </c>
      <c r="H15" s="34" t="inlineStr">
        <is>
          <t>No Data</t>
        </is>
      </c>
      <c r="I15" s="67" t="str">
        <f>IF(ISNUMBER(tblY10[[#This Row],[Avg KS2]]),IFERROR(VLOOKUP(STANDARDIZE(tblY10[[#This Row],[Avg KS2]],AVERAGE(tblY10[[Avg KS2]]),_xlfn.STDEV.P(tblY10[[Avg KS2]])),_Stanine,2),5),"")</f>
        <v/>
      </c>
      <c r="J15" s="66" t="inlineStr">
        <is>
          <t>Science Support</t>
        </is>
      </c>
      <c r="K15" s="67">
        <f>IF(tblY10[[#This Row],[Preferred Last name]]="","",COUNTIFS($N$1:$ZZ$1,"*"&amp;CHAR(10)&amp;"Stanine",$N15:$ZZ15,"&gt;=1"))</f>
        <v>5</v>
      </c>
      <c r="L15" s="68">
        <f>IFERROR(AVERAGEIF($N$1:$ZZ$1,"*"&amp;CHAR(10)&amp;"Stanine",$N15:$ZZ15),"")</f>
        <v>1</v>
      </c>
      <c r="M15" s="69" t="str">
        <f>IF(AND(ISNUMBER(tblY10[[#This Row],[Mean Stanine]]),ISNUMBER(tblY10[[#This Row],[Avg KS2 Band]])),tblY10[[#This Row],[Mean Stanine]]-tblY10[[#This Row],[Avg KS2 Band]],"")</f>
        <v/>
      </c>
      <c r="N15" s="66" t="n">
        <v>4</v>
      </c>
      <c r="O1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1</v>
      </c>
      <c r="P15" s="66" t="n">
        <v>6</v>
      </c>
      <c r="Q1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15" s="66" t="n">
        <v>5</v>
      </c>
      <c r="S1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1</v>
      </c>
      <c r="T15" s="66" t="n">
        <v>2</v>
      </c>
      <c r="U1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1</v>
      </c>
      <c r="V15" s="66" t="n">
        <v>5</v>
      </c>
      <c r="W1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1</v>
      </c>
    </row>
    <row r="16">
      <c r="A16" s="65" t="inlineStr">
        <is>
          <t>X904253469883</t>
        </is>
      </c>
      <c r="B16" s="65" t="inlineStr">
        <is>
          <t>Cooper</t>
        </is>
      </c>
      <c r="C16" s="65" t="inlineStr">
        <is>
          <t>Dylan</t>
        </is>
      </c>
      <c r="D16" s="66" t="inlineStr">
        <is>
          <t>F</t>
        </is>
      </c>
      <c r="E16" s="66" t="inlineStr">
        <is>
          <t>N</t>
        </is>
      </c>
      <c r="F16" s="66" t="inlineStr">
        <is>
          <t>Y</t>
        </is>
      </c>
      <c r="G16" s="34" t="n">
        <v>80.40000000000001</v>
      </c>
      <c r="H16" s="34" t="n">
        <v>107</v>
      </c>
      <c r="I16" s="67">
        <f>IF(ISNUMBER(tblY10[[#This Row],[Avg KS2]]),IFERROR(VLOOKUP(STANDARDIZE(tblY10[[#This Row],[Avg KS2]],AVERAGE(tblY10[[Avg KS2]]),_xlfn.STDEV.P(tblY10[[Avg KS2]])),_Stanine,2),5),"")</f>
        <v>6</v>
      </c>
      <c r="J16" s="66" t="inlineStr">
        <is>
          <t>10S/Sc5</t>
        </is>
      </c>
      <c r="K16" s="67">
        <f>IF(tblY10[[#This Row],[Preferred Last name]]="","",COUNTIFS($N$1:$ZZ$1,"*"&amp;CHAR(10)&amp;"Stanine",$N16:$ZZ16,"&gt;=1"))</f>
        <v>5</v>
      </c>
      <c r="L16" s="68">
        <f>IFERROR(AVERAGEIF($N$1:$ZZ$1,"*"&amp;CHAR(10)&amp;"Stanine",$N16:$ZZ16),"")</f>
        <v>5.6</v>
      </c>
      <c r="M16" s="69">
        <f>IF(AND(ISNUMBER(tblY10[[#This Row],[Mean Stanine]]),ISNUMBER(tblY10[[#This Row],[Avg KS2 Band]])),tblY10[[#This Row],[Mean Stanine]]-tblY10[[#This Row],[Avg KS2 Band]],"")</f>
        <v>-0.4</v>
      </c>
      <c r="N16" s="66" t="n">
        <v>20</v>
      </c>
      <c r="O1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16" s="66" t="n">
        <v>21</v>
      </c>
      <c r="Q1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16" s="66" t="n">
        <v>27</v>
      </c>
      <c r="S1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16" s="66" t="n">
        <v>19</v>
      </c>
      <c r="U1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6" s="66" t="n">
        <v>24</v>
      </c>
      <c r="W1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17">
      <c r="A17" s="65" t="inlineStr">
        <is>
          <t>X907991397374</t>
        </is>
      </c>
      <c r="B17" s="65" t="inlineStr">
        <is>
          <t>Cooper</t>
        </is>
      </c>
      <c r="C17" s="65" t="inlineStr">
        <is>
          <t>Jacob</t>
        </is>
      </c>
      <c r="D17" s="66" t="inlineStr">
        <is>
          <t>F</t>
        </is>
      </c>
      <c r="E17" s="66" t="inlineStr">
        <is>
          <t>N</t>
        </is>
      </c>
      <c r="F17" s="66" t="inlineStr">
        <is>
          <t>N</t>
        </is>
      </c>
      <c r="G17" s="34" t="n">
        <v>98.09999999999999</v>
      </c>
      <c r="H17" s="34" t="n">
        <v>102</v>
      </c>
      <c r="I17" s="67">
        <f>IF(ISNUMBER(tblY10[[#This Row],[Avg KS2]]),IFERROR(VLOOKUP(STANDARDIZE(tblY10[[#This Row],[Avg KS2]],AVERAGE(tblY10[[Avg KS2]]),_xlfn.STDEV.P(tblY10[[Avg KS2]])),_Stanine,2),5),"")</f>
        <v>4</v>
      </c>
      <c r="J17" s="66" t="inlineStr">
        <is>
          <t>10S/Sc3</t>
        </is>
      </c>
      <c r="K17" s="67">
        <f>IF(tblY10[[#This Row],[Preferred Last name]]="","",COUNTIFS($N$1:$ZZ$1,"*"&amp;CHAR(10)&amp;"Stanine",$N17:$ZZ17,"&gt;=1"))</f>
        <v>4</v>
      </c>
      <c r="L17" s="68">
        <f>IFERROR(AVERAGEIF($N$1:$ZZ$1,"*"&amp;CHAR(10)&amp;"Stanine",$N17:$ZZ17),"")</f>
        <v>2.25</v>
      </c>
      <c r="M17" s="69">
        <f>IF(AND(ISNUMBER(tblY10[[#This Row],[Mean Stanine]]),ISNUMBER(tblY10[[#This Row],[Avg KS2 Band]])),tblY10[[#This Row],[Mean Stanine]]-tblY10[[#This Row],[Avg KS2 Band]],"")</f>
        <v>-1.75</v>
      </c>
      <c r="N17" s="66" t="n">
        <v>7</v>
      </c>
      <c r="O1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2</v>
      </c>
      <c r="P17" s="66" t="n">
        <v>9</v>
      </c>
      <c r="Q1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17" s="66" t="n">
        <v>10</v>
      </c>
      <c r="S1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17" s="66" t="n">
        <v>9</v>
      </c>
      <c r="U1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7" s="66" t="n"/>
      <c r="W17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8">
      <c r="A18" s="65" t="inlineStr">
        <is>
          <t>X902197441400</t>
        </is>
      </c>
      <c r="B18" s="65" t="inlineStr">
        <is>
          <t>Cooper</t>
        </is>
      </c>
      <c r="C18" s="65" t="inlineStr">
        <is>
          <t>Leo</t>
        </is>
      </c>
      <c r="D18" s="66" t="inlineStr">
        <is>
          <t>M</t>
        </is>
      </c>
      <c r="E18" s="66" t="n"/>
      <c r="F18" s="66" t="inlineStr">
        <is>
          <t>N</t>
        </is>
      </c>
      <c r="G18" s="34" t="n">
        <v>99.40000000000001</v>
      </c>
      <c r="H18" s="34" t="n">
        <v>109</v>
      </c>
      <c r="I18" s="67">
        <f>IF(ISNUMBER(tblY10[[#This Row],[Avg KS2]]),IFERROR(VLOOKUP(STANDARDIZE(tblY10[[#This Row],[Avg KS2]],AVERAGE(tblY10[[Avg KS2]]),_xlfn.STDEV.P(tblY10[[Avg KS2]])),_Stanine,2),5),"")</f>
        <v>7</v>
      </c>
      <c r="J18" s="66" t="inlineStr">
        <is>
          <t>10S/Sc1</t>
        </is>
      </c>
      <c r="K18" s="67">
        <f>IF(tblY10[[#This Row],[Preferred Last name]]="","",COUNTIFS($N$1:$ZZ$1,"*"&amp;CHAR(10)&amp;"Stanine",$N18:$ZZ18,"&gt;=1"))</f>
        <v>3</v>
      </c>
      <c r="L18" s="68">
        <f>IFERROR(AVERAGEIF($N$1:$ZZ$1,"*"&amp;CHAR(10)&amp;"Stanine",$N18:$ZZ18),"")</f>
        <v>7.33333333333333</v>
      </c>
      <c r="M18" s="69">
        <f>IF(AND(ISNUMBER(tblY10[[#This Row],[Mean Stanine]]),ISNUMBER(tblY10[[#This Row],[Avg KS2 Band]])),tblY10[[#This Row],[Mean Stanine]]-tblY10[[#This Row],[Avg KS2 Band]],"")</f>
        <v>0.333333333333333</v>
      </c>
      <c r="N18" s="66" t="n">
        <v>32</v>
      </c>
      <c r="O1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18" s="66" t="inlineStr">
        <is>
          <t>A</t>
        </is>
      </c>
      <c r="Q18" s="67" t="str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/>
      </c>
      <c r="R18" s="66" t="inlineStr">
        <is>
          <t>A</t>
        </is>
      </c>
      <c r="S18" s="67" t="str">
        <f>IF(ISNUMBER(tblY10[[#This Row],[4P01 - Energy
Raw Score]]),IFERROR(VLOOKUP(STANDARDIZE(tblY10[[#This Row],[4P01 - Energy
Raw Score]],AVERAGE(tblY10[[4P01 - Energy
Raw Score]]),_xlfn.STDEV.P(tblY10[[4P01 - Energy
Raw Score]])),_Stanine,2),5),"")</f>
        <v/>
      </c>
      <c r="T18" s="66" t="n">
        <v>27</v>
      </c>
      <c r="U1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18" s="66" t="n">
        <v>28</v>
      </c>
      <c r="W1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9">
      <c r="A19" s="65" t="inlineStr">
        <is>
          <t>X902597798275</t>
        </is>
      </c>
      <c r="B19" s="65" t="inlineStr">
        <is>
          <t>Cooper</t>
        </is>
      </c>
      <c r="C19" s="65" t="inlineStr">
        <is>
          <t>Reuben</t>
        </is>
      </c>
      <c r="D19" s="66" t="inlineStr">
        <is>
          <t>M</t>
        </is>
      </c>
      <c r="E19" s="66" t="n"/>
      <c r="F19" s="66" t="inlineStr">
        <is>
          <t>Y</t>
        </is>
      </c>
      <c r="G19" s="34" t="n">
        <v>96.59999999999999</v>
      </c>
      <c r="H19" s="34" t="n">
        <v>107.5</v>
      </c>
      <c r="I19" s="67">
        <f>IF(ISNUMBER(tblY10[[#This Row],[Avg KS2]]),IFERROR(VLOOKUP(STANDARDIZE(tblY10[[#This Row],[Avg KS2]],AVERAGE(tblY10[[Avg KS2]]),_xlfn.STDEV.P(tblY10[[Avg KS2]])),_Stanine,2),5),"")</f>
        <v>6</v>
      </c>
      <c r="J19" s="66" t="inlineStr">
        <is>
          <t>10S/Sc2</t>
        </is>
      </c>
      <c r="K19" s="67">
        <f>IF(tblY10[[#This Row],[Preferred Last name]]="","",COUNTIFS($N$1:$ZZ$1,"*"&amp;CHAR(10)&amp;"Stanine",$N19:$ZZ19,"&gt;=1"))</f>
        <v>5</v>
      </c>
      <c r="L19" s="68">
        <f>IFERROR(AVERAGEIF($N$1:$ZZ$1,"*"&amp;CHAR(10)&amp;"Stanine",$N19:$ZZ19),"")</f>
        <v>5.8</v>
      </c>
      <c r="M19" s="69">
        <f>IF(AND(ISNUMBER(tblY10[[#This Row],[Mean Stanine]]),ISNUMBER(tblY10[[#This Row],[Avg KS2 Band]])),tblY10[[#This Row],[Mean Stanine]]-tblY10[[#This Row],[Avg KS2 Band]],"")</f>
        <v>-0.2</v>
      </c>
      <c r="N19" s="66" t="n">
        <v>23</v>
      </c>
      <c r="O1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19" s="66" t="n">
        <v>24</v>
      </c>
      <c r="Q1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19" s="66" t="n">
        <v>26</v>
      </c>
      <c r="S1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19" s="66" t="n">
        <v>25</v>
      </c>
      <c r="U1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19" s="66" t="n">
        <v>23</v>
      </c>
      <c r="W19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20">
      <c r="A20" s="65" t="inlineStr">
        <is>
          <t>X900234223243</t>
        </is>
      </c>
      <c r="B20" s="65" t="inlineStr">
        <is>
          <t>Davies</t>
        </is>
      </c>
      <c r="C20" s="65" t="inlineStr">
        <is>
          <t>Dylan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94.90000000000001</v>
      </c>
      <c r="H20" s="34" t="n">
        <v>107.5</v>
      </c>
      <c r="I20" s="67">
        <f>IF(ISNUMBER(tblY10[[#This Row],[Avg KS2]]),IFERROR(VLOOKUP(STANDARDIZE(tblY10[[#This Row],[Avg KS2]],AVERAGE(tblY10[[Avg KS2]]),_xlfn.STDEV.P(tblY10[[Avg KS2]])),_Stanine,2),5),"")</f>
        <v>6</v>
      </c>
      <c r="J20" s="66" t="inlineStr">
        <is>
          <t>10S/Sc2</t>
        </is>
      </c>
      <c r="K20" s="67">
        <f>IF(tblY10[[#This Row],[Preferred Last name]]="","",COUNTIFS($N$1:$ZZ$1,"*"&amp;CHAR(10)&amp;"Stanine",$N20:$ZZ20,"&gt;=1"))</f>
        <v>4</v>
      </c>
      <c r="L20" s="68">
        <f>IFERROR(AVERAGEIF($N$1:$ZZ$1,"*"&amp;CHAR(10)&amp;"Stanine",$N20:$ZZ20),"")</f>
        <v>6.5</v>
      </c>
      <c r="M20" s="69">
        <f>IF(AND(ISNUMBER(tblY10[[#This Row],[Mean Stanine]]),ISNUMBER(tblY10[[#This Row],[Avg KS2 Band]])),tblY10[[#This Row],[Mean Stanine]]-tblY10[[#This Row],[Avg KS2 Band]],"")</f>
        <v>0.5</v>
      </c>
      <c r="N20" s="66" t="n">
        <v>19</v>
      </c>
      <c r="O2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20" s="66" t="n">
        <v>27</v>
      </c>
      <c r="Q2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20" s="66" t="n">
        <v>28</v>
      </c>
      <c r="S2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20" s="66" t="n">
        <v>28</v>
      </c>
      <c r="U2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20" s="66" t="inlineStr">
        <is>
          <t>A</t>
        </is>
      </c>
      <c r="W20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1">
      <c r="A21" s="65" t="inlineStr">
        <is>
          <t>X907873810984</t>
        </is>
      </c>
      <c r="B21" s="65" t="inlineStr">
        <is>
          <t>Davies</t>
        </is>
      </c>
      <c r="C21" s="65" t="inlineStr">
        <is>
          <t>Muhammad</t>
        </is>
      </c>
      <c r="D21" s="66" t="inlineStr">
        <is>
          <t>M</t>
        </is>
      </c>
      <c r="E21" s="66" t="inlineStr">
        <is>
          <t>N</t>
        </is>
      </c>
      <c r="F21" s="66" t="inlineStr">
        <is>
          <t>N</t>
        </is>
      </c>
      <c r="G21" s="34" t="n">
        <v>100</v>
      </c>
      <c r="H21" s="34" t="n">
        <v>101</v>
      </c>
      <c r="I21" s="67">
        <f>IF(ISNUMBER(tblY10[[#This Row],[Avg KS2]]),IFERROR(VLOOKUP(STANDARDIZE(tblY10[[#This Row],[Avg KS2]],AVERAGE(tblY10[[Avg KS2]]),_xlfn.STDEV.P(tblY10[[Avg KS2]])),_Stanine,2),5),"")</f>
        <v>4</v>
      </c>
      <c r="J21" s="66" t="inlineStr">
        <is>
          <t>10S/Sc4</t>
        </is>
      </c>
      <c r="K21" s="67">
        <f>IF(tblY10[[#This Row],[Preferred Last name]]="","",COUNTIFS($N$1:$ZZ$1,"*"&amp;CHAR(10)&amp;"Stanine",$N21:$ZZ21,"&gt;=1"))</f>
        <v>4</v>
      </c>
      <c r="L21" s="68">
        <f>IFERROR(AVERAGEIF($N$1:$ZZ$1,"*"&amp;CHAR(10)&amp;"Stanine",$N21:$ZZ21),"")</f>
        <v>4</v>
      </c>
      <c r="M21" s="69">
        <f>IF(AND(ISNUMBER(tblY10[[#This Row],[Mean Stanine]]),ISNUMBER(tblY10[[#This Row],[Avg KS2 Band]])),tblY10[[#This Row],[Mean Stanine]]-tblY10[[#This Row],[Avg KS2 Band]],"")</f>
        <v>0</v>
      </c>
      <c r="N21" s="66" t="n">
        <v>16</v>
      </c>
      <c r="O2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21" s="66" t="n">
        <v>17</v>
      </c>
      <c r="Q2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21" s="66" t="n">
        <v>18</v>
      </c>
      <c r="S2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21" s="66" t="n">
        <v>14</v>
      </c>
      <c r="U2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21" s="66" t="n"/>
      <c r="W2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2">
      <c r="A22" s="65" t="inlineStr">
        <is>
          <t>X909897204117</t>
        </is>
      </c>
      <c r="B22" s="65" t="inlineStr">
        <is>
          <t>Edwards</t>
        </is>
      </c>
      <c r="C22" s="65" t="inlineStr">
        <is>
          <t>Freya</t>
        </is>
      </c>
      <c r="D22" s="66" t="inlineStr">
        <is>
          <t>F</t>
        </is>
      </c>
      <c r="E22" s="66" t="n"/>
      <c r="F22" s="66" t="inlineStr">
        <is>
          <t>Y</t>
        </is>
      </c>
      <c r="G22" s="34" t="n">
        <v>96.59999999999999</v>
      </c>
      <c r="H22" s="34" t="n">
        <v>102</v>
      </c>
      <c r="I22" s="67">
        <f>IF(ISNUMBER(tblY10[[#This Row],[Avg KS2]]),IFERROR(VLOOKUP(STANDARDIZE(tblY10[[#This Row],[Avg KS2]],AVERAGE(tblY10[[Avg KS2]]),_xlfn.STDEV.P(tblY10[[Avg KS2]])),_Stanine,2),5),"")</f>
        <v>4</v>
      </c>
      <c r="J22" s="66" t="inlineStr">
        <is>
          <t>10S/Sc3</t>
        </is>
      </c>
      <c r="K22" s="67">
        <f>IF(tblY10[[#This Row],[Preferred Last name]]="","",COUNTIFS($N$1:$ZZ$1,"*"&amp;CHAR(10)&amp;"Stanine",$N22:$ZZ22,"&gt;=1"))</f>
        <v>4</v>
      </c>
      <c r="L22" s="68">
        <f>IFERROR(AVERAGEIF($N$1:$ZZ$1,"*"&amp;CHAR(10)&amp;"Stanine",$N22:$ZZ22),"")</f>
        <v>3.75</v>
      </c>
      <c r="M22" s="69">
        <f>IF(AND(ISNUMBER(tblY10[[#This Row],[Mean Stanine]]),ISNUMBER(tblY10[[#This Row],[Avg KS2 Band]])),tblY10[[#This Row],[Mean Stanine]]-tblY10[[#This Row],[Avg KS2 Band]],"")</f>
        <v>-0.25</v>
      </c>
      <c r="N22" s="66" t="n">
        <v>11</v>
      </c>
      <c r="O2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22" s="66" t="n">
        <v>18</v>
      </c>
      <c r="Q2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22" s="66" t="n">
        <v>14</v>
      </c>
      <c r="S2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22" s="66" t="n">
        <v>17</v>
      </c>
      <c r="U2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22" s="66" t="n"/>
      <c r="W22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3">
      <c r="A23" s="65" t="inlineStr">
        <is>
          <t>X907742118313</t>
        </is>
      </c>
      <c r="B23" s="65" t="inlineStr">
        <is>
          <t>Edwards</t>
        </is>
      </c>
      <c r="C23" s="65" t="inlineStr">
        <is>
          <t>Harry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Y</t>
        </is>
      </c>
      <c r="G23" s="34" t="n">
        <v>95</v>
      </c>
      <c r="H23" s="34" t="n">
        <v>111</v>
      </c>
      <c r="I23" s="67">
        <f>IF(ISNUMBER(tblY10[[#This Row],[Avg KS2]]),IFERROR(VLOOKUP(STANDARDIZE(tblY10[[#This Row],[Avg KS2]],AVERAGE(tblY10[[Avg KS2]]),_xlfn.STDEV.P(tblY10[[Avg KS2]])),_Stanine,2),5),"")</f>
        <v>7</v>
      </c>
      <c r="J23" s="66" t="inlineStr">
        <is>
          <t>10S/Sc2</t>
        </is>
      </c>
      <c r="K23" s="67">
        <f>IF(tblY10[[#This Row],[Preferred Last name]]="","",COUNTIFS($N$1:$ZZ$1,"*"&amp;CHAR(10)&amp;"Stanine",$N23:$ZZ23,"&gt;=1"))</f>
        <v>4</v>
      </c>
      <c r="L23" s="68">
        <f>IFERROR(AVERAGEIF($N$1:$ZZ$1,"*"&amp;CHAR(10)&amp;"Stanine",$N23:$ZZ23),"")</f>
        <v>6.5</v>
      </c>
      <c r="M23" s="69">
        <f>IF(AND(ISNUMBER(tblY10[[#This Row],[Mean Stanine]]),ISNUMBER(tblY10[[#This Row],[Avg KS2 Band]])),tblY10[[#This Row],[Mean Stanine]]-tblY10[[#This Row],[Avg KS2 Band]],"")</f>
        <v>-0.5</v>
      </c>
      <c r="N23" s="66" t="n">
        <v>22</v>
      </c>
      <c r="O2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23" s="66" t="n">
        <v>21</v>
      </c>
      <c r="Q2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23" s="66" t="n">
        <v>27</v>
      </c>
      <c r="S2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23" s="66" t="n">
        <v>30</v>
      </c>
      <c r="U2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23" s="66" t="inlineStr">
        <is>
          <t>A</t>
        </is>
      </c>
      <c r="W23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4">
      <c r="A24" s="65" t="inlineStr">
        <is>
          <t>X907724962628</t>
        </is>
      </c>
      <c r="B24" s="65" t="inlineStr">
        <is>
          <t>Edwards</t>
        </is>
      </c>
      <c r="C24" s="65" t="inlineStr">
        <is>
          <t>Harry</t>
        </is>
      </c>
      <c r="D24" s="66" t="inlineStr">
        <is>
          <t>F</t>
        </is>
      </c>
      <c r="E24" s="66" t="inlineStr">
        <is>
          <t>N</t>
        </is>
      </c>
      <c r="F24" s="66" t="inlineStr">
        <is>
          <t>Y</t>
        </is>
      </c>
      <c r="G24" s="34" t="n">
        <v>94.5</v>
      </c>
      <c r="H24" s="34" t="n">
        <v>95.5</v>
      </c>
      <c r="I24" s="67">
        <f>IF(ISNUMBER(tblY10[[#This Row],[Avg KS2]]),IFERROR(VLOOKUP(STANDARDIZE(tblY10[[#This Row],[Avg KS2]],AVERAGE(tblY10[[Avg KS2]]),_xlfn.STDEV.P(tblY10[[Avg KS2]])),_Stanine,2),5),"")</f>
        <v>2</v>
      </c>
      <c r="J24" s="66" t="inlineStr">
        <is>
          <t>10S/Sc4</t>
        </is>
      </c>
      <c r="K24" s="67">
        <f>IF(tblY10[[#This Row],[Preferred Last name]]="","",COUNTIFS($N$1:$ZZ$1,"*"&amp;CHAR(10)&amp;"Stanine",$N24:$ZZ24,"&gt;=1"))</f>
        <v>4</v>
      </c>
      <c r="L24" s="68">
        <f>IFERROR(AVERAGEIF($N$1:$ZZ$1,"*"&amp;CHAR(10)&amp;"Stanine",$N24:$ZZ24),"")</f>
        <v>4.5</v>
      </c>
      <c r="M24" s="69">
        <f>IF(AND(ISNUMBER(tblY10[[#This Row],[Mean Stanine]]),ISNUMBER(tblY10[[#This Row],[Avg KS2 Band]])),tblY10[[#This Row],[Mean Stanine]]-tblY10[[#This Row],[Avg KS2 Band]],"")</f>
        <v>2.5</v>
      </c>
      <c r="N24" s="66" t="n">
        <v>14</v>
      </c>
      <c r="O2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24" s="66" t="n">
        <v>19</v>
      </c>
      <c r="Q2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24" s="66" t="n">
        <v>24</v>
      </c>
      <c r="S2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24" s="66" t="n">
        <v>12</v>
      </c>
      <c r="U2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24" s="66" t="n"/>
      <c r="W24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5">
      <c r="A25" s="65" t="inlineStr">
        <is>
          <t>X901351546995</t>
        </is>
      </c>
      <c r="B25" s="65" t="inlineStr">
        <is>
          <t>Edwards</t>
        </is>
      </c>
      <c r="C25" s="65" t="inlineStr">
        <is>
          <t>Zara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Y</t>
        </is>
      </c>
      <c r="G25" s="34" t="n">
        <v>88.3</v>
      </c>
      <c r="H25" s="34" t="n">
        <v>106</v>
      </c>
      <c r="I25" s="67">
        <f>IF(ISNUMBER(tblY10[[#This Row],[Avg KS2]]),IFERROR(VLOOKUP(STANDARDIZE(tblY10[[#This Row],[Avg KS2]],AVERAGE(tblY10[[Avg KS2]]),_xlfn.STDEV.P(tblY10[[Avg KS2]])),_Stanine,2),5),"")</f>
        <v>6</v>
      </c>
      <c r="J25" s="66" t="inlineStr">
        <is>
          <t>10S/Sc3</t>
        </is>
      </c>
      <c r="K25" s="67">
        <f>IF(tblY10[[#This Row],[Preferred Last name]]="","",COUNTIFS($N$1:$ZZ$1,"*"&amp;CHAR(10)&amp;"Stanine",$N25:$ZZ25,"&gt;=1"))</f>
        <v>4</v>
      </c>
      <c r="L25" s="68">
        <f>IFERROR(AVERAGEIF($N$1:$ZZ$1,"*"&amp;CHAR(10)&amp;"Stanine",$N25:$ZZ25),"")</f>
        <v>7.5</v>
      </c>
      <c r="M25" s="69">
        <f>IF(AND(ISNUMBER(tblY10[[#This Row],[Mean Stanine]]),ISNUMBER(tblY10[[#This Row],[Avg KS2 Band]])),tblY10[[#This Row],[Mean Stanine]]-tblY10[[#This Row],[Avg KS2 Band]],"")</f>
        <v>1.5</v>
      </c>
      <c r="N25" s="66" t="n">
        <v>33</v>
      </c>
      <c r="O2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25" s="66" t="n">
        <v>26</v>
      </c>
      <c r="Q2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25" s="66" t="n">
        <v>28</v>
      </c>
      <c r="S2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25" s="66" t="n">
        <v>28</v>
      </c>
      <c r="U2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25" s="66" t="n"/>
      <c r="W2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6">
      <c r="A26" s="65" t="inlineStr">
        <is>
          <t>X903598057802</t>
        </is>
      </c>
      <c r="B26" s="65" t="inlineStr">
        <is>
          <t>Evans</t>
        </is>
      </c>
      <c r="C26" s="65" t="inlineStr">
        <is>
          <t>Evie</t>
        </is>
      </c>
      <c r="D26" s="66" t="inlineStr">
        <is>
          <t>M</t>
        </is>
      </c>
      <c r="E26" s="66" t="n"/>
      <c r="F26" s="66" t="inlineStr">
        <is>
          <t>N</t>
        </is>
      </c>
      <c r="G26" s="34" t="n">
        <v>92.5</v>
      </c>
      <c r="H26" s="34" t="n">
        <v>119</v>
      </c>
      <c r="I26" s="67">
        <f>IF(ISNUMBER(tblY10[[#This Row],[Avg KS2]]),IFERROR(VLOOKUP(STANDARDIZE(tblY10[[#This Row],[Avg KS2]],AVERAGE(tblY10[[Avg KS2]]),_xlfn.STDEV.P(tblY10[[Avg KS2]])),_Stanine,2),5),"")</f>
        <v>9</v>
      </c>
      <c r="J26" s="66" t="inlineStr">
        <is>
          <t>10S/Sc1</t>
        </is>
      </c>
      <c r="K26" s="67">
        <f>IF(tblY10[[#This Row],[Preferred Last name]]="","",COUNTIFS($N$1:$ZZ$1,"*"&amp;CHAR(10)&amp;"Stanine",$N26:$ZZ26,"&gt;=1"))</f>
        <v>5</v>
      </c>
      <c r="L26" s="68">
        <f>IFERROR(AVERAGEIF($N$1:$ZZ$1,"*"&amp;CHAR(10)&amp;"Stanine",$N26:$ZZ26),"")</f>
        <v>8.6</v>
      </c>
      <c r="M26" s="69">
        <f>IF(AND(ISNUMBER(tblY10[[#This Row],[Mean Stanine]]),ISNUMBER(tblY10[[#This Row],[Avg KS2 Band]])),tblY10[[#This Row],[Mean Stanine]]-tblY10[[#This Row],[Avg KS2 Band]],"")</f>
        <v>-0.4</v>
      </c>
      <c r="N26" s="66" t="n">
        <v>36</v>
      </c>
      <c r="O2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26" s="66" t="n">
        <v>34</v>
      </c>
      <c r="Q2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9</v>
      </c>
      <c r="R26" s="66" t="n">
        <v>33</v>
      </c>
      <c r="S2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26" s="66" t="n">
        <v>37</v>
      </c>
      <c r="U2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9</v>
      </c>
      <c r="V26" s="66" t="n">
        <v>34</v>
      </c>
      <c r="W2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8</v>
      </c>
    </row>
    <row r="27">
      <c r="A27" s="65" t="inlineStr">
        <is>
          <t>X901970120306</t>
        </is>
      </c>
      <c r="B27" s="65" t="inlineStr">
        <is>
          <t>Fletcher</t>
        </is>
      </c>
      <c r="C27" s="65" t="inlineStr">
        <is>
          <t>Charlie</t>
        </is>
      </c>
      <c r="D27" s="66" t="inlineStr">
        <is>
          <t>M</t>
        </is>
      </c>
      <c r="E27" s="66" t="inlineStr">
        <is>
          <t>N</t>
        </is>
      </c>
      <c r="F27" s="66" t="inlineStr">
        <is>
          <t>Y</t>
        </is>
      </c>
      <c r="G27" s="34" t="n">
        <v>91.5</v>
      </c>
      <c r="H27" s="34" t="n">
        <v>101.5</v>
      </c>
      <c r="I27" s="67">
        <f>IF(ISNUMBER(tblY10[[#This Row],[Avg KS2]]),IFERROR(VLOOKUP(STANDARDIZE(tblY10[[#This Row],[Avg KS2]],AVERAGE(tblY10[[Avg KS2]]),_xlfn.STDEV.P(tblY10[[Avg KS2]])),_Stanine,2),5),"")</f>
        <v>4</v>
      </c>
      <c r="J27" s="66" t="inlineStr">
        <is>
          <t>10S/Sc3</t>
        </is>
      </c>
      <c r="K27" s="67">
        <f>IF(tblY10[[#This Row],[Preferred Last name]]="","",COUNTIFS($N$1:$ZZ$1,"*"&amp;CHAR(10)&amp;"Stanine",$N27:$ZZ27,"&gt;=1"))</f>
        <v>3</v>
      </c>
      <c r="L27" s="68">
        <f>IFERROR(AVERAGEIF($N$1:$ZZ$1,"*"&amp;CHAR(10)&amp;"Stanine",$N27:$ZZ27),"")</f>
        <v>4</v>
      </c>
      <c r="M27" s="69">
        <f>IF(AND(ISNUMBER(tblY10[[#This Row],[Mean Stanine]]),ISNUMBER(tblY10[[#This Row],[Avg KS2 Band]])),tblY10[[#This Row],[Mean Stanine]]-tblY10[[#This Row],[Avg KS2 Band]],"")</f>
        <v>0</v>
      </c>
      <c r="N27" s="66" t="n">
        <v>12</v>
      </c>
      <c r="O2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27" s="66" t="n">
        <v>20</v>
      </c>
      <c r="Q2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27" s="66" t="n">
        <v>16</v>
      </c>
      <c r="S2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27" s="66" t="inlineStr">
        <is>
          <t>A</t>
        </is>
      </c>
      <c r="U27" s="67" t="str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/>
      </c>
      <c r="V27" s="66" t="n"/>
      <c r="W27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28">
      <c r="A28" s="65" t="inlineStr">
        <is>
          <t>X902889518447</t>
        </is>
      </c>
      <c r="B28" s="65" t="inlineStr">
        <is>
          <t>Fletcher</t>
        </is>
      </c>
      <c r="C28" s="65" t="inlineStr">
        <is>
          <t>Keira</t>
        </is>
      </c>
      <c r="D28" s="66" t="inlineStr">
        <is>
          <t>F</t>
        </is>
      </c>
      <c r="E28" s="66" t="inlineStr">
        <is>
          <t>N</t>
        </is>
      </c>
      <c r="F28" s="66" t="inlineStr">
        <is>
          <t>N</t>
        </is>
      </c>
      <c r="G28" s="34" t="n">
        <v>96.3</v>
      </c>
      <c r="H28" s="34" t="n">
        <v>103</v>
      </c>
      <c r="I28" s="67">
        <f>IF(ISNUMBER(tblY10[[#This Row],[Avg KS2]]),IFERROR(VLOOKUP(STANDARDIZE(tblY10[[#This Row],[Avg KS2]],AVERAGE(tblY10[[Avg KS2]]),_xlfn.STDEV.P(tblY10[[Avg KS2]])),_Stanine,2),5),"")</f>
        <v>5</v>
      </c>
      <c r="J28" s="66" t="inlineStr">
        <is>
          <t>10S/Sc2</t>
        </is>
      </c>
      <c r="K28" s="67">
        <f>IF(tblY10[[#This Row],[Preferred Last name]]="","",COUNTIFS($N$1:$ZZ$1,"*"&amp;CHAR(10)&amp;"Stanine",$N28:$ZZ28,"&gt;=1"))</f>
        <v>5</v>
      </c>
      <c r="L28" s="68">
        <f>IFERROR(AVERAGEIF($N$1:$ZZ$1,"*"&amp;CHAR(10)&amp;"Stanine",$N28:$ZZ28),"")</f>
        <v>7</v>
      </c>
      <c r="M28" s="69">
        <f>IF(AND(ISNUMBER(tblY10[[#This Row],[Mean Stanine]]),ISNUMBER(tblY10[[#This Row],[Avg KS2 Band]])),tblY10[[#This Row],[Mean Stanine]]-tblY10[[#This Row],[Avg KS2 Band]],"")</f>
        <v>2</v>
      </c>
      <c r="N28" s="66" t="n">
        <v>25</v>
      </c>
      <c r="O2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28" s="66" t="n">
        <v>29</v>
      </c>
      <c r="Q2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28" s="66" t="n">
        <v>28</v>
      </c>
      <c r="S2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28" s="66" t="n">
        <v>28</v>
      </c>
      <c r="U2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28" s="66" t="n">
        <v>28</v>
      </c>
      <c r="W2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29">
      <c r="A29" s="65" t="inlineStr">
        <is>
          <t>X907322069275</t>
        </is>
      </c>
      <c r="B29" s="65" t="inlineStr">
        <is>
          <t>Fletcher</t>
        </is>
      </c>
      <c r="C29" s="65" t="inlineStr">
        <is>
          <t>Rosie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95.2</v>
      </c>
      <c r="H29" s="34" t="n">
        <v>103.5</v>
      </c>
      <c r="I29" s="67">
        <f>IF(ISNUMBER(tblY10[[#This Row],[Avg KS2]]),IFERROR(VLOOKUP(STANDARDIZE(tblY10[[#This Row],[Avg KS2]],AVERAGE(tblY10[[Avg KS2]]),_xlfn.STDEV.P(tblY10[[Avg KS2]])),_Stanine,2),5),"")</f>
        <v>5</v>
      </c>
      <c r="J29" s="66" t="inlineStr">
        <is>
          <t>10S/Sc2</t>
        </is>
      </c>
      <c r="K29" s="67">
        <f>IF(tblY10[[#This Row],[Preferred Last name]]="","",COUNTIFS($N$1:$ZZ$1,"*"&amp;CHAR(10)&amp;"Stanine",$N29:$ZZ29,"&gt;=1"))</f>
        <v>5</v>
      </c>
      <c r="L29" s="68">
        <f>IFERROR(AVERAGEIF($N$1:$ZZ$1,"*"&amp;CHAR(10)&amp;"Stanine",$N29:$ZZ29),"")</f>
        <v>3.6</v>
      </c>
      <c r="M29" s="69">
        <f>IF(AND(ISNUMBER(tblY10[[#This Row],[Mean Stanine]]),ISNUMBER(tblY10[[#This Row],[Avg KS2 Band]])),tblY10[[#This Row],[Mean Stanine]]-tblY10[[#This Row],[Avg KS2 Band]],"")</f>
        <v>-1.4</v>
      </c>
      <c r="N29" s="66" t="n">
        <v>13</v>
      </c>
      <c r="O2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29" s="66" t="n">
        <v>19</v>
      </c>
      <c r="Q2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29" s="66" t="n">
        <v>18</v>
      </c>
      <c r="S2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29" s="66" t="n">
        <v>11</v>
      </c>
      <c r="U2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29" s="66" t="n">
        <v>10</v>
      </c>
      <c r="W29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30">
      <c r="A30" s="65" t="inlineStr">
        <is>
          <t>X907915888591</t>
        </is>
      </c>
      <c r="B30" s="65" t="inlineStr">
        <is>
          <t>Green</t>
        </is>
      </c>
      <c r="C30" s="65" t="inlineStr">
        <is>
          <t>Callum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94.3</v>
      </c>
      <c r="H30" s="34" t="n">
        <v>114.5</v>
      </c>
      <c r="I30" s="67">
        <f>IF(ISNUMBER(tblY10[[#This Row],[Avg KS2]]),IFERROR(VLOOKUP(STANDARDIZE(tblY10[[#This Row],[Avg KS2]],AVERAGE(tblY10[[Avg KS2]]),_xlfn.STDEV.P(tblY10[[Avg KS2]])),_Stanine,2),5),"")</f>
        <v>9</v>
      </c>
      <c r="J30" s="66" t="inlineStr">
        <is>
          <t>10S/Sc1</t>
        </is>
      </c>
      <c r="K30" s="67">
        <f>IF(tblY10[[#This Row],[Preferred Last name]]="","",COUNTIFS($N$1:$ZZ$1,"*"&amp;CHAR(10)&amp;"Stanine",$N30:$ZZ30,"&gt;=1"))</f>
        <v>5</v>
      </c>
      <c r="L30" s="68">
        <f>IFERROR(AVERAGEIF($N$1:$ZZ$1,"*"&amp;CHAR(10)&amp;"Stanine",$N30:$ZZ30),"")</f>
        <v>8.2</v>
      </c>
      <c r="M30" s="69">
        <f>IF(AND(ISNUMBER(tblY10[[#This Row],[Mean Stanine]]),ISNUMBER(tblY10[[#This Row],[Avg KS2 Band]])),tblY10[[#This Row],[Mean Stanine]]-tblY10[[#This Row],[Avg KS2 Band]],"")</f>
        <v>-0.800000000000001</v>
      </c>
      <c r="N30" s="66" t="n">
        <v>34</v>
      </c>
      <c r="O3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30" s="66" t="n">
        <v>32</v>
      </c>
      <c r="Q3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30" s="66" t="n">
        <v>32</v>
      </c>
      <c r="S3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30" s="66" t="n">
        <v>32</v>
      </c>
      <c r="U3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30" s="66" t="n">
        <v>33</v>
      </c>
      <c r="W3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8</v>
      </c>
    </row>
    <row r="31">
      <c r="A31" s="65" t="inlineStr">
        <is>
          <t>X904655279186</t>
        </is>
      </c>
      <c r="B31" s="65" t="inlineStr">
        <is>
          <t>Green</t>
        </is>
      </c>
      <c r="C31" s="65" t="inlineStr">
        <is>
          <t>Freya</t>
        </is>
      </c>
      <c r="D31" s="66" t="inlineStr">
        <is>
          <t>M</t>
        </is>
      </c>
      <c r="E31" s="66" t="inlineStr">
        <is>
          <t>N</t>
        </is>
      </c>
      <c r="F31" s="66" t="inlineStr">
        <is>
          <t>Y</t>
        </is>
      </c>
      <c r="G31" s="34" t="n">
        <v>94.8</v>
      </c>
      <c r="H31" s="34" t="n">
        <v>101</v>
      </c>
      <c r="I31" s="67">
        <f>IF(ISNUMBER(tblY10[[#This Row],[Avg KS2]]),IFERROR(VLOOKUP(STANDARDIZE(tblY10[[#This Row],[Avg KS2]],AVERAGE(tblY10[[Avg KS2]]),_xlfn.STDEV.P(tblY10[[Avg KS2]])),_Stanine,2),5),"")</f>
        <v>4</v>
      </c>
      <c r="J31" s="66" t="inlineStr">
        <is>
          <t>10S/Sc3</t>
        </is>
      </c>
      <c r="K31" s="67">
        <f>IF(tblY10[[#This Row],[Preferred Last name]]="","",COUNTIFS($N$1:$ZZ$1,"*"&amp;CHAR(10)&amp;"Stanine",$N31:$ZZ31,"&gt;=1"))</f>
        <v>4</v>
      </c>
      <c r="L31" s="68">
        <f>IFERROR(AVERAGEIF($N$1:$ZZ$1,"*"&amp;CHAR(10)&amp;"Stanine",$N31:$ZZ31),"")</f>
        <v>3.25</v>
      </c>
      <c r="M31" s="69">
        <f>IF(AND(ISNUMBER(tblY10[[#This Row],[Mean Stanine]]),ISNUMBER(tblY10[[#This Row],[Avg KS2 Band]])),tblY10[[#This Row],[Mean Stanine]]-tblY10[[#This Row],[Avg KS2 Band]],"")</f>
        <v>-0.75</v>
      </c>
      <c r="N31" s="66" t="n">
        <v>10</v>
      </c>
      <c r="O3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31" s="66" t="n">
        <v>13</v>
      </c>
      <c r="Q3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31" s="66" t="n">
        <v>16</v>
      </c>
      <c r="S3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31" s="66" t="n">
        <v>10</v>
      </c>
      <c r="U3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31" s="66" t="n"/>
      <c r="W3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32">
      <c r="A32" s="65" t="inlineStr">
        <is>
          <t>X901028507712</t>
        </is>
      </c>
      <c r="B32" s="65" t="inlineStr">
        <is>
          <t>Green</t>
        </is>
      </c>
      <c r="C32" s="65" t="inlineStr">
        <is>
          <t>Hollie</t>
        </is>
      </c>
      <c r="D32" s="66" t="inlineStr">
        <is>
          <t>F</t>
        </is>
      </c>
      <c r="E32" s="66" t="inlineStr">
        <is>
          <t>N</t>
        </is>
      </c>
      <c r="F32" s="66" t="inlineStr">
        <is>
          <t>N</t>
        </is>
      </c>
      <c r="G32" s="34" t="n">
        <v>94.5</v>
      </c>
      <c r="H32" s="34" t="n">
        <v>103</v>
      </c>
      <c r="I32" s="67">
        <f>IF(ISNUMBER(tblY10[[#This Row],[Avg KS2]]),IFERROR(VLOOKUP(STANDARDIZE(tblY10[[#This Row],[Avg KS2]],AVERAGE(tblY10[[Avg KS2]]),_xlfn.STDEV.P(tblY10[[Avg KS2]])),_Stanine,2),5),"")</f>
        <v>5</v>
      </c>
      <c r="J32" s="66" t="inlineStr">
        <is>
          <t>10S/Sc1</t>
        </is>
      </c>
      <c r="K32" s="67">
        <f>IF(tblY10[[#This Row],[Preferred Last name]]="","",COUNTIFS($N$1:$ZZ$1,"*"&amp;CHAR(10)&amp;"Stanine",$N32:$ZZ32,"&gt;=1"))</f>
        <v>5</v>
      </c>
      <c r="L32" s="68">
        <f>IFERROR(AVERAGEIF($N$1:$ZZ$1,"*"&amp;CHAR(10)&amp;"Stanine",$N32:$ZZ32),"")</f>
        <v>5.4</v>
      </c>
      <c r="M32" s="69">
        <f>IF(AND(ISNUMBER(tblY10[[#This Row],[Mean Stanine]]),ISNUMBER(tblY10[[#This Row],[Avg KS2 Band]])),tblY10[[#This Row],[Mean Stanine]]-tblY10[[#This Row],[Avg KS2 Band]],"")</f>
        <v>0.4</v>
      </c>
      <c r="N32" s="66" t="n">
        <v>20</v>
      </c>
      <c r="O3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32" s="66" t="n">
        <v>20</v>
      </c>
      <c r="Q3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32" s="66" t="n">
        <v>24</v>
      </c>
      <c r="S3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32" s="66" t="n">
        <v>20</v>
      </c>
      <c r="U3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32" s="66" t="n">
        <v>25</v>
      </c>
      <c r="W3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33">
      <c r="A33" s="65" t="inlineStr">
        <is>
          <t>X908557116872</t>
        </is>
      </c>
      <c r="B33" s="65" t="inlineStr">
        <is>
          <t>Green</t>
        </is>
      </c>
      <c r="C33" s="65" t="inlineStr">
        <is>
          <t>Lily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Y</t>
        </is>
      </c>
      <c r="G33" s="34" t="n">
        <v>97.8</v>
      </c>
      <c r="H33" s="34" t="n">
        <v>114.5</v>
      </c>
      <c r="I33" s="67">
        <f>IF(ISNUMBER(tblY10[[#This Row],[Avg KS2]]),IFERROR(VLOOKUP(STANDARDIZE(tblY10[[#This Row],[Avg KS2]],AVERAGE(tblY10[[Avg KS2]]),_xlfn.STDEV.P(tblY10[[Avg KS2]])),_Stanine,2),5),"")</f>
        <v>9</v>
      </c>
      <c r="J33" s="66" t="inlineStr">
        <is>
          <t>10S/Sc1</t>
        </is>
      </c>
      <c r="K33" s="67">
        <f>IF(tblY10[[#This Row],[Preferred Last name]]="","",COUNTIFS($N$1:$ZZ$1,"*"&amp;CHAR(10)&amp;"Stanine",$N33:$ZZ33,"&gt;=1"))</f>
        <v>5</v>
      </c>
      <c r="L33" s="68">
        <f>IFERROR(AVERAGEIF($N$1:$ZZ$1,"*"&amp;CHAR(10)&amp;"Stanine",$N33:$ZZ33),"")</f>
        <v>8.8</v>
      </c>
      <c r="M33" s="69">
        <f>IF(AND(ISNUMBER(tblY10[[#This Row],[Mean Stanine]]),ISNUMBER(tblY10[[#This Row],[Avg KS2 Band]])),tblY10[[#This Row],[Mean Stanine]]-tblY10[[#This Row],[Avg KS2 Band]],"")</f>
        <v>-0.199999999999999</v>
      </c>
      <c r="N33" s="66" t="n">
        <v>35</v>
      </c>
      <c r="O3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33" s="66" t="n">
        <v>34</v>
      </c>
      <c r="Q3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9</v>
      </c>
      <c r="R33" s="66" t="n">
        <v>32</v>
      </c>
      <c r="S3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33" s="66" t="n">
        <v>38</v>
      </c>
      <c r="U3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9</v>
      </c>
      <c r="V33" s="66" t="n">
        <v>36</v>
      </c>
      <c r="W3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9</v>
      </c>
    </row>
    <row r="34">
      <c r="A34" s="65" t="inlineStr">
        <is>
          <t>X900982733406</t>
        </is>
      </c>
      <c r="B34" s="65" t="inlineStr">
        <is>
          <t>Green</t>
        </is>
      </c>
      <c r="C34" s="65" t="inlineStr">
        <is>
          <t>Oscar</t>
        </is>
      </c>
      <c r="D34" s="66" t="inlineStr">
        <is>
          <t>M</t>
        </is>
      </c>
      <c r="E34" s="66" t="n"/>
      <c r="F34" s="66" t="inlineStr">
        <is>
          <t>N</t>
        </is>
      </c>
      <c r="G34" s="34" t="n">
        <v>94.8</v>
      </c>
      <c r="H34" s="34" t="n">
        <v>89.5</v>
      </c>
      <c r="I34" s="67">
        <f>IF(ISNUMBER(tblY10[[#This Row],[Avg KS2]]),IFERROR(VLOOKUP(STANDARDIZE(tblY10[[#This Row],[Avg KS2]],AVERAGE(tblY10[[Avg KS2]]),_xlfn.STDEV.P(tblY10[[Avg KS2]])),_Stanine,2),5),"")</f>
        <v>1</v>
      </c>
      <c r="J34" s="66" t="inlineStr">
        <is>
          <t>10S/Sc4</t>
        </is>
      </c>
      <c r="K34" s="67">
        <f>IF(tblY10[[#This Row],[Preferred Last name]]="","",COUNTIFS($N$1:$ZZ$1,"*"&amp;CHAR(10)&amp;"Stanine",$N34:$ZZ34,"&gt;=1"))</f>
        <v>4</v>
      </c>
      <c r="L34" s="68">
        <f>IFERROR(AVERAGEIF($N$1:$ZZ$1,"*"&amp;CHAR(10)&amp;"Stanine",$N34:$ZZ34),"")</f>
        <v>1</v>
      </c>
      <c r="M34" s="69">
        <f>IF(AND(ISNUMBER(tblY10[[#This Row],[Mean Stanine]]),ISNUMBER(tblY10[[#This Row],[Avg KS2 Band]])),tblY10[[#This Row],[Mean Stanine]]-tblY10[[#This Row],[Avg KS2 Band]],"")</f>
        <v>0</v>
      </c>
      <c r="N34" s="66" t="n">
        <v>3</v>
      </c>
      <c r="O3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1</v>
      </c>
      <c r="P34" s="66" t="n">
        <v>4</v>
      </c>
      <c r="Q3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34" s="66" t="n">
        <v>3</v>
      </c>
      <c r="S3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1</v>
      </c>
      <c r="T34" s="66" t="n">
        <v>3</v>
      </c>
      <c r="U3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1</v>
      </c>
      <c r="V34" s="66" t="n"/>
      <c r="W34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35">
      <c r="A35" s="65" t="inlineStr">
        <is>
          <t>X905567854895</t>
        </is>
      </c>
      <c r="B35" s="65" t="inlineStr">
        <is>
          <t>Griffiths</t>
        </is>
      </c>
      <c r="C35" s="65" t="inlineStr">
        <is>
          <t>Grace</t>
        </is>
      </c>
      <c r="D35" s="66" t="inlineStr">
        <is>
          <t>M</t>
        </is>
      </c>
      <c r="E35" s="66" t="inlineStr">
        <is>
          <t>N</t>
        </is>
      </c>
      <c r="F35" s="66" t="inlineStr">
        <is>
          <t>N</t>
        </is>
      </c>
      <c r="G35" s="34" t="n">
        <v>88.7</v>
      </c>
      <c r="H35" s="34" t="n">
        <v>98</v>
      </c>
      <c r="I35" s="67">
        <f>IF(ISNUMBER(tblY10[[#This Row],[Avg KS2]]),IFERROR(VLOOKUP(STANDARDIZE(tblY10[[#This Row],[Avg KS2]],AVERAGE(tblY10[[Avg KS2]]),_xlfn.STDEV.P(tblY10[[Avg KS2]])),_Stanine,2),5),"")</f>
        <v>3</v>
      </c>
      <c r="J35" s="66" t="inlineStr">
        <is>
          <t>10S/Sc4</t>
        </is>
      </c>
      <c r="K35" s="67">
        <f>IF(tblY10[[#This Row],[Preferred Last name]]="","",COUNTIFS($N$1:$ZZ$1,"*"&amp;CHAR(10)&amp;"Stanine",$N35:$ZZ35,"&gt;=1"))</f>
        <v>4</v>
      </c>
      <c r="L35" s="68">
        <f>IFERROR(AVERAGEIF($N$1:$ZZ$1,"*"&amp;CHAR(10)&amp;"Stanine",$N35:$ZZ35),"")</f>
        <v>6.75</v>
      </c>
      <c r="M35" s="69">
        <f>IF(AND(ISNUMBER(tblY10[[#This Row],[Mean Stanine]]),ISNUMBER(tblY10[[#This Row],[Avg KS2 Band]])),tblY10[[#This Row],[Mean Stanine]]-tblY10[[#This Row],[Avg KS2 Band]],"")</f>
        <v>3.75</v>
      </c>
      <c r="N35" s="66" t="n">
        <v>22</v>
      </c>
      <c r="O3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35" s="66" t="n">
        <v>30</v>
      </c>
      <c r="Q3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35" s="66" t="n">
        <v>30</v>
      </c>
      <c r="S3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35" s="66" t="n">
        <v>25</v>
      </c>
      <c r="U3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35" s="66" t="n"/>
      <c r="W3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36">
      <c r="A36" s="65" t="inlineStr">
        <is>
          <t>X907714037460</t>
        </is>
      </c>
      <c r="B36" s="65" t="inlineStr">
        <is>
          <t>Hall</t>
        </is>
      </c>
      <c r="C36" s="65" t="inlineStr">
        <is>
          <t>Hollie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85.8</v>
      </c>
      <c r="H36" s="34" t="n">
        <v>99</v>
      </c>
      <c r="I36" s="67">
        <f>IF(ISNUMBER(tblY10[[#This Row],[Avg KS2]]),IFERROR(VLOOKUP(STANDARDIZE(tblY10[[#This Row],[Avg KS2]],AVERAGE(tblY10[[Avg KS2]]),_xlfn.STDEV.P(tblY10[[Avg KS2]])),_Stanine,2),5),"")</f>
        <v>3</v>
      </c>
      <c r="J36" s="66" t="inlineStr">
        <is>
          <t>10S/Sc5</t>
        </is>
      </c>
      <c r="K36" s="67">
        <f>IF(tblY10[[#This Row],[Preferred Last name]]="","",COUNTIFS($N$1:$ZZ$1,"*"&amp;CHAR(10)&amp;"Stanine",$N36:$ZZ36,"&gt;=1"))</f>
        <v>5</v>
      </c>
      <c r="L36" s="68">
        <f>IFERROR(AVERAGEIF($N$1:$ZZ$1,"*"&amp;CHAR(10)&amp;"Stanine",$N36:$ZZ36),"")</f>
        <v>1.6</v>
      </c>
      <c r="M36" s="69">
        <f>IF(AND(ISNUMBER(tblY10[[#This Row],[Mean Stanine]]),ISNUMBER(tblY10[[#This Row],[Avg KS2 Band]])),tblY10[[#This Row],[Mean Stanine]]-tblY10[[#This Row],[Avg KS2 Band]],"")</f>
        <v>-1.4</v>
      </c>
      <c r="N36" s="66" t="n">
        <v>7</v>
      </c>
      <c r="O3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2</v>
      </c>
      <c r="P36" s="66" t="n">
        <v>6</v>
      </c>
      <c r="Q3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36" s="66" t="n">
        <v>7</v>
      </c>
      <c r="S3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1</v>
      </c>
      <c r="T36" s="66" t="n">
        <v>5</v>
      </c>
      <c r="U3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36" s="66" t="n">
        <v>7</v>
      </c>
      <c r="W3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37">
      <c r="A37" s="65" t="inlineStr">
        <is>
          <t>X900270225411</t>
        </is>
      </c>
      <c r="B37" s="65" t="inlineStr">
        <is>
          <t>Hall</t>
        </is>
      </c>
      <c r="C37" s="65" t="inlineStr">
        <is>
          <t>Lewis</t>
        </is>
      </c>
      <c r="D37" s="66" t="inlineStr">
        <is>
          <t>F</t>
        </is>
      </c>
      <c r="E37" s="66" t="inlineStr">
        <is>
          <t>E</t>
        </is>
      </c>
      <c r="F37" s="66" t="inlineStr">
        <is>
          <t>N</t>
        </is>
      </c>
      <c r="G37" s="34" t="n">
        <v>96.40000000000001</v>
      </c>
      <c r="H37" s="34" t="n">
        <v>109.5</v>
      </c>
      <c r="I37" s="67">
        <f>IF(ISNUMBER(tblY10[[#This Row],[Avg KS2]]),IFERROR(VLOOKUP(STANDARDIZE(tblY10[[#This Row],[Avg KS2]],AVERAGE(tblY10[[Avg KS2]]),_xlfn.STDEV.P(tblY10[[Avg KS2]])),_Stanine,2),5),"")</f>
        <v>7</v>
      </c>
      <c r="J37" s="66" t="inlineStr">
        <is>
          <t>10S/Sc1</t>
        </is>
      </c>
      <c r="K37" s="67">
        <f>IF(tblY10[[#This Row],[Preferred Last name]]="","",COUNTIFS($N$1:$ZZ$1,"*"&amp;CHAR(10)&amp;"Stanine",$N37:$ZZ37,"&gt;=1"))</f>
        <v>5</v>
      </c>
      <c r="L37" s="68">
        <f>IFERROR(AVERAGEIF($N$1:$ZZ$1,"*"&amp;CHAR(10)&amp;"Stanine",$N37:$ZZ37),"")</f>
        <v>7.2</v>
      </c>
      <c r="M37" s="69">
        <f>IF(AND(ISNUMBER(tblY10[[#This Row],[Mean Stanine]]),ISNUMBER(tblY10[[#This Row],[Avg KS2 Band]])),tblY10[[#This Row],[Mean Stanine]]-tblY10[[#This Row],[Avg KS2 Band]],"")</f>
        <v>0.2</v>
      </c>
      <c r="N37" s="66" t="n">
        <v>30</v>
      </c>
      <c r="O3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37" s="66" t="n">
        <v>28</v>
      </c>
      <c r="Q3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37" s="66" t="n">
        <v>29</v>
      </c>
      <c r="S3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37" s="66" t="n">
        <v>28</v>
      </c>
      <c r="U3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37" s="66" t="n">
        <v>28</v>
      </c>
      <c r="W3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38">
      <c r="A38" s="65" t="inlineStr">
        <is>
          <t>X908584671701</t>
        </is>
      </c>
      <c r="B38" s="65" t="inlineStr">
        <is>
          <t>Hall</t>
        </is>
      </c>
      <c r="C38" s="65" t="inlineStr">
        <is>
          <t>Maisie</t>
        </is>
      </c>
      <c r="D38" s="66" t="inlineStr">
        <is>
          <t>F</t>
        </is>
      </c>
      <c r="E38" s="66" t="inlineStr">
        <is>
          <t>N</t>
        </is>
      </c>
      <c r="F38" s="66" t="inlineStr">
        <is>
          <t>N</t>
        </is>
      </c>
      <c r="G38" s="34" t="n">
        <v>85.09999999999999</v>
      </c>
      <c r="H38" s="34" t="n">
        <v>99</v>
      </c>
      <c r="I38" s="67">
        <f>IF(ISNUMBER(tblY10[[#This Row],[Avg KS2]]),IFERROR(VLOOKUP(STANDARDIZE(tblY10[[#This Row],[Avg KS2]],AVERAGE(tblY10[[Avg KS2]]),_xlfn.STDEV.P(tblY10[[Avg KS2]])),_Stanine,2),5),"")</f>
        <v>3</v>
      </c>
      <c r="J38" s="66" t="inlineStr">
        <is>
          <t>10S/Sc1</t>
        </is>
      </c>
      <c r="K38" s="67">
        <f>IF(tblY10[[#This Row],[Preferred Last name]]="","",COUNTIFS($N$1:$ZZ$1,"*"&amp;CHAR(10)&amp;"Stanine",$N38:$ZZ38,"&gt;=1"))</f>
        <v>5</v>
      </c>
      <c r="L38" s="68">
        <f>IFERROR(AVERAGEIF($N$1:$ZZ$1,"*"&amp;CHAR(10)&amp;"Stanine",$N38:$ZZ38),"")</f>
        <v>4.2</v>
      </c>
      <c r="M38" s="69">
        <f>IF(AND(ISNUMBER(tblY10[[#This Row],[Mean Stanine]]),ISNUMBER(tblY10[[#This Row],[Avg KS2 Band]])),tblY10[[#This Row],[Mean Stanine]]-tblY10[[#This Row],[Avg KS2 Band]],"")</f>
        <v>1.2</v>
      </c>
      <c r="N38" s="66" t="n">
        <v>20</v>
      </c>
      <c r="O3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38" s="66" t="n">
        <v>15</v>
      </c>
      <c r="Q3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38" s="66" t="n">
        <v>19</v>
      </c>
      <c r="S3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38" s="66" t="n">
        <v>14</v>
      </c>
      <c r="U3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38" s="66" t="n">
        <v>15</v>
      </c>
      <c r="W3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39">
      <c r="A39" s="65" t="inlineStr">
        <is>
          <t>X900001566312</t>
        </is>
      </c>
      <c r="B39" s="65" t="inlineStr">
        <is>
          <t>Harrison</t>
        </is>
      </c>
      <c r="C39" s="65" t="inlineStr">
        <is>
          <t>Arjun</t>
        </is>
      </c>
      <c r="D39" s="66" t="inlineStr">
        <is>
          <t>M</t>
        </is>
      </c>
      <c r="E39" s="66" t="n"/>
      <c r="F39" s="66" t="inlineStr">
        <is>
          <t>Y</t>
        </is>
      </c>
      <c r="G39" s="34" t="n">
        <v>88.5</v>
      </c>
      <c r="H39" s="34" t="n">
        <v>104</v>
      </c>
      <c r="I39" s="67">
        <f>IF(ISNUMBER(tblY10[[#This Row],[Avg KS2]]),IFERROR(VLOOKUP(STANDARDIZE(tblY10[[#This Row],[Avg KS2]],AVERAGE(tblY10[[Avg KS2]]),_xlfn.STDEV.P(tblY10[[Avg KS2]])),_Stanine,2),5),"")</f>
        <v>5</v>
      </c>
      <c r="J39" s="66" t="inlineStr">
        <is>
          <t>10S/Sc3</t>
        </is>
      </c>
      <c r="K39" s="67">
        <f>IF(tblY10[[#This Row],[Preferred Last name]]="","",COUNTIFS($N$1:$ZZ$1,"*"&amp;CHAR(10)&amp;"Stanine",$N39:$ZZ39,"&gt;=1"))</f>
        <v>4</v>
      </c>
      <c r="L39" s="68">
        <f>IFERROR(AVERAGEIF($N$1:$ZZ$1,"*"&amp;CHAR(10)&amp;"Stanine",$N39:$ZZ39),"")</f>
        <v>3.75</v>
      </c>
      <c r="M39" s="69">
        <f>IF(AND(ISNUMBER(tblY10[[#This Row],[Mean Stanine]]),ISNUMBER(tblY10[[#This Row],[Avg KS2 Band]])),tblY10[[#This Row],[Mean Stanine]]-tblY10[[#This Row],[Avg KS2 Band]],"")</f>
        <v>-1.25</v>
      </c>
      <c r="N39" s="66" t="n">
        <v>12</v>
      </c>
      <c r="O3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39" s="66" t="n">
        <v>16</v>
      </c>
      <c r="Q3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39" s="66" t="n">
        <v>14</v>
      </c>
      <c r="S3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39" s="66" t="n">
        <v>17</v>
      </c>
      <c r="U3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39" s="66" t="n"/>
      <c r="W3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0">
      <c r="A40" s="65" t="inlineStr">
        <is>
          <t>X901211337058</t>
        </is>
      </c>
      <c r="B40" s="65" t="inlineStr">
        <is>
          <t>Harrison</t>
        </is>
      </c>
      <c r="C40" s="65" t="inlineStr">
        <is>
          <t>Reuben</t>
        </is>
      </c>
      <c r="D40" s="66" t="inlineStr">
        <is>
          <t>F</t>
        </is>
      </c>
      <c r="E40" s="66" t="n"/>
      <c r="F40" s="66" t="inlineStr">
        <is>
          <t>N</t>
        </is>
      </c>
      <c r="G40" s="34" t="n">
        <v>95.59999999999999</v>
      </c>
      <c r="H40" s="34" t="n">
        <v>113</v>
      </c>
      <c r="I40" s="67">
        <f>IF(ISNUMBER(tblY10[[#This Row],[Avg KS2]]),IFERROR(VLOOKUP(STANDARDIZE(tblY10[[#This Row],[Avg KS2]],AVERAGE(tblY10[[Avg KS2]]),_xlfn.STDEV.P(tblY10[[Avg KS2]])),_Stanine,2),5),"")</f>
        <v>8</v>
      </c>
      <c r="J40" s="66" t="inlineStr">
        <is>
          <t>10S/Sc1</t>
        </is>
      </c>
      <c r="K40" s="67">
        <f>IF(tblY10[[#This Row],[Preferred Last name]]="","",COUNTIFS($N$1:$ZZ$1,"*"&amp;CHAR(10)&amp;"Stanine",$N40:$ZZ40,"&gt;=1"))</f>
        <v>5</v>
      </c>
      <c r="L40" s="68">
        <f>IFERROR(AVERAGEIF($N$1:$ZZ$1,"*"&amp;CHAR(10)&amp;"Stanine",$N40:$ZZ40),"")</f>
        <v>7.4</v>
      </c>
      <c r="M40" s="69">
        <f>IF(AND(ISNUMBER(tblY10[[#This Row],[Mean Stanine]]),ISNUMBER(tblY10[[#This Row],[Avg KS2 Band]])),tblY10[[#This Row],[Mean Stanine]]-tblY10[[#This Row],[Avg KS2 Band]],"")</f>
        <v>-0.6</v>
      </c>
      <c r="N40" s="66" t="n">
        <v>31</v>
      </c>
      <c r="O4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40" s="66" t="n">
        <v>26</v>
      </c>
      <c r="Q4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40" s="66" t="n">
        <v>27</v>
      </c>
      <c r="S4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40" s="66" t="n">
        <v>30</v>
      </c>
      <c r="U4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40" s="66" t="n">
        <v>30</v>
      </c>
      <c r="W4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41">
      <c r="A41" s="65" t="inlineStr">
        <is>
          <t>X903153598590</t>
        </is>
      </c>
      <c r="B41" s="65" t="inlineStr">
        <is>
          <t>Hughes</t>
        </is>
      </c>
      <c r="C41" s="65" t="inlineStr">
        <is>
          <t>Ella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N</t>
        </is>
      </c>
      <c r="G41" s="34" t="n">
        <v>98</v>
      </c>
      <c r="H41" s="34" t="n">
        <v>109</v>
      </c>
      <c r="I41" s="67">
        <f>IF(ISNUMBER(tblY10[[#This Row],[Avg KS2]]),IFERROR(VLOOKUP(STANDARDIZE(tblY10[[#This Row],[Avg KS2]],AVERAGE(tblY10[[Avg KS2]]),_xlfn.STDEV.P(tblY10[[Avg KS2]])),_Stanine,2),5),"")</f>
        <v>7</v>
      </c>
      <c r="J41" s="66" t="inlineStr">
        <is>
          <t>10S/Sc3</t>
        </is>
      </c>
      <c r="K41" s="67">
        <f>IF(tblY10[[#This Row],[Preferred Last name]]="","",COUNTIFS($N$1:$ZZ$1,"*"&amp;CHAR(10)&amp;"Stanine",$N41:$ZZ41,"&gt;=1"))</f>
        <v>4</v>
      </c>
      <c r="L41" s="68">
        <f>IFERROR(AVERAGEIF($N$1:$ZZ$1,"*"&amp;CHAR(10)&amp;"Stanine",$N41:$ZZ41),"")</f>
        <v>7.25</v>
      </c>
      <c r="M41" s="69">
        <f>IF(AND(ISNUMBER(tblY10[[#This Row],[Mean Stanine]]),ISNUMBER(tblY10[[#This Row],[Avg KS2 Band]])),tblY10[[#This Row],[Mean Stanine]]-tblY10[[#This Row],[Avg KS2 Band]],"")</f>
        <v>0.25</v>
      </c>
      <c r="N41" s="66" t="n">
        <v>27</v>
      </c>
      <c r="O4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41" s="66" t="n">
        <v>28</v>
      </c>
      <c r="Q4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41" s="66" t="n">
        <v>28</v>
      </c>
      <c r="S4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41" s="66" t="n">
        <v>30</v>
      </c>
      <c r="U4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41" s="66" t="n"/>
      <c r="W4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2">
      <c r="A42" s="65" t="inlineStr">
        <is>
          <t>X902837372399</t>
        </is>
      </c>
      <c r="B42" s="65" t="inlineStr">
        <is>
          <t>Hughes</t>
        </is>
      </c>
      <c r="C42" s="65" t="inlineStr">
        <is>
          <t>Oscar</t>
        </is>
      </c>
      <c r="D42" s="66" t="inlineStr">
        <is>
          <t>M</t>
        </is>
      </c>
      <c r="E42" s="66" t="n"/>
      <c r="F42" s="66" t="inlineStr">
        <is>
          <t>N</t>
        </is>
      </c>
      <c r="G42" s="34" t="n">
        <v>92.5</v>
      </c>
      <c r="H42" s="34" t="n">
        <v>107</v>
      </c>
      <c r="I42" s="67">
        <f>IF(ISNUMBER(tblY10[[#This Row],[Avg KS2]]),IFERROR(VLOOKUP(STANDARDIZE(tblY10[[#This Row],[Avg KS2]],AVERAGE(tblY10[[Avg KS2]]),_xlfn.STDEV.P(tblY10[[Avg KS2]])),_Stanine,2),5),"")</f>
        <v>6</v>
      </c>
      <c r="J42" s="66" t="inlineStr">
        <is>
          <t>10S/Sc3</t>
        </is>
      </c>
      <c r="K42" s="67">
        <f>IF(tblY10[[#This Row],[Preferred Last name]]="","",COUNTIFS($N$1:$ZZ$1,"*"&amp;CHAR(10)&amp;"Stanine",$N42:$ZZ42,"&gt;=1"))</f>
        <v>4</v>
      </c>
      <c r="L42" s="68">
        <f>IFERROR(AVERAGEIF($N$1:$ZZ$1,"*"&amp;CHAR(10)&amp;"Stanine",$N42:$ZZ42),"")</f>
        <v>7.75</v>
      </c>
      <c r="M42" s="69">
        <f>IF(AND(ISNUMBER(tblY10[[#This Row],[Mean Stanine]]),ISNUMBER(tblY10[[#This Row],[Avg KS2 Band]])),tblY10[[#This Row],[Mean Stanine]]-tblY10[[#This Row],[Avg KS2 Band]],"")</f>
        <v>1.75</v>
      </c>
      <c r="N42" s="66" t="n">
        <v>31</v>
      </c>
      <c r="O4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42" s="66" t="n">
        <v>30</v>
      </c>
      <c r="Q4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42" s="66" t="n">
        <v>28</v>
      </c>
      <c r="S4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42" s="66" t="n">
        <v>32</v>
      </c>
      <c r="U4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42" s="66" t="n"/>
      <c r="W42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3">
      <c r="A43" s="65" t="inlineStr">
        <is>
          <t>X904063191692</t>
        </is>
      </c>
      <c r="B43" s="65" t="inlineStr">
        <is>
          <t>Hussain</t>
        </is>
      </c>
      <c r="C43" s="65" t="inlineStr">
        <is>
          <t>Arthur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N</t>
        </is>
      </c>
      <c r="G43" s="34" t="n">
        <v>98.3</v>
      </c>
      <c r="H43" s="34" t="n">
        <v>102.5</v>
      </c>
      <c r="I43" s="67">
        <f>IF(ISNUMBER(tblY10[[#This Row],[Avg KS2]]),IFERROR(VLOOKUP(STANDARDIZE(tblY10[[#This Row],[Avg KS2]],AVERAGE(tblY10[[Avg KS2]]),_xlfn.STDEV.P(tblY10[[Avg KS2]])),_Stanine,2),5),"")</f>
        <v>4</v>
      </c>
      <c r="J43" s="66" t="inlineStr">
        <is>
          <t>10S/Sc4</t>
        </is>
      </c>
      <c r="K43" s="67">
        <f>IF(tblY10[[#This Row],[Preferred Last name]]="","",COUNTIFS($N$1:$ZZ$1,"*"&amp;CHAR(10)&amp;"Stanine",$N43:$ZZ43,"&gt;=1"))</f>
        <v>4</v>
      </c>
      <c r="L43" s="68">
        <f>IFERROR(AVERAGEIF($N$1:$ZZ$1,"*"&amp;CHAR(10)&amp;"Stanine",$N43:$ZZ43),"")</f>
        <v>3.75</v>
      </c>
      <c r="M43" s="69">
        <f>IF(AND(ISNUMBER(tblY10[[#This Row],[Mean Stanine]]),ISNUMBER(tblY10[[#This Row],[Avg KS2 Band]])),tblY10[[#This Row],[Mean Stanine]]-tblY10[[#This Row],[Avg KS2 Band]],"")</f>
        <v>-0.25</v>
      </c>
      <c r="N43" s="66" t="n">
        <v>15</v>
      </c>
      <c r="O4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43" s="66" t="n">
        <v>17</v>
      </c>
      <c r="Q4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43" s="66" t="n">
        <v>11</v>
      </c>
      <c r="S4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43" s="66" t="n">
        <v>21</v>
      </c>
      <c r="U4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43" s="66" t="n"/>
      <c r="W43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4">
      <c r="A44" s="65" t="inlineStr">
        <is>
          <t>X904953206144</t>
        </is>
      </c>
      <c r="B44" s="65" t="inlineStr">
        <is>
          <t>Hussain</t>
        </is>
      </c>
      <c r="C44" s="65" t="inlineStr">
        <is>
          <t>Dylan</t>
        </is>
      </c>
      <c r="D44" s="66" t="inlineStr">
        <is>
          <t>M</t>
        </is>
      </c>
      <c r="E44" s="66" t="n"/>
      <c r="F44" s="66" t="inlineStr">
        <is>
          <t>N</t>
        </is>
      </c>
      <c r="G44" s="34" t="n">
        <v>89.5</v>
      </c>
      <c r="H44" s="34" t="n">
        <v>106</v>
      </c>
      <c r="I44" s="67">
        <f>IF(ISNUMBER(tblY10[[#This Row],[Avg KS2]]),IFERROR(VLOOKUP(STANDARDIZE(tblY10[[#This Row],[Avg KS2]],AVERAGE(tblY10[[Avg KS2]]),_xlfn.STDEV.P(tblY10[[Avg KS2]])),_Stanine,2),5),"")</f>
        <v>6</v>
      </c>
      <c r="J44" s="66" t="inlineStr">
        <is>
          <t>10S/Sc3</t>
        </is>
      </c>
      <c r="K44" s="67">
        <f>IF(tblY10[[#This Row],[Preferred Last name]]="","",COUNTIFS($N$1:$ZZ$1,"*"&amp;CHAR(10)&amp;"Stanine",$N44:$ZZ44,"&gt;=1"))</f>
        <v>4</v>
      </c>
      <c r="L44" s="68">
        <f>IFERROR(AVERAGEIF($N$1:$ZZ$1,"*"&amp;CHAR(10)&amp;"Stanine",$N44:$ZZ44),"")</f>
        <v>6.25</v>
      </c>
      <c r="M44" s="69">
        <f>IF(AND(ISNUMBER(tblY10[[#This Row],[Mean Stanine]]),ISNUMBER(tblY10[[#This Row],[Avg KS2 Band]])),tblY10[[#This Row],[Mean Stanine]]-tblY10[[#This Row],[Avg KS2 Band]],"")</f>
        <v>0.25</v>
      </c>
      <c r="N44" s="66" t="n">
        <v>22</v>
      </c>
      <c r="O4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44" s="66" t="n">
        <v>25</v>
      </c>
      <c r="Q4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44" s="66" t="n">
        <v>27</v>
      </c>
      <c r="S4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44" s="66" t="n">
        <v>22</v>
      </c>
      <c r="U4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44" s="66" t="n"/>
      <c r="W44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5">
      <c r="A45" s="65" t="inlineStr">
        <is>
          <t>X909642562147</t>
        </is>
      </c>
      <c r="B45" s="65" t="inlineStr">
        <is>
          <t>Hussain</t>
        </is>
      </c>
      <c r="C45" s="65" t="inlineStr">
        <is>
          <t>Kai</t>
        </is>
      </c>
      <c r="D45" s="66" t="inlineStr">
        <is>
          <t>F</t>
        </is>
      </c>
      <c r="E45" s="66" t="n"/>
      <c r="F45" s="66" t="inlineStr">
        <is>
          <t>N</t>
        </is>
      </c>
      <c r="G45" s="34" t="n">
        <v>93.59999999999999</v>
      </c>
      <c r="H45" s="34" t="n">
        <v>99.5</v>
      </c>
      <c r="I45" s="67">
        <f>IF(ISNUMBER(tblY10[[#This Row],[Avg KS2]]),IFERROR(VLOOKUP(STANDARDIZE(tblY10[[#This Row],[Avg KS2]],AVERAGE(tblY10[[Avg KS2]]),_xlfn.STDEV.P(tblY10[[Avg KS2]])),_Stanine,2),5),"")</f>
        <v>3</v>
      </c>
      <c r="J45" s="66" t="inlineStr">
        <is>
          <t>10S/Sc3</t>
        </is>
      </c>
      <c r="K45" s="67">
        <f>IF(tblY10[[#This Row],[Preferred Last name]]="","",COUNTIFS($N$1:$ZZ$1,"*"&amp;CHAR(10)&amp;"Stanine",$N45:$ZZ45,"&gt;=1"))</f>
        <v>4</v>
      </c>
      <c r="L45" s="68">
        <f>IFERROR(AVERAGEIF($N$1:$ZZ$1,"*"&amp;CHAR(10)&amp;"Stanine",$N45:$ZZ45),"")</f>
        <v>4.5</v>
      </c>
      <c r="M45" s="69">
        <f>IF(AND(ISNUMBER(tblY10[[#This Row],[Mean Stanine]]),ISNUMBER(tblY10[[#This Row],[Avg KS2 Band]])),tblY10[[#This Row],[Mean Stanine]]-tblY10[[#This Row],[Avg KS2 Band]],"")</f>
        <v>1.5</v>
      </c>
      <c r="N45" s="66" t="n">
        <v>21</v>
      </c>
      <c r="O4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45" s="66" t="n">
        <v>18</v>
      </c>
      <c r="Q4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45" s="66" t="n">
        <v>18</v>
      </c>
      <c r="S4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45" s="66" t="n">
        <v>15</v>
      </c>
      <c r="U4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45" s="66" t="n"/>
      <c r="W4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6">
      <c r="A46" s="65" t="inlineStr">
        <is>
          <t>X905026468728</t>
        </is>
      </c>
      <c r="B46" s="65" t="inlineStr">
        <is>
          <t>Hussain</t>
        </is>
      </c>
      <c r="C46" s="65" t="inlineStr">
        <is>
          <t>Layla</t>
        </is>
      </c>
      <c r="D46" s="66" t="inlineStr">
        <is>
          <t>M</t>
        </is>
      </c>
      <c r="E46" s="66" t="inlineStr">
        <is>
          <t>N</t>
        </is>
      </c>
      <c r="F46" s="66" t="inlineStr">
        <is>
          <t>N</t>
        </is>
      </c>
      <c r="G46" s="34" t="n">
        <v>85.2</v>
      </c>
      <c r="H46" s="34" t="n">
        <v>103</v>
      </c>
      <c r="I46" s="67">
        <f>IF(ISNUMBER(tblY10[[#This Row],[Avg KS2]]),IFERROR(VLOOKUP(STANDARDIZE(tblY10[[#This Row],[Avg KS2]],AVERAGE(tblY10[[Avg KS2]]),_xlfn.STDEV.P(tblY10[[Avg KS2]])),_Stanine,2),5),"")</f>
        <v>5</v>
      </c>
      <c r="J46" s="66" t="inlineStr">
        <is>
          <t>10S/Sc2</t>
        </is>
      </c>
      <c r="K46" s="67">
        <f>IF(tblY10[[#This Row],[Preferred Last name]]="","",COUNTIFS($N$1:$ZZ$1,"*"&amp;CHAR(10)&amp;"Stanine",$N46:$ZZ46,"&gt;=1"))</f>
        <v>5</v>
      </c>
      <c r="L46" s="68">
        <f>IFERROR(AVERAGEIF($N$1:$ZZ$1,"*"&amp;CHAR(10)&amp;"Stanine",$N46:$ZZ46),"")</f>
        <v>5.6</v>
      </c>
      <c r="M46" s="69">
        <f>IF(AND(ISNUMBER(tblY10[[#This Row],[Mean Stanine]]),ISNUMBER(tblY10[[#This Row],[Avg KS2 Band]])),tblY10[[#This Row],[Mean Stanine]]-tblY10[[#This Row],[Avg KS2 Band]],"")</f>
        <v>0.6</v>
      </c>
      <c r="N46" s="66" t="n">
        <v>20</v>
      </c>
      <c r="O4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46" s="66" t="n">
        <v>25</v>
      </c>
      <c r="Q4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46" s="66" t="n">
        <v>24</v>
      </c>
      <c r="S4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46" s="66" t="n">
        <v>24</v>
      </c>
      <c r="U4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46" s="66" t="n">
        <v>23</v>
      </c>
      <c r="W4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47">
      <c r="A47" s="65" t="inlineStr">
        <is>
          <t>X907369739611</t>
        </is>
      </c>
      <c r="B47" s="65" t="inlineStr">
        <is>
          <t>Jackson</t>
        </is>
      </c>
      <c r="C47" s="65" t="inlineStr">
        <is>
          <t>Finley</t>
        </is>
      </c>
      <c r="D47" s="66" t="inlineStr">
        <is>
          <t>F</t>
        </is>
      </c>
      <c r="E47" s="66" t="n"/>
      <c r="F47" s="66" t="inlineStr">
        <is>
          <t>N</t>
        </is>
      </c>
      <c r="G47" s="34" t="n">
        <v>92.2</v>
      </c>
      <c r="H47" s="34" t="n">
        <v>102</v>
      </c>
      <c r="I47" s="67">
        <f>IF(ISNUMBER(tblY10[[#This Row],[Avg KS2]]),IFERROR(VLOOKUP(STANDARDIZE(tblY10[[#This Row],[Avg KS2]],AVERAGE(tblY10[[Avg KS2]]),_xlfn.STDEV.P(tblY10[[Avg KS2]])),_Stanine,2),5),"")</f>
        <v>4</v>
      </c>
      <c r="J47" s="66" t="inlineStr">
        <is>
          <t>10S/Sc3</t>
        </is>
      </c>
      <c r="K47" s="67">
        <f>IF(tblY10[[#This Row],[Preferred Last name]]="","",COUNTIFS($N$1:$ZZ$1,"*"&amp;CHAR(10)&amp;"Stanine",$N47:$ZZ47,"&gt;=1"))</f>
        <v>4</v>
      </c>
      <c r="L47" s="68">
        <f>IFERROR(AVERAGEIF($N$1:$ZZ$1,"*"&amp;CHAR(10)&amp;"Stanine",$N47:$ZZ47),"")</f>
        <v>6</v>
      </c>
      <c r="M47" s="69">
        <f>IF(AND(ISNUMBER(tblY10[[#This Row],[Mean Stanine]]),ISNUMBER(tblY10[[#This Row],[Avg KS2 Band]])),tblY10[[#This Row],[Mean Stanine]]-tblY10[[#This Row],[Avg KS2 Band]],"")</f>
        <v>2</v>
      </c>
      <c r="N47" s="66" t="n">
        <v>21</v>
      </c>
      <c r="O4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47" s="66" t="n">
        <v>22</v>
      </c>
      <c r="Q4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47" s="66" t="n">
        <v>27</v>
      </c>
      <c r="S4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47" s="66" t="n">
        <v>23</v>
      </c>
      <c r="U4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47" s="66" t="n"/>
      <c r="W47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8">
      <c r="A48" s="65" t="inlineStr">
        <is>
          <t>X909449157729</t>
        </is>
      </c>
      <c r="B48" s="65" t="inlineStr">
        <is>
          <t>Jackson</t>
        </is>
      </c>
      <c r="C48" s="65" t="inlineStr">
        <is>
          <t>Niamh</t>
        </is>
      </c>
      <c r="D48" s="66" t="inlineStr">
        <is>
          <t>M</t>
        </is>
      </c>
      <c r="E48" s="66" t="n"/>
      <c r="F48" s="66" t="inlineStr">
        <is>
          <t>Y</t>
        </is>
      </c>
      <c r="G48" s="34" t="n">
        <v>100</v>
      </c>
      <c r="H48" s="34" t="n">
        <v>98</v>
      </c>
      <c r="I48" s="67">
        <f>IF(ISNUMBER(tblY10[[#This Row],[Avg KS2]]),IFERROR(VLOOKUP(STANDARDIZE(tblY10[[#This Row],[Avg KS2]],AVERAGE(tblY10[[Avg KS2]]),_xlfn.STDEV.P(tblY10[[Avg KS2]])),_Stanine,2),5),"")</f>
        <v>3</v>
      </c>
      <c r="J48" s="66" t="inlineStr">
        <is>
          <t>10S/Sc5</t>
        </is>
      </c>
      <c r="K48" s="67">
        <f>IF(tblY10[[#This Row],[Preferred Last name]]="","",COUNTIFS($N$1:$ZZ$1,"*"&amp;CHAR(10)&amp;"Stanine",$N48:$ZZ48,"&gt;=1"))</f>
        <v>4</v>
      </c>
      <c r="L48" s="68">
        <f>IFERROR(AVERAGEIF($N$1:$ZZ$1,"*"&amp;CHAR(10)&amp;"Stanine",$N48:$ZZ48),"")</f>
        <v>2</v>
      </c>
      <c r="M48" s="69">
        <f>IF(AND(ISNUMBER(tblY10[[#This Row],[Mean Stanine]]),ISNUMBER(tblY10[[#This Row],[Avg KS2 Band]])),tblY10[[#This Row],[Mean Stanine]]-tblY10[[#This Row],[Avg KS2 Band]],"")</f>
        <v>-1</v>
      </c>
      <c r="N48" s="66" t="n">
        <v>5</v>
      </c>
      <c r="O4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2</v>
      </c>
      <c r="P48" s="66" t="n">
        <v>7</v>
      </c>
      <c r="Q4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48" s="66" t="n">
        <v>9</v>
      </c>
      <c r="S4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48" s="66" t="n">
        <v>7</v>
      </c>
      <c r="U4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48" s="66" t="inlineStr">
        <is>
          <t>A</t>
        </is>
      </c>
      <c r="W48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49">
      <c r="A49" s="65" t="inlineStr">
        <is>
          <t>X904253209871</t>
        </is>
      </c>
      <c r="B49" s="65" t="inlineStr">
        <is>
          <t>Kelly</t>
        </is>
      </c>
      <c r="C49" s="65" t="inlineStr">
        <is>
          <t>Evie</t>
        </is>
      </c>
      <c r="D49" s="66" t="inlineStr">
        <is>
          <t>M</t>
        </is>
      </c>
      <c r="E49" s="66" t="inlineStr">
        <is>
          <t>K</t>
        </is>
      </c>
      <c r="F49" s="66" t="inlineStr">
        <is>
          <t>N</t>
        </is>
      </c>
      <c r="G49" s="34" t="n">
        <v>86.7</v>
      </c>
      <c r="H49" s="34" t="n">
        <v>112</v>
      </c>
      <c r="I49" s="67">
        <f>IF(ISNUMBER(tblY10[[#This Row],[Avg KS2]]),IFERROR(VLOOKUP(STANDARDIZE(tblY10[[#This Row],[Avg KS2]],AVERAGE(tblY10[[Avg KS2]]),_xlfn.STDEV.P(tblY10[[Avg KS2]])),_Stanine,2),5),"")</f>
        <v>8</v>
      </c>
      <c r="J49" s="66" t="inlineStr">
        <is>
          <t>10S/Sc3</t>
        </is>
      </c>
      <c r="K49" s="67">
        <f>IF(tblY10[[#This Row],[Preferred Last name]]="","",COUNTIFS($N$1:$ZZ$1,"*"&amp;CHAR(10)&amp;"Stanine",$N49:$ZZ49,"&gt;=1"))</f>
        <v>4</v>
      </c>
      <c r="L49" s="68">
        <f>IFERROR(AVERAGEIF($N$1:$ZZ$1,"*"&amp;CHAR(10)&amp;"Stanine",$N49:$ZZ49),"")</f>
        <v>5.5</v>
      </c>
      <c r="M49" s="69">
        <f>IF(AND(ISNUMBER(tblY10[[#This Row],[Mean Stanine]]),ISNUMBER(tblY10[[#This Row],[Avg KS2 Band]])),tblY10[[#This Row],[Mean Stanine]]-tblY10[[#This Row],[Avg KS2 Band]],"")</f>
        <v>-2.5</v>
      </c>
      <c r="N49" s="66" t="n">
        <v>23</v>
      </c>
      <c r="O4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49" s="66" t="n">
        <v>22</v>
      </c>
      <c r="Q4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49" s="66" t="n">
        <v>24</v>
      </c>
      <c r="S4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49" s="66" t="n">
        <v>20</v>
      </c>
      <c r="U4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49" s="66" t="n"/>
      <c r="W4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50">
      <c r="A50" s="65" t="inlineStr">
        <is>
          <t>X902982166218</t>
        </is>
      </c>
      <c r="B50" s="65" t="inlineStr">
        <is>
          <t>Khan</t>
        </is>
      </c>
      <c r="C50" s="65" t="inlineStr">
        <is>
          <t>Dylan</t>
        </is>
      </c>
      <c r="D50" s="66" t="inlineStr">
        <is>
          <t>M</t>
        </is>
      </c>
      <c r="E50" s="66" t="n"/>
      <c r="F50" s="66" t="inlineStr">
        <is>
          <t>Y</t>
        </is>
      </c>
      <c r="G50" s="34" t="n">
        <v>87.8</v>
      </c>
      <c r="H50" s="34" t="n">
        <v>99</v>
      </c>
      <c r="I50" s="67">
        <f>IF(ISNUMBER(tblY10[[#This Row],[Avg KS2]]),IFERROR(VLOOKUP(STANDARDIZE(tblY10[[#This Row],[Avg KS2]],AVERAGE(tblY10[[Avg KS2]]),_xlfn.STDEV.P(tblY10[[Avg KS2]])),_Stanine,2),5),"")</f>
        <v>3</v>
      </c>
      <c r="J50" s="66" t="inlineStr">
        <is>
          <t>10S/Sc2</t>
        </is>
      </c>
      <c r="K50" s="67">
        <f>IF(tblY10[[#This Row],[Preferred Last name]]="","",COUNTIFS($N$1:$ZZ$1,"*"&amp;CHAR(10)&amp;"Stanine",$N50:$ZZ50,"&gt;=1"))</f>
        <v>5</v>
      </c>
      <c r="L50" s="68">
        <f>IFERROR(AVERAGEIF($N$1:$ZZ$1,"*"&amp;CHAR(10)&amp;"Stanine",$N50:$ZZ50),"")</f>
        <v>4.2</v>
      </c>
      <c r="M50" s="69">
        <f>IF(AND(ISNUMBER(tblY10[[#This Row],[Mean Stanine]]),ISNUMBER(tblY10[[#This Row],[Avg KS2 Band]])),tblY10[[#This Row],[Mean Stanine]]-tblY10[[#This Row],[Avg KS2 Band]],"")</f>
        <v>1.2</v>
      </c>
      <c r="N50" s="66" t="n">
        <v>21</v>
      </c>
      <c r="O5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50" s="66" t="n">
        <v>15</v>
      </c>
      <c r="Q5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50" s="66" t="n">
        <v>16</v>
      </c>
      <c r="S5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50" s="66" t="n">
        <v>11</v>
      </c>
      <c r="U5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50" s="66" t="n">
        <v>16</v>
      </c>
      <c r="W5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51">
      <c r="A51" s="65" t="inlineStr">
        <is>
          <t>X902073303655</t>
        </is>
      </c>
      <c r="B51" s="65" t="inlineStr">
        <is>
          <t>Khan</t>
        </is>
      </c>
      <c r="C51" s="65" t="inlineStr">
        <is>
          <t>Kai</t>
        </is>
      </c>
      <c r="D51" s="66" t="inlineStr">
        <is>
          <t>M</t>
        </is>
      </c>
      <c r="E51" s="66" t="n"/>
      <c r="F51" s="66" t="inlineStr">
        <is>
          <t>Y</t>
        </is>
      </c>
      <c r="G51" s="34" t="n">
        <v>90.7</v>
      </c>
      <c r="H51" s="34" t="n">
        <v>102.5</v>
      </c>
      <c r="I51" s="67">
        <f>IF(ISNUMBER(tblY10[[#This Row],[Avg KS2]]),IFERROR(VLOOKUP(STANDARDIZE(tblY10[[#This Row],[Avg KS2]],AVERAGE(tblY10[[Avg KS2]]),_xlfn.STDEV.P(tblY10[[Avg KS2]])),_Stanine,2),5),"")</f>
        <v>4</v>
      </c>
      <c r="J51" s="66" t="inlineStr">
        <is>
          <t>10S/Sc2</t>
        </is>
      </c>
      <c r="K51" s="67">
        <f>IF(tblY10[[#This Row],[Preferred Last name]]="","",COUNTIFS($N$1:$ZZ$1,"*"&amp;CHAR(10)&amp;"Stanine",$N51:$ZZ51,"&gt;=1"))</f>
        <v>5</v>
      </c>
      <c r="L51" s="68">
        <f>IFERROR(AVERAGEIF($N$1:$ZZ$1,"*"&amp;CHAR(10)&amp;"Stanine",$N51:$ZZ51),"")</f>
        <v>5</v>
      </c>
      <c r="M51" s="69">
        <f>IF(AND(ISNUMBER(tblY10[[#This Row],[Mean Stanine]]),ISNUMBER(tblY10[[#This Row],[Avg KS2 Band]])),tblY10[[#This Row],[Mean Stanine]]-tblY10[[#This Row],[Avg KS2 Band]],"")</f>
        <v>1</v>
      </c>
      <c r="N51" s="66" t="n">
        <v>19</v>
      </c>
      <c r="O5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51" s="66" t="n">
        <v>23</v>
      </c>
      <c r="Q5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51" s="66" t="n">
        <v>19</v>
      </c>
      <c r="S5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51" s="66" t="n">
        <v>20</v>
      </c>
      <c r="U5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51" s="66" t="n">
        <v>22</v>
      </c>
      <c r="W51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52">
      <c r="A52" s="65" t="inlineStr">
        <is>
          <t>X902172911249</t>
        </is>
      </c>
      <c r="B52" s="65" t="inlineStr">
        <is>
          <t>Khan</t>
        </is>
      </c>
      <c r="C52" s="65" t="inlineStr">
        <is>
          <t>Leo</t>
        </is>
      </c>
      <c r="D52" s="66" t="inlineStr">
        <is>
          <t>F</t>
        </is>
      </c>
      <c r="E52" s="66" t="inlineStr">
        <is>
          <t>N</t>
        </is>
      </c>
      <c r="F52" s="66" t="inlineStr">
        <is>
          <t>N</t>
        </is>
      </c>
      <c r="G52" s="34" t="n">
        <v>100</v>
      </c>
      <c r="H52" s="34" t="n">
        <v>109.5</v>
      </c>
      <c r="I52" s="67">
        <f>IF(ISNUMBER(tblY10[[#This Row],[Avg KS2]]),IFERROR(VLOOKUP(STANDARDIZE(tblY10[[#This Row],[Avg KS2]],AVERAGE(tblY10[[Avg KS2]]),_xlfn.STDEV.P(tblY10[[Avg KS2]])),_Stanine,2),5),"")</f>
        <v>7</v>
      </c>
      <c r="J52" s="66" t="inlineStr">
        <is>
          <t>10S/Sc2</t>
        </is>
      </c>
      <c r="K52" s="67">
        <f>IF(tblY10[[#This Row],[Preferred Last name]]="","",COUNTIFS($N$1:$ZZ$1,"*"&amp;CHAR(10)&amp;"Stanine",$N52:$ZZ52,"&gt;=1"))</f>
        <v>3</v>
      </c>
      <c r="L52" s="68">
        <f>IFERROR(AVERAGEIF($N$1:$ZZ$1,"*"&amp;CHAR(10)&amp;"Stanine",$N52:$ZZ52),"")</f>
        <v>7.66666666666667</v>
      </c>
      <c r="M52" s="69">
        <f>IF(AND(ISNUMBER(tblY10[[#This Row],[Mean Stanine]]),ISNUMBER(tblY10[[#This Row],[Avg KS2 Band]])),tblY10[[#This Row],[Mean Stanine]]-tblY10[[#This Row],[Avg KS2 Band]],"")</f>
        <v>0.666666666666667</v>
      </c>
      <c r="N52" s="66" t="inlineStr">
        <is>
          <t>A</t>
        </is>
      </c>
      <c r="O52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52" s="66" t="inlineStr">
        <is>
          <t>A</t>
        </is>
      </c>
      <c r="Q52" s="67" t="str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/>
      </c>
      <c r="R52" s="66" t="n">
        <v>32</v>
      </c>
      <c r="S5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52" s="66" t="n">
        <v>31</v>
      </c>
      <c r="U5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52" s="66" t="n">
        <v>29</v>
      </c>
      <c r="W5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53">
      <c r="A53" s="65" t="inlineStr">
        <is>
          <t>X900525877246</t>
        </is>
      </c>
      <c r="B53" s="65" t="inlineStr">
        <is>
          <t>Khan</t>
        </is>
      </c>
      <c r="C53" s="65" t="inlineStr">
        <is>
          <t>Maya</t>
        </is>
      </c>
      <c r="D53" s="66" t="inlineStr">
        <is>
          <t>F</t>
        </is>
      </c>
      <c r="E53" s="66" t="n"/>
      <c r="F53" s="66" t="inlineStr">
        <is>
          <t>N</t>
        </is>
      </c>
      <c r="G53" s="34" t="n">
        <v>96.8</v>
      </c>
      <c r="H53" s="34" t="n">
        <v>104.5</v>
      </c>
      <c r="I53" s="67">
        <f>IF(ISNUMBER(tblY10[[#This Row],[Avg KS2]]),IFERROR(VLOOKUP(STANDARDIZE(tblY10[[#This Row],[Avg KS2]],AVERAGE(tblY10[[Avg KS2]]),_xlfn.STDEV.P(tblY10[[Avg KS2]])),_Stanine,2),5),"")</f>
        <v>5</v>
      </c>
      <c r="J53" s="66" t="inlineStr">
        <is>
          <t>10S/Sc2</t>
        </is>
      </c>
      <c r="K53" s="67">
        <f>IF(tblY10[[#This Row],[Preferred Last name]]="","",COUNTIFS($N$1:$ZZ$1,"*"&amp;CHAR(10)&amp;"Stanine",$N53:$ZZ53,"&gt;=1"))</f>
        <v>4</v>
      </c>
      <c r="L53" s="68">
        <f>IFERROR(AVERAGEIF($N$1:$ZZ$1,"*"&amp;CHAR(10)&amp;"Stanine",$N53:$ZZ53),"")</f>
        <v>5.75</v>
      </c>
      <c r="M53" s="69">
        <f>IF(AND(ISNUMBER(tblY10[[#This Row],[Mean Stanine]]),ISNUMBER(tblY10[[#This Row],[Avg KS2 Band]])),tblY10[[#This Row],[Mean Stanine]]-tblY10[[#This Row],[Avg KS2 Band]],"")</f>
        <v>0.75</v>
      </c>
      <c r="N53" s="66" t="n">
        <v>21</v>
      </c>
      <c r="O5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53" s="66" t="n">
        <v>21</v>
      </c>
      <c r="Q5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53" s="66" t="n">
        <v>27</v>
      </c>
      <c r="S5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53" s="66" t="inlineStr">
        <is>
          <t>A</t>
        </is>
      </c>
      <c r="U53" s="67" t="str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/>
      </c>
      <c r="V53" s="66" t="n">
        <v>20</v>
      </c>
      <c r="W5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54">
      <c r="A54" s="65" t="inlineStr">
        <is>
          <t>X902623969661</t>
        </is>
      </c>
      <c r="B54" s="65" t="inlineStr">
        <is>
          <t>Kowalski</t>
        </is>
      </c>
      <c r="C54" s="65" t="inlineStr">
        <is>
          <t>Hannah</t>
        </is>
      </c>
      <c r="D54" s="66" t="inlineStr">
        <is>
          <t>F</t>
        </is>
      </c>
      <c r="E54" s="66" t="inlineStr">
        <is>
          <t>N</t>
        </is>
      </c>
      <c r="F54" s="66" t="inlineStr">
        <is>
          <t>Y</t>
        </is>
      </c>
      <c r="G54" s="34" t="n">
        <v>90.3</v>
      </c>
      <c r="H54" s="34" t="n">
        <v>112.5</v>
      </c>
      <c r="I54" s="67">
        <f>IF(ISNUMBER(tblY10[[#This Row],[Avg KS2]]),IFERROR(VLOOKUP(STANDARDIZE(tblY10[[#This Row],[Avg KS2]],AVERAGE(tblY10[[Avg KS2]]),_xlfn.STDEV.P(tblY10[[Avg KS2]])),_Stanine,2),5),"")</f>
        <v>8</v>
      </c>
      <c r="J54" s="66" t="inlineStr">
        <is>
          <t>10S/Sc1</t>
        </is>
      </c>
      <c r="K54" s="67">
        <f>IF(tblY10[[#This Row],[Preferred Last name]]="","",COUNTIFS($N$1:$ZZ$1,"*"&amp;CHAR(10)&amp;"Stanine",$N54:$ZZ54,"&gt;=1"))</f>
        <v>5</v>
      </c>
      <c r="L54" s="68">
        <f>IFERROR(AVERAGEIF($N$1:$ZZ$1,"*"&amp;CHAR(10)&amp;"Stanine",$N54:$ZZ54),"")</f>
        <v>6.4</v>
      </c>
      <c r="M54" s="69">
        <f>IF(AND(ISNUMBER(tblY10[[#This Row],[Mean Stanine]]),ISNUMBER(tblY10[[#This Row],[Avg KS2 Band]])),tblY10[[#This Row],[Mean Stanine]]-tblY10[[#This Row],[Avg KS2 Band]],"")</f>
        <v>-1.6</v>
      </c>
      <c r="N54" s="66" t="n">
        <v>28</v>
      </c>
      <c r="O5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54" s="66" t="n">
        <v>22</v>
      </c>
      <c r="Q5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54" s="66" t="n">
        <v>28</v>
      </c>
      <c r="S5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54" s="66" t="n">
        <v>28</v>
      </c>
      <c r="U5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54" s="66" t="n">
        <v>26</v>
      </c>
      <c r="W5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55">
      <c r="A55" s="65" t="inlineStr">
        <is>
          <t>X909993102556</t>
        </is>
      </c>
      <c r="B55" s="65" t="inlineStr">
        <is>
          <t>Kowalski</t>
        </is>
      </c>
      <c r="C55" s="65" t="inlineStr">
        <is>
          <t>Zofia</t>
        </is>
      </c>
      <c r="D55" s="66" t="inlineStr">
        <is>
          <t>F</t>
        </is>
      </c>
      <c r="E55" s="66" t="n"/>
      <c r="F55" s="66" t="inlineStr">
        <is>
          <t>N</t>
        </is>
      </c>
      <c r="G55" s="34" t="n">
        <v>95.59999999999999</v>
      </c>
      <c r="H55" s="34" t="n">
        <v>110.5</v>
      </c>
      <c r="I55" s="67">
        <f>IF(ISNUMBER(tblY10[[#This Row],[Avg KS2]]),IFERROR(VLOOKUP(STANDARDIZE(tblY10[[#This Row],[Avg KS2]],AVERAGE(tblY10[[Avg KS2]]),_xlfn.STDEV.P(tblY10[[Avg KS2]])),_Stanine,2),5),"")</f>
        <v>7</v>
      </c>
      <c r="J55" s="66" t="inlineStr">
        <is>
          <t>10S/Sc3</t>
        </is>
      </c>
      <c r="K55" s="67">
        <f>IF(tblY10[[#This Row],[Preferred Last name]]="","",COUNTIFS($N$1:$ZZ$1,"*"&amp;CHAR(10)&amp;"Stanine",$N55:$ZZ55,"&gt;=1"))</f>
        <v>4</v>
      </c>
      <c r="L55" s="68">
        <f>IFERROR(AVERAGEIF($N$1:$ZZ$1,"*"&amp;CHAR(10)&amp;"Stanine",$N55:$ZZ55),"")</f>
        <v>6</v>
      </c>
      <c r="M55" s="69">
        <f>IF(AND(ISNUMBER(tblY10[[#This Row],[Mean Stanine]]),ISNUMBER(tblY10[[#This Row],[Avg KS2 Band]])),tblY10[[#This Row],[Mean Stanine]]-tblY10[[#This Row],[Avg KS2 Band]],"")</f>
        <v>-1</v>
      </c>
      <c r="N55" s="66" t="n">
        <v>25</v>
      </c>
      <c r="O5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55" s="66" t="n">
        <v>23</v>
      </c>
      <c r="Q5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55" s="66" t="n">
        <v>24</v>
      </c>
      <c r="S5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55" s="66" t="n">
        <v>21</v>
      </c>
      <c r="U5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55" s="66" t="n"/>
      <c r="W5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56">
      <c r="A56" s="65" t="inlineStr">
        <is>
          <t>X903346149582</t>
        </is>
      </c>
      <c r="B56" s="65" t="inlineStr">
        <is>
          <t>Lewis</t>
        </is>
      </c>
      <c r="C56" s="65" t="inlineStr">
        <is>
          <t>Layla</t>
        </is>
      </c>
      <c r="D56" s="66" t="inlineStr">
        <is>
          <t>F</t>
        </is>
      </c>
      <c r="E56" s="66" t="inlineStr">
        <is>
          <t>N</t>
        </is>
      </c>
      <c r="F56" s="66" t="inlineStr">
        <is>
          <t>N</t>
        </is>
      </c>
      <c r="G56" s="34" t="n">
        <v>96.3</v>
      </c>
      <c r="H56" s="34" t="n">
        <v>99</v>
      </c>
      <c r="I56" s="67">
        <f>IF(ISNUMBER(tblY10[[#This Row],[Avg KS2]]),IFERROR(VLOOKUP(STANDARDIZE(tblY10[[#This Row],[Avg KS2]],AVERAGE(tblY10[[Avg KS2]]),_xlfn.STDEV.P(tblY10[[Avg KS2]])),_Stanine,2),5),"")</f>
        <v>3</v>
      </c>
      <c r="J56" s="66" t="inlineStr">
        <is>
          <t>10S/Sc5</t>
        </is>
      </c>
      <c r="K56" s="67">
        <f>IF(tblY10[[#This Row],[Preferred Last name]]="","",COUNTIFS($N$1:$ZZ$1,"*"&amp;CHAR(10)&amp;"Stanine",$N56:$ZZ56,"&gt;=1"))</f>
        <v>5</v>
      </c>
      <c r="L56" s="68">
        <f>IFERROR(AVERAGEIF($N$1:$ZZ$1,"*"&amp;CHAR(10)&amp;"Stanine",$N56:$ZZ56),"")</f>
        <v>2.8</v>
      </c>
      <c r="M56" s="69">
        <f>IF(AND(ISNUMBER(tblY10[[#This Row],[Mean Stanine]]),ISNUMBER(tblY10[[#This Row],[Avg KS2 Band]])),tblY10[[#This Row],[Mean Stanine]]-tblY10[[#This Row],[Avg KS2 Band]],"")</f>
        <v>-0.2</v>
      </c>
      <c r="N56" s="66" t="n">
        <v>10</v>
      </c>
      <c r="O5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56" s="66" t="n">
        <v>13</v>
      </c>
      <c r="Q5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56" s="66" t="n">
        <v>14</v>
      </c>
      <c r="S5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56" s="66" t="n">
        <v>7</v>
      </c>
      <c r="U5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56" s="66" t="n">
        <v>11</v>
      </c>
      <c r="W5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57">
      <c r="A57" s="65" t="inlineStr">
        <is>
          <t>X900354464622</t>
        </is>
      </c>
      <c r="B57" s="65" t="inlineStr">
        <is>
          <t>Lewis</t>
        </is>
      </c>
      <c r="C57" s="65" t="inlineStr">
        <is>
          <t>Maisie</t>
        </is>
      </c>
      <c r="D57" s="66" t="inlineStr">
        <is>
          <t>M</t>
        </is>
      </c>
      <c r="E57" s="66" t="inlineStr">
        <is>
          <t>N</t>
        </is>
      </c>
      <c r="F57" s="66" t="inlineStr">
        <is>
          <t>N</t>
        </is>
      </c>
      <c r="G57" s="34" t="n">
        <v>100</v>
      </c>
      <c r="H57" s="34" t="n">
        <v>104</v>
      </c>
      <c r="I57" s="67">
        <f>IF(ISNUMBER(tblY10[[#This Row],[Avg KS2]]),IFERROR(VLOOKUP(STANDARDIZE(tblY10[[#This Row],[Avg KS2]],AVERAGE(tblY10[[Avg KS2]]),_xlfn.STDEV.P(tblY10[[Avg KS2]])),_Stanine,2),5),"")</f>
        <v>5</v>
      </c>
      <c r="J57" s="66" t="inlineStr">
        <is>
          <t>10S/Sc2</t>
        </is>
      </c>
      <c r="K57" s="67">
        <f>IF(tblY10[[#This Row],[Preferred Last name]]="","",COUNTIFS($N$1:$ZZ$1,"*"&amp;CHAR(10)&amp;"Stanine",$N57:$ZZ57,"&gt;=1"))</f>
        <v>5</v>
      </c>
      <c r="L57" s="68">
        <f>IFERROR(AVERAGEIF($N$1:$ZZ$1,"*"&amp;CHAR(10)&amp;"Stanine",$N57:$ZZ57),"")</f>
        <v>3.6</v>
      </c>
      <c r="M57" s="69">
        <f>IF(AND(ISNUMBER(tblY10[[#This Row],[Mean Stanine]]),ISNUMBER(tblY10[[#This Row],[Avg KS2 Band]])),tblY10[[#This Row],[Mean Stanine]]-tblY10[[#This Row],[Avg KS2 Band]],"")</f>
        <v>-1.4</v>
      </c>
      <c r="N57" s="66" t="n">
        <v>10</v>
      </c>
      <c r="O5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57" s="66" t="n">
        <v>15</v>
      </c>
      <c r="Q5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57" s="66" t="n">
        <v>15</v>
      </c>
      <c r="S5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57" s="66" t="n">
        <v>17</v>
      </c>
      <c r="U5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57" s="66" t="n">
        <v>11</v>
      </c>
      <c r="W5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58">
      <c r="A58" s="65" t="inlineStr">
        <is>
          <t>X900597773849</t>
        </is>
      </c>
      <c r="B58" s="65" t="inlineStr">
        <is>
          <t>Lewis</t>
        </is>
      </c>
      <c r="C58" s="65" t="inlineStr">
        <is>
          <t>Rhys</t>
        </is>
      </c>
      <c r="D58" s="66" t="inlineStr">
        <is>
          <t>F</t>
        </is>
      </c>
      <c r="E58" s="66" t="inlineStr">
        <is>
          <t>K</t>
        </is>
      </c>
      <c r="F58" s="66" t="inlineStr">
        <is>
          <t>N</t>
        </is>
      </c>
      <c r="G58" s="34" t="n">
        <v>94.90000000000001</v>
      </c>
      <c r="H58" s="34" t="n">
        <v>113</v>
      </c>
      <c r="I58" s="67">
        <f>IF(ISNUMBER(tblY10[[#This Row],[Avg KS2]]),IFERROR(VLOOKUP(STANDARDIZE(tblY10[[#This Row],[Avg KS2]],AVERAGE(tblY10[[Avg KS2]]),_xlfn.STDEV.P(tblY10[[Avg KS2]])),_Stanine,2),5),"")</f>
        <v>8</v>
      </c>
      <c r="J58" s="66" t="inlineStr">
        <is>
          <t>10S/Sc4</t>
        </is>
      </c>
      <c r="K58" s="67">
        <f>IF(tblY10[[#This Row],[Preferred Last name]]="","",COUNTIFS($N$1:$ZZ$1,"*"&amp;CHAR(10)&amp;"Stanine",$N58:$ZZ58,"&gt;=1"))</f>
        <v>4</v>
      </c>
      <c r="L58" s="68">
        <f>IFERROR(AVERAGEIF($N$1:$ZZ$1,"*"&amp;CHAR(10)&amp;"Stanine",$N58:$ZZ58),"")</f>
        <v>3.25</v>
      </c>
      <c r="M58" s="69">
        <f>IF(AND(ISNUMBER(tblY10[[#This Row],[Mean Stanine]]),ISNUMBER(tblY10[[#This Row],[Avg KS2 Band]])),tblY10[[#This Row],[Mean Stanine]]-tblY10[[#This Row],[Avg KS2 Band]],"")</f>
        <v>-4.75</v>
      </c>
      <c r="N58" s="66" t="n">
        <v>10</v>
      </c>
      <c r="O5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58" s="66" t="n">
        <v>10</v>
      </c>
      <c r="Q5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58" s="66" t="n">
        <v>20</v>
      </c>
      <c r="S5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58" s="66" t="n">
        <v>12</v>
      </c>
      <c r="U5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58" s="66" t="n"/>
      <c r="W58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59">
      <c r="A59" s="65" t="inlineStr">
        <is>
          <t>X904205904052</t>
        </is>
      </c>
      <c r="B59" s="65" t="inlineStr">
        <is>
          <t>Lloyd</t>
        </is>
      </c>
      <c r="C59" s="65" t="inlineStr">
        <is>
          <t>Arthur</t>
        </is>
      </c>
      <c r="D59" s="66" t="inlineStr">
        <is>
          <t>F</t>
        </is>
      </c>
      <c r="E59" s="66" t="inlineStr">
        <is>
          <t>K</t>
        </is>
      </c>
      <c r="F59" s="66" t="inlineStr">
        <is>
          <t>Y</t>
        </is>
      </c>
      <c r="G59" s="34" t="n">
        <v>98.7</v>
      </c>
      <c r="H59" s="34" t="n">
        <v>97.5</v>
      </c>
      <c r="I59" s="67">
        <f>IF(ISNUMBER(tblY10[[#This Row],[Avg KS2]]),IFERROR(VLOOKUP(STANDARDIZE(tblY10[[#This Row],[Avg KS2]],AVERAGE(tblY10[[Avg KS2]]),_xlfn.STDEV.P(tblY10[[Avg KS2]])),_Stanine,2),5),"")</f>
        <v>3</v>
      </c>
      <c r="J59" s="66" t="inlineStr">
        <is>
          <t>10S/Sc5</t>
        </is>
      </c>
      <c r="K59" s="67">
        <f>IF(tblY10[[#This Row],[Preferred Last name]]="","",COUNTIFS($N$1:$ZZ$1,"*"&amp;CHAR(10)&amp;"Stanine",$N59:$ZZ59,"&gt;=1"))</f>
        <v>5</v>
      </c>
      <c r="L59" s="68">
        <f>IFERROR(AVERAGEIF($N$1:$ZZ$1,"*"&amp;CHAR(10)&amp;"Stanine",$N59:$ZZ59),"")</f>
        <v>2.6</v>
      </c>
      <c r="M59" s="69">
        <f>IF(AND(ISNUMBER(tblY10[[#This Row],[Mean Stanine]]),ISNUMBER(tblY10[[#This Row],[Avg KS2 Band]])),tblY10[[#This Row],[Mean Stanine]]-tblY10[[#This Row],[Avg KS2 Band]],"")</f>
        <v>-0.4</v>
      </c>
      <c r="N59" s="66" t="n">
        <v>11</v>
      </c>
      <c r="O5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59" s="66" t="n">
        <v>11</v>
      </c>
      <c r="Q5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59" s="66" t="n">
        <v>15</v>
      </c>
      <c r="S5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59" s="66" t="n">
        <v>4</v>
      </c>
      <c r="U5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59" s="66" t="n">
        <v>9</v>
      </c>
      <c r="W59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60">
      <c r="A60" s="65" t="inlineStr">
        <is>
          <t>X908187863066</t>
        </is>
      </c>
      <c r="B60" s="65" t="inlineStr">
        <is>
          <t>Lloyd</t>
        </is>
      </c>
      <c r="C60" s="65" t="inlineStr">
        <is>
          <t>Ethan</t>
        </is>
      </c>
      <c r="D60" s="66" t="inlineStr">
        <is>
          <t>F</t>
        </is>
      </c>
      <c r="E60" s="66" t="n"/>
      <c r="F60" s="66" t="inlineStr">
        <is>
          <t>Y</t>
        </is>
      </c>
      <c r="G60" s="34" t="n">
        <v>93.8</v>
      </c>
      <c r="H60" s="34" t="n">
        <v>105.5</v>
      </c>
      <c r="I60" s="67">
        <f>IF(ISNUMBER(tblY10[[#This Row],[Avg KS2]]),IFERROR(VLOOKUP(STANDARDIZE(tblY10[[#This Row],[Avg KS2]],AVERAGE(tblY10[[Avg KS2]]),_xlfn.STDEV.P(tblY10[[Avg KS2]])),_Stanine,2),5),"")</f>
        <v>5</v>
      </c>
      <c r="J60" s="66" t="inlineStr">
        <is>
          <t>10S/Sc4</t>
        </is>
      </c>
      <c r="K60" s="67">
        <f>IF(tblY10[[#This Row],[Preferred Last name]]="","",COUNTIFS($N$1:$ZZ$1,"*"&amp;CHAR(10)&amp;"Stanine",$N60:$ZZ60,"&gt;=1"))</f>
        <v>4</v>
      </c>
      <c r="L60" s="68">
        <f>IFERROR(AVERAGEIF($N$1:$ZZ$1,"*"&amp;CHAR(10)&amp;"Stanine",$N60:$ZZ60),"")</f>
        <v>4.5</v>
      </c>
      <c r="M60" s="69">
        <f>IF(AND(ISNUMBER(tblY10[[#This Row],[Mean Stanine]]),ISNUMBER(tblY10[[#This Row],[Avg KS2 Band]])),tblY10[[#This Row],[Mean Stanine]]-tblY10[[#This Row],[Avg KS2 Band]],"")</f>
        <v>-0.5</v>
      </c>
      <c r="N60" s="66" t="n">
        <v>13</v>
      </c>
      <c r="O6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60" s="66" t="n">
        <v>24</v>
      </c>
      <c r="Q6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60" s="66" t="n">
        <v>14</v>
      </c>
      <c r="S6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60" s="66" t="n">
        <v>17</v>
      </c>
      <c r="U6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60" s="66" t="n"/>
      <c r="W60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61">
      <c r="A61" s="65" t="inlineStr">
        <is>
          <t>X903633306468</t>
        </is>
      </c>
      <c r="B61" s="65" t="inlineStr">
        <is>
          <t>Lloyd</t>
        </is>
      </c>
      <c r="C61" s="65" t="inlineStr">
        <is>
          <t>Maya</t>
        </is>
      </c>
      <c r="D61" s="66" t="inlineStr">
        <is>
          <t>F</t>
        </is>
      </c>
      <c r="E61" s="66" t="inlineStr">
        <is>
          <t>K</t>
        </is>
      </c>
      <c r="F61" s="66" t="inlineStr">
        <is>
          <t>N</t>
        </is>
      </c>
      <c r="G61" s="34" t="n">
        <v>94.90000000000001</v>
      </c>
      <c r="H61" s="34" t="n">
        <v>96</v>
      </c>
      <c r="I61" s="67">
        <f>IF(ISNUMBER(tblY10[[#This Row],[Avg KS2]]),IFERROR(VLOOKUP(STANDARDIZE(tblY10[[#This Row],[Avg KS2]],AVERAGE(tblY10[[Avg KS2]]),_xlfn.STDEV.P(tblY10[[Avg KS2]])),_Stanine,2),5),"")</f>
        <v>2</v>
      </c>
      <c r="J61" s="66" t="inlineStr">
        <is>
          <t>Science Support</t>
        </is>
      </c>
      <c r="K61" s="67">
        <f>IF(tblY10[[#This Row],[Preferred Last name]]="","",COUNTIFS($N$1:$ZZ$1,"*"&amp;CHAR(10)&amp;"Stanine",$N61:$ZZ61,"&gt;=1"))</f>
        <v>5</v>
      </c>
      <c r="L61" s="68">
        <f>IFERROR(AVERAGEIF($N$1:$ZZ$1,"*"&amp;CHAR(10)&amp;"Stanine",$N61:$ZZ61),"")</f>
        <v>2.8</v>
      </c>
      <c r="M61" s="69">
        <f>IF(AND(ISNUMBER(tblY10[[#This Row],[Mean Stanine]]),ISNUMBER(tblY10[[#This Row],[Avg KS2 Band]])),tblY10[[#This Row],[Mean Stanine]]-tblY10[[#This Row],[Avg KS2 Band]],"")</f>
        <v>0.8</v>
      </c>
      <c r="N61" s="66" t="n">
        <v>11</v>
      </c>
      <c r="O6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61" s="66" t="n">
        <v>7</v>
      </c>
      <c r="Q6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61" s="66" t="n">
        <v>8</v>
      </c>
      <c r="S6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61" s="66" t="n">
        <v>17</v>
      </c>
      <c r="U6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61" s="66" t="n">
        <v>8</v>
      </c>
      <c r="W61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62">
      <c r="A62" s="65" t="inlineStr">
        <is>
          <t>X906442210115</t>
        </is>
      </c>
      <c r="B62" s="65" t="inlineStr">
        <is>
          <t>Lloyd</t>
        </is>
      </c>
      <c r="C62" s="65" t="inlineStr">
        <is>
          <t>Priya</t>
        </is>
      </c>
      <c r="D62" s="66" t="inlineStr">
        <is>
          <t>M</t>
        </is>
      </c>
      <c r="E62" s="66" t="inlineStr">
        <is>
          <t>K</t>
        </is>
      </c>
      <c r="F62" s="66" t="inlineStr">
        <is>
          <t>N</t>
        </is>
      </c>
      <c r="G62" s="34" t="n">
        <v>99.59999999999999</v>
      </c>
      <c r="H62" s="34" t="n">
        <v>105.5</v>
      </c>
      <c r="I62" s="67">
        <f>IF(ISNUMBER(tblY10[[#This Row],[Avg KS2]]),IFERROR(VLOOKUP(STANDARDIZE(tblY10[[#This Row],[Avg KS2]],AVERAGE(tblY10[[Avg KS2]]),_xlfn.STDEV.P(tblY10[[Avg KS2]])),_Stanine,2),5),"")</f>
        <v>5</v>
      </c>
      <c r="J62" s="66" t="inlineStr">
        <is>
          <t>10S/Sc2</t>
        </is>
      </c>
      <c r="K62" s="67">
        <f>IF(tblY10[[#This Row],[Preferred Last name]]="","",COUNTIFS($N$1:$ZZ$1,"*"&amp;CHAR(10)&amp;"Stanine",$N62:$ZZ62,"&gt;=1"))</f>
        <v>5</v>
      </c>
      <c r="L62" s="68">
        <f>IFERROR(AVERAGEIF($N$1:$ZZ$1,"*"&amp;CHAR(10)&amp;"Stanine",$N62:$ZZ62),"")</f>
        <v>5.4</v>
      </c>
      <c r="M62" s="69">
        <f>IF(AND(ISNUMBER(tblY10[[#This Row],[Mean Stanine]]),ISNUMBER(tblY10[[#This Row],[Avg KS2 Band]])),tblY10[[#This Row],[Mean Stanine]]-tblY10[[#This Row],[Avg KS2 Band]],"")</f>
        <v>0.4</v>
      </c>
      <c r="N62" s="66" t="n">
        <v>21</v>
      </c>
      <c r="O6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62" s="66" t="n">
        <v>25</v>
      </c>
      <c r="Q6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62" s="66" t="n">
        <v>19</v>
      </c>
      <c r="S6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62" s="66" t="n">
        <v>26</v>
      </c>
      <c r="U6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62" s="66" t="n">
        <v>18</v>
      </c>
      <c r="W6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63">
      <c r="A63" s="65" t="inlineStr">
        <is>
          <t>X904324966173</t>
        </is>
      </c>
      <c r="B63" s="65" t="inlineStr">
        <is>
          <t>Lloyd</t>
        </is>
      </c>
      <c r="C63" s="65" t="inlineStr">
        <is>
          <t>Reuben</t>
        </is>
      </c>
      <c r="D63" s="66" t="inlineStr">
        <is>
          <t>F</t>
        </is>
      </c>
      <c r="E63" s="66" t="n"/>
      <c r="F63" s="66" t="inlineStr">
        <is>
          <t>N</t>
        </is>
      </c>
      <c r="G63" s="34" t="n">
        <v>89.5</v>
      </c>
      <c r="H63" s="34" t="n">
        <v>98</v>
      </c>
      <c r="I63" s="67">
        <f>IF(ISNUMBER(tblY10[[#This Row],[Avg KS2]]),IFERROR(VLOOKUP(STANDARDIZE(tblY10[[#This Row],[Avg KS2]],AVERAGE(tblY10[[Avg KS2]]),_xlfn.STDEV.P(tblY10[[Avg KS2]])),_Stanine,2),5),"")</f>
        <v>3</v>
      </c>
      <c r="J63" s="66" t="inlineStr">
        <is>
          <t>10S/Sc4</t>
        </is>
      </c>
      <c r="K63" s="67">
        <f>IF(tblY10[[#This Row],[Preferred Last name]]="","",COUNTIFS($N$1:$ZZ$1,"*"&amp;CHAR(10)&amp;"Stanine",$N63:$ZZ63,"&gt;=1"))</f>
        <v>4</v>
      </c>
      <c r="L63" s="68">
        <f>IFERROR(AVERAGEIF($N$1:$ZZ$1,"*"&amp;CHAR(10)&amp;"Stanine",$N63:$ZZ63),"")</f>
        <v>3.75</v>
      </c>
      <c r="M63" s="69">
        <f>IF(AND(ISNUMBER(tblY10[[#This Row],[Mean Stanine]]),ISNUMBER(tblY10[[#This Row],[Avg KS2 Band]])),tblY10[[#This Row],[Mean Stanine]]-tblY10[[#This Row],[Avg KS2 Band]],"")</f>
        <v>0.75</v>
      </c>
      <c r="N63" s="66" t="n">
        <v>15</v>
      </c>
      <c r="O6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63" s="66" t="n">
        <v>14</v>
      </c>
      <c r="Q6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63" s="66" t="n">
        <v>19</v>
      </c>
      <c r="S6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63" s="66" t="n">
        <v>13</v>
      </c>
      <c r="U6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63" s="66" t="n"/>
      <c r="W63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64">
      <c r="A64" s="65" t="inlineStr">
        <is>
          <t>X909160944588</t>
        </is>
      </c>
      <c r="B64" s="65" t="inlineStr">
        <is>
          <t>Mistry</t>
        </is>
      </c>
      <c r="C64" s="65" t="inlineStr">
        <is>
          <t>Amelia</t>
        </is>
      </c>
      <c r="D64" s="66" t="inlineStr">
        <is>
          <t>M</t>
        </is>
      </c>
      <c r="E64" s="66" t="inlineStr">
        <is>
          <t>K</t>
        </is>
      </c>
      <c r="F64" s="66" t="inlineStr">
        <is>
          <t>N</t>
        </is>
      </c>
      <c r="G64" s="34" t="n">
        <v>87.40000000000001</v>
      </c>
      <c r="H64" s="34" t="n">
        <v>103.5</v>
      </c>
      <c r="I64" s="67">
        <f>IF(ISNUMBER(tblY10[[#This Row],[Avg KS2]]),IFERROR(VLOOKUP(STANDARDIZE(tblY10[[#This Row],[Avg KS2]],AVERAGE(tblY10[[Avg KS2]]),_xlfn.STDEV.P(tblY10[[Avg KS2]])),_Stanine,2),5),"")</f>
        <v>5</v>
      </c>
      <c r="J64" s="66" t="inlineStr">
        <is>
          <t>10S/Sc4</t>
        </is>
      </c>
      <c r="K64" s="67">
        <f>IF(tblY10[[#This Row],[Preferred Last name]]="","",COUNTIFS($N$1:$ZZ$1,"*"&amp;CHAR(10)&amp;"Stanine",$N64:$ZZ64,"&gt;=1"))</f>
        <v>4</v>
      </c>
      <c r="L64" s="68">
        <f>IFERROR(AVERAGEIF($N$1:$ZZ$1,"*"&amp;CHAR(10)&amp;"Stanine",$N64:$ZZ64),"")</f>
        <v>4.5</v>
      </c>
      <c r="M64" s="69">
        <f>IF(AND(ISNUMBER(tblY10[[#This Row],[Mean Stanine]]),ISNUMBER(tblY10[[#This Row],[Avg KS2 Band]])),tblY10[[#This Row],[Mean Stanine]]-tblY10[[#This Row],[Avg KS2 Band]],"")</f>
        <v>-0.5</v>
      </c>
      <c r="N64" s="66" t="n">
        <v>18</v>
      </c>
      <c r="O6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64" s="66" t="n">
        <v>15</v>
      </c>
      <c r="Q6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64" s="66" t="n">
        <v>19</v>
      </c>
      <c r="S6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64" s="66" t="n">
        <v>20</v>
      </c>
      <c r="U6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64" s="66" t="n"/>
      <c r="W64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65">
      <c r="A65" s="65" t="inlineStr">
        <is>
          <t>X908872302621</t>
        </is>
      </c>
      <c r="B65" s="65" t="inlineStr">
        <is>
          <t>Mistry</t>
        </is>
      </c>
      <c r="C65" s="65" t="inlineStr">
        <is>
          <t>Hannah</t>
        </is>
      </c>
      <c r="D65" s="66" t="inlineStr">
        <is>
          <t>M</t>
        </is>
      </c>
      <c r="E65" s="66" t="inlineStr">
        <is>
          <t>K</t>
        </is>
      </c>
      <c r="F65" s="66" t="inlineStr">
        <is>
          <t>N</t>
        </is>
      </c>
      <c r="G65" s="34" t="n">
        <v>95.59999999999999</v>
      </c>
      <c r="H65" s="34" t="n">
        <v>113</v>
      </c>
      <c r="I65" s="67">
        <f>IF(ISNUMBER(tblY10[[#This Row],[Avg KS2]]),IFERROR(VLOOKUP(STANDARDIZE(tblY10[[#This Row],[Avg KS2]],AVERAGE(tblY10[[Avg KS2]]),_xlfn.STDEV.P(tblY10[[Avg KS2]])),_Stanine,2),5),"")</f>
        <v>8</v>
      </c>
      <c r="J65" s="66" t="inlineStr">
        <is>
          <t>10S/Sc2</t>
        </is>
      </c>
      <c r="K65" s="67">
        <f>IF(tblY10[[#This Row],[Preferred Last name]]="","",COUNTIFS($N$1:$ZZ$1,"*"&amp;CHAR(10)&amp;"Stanine",$N65:$ZZ65,"&gt;=1"))</f>
        <v>5</v>
      </c>
      <c r="L65" s="68">
        <f>IFERROR(AVERAGEIF($N$1:$ZZ$1,"*"&amp;CHAR(10)&amp;"Stanine",$N65:$ZZ65),"")</f>
        <v>6.6</v>
      </c>
      <c r="M65" s="69">
        <f>IF(AND(ISNUMBER(tblY10[[#This Row],[Mean Stanine]]),ISNUMBER(tblY10[[#This Row],[Avg KS2 Band]])),tblY10[[#This Row],[Mean Stanine]]-tblY10[[#This Row],[Avg KS2 Band]],"")</f>
        <v>-1.4</v>
      </c>
      <c r="N65" s="66" t="n">
        <v>27</v>
      </c>
      <c r="O6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65" s="66" t="n">
        <v>24</v>
      </c>
      <c r="Q6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65" s="66" t="n">
        <v>30</v>
      </c>
      <c r="S6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65" s="66" t="n">
        <v>27</v>
      </c>
      <c r="U6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65" s="66" t="n">
        <v>25</v>
      </c>
      <c r="W6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66">
      <c r="A66" s="65" t="inlineStr">
        <is>
          <t>X903368901125</t>
        </is>
      </c>
      <c r="B66" s="65" t="inlineStr">
        <is>
          <t>Morgan</t>
        </is>
      </c>
      <c r="C66" s="65" t="inlineStr">
        <is>
          <t>Oscar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100</v>
      </c>
      <c r="H66" s="34" t="n">
        <v>100</v>
      </c>
      <c r="I66" s="67">
        <f>IF(ISNUMBER(tblY10[[#This Row],[Avg KS2]]),IFERROR(VLOOKUP(STANDARDIZE(tblY10[[#This Row],[Avg KS2]],AVERAGE(tblY10[[Avg KS2]]),_xlfn.STDEV.P(tblY10[[Avg KS2]])),_Stanine,2),5),"")</f>
        <v>3</v>
      </c>
      <c r="J66" s="66" t="inlineStr">
        <is>
          <t>10S/Sc4</t>
        </is>
      </c>
      <c r="K66" s="67">
        <f>IF(tblY10[[#This Row],[Preferred Last name]]="","",COUNTIFS($N$1:$ZZ$1,"*"&amp;CHAR(10)&amp;"Stanine",$N66:$ZZ66,"&gt;=1"))</f>
        <v>4</v>
      </c>
      <c r="L66" s="68">
        <f>IFERROR(AVERAGEIF($N$1:$ZZ$1,"*"&amp;CHAR(10)&amp;"Stanine",$N66:$ZZ66),"")</f>
        <v>2.75</v>
      </c>
      <c r="M66" s="69">
        <f>IF(AND(ISNUMBER(tblY10[[#This Row],[Mean Stanine]]),ISNUMBER(tblY10[[#This Row],[Avg KS2 Band]])),tblY10[[#This Row],[Mean Stanine]]-tblY10[[#This Row],[Avg KS2 Band]],"")</f>
        <v>-0.25</v>
      </c>
      <c r="N66" s="66" t="n">
        <v>9</v>
      </c>
      <c r="O6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66" s="66" t="n">
        <v>8</v>
      </c>
      <c r="Q6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66" s="66" t="n">
        <v>14</v>
      </c>
      <c r="S6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66" s="66" t="n">
        <v>12</v>
      </c>
      <c r="U6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66" s="66" t="n"/>
      <c r="W66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67">
      <c r="A67" s="65" t="inlineStr">
        <is>
          <t>X903552714895</t>
        </is>
      </c>
      <c r="B67" s="65" t="inlineStr">
        <is>
          <t>Morgan</t>
        </is>
      </c>
      <c r="C67" s="65" t="inlineStr">
        <is>
          <t>Theo</t>
        </is>
      </c>
      <c r="D67" s="66" t="inlineStr">
        <is>
          <t>M</t>
        </is>
      </c>
      <c r="E67" s="66" t="n"/>
      <c r="F67" s="66" t="inlineStr">
        <is>
          <t>Y</t>
        </is>
      </c>
      <c r="G67" s="34" t="n">
        <v>98.7</v>
      </c>
      <c r="H67" s="34" t="n">
        <v>103</v>
      </c>
      <c r="I67" s="67">
        <f>IF(ISNUMBER(tblY10[[#This Row],[Avg KS2]]),IFERROR(VLOOKUP(STANDARDIZE(tblY10[[#This Row],[Avg KS2]],AVERAGE(tblY10[[Avg KS2]]),_xlfn.STDEV.P(tblY10[[Avg KS2]])),_Stanine,2),5),"")</f>
        <v>5</v>
      </c>
      <c r="J67" s="66" t="inlineStr">
        <is>
          <t>10S/Sc2</t>
        </is>
      </c>
      <c r="K67" s="67">
        <f>IF(tblY10[[#This Row],[Preferred Last name]]="","",COUNTIFS($N$1:$ZZ$1,"*"&amp;CHAR(10)&amp;"Stanine",$N67:$ZZ67,"&gt;=1"))</f>
        <v>4</v>
      </c>
      <c r="L67" s="68">
        <f>IFERROR(AVERAGEIF($N$1:$ZZ$1,"*"&amp;CHAR(10)&amp;"Stanine",$N67:$ZZ67),"")</f>
        <v>5.25</v>
      </c>
      <c r="M67" s="69">
        <f>IF(AND(ISNUMBER(tblY10[[#This Row],[Mean Stanine]]),ISNUMBER(tblY10[[#This Row],[Avg KS2 Band]])),tblY10[[#This Row],[Mean Stanine]]-tblY10[[#This Row],[Avg KS2 Band]],"")</f>
        <v>0.25</v>
      </c>
      <c r="N67" s="66" t="n">
        <v>20</v>
      </c>
      <c r="O6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67" s="66" t="n">
        <v>26</v>
      </c>
      <c r="Q6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67" s="66" t="n">
        <v>23</v>
      </c>
      <c r="S6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67" s="66" t="n">
        <v>12</v>
      </c>
      <c r="U6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67" s="66" t="inlineStr">
        <is>
          <t>A</t>
        </is>
      </c>
      <c r="W67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68">
      <c r="A68" s="65" t="inlineStr">
        <is>
          <t>X907720449055</t>
        </is>
      </c>
      <c r="B68" s="65" t="inlineStr">
        <is>
          <t>Murphy</t>
        </is>
      </c>
      <c r="C68" s="65" t="inlineStr">
        <is>
          <t>Arjun</t>
        </is>
      </c>
      <c r="D68" s="66" t="inlineStr">
        <is>
          <t>F</t>
        </is>
      </c>
      <c r="E68" s="66" t="inlineStr">
        <is>
          <t>N</t>
        </is>
      </c>
      <c r="F68" s="66" t="inlineStr">
        <is>
          <t>N</t>
        </is>
      </c>
      <c r="G68" s="34" t="n">
        <v>95.09999999999999</v>
      </c>
      <c r="H68" s="34" t="n">
        <v>104</v>
      </c>
      <c r="I68" s="67">
        <f>IF(ISNUMBER(tblY10[[#This Row],[Avg KS2]]),IFERROR(VLOOKUP(STANDARDIZE(tblY10[[#This Row],[Avg KS2]],AVERAGE(tblY10[[Avg KS2]]),_xlfn.STDEV.P(tblY10[[Avg KS2]])),_Stanine,2),5),"")</f>
        <v>5</v>
      </c>
      <c r="J68" s="66" t="inlineStr">
        <is>
          <t>10S/Sc2</t>
        </is>
      </c>
      <c r="K68" s="67">
        <f>IF(tblY10[[#This Row],[Preferred Last name]]="","",COUNTIFS($N$1:$ZZ$1,"*"&amp;CHAR(10)&amp;"Stanine",$N68:$ZZ68,"&gt;=1"))</f>
        <v>5</v>
      </c>
      <c r="L68" s="68">
        <f>IFERROR(AVERAGEIF($N$1:$ZZ$1,"*"&amp;CHAR(10)&amp;"Stanine",$N68:$ZZ68),"")</f>
        <v>5</v>
      </c>
      <c r="M68" s="69">
        <f>IF(AND(ISNUMBER(tblY10[[#This Row],[Mean Stanine]]),ISNUMBER(tblY10[[#This Row],[Avg KS2 Band]])),tblY10[[#This Row],[Mean Stanine]]-tblY10[[#This Row],[Avg KS2 Band]],"")</f>
        <v>0</v>
      </c>
      <c r="N68" s="66" t="n">
        <v>21</v>
      </c>
      <c r="O6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68" s="66" t="n">
        <v>19</v>
      </c>
      <c r="Q6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68" s="66" t="n">
        <v>21</v>
      </c>
      <c r="S6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68" s="66" t="n">
        <v>18</v>
      </c>
      <c r="U6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68" s="66" t="n">
        <v>18</v>
      </c>
      <c r="W6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69">
      <c r="A69" s="65" t="inlineStr">
        <is>
          <t>X901566761142</t>
        </is>
      </c>
      <c r="B69" s="65" t="inlineStr">
        <is>
          <t>Murphy</t>
        </is>
      </c>
      <c r="C69" s="65" t="inlineStr">
        <is>
          <t>Noah</t>
        </is>
      </c>
      <c r="D69" s="66" t="inlineStr">
        <is>
          <t>F</t>
        </is>
      </c>
      <c r="E69" s="66" t="inlineStr">
        <is>
          <t>N</t>
        </is>
      </c>
      <c r="F69" s="66" t="inlineStr">
        <is>
          <t>N</t>
        </is>
      </c>
      <c r="G69" s="34" t="n">
        <v>87.09999999999999</v>
      </c>
      <c r="H69" s="34" t="n">
        <v>109.5</v>
      </c>
      <c r="I69" s="67">
        <f>IF(ISNUMBER(tblY10[[#This Row],[Avg KS2]]),IFERROR(VLOOKUP(STANDARDIZE(tblY10[[#This Row],[Avg KS2]],AVERAGE(tblY10[[Avg KS2]]),_xlfn.STDEV.P(tblY10[[Avg KS2]])),_Stanine,2),5),"")</f>
        <v>7</v>
      </c>
      <c r="J69" s="66" t="inlineStr">
        <is>
          <t>10S/Sc3</t>
        </is>
      </c>
      <c r="K69" s="67">
        <f>IF(tblY10[[#This Row],[Preferred Last name]]="","",COUNTIFS($N$1:$ZZ$1,"*"&amp;CHAR(10)&amp;"Stanine",$N69:$ZZ69,"&gt;=1"))</f>
        <v>4</v>
      </c>
      <c r="L69" s="68">
        <f>IFERROR(AVERAGEIF($N$1:$ZZ$1,"*"&amp;CHAR(10)&amp;"Stanine",$N69:$ZZ69),"")</f>
        <v>6.5</v>
      </c>
      <c r="M69" s="69">
        <f>IF(AND(ISNUMBER(tblY10[[#This Row],[Mean Stanine]]),ISNUMBER(tblY10[[#This Row],[Avg KS2 Band]])),tblY10[[#This Row],[Mean Stanine]]-tblY10[[#This Row],[Avg KS2 Band]],"")</f>
        <v>-0.5</v>
      </c>
      <c r="N69" s="66" t="n">
        <v>25</v>
      </c>
      <c r="O6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69" s="66" t="n">
        <v>28</v>
      </c>
      <c r="Q6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69" s="66" t="n">
        <v>25</v>
      </c>
      <c r="S6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69" s="66" t="n">
        <v>24</v>
      </c>
      <c r="U6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69" s="66" t="n"/>
      <c r="W6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70">
      <c r="A70" s="65" t="inlineStr">
        <is>
          <t>X900228627381</t>
        </is>
      </c>
      <c r="B70" s="65" t="inlineStr">
        <is>
          <t>Murphy</t>
        </is>
      </c>
      <c r="C70" s="65" t="inlineStr">
        <is>
          <t>Rosie</t>
        </is>
      </c>
      <c r="D70" s="66" t="inlineStr">
        <is>
          <t>F</t>
        </is>
      </c>
      <c r="E70" s="66" t="inlineStr">
        <is>
          <t>N</t>
        </is>
      </c>
      <c r="F70" s="66" t="inlineStr">
        <is>
          <t>Y</t>
        </is>
      </c>
      <c r="G70" s="34" t="n">
        <v>100</v>
      </c>
      <c r="H70" s="34" t="n">
        <v>107</v>
      </c>
      <c r="I70" s="67">
        <f>IF(ISNUMBER(tblY10[[#This Row],[Avg KS2]]),IFERROR(VLOOKUP(STANDARDIZE(tblY10[[#This Row],[Avg KS2]],AVERAGE(tblY10[[Avg KS2]]),_xlfn.STDEV.P(tblY10[[Avg KS2]])),_Stanine,2),5),"")</f>
        <v>6</v>
      </c>
      <c r="J70" s="66" t="inlineStr">
        <is>
          <t>10S/Sc4</t>
        </is>
      </c>
      <c r="K70" s="67">
        <f>IF(tblY10[[#This Row],[Preferred Last name]]="","",COUNTIFS($N$1:$ZZ$1,"*"&amp;CHAR(10)&amp;"Stanine",$N70:$ZZ70,"&gt;=1"))</f>
        <v>4</v>
      </c>
      <c r="L70" s="68">
        <f>IFERROR(AVERAGEIF($N$1:$ZZ$1,"*"&amp;CHAR(10)&amp;"Stanine",$N70:$ZZ70),"")</f>
        <v>7.25</v>
      </c>
      <c r="M70" s="69">
        <f>IF(AND(ISNUMBER(tblY10[[#This Row],[Mean Stanine]]),ISNUMBER(tblY10[[#This Row],[Avg KS2 Band]])),tblY10[[#This Row],[Mean Stanine]]-tblY10[[#This Row],[Avg KS2 Band]],"")</f>
        <v>1.25</v>
      </c>
      <c r="N70" s="66" t="n">
        <v>26</v>
      </c>
      <c r="O7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70" s="66" t="n">
        <v>27</v>
      </c>
      <c r="Q7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70" s="66" t="n">
        <v>27</v>
      </c>
      <c r="S7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70" s="66" t="n">
        <v>30</v>
      </c>
      <c r="U7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70" s="66" t="n"/>
      <c r="W70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71">
      <c r="A71" s="65" t="inlineStr">
        <is>
          <t>X908283680624</t>
        </is>
      </c>
      <c r="B71" s="65" t="inlineStr">
        <is>
          <t>Nowak</t>
        </is>
      </c>
      <c r="C71" s="65" t="inlineStr">
        <is>
          <t>Ava</t>
        </is>
      </c>
      <c r="D71" s="66" t="inlineStr">
        <is>
          <t>F</t>
        </is>
      </c>
      <c r="E71" s="66" t="n"/>
      <c r="F71" s="66" t="inlineStr">
        <is>
          <t>N</t>
        </is>
      </c>
      <c r="G71" s="34" t="n">
        <v>80.7</v>
      </c>
      <c r="H71" s="34" t="n">
        <v>109</v>
      </c>
      <c r="I71" s="67">
        <f>IF(ISNUMBER(tblY10[[#This Row],[Avg KS2]]),IFERROR(VLOOKUP(STANDARDIZE(tblY10[[#This Row],[Avg KS2]],AVERAGE(tblY10[[Avg KS2]]),_xlfn.STDEV.P(tblY10[[Avg KS2]])),_Stanine,2),5),"")</f>
        <v>7</v>
      </c>
      <c r="J71" s="66" t="inlineStr">
        <is>
          <t>10S/Sc1</t>
        </is>
      </c>
      <c r="K71" s="67">
        <f>IF(tblY10[[#This Row],[Preferred Last name]]="","",COUNTIFS($N$1:$ZZ$1,"*"&amp;CHAR(10)&amp;"Stanine",$N71:$ZZ71,"&gt;=1"))</f>
        <v>5</v>
      </c>
      <c r="L71" s="68">
        <f>IFERROR(AVERAGEIF($N$1:$ZZ$1,"*"&amp;CHAR(10)&amp;"Stanine",$N71:$ZZ71),"")</f>
        <v>5</v>
      </c>
      <c r="M71" s="69">
        <f>IF(AND(ISNUMBER(tblY10[[#This Row],[Mean Stanine]]),ISNUMBER(tblY10[[#This Row],[Avg KS2 Band]])),tblY10[[#This Row],[Mean Stanine]]-tblY10[[#This Row],[Avg KS2 Band]],"")</f>
        <v>-2</v>
      </c>
      <c r="N71" s="66" t="n">
        <v>17</v>
      </c>
      <c r="O7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71" s="66" t="n">
        <v>19</v>
      </c>
      <c r="Q7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71" s="66" t="n">
        <v>22</v>
      </c>
      <c r="S7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71" s="66" t="n">
        <v>17</v>
      </c>
      <c r="U7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71" s="66" t="n">
        <v>22</v>
      </c>
      <c r="W71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72">
      <c r="A72" s="65" t="inlineStr">
        <is>
          <t>X909187726187</t>
        </is>
      </c>
      <c r="B72" s="65" t="inlineStr">
        <is>
          <t>Nowak</t>
        </is>
      </c>
      <c r="C72" s="65" t="inlineStr">
        <is>
          <t>Ella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98.8</v>
      </c>
      <c r="H72" s="34" t="n">
        <v>105</v>
      </c>
      <c r="I72" s="67">
        <f>IF(ISNUMBER(tblY10[[#This Row],[Avg KS2]]),IFERROR(VLOOKUP(STANDARDIZE(tblY10[[#This Row],[Avg KS2]],AVERAGE(tblY10[[Avg KS2]]),_xlfn.STDEV.P(tblY10[[Avg KS2]])),_Stanine,2),5),"")</f>
        <v>5</v>
      </c>
      <c r="J72" s="66" t="inlineStr">
        <is>
          <t>10S/Sc4</t>
        </is>
      </c>
      <c r="K72" s="67">
        <f>IF(tblY10[[#This Row],[Preferred Last name]]="","",COUNTIFS($N$1:$ZZ$1,"*"&amp;CHAR(10)&amp;"Stanine",$N72:$ZZ72,"&gt;=1"))</f>
        <v>4</v>
      </c>
      <c r="L72" s="68">
        <f>IFERROR(AVERAGEIF($N$1:$ZZ$1,"*"&amp;CHAR(10)&amp;"Stanine",$N72:$ZZ72),"")</f>
        <v>6</v>
      </c>
      <c r="M72" s="69">
        <f>IF(AND(ISNUMBER(tblY10[[#This Row],[Mean Stanine]]),ISNUMBER(tblY10[[#This Row],[Avg KS2 Band]])),tblY10[[#This Row],[Mean Stanine]]-tblY10[[#This Row],[Avg KS2 Band]],"")</f>
        <v>1</v>
      </c>
      <c r="N72" s="66" t="n">
        <v>20</v>
      </c>
      <c r="O7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72" s="66" t="n">
        <v>26</v>
      </c>
      <c r="Q7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72" s="66" t="n">
        <v>22</v>
      </c>
      <c r="S7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72" s="66" t="n">
        <v>28</v>
      </c>
      <c r="U7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72" s="66" t="n"/>
      <c r="W72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73">
      <c r="A73" s="65" t="inlineStr">
        <is>
          <t>X905364355297</t>
        </is>
      </c>
      <c r="B73" s="65" t="inlineStr">
        <is>
          <t>Nowak</t>
        </is>
      </c>
      <c r="C73" s="65" t="inlineStr">
        <is>
          <t>Mia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N</t>
        </is>
      </c>
      <c r="G73" s="34" t="n">
        <v>95.59999999999999</v>
      </c>
      <c r="H73" s="34" t="n">
        <v>99</v>
      </c>
      <c r="I73" s="67">
        <f>IF(ISNUMBER(tblY10[[#This Row],[Avg KS2]]),IFERROR(VLOOKUP(STANDARDIZE(tblY10[[#This Row],[Avg KS2]],AVERAGE(tblY10[[Avg KS2]]),_xlfn.STDEV.P(tblY10[[Avg KS2]])),_Stanine,2),5),"")</f>
        <v>3</v>
      </c>
      <c r="J73" s="66" t="inlineStr">
        <is>
          <t>10S/Sc5</t>
        </is>
      </c>
      <c r="K73" s="67">
        <f>IF(tblY10[[#This Row],[Preferred Last name]]="","",COUNTIFS($N$1:$ZZ$1,"*"&amp;CHAR(10)&amp;"Stanine",$N73:$ZZ73,"&gt;=1"))</f>
        <v>5</v>
      </c>
      <c r="L73" s="68">
        <f>IFERROR(AVERAGEIF($N$1:$ZZ$1,"*"&amp;CHAR(10)&amp;"Stanine",$N73:$ZZ73),"")</f>
        <v>3.6</v>
      </c>
      <c r="M73" s="69">
        <f>IF(AND(ISNUMBER(tblY10[[#This Row],[Mean Stanine]]),ISNUMBER(tblY10[[#This Row],[Avg KS2 Band]])),tblY10[[#This Row],[Mean Stanine]]-tblY10[[#This Row],[Avg KS2 Band]],"")</f>
        <v>0.6</v>
      </c>
      <c r="N73" s="66" t="n">
        <v>13</v>
      </c>
      <c r="O7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73" s="66" t="n">
        <v>17</v>
      </c>
      <c r="Q7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73" s="66" t="n">
        <v>16</v>
      </c>
      <c r="S7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73" s="66" t="n">
        <v>9</v>
      </c>
      <c r="U7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73" s="66" t="n">
        <v>14</v>
      </c>
      <c r="W7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74">
      <c r="A74" s="65" t="inlineStr">
        <is>
          <t>X901827733263</t>
        </is>
      </c>
      <c r="B74" s="65" t="inlineStr">
        <is>
          <t>Okafor</t>
        </is>
      </c>
      <c r="C74" s="65" t="inlineStr">
        <is>
          <t>Aisha</t>
        </is>
      </c>
      <c r="D74" s="66" t="inlineStr">
        <is>
          <t>M</t>
        </is>
      </c>
      <c r="E74" s="66" t="inlineStr">
        <is>
          <t>N</t>
        </is>
      </c>
      <c r="F74" s="66" t="inlineStr">
        <is>
          <t>N</t>
        </is>
      </c>
      <c r="G74" s="34" t="n">
        <v>100</v>
      </c>
      <c r="H74" s="34" t="n">
        <v>108</v>
      </c>
      <c r="I74" s="67">
        <f>IF(ISNUMBER(tblY10[[#This Row],[Avg KS2]]),IFERROR(VLOOKUP(STANDARDIZE(tblY10[[#This Row],[Avg KS2]],AVERAGE(tblY10[[Avg KS2]]),_xlfn.STDEV.P(tblY10[[Avg KS2]])),_Stanine,2),5),"")</f>
        <v>6</v>
      </c>
      <c r="J74" s="66" t="inlineStr">
        <is>
          <t>10S/Sc1</t>
        </is>
      </c>
      <c r="K74" s="67">
        <f>IF(tblY10[[#This Row],[Preferred Last name]]="","",COUNTIFS($N$1:$ZZ$1,"*"&amp;CHAR(10)&amp;"Stanine",$N74:$ZZ74,"&gt;=1"))</f>
        <v>5</v>
      </c>
      <c r="L74" s="68">
        <f>IFERROR(AVERAGEIF($N$1:$ZZ$1,"*"&amp;CHAR(10)&amp;"Stanine",$N74:$ZZ74),"")</f>
        <v>6.4</v>
      </c>
      <c r="M74" s="69">
        <f>IF(AND(ISNUMBER(tblY10[[#This Row],[Mean Stanine]]),ISNUMBER(tblY10[[#This Row],[Avg KS2 Band]])),tblY10[[#This Row],[Mean Stanine]]-tblY10[[#This Row],[Avg KS2 Band]],"")</f>
        <v>0.4</v>
      </c>
      <c r="N74" s="66" t="n">
        <v>20</v>
      </c>
      <c r="O7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74" s="66" t="n">
        <v>30</v>
      </c>
      <c r="Q7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74" s="66" t="n">
        <v>27</v>
      </c>
      <c r="S7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74" s="66" t="n">
        <v>22</v>
      </c>
      <c r="U7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74" s="66" t="n">
        <v>25</v>
      </c>
      <c r="W7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75">
      <c r="A75" s="65" t="inlineStr">
        <is>
          <t>X906311054741</t>
        </is>
      </c>
      <c r="B75" s="65" t="inlineStr">
        <is>
          <t>Okafor</t>
        </is>
      </c>
      <c r="C75" s="65" t="inlineStr">
        <is>
          <t>Amara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N</t>
        </is>
      </c>
      <c r="G75" s="34" t="n">
        <v>91.7</v>
      </c>
      <c r="H75" s="34" t="n">
        <v>108</v>
      </c>
      <c r="I75" s="67">
        <f>IF(ISNUMBER(tblY10[[#This Row],[Avg KS2]]),IFERROR(VLOOKUP(STANDARDIZE(tblY10[[#This Row],[Avg KS2]],AVERAGE(tblY10[[Avg KS2]]),_xlfn.STDEV.P(tblY10[[Avg KS2]])),_Stanine,2),5),"")</f>
        <v>6</v>
      </c>
      <c r="J75" s="66" t="inlineStr">
        <is>
          <t>10S/Sc1</t>
        </is>
      </c>
      <c r="K75" s="67">
        <f>IF(tblY10[[#This Row],[Preferred Last name]]="","",COUNTIFS($N$1:$ZZ$1,"*"&amp;CHAR(10)&amp;"Stanine",$N75:$ZZ75,"&gt;=1"))</f>
        <v>5</v>
      </c>
      <c r="L75" s="68">
        <f>IFERROR(AVERAGEIF($N$1:$ZZ$1,"*"&amp;CHAR(10)&amp;"Stanine",$N75:$ZZ75),"")</f>
        <v>7.8</v>
      </c>
      <c r="M75" s="69">
        <f>IF(AND(ISNUMBER(tblY10[[#This Row],[Mean Stanine]]),ISNUMBER(tblY10[[#This Row],[Avg KS2 Band]])),tblY10[[#This Row],[Mean Stanine]]-tblY10[[#This Row],[Avg KS2 Band]],"")</f>
        <v>1.8</v>
      </c>
      <c r="N75" s="66" t="n">
        <v>32</v>
      </c>
      <c r="O7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75" s="66" t="n">
        <v>30</v>
      </c>
      <c r="Q7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75" s="66" t="n">
        <v>31</v>
      </c>
      <c r="S7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75" s="66" t="n">
        <v>30</v>
      </c>
      <c r="U7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75" s="66" t="n">
        <v>31</v>
      </c>
      <c r="W7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76">
      <c r="A76" s="65" t="inlineStr">
        <is>
          <t>X900008921789</t>
        </is>
      </c>
      <c r="B76" s="65" t="inlineStr">
        <is>
          <t>Okafor</t>
        </is>
      </c>
      <c r="C76" s="65" t="inlineStr">
        <is>
          <t>Harry</t>
        </is>
      </c>
      <c r="D76" s="66" t="inlineStr">
        <is>
          <t>M</t>
        </is>
      </c>
      <c r="E76" s="66" t="n"/>
      <c r="F76" s="66" t="inlineStr">
        <is>
          <t>N</t>
        </is>
      </c>
      <c r="G76" s="34" t="n">
        <v>87.7</v>
      </c>
      <c r="H76" s="34" t="n">
        <v>94</v>
      </c>
      <c r="I76" s="67">
        <f>IF(ISNUMBER(tblY10[[#This Row],[Avg KS2]]),IFERROR(VLOOKUP(STANDARDIZE(tblY10[[#This Row],[Avg KS2]],AVERAGE(tblY10[[Avg KS2]]),_xlfn.STDEV.P(tblY10[[Avg KS2]])),_Stanine,2),5),"")</f>
        <v>1</v>
      </c>
      <c r="J76" s="66" t="inlineStr">
        <is>
          <t>10S/Sc5</t>
        </is>
      </c>
      <c r="K76" s="67">
        <f>IF(tblY10[[#This Row],[Preferred Last name]]="","",COUNTIFS($N$1:$ZZ$1,"*"&amp;CHAR(10)&amp;"Stanine",$N76:$ZZ76,"&gt;=1"))</f>
        <v>5</v>
      </c>
      <c r="L76" s="68">
        <f>IFERROR(AVERAGEIF($N$1:$ZZ$1,"*"&amp;CHAR(10)&amp;"Stanine",$N76:$ZZ76),"")</f>
        <v>1.4</v>
      </c>
      <c r="M76" s="69">
        <f>IF(AND(ISNUMBER(tblY10[[#This Row],[Mean Stanine]]),ISNUMBER(tblY10[[#This Row],[Avg KS2 Band]])),tblY10[[#This Row],[Mean Stanine]]-tblY10[[#This Row],[Avg KS2 Band]],"")</f>
        <v>0.4</v>
      </c>
      <c r="N76" s="66" t="n">
        <v>7</v>
      </c>
      <c r="O7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2</v>
      </c>
      <c r="P76" s="66" t="n">
        <v>3</v>
      </c>
      <c r="Q7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76" s="66" t="n">
        <v>7</v>
      </c>
      <c r="S7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1</v>
      </c>
      <c r="T76" s="66" t="n">
        <v>4</v>
      </c>
      <c r="U7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76" s="66" t="n">
        <v>5</v>
      </c>
      <c r="W7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1</v>
      </c>
    </row>
    <row r="77">
      <c r="A77" s="65" t="inlineStr">
        <is>
          <t>X903369433633</t>
        </is>
      </c>
      <c r="B77" s="65" t="inlineStr">
        <is>
          <t>Okafor</t>
        </is>
      </c>
      <c r="C77" s="65" t="inlineStr">
        <is>
          <t>Megan</t>
        </is>
      </c>
      <c r="D77" s="66" t="inlineStr">
        <is>
          <t>M</t>
        </is>
      </c>
      <c r="E77" s="66" t="n"/>
      <c r="F77" s="66" t="inlineStr">
        <is>
          <t>N</t>
        </is>
      </c>
      <c r="G77" s="34" t="n">
        <v>97.8</v>
      </c>
      <c r="H77" s="34" t="n">
        <v>89</v>
      </c>
      <c r="I77" s="67">
        <f>IF(ISNUMBER(tblY10[[#This Row],[Avg KS2]]),IFERROR(VLOOKUP(STANDARDIZE(tblY10[[#This Row],[Avg KS2]],AVERAGE(tblY10[[Avg KS2]]),_xlfn.STDEV.P(tblY10[[Avg KS2]])),_Stanine,2),5),"")</f>
        <v>1</v>
      </c>
      <c r="J77" s="66" t="inlineStr">
        <is>
          <t>Science Support</t>
        </is>
      </c>
      <c r="K77" s="67">
        <f>IF(tblY10[[#This Row],[Preferred Last name]]="","",COUNTIFS($N$1:$ZZ$1,"*"&amp;CHAR(10)&amp;"Stanine",$N77:$ZZ77,"&gt;=1"))</f>
        <v>5</v>
      </c>
      <c r="L77" s="68">
        <f>IFERROR(AVERAGEIF($N$1:$ZZ$1,"*"&amp;CHAR(10)&amp;"Stanine",$N77:$ZZ77),"")</f>
        <v>1.6</v>
      </c>
      <c r="M77" s="69">
        <f>IF(AND(ISNUMBER(tblY10[[#This Row],[Mean Stanine]]),ISNUMBER(tblY10[[#This Row],[Avg KS2 Band]])),tblY10[[#This Row],[Mean Stanine]]-tblY10[[#This Row],[Avg KS2 Band]],"")</f>
        <v>0.6</v>
      </c>
      <c r="N77" s="66" t="n">
        <v>4</v>
      </c>
      <c r="O7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1</v>
      </c>
      <c r="P77" s="66" t="n">
        <v>6</v>
      </c>
      <c r="Q7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1</v>
      </c>
      <c r="R77" s="66" t="n">
        <v>9</v>
      </c>
      <c r="S7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77" s="66" t="n">
        <v>7</v>
      </c>
      <c r="U7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77" s="66" t="n">
        <v>7</v>
      </c>
      <c r="W7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78">
      <c r="A78" s="65" t="inlineStr">
        <is>
          <t>X906526655306</t>
        </is>
      </c>
      <c r="B78" s="65" t="inlineStr">
        <is>
          <t>Pearson</t>
        </is>
      </c>
      <c r="C78" s="65" t="inlineStr">
        <is>
          <t>Chidi</t>
        </is>
      </c>
      <c r="D78" s="66" t="inlineStr">
        <is>
          <t>F</t>
        </is>
      </c>
      <c r="E78" s="66" t="inlineStr">
        <is>
          <t>K</t>
        </is>
      </c>
      <c r="F78" s="66" t="inlineStr">
        <is>
          <t>Y</t>
        </is>
      </c>
      <c r="G78" s="34" t="n">
        <v>89</v>
      </c>
      <c r="H78" s="34" t="n">
        <v>97</v>
      </c>
      <c r="I78" s="67">
        <f>IF(ISNUMBER(tblY10[[#This Row],[Avg KS2]]),IFERROR(VLOOKUP(STANDARDIZE(tblY10[[#This Row],[Avg KS2]],AVERAGE(tblY10[[Avg KS2]]),_xlfn.STDEV.P(tblY10[[Avg KS2]])),_Stanine,2),5),"")</f>
        <v>2</v>
      </c>
      <c r="J78" s="66" t="inlineStr">
        <is>
          <t>10S/Sc3</t>
        </is>
      </c>
      <c r="K78" s="67">
        <f>IF(tblY10[[#This Row],[Preferred Last name]]="","",COUNTIFS($N$1:$ZZ$1,"*"&amp;CHAR(10)&amp;"Stanine",$N78:$ZZ78,"&gt;=1"))</f>
        <v>4</v>
      </c>
      <c r="L78" s="68">
        <f>IFERROR(AVERAGEIF($N$1:$ZZ$1,"*"&amp;CHAR(10)&amp;"Stanine",$N78:$ZZ78),"")</f>
        <v>2.75</v>
      </c>
      <c r="M78" s="69">
        <f>IF(AND(ISNUMBER(tblY10[[#This Row],[Mean Stanine]]),ISNUMBER(tblY10[[#This Row],[Avg KS2 Band]])),tblY10[[#This Row],[Mean Stanine]]-tblY10[[#This Row],[Avg KS2 Band]],"")</f>
        <v>0.75</v>
      </c>
      <c r="N78" s="66" t="n">
        <v>9</v>
      </c>
      <c r="O7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78" s="66" t="n">
        <v>13</v>
      </c>
      <c r="Q7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78" s="66" t="n">
        <v>14</v>
      </c>
      <c r="S7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78" s="66" t="n">
        <v>8</v>
      </c>
      <c r="U7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78" s="66" t="n"/>
      <c r="W78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79">
      <c r="A79" s="65" t="inlineStr">
        <is>
          <t>X906581594577</t>
        </is>
      </c>
      <c r="B79" s="65" t="inlineStr">
        <is>
          <t>Pearson</t>
        </is>
      </c>
      <c r="C79" s="65" t="inlineStr">
        <is>
          <t>Dylan</t>
        </is>
      </c>
      <c r="D79" s="66" t="inlineStr">
        <is>
          <t>M</t>
        </is>
      </c>
      <c r="E79" s="66" t="inlineStr">
        <is>
          <t>N</t>
        </is>
      </c>
      <c r="F79" s="66" t="inlineStr">
        <is>
          <t>N</t>
        </is>
      </c>
      <c r="G79" s="34" t="n">
        <v>89.7</v>
      </c>
      <c r="H79" s="34" t="n">
        <v>102</v>
      </c>
      <c r="I79" s="67">
        <f>IF(ISNUMBER(tblY10[[#This Row],[Avg KS2]]),IFERROR(VLOOKUP(STANDARDIZE(tblY10[[#This Row],[Avg KS2]],AVERAGE(tblY10[[Avg KS2]]),_xlfn.STDEV.P(tblY10[[Avg KS2]])),_Stanine,2),5),"")</f>
        <v>4</v>
      </c>
      <c r="J79" s="66" t="inlineStr">
        <is>
          <t>10S/Sc5</t>
        </is>
      </c>
      <c r="K79" s="67">
        <f>IF(tblY10[[#This Row],[Preferred Last name]]="","",COUNTIFS($N$1:$ZZ$1,"*"&amp;CHAR(10)&amp;"Stanine",$N79:$ZZ79,"&gt;=1"))</f>
        <v>4</v>
      </c>
      <c r="L79" s="68">
        <f>IFERROR(AVERAGEIF($N$1:$ZZ$1,"*"&amp;CHAR(10)&amp;"Stanine",$N79:$ZZ79),"")</f>
        <v>5</v>
      </c>
      <c r="M79" s="69">
        <f>IF(AND(ISNUMBER(tblY10[[#This Row],[Mean Stanine]]),ISNUMBER(tblY10[[#This Row],[Avg KS2 Band]])),tblY10[[#This Row],[Mean Stanine]]-tblY10[[#This Row],[Avg KS2 Band]],"")</f>
        <v>1</v>
      </c>
      <c r="N79" s="66" t="n">
        <v>20</v>
      </c>
      <c r="O7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79" s="66" t="inlineStr">
        <is>
          <t>A</t>
        </is>
      </c>
      <c r="Q79" s="67" t="str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/>
      </c>
      <c r="R79" s="66" t="n">
        <v>24</v>
      </c>
      <c r="S7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79" s="66" t="n">
        <v>14</v>
      </c>
      <c r="U7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79" s="66" t="n">
        <v>19</v>
      </c>
      <c r="W79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80">
      <c r="A80" s="65" t="inlineStr">
        <is>
          <t>X902730492066</t>
        </is>
      </c>
      <c r="B80" s="65" t="inlineStr">
        <is>
          <t>Pearson</t>
        </is>
      </c>
      <c r="C80" s="65" t="inlineStr">
        <is>
          <t>Grace</t>
        </is>
      </c>
      <c r="D80" s="66" t="inlineStr">
        <is>
          <t>M</t>
        </is>
      </c>
      <c r="E80" s="66" t="n"/>
      <c r="F80" s="66" t="inlineStr">
        <is>
          <t>N</t>
        </is>
      </c>
      <c r="G80" s="34" t="n">
        <v>94.7</v>
      </c>
      <c r="H80" s="34" t="n">
        <v>105</v>
      </c>
      <c r="I80" s="67">
        <f>IF(ISNUMBER(tblY10[[#This Row],[Avg KS2]]),IFERROR(VLOOKUP(STANDARDIZE(tblY10[[#This Row],[Avg KS2]],AVERAGE(tblY10[[Avg KS2]]),_xlfn.STDEV.P(tblY10[[Avg KS2]])),_Stanine,2),5),"")</f>
        <v>5</v>
      </c>
      <c r="J80" s="66" t="inlineStr">
        <is>
          <t>10S/Sc1</t>
        </is>
      </c>
      <c r="K80" s="67">
        <f>IF(tblY10[[#This Row],[Preferred Last name]]="","",COUNTIFS($N$1:$ZZ$1,"*"&amp;CHAR(10)&amp;"Stanine",$N80:$ZZ80,"&gt;=1"))</f>
        <v>5</v>
      </c>
      <c r="L80" s="68">
        <f>IFERROR(AVERAGEIF($N$1:$ZZ$1,"*"&amp;CHAR(10)&amp;"Stanine",$N80:$ZZ80),"")</f>
        <v>3.8</v>
      </c>
      <c r="M80" s="69">
        <f>IF(AND(ISNUMBER(tblY10[[#This Row],[Mean Stanine]]),ISNUMBER(tblY10[[#This Row],[Avg KS2 Band]])),tblY10[[#This Row],[Mean Stanine]]-tblY10[[#This Row],[Avg KS2 Band]],"")</f>
        <v>-1.2</v>
      </c>
      <c r="N80" s="66" t="n">
        <v>13</v>
      </c>
      <c r="O8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80" s="66" t="n">
        <v>16</v>
      </c>
      <c r="Q8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80" s="66" t="n">
        <v>22</v>
      </c>
      <c r="S8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80" s="66" t="n">
        <v>16</v>
      </c>
      <c r="U8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80" s="66" t="n">
        <v>10</v>
      </c>
      <c r="W8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  <row r="81">
      <c r="A81" s="65" t="inlineStr">
        <is>
          <t>X907589494091</t>
        </is>
      </c>
      <c r="B81" s="65" t="inlineStr">
        <is>
          <t>Price</t>
        </is>
      </c>
      <c r="C81" s="65" t="inlineStr">
        <is>
          <t>Sophie</t>
        </is>
      </c>
      <c r="D81" s="66" t="inlineStr">
        <is>
          <t>F</t>
        </is>
      </c>
      <c r="E81" s="66" t="inlineStr">
        <is>
          <t>K</t>
        </is>
      </c>
      <c r="F81" s="66" t="inlineStr">
        <is>
          <t>N</t>
        </is>
      </c>
      <c r="G81" s="34" t="n">
        <v>94.40000000000001</v>
      </c>
      <c r="H81" s="34" t="n">
        <v>106.5</v>
      </c>
      <c r="I81" s="67">
        <f>IF(ISNUMBER(tblY10[[#This Row],[Avg KS2]]),IFERROR(VLOOKUP(STANDARDIZE(tblY10[[#This Row],[Avg KS2]],AVERAGE(tblY10[[Avg KS2]]),_xlfn.STDEV.P(tblY10[[Avg KS2]])),_Stanine,2),5),"")</f>
        <v>6</v>
      </c>
      <c r="J81" s="66" t="inlineStr">
        <is>
          <t>10S/Sc3</t>
        </is>
      </c>
      <c r="K81" s="67">
        <f>IF(tblY10[[#This Row],[Preferred Last name]]="","",COUNTIFS($N$1:$ZZ$1,"*"&amp;CHAR(10)&amp;"Stanine",$N81:$ZZ81,"&gt;=1"))</f>
        <v>4</v>
      </c>
      <c r="L81" s="68">
        <f>IFERROR(AVERAGEIF($N$1:$ZZ$1,"*"&amp;CHAR(10)&amp;"Stanine",$N81:$ZZ81),"")</f>
        <v>4.5</v>
      </c>
      <c r="M81" s="69">
        <f>IF(AND(ISNUMBER(tblY10[[#This Row],[Mean Stanine]]),ISNUMBER(tblY10[[#This Row],[Avg KS2 Band]])),tblY10[[#This Row],[Mean Stanine]]-tblY10[[#This Row],[Avg KS2 Band]],"")</f>
        <v>-1.5</v>
      </c>
      <c r="N81" s="66" t="n">
        <v>16</v>
      </c>
      <c r="O8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81" s="66" t="n">
        <v>15</v>
      </c>
      <c r="Q8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81" s="66" t="n">
        <v>25</v>
      </c>
      <c r="S8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81" s="66" t="n">
        <v>16</v>
      </c>
      <c r="U8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81" s="66" t="n"/>
      <c r="W8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82">
      <c r="A82" s="65" t="inlineStr">
        <is>
          <t>X906814170758</t>
        </is>
      </c>
      <c r="B82" s="65" t="inlineStr">
        <is>
          <t>Roberts</t>
        </is>
      </c>
      <c r="C82" s="65" t="inlineStr">
        <is>
          <t>Arjun</t>
        </is>
      </c>
      <c r="D82" s="66" t="inlineStr">
        <is>
          <t>F</t>
        </is>
      </c>
      <c r="E82" s="66" t="n"/>
      <c r="F82" s="66" t="inlineStr">
        <is>
          <t>N</t>
        </is>
      </c>
      <c r="G82" s="34" t="n">
        <v>85.59999999999999</v>
      </c>
      <c r="H82" s="34" t="n">
        <v>111</v>
      </c>
      <c r="I82" s="67">
        <f>IF(ISNUMBER(tblY10[[#This Row],[Avg KS2]]),IFERROR(VLOOKUP(STANDARDIZE(tblY10[[#This Row],[Avg KS2]],AVERAGE(tblY10[[Avg KS2]]),_xlfn.STDEV.P(tblY10[[Avg KS2]])),_Stanine,2),5),"")</f>
        <v>7</v>
      </c>
      <c r="J82" s="66" t="inlineStr">
        <is>
          <t>10S/Sc2</t>
        </is>
      </c>
      <c r="K82" s="67">
        <f>IF(tblY10[[#This Row],[Preferred Last name]]="","",COUNTIFS($N$1:$ZZ$1,"*"&amp;CHAR(10)&amp;"Stanine",$N82:$ZZ82,"&gt;=1"))</f>
        <v>4</v>
      </c>
      <c r="L82" s="68">
        <f>IFERROR(AVERAGEIF($N$1:$ZZ$1,"*"&amp;CHAR(10)&amp;"Stanine",$N82:$ZZ82),"")</f>
        <v>4.25</v>
      </c>
      <c r="M82" s="69">
        <f>IF(AND(ISNUMBER(tblY10[[#This Row],[Mean Stanine]]),ISNUMBER(tblY10[[#This Row],[Avg KS2 Band]])),tblY10[[#This Row],[Mean Stanine]]-tblY10[[#This Row],[Avg KS2 Band]],"")</f>
        <v>-2.75</v>
      </c>
      <c r="N82" s="66" t="inlineStr">
        <is>
          <t>A</t>
        </is>
      </c>
      <c r="O82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82" s="66" t="n">
        <v>18</v>
      </c>
      <c r="Q8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82" s="66" t="n">
        <v>21</v>
      </c>
      <c r="S8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82" s="66" t="n">
        <v>16</v>
      </c>
      <c r="U8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82" s="66" t="n">
        <v>18</v>
      </c>
      <c r="W8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83">
      <c r="A83" s="65" t="inlineStr">
        <is>
          <t>X905593803629</t>
        </is>
      </c>
      <c r="B83" s="65" t="inlineStr">
        <is>
          <t>Roberts</t>
        </is>
      </c>
      <c r="C83" s="65" t="inlineStr">
        <is>
          <t>Freya</t>
        </is>
      </c>
      <c r="D83" s="66" t="inlineStr">
        <is>
          <t>F</t>
        </is>
      </c>
      <c r="E83" s="66" t="inlineStr">
        <is>
          <t>N</t>
        </is>
      </c>
      <c r="F83" s="66" t="inlineStr">
        <is>
          <t>Y</t>
        </is>
      </c>
      <c r="G83" s="34" t="n">
        <v>88.5</v>
      </c>
      <c r="H83" s="34" t="n">
        <v>114</v>
      </c>
      <c r="I83" s="67">
        <f>IF(ISNUMBER(tblY10[[#This Row],[Avg KS2]]),IFERROR(VLOOKUP(STANDARDIZE(tblY10[[#This Row],[Avg KS2]],AVERAGE(tblY10[[Avg KS2]]),_xlfn.STDEV.P(tblY10[[Avg KS2]])),_Stanine,2),5),"")</f>
        <v>8</v>
      </c>
      <c r="J83" s="66" t="inlineStr">
        <is>
          <t>10S/Sc1</t>
        </is>
      </c>
      <c r="K83" s="67">
        <f>IF(tblY10[[#This Row],[Preferred Last name]]="","",COUNTIFS($N$1:$ZZ$1,"*"&amp;CHAR(10)&amp;"Stanine",$N83:$ZZ83,"&gt;=1"))</f>
        <v>5</v>
      </c>
      <c r="L83" s="68">
        <f>IFERROR(AVERAGEIF($N$1:$ZZ$1,"*"&amp;CHAR(10)&amp;"Stanine",$N83:$ZZ83),"")</f>
        <v>7.2</v>
      </c>
      <c r="M83" s="69">
        <f>IF(AND(ISNUMBER(tblY10[[#This Row],[Mean Stanine]]),ISNUMBER(tblY10[[#This Row],[Avg KS2 Band]])),tblY10[[#This Row],[Mean Stanine]]-tblY10[[#This Row],[Avg KS2 Band]],"")</f>
        <v>-0.8</v>
      </c>
      <c r="N83" s="66" t="n">
        <v>29</v>
      </c>
      <c r="O8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83" s="66" t="n">
        <v>31</v>
      </c>
      <c r="Q8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83" s="66" t="n">
        <v>27</v>
      </c>
      <c r="S8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83" s="66" t="n">
        <v>25</v>
      </c>
      <c r="U8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83" s="66" t="n">
        <v>28</v>
      </c>
      <c r="W8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84">
      <c r="A84" s="65" t="inlineStr">
        <is>
          <t>X902138887713</t>
        </is>
      </c>
      <c r="B84" s="65" t="inlineStr">
        <is>
          <t>Roberts</t>
        </is>
      </c>
      <c r="C84" s="65" t="inlineStr">
        <is>
          <t>Zara</t>
        </is>
      </c>
      <c r="D84" s="66" t="inlineStr">
        <is>
          <t>F</t>
        </is>
      </c>
      <c r="E84" s="66" t="n"/>
      <c r="F84" s="66" t="inlineStr">
        <is>
          <t>Y</t>
        </is>
      </c>
      <c r="G84" s="34" t="n">
        <v>85.59999999999999</v>
      </c>
      <c r="H84" s="34" t="n">
        <v>106.5</v>
      </c>
      <c r="I84" s="67">
        <f>IF(ISNUMBER(tblY10[[#This Row],[Avg KS2]]),IFERROR(VLOOKUP(STANDARDIZE(tblY10[[#This Row],[Avg KS2]],AVERAGE(tblY10[[Avg KS2]]),_xlfn.STDEV.P(tblY10[[Avg KS2]])),_Stanine,2),5),"")</f>
        <v>6</v>
      </c>
      <c r="J84" s="66" t="inlineStr">
        <is>
          <t>10S/Sc1</t>
        </is>
      </c>
      <c r="K84" s="67">
        <f>IF(tblY10[[#This Row],[Preferred Last name]]="","",COUNTIFS($N$1:$ZZ$1,"*"&amp;CHAR(10)&amp;"Stanine",$N84:$ZZ84,"&gt;=1"))</f>
        <v>5</v>
      </c>
      <c r="L84" s="68">
        <f>IFERROR(AVERAGEIF($N$1:$ZZ$1,"*"&amp;CHAR(10)&amp;"Stanine",$N84:$ZZ84),"")</f>
        <v>5.2</v>
      </c>
      <c r="M84" s="69">
        <f>IF(AND(ISNUMBER(tblY10[[#This Row],[Mean Stanine]]),ISNUMBER(tblY10[[#This Row],[Avg KS2 Band]])),tblY10[[#This Row],[Mean Stanine]]-tblY10[[#This Row],[Avg KS2 Band]],"")</f>
        <v>-0.8</v>
      </c>
      <c r="N84" s="66" t="n">
        <v>20</v>
      </c>
      <c r="O8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84" s="66" t="n">
        <v>21</v>
      </c>
      <c r="Q8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84" s="66" t="n">
        <v>21</v>
      </c>
      <c r="S8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84" s="66" t="n">
        <v>23</v>
      </c>
      <c r="U8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84" s="66" t="n">
        <v>19</v>
      </c>
      <c r="W8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85">
      <c r="A85" s="65" t="inlineStr">
        <is>
          <t>X904267236000</t>
        </is>
      </c>
      <c r="B85" s="65" t="inlineStr">
        <is>
          <t>Robinson</t>
        </is>
      </c>
      <c r="C85" s="65" t="inlineStr">
        <is>
          <t>Seren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Y</t>
        </is>
      </c>
      <c r="G85" s="34" t="n">
        <v>88.8</v>
      </c>
      <c r="H85" s="34" t="n">
        <v>104</v>
      </c>
      <c r="I85" s="67">
        <f>IF(ISNUMBER(tblY10[[#This Row],[Avg KS2]]),IFERROR(VLOOKUP(STANDARDIZE(tblY10[[#This Row],[Avg KS2]],AVERAGE(tblY10[[Avg KS2]]),_xlfn.STDEV.P(tblY10[[Avg KS2]])),_Stanine,2),5),"")</f>
        <v>5</v>
      </c>
      <c r="J85" s="66" t="inlineStr">
        <is>
          <t>10S/Sc3</t>
        </is>
      </c>
      <c r="K85" s="67">
        <f>IF(tblY10[[#This Row],[Preferred Last name]]="","",COUNTIFS($N$1:$ZZ$1,"*"&amp;CHAR(10)&amp;"Stanine",$N85:$ZZ85,"&gt;=1"))</f>
        <v>4</v>
      </c>
      <c r="L85" s="68">
        <f>IFERROR(AVERAGEIF($N$1:$ZZ$1,"*"&amp;CHAR(10)&amp;"Stanine",$N85:$ZZ85),"")</f>
        <v>4.5</v>
      </c>
      <c r="M85" s="69">
        <f>IF(AND(ISNUMBER(tblY10[[#This Row],[Mean Stanine]]),ISNUMBER(tblY10[[#This Row],[Avg KS2 Band]])),tblY10[[#This Row],[Mean Stanine]]-tblY10[[#This Row],[Avg KS2 Band]],"")</f>
        <v>-0.5</v>
      </c>
      <c r="N85" s="66" t="n">
        <v>17</v>
      </c>
      <c r="O8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85" s="66" t="n">
        <v>24</v>
      </c>
      <c r="Q8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85" s="66" t="n">
        <v>18</v>
      </c>
      <c r="S8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85" s="66" t="n">
        <v>12</v>
      </c>
      <c r="U8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85" s="66" t="n"/>
      <c r="W8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86">
      <c r="A86" s="65" t="inlineStr">
        <is>
          <t>X903011524748</t>
        </is>
      </c>
      <c r="B86" s="65" t="inlineStr">
        <is>
          <t>Robinson</t>
        </is>
      </c>
      <c r="C86" s="65" t="inlineStr">
        <is>
          <t>Tomasz</t>
        </is>
      </c>
      <c r="D86" s="66" t="inlineStr">
        <is>
          <t>M</t>
        </is>
      </c>
      <c r="E86" s="66" t="n"/>
      <c r="F86" s="66" t="inlineStr">
        <is>
          <t>N</t>
        </is>
      </c>
      <c r="G86" s="34" t="n">
        <v>100</v>
      </c>
      <c r="H86" s="34" t="n">
        <v>105</v>
      </c>
      <c r="I86" s="67">
        <f>IF(ISNUMBER(tblY10[[#This Row],[Avg KS2]]),IFERROR(VLOOKUP(STANDARDIZE(tblY10[[#This Row],[Avg KS2]],AVERAGE(tblY10[[Avg KS2]]),_xlfn.STDEV.P(tblY10[[Avg KS2]])),_Stanine,2),5),"")</f>
        <v>5</v>
      </c>
      <c r="J86" s="66" t="inlineStr">
        <is>
          <t>10S/Sc4</t>
        </is>
      </c>
      <c r="K86" s="67">
        <f>IF(tblY10[[#This Row],[Preferred Last name]]="","",COUNTIFS($N$1:$ZZ$1,"*"&amp;CHAR(10)&amp;"Stanine",$N86:$ZZ86,"&gt;=1"))</f>
        <v>4</v>
      </c>
      <c r="L86" s="68">
        <f>IFERROR(AVERAGEIF($N$1:$ZZ$1,"*"&amp;CHAR(10)&amp;"Stanine",$N86:$ZZ86),"")</f>
        <v>4.75</v>
      </c>
      <c r="M86" s="69">
        <f>IF(AND(ISNUMBER(tblY10[[#This Row],[Mean Stanine]]),ISNUMBER(tblY10[[#This Row],[Avg KS2 Band]])),tblY10[[#This Row],[Mean Stanine]]-tblY10[[#This Row],[Avg KS2 Band]],"")</f>
        <v>-0.25</v>
      </c>
      <c r="N86" s="66" t="n">
        <v>14</v>
      </c>
      <c r="O8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86" s="66" t="n">
        <v>21</v>
      </c>
      <c r="Q8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86" s="66" t="n">
        <v>23</v>
      </c>
      <c r="S8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86" s="66" t="n">
        <v>13</v>
      </c>
      <c r="U8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86" s="66" t="n"/>
      <c r="W86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87">
      <c r="A87" s="65" t="inlineStr">
        <is>
          <t>X904811098500</t>
        </is>
      </c>
      <c r="B87" s="65" t="inlineStr">
        <is>
          <t>Shaw</t>
        </is>
      </c>
      <c r="C87" s="65" t="inlineStr">
        <is>
          <t>Ibrahim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98.3</v>
      </c>
      <c r="H87" s="34" t="n">
        <v>97</v>
      </c>
      <c r="I87" s="67">
        <f>IF(ISNUMBER(tblY10[[#This Row],[Avg KS2]]),IFERROR(VLOOKUP(STANDARDIZE(tblY10[[#This Row],[Avg KS2]],AVERAGE(tblY10[[Avg KS2]]),_xlfn.STDEV.P(tblY10[[Avg KS2]])),_Stanine,2),5),"")</f>
        <v>2</v>
      </c>
      <c r="J87" s="66" t="inlineStr">
        <is>
          <t>10S/Sc1</t>
        </is>
      </c>
      <c r="K87" s="67">
        <f>IF(tblY10[[#This Row],[Preferred Last name]]="","",COUNTIFS($N$1:$ZZ$1,"*"&amp;CHAR(10)&amp;"Stanine",$N87:$ZZ87,"&gt;=1"))</f>
        <v>5</v>
      </c>
      <c r="L87" s="68">
        <f>IFERROR(AVERAGEIF($N$1:$ZZ$1,"*"&amp;CHAR(10)&amp;"Stanine",$N87:$ZZ87),"")</f>
        <v>3.8</v>
      </c>
      <c r="M87" s="69">
        <f>IF(AND(ISNUMBER(tblY10[[#This Row],[Mean Stanine]]),ISNUMBER(tblY10[[#This Row],[Avg KS2 Band]])),tblY10[[#This Row],[Mean Stanine]]-tblY10[[#This Row],[Avg KS2 Band]],"")</f>
        <v>1.8</v>
      </c>
      <c r="N87" s="66" t="n">
        <v>19</v>
      </c>
      <c r="O8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87" s="66" t="n">
        <v>9</v>
      </c>
      <c r="Q8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87" s="66" t="n">
        <v>14</v>
      </c>
      <c r="S8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87" s="66" t="n">
        <v>17</v>
      </c>
      <c r="U8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87" s="66" t="n">
        <v>15</v>
      </c>
      <c r="W8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88">
      <c r="A88" s="65" t="inlineStr">
        <is>
          <t>X902453390271</t>
        </is>
      </c>
      <c r="B88" s="65" t="inlineStr">
        <is>
          <t>Shaw</t>
        </is>
      </c>
      <c r="C88" s="65" t="inlineStr">
        <is>
          <t>Lewis</t>
        </is>
      </c>
      <c r="D88" s="66" t="inlineStr">
        <is>
          <t>M</t>
        </is>
      </c>
      <c r="E88" s="66" t="inlineStr">
        <is>
          <t>K</t>
        </is>
      </c>
      <c r="F88" s="66" t="inlineStr">
        <is>
          <t>N</t>
        </is>
      </c>
      <c r="G88" s="34" t="n">
        <v>89.5</v>
      </c>
      <c r="H88" s="34" t="n">
        <v>97</v>
      </c>
      <c r="I88" s="67">
        <f>IF(ISNUMBER(tblY10[[#This Row],[Avg KS2]]),IFERROR(VLOOKUP(STANDARDIZE(tblY10[[#This Row],[Avg KS2]],AVERAGE(tblY10[[Avg KS2]]),_xlfn.STDEV.P(tblY10[[Avg KS2]])),_Stanine,2),5),"")</f>
        <v>2</v>
      </c>
      <c r="J88" s="66" t="inlineStr">
        <is>
          <t>10S/Sc4</t>
        </is>
      </c>
      <c r="K88" s="67">
        <f>IF(tblY10[[#This Row],[Preferred Last name]]="","",COUNTIFS($N$1:$ZZ$1,"*"&amp;CHAR(10)&amp;"Stanine",$N88:$ZZ88,"&gt;=1"))</f>
        <v>4</v>
      </c>
      <c r="L88" s="68">
        <f>IFERROR(AVERAGEIF($N$1:$ZZ$1,"*"&amp;CHAR(10)&amp;"Stanine",$N88:$ZZ88),"")</f>
        <v>2.25</v>
      </c>
      <c r="M88" s="69">
        <f>IF(AND(ISNUMBER(tblY10[[#This Row],[Mean Stanine]]),ISNUMBER(tblY10[[#This Row],[Avg KS2 Band]])),tblY10[[#This Row],[Mean Stanine]]-tblY10[[#This Row],[Avg KS2 Band]],"")</f>
        <v>0.25</v>
      </c>
      <c r="N88" s="66" t="n">
        <v>9</v>
      </c>
      <c r="O8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88" s="66" t="n">
        <v>9</v>
      </c>
      <c r="Q8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88" s="66" t="n">
        <v>9</v>
      </c>
      <c r="S8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88" s="66" t="n">
        <v>7</v>
      </c>
      <c r="U8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88" s="66" t="n"/>
      <c r="W88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89">
      <c r="A89" s="65" t="inlineStr">
        <is>
          <t>X908791889269</t>
        </is>
      </c>
      <c r="B89" s="65" t="inlineStr">
        <is>
          <t>Shaw</t>
        </is>
      </c>
      <c r="C89" s="65" t="inlineStr">
        <is>
          <t>Priya</t>
        </is>
      </c>
      <c r="D89" s="66" t="inlineStr">
        <is>
          <t>F</t>
        </is>
      </c>
      <c r="E89" s="66" t="n"/>
      <c r="F89" s="66" t="inlineStr">
        <is>
          <t>N</t>
        </is>
      </c>
      <c r="G89" s="34" t="n">
        <v>93.3</v>
      </c>
      <c r="H89" s="34" t="n">
        <v>97.5</v>
      </c>
      <c r="I89" s="67">
        <f>IF(ISNUMBER(tblY10[[#This Row],[Avg KS2]]),IFERROR(VLOOKUP(STANDARDIZE(tblY10[[#This Row],[Avg KS2]],AVERAGE(tblY10[[Avg KS2]]),_xlfn.STDEV.P(tblY10[[Avg KS2]])),_Stanine,2),5),"")</f>
        <v>3</v>
      </c>
      <c r="J89" s="66" t="inlineStr">
        <is>
          <t>10S/Sc4</t>
        </is>
      </c>
      <c r="K89" s="67">
        <f>IF(tblY10[[#This Row],[Preferred Last name]]="","",COUNTIFS($N$1:$ZZ$1,"*"&amp;CHAR(10)&amp;"Stanine",$N89:$ZZ89,"&gt;=1"))</f>
        <v>4</v>
      </c>
      <c r="L89" s="68">
        <f>IFERROR(AVERAGEIF($N$1:$ZZ$1,"*"&amp;CHAR(10)&amp;"Stanine",$N89:$ZZ89),"")</f>
        <v>4</v>
      </c>
      <c r="M89" s="69">
        <f>IF(AND(ISNUMBER(tblY10[[#This Row],[Mean Stanine]]),ISNUMBER(tblY10[[#This Row],[Avg KS2 Band]])),tblY10[[#This Row],[Mean Stanine]]-tblY10[[#This Row],[Avg KS2 Band]],"")</f>
        <v>1</v>
      </c>
      <c r="N89" s="66" t="n">
        <v>12</v>
      </c>
      <c r="O8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89" s="66" t="n">
        <v>15</v>
      </c>
      <c r="Q8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89" s="66" t="n">
        <v>17</v>
      </c>
      <c r="S8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89" s="66" t="n">
        <v>18</v>
      </c>
      <c r="U8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89" s="66" t="n"/>
      <c r="W8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90">
      <c r="A90" s="65" t="inlineStr">
        <is>
          <t>X907313339834</t>
        </is>
      </c>
      <c r="B90" s="65" t="inlineStr">
        <is>
          <t>Taylor</t>
        </is>
      </c>
      <c r="C90" s="65" t="inlineStr">
        <is>
          <t>Layla</t>
        </is>
      </c>
      <c r="D90" s="66" t="inlineStr">
        <is>
          <t>F</t>
        </is>
      </c>
      <c r="E90" s="66" t="n"/>
      <c r="F90" s="66" t="inlineStr">
        <is>
          <t>Y</t>
        </is>
      </c>
      <c r="G90" s="34" t="n">
        <v>89.90000000000001</v>
      </c>
      <c r="H90" s="34" t="n">
        <v>107</v>
      </c>
      <c r="I90" s="67">
        <f>IF(ISNUMBER(tblY10[[#This Row],[Avg KS2]]),IFERROR(VLOOKUP(STANDARDIZE(tblY10[[#This Row],[Avg KS2]],AVERAGE(tblY10[[Avg KS2]]),_xlfn.STDEV.P(tblY10[[Avg KS2]])),_Stanine,2),5),"")</f>
        <v>6</v>
      </c>
      <c r="J90" s="66" t="inlineStr">
        <is>
          <t>10S/Sc1</t>
        </is>
      </c>
      <c r="K90" s="67">
        <f>IF(tblY10[[#This Row],[Preferred Last name]]="","",COUNTIFS($N$1:$ZZ$1,"*"&amp;CHAR(10)&amp;"Stanine",$N90:$ZZ90,"&gt;=1"))</f>
        <v>5</v>
      </c>
      <c r="L90" s="68">
        <f>IFERROR(AVERAGEIF($N$1:$ZZ$1,"*"&amp;CHAR(10)&amp;"Stanine",$N90:$ZZ90),"")</f>
        <v>6.2</v>
      </c>
      <c r="M90" s="69">
        <f>IF(AND(ISNUMBER(tblY10[[#This Row],[Mean Stanine]]),ISNUMBER(tblY10[[#This Row],[Avg KS2 Band]])),tblY10[[#This Row],[Mean Stanine]]-tblY10[[#This Row],[Avg KS2 Band]],"")</f>
        <v>0.2</v>
      </c>
      <c r="N90" s="66" t="n">
        <v>25</v>
      </c>
      <c r="O9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90" s="66" t="n">
        <v>27</v>
      </c>
      <c r="Q9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90" s="66" t="n">
        <v>28</v>
      </c>
      <c r="S9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90" s="66" t="n">
        <v>23</v>
      </c>
      <c r="U9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90" s="66" t="n">
        <v>18</v>
      </c>
      <c r="W9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91">
      <c r="A91" s="65" t="inlineStr">
        <is>
          <t>X901994604021</t>
        </is>
      </c>
      <c r="B91" s="65" t="inlineStr">
        <is>
          <t>Taylor</t>
        </is>
      </c>
      <c r="C91" s="65" t="inlineStr">
        <is>
          <t>Rhys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98.40000000000001</v>
      </c>
      <c r="H91" s="34" t="n">
        <v>116.5</v>
      </c>
      <c r="I91" s="67">
        <f>IF(ISNUMBER(tblY10[[#This Row],[Avg KS2]]),IFERROR(VLOOKUP(STANDARDIZE(tblY10[[#This Row],[Avg KS2]],AVERAGE(tblY10[[Avg KS2]]),_xlfn.STDEV.P(tblY10[[Avg KS2]])),_Stanine,2),5),"")</f>
        <v>9</v>
      </c>
      <c r="J91" s="66" t="inlineStr">
        <is>
          <t>10S/Sc1</t>
        </is>
      </c>
      <c r="K91" s="67">
        <f>IF(tblY10[[#This Row],[Preferred Last name]]="","",COUNTIFS($N$1:$ZZ$1,"*"&amp;CHAR(10)&amp;"Stanine",$N91:$ZZ91,"&gt;=1"))</f>
        <v>5</v>
      </c>
      <c r="L91" s="68">
        <f>IFERROR(AVERAGEIF($N$1:$ZZ$1,"*"&amp;CHAR(10)&amp;"Stanine",$N91:$ZZ91),"")</f>
        <v>8.6</v>
      </c>
      <c r="M91" s="69">
        <f>IF(AND(ISNUMBER(tblY10[[#This Row],[Mean Stanine]]),ISNUMBER(tblY10[[#This Row],[Avg KS2 Band]])),tblY10[[#This Row],[Mean Stanine]]-tblY10[[#This Row],[Avg KS2 Band]],"")</f>
        <v>-0.4</v>
      </c>
      <c r="N91" s="66" t="n">
        <v>34</v>
      </c>
      <c r="O9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91" s="66" t="n">
        <v>33</v>
      </c>
      <c r="Q9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91" s="66" t="n">
        <v>34</v>
      </c>
      <c r="S9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9</v>
      </c>
      <c r="T91" s="66" t="n">
        <v>36</v>
      </c>
      <c r="U9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9</v>
      </c>
      <c r="V91" s="66" t="n">
        <v>35</v>
      </c>
      <c r="W91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8</v>
      </c>
    </row>
    <row r="92">
      <c r="A92" s="65" t="inlineStr">
        <is>
          <t>X901729879477</t>
        </is>
      </c>
      <c r="B92" s="65" t="inlineStr">
        <is>
          <t>Thompson</t>
        </is>
      </c>
      <c r="C92" s="65" t="inlineStr">
        <is>
          <t>Mia</t>
        </is>
      </c>
      <c r="D92" s="66" t="inlineStr">
        <is>
          <t>M</t>
        </is>
      </c>
      <c r="E92" s="66" t="inlineStr">
        <is>
          <t>N</t>
        </is>
      </c>
      <c r="F92" s="66" t="inlineStr">
        <is>
          <t>N</t>
        </is>
      </c>
      <c r="G92" s="34" t="n">
        <v>97.40000000000001</v>
      </c>
      <c r="H92" s="34" t="n">
        <v>110</v>
      </c>
      <c r="I92" s="67">
        <f>IF(ISNUMBER(tblY10[[#This Row],[Avg KS2]]),IFERROR(VLOOKUP(STANDARDIZE(tblY10[[#This Row],[Avg KS2]],AVERAGE(tblY10[[Avg KS2]]),_xlfn.STDEV.P(tblY10[[Avg KS2]])),_Stanine,2),5),"")</f>
        <v>7</v>
      </c>
      <c r="J92" s="66" t="inlineStr">
        <is>
          <t>10S/Sc2</t>
        </is>
      </c>
      <c r="K92" s="67">
        <f>IF(tblY10[[#This Row],[Preferred Last name]]="","",COUNTIFS($N$1:$ZZ$1,"*"&amp;CHAR(10)&amp;"Stanine",$N92:$ZZ92,"&gt;=1"))</f>
        <v>5</v>
      </c>
      <c r="L92" s="68">
        <f>IFERROR(AVERAGEIF($N$1:$ZZ$1,"*"&amp;CHAR(10)&amp;"Stanine",$N92:$ZZ92),"")</f>
        <v>7</v>
      </c>
      <c r="M92" s="69">
        <f>IF(AND(ISNUMBER(tblY10[[#This Row],[Mean Stanine]]),ISNUMBER(tblY10[[#This Row],[Avg KS2 Band]])),tblY10[[#This Row],[Mean Stanine]]-tblY10[[#This Row],[Avg KS2 Band]],"")</f>
        <v>0</v>
      </c>
      <c r="N92" s="66" t="n">
        <v>32</v>
      </c>
      <c r="O9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8</v>
      </c>
      <c r="P92" s="66" t="n">
        <v>29</v>
      </c>
      <c r="Q9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92" s="66" t="n">
        <v>30</v>
      </c>
      <c r="S9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92" s="66" t="n">
        <v>29</v>
      </c>
      <c r="U9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92" s="66" t="n">
        <v>24</v>
      </c>
      <c r="W9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93">
      <c r="A93" s="65" t="inlineStr">
        <is>
          <t>X904520070931</t>
        </is>
      </c>
      <c r="B93" s="65" t="inlineStr">
        <is>
          <t>Thompson</t>
        </is>
      </c>
      <c r="C93" s="65" t="inlineStr">
        <is>
          <t>Oliver</t>
        </is>
      </c>
      <c r="D93" s="66" t="inlineStr">
        <is>
          <t>M</t>
        </is>
      </c>
      <c r="E93" s="66" t="inlineStr">
        <is>
          <t>K</t>
        </is>
      </c>
      <c r="F93" s="66" t="inlineStr">
        <is>
          <t>N</t>
        </is>
      </c>
      <c r="G93" s="34" t="n">
        <v>94.5</v>
      </c>
      <c r="H93" s="34" t="n">
        <v>107.5</v>
      </c>
      <c r="I93" s="67">
        <f>IF(ISNUMBER(tblY10[[#This Row],[Avg KS2]]),IFERROR(VLOOKUP(STANDARDIZE(tblY10[[#This Row],[Avg KS2]],AVERAGE(tblY10[[Avg KS2]]),_xlfn.STDEV.P(tblY10[[Avg KS2]])),_Stanine,2),5),"")</f>
        <v>6</v>
      </c>
      <c r="J93" s="66" t="inlineStr">
        <is>
          <t>10S/Sc5</t>
        </is>
      </c>
      <c r="K93" s="67">
        <f>IF(tblY10[[#This Row],[Preferred Last name]]="","",COUNTIFS($N$1:$ZZ$1,"*"&amp;CHAR(10)&amp;"Stanine",$N93:$ZZ93,"&gt;=1"))</f>
        <v>5</v>
      </c>
      <c r="L93" s="68">
        <f>IFERROR(AVERAGEIF($N$1:$ZZ$1,"*"&amp;CHAR(10)&amp;"Stanine",$N93:$ZZ93),"")</f>
        <v>4.6</v>
      </c>
      <c r="M93" s="69">
        <f>IF(AND(ISNUMBER(tblY10[[#This Row],[Mean Stanine]]),ISNUMBER(tblY10[[#This Row],[Avg KS2 Band]])),tblY10[[#This Row],[Mean Stanine]]-tblY10[[#This Row],[Avg KS2 Band]],"")</f>
        <v>-1.4</v>
      </c>
      <c r="N93" s="66" t="n">
        <v>13</v>
      </c>
      <c r="O9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93" s="66" t="n">
        <v>21</v>
      </c>
      <c r="Q9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93" s="66" t="n">
        <v>24</v>
      </c>
      <c r="S9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93" s="66" t="n">
        <v>13</v>
      </c>
      <c r="U9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93" s="66" t="n">
        <v>17</v>
      </c>
      <c r="W9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4</v>
      </c>
    </row>
    <row r="94">
      <c r="A94" s="65" t="inlineStr">
        <is>
          <t>X906121193758</t>
        </is>
      </c>
      <c r="B94" s="65" t="inlineStr">
        <is>
          <t>Thompson</t>
        </is>
      </c>
      <c r="C94" s="65" t="inlineStr">
        <is>
          <t>Rhys</t>
        </is>
      </c>
      <c r="D94" s="66" t="inlineStr">
        <is>
          <t>M</t>
        </is>
      </c>
      <c r="E94" s="66" t="n"/>
      <c r="F94" s="66" t="inlineStr">
        <is>
          <t>N</t>
        </is>
      </c>
      <c r="G94" s="34" t="n">
        <v>94.5</v>
      </c>
      <c r="H94" s="34" t="n">
        <v>110</v>
      </c>
      <c r="I94" s="67">
        <f>IF(ISNUMBER(tblY10[[#This Row],[Avg KS2]]),IFERROR(VLOOKUP(STANDARDIZE(tblY10[[#This Row],[Avg KS2]],AVERAGE(tblY10[[Avg KS2]]),_xlfn.STDEV.P(tblY10[[Avg KS2]])),_Stanine,2),5),"")</f>
        <v>7</v>
      </c>
      <c r="J94" s="66" t="inlineStr">
        <is>
          <t>10S/Sc1</t>
        </is>
      </c>
      <c r="K94" s="67">
        <f>IF(tblY10[[#This Row],[Preferred Last name]]="","",COUNTIFS($N$1:$ZZ$1,"*"&amp;CHAR(10)&amp;"Stanine",$N94:$ZZ94,"&gt;=1"))</f>
        <v>5</v>
      </c>
      <c r="L94" s="68">
        <f>IFERROR(AVERAGEIF($N$1:$ZZ$1,"*"&amp;CHAR(10)&amp;"Stanine",$N94:$ZZ94),"")</f>
        <v>6</v>
      </c>
      <c r="M94" s="69">
        <f>IF(AND(ISNUMBER(tblY10[[#This Row],[Mean Stanine]]),ISNUMBER(tblY10[[#This Row],[Avg KS2 Band]])),tblY10[[#This Row],[Mean Stanine]]-tblY10[[#This Row],[Avg KS2 Band]],"")</f>
        <v>-1</v>
      </c>
      <c r="N94" s="66" t="n">
        <v>22</v>
      </c>
      <c r="O9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94" s="66" t="n">
        <v>26</v>
      </c>
      <c r="Q9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94" s="66" t="n">
        <v>22</v>
      </c>
      <c r="S9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94" s="66" t="n">
        <v>24</v>
      </c>
      <c r="U9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94" s="66" t="n">
        <v>25</v>
      </c>
      <c r="W9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95">
      <c r="A95" s="65" t="inlineStr">
        <is>
          <t>X902187480099</t>
        </is>
      </c>
      <c r="B95" s="65" t="inlineStr">
        <is>
          <t>Turner</t>
        </is>
      </c>
      <c r="C95" s="65" t="inlineStr">
        <is>
          <t>Arjun</t>
        </is>
      </c>
      <c r="D95" s="66" t="inlineStr">
        <is>
          <t>F</t>
        </is>
      </c>
      <c r="E95" s="66" t="inlineStr">
        <is>
          <t>N</t>
        </is>
      </c>
      <c r="F95" s="66" t="inlineStr">
        <is>
          <t>N</t>
        </is>
      </c>
      <c r="G95" s="34" t="n">
        <v>94.40000000000001</v>
      </c>
      <c r="H95" s="34" t="n">
        <v>96.5</v>
      </c>
      <c r="I95" s="67">
        <f>IF(ISNUMBER(tblY10[[#This Row],[Avg KS2]]),IFERROR(VLOOKUP(STANDARDIZE(tblY10[[#This Row],[Avg KS2]],AVERAGE(tblY10[[Avg KS2]]),_xlfn.STDEV.P(tblY10[[Avg KS2]])),_Stanine,2),5),"")</f>
        <v>2</v>
      </c>
      <c r="J95" s="66" t="inlineStr">
        <is>
          <t>10S/Sc4</t>
        </is>
      </c>
      <c r="K95" s="67">
        <f>IF(tblY10[[#This Row],[Preferred Last name]]="","",COUNTIFS($N$1:$ZZ$1,"*"&amp;CHAR(10)&amp;"Stanine",$N95:$ZZ95,"&gt;=1"))</f>
        <v>4</v>
      </c>
      <c r="L95" s="68">
        <f>IFERROR(AVERAGEIF($N$1:$ZZ$1,"*"&amp;CHAR(10)&amp;"Stanine",$N95:$ZZ95),"")</f>
        <v>3.25</v>
      </c>
      <c r="M95" s="69">
        <f>IF(AND(ISNUMBER(tblY10[[#This Row],[Mean Stanine]]),ISNUMBER(tblY10[[#This Row],[Avg KS2 Band]])),tblY10[[#This Row],[Mean Stanine]]-tblY10[[#This Row],[Avg KS2 Band]],"")</f>
        <v>1.25</v>
      </c>
      <c r="N95" s="66" t="n">
        <v>13</v>
      </c>
      <c r="O9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95" s="66" t="n">
        <v>13</v>
      </c>
      <c r="Q9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95" s="66" t="n">
        <v>14</v>
      </c>
      <c r="S9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95" s="66" t="n">
        <v>10</v>
      </c>
      <c r="U9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95" s="66" t="n"/>
      <c r="W95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96">
      <c r="A96" s="65" t="inlineStr">
        <is>
          <t>X901420025109</t>
        </is>
      </c>
      <c r="B96" s="65" t="inlineStr">
        <is>
          <t>Turner</t>
        </is>
      </c>
      <c r="C96" s="65" t="inlineStr">
        <is>
          <t>Jacob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N</t>
        </is>
      </c>
      <c r="G96" s="34" t="n">
        <v>98.59999999999999</v>
      </c>
      <c r="H96" s="34" t="n">
        <v>107.5</v>
      </c>
      <c r="I96" s="67">
        <f>IF(ISNUMBER(tblY10[[#This Row],[Avg KS2]]),IFERROR(VLOOKUP(STANDARDIZE(tblY10[[#This Row],[Avg KS2]],AVERAGE(tblY10[[Avg KS2]]),_xlfn.STDEV.P(tblY10[[Avg KS2]])),_Stanine,2),5),"")</f>
        <v>6</v>
      </c>
      <c r="J96" s="66" t="inlineStr">
        <is>
          <t>10S/Sc2</t>
        </is>
      </c>
      <c r="K96" s="67">
        <f>IF(tblY10[[#This Row],[Preferred Last name]]="","",COUNTIFS($N$1:$ZZ$1,"*"&amp;CHAR(10)&amp;"Stanine",$N96:$ZZ96,"&gt;=1"))</f>
        <v>5</v>
      </c>
      <c r="L96" s="68">
        <f>IFERROR(AVERAGEIF($N$1:$ZZ$1,"*"&amp;CHAR(10)&amp;"Stanine",$N96:$ZZ96),"")</f>
        <v>5.8</v>
      </c>
      <c r="M96" s="69">
        <f>IF(AND(ISNUMBER(tblY10[[#This Row],[Mean Stanine]]),ISNUMBER(tblY10[[#This Row],[Avg KS2 Band]])),tblY10[[#This Row],[Mean Stanine]]-tblY10[[#This Row],[Avg KS2 Band]],"")</f>
        <v>-0.2</v>
      </c>
      <c r="N96" s="66" t="n">
        <v>23</v>
      </c>
      <c r="O9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96" s="66" t="n">
        <v>22</v>
      </c>
      <c r="Q9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96" s="66" t="n">
        <v>27</v>
      </c>
      <c r="S9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96" s="66" t="n">
        <v>21</v>
      </c>
      <c r="U9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96" s="66" t="n">
        <v>24</v>
      </c>
      <c r="W9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97">
      <c r="A97" s="65" t="inlineStr">
        <is>
          <t>X906295008135</t>
        </is>
      </c>
      <c r="B97" s="65" t="inlineStr">
        <is>
          <t>Turner</t>
        </is>
      </c>
      <c r="C97" s="65" t="inlineStr">
        <is>
          <t>Priya</t>
        </is>
      </c>
      <c r="D97" s="66" t="inlineStr">
        <is>
          <t>M</t>
        </is>
      </c>
      <c r="E97" s="66" t="n"/>
      <c r="F97" s="66" t="inlineStr">
        <is>
          <t>N</t>
        </is>
      </c>
      <c r="G97" s="34" t="n">
        <v>100</v>
      </c>
      <c r="H97" s="34" t="n">
        <v>104</v>
      </c>
      <c r="I97" s="67">
        <f>IF(ISNUMBER(tblY10[[#This Row],[Avg KS2]]),IFERROR(VLOOKUP(STANDARDIZE(tblY10[[#This Row],[Avg KS2]],AVERAGE(tblY10[[Avg KS2]]),_xlfn.STDEV.P(tblY10[[Avg KS2]])),_Stanine,2),5),"")</f>
        <v>5</v>
      </c>
      <c r="J97" s="66" t="inlineStr">
        <is>
          <t>10S/Sc2</t>
        </is>
      </c>
      <c r="K97" s="67">
        <f>IF(tblY10[[#This Row],[Preferred Last name]]="","",COUNTIFS($N$1:$ZZ$1,"*"&amp;CHAR(10)&amp;"Stanine",$N97:$ZZ97,"&gt;=1"))</f>
        <v>5</v>
      </c>
      <c r="L97" s="68">
        <f>IFERROR(AVERAGEIF($N$1:$ZZ$1,"*"&amp;CHAR(10)&amp;"Stanine",$N97:$ZZ97),"")</f>
        <v>4</v>
      </c>
      <c r="M97" s="69">
        <f>IF(AND(ISNUMBER(tblY10[[#This Row],[Mean Stanine]]),ISNUMBER(tblY10[[#This Row],[Avg KS2 Band]])),tblY10[[#This Row],[Mean Stanine]]-tblY10[[#This Row],[Avg KS2 Band]],"")</f>
        <v>-1</v>
      </c>
      <c r="N97" s="66" t="n">
        <v>13</v>
      </c>
      <c r="O9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97" s="66" t="n">
        <v>18</v>
      </c>
      <c r="Q9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97" s="66" t="n">
        <v>19</v>
      </c>
      <c r="S9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97" s="66" t="n">
        <v>17</v>
      </c>
      <c r="U9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97" s="66" t="n">
        <v>12</v>
      </c>
      <c r="W9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98">
      <c r="A98" s="65" t="inlineStr">
        <is>
          <t>X902987143837</t>
        </is>
      </c>
      <c r="B98" s="65" t="inlineStr">
        <is>
          <t>Walker</t>
        </is>
      </c>
      <c r="C98" s="65" t="inlineStr">
        <is>
          <t>Ella</t>
        </is>
      </c>
      <c r="D98" s="66" t="inlineStr">
        <is>
          <t>M</t>
        </is>
      </c>
      <c r="E98" s="66" t="n"/>
      <c r="F98" s="66" t="inlineStr">
        <is>
          <t>N</t>
        </is>
      </c>
      <c r="G98" s="34" t="n">
        <v>95.40000000000001</v>
      </c>
      <c r="H98" s="34" t="n">
        <v>111</v>
      </c>
      <c r="I98" s="67">
        <f>IF(ISNUMBER(tblY10[[#This Row],[Avg KS2]]),IFERROR(VLOOKUP(STANDARDIZE(tblY10[[#This Row],[Avg KS2]],AVERAGE(tblY10[[Avg KS2]]),_xlfn.STDEV.P(tblY10[[Avg KS2]])),_Stanine,2),5),"")</f>
        <v>7</v>
      </c>
      <c r="J98" s="66" t="inlineStr">
        <is>
          <t>10S/Sc1</t>
        </is>
      </c>
      <c r="K98" s="67">
        <f>IF(tblY10[[#This Row],[Preferred Last name]]="","",COUNTIFS($N$1:$ZZ$1,"*"&amp;CHAR(10)&amp;"Stanine",$N98:$ZZ98,"&gt;=1"))</f>
        <v>4</v>
      </c>
      <c r="L98" s="68">
        <f>IFERROR(AVERAGEIF($N$1:$ZZ$1,"*"&amp;CHAR(10)&amp;"Stanine",$N98:$ZZ98),"")</f>
        <v>6.5</v>
      </c>
      <c r="M98" s="69">
        <f>IF(AND(ISNUMBER(tblY10[[#This Row],[Mean Stanine]]),ISNUMBER(tblY10[[#This Row],[Avg KS2 Band]])),tblY10[[#This Row],[Mean Stanine]]-tblY10[[#This Row],[Avg KS2 Band]],"")</f>
        <v>-0.5</v>
      </c>
      <c r="N98" s="66" t="inlineStr">
        <is>
          <t>A</t>
        </is>
      </c>
      <c r="O98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98" s="66" t="n">
        <v>29</v>
      </c>
      <c r="Q9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98" s="66" t="n">
        <v>30</v>
      </c>
      <c r="S9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98" s="66" t="n">
        <v>25</v>
      </c>
      <c r="U9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6</v>
      </c>
      <c r="V98" s="66" t="n">
        <v>25</v>
      </c>
      <c r="W9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99">
      <c r="A99" s="65" t="inlineStr">
        <is>
          <t>X908627676960</t>
        </is>
      </c>
      <c r="B99" s="65" t="inlineStr">
        <is>
          <t>Walker</t>
        </is>
      </c>
      <c r="C99" s="65" t="inlineStr">
        <is>
          <t>Hollie</t>
        </is>
      </c>
      <c r="D99" s="66" t="inlineStr">
        <is>
          <t>F</t>
        </is>
      </c>
      <c r="E99" s="66" t="inlineStr">
        <is>
          <t>N</t>
        </is>
      </c>
      <c r="F99" s="66" t="inlineStr">
        <is>
          <t>Y</t>
        </is>
      </c>
      <c r="G99" s="34" t="n">
        <v>98.90000000000001</v>
      </c>
      <c r="H99" s="34" t="n">
        <v>103</v>
      </c>
      <c r="I99" s="67">
        <f>IF(ISNUMBER(tblY10[[#This Row],[Avg KS2]]),IFERROR(VLOOKUP(STANDARDIZE(tblY10[[#This Row],[Avg KS2]],AVERAGE(tblY10[[Avg KS2]]),_xlfn.STDEV.P(tblY10[[Avg KS2]])),_Stanine,2),5),"")</f>
        <v>5</v>
      </c>
      <c r="J99" s="66" t="inlineStr">
        <is>
          <t>10S/Sc4</t>
        </is>
      </c>
      <c r="K99" s="67">
        <f>IF(tblY10[[#This Row],[Preferred Last name]]="","",COUNTIFS($N$1:$ZZ$1,"*"&amp;CHAR(10)&amp;"Stanine",$N99:$ZZ99,"&gt;=1"))</f>
        <v>4</v>
      </c>
      <c r="L99" s="68">
        <f>IFERROR(AVERAGEIF($N$1:$ZZ$1,"*"&amp;CHAR(10)&amp;"Stanine",$N99:$ZZ99),"")</f>
        <v>3.25</v>
      </c>
      <c r="M99" s="69">
        <f>IF(AND(ISNUMBER(tblY10[[#This Row],[Mean Stanine]]),ISNUMBER(tblY10[[#This Row],[Avg KS2 Band]])),tblY10[[#This Row],[Mean Stanine]]-tblY10[[#This Row],[Avg KS2 Band]],"")</f>
        <v>-1.75</v>
      </c>
      <c r="N99" s="66" t="n">
        <v>14</v>
      </c>
      <c r="O9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99" s="66" t="n">
        <v>16</v>
      </c>
      <c r="Q9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99" s="66" t="n">
        <v>15</v>
      </c>
      <c r="S9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99" s="66" t="n">
        <v>7</v>
      </c>
      <c r="U9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99" s="66" t="n"/>
      <c r="W9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00">
      <c r="A100" s="65" t="inlineStr">
        <is>
          <t>X903030949970</t>
        </is>
      </c>
      <c r="B100" s="65" t="inlineStr">
        <is>
          <t>White</t>
        </is>
      </c>
      <c r="C100" s="65" t="inlineStr">
        <is>
          <t>Grace</t>
        </is>
      </c>
      <c r="D100" s="66" t="inlineStr">
        <is>
          <t>M</t>
        </is>
      </c>
      <c r="E100" s="66" t="inlineStr">
        <is>
          <t>N</t>
        </is>
      </c>
      <c r="F100" s="66" t="inlineStr">
        <is>
          <t>N</t>
        </is>
      </c>
      <c r="G100" s="34" t="n">
        <v>99.09999999999999</v>
      </c>
      <c r="H100" s="34" t="n">
        <v>109.5</v>
      </c>
      <c r="I100" s="67">
        <f>IF(ISNUMBER(tblY10[[#This Row],[Avg KS2]]),IFERROR(VLOOKUP(STANDARDIZE(tblY10[[#This Row],[Avg KS2]],AVERAGE(tblY10[[Avg KS2]]),_xlfn.STDEV.P(tblY10[[Avg KS2]])),_Stanine,2),5),"")</f>
        <v>7</v>
      </c>
      <c r="J100" s="66" t="inlineStr">
        <is>
          <t>10S/Sc1</t>
        </is>
      </c>
      <c r="K100" s="67">
        <f>IF(tblY10[[#This Row],[Preferred Last name]]="","",COUNTIFS($N$1:$ZZ$1,"*"&amp;CHAR(10)&amp;"Stanine",$N100:$ZZ100,"&gt;=1"))</f>
        <v>4</v>
      </c>
      <c r="L100" s="68">
        <f>IFERROR(AVERAGEIF($N$1:$ZZ$1,"*"&amp;CHAR(10)&amp;"Stanine",$N100:$ZZ100),"")</f>
        <v>7.5</v>
      </c>
      <c r="M100" s="69">
        <f>IF(AND(ISNUMBER(tblY10[[#This Row],[Mean Stanine]]),ISNUMBER(tblY10[[#This Row],[Avg KS2 Band]])),tblY10[[#This Row],[Mean Stanine]]-tblY10[[#This Row],[Avg KS2 Band]],"")</f>
        <v>0.5</v>
      </c>
      <c r="N100" s="66" t="inlineStr">
        <is>
          <t>A</t>
        </is>
      </c>
      <c r="O100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100" s="66" t="n">
        <v>31</v>
      </c>
      <c r="Q10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100" s="66" t="n">
        <v>30</v>
      </c>
      <c r="S10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100" s="66" t="n">
        <v>31</v>
      </c>
      <c r="U10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100" s="66" t="n">
        <v>30</v>
      </c>
      <c r="W10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01">
      <c r="A101" s="65" t="inlineStr">
        <is>
          <t>X901660075345</t>
        </is>
      </c>
      <c r="B101" s="65" t="inlineStr">
        <is>
          <t>White</t>
        </is>
      </c>
      <c r="C101" s="65" t="inlineStr">
        <is>
          <t>Megan</t>
        </is>
      </c>
      <c r="D101" s="66" t="inlineStr">
        <is>
          <t>F</t>
        </is>
      </c>
      <c r="E101" s="66" t="inlineStr">
        <is>
          <t>N</t>
        </is>
      </c>
      <c r="F101" s="66" t="inlineStr">
        <is>
          <t>N</t>
        </is>
      </c>
      <c r="G101" s="34" t="n">
        <v>93.09999999999999</v>
      </c>
      <c r="H101" s="34" t="n">
        <v>104.5</v>
      </c>
      <c r="I101" s="67">
        <f>IF(ISNUMBER(tblY10[[#This Row],[Avg KS2]]),IFERROR(VLOOKUP(STANDARDIZE(tblY10[[#This Row],[Avg KS2]],AVERAGE(tblY10[[Avg KS2]]),_xlfn.STDEV.P(tblY10[[Avg KS2]])),_Stanine,2),5),"")</f>
        <v>5</v>
      </c>
      <c r="J101" s="66" t="inlineStr">
        <is>
          <t>10S/Sc2</t>
        </is>
      </c>
      <c r="K101" s="67">
        <f>IF(tblY10[[#This Row],[Preferred Last name]]="","",COUNTIFS($N$1:$ZZ$1,"*"&amp;CHAR(10)&amp;"Stanine",$N101:$ZZ101,"&gt;=1"))</f>
        <v>5</v>
      </c>
      <c r="L101" s="68">
        <f>IFERROR(AVERAGEIF($N$1:$ZZ$1,"*"&amp;CHAR(10)&amp;"Stanine",$N101:$ZZ101),"")</f>
        <v>6.2</v>
      </c>
      <c r="M101" s="69">
        <f>IF(AND(ISNUMBER(tblY10[[#This Row],[Mean Stanine]]),ISNUMBER(tblY10[[#This Row],[Avg KS2 Band]])),tblY10[[#This Row],[Mean Stanine]]-tblY10[[#This Row],[Avg KS2 Band]],"")</f>
        <v>1.2</v>
      </c>
      <c r="N101" s="66" t="n">
        <v>23</v>
      </c>
      <c r="O10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101" s="66" t="n">
        <v>22</v>
      </c>
      <c r="Q10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101" s="66" t="n">
        <v>28</v>
      </c>
      <c r="S10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101" s="66" t="n">
        <v>27</v>
      </c>
      <c r="U10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7</v>
      </c>
      <c r="V101" s="66" t="n">
        <v>24</v>
      </c>
      <c r="W101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102">
      <c r="A102" s="65" t="inlineStr">
        <is>
          <t>X904129743105</t>
        </is>
      </c>
      <c r="B102" s="65" t="inlineStr">
        <is>
          <t>White</t>
        </is>
      </c>
      <c r="C102" s="65" t="inlineStr">
        <is>
          <t>Poppy</t>
        </is>
      </c>
      <c r="D102" s="66" t="inlineStr">
        <is>
          <t>M</t>
        </is>
      </c>
      <c r="E102" s="66" t="inlineStr">
        <is>
          <t>N</t>
        </is>
      </c>
      <c r="F102" s="66" t="inlineStr">
        <is>
          <t>N</t>
        </is>
      </c>
      <c r="G102" s="34" t="n">
        <v>87.3</v>
      </c>
      <c r="H102" s="34" t="n">
        <v>101.5</v>
      </c>
      <c r="I102" s="67">
        <f>IF(ISNUMBER(tblY10[[#This Row],[Avg KS2]]),IFERROR(VLOOKUP(STANDARDIZE(tblY10[[#This Row],[Avg KS2]],AVERAGE(tblY10[[Avg KS2]]),_xlfn.STDEV.P(tblY10[[Avg KS2]])),_Stanine,2),5),"")</f>
        <v>4</v>
      </c>
      <c r="J102" s="66" t="inlineStr">
        <is>
          <t>10S/Sc4</t>
        </is>
      </c>
      <c r="K102" s="67">
        <f>IF(tblY10[[#This Row],[Preferred Last name]]="","",COUNTIFS($N$1:$ZZ$1,"*"&amp;CHAR(10)&amp;"Stanine",$N102:$ZZ102,"&gt;=1"))</f>
        <v>4</v>
      </c>
      <c r="L102" s="68">
        <f>IFERROR(AVERAGEIF($N$1:$ZZ$1,"*"&amp;CHAR(10)&amp;"Stanine",$N102:$ZZ102),"")</f>
        <v>5</v>
      </c>
      <c r="M102" s="69">
        <f>IF(AND(ISNUMBER(tblY10[[#This Row],[Mean Stanine]]),ISNUMBER(tblY10[[#This Row],[Avg KS2 Band]])),tblY10[[#This Row],[Mean Stanine]]-tblY10[[#This Row],[Avg KS2 Band]],"")</f>
        <v>1</v>
      </c>
      <c r="N102" s="66" t="n">
        <v>21</v>
      </c>
      <c r="O102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102" s="66" t="n">
        <v>21</v>
      </c>
      <c r="Q10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102" s="66" t="n">
        <v>21</v>
      </c>
      <c r="S10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102" s="66" t="n">
        <v>16</v>
      </c>
      <c r="U10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102" s="66" t="n"/>
      <c r="W102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03">
      <c r="A103" s="65" t="inlineStr">
        <is>
          <t>X902721411629</t>
        </is>
      </c>
      <c r="B103" s="65" t="inlineStr">
        <is>
          <t>White</t>
        </is>
      </c>
      <c r="C103" s="65" t="inlineStr">
        <is>
          <t>Zofia</t>
        </is>
      </c>
      <c r="D103" s="66" t="inlineStr">
        <is>
          <t>F</t>
        </is>
      </c>
      <c r="E103" s="66" t="inlineStr">
        <is>
          <t>N</t>
        </is>
      </c>
      <c r="F103" s="66" t="inlineStr">
        <is>
          <t>Y</t>
        </is>
      </c>
      <c r="G103" s="34" t="n">
        <v>98.5</v>
      </c>
      <c r="H103" s="34" t="n">
        <v>105.5</v>
      </c>
      <c r="I103" s="67">
        <f>IF(ISNUMBER(tblY10[[#This Row],[Avg KS2]]),IFERROR(VLOOKUP(STANDARDIZE(tblY10[[#This Row],[Avg KS2]],AVERAGE(tblY10[[Avg KS2]]),_xlfn.STDEV.P(tblY10[[Avg KS2]])),_Stanine,2),5),"")</f>
        <v>5</v>
      </c>
      <c r="J103" s="66" t="inlineStr">
        <is>
          <t>10S/Sc2</t>
        </is>
      </c>
      <c r="K103" s="67">
        <f>IF(tblY10[[#This Row],[Preferred Last name]]="","",COUNTIFS($N$1:$ZZ$1,"*"&amp;CHAR(10)&amp;"Stanine",$N103:$ZZ103,"&gt;=1"))</f>
        <v>5</v>
      </c>
      <c r="L103" s="68">
        <f>IFERROR(AVERAGEIF($N$1:$ZZ$1,"*"&amp;CHAR(10)&amp;"Stanine",$N103:$ZZ103),"")</f>
        <v>4.6</v>
      </c>
      <c r="M103" s="69">
        <f>IF(AND(ISNUMBER(tblY10[[#This Row],[Mean Stanine]]),ISNUMBER(tblY10[[#This Row],[Avg KS2 Band]])),tblY10[[#This Row],[Mean Stanine]]-tblY10[[#This Row],[Avg KS2 Band]],"")</f>
        <v>-0.4</v>
      </c>
      <c r="N103" s="66" t="n">
        <v>17</v>
      </c>
      <c r="O10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103" s="66" t="n">
        <v>13</v>
      </c>
      <c r="Q10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103" s="66" t="n">
        <v>23</v>
      </c>
      <c r="S10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103" s="66" t="n">
        <v>14</v>
      </c>
      <c r="U10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103" s="66" t="n">
        <v>20</v>
      </c>
      <c r="W103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104">
      <c r="A104" s="65" t="inlineStr">
        <is>
          <t>X907558939332</t>
        </is>
      </c>
      <c r="B104" s="65" t="inlineStr">
        <is>
          <t>Williams</t>
        </is>
      </c>
      <c r="C104" s="65" t="inlineStr">
        <is>
          <t>Arthur</t>
        </is>
      </c>
      <c r="D104" s="66" t="inlineStr">
        <is>
          <t>M</t>
        </is>
      </c>
      <c r="E104" s="66" t="inlineStr">
        <is>
          <t>K</t>
        </is>
      </c>
      <c r="F104" s="66" t="inlineStr">
        <is>
          <t>Y</t>
        </is>
      </c>
      <c r="G104" s="34" t="n">
        <v>98.8</v>
      </c>
      <c r="H104" s="34" t="n">
        <v>100.5</v>
      </c>
      <c r="I104" s="67">
        <f>IF(ISNUMBER(tblY10[[#This Row],[Avg KS2]]),IFERROR(VLOOKUP(STANDARDIZE(tblY10[[#This Row],[Avg KS2]],AVERAGE(tblY10[[Avg KS2]]),_xlfn.STDEV.P(tblY10[[Avg KS2]])),_Stanine,2),5),"")</f>
        <v>4</v>
      </c>
      <c r="J104" s="66" t="inlineStr">
        <is>
          <t>10S/Sc3</t>
        </is>
      </c>
      <c r="K104" s="67">
        <f>IF(tblY10[[#This Row],[Preferred Last name]]="","",COUNTIFS($N$1:$ZZ$1,"*"&amp;CHAR(10)&amp;"Stanine",$N104:$ZZ104,"&gt;=1"))</f>
        <v>4</v>
      </c>
      <c r="L104" s="68">
        <f>IFERROR(AVERAGEIF($N$1:$ZZ$1,"*"&amp;CHAR(10)&amp;"Stanine",$N104:$ZZ104),"")</f>
        <v>5</v>
      </c>
      <c r="M104" s="69">
        <f>IF(AND(ISNUMBER(tblY10[[#This Row],[Mean Stanine]]),ISNUMBER(tblY10[[#This Row],[Avg KS2 Band]])),tblY10[[#This Row],[Mean Stanine]]-tblY10[[#This Row],[Avg KS2 Band]],"")</f>
        <v>1</v>
      </c>
      <c r="N104" s="66" t="n">
        <v>21</v>
      </c>
      <c r="O10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104" s="66" t="n">
        <v>20</v>
      </c>
      <c r="Q10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104" s="66" t="n">
        <v>21</v>
      </c>
      <c r="S10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104" s="66" t="n">
        <v>14</v>
      </c>
      <c r="U10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104" s="66" t="n"/>
      <c r="W104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05">
      <c r="A105" s="65" t="inlineStr">
        <is>
          <t>X905725561445</t>
        </is>
      </c>
      <c r="B105" s="65" t="inlineStr">
        <is>
          <t>Williams</t>
        </is>
      </c>
      <c r="C105" s="65" t="inlineStr">
        <is>
          <t>Ava</t>
        </is>
      </c>
      <c r="D105" s="66" t="inlineStr">
        <is>
          <t>F</t>
        </is>
      </c>
      <c r="E105" s="66" t="inlineStr">
        <is>
          <t>K</t>
        </is>
      </c>
      <c r="F105" s="66" t="inlineStr">
        <is>
          <t>N</t>
        </is>
      </c>
      <c r="G105" s="34" t="n">
        <v>87.90000000000001</v>
      </c>
      <c r="H105" s="34" t="n">
        <v>101.5</v>
      </c>
      <c r="I105" s="67">
        <f>IF(ISNUMBER(tblY10[[#This Row],[Avg KS2]]),IFERROR(VLOOKUP(STANDARDIZE(tblY10[[#This Row],[Avg KS2]],AVERAGE(tblY10[[Avg KS2]]),_xlfn.STDEV.P(tblY10[[Avg KS2]])),_Stanine,2),5),"")</f>
        <v>4</v>
      </c>
      <c r="J105" s="66" t="inlineStr">
        <is>
          <t>10S/Sc2</t>
        </is>
      </c>
      <c r="K105" s="67">
        <f>IF(tblY10[[#This Row],[Preferred Last name]]="","",COUNTIFS($N$1:$ZZ$1,"*"&amp;CHAR(10)&amp;"Stanine",$N105:$ZZ105,"&gt;=1"))</f>
        <v>5</v>
      </c>
      <c r="L105" s="68">
        <f>IFERROR(AVERAGEIF($N$1:$ZZ$1,"*"&amp;CHAR(10)&amp;"Stanine",$N105:$ZZ105),"")</f>
        <v>4.4</v>
      </c>
      <c r="M105" s="69">
        <f>IF(AND(ISNUMBER(tblY10[[#This Row],[Mean Stanine]]),ISNUMBER(tblY10[[#This Row],[Avg KS2 Band]])),tblY10[[#This Row],[Mean Stanine]]-tblY10[[#This Row],[Avg KS2 Band]],"")</f>
        <v>0.4</v>
      </c>
      <c r="N105" s="66" t="n">
        <v>11</v>
      </c>
      <c r="O10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105" s="66" t="n">
        <v>18</v>
      </c>
      <c r="Q10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05" s="66" t="n">
        <v>23</v>
      </c>
      <c r="S10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105" s="66" t="n">
        <v>15</v>
      </c>
      <c r="U10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105" s="66" t="n">
        <v>20</v>
      </c>
      <c r="W10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106">
      <c r="A106" s="65" t="inlineStr">
        <is>
          <t>X906115510267</t>
        </is>
      </c>
      <c r="B106" s="65" t="inlineStr">
        <is>
          <t>Wilson</t>
        </is>
      </c>
      <c r="C106" s="65" t="inlineStr">
        <is>
          <t>Aisha</t>
        </is>
      </c>
      <c r="D106" s="66" t="inlineStr">
        <is>
          <t>F</t>
        </is>
      </c>
      <c r="E106" s="66" t="inlineStr">
        <is>
          <t>N</t>
        </is>
      </c>
      <c r="F106" s="66" t="inlineStr">
        <is>
          <t>Y</t>
        </is>
      </c>
      <c r="G106" s="34" t="n">
        <v>85.3</v>
      </c>
      <c r="H106" s="34" t="n">
        <v>102</v>
      </c>
      <c r="I106" s="67">
        <f>IF(ISNUMBER(tblY10[[#This Row],[Avg KS2]]),IFERROR(VLOOKUP(STANDARDIZE(tblY10[[#This Row],[Avg KS2]],AVERAGE(tblY10[[Avg KS2]]),_xlfn.STDEV.P(tblY10[[Avg KS2]])),_Stanine,2),5),"")</f>
        <v>4</v>
      </c>
      <c r="J106" s="66" t="inlineStr">
        <is>
          <t>10S/Sc4</t>
        </is>
      </c>
      <c r="K106" s="67">
        <f>IF(tblY10[[#This Row],[Preferred Last name]]="","",COUNTIFS($N$1:$ZZ$1,"*"&amp;CHAR(10)&amp;"Stanine",$N106:$ZZ106,"&gt;=1"))</f>
        <v>4</v>
      </c>
      <c r="L106" s="68">
        <f>IFERROR(AVERAGEIF($N$1:$ZZ$1,"*"&amp;CHAR(10)&amp;"Stanine",$N106:$ZZ106),"")</f>
        <v>3.75</v>
      </c>
      <c r="M106" s="69">
        <f>IF(AND(ISNUMBER(tblY10[[#This Row],[Mean Stanine]]),ISNUMBER(tblY10[[#This Row],[Avg KS2 Band]])),tblY10[[#This Row],[Mean Stanine]]-tblY10[[#This Row],[Avg KS2 Band]],"")</f>
        <v>-0.25</v>
      </c>
      <c r="N106" s="66" t="n">
        <v>17</v>
      </c>
      <c r="O10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106" s="66" t="n">
        <v>20</v>
      </c>
      <c r="Q10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5</v>
      </c>
      <c r="R106" s="66" t="n">
        <v>11</v>
      </c>
      <c r="S10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106" s="66" t="n">
        <v>11</v>
      </c>
      <c r="U10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06" s="66" t="n"/>
      <c r="W106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07">
      <c r="A107" s="65" t="inlineStr">
        <is>
          <t>X905910596533</t>
        </is>
      </c>
      <c r="B107" s="65" t="inlineStr">
        <is>
          <t>Wilson</t>
        </is>
      </c>
      <c r="C107" s="65" t="inlineStr">
        <is>
          <t>Freya</t>
        </is>
      </c>
      <c r="D107" s="66" t="inlineStr">
        <is>
          <t>F</t>
        </is>
      </c>
      <c r="E107" s="66" t="n"/>
      <c r="F107" s="66" t="inlineStr">
        <is>
          <t>N</t>
        </is>
      </c>
      <c r="G107" s="34" t="n">
        <v>94.3</v>
      </c>
      <c r="H107" s="34" t="n">
        <v>101</v>
      </c>
      <c r="I107" s="67">
        <f>IF(ISNUMBER(tblY10[[#This Row],[Avg KS2]]),IFERROR(VLOOKUP(STANDARDIZE(tblY10[[#This Row],[Avg KS2]],AVERAGE(tblY10[[Avg KS2]]),_xlfn.STDEV.P(tblY10[[Avg KS2]])),_Stanine,2),5),"")</f>
        <v>4</v>
      </c>
      <c r="J107" s="66" t="inlineStr">
        <is>
          <t>10S/Sc2</t>
        </is>
      </c>
      <c r="K107" s="67">
        <f>IF(tblY10[[#This Row],[Preferred Last name]]="","",COUNTIFS($N$1:$ZZ$1,"*"&amp;CHAR(10)&amp;"Stanine",$N107:$ZZ107,"&gt;=1"))</f>
        <v>4</v>
      </c>
      <c r="L107" s="68">
        <f>IFERROR(AVERAGEIF($N$1:$ZZ$1,"*"&amp;CHAR(10)&amp;"Stanine",$N107:$ZZ107),"")</f>
        <v>7.75</v>
      </c>
      <c r="M107" s="69">
        <f>IF(AND(ISNUMBER(tblY10[[#This Row],[Mean Stanine]]),ISNUMBER(tblY10[[#This Row],[Avg KS2 Band]])),tblY10[[#This Row],[Mean Stanine]]-tblY10[[#This Row],[Avg KS2 Band]],"")</f>
        <v>3.75</v>
      </c>
      <c r="N107" s="66" t="inlineStr">
        <is>
          <t>A</t>
        </is>
      </c>
      <c r="O107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107" s="66" t="n">
        <v>30</v>
      </c>
      <c r="Q10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107" s="66" t="n">
        <v>32</v>
      </c>
      <c r="S10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107" s="66" t="n">
        <v>30</v>
      </c>
      <c r="U10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107" s="66" t="n">
        <v>30</v>
      </c>
      <c r="W10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08">
      <c r="A108" s="65" t="inlineStr">
        <is>
          <t>X901680275082</t>
        </is>
      </c>
      <c r="B108" s="65" t="inlineStr">
        <is>
          <t>Wilson</t>
        </is>
      </c>
      <c r="C108" s="65" t="inlineStr">
        <is>
          <t>Hannah</t>
        </is>
      </c>
      <c r="D108" s="66" t="inlineStr">
        <is>
          <t>M</t>
        </is>
      </c>
      <c r="E108" s="66" t="inlineStr">
        <is>
          <t>N</t>
        </is>
      </c>
      <c r="F108" s="66" t="inlineStr">
        <is>
          <t>Y</t>
        </is>
      </c>
      <c r="G108" s="34" t="n">
        <v>95.3</v>
      </c>
      <c r="H108" s="34" t="n">
        <v>102</v>
      </c>
      <c r="I108" s="67">
        <f>IF(ISNUMBER(tblY10[[#This Row],[Avg KS2]]),IFERROR(VLOOKUP(STANDARDIZE(tblY10[[#This Row],[Avg KS2]],AVERAGE(tblY10[[Avg KS2]]),_xlfn.STDEV.P(tblY10[[Avg KS2]])),_Stanine,2),5),"")</f>
        <v>4</v>
      </c>
      <c r="J108" s="66" t="inlineStr">
        <is>
          <t>10S/Sc2</t>
        </is>
      </c>
      <c r="K108" s="67">
        <f>IF(tblY10[[#This Row],[Preferred Last name]]="","",COUNTIFS($N$1:$ZZ$1,"*"&amp;CHAR(10)&amp;"Stanine",$N108:$ZZ108,"&gt;=1"))</f>
        <v>5</v>
      </c>
      <c r="L108" s="68">
        <f>IFERROR(AVERAGEIF($N$1:$ZZ$1,"*"&amp;CHAR(10)&amp;"Stanine",$N108:$ZZ108),"")</f>
        <v>4.2</v>
      </c>
      <c r="M108" s="69">
        <f>IF(AND(ISNUMBER(tblY10[[#This Row],[Mean Stanine]]),ISNUMBER(tblY10[[#This Row],[Avg KS2 Band]])),tblY10[[#This Row],[Mean Stanine]]-tblY10[[#This Row],[Avg KS2 Band]],"")</f>
        <v>0.2</v>
      </c>
      <c r="N108" s="66" t="n">
        <v>17</v>
      </c>
      <c r="O10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5</v>
      </c>
      <c r="P108" s="66" t="n">
        <v>15</v>
      </c>
      <c r="Q10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08" s="66" t="n">
        <v>14</v>
      </c>
      <c r="S10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108" s="66" t="n">
        <v>15</v>
      </c>
      <c r="U10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4</v>
      </c>
      <c r="V108" s="66" t="n">
        <v>20</v>
      </c>
      <c r="W10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5</v>
      </c>
    </row>
    <row r="109">
      <c r="A109" s="65" t="inlineStr">
        <is>
          <t>X909845050872</t>
        </is>
      </c>
      <c r="B109" s="65" t="inlineStr">
        <is>
          <t>Wilson</t>
        </is>
      </c>
      <c r="C109" s="65" t="inlineStr">
        <is>
          <t>Oliver</t>
        </is>
      </c>
      <c r="D109" s="66" t="inlineStr">
        <is>
          <t>M</t>
        </is>
      </c>
      <c r="E109" s="66" t="inlineStr">
        <is>
          <t>N</t>
        </is>
      </c>
      <c r="F109" s="66" t="inlineStr">
        <is>
          <t>N</t>
        </is>
      </c>
      <c r="G109" s="34" t="n">
        <v>93.8</v>
      </c>
      <c r="H109" s="34" t="n">
        <v>99</v>
      </c>
      <c r="I109" s="67">
        <f>IF(ISNUMBER(tblY10[[#This Row],[Avg KS2]]),IFERROR(VLOOKUP(STANDARDIZE(tblY10[[#This Row],[Avg KS2]],AVERAGE(tblY10[[Avg KS2]]),_xlfn.STDEV.P(tblY10[[Avg KS2]])),_Stanine,2),5),"")</f>
        <v>3</v>
      </c>
      <c r="J109" s="66" t="inlineStr">
        <is>
          <t>10S/Sc4</t>
        </is>
      </c>
      <c r="K109" s="67">
        <f>IF(tblY10[[#This Row],[Preferred Last name]]="","",COUNTIFS($N$1:$ZZ$1,"*"&amp;CHAR(10)&amp;"Stanine",$N109:$ZZ109,"&gt;=1"))</f>
        <v>4</v>
      </c>
      <c r="L109" s="68">
        <f>IFERROR(AVERAGEIF($N$1:$ZZ$1,"*"&amp;CHAR(10)&amp;"Stanine",$N109:$ZZ109),"")</f>
        <v>2.5</v>
      </c>
      <c r="M109" s="69">
        <f>IF(AND(ISNUMBER(tblY10[[#This Row],[Mean Stanine]]),ISNUMBER(tblY10[[#This Row],[Avg KS2 Band]])),tblY10[[#This Row],[Mean Stanine]]-tblY10[[#This Row],[Avg KS2 Band]],"")</f>
        <v>-0.5</v>
      </c>
      <c r="N109" s="66" t="n">
        <v>11</v>
      </c>
      <c r="O109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109" s="66" t="n">
        <v>11</v>
      </c>
      <c r="Q109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109" s="66" t="n">
        <v>10</v>
      </c>
      <c r="S109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109" s="66" t="n">
        <v>6</v>
      </c>
      <c r="U109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109" s="66" t="n"/>
      <c r="W109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10">
      <c r="A110" s="65" t="inlineStr">
        <is>
          <t>X905252252354</t>
        </is>
      </c>
      <c r="B110" s="65" t="inlineStr">
        <is>
          <t>Wood</t>
        </is>
      </c>
      <c r="C110" s="65" t="inlineStr">
        <is>
          <t>Hannah</t>
        </is>
      </c>
      <c r="D110" s="66" t="inlineStr">
        <is>
          <t>M</t>
        </is>
      </c>
      <c r="E110" s="66" t="n"/>
      <c r="F110" s="66" t="inlineStr">
        <is>
          <t>N</t>
        </is>
      </c>
      <c r="G110" s="34" t="n">
        <v>87.5</v>
      </c>
      <c r="H110" s="34" t="n">
        <v>111</v>
      </c>
      <c r="I110" s="67">
        <f>IF(ISNUMBER(tblY10[[#This Row],[Avg KS2]]),IFERROR(VLOOKUP(STANDARDIZE(tblY10[[#This Row],[Avg KS2]],AVERAGE(tblY10[[Avg KS2]]),_xlfn.STDEV.P(tblY10[[Avg KS2]])),_Stanine,2),5),"")</f>
        <v>7</v>
      </c>
      <c r="J110" s="66" t="inlineStr">
        <is>
          <t>10S/Sc1</t>
        </is>
      </c>
      <c r="K110" s="67">
        <f>IF(tblY10[[#This Row],[Preferred Last name]]="","",COUNTIFS($N$1:$ZZ$1,"*"&amp;CHAR(10)&amp;"Stanine",$N110:$ZZ110,"&gt;=1"))</f>
        <v>5</v>
      </c>
      <c r="L110" s="68">
        <f>IFERROR(AVERAGEIF($N$1:$ZZ$1,"*"&amp;CHAR(10)&amp;"Stanine",$N110:$ZZ110),"")</f>
        <v>7.8</v>
      </c>
      <c r="M110" s="69">
        <f>IF(AND(ISNUMBER(tblY10[[#This Row],[Mean Stanine]]),ISNUMBER(tblY10[[#This Row],[Avg KS2 Band]])),tblY10[[#This Row],[Mean Stanine]]-tblY10[[#This Row],[Avg KS2 Band]],"")</f>
        <v>0.8</v>
      </c>
      <c r="N110" s="66" t="n">
        <v>35</v>
      </c>
      <c r="O110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110" s="66" t="n">
        <v>31</v>
      </c>
      <c r="Q110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110" s="66" t="n">
        <v>30</v>
      </c>
      <c r="S110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7</v>
      </c>
      <c r="T110" s="66" t="n">
        <v>34</v>
      </c>
      <c r="U110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110" s="66" t="n">
        <v>31</v>
      </c>
      <c r="W110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11">
      <c r="A111" s="65" t="inlineStr">
        <is>
          <t>X902255500035</t>
        </is>
      </c>
      <c r="B111" s="65" t="inlineStr">
        <is>
          <t>Wood</t>
        </is>
      </c>
      <c r="C111" s="65" t="inlineStr">
        <is>
          <t>Ibrahim</t>
        </is>
      </c>
      <c r="D111" s="66" t="inlineStr">
        <is>
          <t>F</t>
        </is>
      </c>
      <c r="E111" s="66" t="inlineStr">
        <is>
          <t>N</t>
        </is>
      </c>
      <c r="F111" s="66" t="inlineStr">
        <is>
          <t>N</t>
        </is>
      </c>
      <c r="G111" s="34" t="n">
        <v>96.8</v>
      </c>
      <c r="H111" s="34" t="n">
        <v>99.5</v>
      </c>
      <c r="I111" s="67">
        <f>IF(ISNUMBER(tblY10[[#This Row],[Avg KS2]]),IFERROR(VLOOKUP(STANDARDIZE(tblY10[[#This Row],[Avg KS2]],AVERAGE(tblY10[[Avg KS2]]),_xlfn.STDEV.P(tblY10[[Avg KS2]])),_Stanine,2),5),"")</f>
        <v>3</v>
      </c>
      <c r="J111" s="66" t="inlineStr">
        <is>
          <t>10S/Sc4</t>
        </is>
      </c>
      <c r="K111" s="67">
        <f>IF(tblY10[[#This Row],[Preferred Last name]]="","",COUNTIFS($N$1:$ZZ$1,"*"&amp;CHAR(10)&amp;"Stanine",$N111:$ZZ111,"&gt;=1"))</f>
        <v>4</v>
      </c>
      <c r="L111" s="68">
        <f>IFERROR(AVERAGEIF($N$1:$ZZ$1,"*"&amp;CHAR(10)&amp;"Stanine",$N111:$ZZ111),"")</f>
        <v>4</v>
      </c>
      <c r="M111" s="69">
        <f>IF(AND(ISNUMBER(tblY10[[#This Row],[Mean Stanine]]),ISNUMBER(tblY10[[#This Row],[Avg KS2 Band]])),tblY10[[#This Row],[Mean Stanine]]-tblY10[[#This Row],[Avg KS2 Band]],"")</f>
        <v>1</v>
      </c>
      <c r="N111" s="66" t="n">
        <v>15</v>
      </c>
      <c r="O111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4</v>
      </c>
      <c r="P111" s="66" t="n">
        <v>16</v>
      </c>
      <c r="Q111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11" s="66" t="n">
        <v>22</v>
      </c>
      <c r="S111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111" s="66" t="n">
        <v>12</v>
      </c>
      <c r="U111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11" s="66" t="n"/>
      <c r="W111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12">
      <c r="A112" s="65" t="inlineStr">
        <is>
          <t>X909476465703</t>
        </is>
      </c>
      <c r="B112" s="65" t="inlineStr">
        <is>
          <t>Wood</t>
        </is>
      </c>
      <c r="C112" s="65" t="inlineStr">
        <is>
          <t>Jack</t>
        </is>
      </c>
      <c r="D112" s="66" t="inlineStr">
        <is>
          <t>M</t>
        </is>
      </c>
      <c r="E112" s="66" t="inlineStr">
        <is>
          <t>N</t>
        </is>
      </c>
      <c r="F112" s="66" t="inlineStr">
        <is>
          <t>Y</t>
        </is>
      </c>
      <c r="G112" s="34" t="n">
        <v>100</v>
      </c>
      <c r="H112" s="34" t="n">
        <v>111.5</v>
      </c>
      <c r="I112" s="67">
        <f>IF(ISNUMBER(tblY10[[#This Row],[Avg KS2]]),IFERROR(VLOOKUP(STANDARDIZE(tblY10[[#This Row],[Avg KS2]],AVERAGE(tblY10[[Avg KS2]]),_xlfn.STDEV.P(tblY10[[Avg KS2]])),_Stanine,2),5),"")</f>
        <v>8</v>
      </c>
      <c r="J112" s="66" t="inlineStr">
        <is>
          <t>10S/Sc1</t>
        </is>
      </c>
      <c r="K112" s="67">
        <f>IF(tblY10[[#This Row],[Preferred Last name]]="","",COUNTIFS($N$1:$ZZ$1,"*"&amp;CHAR(10)&amp;"Stanine",$N112:$ZZ112,"&gt;=1"))</f>
        <v>4</v>
      </c>
      <c r="L112" s="68">
        <f>IFERROR(AVERAGEIF($N$1:$ZZ$1,"*"&amp;CHAR(10)&amp;"Stanine",$N112:$ZZ112),"")</f>
        <v>7.75</v>
      </c>
      <c r="M112" s="69">
        <f>IF(AND(ISNUMBER(tblY10[[#This Row],[Mean Stanine]]),ISNUMBER(tblY10[[#This Row],[Avg KS2 Band]])),tblY10[[#This Row],[Mean Stanine]]-tblY10[[#This Row],[Avg KS2 Band]],"")</f>
        <v>-0.25</v>
      </c>
      <c r="N112" s="66" t="inlineStr">
        <is>
          <t>A</t>
        </is>
      </c>
      <c r="O112" s="67" t="str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/>
      </c>
      <c r="P112" s="66" t="n">
        <v>31</v>
      </c>
      <c r="Q112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112" s="66" t="n">
        <v>33</v>
      </c>
      <c r="S112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112" s="66" t="n">
        <v>33</v>
      </c>
      <c r="U112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8</v>
      </c>
      <c r="V112" s="66" t="n">
        <v>31</v>
      </c>
      <c r="W112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7</v>
      </c>
    </row>
    <row r="113">
      <c r="A113" s="65" t="inlineStr">
        <is>
          <t>X903224659547</t>
        </is>
      </c>
      <c r="B113" s="65" t="inlineStr">
        <is>
          <t>Wood</t>
        </is>
      </c>
      <c r="C113" s="65" t="inlineStr">
        <is>
          <t>Jacob</t>
        </is>
      </c>
      <c r="D113" s="66" t="inlineStr">
        <is>
          <t>M</t>
        </is>
      </c>
      <c r="E113" s="66" t="inlineStr">
        <is>
          <t>N</t>
        </is>
      </c>
      <c r="F113" s="66" t="inlineStr">
        <is>
          <t>N</t>
        </is>
      </c>
      <c r="G113" s="34" t="n">
        <v>87.90000000000001</v>
      </c>
      <c r="H113" s="34" t="n">
        <v>107.5</v>
      </c>
      <c r="I113" s="67">
        <f>IF(ISNUMBER(tblY10[[#This Row],[Avg KS2]]),IFERROR(VLOOKUP(STANDARDIZE(tblY10[[#This Row],[Avg KS2]],AVERAGE(tblY10[[Avg KS2]]),_xlfn.STDEV.P(tblY10[[Avg KS2]])),_Stanine,2),5),"")</f>
        <v>6</v>
      </c>
      <c r="J113" s="66" t="inlineStr">
        <is>
          <t>10S/Sc2</t>
        </is>
      </c>
      <c r="K113" s="67">
        <f>IF(tblY10[[#This Row],[Preferred Last name]]="","",COUNTIFS($N$1:$ZZ$1,"*"&amp;CHAR(10)&amp;"Stanine",$N113:$ZZ113,"&gt;=1"))</f>
        <v>4</v>
      </c>
      <c r="L113" s="68">
        <f>IFERROR(AVERAGEIF($N$1:$ZZ$1,"*"&amp;CHAR(10)&amp;"Stanine",$N113:$ZZ113),"")</f>
        <v>6.25</v>
      </c>
      <c r="M113" s="69">
        <f>IF(AND(ISNUMBER(tblY10[[#This Row],[Mean Stanine]]),ISNUMBER(tblY10[[#This Row],[Avg KS2 Band]])),tblY10[[#This Row],[Mean Stanine]]-tblY10[[#This Row],[Avg KS2 Band]],"")</f>
        <v>0.25</v>
      </c>
      <c r="N113" s="66" t="n">
        <v>26</v>
      </c>
      <c r="O113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7</v>
      </c>
      <c r="P113" s="66" t="n">
        <v>27</v>
      </c>
      <c r="Q113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7</v>
      </c>
      <c r="R113" s="66" t="n">
        <v>25</v>
      </c>
      <c r="S113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6</v>
      </c>
      <c r="T113" s="66" t="n">
        <v>18</v>
      </c>
      <c r="U113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13" s="66" t="inlineStr">
        <is>
          <t>A</t>
        </is>
      </c>
      <c r="W113" s="67" t="str">
        <f>IF(ISNUMBER(tblY10[[#This Row],[4C02 - Bonding
Raw Score]]),IFERROR(VLOOKUP(STANDARDIZE(tblY10[[#This Row],[4C02 - Bonding
Raw Score]],AVERAGE(tblY10[[4C02 - Bonding
Raw Score]]),_xlfn.STDEV.P(tblY10[[4C02 - Bonding
Raw Score]])),_Stanine,2),5),"")</f>
        <v/>
      </c>
    </row>
    <row r="114">
      <c r="A114" s="65" t="inlineStr">
        <is>
          <t>X900481941770</t>
        </is>
      </c>
      <c r="B114" s="65" t="inlineStr">
        <is>
          <t>Wood</t>
        </is>
      </c>
      <c r="C114" s="65" t="inlineStr">
        <is>
          <t>Leo</t>
        </is>
      </c>
      <c r="D114" s="66" t="inlineStr">
        <is>
          <t>F</t>
        </is>
      </c>
      <c r="E114" s="66" t="inlineStr">
        <is>
          <t>N</t>
        </is>
      </c>
      <c r="F114" s="66" t="inlineStr">
        <is>
          <t>N</t>
        </is>
      </c>
      <c r="G114" s="34" t="n">
        <v>89.2</v>
      </c>
      <c r="H114" s="34" t="n">
        <v>98</v>
      </c>
      <c r="I114" s="67">
        <f>IF(ISNUMBER(tblY10[[#This Row],[Avg KS2]]),IFERROR(VLOOKUP(STANDARDIZE(tblY10[[#This Row],[Avg KS2]],AVERAGE(tblY10[[Avg KS2]]),_xlfn.STDEV.P(tblY10[[Avg KS2]])),_Stanine,2),5),"")</f>
        <v>3</v>
      </c>
      <c r="J114" s="66" t="inlineStr">
        <is>
          <t>10S/Sc5</t>
        </is>
      </c>
      <c r="K114" s="67">
        <f>IF(tblY10[[#This Row],[Preferred Last name]]="","",COUNTIFS($N$1:$ZZ$1,"*"&amp;CHAR(10)&amp;"Stanine",$N114:$ZZ114,"&gt;=1"))</f>
        <v>5</v>
      </c>
      <c r="L114" s="68">
        <f>IFERROR(AVERAGEIF($N$1:$ZZ$1,"*"&amp;CHAR(10)&amp;"Stanine",$N114:$ZZ114),"")</f>
        <v>2.8</v>
      </c>
      <c r="M114" s="69">
        <f>IF(AND(ISNUMBER(tblY10[[#This Row],[Mean Stanine]]),ISNUMBER(tblY10[[#This Row],[Avg KS2 Band]])),tblY10[[#This Row],[Mean Stanine]]-tblY10[[#This Row],[Avg KS2 Band]],"")</f>
        <v>-0.2</v>
      </c>
      <c r="N114" s="66" t="n">
        <v>9</v>
      </c>
      <c r="O114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114" s="66" t="n">
        <v>12</v>
      </c>
      <c r="Q114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3</v>
      </c>
      <c r="R114" s="66" t="n">
        <v>9</v>
      </c>
      <c r="S114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2</v>
      </c>
      <c r="T114" s="66" t="n">
        <v>12</v>
      </c>
      <c r="U114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14" s="66" t="n">
        <v>12</v>
      </c>
      <c r="W114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115">
      <c r="A115" s="65" t="inlineStr">
        <is>
          <t>X908666301345</t>
        </is>
      </c>
      <c r="B115" s="65" t="inlineStr">
        <is>
          <t>Wood</t>
        </is>
      </c>
      <c r="C115" s="65" t="inlineStr">
        <is>
          <t>Niamh</t>
        </is>
      </c>
      <c r="D115" s="66" t="inlineStr">
        <is>
          <t>M</t>
        </is>
      </c>
      <c r="E115" s="66" t="inlineStr">
        <is>
          <t>N</t>
        </is>
      </c>
      <c r="F115" s="66" t="inlineStr">
        <is>
          <t>N</t>
        </is>
      </c>
      <c r="G115" s="34" t="n">
        <v>89.8</v>
      </c>
      <c r="H115" s="34" t="n">
        <v>110.5</v>
      </c>
      <c r="I115" s="67">
        <f>IF(ISNUMBER(tblY10[[#This Row],[Avg KS2]]),IFERROR(VLOOKUP(STANDARDIZE(tblY10[[#This Row],[Avg KS2]],AVERAGE(tblY10[[Avg KS2]]),_xlfn.STDEV.P(tblY10[[Avg KS2]])),_Stanine,2),5),"")</f>
        <v>7</v>
      </c>
      <c r="J115" s="66" t="inlineStr">
        <is>
          <t>10S/Sc1</t>
        </is>
      </c>
      <c r="K115" s="67">
        <f>IF(tblY10[[#This Row],[Preferred Last name]]="","",COUNTIFS($N$1:$ZZ$1,"*"&amp;CHAR(10)&amp;"Stanine",$N115:$ZZ115,"&gt;=1"))</f>
        <v>5</v>
      </c>
      <c r="L115" s="68">
        <f>IFERROR(AVERAGEIF($N$1:$ZZ$1,"*"&amp;CHAR(10)&amp;"Stanine",$N115:$ZZ115),"")</f>
        <v>8.4</v>
      </c>
      <c r="M115" s="69">
        <f>IF(AND(ISNUMBER(tblY10[[#This Row],[Mean Stanine]]),ISNUMBER(tblY10[[#This Row],[Avg KS2 Band]])),tblY10[[#This Row],[Mean Stanine]]-tblY10[[#This Row],[Avg KS2 Band]],"")</f>
        <v>1.4</v>
      </c>
      <c r="N115" s="66" t="n">
        <v>34</v>
      </c>
      <c r="O115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9</v>
      </c>
      <c r="P115" s="66" t="n">
        <v>31</v>
      </c>
      <c r="Q115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8</v>
      </c>
      <c r="R115" s="66" t="n">
        <v>33</v>
      </c>
      <c r="S115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8</v>
      </c>
      <c r="T115" s="66" t="n">
        <v>35</v>
      </c>
      <c r="U115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9</v>
      </c>
      <c r="V115" s="66" t="n">
        <v>35</v>
      </c>
      <c r="W115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8</v>
      </c>
    </row>
    <row r="116">
      <c r="A116" s="65" t="inlineStr">
        <is>
          <t>X909508136997</t>
        </is>
      </c>
      <c r="B116" s="65" t="inlineStr">
        <is>
          <t>Wright</t>
        </is>
      </c>
      <c r="C116" s="65" t="inlineStr">
        <is>
          <t>Ava</t>
        </is>
      </c>
      <c r="D116" s="66" t="inlineStr">
        <is>
          <t>F</t>
        </is>
      </c>
      <c r="E116" s="66" t="inlineStr">
        <is>
          <t>K</t>
        </is>
      </c>
      <c r="F116" s="66" t="inlineStr">
        <is>
          <t>N</t>
        </is>
      </c>
      <c r="G116" s="34" t="n">
        <v>85.40000000000001</v>
      </c>
      <c r="H116" s="34" t="n">
        <v>109.5</v>
      </c>
      <c r="I116" s="67">
        <f>IF(ISNUMBER(tblY10[[#This Row],[Avg KS2]]),IFERROR(VLOOKUP(STANDARDIZE(tblY10[[#This Row],[Avg KS2]],AVERAGE(tblY10[[Avg KS2]]),_xlfn.STDEV.P(tblY10[[Avg KS2]])),_Stanine,2),5),"")</f>
        <v>7</v>
      </c>
      <c r="J116" s="66" t="inlineStr">
        <is>
          <t>10S/Sc5</t>
        </is>
      </c>
      <c r="K116" s="67">
        <f>IF(tblY10[[#This Row],[Preferred Last name]]="","",COUNTIFS($N$1:$ZZ$1,"*"&amp;CHAR(10)&amp;"Stanine",$N116:$ZZ116,"&gt;=1"))</f>
        <v>5</v>
      </c>
      <c r="L116" s="68">
        <f>IFERROR(AVERAGEIF($N$1:$ZZ$1,"*"&amp;CHAR(10)&amp;"Stanine",$N116:$ZZ116),"")</f>
        <v>3.4</v>
      </c>
      <c r="M116" s="69">
        <f>IF(AND(ISNUMBER(tblY10[[#This Row],[Mean Stanine]]),ISNUMBER(tblY10[[#This Row],[Avg KS2 Band]])),tblY10[[#This Row],[Mean Stanine]]-tblY10[[#This Row],[Avg KS2 Band]],"")</f>
        <v>-3.6</v>
      </c>
      <c r="N116" s="66" t="n">
        <v>9</v>
      </c>
      <c r="O116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3</v>
      </c>
      <c r="P116" s="66" t="n">
        <v>15</v>
      </c>
      <c r="Q116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4</v>
      </c>
      <c r="R116" s="66" t="n">
        <v>16</v>
      </c>
      <c r="S116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4</v>
      </c>
      <c r="T116" s="66" t="n">
        <v>12</v>
      </c>
      <c r="U116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3</v>
      </c>
      <c r="V116" s="66" t="n">
        <v>12</v>
      </c>
      <c r="W116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3</v>
      </c>
    </row>
    <row r="117">
      <c r="A117" s="65" t="inlineStr">
        <is>
          <t>X909261901227</t>
        </is>
      </c>
      <c r="B117" s="65" t="inlineStr">
        <is>
          <t>Wright</t>
        </is>
      </c>
      <c r="C117" s="65" t="inlineStr">
        <is>
          <t>Keira</t>
        </is>
      </c>
      <c r="D117" s="66" t="inlineStr">
        <is>
          <t>F</t>
        </is>
      </c>
      <c r="E117" s="66" t="inlineStr">
        <is>
          <t>N</t>
        </is>
      </c>
      <c r="F117" s="66" t="inlineStr">
        <is>
          <t>N</t>
        </is>
      </c>
      <c r="G117" s="34" t="n">
        <v>100</v>
      </c>
      <c r="H117" s="34" t="n">
        <v>105</v>
      </c>
      <c r="I117" s="67">
        <f>IF(ISNUMBER(tblY10[[#This Row],[Avg KS2]]),IFERROR(VLOOKUP(STANDARDIZE(tblY10[[#This Row],[Avg KS2]],AVERAGE(tblY10[[Avg KS2]]),_xlfn.STDEV.P(tblY10[[Avg KS2]])),_Stanine,2),5),"")</f>
        <v>5</v>
      </c>
      <c r="J117" s="66" t="inlineStr">
        <is>
          <t>10S/Sc1</t>
        </is>
      </c>
      <c r="K117" s="67">
        <f>IF(tblY10[[#This Row],[Preferred Last name]]="","",COUNTIFS($N$1:$ZZ$1,"*"&amp;CHAR(10)&amp;"Stanine",$N117:$ZZ117,"&gt;=1"))</f>
        <v>5</v>
      </c>
      <c r="L117" s="68">
        <f>IFERROR(AVERAGEIF($N$1:$ZZ$1,"*"&amp;CHAR(10)&amp;"Stanine",$N117:$ZZ117),"")</f>
        <v>5.6</v>
      </c>
      <c r="M117" s="69">
        <f>IF(AND(ISNUMBER(tblY10[[#This Row],[Mean Stanine]]),ISNUMBER(tblY10[[#This Row],[Avg KS2 Band]])),tblY10[[#This Row],[Mean Stanine]]-tblY10[[#This Row],[Avg KS2 Band]],"")</f>
        <v>0.6</v>
      </c>
      <c r="N117" s="66" t="n">
        <v>24</v>
      </c>
      <c r="O117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6</v>
      </c>
      <c r="P117" s="66" t="n">
        <v>25</v>
      </c>
      <c r="Q117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6</v>
      </c>
      <c r="R117" s="66" t="n">
        <v>22</v>
      </c>
      <c r="S117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5</v>
      </c>
      <c r="T117" s="66" t="n">
        <v>18</v>
      </c>
      <c r="U117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5</v>
      </c>
      <c r="V117" s="66" t="n">
        <v>27</v>
      </c>
      <c r="W117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6</v>
      </c>
    </row>
    <row r="118">
      <c r="A118" s="65" t="inlineStr">
        <is>
          <t>X900933187083</t>
        </is>
      </c>
      <c r="B118" s="65" t="inlineStr">
        <is>
          <t>Wright</t>
        </is>
      </c>
      <c r="C118" s="65" t="inlineStr">
        <is>
          <t>Seren</t>
        </is>
      </c>
      <c r="D118" s="66" t="inlineStr">
        <is>
          <t>M</t>
        </is>
      </c>
      <c r="E118" s="66" t="inlineStr">
        <is>
          <t>K</t>
        </is>
      </c>
      <c r="F118" s="66" t="inlineStr">
        <is>
          <t>N</t>
        </is>
      </c>
      <c r="G118" s="34" t="n">
        <v>83.3</v>
      </c>
      <c r="H118" s="34" t="n">
        <v>101</v>
      </c>
      <c r="I118" s="67">
        <f>IF(ISNUMBER(tblY10[[#This Row],[Avg KS2]]),IFERROR(VLOOKUP(STANDARDIZE(tblY10[[#This Row],[Avg KS2]],AVERAGE(tblY10[[Avg KS2]]),_xlfn.STDEV.P(tblY10[[Avg KS2]])),_Stanine,2),5),"")</f>
        <v>4</v>
      </c>
      <c r="J118" s="66" t="inlineStr">
        <is>
          <t>10S/Sc5</t>
        </is>
      </c>
      <c r="K118" s="67">
        <f>IF(tblY10[[#This Row],[Preferred Last name]]="","",COUNTIFS($N$1:$ZZ$1,"*"&amp;CHAR(10)&amp;"Stanine",$N118:$ZZ118,"&gt;=1"))</f>
        <v>5</v>
      </c>
      <c r="L118" s="68">
        <f>IFERROR(AVERAGEIF($N$1:$ZZ$1,"*"&amp;CHAR(10)&amp;"Stanine",$N118:$ZZ118),"")</f>
        <v>2.2</v>
      </c>
      <c r="M118" s="69">
        <f>IF(AND(ISNUMBER(tblY10[[#This Row],[Mean Stanine]]),ISNUMBER(tblY10[[#This Row],[Avg KS2 Band]])),tblY10[[#This Row],[Mean Stanine]]-tblY10[[#This Row],[Avg KS2 Band]],"")</f>
        <v>-1.8</v>
      </c>
      <c r="N118" s="66" t="n">
        <v>6</v>
      </c>
      <c r="O118" s="67">
        <f>IF(ISNUMBER(tblY10[[#This Row],[4B01 - Cell Biology
Raw Score]]),IFERROR(VLOOKUP(STANDARDIZE(tblY10[[#This Row],[4B01 - Cell Biology
Raw Score]],AVERAGE(tblY10[[4B01 - Cell Biology
Raw Score]]),_xlfn.STDEV.P(tblY10[[4B01 - Cell Biology
Raw Score]])),_Stanine,2),5),"")</f>
        <v>2</v>
      </c>
      <c r="P118" s="66" t="n">
        <v>8</v>
      </c>
      <c r="Q118" s="67">
        <f>IF(ISNUMBER(tblY10[[#This Row],[4C01 - Atomic Structure
Raw Score]]),IFERROR(VLOOKUP(STANDARDIZE(tblY10[[#This Row],[4C01 - Atomic Structure
Raw Score]],AVERAGE(tblY10[[4C01 - Atomic Structure
Raw Score]]),_xlfn.STDEV.P(tblY10[[4C01 - Atomic Structure
Raw Score]])),_Stanine,2),5),"")</f>
        <v>2</v>
      </c>
      <c r="R118" s="66" t="n">
        <v>13</v>
      </c>
      <c r="S118" s="67">
        <f>IF(ISNUMBER(tblY10[[#This Row],[4P01 - Energy
Raw Score]]),IFERROR(VLOOKUP(STANDARDIZE(tblY10[[#This Row],[4P01 - Energy
Raw Score]],AVERAGE(tblY10[[4P01 - Energy
Raw Score]]),_xlfn.STDEV.P(tblY10[[4P01 - Energy
Raw Score]])),_Stanine,2),5),"")</f>
        <v>3</v>
      </c>
      <c r="T118" s="66" t="n">
        <v>5</v>
      </c>
      <c r="U118" s="67">
        <f>IF(ISNUMBER(tblY10[[#This Row],[4B02 - Organisation
Raw Score]]),IFERROR(VLOOKUP(STANDARDIZE(tblY10[[#This Row],[4B02 - Organisation
Raw Score]],AVERAGE(tblY10[[4B02 - Organisation
Raw Score]]),_xlfn.STDEV.P(tblY10[[4B02 - Organisation
Raw Score]])),_Stanine,2),5),"")</f>
        <v>2</v>
      </c>
      <c r="V118" s="66" t="n">
        <v>8</v>
      </c>
      <c r="W118" s="67">
        <f>IF(ISNUMBER(tblY10[[#This Row],[4C02 - Bonding
Raw Score]]),IFERROR(VLOOKUP(STANDARDIZE(tblY10[[#This Row],[4C02 - Bonding
Raw Score]],AVERAGE(tblY10[[4C02 - Bonding
Raw Score]]),_xlfn.STDEV.P(tblY10[[4C02 - Bonding
Raw Score]])),_Stanine,2),5),"")</f>
        <v>2</v>
      </c>
    </row>
  </sheetData>
  <conditionalFormatting sqref="I2:I118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18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18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18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18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18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18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118">
    <cfRule type="iconSet" priority="8">
      <iconSet iconSet="3TrafficLights1">
        <cfvo type="percent" val="0"/>
        <cfvo type="num" val="4"/>
        <cfvo type="num" val="7"/>
      </iconSet>
    </cfRule>
  </conditionalFormatting>
  <dataValidations count="5">
    <dataValidation sqref="N2:N118" showDropDown="0" showInputMessage="0" showErrorMessage="1" allowBlank="1" errorTitle="Score out of range" error="Type a mark from 0 to 40, or A for absent. Leave the cell blank if the student has not sat the test yet." type="custom">
      <formula1>OR(UPPER(N2)="A",AND(ISNUMBER(N2),N2&gt;=0,N2&lt;=40))</formula1>
    </dataValidation>
    <dataValidation sqref="P2:P118" showDropDown="0" showInputMessage="0" showErrorMessage="1" allowBlank="1" errorTitle="Score out of range" error="Type a mark from 0 to 36, or A for absent. Leave the cell blank if the student has not sat the test yet." type="custom">
      <formula1>OR(UPPER(P2)="A",AND(ISNUMBER(P2),P2&gt;=0,P2&lt;=36))</formula1>
    </dataValidation>
    <dataValidation sqref="R2:R118" showDropDown="0" showInputMessage="0" showErrorMessage="1" allowBlank="1" errorTitle="Score out of range" error="Type a mark from 0 to 35, or A for absent. Leave the cell blank if the student has not sat the test yet." type="custom">
      <formula1>OR(UPPER(R2)="A",AND(ISNUMBER(R2),R2&gt;=0,R2&lt;=35))</formula1>
    </dataValidation>
    <dataValidation sqref="T2:T118" showDropDown="0" showInputMessage="0" showErrorMessage="1" allowBlank="1" errorTitle="Score out of range" error="Type a mark from 0 to 40, or A for absent. Leave the cell blank if the student has not sat the test yet." type="custom">
      <formula1>OR(UPPER(T2)="A",AND(ISNUMBER(T2),T2&gt;=0,T2&lt;=40))</formula1>
    </dataValidation>
    <dataValidation sqref="V2:V118" showDropDown="0" showInputMessage="0" showErrorMessage="1" allowBlank="1" errorTitle="Score out of range" error="Type a mark from 0 to 38, or A for absent. Leave the cell blank if the student has not sat the test yet." type="custom">
      <formula1>OR(UPPER(V2)="A",AND(ISNUMBER(V2),V2&gt;=0,V2&lt;=38))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9.xml><?xml version="1.0" encoding="utf-8"?>
<worksheet xmlns="http://schemas.openxmlformats.org/spreadsheetml/2006/main">
  <sheetPr codeName="shY11">
    <outlinePr summaryBelow="1" summaryRight="1"/>
    <pageSetUpPr/>
  </sheetPr>
  <dimension ref="A1:Y107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  <col width="6.7" customWidth="1" min="24" max="24"/>
    <col width="6.7" customWidth="1" min="25" max="25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4B05 - Homeostasis
Raw Score</t>
        </is>
      </c>
      <c r="O1" s="63" t="inlineStr">
        <is>
          <t>4B05 - Homeostasis
Stanine</t>
        </is>
      </c>
      <c r="P1" s="64" t="inlineStr">
        <is>
          <t>4C09 - Organic Chemistry
Raw Score</t>
        </is>
      </c>
      <c r="Q1" s="64" t="inlineStr">
        <is>
          <t>4C09 - Organic Chemistry
Stanine</t>
        </is>
      </c>
      <c r="R1" s="63" t="inlineStr">
        <is>
          <t>4P06 - Waves
Raw Score</t>
        </is>
      </c>
      <c r="S1" s="63" t="inlineStr">
        <is>
          <t>4P06 - Waves
Stanine</t>
        </is>
      </c>
      <c r="T1" s="64" t="inlineStr">
        <is>
          <t>4B06 - Inheritance
Raw Score</t>
        </is>
      </c>
      <c r="U1" s="64" t="inlineStr">
        <is>
          <t>4B06 - Inheritance
Stanine</t>
        </is>
      </c>
      <c r="V1" s="63" t="inlineStr">
        <is>
          <t>4C10 - Chemical Analysis
Raw Score</t>
        </is>
      </c>
      <c r="W1" s="63" t="inlineStr">
        <is>
          <t>4C10 - Chemical Analysis
Stanine</t>
        </is>
      </c>
      <c r="X1" s="64" t="inlineStr">
        <is>
          <t>4P07 - Magnetism
Raw Score</t>
        </is>
      </c>
      <c r="Y1" s="64" t="inlineStr">
        <is>
          <t>4P07 - Magnetism
Stanine</t>
        </is>
      </c>
    </row>
    <row r="2">
      <c r="A2" s="65" t="inlineStr">
        <is>
          <t>X906820957071</t>
        </is>
      </c>
      <c r="B2" s="65" t="inlineStr">
        <is>
          <t>Adeyemi</t>
        </is>
      </c>
      <c r="C2" s="65" t="inlineStr">
        <is>
          <t>Chidi</t>
        </is>
      </c>
      <c r="D2" s="66" t="inlineStr">
        <is>
          <t>M</t>
        </is>
      </c>
      <c r="E2" s="66" t="inlineStr">
        <is>
          <t>K</t>
        </is>
      </c>
      <c r="F2" s="66" t="inlineStr">
        <is>
          <t>N</t>
        </is>
      </c>
      <c r="G2" s="34" t="n">
        <v>97.5</v>
      </c>
      <c r="H2" s="34" t="n">
        <v>100</v>
      </c>
      <c r="I2" s="67">
        <f>IF(ISNUMBER(tblY11[[#This Row],[Avg KS2]]),IFERROR(VLOOKUP(STANDARDIZE(tblY11[[#This Row],[Avg KS2]],AVERAGE(tblY11[[Avg KS2]]),_xlfn.STDEV.P(tblY11[[Avg KS2]])),_Stanine,2),5),"")</f>
        <v>3</v>
      </c>
      <c r="J2" s="66" t="inlineStr">
        <is>
          <t>11S/Sc4</t>
        </is>
      </c>
      <c r="K2" s="67">
        <f>IF(tblY11[[#This Row],[Preferred Last name]]="","",COUNTIFS($N$1:$ZZ$1,"*"&amp;CHAR(10)&amp;"Stanine",$N2:$ZZ2,"&gt;=1"))</f>
        <v>6</v>
      </c>
      <c r="L2" s="68">
        <f>IFERROR(AVERAGEIF($N$1:$ZZ$1,"*"&amp;CHAR(10)&amp;"Stanine",$N2:$ZZ2),"")</f>
        <v>2.5</v>
      </c>
      <c r="M2" s="69">
        <f>IF(AND(ISNUMBER(tblY11[[#This Row],[Mean Stanine]]),ISNUMBER(tblY11[[#This Row],[Avg KS2 Band]])),tblY11[[#This Row],[Mean Stanine]]-tblY11[[#This Row],[Avg KS2 Band]],"")</f>
        <v>-0.5</v>
      </c>
      <c r="N2" s="66" t="n">
        <v>13</v>
      </c>
      <c r="O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2" s="66" t="n">
        <v>10</v>
      </c>
      <c r="Q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2" s="66" t="n">
        <v>6</v>
      </c>
      <c r="S2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2" s="66" t="n">
        <v>17</v>
      </c>
      <c r="U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2" s="66" t="n">
        <v>6</v>
      </c>
      <c r="W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2" s="66" t="n">
        <v>5</v>
      </c>
      <c r="Y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3">
      <c r="A3" s="65" t="inlineStr">
        <is>
          <t>X902831566347</t>
        </is>
      </c>
      <c r="B3" s="65" t="inlineStr">
        <is>
          <t>Adeyemi</t>
        </is>
      </c>
      <c r="C3" s="65" t="inlineStr">
        <is>
          <t>Mia</t>
        </is>
      </c>
      <c r="D3" s="66" t="inlineStr">
        <is>
          <t>F</t>
        </is>
      </c>
      <c r="E3" s="66" t="inlineStr">
        <is>
          <t>E</t>
        </is>
      </c>
      <c r="F3" s="66" t="inlineStr">
        <is>
          <t>N</t>
        </is>
      </c>
      <c r="G3" s="34" t="n">
        <v>95.7</v>
      </c>
      <c r="H3" s="34" t="n">
        <v>113</v>
      </c>
      <c r="I3" s="67">
        <f>IF(ISNUMBER(tblY11[[#This Row],[Avg KS2]]),IFERROR(VLOOKUP(STANDARDIZE(tblY11[[#This Row],[Avg KS2]],AVERAGE(tblY11[[Avg KS2]]),_xlfn.STDEV.P(tblY11[[Avg KS2]])),_Stanine,2),5),"")</f>
        <v>8</v>
      </c>
      <c r="J3" s="66" t="inlineStr">
        <is>
          <t>11S/Sc1</t>
        </is>
      </c>
      <c r="K3" s="67">
        <f>IF(tblY11[[#This Row],[Preferred Last name]]="","",COUNTIFS($N$1:$ZZ$1,"*"&amp;CHAR(10)&amp;"Stanine",$N3:$ZZ3,"&gt;=1"))</f>
        <v>6</v>
      </c>
      <c r="L3" s="68">
        <f>IFERROR(AVERAGEIF($N$1:$ZZ$1,"*"&amp;CHAR(10)&amp;"Stanine",$N3:$ZZ3),"")</f>
        <v>7.33333333333333</v>
      </c>
      <c r="M3" s="69">
        <f>IF(AND(ISNUMBER(tblY11[[#This Row],[Mean Stanine]]),ISNUMBER(tblY11[[#This Row],[Avg KS2 Band]])),tblY11[[#This Row],[Mean Stanine]]-tblY11[[#This Row],[Avg KS2 Band]],"")</f>
        <v>-0.666666666666667</v>
      </c>
      <c r="N3" s="66" t="n">
        <v>35</v>
      </c>
      <c r="O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3" s="66" t="n">
        <v>28</v>
      </c>
      <c r="Q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3" s="66" t="n">
        <v>30</v>
      </c>
      <c r="S3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3" s="66" t="n">
        <v>34</v>
      </c>
      <c r="U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3" s="66" t="n">
        <v>23</v>
      </c>
      <c r="W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3" s="66" t="n">
        <v>21</v>
      </c>
      <c r="Y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4">
      <c r="A4" s="65" t="inlineStr">
        <is>
          <t>X902846749829</t>
        </is>
      </c>
      <c r="B4" s="65" t="inlineStr">
        <is>
          <t>Ahmed</t>
        </is>
      </c>
      <c r="C4" s="65" t="inlineStr">
        <is>
          <t>Isla</t>
        </is>
      </c>
      <c r="D4" s="66" t="inlineStr">
        <is>
          <t>M</t>
        </is>
      </c>
      <c r="E4" s="66" t="inlineStr">
        <is>
          <t>K</t>
        </is>
      </c>
      <c r="F4" s="66" t="inlineStr">
        <is>
          <t>N</t>
        </is>
      </c>
      <c r="G4" s="34" t="n">
        <v>93.40000000000001</v>
      </c>
      <c r="H4" s="34" t="n">
        <v>98</v>
      </c>
      <c r="I4" s="67">
        <f>IF(ISNUMBER(tblY11[[#This Row],[Avg KS2]]),IFERROR(VLOOKUP(STANDARDIZE(tblY11[[#This Row],[Avg KS2]],AVERAGE(tblY11[[Avg KS2]]),_xlfn.STDEV.P(tblY11[[Avg KS2]])),_Stanine,2),5),"")</f>
        <v>3</v>
      </c>
      <c r="J4" s="66" t="inlineStr">
        <is>
          <t>11S/Sc3</t>
        </is>
      </c>
      <c r="K4" s="67">
        <f>IF(tblY11[[#This Row],[Preferred Last name]]="","",COUNTIFS($N$1:$ZZ$1,"*"&amp;CHAR(10)&amp;"Stanine",$N4:$ZZ4,"&gt;=1"))</f>
        <v>6</v>
      </c>
      <c r="L4" s="68">
        <f>IFERROR(AVERAGEIF($N$1:$ZZ$1,"*"&amp;CHAR(10)&amp;"Stanine",$N4:$ZZ4),"")</f>
        <v>2</v>
      </c>
      <c r="M4" s="69">
        <f>IF(AND(ISNUMBER(tblY11[[#This Row],[Mean Stanine]]),ISNUMBER(tblY11[[#This Row],[Avg KS2 Band]])),tblY11[[#This Row],[Mean Stanine]]-tblY11[[#This Row],[Avg KS2 Band]],"")</f>
        <v>-1</v>
      </c>
      <c r="N4" s="66" t="n">
        <v>7</v>
      </c>
      <c r="O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4" s="66" t="n">
        <v>7</v>
      </c>
      <c r="Q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4" s="66" t="n">
        <v>5</v>
      </c>
      <c r="S4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4" s="66" t="n">
        <v>13</v>
      </c>
      <c r="U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4" s="66" t="n">
        <v>5</v>
      </c>
      <c r="W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4" s="66" t="n">
        <v>5</v>
      </c>
      <c r="Y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5">
      <c r="A5" s="65" t="inlineStr">
        <is>
          <t>X901434916832</t>
        </is>
      </c>
      <c r="B5" s="65" t="inlineStr">
        <is>
          <t>Ahmed</t>
        </is>
      </c>
      <c r="C5" s="65" t="inlineStr">
        <is>
          <t>Jacob</t>
        </is>
      </c>
      <c r="D5" s="66" t="inlineStr">
        <is>
          <t>M</t>
        </is>
      </c>
      <c r="E5" s="66" t="inlineStr">
        <is>
          <t>E</t>
        </is>
      </c>
      <c r="F5" s="66" t="inlineStr">
        <is>
          <t>N</t>
        </is>
      </c>
      <c r="G5" s="34" t="n">
        <v>100</v>
      </c>
      <c r="H5" s="34" t="n">
        <v>104.5</v>
      </c>
      <c r="I5" s="67">
        <f>IF(ISNUMBER(tblY11[[#This Row],[Avg KS2]]),IFERROR(VLOOKUP(STANDARDIZE(tblY11[[#This Row],[Avg KS2]],AVERAGE(tblY11[[Avg KS2]]),_xlfn.STDEV.P(tblY11[[Avg KS2]])),_Stanine,2),5),"")</f>
        <v>5</v>
      </c>
      <c r="J5" s="66" t="inlineStr">
        <is>
          <t>11S/Sc2</t>
        </is>
      </c>
      <c r="K5" s="67">
        <f>IF(tblY11[[#This Row],[Preferred Last name]]="","",COUNTIFS($N$1:$ZZ$1,"*"&amp;CHAR(10)&amp;"Stanine",$N5:$ZZ5,"&gt;=1"))</f>
        <v>6</v>
      </c>
      <c r="L5" s="68">
        <f>IFERROR(AVERAGEIF($N$1:$ZZ$1,"*"&amp;CHAR(10)&amp;"Stanine",$N5:$ZZ5),"")</f>
        <v>5.16666666666667</v>
      </c>
      <c r="M5" s="69">
        <f>IF(AND(ISNUMBER(tblY11[[#This Row],[Mean Stanine]]),ISNUMBER(tblY11[[#This Row],[Avg KS2 Band]])),tblY11[[#This Row],[Mean Stanine]]-tblY11[[#This Row],[Avg KS2 Band]],"")</f>
        <v>0.166666666666667</v>
      </c>
      <c r="N5" s="66" t="n">
        <v>28</v>
      </c>
      <c r="O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5" s="66" t="n">
        <v>19</v>
      </c>
      <c r="Q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5" s="66" t="n">
        <v>19</v>
      </c>
      <c r="S5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5" s="66" t="n">
        <v>31</v>
      </c>
      <c r="U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5" s="66" t="n">
        <v>12</v>
      </c>
      <c r="W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5" s="66" t="n">
        <v>15</v>
      </c>
      <c r="Y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6">
      <c r="A6" s="65" t="inlineStr">
        <is>
          <t>X902617205744</t>
        </is>
      </c>
      <c r="B6" s="65" t="inlineStr">
        <is>
          <t>Barker</t>
        </is>
      </c>
      <c r="C6" s="65" t="inlineStr">
        <is>
          <t>Amara</t>
        </is>
      </c>
      <c r="D6" s="66" t="inlineStr">
        <is>
          <t>M</t>
        </is>
      </c>
      <c r="E6" s="66" t="inlineStr">
        <is>
          <t>N</t>
        </is>
      </c>
      <c r="F6" s="66" t="inlineStr">
        <is>
          <t>Y</t>
        </is>
      </c>
      <c r="G6" s="34" t="n">
        <v>91.90000000000001</v>
      </c>
      <c r="H6" s="34" t="n">
        <v>109</v>
      </c>
      <c r="I6" s="67">
        <f>IF(ISNUMBER(tblY11[[#This Row],[Avg KS2]]),IFERROR(VLOOKUP(STANDARDIZE(tblY11[[#This Row],[Avg KS2]],AVERAGE(tblY11[[Avg KS2]]),_xlfn.STDEV.P(tblY11[[Avg KS2]])),_Stanine,2),5),"")</f>
        <v>6</v>
      </c>
      <c r="J6" s="66" t="inlineStr">
        <is>
          <t>11S/Sc2</t>
        </is>
      </c>
      <c r="K6" s="67">
        <f>IF(tblY11[[#This Row],[Preferred Last name]]="","",COUNTIFS($N$1:$ZZ$1,"*"&amp;CHAR(10)&amp;"Stanine",$N6:$ZZ6,"&gt;=1"))</f>
        <v>6</v>
      </c>
      <c r="L6" s="68">
        <f>IFERROR(AVERAGEIF($N$1:$ZZ$1,"*"&amp;CHAR(10)&amp;"Stanine",$N6:$ZZ6),"")</f>
        <v>5.66666666666667</v>
      </c>
      <c r="M6" s="69">
        <f>IF(AND(ISNUMBER(tblY11[[#This Row],[Mean Stanine]]),ISNUMBER(tblY11[[#This Row],[Avg KS2 Band]])),tblY11[[#This Row],[Mean Stanine]]-tblY11[[#This Row],[Avg KS2 Band]],"")</f>
        <v>-0.333333333333333</v>
      </c>
      <c r="N6" s="66" t="n">
        <v>27</v>
      </c>
      <c r="O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6" s="66" t="n">
        <v>22</v>
      </c>
      <c r="Q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6" s="66" t="n">
        <v>19</v>
      </c>
      <c r="S6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6" s="66" t="n">
        <v>31</v>
      </c>
      <c r="U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6" s="66" t="n">
        <v>16</v>
      </c>
      <c r="W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6" s="66" t="n">
        <v>17</v>
      </c>
      <c r="Y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7">
      <c r="A7" s="65" t="inlineStr">
        <is>
          <t>X903730414225</t>
        </is>
      </c>
      <c r="B7" s="65" t="inlineStr">
        <is>
          <t>Barker</t>
        </is>
      </c>
      <c r="C7" s="65" t="inlineStr">
        <is>
          <t>Arjun</t>
        </is>
      </c>
      <c r="D7" s="66" t="inlineStr">
        <is>
          <t>M</t>
        </is>
      </c>
      <c r="E7" s="66" t="n"/>
      <c r="F7" s="66" t="inlineStr">
        <is>
          <t>N</t>
        </is>
      </c>
      <c r="G7" s="34" t="n">
        <v>88.59999999999999</v>
      </c>
      <c r="H7" s="34" t="n">
        <v>109.5</v>
      </c>
      <c r="I7" s="67">
        <f>IF(ISNUMBER(tblY11[[#This Row],[Avg KS2]]),IFERROR(VLOOKUP(STANDARDIZE(tblY11[[#This Row],[Avg KS2]],AVERAGE(tblY11[[Avg KS2]]),_xlfn.STDEV.P(tblY11[[Avg KS2]])),_Stanine,2),5),"")</f>
        <v>7</v>
      </c>
      <c r="J7" s="66" t="inlineStr">
        <is>
          <t>11S/Sc2</t>
        </is>
      </c>
      <c r="K7" s="67">
        <f>IF(tblY11[[#This Row],[Preferred Last name]]="","",COUNTIFS($N$1:$ZZ$1,"*"&amp;CHAR(10)&amp;"Stanine",$N7:$ZZ7,"&gt;=1"))</f>
        <v>5</v>
      </c>
      <c r="L7" s="68">
        <f>IFERROR(AVERAGEIF($N$1:$ZZ$1,"*"&amp;CHAR(10)&amp;"Stanine",$N7:$ZZ7),"")</f>
        <v>6.4</v>
      </c>
      <c r="M7" s="69">
        <f>IF(AND(ISNUMBER(tblY11[[#This Row],[Mean Stanine]]),ISNUMBER(tblY11[[#This Row],[Avg KS2 Band]])),tblY11[[#This Row],[Mean Stanine]]-tblY11[[#This Row],[Avg KS2 Band]],"")</f>
        <v>-0.6</v>
      </c>
      <c r="N7" s="66" t="n">
        <v>31</v>
      </c>
      <c r="O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7" s="66" t="inlineStr">
        <is>
          <t>A</t>
        </is>
      </c>
      <c r="Q7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7" s="66" t="n">
        <v>22</v>
      </c>
      <c r="S7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7" s="66" t="n">
        <v>32</v>
      </c>
      <c r="U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7" s="66" t="n">
        <v>19</v>
      </c>
      <c r="W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7" s="66" t="n">
        <v>21</v>
      </c>
      <c r="Y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8">
      <c r="A8" s="65" t="inlineStr">
        <is>
          <t>X901501220597</t>
        </is>
      </c>
      <c r="B8" s="65" t="inlineStr">
        <is>
          <t>Barker</t>
        </is>
      </c>
      <c r="C8" s="65" t="inlineStr">
        <is>
          <t>Zofia</t>
        </is>
      </c>
      <c r="D8" s="66" t="inlineStr">
        <is>
          <t>M</t>
        </is>
      </c>
      <c r="E8" s="66" t="n"/>
      <c r="F8" s="66" t="inlineStr">
        <is>
          <t>N</t>
        </is>
      </c>
      <c r="G8" s="34" t="n">
        <v>95.3</v>
      </c>
      <c r="H8" s="34" t="n">
        <v>106.5</v>
      </c>
      <c r="I8" s="67">
        <f>IF(ISNUMBER(tblY11[[#This Row],[Avg KS2]]),IFERROR(VLOOKUP(STANDARDIZE(tblY11[[#This Row],[Avg KS2]],AVERAGE(tblY11[[Avg KS2]]),_xlfn.STDEV.P(tblY11[[Avg KS2]])),_Stanine,2),5),"")</f>
        <v>6</v>
      </c>
      <c r="J8" s="66" t="inlineStr">
        <is>
          <t>11S/Sc1</t>
        </is>
      </c>
      <c r="K8" s="67">
        <f>IF(tblY11[[#This Row],[Preferred Last name]]="","",COUNTIFS($N$1:$ZZ$1,"*"&amp;CHAR(10)&amp;"Stanine",$N8:$ZZ8,"&gt;=1"))</f>
        <v>6</v>
      </c>
      <c r="L8" s="68">
        <f>IFERROR(AVERAGEIF($N$1:$ZZ$1,"*"&amp;CHAR(10)&amp;"Stanine",$N8:$ZZ8),"")</f>
        <v>6.66666666666667</v>
      </c>
      <c r="M8" s="69">
        <f>IF(AND(ISNUMBER(tblY11[[#This Row],[Mean Stanine]]),ISNUMBER(tblY11[[#This Row],[Avg KS2 Band]])),tblY11[[#This Row],[Mean Stanine]]-tblY11[[#This Row],[Avg KS2 Band]],"")</f>
        <v>0.666666666666667</v>
      </c>
      <c r="N8" s="66" t="n">
        <v>33</v>
      </c>
      <c r="O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8" s="66" t="n">
        <v>28</v>
      </c>
      <c r="Q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8" s="66" t="n">
        <v>21</v>
      </c>
      <c r="S8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8" s="66" t="n">
        <v>32</v>
      </c>
      <c r="U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8" s="66" t="n">
        <v>21</v>
      </c>
      <c r="W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8" s="66" t="n">
        <v>22</v>
      </c>
      <c r="Y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9">
      <c r="A9" s="65" t="inlineStr">
        <is>
          <t>X900445883591</t>
        </is>
      </c>
      <c r="B9" s="65" t="inlineStr">
        <is>
          <t>Begum</t>
        </is>
      </c>
      <c r="C9" s="65" t="inlineStr">
        <is>
          <t>Sophie</t>
        </is>
      </c>
      <c r="D9" s="66" t="inlineStr">
        <is>
          <t>M</t>
        </is>
      </c>
      <c r="E9" s="66" t="n"/>
      <c r="F9" s="66" t="inlineStr">
        <is>
          <t>N</t>
        </is>
      </c>
      <c r="G9" s="34" t="n">
        <v>87.5</v>
      </c>
      <c r="H9" s="34" t="n">
        <v>94.5</v>
      </c>
      <c r="I9" s="67">
        <f>IF(ISNUMBER(tblY11[[#This Row],[Avg KS2]]),IFERROR(VLOOKUP(STANDARDIZE(tblY11[[#This Row],[Avg KS2]],AVERAGE(tblY11[[Avg KS2]]),_xlfn.STDEV.P(tblY11[[Avg KS2]])),_Stanine,2),5),"")</f>
        <v>2</v>
      </c>
      <c r="J9" s="66" t="inlineStr">
        <is>
          <t>11S/Sc3</t>
        </is>
      </c>
      <c r="K9" s="67">
        <f>IF(tblY11[[#This Row],[Preferred Last name]]="","",COUNTIFS($N$1:$ZZ$1,"*"&amp;CHAR(10)&amp;"Stanine",$N9:$ZZ9,"&gt;=1"))</f>
        <v>6</v>
      </c>
      <c r="L9" s="68">
        <f>IFERROR(AVERAGEIF($N$1:$ZZ$1,"*"&amp;CHAR(10)&amp;"Stanine",$N9:$ZZ9),"")</f>
        <v>1.66666666666667</v>
      </c>
      <c r="M9" s="69">
        <f>IF(AND(ISNUMBER(tblY11[[#This Row],[Mean Stanine]]),ISNUMBER(tblY11[[#This Row],[Avg KS2 Band]])),tblY11[[#This Row],[Mean Stanine]]-tblY11[[#This Row],[Avg KS2 Band]],"")</f>
        <v>-0.333333333333333</v>
      </c>
      <c r="N9" s="66" t="n">
        <v>7</v>
      </c>
      <c r="O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9" s="66" t="n">
        <v>4</v>
      </c>
      <c r="Q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1</v>
      </c>
      <c r="R9" s="66" t="n">
        <v>5</v>
      </c>
      <c r="S9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9" s="66" t="n">
        <v>6</v>
      </c>
      <c r="U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1</v>
      </c>
      <c r="V9" s="66" t="n">
        <v>4</v>
      </c>
      <c r="W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9" s="66" t="n">
        <v>2</v>
      </c>
      <c r="Y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10">
      <c r="A10" s="65" t="inlineStr">
        <is>
          <t>X904616176055</t>
        </is>
      </c>
      <c r="B10" s="65" t="inlineStr">
        <is>
          <t>Bennett</t>
        </is>
      </c>
      <c r="C10" s="65" t="inlineStr">
        <is>
          <t>Ibrahim</t>
        </is>
      </c>
      <c r="D10" s="66" t="inlineStr">
        <is>
          <t>M</t>
        </is>
      </c>
      <c r="E10" s="66" t="inlineStr">
        <is>
          <t>N</t>
        </is>
      </c>
      <c r="F10" s="66" t="inlineStr">
        <is>
          <t>N</t>
        </is>
      </c>
      <c r="G10" s="34" t="n">
        <v>89.59999999999999</v>
      </c>
      <c r="H10" s="34" t="n">
        <v>93</v>
      </c>
      <c r="I10" s="67">
        <f>IF(ISNUMBER(tblY11[[#This Row],[Avg KS2]]),IFERROR(VLOOKUP(STANDARDIZE(tblY11[[#This Row],[Avg KS2]],AVERAGE(tblY11[[Avg KS2]]),_xlfn.STDEV.P(tblY11[[Avg KS2]])),_Stanine,2),5),"")</f>
        <v>1</v>
      </c>
      <c r="J10" s="66" t="inlineStr">
        <is>
          <t>11S/Sc5</t>
        </is>
      </c>
      <c r="K10" s="67">
        <f>IF(tblY11[[#This Row],[Preferred Last name]]="","",COUNTIFS($N$1:$ZZ$1,"*"&amp;CHAR(10)&amp;"Stanine",$N10:$ZZ10,"&gt;=1"))</f>
        <v>6</v>
      </c>
      <c r="L10" s="68">
        <f>IFERROR(AVERAGEIF($N$1:$ZZ$1,"*"&amp;CHAR(10)&amp;"Stanine",$N10:$ZZ10),"")</f>
        <v>1.83333333333333</v>
      </c>
      <c r="M10" s="69">
        <f>IF(AND(ISNUMBER(tblY11[[#This Row],[Mean Stanine]]),ISNUMBER(tblY11[[#This Row],[Avg KS2 Band]])),tblY11[[#This Row],[Mean Stanine]]-tblY11[[#This Row],[Avg KS2 Band]],"")</f>
        <v>0.833333333333333</v>
      </c>
      <c r="N10" s="66" t="n">
        <v>7</v>
      </c>
      <c r="O1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10" s="66" t="n">
        <v>7</v>
      </c>
      <c r="Q1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10" s="66" t="n">
        <v>5</v>
      </c>
      <c r="S10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10" s="66" t="n">
        <v>7</v>
      </c>
      <c r="U1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1</v>
      </c>
      <c r="V10" s="66" t="n">
        <v>3</v>
      </c>
      <c r="W1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10" s="66" t="n">
        <v>2</v>
      </c>
      <c r="Y1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11">
      <c r="A11" s="65" t="inlineStr">
        <is>
          <t>X903472301262</t>
        </is>
      </c>
      <c r="B11" s="65" t="inlineStr">
        <is>
          <t>Bennett</t>
        </is>
      </c>
      <c r="C11" s="65" t="inlineStr">
        <is>
          <t>Ivy</t>
        </is>
      </c>
      <c r="D11" s="66" t="inlineStr">
        <is>
          <t>M</t>
        </is>
      </c>
      <c r="E11" s="66" t="inlineStr">
        <is>
          <t>N</t>
        </is>
      </c>
      <c r="F11" s="66" t="inlineStr">
        <is>
          <t>N</t>
        </is>
      </c>
      <c r="G11" s="34" t="n">
        <v>97.3</v>
      </c>
      <c r="H11" s="34" t="n">
        <v>94</v>
      </c>
      <c r="I11" s="67">
        <f>IF(ISNUMBER(tblY11[[#This Row],[Avg KS2]]),IFERROR(VLOOKUP(STANDARDIZE(tblY11[[#This Row],[Avg KS2]],AVERAGE(tblY11[[Avg KS2]]),_xlfn.STDEV.P(tblY11[[Avg KS2]])),_Stanine,2),5),"")</f>
        <v>1</v>
      </c>
      <c r="J11" s="66" t="inlineStr">
        <is>
          <t>11S/Sc5</t>
        </is>
      </c>
      <c r="K11" s="67">
        <f>IF(tblY11[[#This Row],[Preferred Last name]]="","",COUNTIFS($N$1:$ZZ$1,"*"&amp;CHAR(10)&amp;"Stanine",$N11:$ZZ11,"&gt;=1"))</f>
        <v>6</v>
      </c>
      <c r="L11" s="68">
        <f>IFERROR(AVERAGEIF($N$1:$ZZ$1,"*"&amp;CHAR(10)&amp;"Stanine",$N11:$ZZ11),"")</f>
        <v>1.83333333333333</v>
      </c>
      <c r="M11" s="69">
        <f>IF(AND(ISNUMBER(tblY11[[#This Row],[Mean Stanine]]),ISNUMBER(tblY11[[#This Row],[Avg KS2 Band]])),tblY11[[#This Row],[Mean Stanine]]-tblY11[[#This Row],[Avg KS2 Band]],"")</f>
        <v>0.833333333333333</v>
      </c>
      <c r="N11" s="66" t="n">
        <v>8</v>
      </c>
      <c r="O1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11" s="66" t="n">
        <v>5</v>
      </c>
      <c r="Q1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1</v>
      </c>
      <c r="R11" s="66" t="n">
        <v>4</v>
      </c>
      <c r="S11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11" s="66" t="n">
        <v>12</v>
      </c>
      <c r="U1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11" s="66" t="n">
        <v>6</v>
      </c>
      <c r="W1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11" s="66" t="n">
        <v>5</v>
      </c>
      <c r="Y1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12">
      <c r="A12" s="65" t="inlineStr">
        <is>
          <t>X902074551151</t>
        </is>
      </c>
      <c r="B12" s="65" t="inlineStr">
        <is>
          <t>Clarke</t>
        </is>
      </c>
      <c r="C12" s="65" t="inlineStr">
        <is>
          <t>Ibrahim</t>
        </is>
      </c>
      <c r="D12" s="66" t="inlineStr">
        <is>
          <t>F</t>
        </is>
      </c>
      <c r="E12" s="66" t="inlineStr">
        <is>
          <t>N</t>
        </is>
      </c>
      <c r="F12" s="66" t="inlineStr">
        <is>
          <t>N</t>
        </is>
      </c>
      <c r="G12" s="34" t="n">
        <v>93.90000000000001</v>
      </c>
      <c r="H12" s="34" t="n">
        <v>109.5</v>
      </c>
      <c r="I12" s="67">
        <f>IF(ISNUMBER(tblY11[[#This Row],[Avg KS2]]),IFERROR(VLOOKUP(STANDARDIZE(tblY11[[#This Row],[Avg KS2]],AVERAGE(tblY11[[Avg KS2]]),_xlfn.STDEV.P(tblY11[[Avg KS2]])),_Stanine,2),5),"")</f>
        <v>7</v>
      </c>
      <c r="J12" s="66" t="inlineStr">
        <is>
          <t>11S/Sc1</t>
        </is>
      </c>
      <c r="K12" s="67">
        <f>IF(tblY11[[#This Row],[Preferred Last name]]="","",COUNTIFS($N$1:$ZZ$1,"*"&amp;CHAR(10)&amp;"Stanine",$N12:$ZZ12,"&gt;=1"))</f>
        <v>6</v>
      </c>
      <c r="L12" s="68">
        <f>IFERROR(AVERAGEIF($N$1:$ZZ$1,"*"&amp;CHAR(10)&amp;"Stanine",$N12:$ZZ12),"")</f>
        <v>6.16666666666667</v>
      </c>
      <c r="M12" s="69">
        <f>IF(AND(ISNUMBER(tblY11[[#This Row],[Mean Stanine]]),ISNUMBER(tblY11[[#This Row],[Avg KS2 Band]])),tblY11[[#This Row],[Mean Stanine]]-tblY11[[#This Row],[Avg KS2 Band]],"")</f>
        <v>-0.833333333333333</v>
      </c>
      <c r="N12" s="66" t="n">
        <v>34</v>
      </c>
      <c r="O1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12" s="66" t="n">
        <v>23</v>
      </c>
      <c r="Q1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12" s="66" t="n">
        <v>16</v>
      </c>
      <c r="S12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12" s="66" t="n">
        <v>31</v>
      </c>
      <c r="U1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12" s="66" t="n">
        <v>19</v>
      </c>
      <c r="W1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12" s="66" t="n">
        <v>24</v>
      </c>
      <c r="Y1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13">
      <c r="A13" s="65" t="inlineStr">
        <is>
          <t>X908934137024</t>
        </is>
      </c>
      <c r="B13" s="65" t="inlineStr">
        <is>
          <t>Clarke</t>
        </is>
      </c>
      <c r="C13" s="65" t="inlineStr">
        <is>
          <t>Sami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90.5</v>
      </c>
      <c r="H13" s="34" t="n">
        <v>91</v>
      </c>
      <c r="I13" s="67">
        <f>IF(ISNUMBER(tblY11[[#This Row],[Avg KS2]]),IFERROR(VLOOKUP(STANDARDIZE(tblY11[[#This Row],[Avg KS2]],AVERAGE(tblY11[[Avg KS2]]),_xlfn.STDEV.P(tblY11[[Avg KS2]])),_Stanine,2),5),"")</f>
        <v>1</v>
      </c>
      <c r="J13" s="66" t="inlineStr">
        <is>
          <t>11S/Sc4</t>
        </is>
      </c>
      <c r="K13" s="67">
        <f>IF(tblY11[[#This Row],[Preferred Last name]]="","",COUNTIFS($N$1:$ZZ$1,"*"&amp;CHAR(10)&amp;"Stanine",$N13:$ZZ13,"&gt;=1"))</f>
        <v>6</v>
      </c>
      <c r="L13" s="68">
        <f>IFERROR(AVERAGEIF($N$1:$ZZ$1,"*"&amp;CHAR(10)&amp;"Stanine",$N13:$ZZ13),"")</f>
        <v>1</v>
      </c>
      <c r="M13" s="69">
        <f>IF(AND(ISNUMBER(tblY11[[#This Row],[Mean Stanine]]),ISNUMBER(tblY11[[#This Row],[Avg KS2 Band]])),tblY11[[#This Row],[Mean Stanine]]-tblY11[[#This Row],[Avg KS2 Band]],"")</f>
        <v>0</v>
      </c>
      <c r="N13" s="66" t="n">
        <v>3</v>
      </c>
      <c r="O1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1</v>
      </c>
      <c r="P13" s="66" t="n">
        <v>2</v>
      </c>
      <c r="Q1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1</v>
      </c>
      <c r="R13" s="66" t="n">
        <v>3</v>
      </c>
      <c r="S13" s="67">
        <f>IF(ISNUMBER(tblY11[[#This Row],[4P06 - Waves
Raw Score]]),IFERROR(VLOOKUP(STANDARDIZE(tblY11[[#This Row],[4P06 - Waves
Raw Score]],AVERAGE(tblY11[[4P06 - Waves
Raw Score]]),_xlfn.STDEV.P(tblY11[[4P06 - Waves
Raw Score]])),_Stanine,2),5),"")</f>
        <v>1</v>
      </c>
      <c r="T13" s="66" t="n">
        <v>4</v>
      </c>
      <c r="U1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1</v>
      </c>
      <c r="V13" s="66" t="n">
        <v>2</v>
      </c>
      <c r="W1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1</v>
      </c>
      <c r="X13" s="66" t="n">
        <v>1</v>
      </c>
      <c r="Y1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1</v>
      </c>
    </row>
    <row r="14">
      <c r="A14" s="65" t="inlineStr">
        <is>
          <t>X900681558360</t>
        </is>
      </c>
      <c r="B14" s="65" t="inlineStr">
        <is>
          <t>Cooper</t>
        </is>
      </c>
      <c r="C14" s="65" t="inlineStr">
        <is>
          <t>Isla</t>
        </is>
      </c>
      <c r="D14" s="66" t="inlineStr">
        <is>
          <t>F</t>
        </is>
      </c>
      <c r="E14" s="66" t="n"/>
      <c r="F14" s="66" t="inlineStr">
        <is>
          <t>N</t>
        </is>
      </c>
      <c r="G14" s="34" t="n">
        <v>93.59999999999999</v>
      </c>
      <c r="H14" s="34" t="n">
        <v>92.5</v>
      </c>
      <c r="I14" s="67">
        <f>IF(ISNUMBER(tblY11[[#This Row],[Avg KS2]]),IFERROR(VLOOKUP(STANDARDIZE(tblY11[[#This Row],[Avg KS2]],AVERAGE(tblY11[[Avg KS2]]),_xlfn.STDEV.P(tblY11[[Avg KS2]])),_Stanine,2),5),"")</f>
        <v>1</v>
      </c>
      <c r="J14" s="66" t="inlineStr">
        <is>
          <t>Science Support</t>
        </is>
      </c>
      <c r="K14" s="67">
        <f>IF(tblY11[[#This Row],[Preferred Last name]]="","",COUNTIFS($N$1:$ZZ$1,"*"&amp;CHAR(10)&amp;"Stanine",$N14:$ZZ14,"&gt;=1"))</f>
        <v>6</v>
      </c>
      <c r="L14" s="68">
        <f>IFERROR(AVERAGEIF($N$1:$ZZ$1,"*"&amp;CHAR(10)&amp;"Stanine",$N14:$ZZ14),"")</f>
        <v>1.16666666666667</v>
      </c>
      <c r="M14" s="69">
        <f>IF(AND(ISNUMBER(tblY11[[#This Row],[Mean Stanine]]),ISNUMBER(tblY11[[#This Row],[Avg KS2 Band]])),tblY11[[#This Row],[Mean Stanine]]-tblY11[[#This Row],[Avg KS2 Band]],"")</f>
        <v>0.166666666666667</v>
      </c>
      <c r="N14" s="66" t="n">
        <v>6</v>
      </c>
      <c r="O1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1</v>
      </c>
      <c r="P14" s="66" t="n">
        <v>4</v>
      </c>
      <c r="Q1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1</v>
      </c>
      <c r="R14" s="66" t="n">
        <v>3</v>
      </c>
      <c r="S14" s="67">
        <f>IF(ISNUMBER(tblY11[[#This Row],[4P06 - Waves
Raw Score]]),IFERROR(VLOOKUP(STANDARDIZE(tblY11[[#This Row],[4P06 - Waves
Raw Score]],AVERAGE(tblY11[[4P06 - Waves
Raw Score]]),_xlfn.STDEV.P(tblY11[[4P06 - Waves
Raw Score]])),_Stanine,2),5),"")</f>
        <v>1</v>
      </c>
      <c r="T14" s="66" t="n">
        <v>5</v>
      </c>
      <c r="U1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1</v>
      </c>
      <c r="V14" s="66" t="n">
        <v>2</v>
      </c>
      <c r="W1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1</v>
      </c>
      <c r="X14" s="66" t="n">
        <v>2</v>
      </c>
      <c r="Y1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15">
      <c r="A15" s="65" t="inlineStr">
        <is>
          <t>X906173579528</t>
        </is>
      </c>
      <c r="B15" s="65" t="inlineStr">
        <is>
          <t>Cooper</t>
        </is>
      </c>
      <c r="C15" s="65" t="inlineStr">
        <is>
          <t>Rhys</t>
        </is>
      </c>
      <c r="D15" s="66" t="inlineStr">
        <is>
          <t>M</t>
        </is>
      </c>
      <c r="E15" s="66" t="inlineStr">
        <is>
          <t>N</t>
        </is>
      </c>
      <c r="F15" s="66" t="inlineStr">
        <is>
          <t>N</t>
        </is>
      </c>
      <c r="G15" s="34" t="n">
        <v>85.09999999999999</v>
      </c>
      <c r="H15" s="34" t="n">
        <v>101</v>
      </c>
      <c r="I15" s="67">
        <f>IF(ISNUMBER(tblY11[[#This Row],[Avg KS2]]),IFERROR(VLOOKUP(STANDARDIZE(tblY11[[#This Row],[Avg KS2]],AVERAGE(tblY11[[Avg KS2]]),_xlfn.STDEV.P(tblY11[[Avg KS2]])),_Stanine,2),5),"")</f>
        <v>4</v>
      </c>
      <c r="J15" s="66" t="inlineStr">
        <is>
          <t>11S/Sc5</t>
        </is>
      </c>
      <c r="K15" s="67">
        <f>IF(tblY11[[#This Row],[Preferred Last name]]="","",COUNTIFS($N$1:$ZZ$1,"*"&amp;CHAR(10)&amp;"Stanine",$N15:$ZZ15,"&gt;=1"))</f>
        <v>6</v>
      </c>
      <c r="L15" s="68">
        <f>IFERROR(AVERAGEIF($N$1:$ZZ$1,"*"&amp;CHAR(10)&amp;"Stanine",$N15:$ZZ15),"")</f>
        <v>2.66666666666667</v>
      </c>
      <c r="M15" s="69">
        <f>IF(AND(ISNUMBER(tblY11[[#This Row],[Mean Stanine]]),ISNUMBER(tblY11[[#This Row],[Avg KS2 Band]])),tblY11[[#This Row],[Mean Stanine]]-tblY11[[#This Row],[Avg KS2 Band]],"")</f>
        <v>-1.33333333333333</v>
      </c>
      <c r="N15" s="66" t="n">
        <v>15</v>
      </c>
      <c r="O1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15" s="66" t="n">
        <v>15</v>
      </c>
      <c r="Q1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15" s="66" t="n">
        <v>7</v>
      </c>
      <c r="S15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15" s="66" t="n">
        <v>12</v>
      </c>
      <c r="U1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15" s="66" t="n">
        <v>8</v>
      </c>
      <c r="W1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15" s="66" t="n">
        <v>4</v>
      </c>
      <c r="Y1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16">
      <c r="A16" s="65" t="inlineStr">
        <is>
          <t>X904732208163</t>
        </is>
      </c>
      <c r="B16" s="65" t="inlineStr">
        <is>
          <t>Edwards</t>
        </is>
      </c>
      <c r="C16" s="65" t="inlineStr">
        <is>
          <t>Sophie</t>
        </is>
      </c>
      <c r="D16" s="66" t="inlineStr">
        <is>
          <t>M</t>
        </is>
      </c>
      <c r="E16" s="66" t="inlineStr">
        <is>
          <t>E</t>
        </is>
      </c>
      <c r="F16" s="66" t="inlineStr">
        <is>
          <t>Y</t>
        </is>
      </c>
      <c r="G16" s="34" t="n">
        <v>92.09999999999999</v>
      </c>
      <c r="H16" s="34" t="n">
        <v>109</v>
      </c>
      <c r="I16" s="67">
        <f>IF(ISNUMBER(tblY11[[#This Row],[Avg KS2]]),IFERROR(VLOOKUP(STANDARDIZE(tblY11[[#This Row],[Avg KS2]],AVERAGE(tblY11[[Avg KS2]]),_xlfn.STDEV.P(tblY11[[Avg KS2]])),_Stanine,2),5),"")</f>
        <v>6</v>
      </c>
      <c r="J16" s="66" t="inlineStr">
        <is>
          <t>11S/Sc2</t>
        </is>
      </c>
      <c r="K16" s="67">
        <f>IF(tblY11[[#This Row],[Preferred Last name]]="","",COUNTIFS($N$1:$ZZ$1,"*"&amp;CHAR(10)&amp;"Stanine",$N16:$ZZ16,"&gt;=1"))</f>
        <v>5</v>
      </c>
      <c r="L16" s="68">
        <f>IFERROR(AVERAGEIF($N$1:$ZZ$1,"*"&amp;CHAR(10)&amp;"Stanine",$N16:$ZZ16),"")</f>
        <v>6.2</v>
      </c>
      <c r="M16" s="69">
        <f>IF(AND(ISNUMBER(tblY11[[#This Row],[Mean Stanine]]),ISNUMBER(tblY11[[#This Row],[Avg KS2 Band]])),tblY11[[#This Row],[Mean Stanine]]-tblY11[[#This Row],[Avg KS2 Band]],"")</f>
        <v>0.2</v>
      </c>
      <c r="N16" s="66" t="n">
        <v>31</v>
      </c>
      <c r="O1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16" s="66" t="n">
        <v>24</v>
      </c>
      <c r="Q1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16" s="66" t="n">
        <v>21</v>
      </c>
      <c r="S16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16" s="66" t="inlineStr">
        <is>
          <t>A</t>
        </is>
      </c>
      <c r="U16" s="67" t="str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/>
      </c>
      <c r="V16" s="66" t="n">
        <v>16</v>
      </c>
      <c r="W1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16" s="66" t="n">
        <v>21</v>
      </c>
      <c r="Y1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17">
      <c r="A17" s="65" t="inlineStr">
        <is>
          <t>X905043228100</t>
        </is>
      </c>
      <c r="B17" s="65" t="inlineStr">
        <is>
          <t>Evans</t>
        </is>
      </c>
      <c r="C17" s="65" t="inlineStr">
        <is>
          <t>Ava</t>
        </is>
      </c>
      <c r="D17" s="66" t="inlineStr">
        <is>
          <t>F</t>
        </is>
      </c>
      <c r="E17" s="66" t="n"/>
      <c r="F17" s="66" t="inlineStr">
        <is>
          <t>Y</t>
        </is>
      </c>
      <c r="G17" s="34" t="n">
        <v>94</v>
      </c>
      <c r="H17" s="34" t="n">
        <v>111</v>
      </c>
      <c r="I17" s="67">
        <f>IF(ISNUMBER(tblY11[[#This Row],[Avg KS2]]),IFERROR(VLOOKUP(STANDARDIZE(tblY11[[#This Row],[Avg KS2]],AVERAGE(tblY11[[Avg KS2]]),_xlfn.STDEV.P(tblY11[[Avg KS2]])),_Stanine,2),5),"")</f>
        <v>7</v>
      </c>
      <c r="J17" s="66" t="inlineStr">
        <is>
          <t>11S/Sc2</t>
        </is>
      </c>
      <c r="K17" s="67">
        <f>IF(tblY11[[#This Row],[Preferred Last name]]="","",COUNTIFS($N$1:$ZZ$1,"*"&amp;CHAR(10)&amp;"Stanine",$N17:$ZZ17,"&gt;=1"))</f>
        <v>6</v>
      </c>
      <c r="L17" s="68">
        <f>IFERROR(AVERAGEIF($N$1:$ZZ$1,"*"&amp;CHAR(10)&amp;"Stanine",$N17:$ZZ17),"")</f>
        <v>7.33333333333333</v>
      </c>
      <c r="M17" s="69">
        <f>IF(AND(ISNUMBER(tblY11[[#This Row],[Mean Stanine]]),ISNUMBER(tblY11[[#This Row],[Avg KS2 Band]])),tblY11[[#This Row],[Mean Stanine]]-tblY11[[#This Row],[Avg KS2 Band]],"")</f>
        <v>0.333333333333333</v>
      </c>
      <c r="N17" s="66" t="n">
        <v>32</v>
      </c>
      <c r="O1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17" s="66" t="n">
        <v>29</v>
      </c>
      <c r="Q1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17" s="66" t="n">
        <v>26</v>
      </c>
      <c r="S17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17" s="66" t="n">
        <v>37</v>
      </c>
      <c r="U1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17" s="66" t="n">
        <v>25</v>
      </c>
      <c r="W1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17" s="66" t="n">
        <v>26</v>
      </c>
      <c r="Y1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18">
      <c r="A18" s="65" t="inlineStr">
        <is>
          <t>X909472989535</t>
        </is>
      </c>
      <c r="B18" s="65" t="inlineStr">
        <is>
          <t>Evans</t>
        </is>
      </c>
      <c r="C18" s="65" t="inlineStr">
        <is>
          <t>Ibrahim</t>
        </is>
      </c>
      <c r="D18" s="66" t="inlineStr">
        <is>
          <t>M</t>
        </is>
      </c>
      <c r="E18" s="66" t="n"/>
      <c r="F18" s="66" t="inlineStr">
        <is>
          <t>Y</t>
        </is>
      </c>
      <c r="G18" s="34" t="n">
        <v>89.5</v>
      </c>
      <c r="H18" s="34" t="n">
        <v>105.5</v>
      </c>
      <c r="I18" s="67">
        <f>IF(ISNUMBER(tblY11[[#This Row],[Avg KS2]]),IFERROR(VLOOKUP(STANDARDIZE(tblY11[[#This Row],[Avg KS2]],AVERAGE(tblY11[[Avg KS2]]),_xlfn.STDEV.P(tblY11[[Avg KS2]])),_Stanine,2),5),"")</f>
        <v>5</v>
      </c>
      <c r="J18" s="66" t="inlineStr">
        <is>
          <t>11S/Sc4</t>
        </is>
      </c>
      <c r="K18" s="67">
        <f>IF(tblY11[[#This Row],[Preferred Last name]]="","",COUNTIFS($N$1:$ZZ$1,"*"&amp;CHAR(10)&amp;"Stanine",$N18:$ZZ18,"&gt;=1"))</f>
        <v>5</v>
      </c>
      <c r="L18" s="68">
        <f>IFERROR(AVERAGEIF($N$1:$ZZ$1,"*"&amp;CHAR(10)&amp;"Stanine",$N18:$ZZ18),"")</f>
        <v>4.8</v>
      </c>
      <c r="M18" s="69">
        <f>IF(AND(ISNUMBER(tblY11[[#This Row],[Mean Stanine]]),ISNUMBER(tblY11[[#This Row],[Avg KS2 Band]])),tblY11[[#This Row],[Mean Stanine]]-tblY11[[#This Row],[Avg KS2 Band]],"")</f>
        <v>-0.2</v>
      </c>
      <c r="N18" s="66" t="inlineStr">
        <is>
          <t>A</t>
        </is>
      </c>
      <c r="O18" s="67" t="str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/>
      </c>
      <c r="P18" s="66" t="n">
        <v>21</v>
      </c>
      <c r="Q1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18" s="66" t="n">
        <v>14</v>
      </c>
      <c r="S18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18" s="66" t="n">
        <v>27</v>
      </c>
      <c r="U1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18" s="66" t="n">
        <v>16</v>
      </c>
      <c r="W1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18" s="66" t="n">
        <v>15</v>
      </c>
      <c r="Y1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19">
      <c r="A19" s="65" t="inlineStr">
        <is>
          <t>X904692770499</t>
        </is>
      </c>
      <c r="B19" s="65" t="inlineStr">
        <is>
          <t>Fletcher</t>
        </is>
      </c>
      <c r="C19" s="65" t="inlineStr">
        <is>
          <t>Arthur</t>
        </is>
      </c>
      <c r="D19" s="66" t="inlineStr">
        <is>
          <t>M</t>
        </is>
      </c>
      <c r="E19" s="66" t="n"/>
      <c r="F19" s="66" t="inlineStr">
        <is>
          <t>N</t>
        </is>
      </c>
      <c r="G19" s="34" t="n">
        <v>90.90000000000001</v>
      </c>
      <c r="H19" s="34" t="n">
        <v>104.5</v>
      </c>
      <c r="I19" s="67">
        <f>IF(ISNUMBER(tblY11[[#This Row],[Avg KS2]]),IFERROR(VLOOKUP(STANDARDIZE(tblY11[[#This Row],[Avg KS2]],AVERAGE(tblY11[[Avg KS2]]),_xlfn.STDEV.P(tblY11[[Avg KS2]])),_Stanine,2),5),"")</f>
        <v>5</v>
      </c>
      <c r="J19" s="66" t="inlineStr">
        <is>
          <t>11S/Sc2</t>
        </is>
      </c>
      <c r="K19" s="67">
        <f>IF(tblY11[[#This Row],[Preferred Last name]]="","",COUNTIFS($N$1:$ZZ$1,"*"&amp;CHAR(10)&amp;"Stanine",$N19:$ZZ19,"&gt;=1"))</f>
        <v>6</v>
      </c>
      <c r="L19" s="68">
        <f>IFERROR(AVERAGEIF($N$1:$ZZ$1,"*"&amp;CHAR(10)&amp;"Stanine",$N19:$ZZ19),"")</f>
        <v>4.5</v>
      </c>
      <c r="M19" s="69">
        <f>IF(AND(ISNUMBER(tblY11[[#This Row],[Mean Stanine]]),ISNUMBER(tblY11[[#This Row],[Avg KS2 Band]])),tblY11[[#This Row],[Mean Stanine]]-tblY11[[#This Row],[Avg KS2 Band]],"")</f>
        <v>-0.5</v>
      </c>
      <c r="N19" s="66" t="n">
        <v>22</v>
      </c>
      <c r="O1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19" s="66" t="n">
        <v>17</v>
      </c>
      <c r="Q1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19" s="66" t="n">
        <v>18</v>
      </c>
      <c r="S19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19" s="66" t="n">
        <v>28</v>
      </c>
      <c r="U1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19" s="66" t="n">
        <v>11</v>
      </c>
      <c r="W1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19" s="66" t="n">
        <v>10</v>
      </c>
      <c r="Y1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20">
      <c r="A20" s="65" t="inlineStr">
        <is>
          <t>X908213090787</t>
        </is>
      </c>
      <c r="B20" s="65" t="inlineStr">
        <is>
          <t>Fletcher</t>
        </is>
      </c>
      <c r="C20" s="65" t="inlineStr">
        <is>
          <t>Leo</t>
        </is>
      </c>
      <c r="D20" s="66" t="inlineStr">
        <is>
          <t>M</t>
        </is>
      </c>
      <c r="E20" s="66" t="inlineStr">
        <is>
          <t>N</t>
        </is>
      </c>
      <c r="F20" s="66" t="inlineStr">
        <is>
          <t>N</t>
        </is>
      </c>
      <c r="G20" s="34" t="n">
        <v>85.40000000000001</v>
      </c>
      <c r="H20" s="34" t="n">
        <v>100</v>
      </c>
      <c r="I20" s="67">
        <f>IF(ISNUMBER(tblY11[[#This Row],[Avg KS2]]),IFERROR(VLOOKUP(STANDARDIZE(tblY11[[#This Row],[Avg KS2]],AVERAGE(tblY11[[Avg KS2]]),_xlfn.STDEV.P(tblY11[[Avg KS2]])),_Stanine,2),5),"")</f>
        <v>3</v>
      </c>
      <c r="J20" s="66" t="inlineStr">
        <is>
          <t>11S/Sc3</t>
        </is>
      </c>
      <c r="K20" s="67">
        <f>IF(tblY11[[#This Row],[Preferred Last name]]="","",COUNTIFS($N$1:$ZZ$1,"*"&amp;CHAR(10)&amp;"Stanine",$N20:$ZZ20,"&gt;=1"))</f>
        <v>6</v>
      </c>
      <c r="L20" s="68">
        <f>IFERROR(AVERAGEIF($N$1:$ZZ$1,"*"&amp;CHAR(10)&amp;"Stanine",$N20:$ZZ20),"")</f>
        <v>3.5</v>
      </c>
      <c r="M20" s="69">
        <f>IF(AND(ISNUMBER(tblY11[[#This Row],[Mean Stanine]]),ISNUMBER(tblY11[[#This Row],[Avg KS2 Band]])),tblY11[[#This Row],[Mean Stanine]]-tblY11[[#This Row],[Avg KS2 Band]],"")</f>
        <v>0.5</v>
      </c>
      <c r="N20" s="66" t="n">
        <v>12</v>
      </c>
      <c r="O2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20" s="66" t="n">
        <v>11</v>
      </c>
      <c r="Q2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20" s="66" t="n">
        <v>15</v>
      </c>
      <c r="S20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20" s="66" t="n">
        <v>16</v>
      </c>
      <c r="U2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20" s="66" t="n">
        <v>11</v>
      </c>
      <c r="W2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20" s="66" t="n">
        <v>10</v>
      </c>
      <c r="Y2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21">
      <c r="A21" s="65" t="inlineStr">
        <is>
          <t>X909950118680</t>
        </is>
      </c>
      <c r="B21" s="65" t="inlineStr">
        <is>
          <t>Green</t>
        </is>
      </c>
      <c r="C21" s="65" t="inlineStr">
        <is>
          <t>Amara</t>
        </is>
      </c>
      <c r="D21" s="66" t="inlineStr">
        <is>
          <t>F</t>
        </is>
      </c>
      <c r="E21" s="66" t="inlineStr">
        <is>
          <t>N</t>
        </is>
      </c>
      <c r="F21" s="66" t="inlineStr">
        <is>
          <t>N</t>
        </is>
      </c>
      <c r="G21" s="34" t="n">
        <v>94.8</v>
      </c>
      <c r="H21" s="34" t="n">
        <v>108.5</v>
      </c>
      <c r="I21" s="67">
        <f>IF(ISNUMBER(tblY11[[#This Row],[Avg KS2]]),IFERROR(VLOOKUP(STANDARDIZE(tblY11[[#This Row],[Avg KS2]],AVERAGE(tblY11[[Avg KS2]]),_xlfn.STDEV.P(tblY11[[Avg KS2]])),_Stanine,2),5),"")</f>
        <v>6</v>
      </c>
      <c r="J21" s="66" t="inlineStr">
        <is>
          <t>11S/Sc2</t>
        </is>
      </c>
      <c r="K21" s="67">
        <f>IF(tblY11[[#This Row],[Preferred Last name]]="","",COUNTIFS($N$1:$ZZ$1,"*"&amp;CHAR(10)&amp;"Stanine",$N21:$ZZ21,"&gt;=1"))</f>
        <v>5</v>
      </c>
      <c r="L21" s="68">
        <f>IFERROR(AVERAGEIF($N$1:$ZZ$1,"*"&amp;CHAR(10)&amp;"Stanine",$N21:$ZZ21),"")</f>
        <v>6.8</v>
      </c>
      <c r="M21" s="69">
        <f>IF(AND(ISNUMBER(tblY11[[#This Row],[Mean Stanine]]),ISNUMBER(tblY11[[#This Row],[Avg KS2 Band]])),tblY11[[#This Row],[Mean Stanine]]-tblY11[[#This Row],[Avg KS2 Band]],"")</f>
        <v>0.8</v>
      </c>
      <c r="N21" s="66" t="n">
        <v>32</v>
      </c>
      <c r="O2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21" s="66" t="n">
        <v>25</v>
      </c>
      <c r="Q2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21" s="66" t="inlineStr">
        <is>
          <t>A</t>
        </is>
      </c>
      <c r="S21" s="67" t="str">
        <f>IF(ISNUMBER(tblY11[[#This Row],[4P06 - Waves
Raw Score]]),IFERROR(VLOOKUP(STANDARDIZE(tblY11[[#This Row],[4P06 - Waves
Raw Score]],AVERAGE(tblY11[[4P06 - Waves
Raw Score]]),_xlfn.STDEV.P(tblY11[[4P06 - Waves
Raw Score]])),_Stanine,2),5),"")</f>
        <v/>
      </c>
      <c r="T21" s="66" t="n">
        <v>36</v>
      </c>
      <c r="U2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21" s="66" t="n">
        <v>23</v>
      </c>
      <c r="W2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21" s="66" t="n">
        <v>23</v>
      </c>
      <c r="Y2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22">
      <c r="A22" s="65" t="inlineStr">
        <is>
          <t>X909807962966</t>
        </is>
      </c>
      <c r="B22" s="65" t="inlineStr">
        <is>
          <t>Green</t>
        </is>
      </c>
      <c r="C22" s="65" t="inlineStr">
        <is>
          <t>Arjun</t>
        </is>
      </c>
      <c r="D22" s="66" t="inlineStr">
        <is>
          <t>F</t>
        </is>
      </c>
      <c r="E22" s="66" t="n"/>
      <c r="F22" s="66" t="inlineStr">
        <is>
          <t>N</t>
        </is>
      </c>
      <c r="G22" s="34" t="n">
        <v>86.59999999999999</v>
      </c>
      <c r="H22" s="34" t="n">
        <v>109</v>
      </c>
      <c r="I22" s="67">
        <f>IF(ISNUMBER(tblY11[[#This Row],[Avg KS2]]),IFERROR(VLOOKUP(STANDARDIZE(tblY11[[#This Row],[Avg KS2]],AVERAGE(tblY11[[Avg KS2]]),_xlfn.STDEV.P(tblY11[[Avg KS2]])),_Stanine,2),5),"")</f>
        <v>6</v>
      </c>
      <c r="J22" s="66" t="inlineStr">
        <is>
          <t>11S/Sc1</t>
        </is>
      </c>
      <c r="K22" s="67">
        <f>IF(tblY11[[#This Row],[Preferred Last name]]="","",COUNTIFS($N$1:$ZZ$1,"*"&amp;CHAR(10)&amp;"Stanine",$N22:$ZZ22,"&gt;=1"))</f>
        <v>6</v>
      </c>
      <c r="L22" s="68">
        <f>IFERROR(AVERAGEIF($N$1:$ZZ$1,"*"&amp;CHAR(10)&amp;"Stanine",$N22:$ZZ22),"")</f>
        <v>6.33333333333333</v>
      </c>
      <c r="M22" s="69">
        <f>IF(AND(ISNUMBER(tblY11[[#This Row],[Mean Stanine]]),ISNUMBER(tblY11[[#This Row],[Avg KS2 Band]])),tblY11[[#This Row],[Mean Stanine]]-tblY11[[#This Row],[Avg KS2 Band]],"")</f>
        <v>0.333333333333333</v>
      </c>
      <c r="N22" s="66" t="n">
        <v>29</v>
      </c>
      <c r="O2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22" s="66" t="n">
        <v>22</v>
      </c>
      <c r="Q2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22" s="66" t="n">
        <v>25</v>
      </c>
      <c r="S22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22" s="66" t="n">
        <v>33</v>
      </c>
      <c r="U2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22" s="66" t="n">
        <v>22</v>
      </c>
      <c r="W2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22" s="66" t="n">
        <v>19</v>
      </c>
      <c r="Y2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23">
      <c r="A23" s="65" t="inlineStr">
        <is>
          <t>X909129006222</t>
        </is>
      </c>
      <c r="B23" s="65" t="inlineStr">
        <is>
          <t>Green</t>
        </is>
      </c>
      <c r="C23" s="65" t="inlineStr">
        <is>
          <t>Ella</t>
        </is>
      </c>
      <c r="D23" s="66" t="inlineStr">
        <is>
          <t>M</t>
        </is>
      </c>
      <c r="E23" s="66" t="inlineStr">
        <is>
          <t>N</t>
        </is>
      </c>
      <c r="F23" s="66" t="inlineStr">
        <is>
          <t>N</t>
        </is>
      </c>
      <c r="G23" s="34" t="n">
        <v>98.09999999999999</v>
      </c>
      <c r="H23" s="34" t="n">
        <v>105</v>
      </c>
      <c r="I23" s="67">
        <f>IF(ISNUMBER(tblY11[[#This Row],[Avg KS2]]),IFERROR(VLOOKUP(STANDARDIZE(tblY11[[#This Row],[Avg KS2]],AVERAGE(tblY11[[Avg KS2]]),_xlfn.STDEV.P(tblY11[[Avg KS2]])),_Stanine,2),5),"")</f>
        <v>5</v>
      </c>
      <c r="J23" s="66" t="inlineStr">
        <is>
          <t>11S/Sc2</t>
        </is>
      </c>
      <c r="K23" s="67">
        <f>IF(tblY11[[#This Row],[Preferred Last name]]="","",COUNTIFS($N$1:$ZZ$1,"*"&amp;CHAR(10)&amp;"Stanine",$N23:$ZZ23,"&gt;=1"))</f>
        <v>5</v>
      </c>
      <c r="L23" s="68">
        <f>IFERROR(AVERAGEIF($N$1:$ZZ$1,"*"&amp;CHAR(10)&amp;"Stanine",$N23:$ZZ23),"")</f>
        <v>6.6</v>
      </c>
      <c r="M23" s="69">
        <f>IF(AND(ISNUMBER(tblY11[[#This Row],[Mean Stanine]]),ISNUMBER(tblY11[[#This Row],[Avg KS2 Band]])),tblY11[[#This Row],[Mean Stanine]]-tblY11[[#This Row],[Avg KS2 Band]],"")</f>
        <v>1.6</v>
      </c>
      <c r="N23" s="66" t="n">
        <v>31</v>
      </c>
      <c r="O2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23" s="66" t="n">
        <v>28</v>
      </c>
      <c r="Q2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23" s="66" t="n">
        <v>24</v>
      </c>
      <c r="S23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23" s="66" t="n">
        <v>32</v>
      </c>
      <c r="U2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23" s="66" t="n">
        <v>19</v>
      </c>
      <c r="W2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23" s="66" t="inlineStr">
        <is>
          <t>A</t>
        </is>
      </c>
      <c r="Y23" s="67" t="str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/>
      </c>
    </row>
    <row r="24">
      <c r="A24" s="65" t="inlineStr">
        <is>
          <t>X903475152313</t>
        </is>
      </c>
      <c r="B24" s="65" t="inlineStr">
        <is>
          <t>Griffiths</t>
        </is>
      </c>
      <c r="C24" s="65" t="inlineStr">
        <is>
          <t>Alfie</t>
        </is>
      </c>
      <c r="D24" s="66" t="inlineStr">
        <is>
          <t>F</t>
        </is>
      </c>
      <c r="E24" s="66" t="n"/>
      <c r="F24" s="66" t="inlineStr">
        <is>
          <t>N</t>
        </is>
      </c>
      <c r="G24" s="34" t="n">
        <v>90.59999999999999</v>
      </c>
      <c r="H24" s="34" t="n">
        <v>98</v>
      </c>
      <c r="I24" s="67">
        <f>IF(ISNUMBER(tblY11[[#This Row],[Avg KS2]]),IFERROR(VLOOKUP(STANDARDIZE(tblY11[[#This Row],[Avg KS2]],AVERAGE(tblY11[[Avg KS2]]),_xlfn.STDEV.P(tblY11[[Avg KS2]])),_Stanine,2),5),"")</f>
        <v>3</v>
      </c>
      <c r="J24" s="66" t="inlineStr">
        <is>
          <t>11S/Sc3</t>
        </is>
      </c>
      <c r="K24" s="67">
        <f>IF(tblY11[[#This Row],[Preferred Last name]]="","",COUNTIFS($N$1:$ZZ$1,"*"&amp;CHAR(10)&amp;"Stanine",$N24:$ZZ24,"&gt;=1"))</f>
        <v>6</v>
      </c>
      <c r="L24" s="68">
        <f>IFERROR(AVERAGEIF($N$1:$ZZ$1,"*"&amp;CHAR(10)&amp;"Stanine",$N24:$ZZ24),"")</f>
        <v>3.16666666666667</v>
      </c>
      <c r="M24" s="69">
        <f>IF(AND(ISNUMBER(tblY11[[#This Row],[Mean Stanine]]),ISNUMBER(tblY11[[#This Row],[Avg KS2 Band]])),tblY11[[#This Row],[Mean Stanine]]-tblY11[[#This Row],[Avg KS2 Band]],"")</f>
        <v>0.166666666666667</v>
      </c>
      <c r="N24" s="66" t="n">
        <v>13</v>
      </c>
      <c r="O2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24" s="66" t="n">
        <v>7</v>
      </c>
      <c r="Q2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24" s="66" t="n">
        <v>15</v>
      </c>
      <c r="S24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24" s="66" t="n">
        <v>23</v>
      </c>
      <c r="U2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24" s="66" t="n">
        <v>5</v>
      </c>
      <c r="W2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24" s="66" t="n">
        <v>11</v>
      </c>
      <c r="Y2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25">
      <c r="A25" s="65" t="inlineStr">
        <is>
          <t>X903696086711</t>
        </is>
      </c>
      <c r="B25" s="65" t="inlineStr">
        <is>
          <t>Hall</t>
        </is>
      </c>
      <c r="C25" s="65" t="inlineStr">
        <is>
          <t>Evie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Y</t>
        </is>
      </c>
      <c r="G25" s="34" t="n">
        <v>91.90000000000001</v>
      </c>
      <c r="H25" s="34" t="n">
        <v>99.5</v>
      </c>
      <c r="I25" s="67">
        <f>IF(ISNUMBER(tblY11[[#This Row],[Avg KS2]]),IFERROR(VLOOKUP(STANDARDIZE(tblY11[[#This Row],[Avg KS2]],AVERAGE(tblY11[[Avg KS2]]),_xlfn.STDEV.P(tblY11[[Avg KS2]])),_Stanine,2),5),"")</f>
        <v>3</v>
      </c>
      <c r="J25" s="66" t="inlineStr">
        <is>
          <t>11S/Sc5</t>
        </is>
      </c>
      <c r="K25" s="67">
        <f>IF(tblY11[[#This Row],[Preferred Last name]]="","",COUNTIFS($N$1:$ZZ$1,"*"&amp;CHAR(10)&amp;"Stanine",$N25:$ZZ25,"&gt;=1"))</f>
        <v>6</v>
      </c>
      <c r="L25" s="68">
        <f>IFERROR(AVERAGEIF($N$1:$ZZ$1,"*"&amp;CHAR(10)&amp;"Stanine",$N25:$ZZ25),"")</f>
        <v>3.5</v>
      </c>
      <c r="M25" s="69">
        <f>IF(AND(ISNUMBER(tblY11[[#This Row],[Mean Stanine]]),ISNUMBER(tblY11[[#This Row],[Avg KS2 Band]])),tblY11[[#This Row],[Mean Stanine]]-tblY11[[#This Row],[Avg KS2 Band]],"")</f>
        <v>0.5</v>
      </c>
      <c r="N25" s="66" t="n">
        <v>15</v>
      </c>
      <c r="O2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25" s="66" t="n">
        <v>15</v>
      </c>
      <c r="Q2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25" s="66" t="n">
        <v>14</v>
      </c>
      <c r="S25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25" s="66" t="n">
        <v>21</v>
      </c>
      <c r="U2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25" s="66" t="n">
        <v>7</v>
      </c>
      <c r="W2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25" s="66" t="n">
        <v>8</v>
      </c>
      <c r="Y2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26">
      <c r="A26" s="65" t="inlineStr">
        <is>
          <t>X909647789902</t>
        </is>
      </c>
      <c r="B26" s="65" t="inlineStr">
        <is>
          <t>Hall</t>
        </is>
      </c>
      <c r="C26" s="65" t="inlineStr">
        <is>
          <t>Isla</t>
        </is>
      </c>
      <c r="D26" s="66" t="inlineStr">
        <is>
          <t>M</t>
        </is>
      </c>
      <c r="E26" s="66" t="inlineStr">
        <is>
          <t>N</t>
        </is>
      </c>
      <c r="F26" s="66" t="inlineStr">
        <is>
          <t>Y</t>
        </is>
      </c>
      <c r="G26" s="34" t="n">
        <v>92.90000000000001</v>
      </c>
      <c r="H26" s="34" t="n">
        <v>104</v>
      </c>
      <c r="I26" s="67">
        <f>IF(ISNUMBER(tblY11[[#This Row],[Avg KS2]]),IFERROR(VLOOKUP(STANDARDIZE(tblY11[[#This Row],[Avg KS2]],AVERAGE(tblY11[[Avg KS2]]),_xlfn.STDEV.P(tblY11[[Avg KS2]])),_Stanine,2),5),"")</f>
        <v>5</v>
      </c>
      <c r="J26" s="66" t="inlineStr">
        <is>
          <t>11S/Sc2</t>
        </is>
      </c>
      <c r="K26" s="67">
        <f>IF(tblY11[[#This Row],[Preferred Last name]]="","",COUNTIFS($N$1:$ZZ$1,"*"&amp;CHAR(10)&amp;"Stanine",$N26:$ZZ26,"&gt;=1"))</f>
        <v>6</v>
      </c>
      <c r="L26" s="68">
        <f>IFERROR(AVERAGEIF($N$1:$ZZ$1,"*"&amp;CHAR(10)&amp;"Stanine",$N26:$ZZ26),"")</f>
        <v>6.16666666666667</v>
      </c>
      <c r="M26" s="69">
        <f>IF(AND(ISNUMBER(tblY11[[#This Row],[Mean Stanine]]),ISNUMBER(tblY11[[#This Row],[Avg KS2 Band]])),tblY11[[#This Row],[Mean Stanine]]-tblY11[[#This Row],[Avg KS2 Band]],"")</f>
        <v>1.16666666666667</v>
      </c>
      <c r="N26" s="66" t="n">
        <v>25</v>
      </c>
      <c r="O2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26" s="66" t="n">
        <v>23</v>
      </c>
      <c r="Q2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26" s="66" t="n">
        <v>26</v>
      </c>
      <c r="S26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26" s="66" t="n">
        <v>34</v>
      </c>
      <c r="U2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26" s="66" t="n">
        <v>16</v>
      </c>
      <c r="W2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26" s="66" t="n">
        <v>24</v>
      </c>
      <c r="Y2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27">
      <c r="A27" s="65" t="inlineStr">
        <is>
          <t>X901190002112</t>
        </is>
      </c>
      <c r="B27" s="65" t="inlineStr">
        <is>
          <t>Hall</t>
        </is>
      </c>
      <c r="C27" s="65" t="inlineStr">
        <is>
          <t>Lily</t>
        </is>
      </c>
      <c r="D27" s="66" t="inlineStr">
        <is>
          <t>F</t>
        </is>
      </c>
      <c r="E27" s="66" t="n"/>
      <c r="F27" s="66" t="inlineStr">
        <is>
          <t>Y</t>
        </is>
      </c>
      <c r="G27" s="34" t="n">
        <v>91</v>
      </c>
      <c r="H27" s="34" t="n">
        <v>108</v>
      </c>
      <c r="I27" s="67">
        <f>IF(ISNUMBER(tblY11[[#This Row],[Avg KS2]]),IFERROR(VLOOKUP(STANDARDIZE(tblY11[[#This Row],[Avg KS2]],AVERAGE(tblY11[[Avg KS2]]),_xlfn.STDEV.P(tblY11[[Avg KS2]])),_Stanine,2),5),"")</f>
        <v>6</v>
      </c>
      <c r="J27" s="66" t="inlineStr">
        <is>
          <t>11S/Sc1</t>
        </is>
      </c>
      <c r="K27" s="67">
        <f>IF(tblY11[[#This Row],[Preferred Last name]]="","",COUNTIFS($N$1:$ZZ$1,"*"&amp;CHAR(10)&amp;"Stanine",$N27:$ZZ27,"&gt;=1"))</f>
        <v>5</v>
      </c>
      <c r="L27" s="68">
        <f>IFERROR(AVERAGEIF($N$1:$ZZ$1,"*"&amp;CHAR(10)&amp;"Stanine",$N27:$ZZ27),"")</f>
        <v>6</v>
      </c>
      <c r="M27" s="69">
        <f>IF(AND(ISNUMBER(tblY11[[#This Row],[Mean Stanine]]),ISNUMBER(tblY11[[#This Row],[Avg KS2 Band]])),tblY11[[#This Row],[Mean Stanine]]-tblY11[[#This Row],[Avg KS2 Band]],"")</f>
        <v>0</v>
      </c>
      <c r="N27" s="66" t="n">
        <v>29</v>
      </c>
      <c r="O2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27" s="66" t="inlineStr">
        <is>
          <t>A</t>
        </is>
      </c>
      <c r="Q27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27" s="66" t="n">
        <v>21</v>
      </c>
      <c r="S27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27" s="66" t="n">
        <v>33</v>
      </c>
      <c r="U2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27" s="66" t="n">
        <v>18</v>
      </c>
      <c r="W2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27" s="66" t="n">
        <v>20</v>
      </c>
      <c r="Y2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28">
      <c r="A28" s="65" t="inlineStr">
        <is>
          <t>X904826392113</t>
        </is>
      </c>
      <c r="B28" s="65" t="inlineStr">
        <is>
          <t>Harrison</t>
        </is>
      </c>
      <c r="C28" s="65" t="inlineStr">
        <is>
          <t>Chidi</t>
        </is>
      </c>
      <c r="D28" s="66" t="inlineStr">
        <is>
          <t>M</t>
        </is>
      </c>
      <c r="E28" s="66" t="inlineStr">
        <is>
          <t>N</t>
        </is>
      </c>
      <c r="F28" s="66" t="inlineStr">
        <is>
          <t>N</t>
        </is>
      </c>
      <c r="G28" s="34" t="n">
        <v>100</v>
      </c>
      <c r="H28" s="34" t="n">
        <v>101</v>
      </c>
      <c r="I28" s="67">
        <f>IF(ISNUMBER(tblY11[[#This Row],[Avg KS2]]),IFERROR(VLOOKUP(STANDARDIZE(tblY11[[#This Row],[Avg KS2]],AVERAGE(tblY11[[Avg KS2]]),_xlfn.STDEV.P(tblY11[[Avg KS2]])),_Stanine,2),5),"")</f>
        <v>4</v>
      </c>
      <c r="J28" s="66" t="inlineStr">
        <is>
          <t>11S/Sc3</t>
        </is>
      </c>
      <c r="K28" s="67">
        <f>IF(tblY11[[#This Row],[Preferred Last name]]="","",COUNTIFS($N$1:$ZZ$1,"*"&amp;CHAR(10)&amp;"Stanine",$N28:$ZZ28,"&gt;=1"))</f>
        <v>6</v>
      </c>
      <c r="L28" s="68">
        <f>IFERROR(AVERAGEIF($N$1:$ZZ$1,"*"&amp;CHAR(10)&amp;"Stanine",$N28:$ZZ28),"")</f>
        <v>2.66666666666667</v>
      </c>
      <c r="M28" s="69">
        <f>IF(AND(ISNUMBER(tblY11[[#This Row],[Mean Stanine]]),ISNUMBER(tblY11[[#This Row],[Avg KS2 Band]])),tblY11[[#This Row],[Mean Stanine]]-tblY11[[#This Row],[Avg KS2 Band]],"")</f>
        <v>-1.33333333333333</v>
      </c>
      <c r="N28" s="66" t="n">
        <v>8</v>
      </c>
      <c r="O2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28" s="66" t="n">
        <v>11</v>
      </c>
      <c r="Q2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28" s="66" t="n">
        <v>10</v>
      </c>
      <c r="S28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28" s="66" t="n">
        <v>12</v>
      </c>
      <c r="U2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28" s="66" t="n">
        <v>8</v>
      </c>
      <c r="W2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28" s="66" t="n">
        <v>7</v>
      </c>
      <c r="Y2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29">
      <c r="A29" s="65" t="inlineStr">
        <is>
          <t>X909156394189</t>
        </is>
      </c>
      <c r="B29" s="65" t="inlineStr">
        <is>
          <t>Harrison</t>
        </is>
      </c>
      <c r="C29" s="65" t="inlineStr">
        <is>
          <t>Theo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91.90000000000001</v>
      </c>
      <c r="H29" s="34" t="n">
        <v>110</v>
      </c>
      <c r="I29" s="67">
        <f>IF(ISNUMBER(tblY11[[#This Row],[Avg KS2]]),IFERROR(VLOOKUP(STANDARDIZE(tblY11[[#This Row],[Avg KS2]],AVERAGE(tblY11[[Avg KS2]]),_xlfn.STDEV.P(tblY11[[Avg KS2]])),_Stanine,2),5),"")</f>
        <v>7</v>
      </c>
      <c r="J29" s="66" t="inlineStr">
        <is>
          <t>11S/Sc1</t>
        </is>
      </c>
      <c r="K29" s="67">
        <f>IF(tblY11[[#This Row],[Preferred Last name]]="","",COUNTIFS($N$1:$ZZ$1,"*"&amp;CHAR(10)&amp;"Stanine",$N29:$ZZ29,"&gt;=1"))</f>
        <v>5</v>
      </c>
      <c r="L29" s="68">
        <f>IFERROR(AVERAGEIF($N$1:$ZZ$1,"*"&amp;CHAR(10)&amp;"Stanine",$N29:$ZZ29),"")</f>
        <v>6</v>
      </c>
      <c r="M29" s="69">
        <f>IF(AND(ISNUMBER(tblY11[[#This Row],[Mean Stanine]]),ISNUMBER(tblY11[[#This Row],[Avg KS2 Band]])),tblY11[[#This Row],[Mean Stanine]]-tblY11[[#This Row],[Avg KS2 Band]],"")</f>
        <v>-1</v>
      </c>
      <c r="N29" s="66" t="inlineStr">
        <is>
          <t>A</t>
        </is>
      </c>
      <c r="O29" s="67" t="str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/>
      </c>
      <c r="P29" s="66" t="n">
        <v>26</v>
      </c>
      <c r="Q2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29" s="66" t="n">
        <v>24</v>
      </c>
      <c r="S29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29" s="66" t="n">
        <v>33</v>
      </c>
      <c r="U2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29" s="66" t="n">
        <v>19</v>
      </c>
      <c r="W2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29" s="66" t="n">
        <v>12</v>
      </c>
      <c r="Y2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30">
      <c r="A30" s="65" t="inlineStr">
        <is>
          <t>X904592419745</t>
        </is>
      </c>
      <c r="B30" s="65" t="inlineStr">
        <is>
          <t>Hughes</t>
        </is>
      </c>
      <c r="C30" s="65" t="inlineStr">
        <is>
          <t>Sami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100</v>
      </c>
      <c r="H30" s="34" t="n">
        <v>99.5</v>
      </c>
      <c r="I30" s="67">
        <f>IF(ISNUMBER(tblY11[[#This Row],[Avg KS2]]),IFERROR(VLOOKUP(STANDARDIZE(tblY11[[#This Row],[Avg KS2]],AVERAGE(tblY11[[Avg KS2]]),_xlfn.STDEV.P(tblY11[[Avg KS2]])),_Stanine,2),5),"")</f>
        <v>3</v>
      </c>
      <c r="J30" s="66" t="inlineStr">
        <is>
          <t>Science Support</t>
        </is>
      </c>
      <c r="K30" s="67">
        <f>IF(tblY11[[#This Row],[Preferred Last name]]="","",COUNTIFS($N$1:$ZZ$1,"*"&amp;CHAR(10)&amp;"Stanine",$N30:$ZZ30,"&gt;=1"))</f>
        <v>4</v>
      </c>
      <c r="L30" s="68">
        <f>IFERROR(AVERAGEIF($N$1:$ZZ$1,"*"&amp;CHAR(10)&amp;"Stanine",$N30:$ZZ30),"")</f>
        <v>4.75</v>
      </c>
      <c r="M30" s="69">
        <f>IF(AND(ISNUMBER(tblY11[[#This Row],[Mean Stanine]]),ISNUMBER(tblY11[[#This Row],[Avg KS2 Band]])),tblY11[[#This Row],[Mean Stanine]]-tblY11[[#This Row],[Avg KS2 Band]],"")</f>
        <v>1.75</v>
      </c>
      <c r="N30" s="66" t="n">
        <v>24</v>
      </c>
      <c r="O3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30" s="66" t="inlineStr">
        <is>
          <t>A</t>
        </is>
      </c>
      <c r="Q30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30" s="66" t="n">
        <v>18</v>
      </c>
      <c r="S30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30" s="66" t="n">
        <v>28</v>
      </c>
      <c r="U3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30" s="66" t="n">
        <v>10</v>
      </c>
      <c r="W3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30" s="66" t="inlineStr">
        <is>
          <t>A</t>
        </is>
      </c>
      <c r="Y30" s="67" t="str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/>
      </c>
    </row>
    <row r="31">
      <c r="A31" s="65" t="inlineStr">
        <is>
          <t>X908726888546</t>
        </is>
      </c>
      <c r="B31" s="65" t="inlineStr">
        <is>
          <t>Hughes</t>
        </is>
      </c>
      <c r="C31" s="65" t="inlineStr">
        <is>
          <t>Zofia</t>
        </is>
      </c>
      <c r="D31" s="66" t="inlineStr">
        <is>
          <t>F</t>
        </is>
      </c>
      <c r="E31" s="66" t="n"/>
      <c r="F31" s="66" t="inlineStr">
        <is>
          <t>Y</t>
        </is>
      </c>
      <c r="G31" s="34" t="n">
        <v>93.40000000000001</v>
      </c>
      <c r="H31" s="34" t="n">
        <v>106</v>
      </c>
      <c r="I31" s="67">
        <f>IF(ISNUMBER(tblY11[[#This Row],[Avg KS2]]),IFERROR(VLOOKUP(STANDARDIZE(tblY11[[#This Row],[Avg KS2]],AVERAGE(tblY11[[Avg KS2]]),_xlfn.STDEV.P(tblY11[[Avg KS2]])),_Stanine,2),5),"")</f>
        <v>5</v>
      </c>
      <c r="J31" s="66" t="inlineStr">
        <is>
          <t>11S/Sc5</t>
        </is>
      </c>
      <c r="K31" s="67">
        <f>IF(tblY11[[#This Row],[Preferred Last name]]="","",COUNTIFS($N$1:$ZZ$1,"*"&amp;CHAR(10)&amp;"Stanine",$N31:$ZZ31,"&gt;=1"))</f>
        <v>6</v>
      </c>
      <c r="L31" s="68">
        <f>IFERROR(AVERAGEIF($N$1:$ZZ$1,"*"&amp;CHAR(10)&amp;"Stanine",$N31:$ZZ31),"")</f>
        <v>5.66666666666667</v>
      </c>
      <c r="M31" s="69">
        <f>IF(AND(ISNUMBER(tblY11[[#This Row],[Mean Stanine]]),ISNUMBER(tblY11[[#This Row],[Avg KS2 Band]])),tblY11[[#This Row],[Mean Stanine]]-tblY11[[#This Row],[Avg KS2 Band]],"")</f>
        <v>0.666666666666667</v>
      </c>
      <c r="N31" s="66" t="n">
        <v>30</v>
      </c>
      <c r="O3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31" s="66" t="n">
        <v>23</v>
      </c>
      <c r="Q3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31" s="66" t="n">
        <v>21</v>
      </c>
      <c r="S31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31" s="66" t="n">
        <v>33</v>
      </c>
      <c r="U3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31" s="66" t="n">
        <v>14</v>
      </c>
      <c r="W3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31" s="66" t="n">
        <v>15</v>
      </c>
      <c r="Y3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32">
      <c r="A32" s="65" t="inlineStr">
        <is>
          <t>X905956480231</t>
        </is>
      </c>
      <c r="B32" s="65" t="inlineStr">
        <is>
          <t>Hussain</t>
        </is>
      </c>
      <c r="C32" s="65" t="inlineStr">
        <is>
          <t>Poppy</t>
        </is>
      </c>
      <c r="D32" s="66" t="inlineStr">
        <is>
          <t>M</t>
        </is>
      </c>
      <c r="E32" s="66" t="n"/>
      <c r="F32" s="66" t="inlineStr">
        <is>
          <t>N</t>
        </is>
      </c>
      <c r="G32" s="34" t="n">
        <v>99.40000000000001</v>
      </c>
      <c r="H32" s="34" t="n">
        <v>105</v>
      </c>
      <c r="I32" s="67">
        <f>IF(ISNUMBER(tblY11[[#This Row],[Avg KS2]]),IFERROR(VLOOKUP(STANDARDIZE(tblY11[[#This Row],[Avg KS2]],AVERAGE(tblY11[[Avg KS2]]),_xlfn.STDEV.P(tblY11[[Avg KS2]])),_Stanine,2),5),"")</f>
        <v>5</v>
      </c>
      <c r="J32" s="66" t="inlineStr">
        <is>
          <t>11S/Sc2</t>
        </is>
      </c>
      <c r="K32" s="67">
        <f>IF(tblY11[[#This Row],[Preferred Last name]]="","",COUNTIFS($N$1:$ZZ$1,"*"&amp;CHAR(10)&amp;"Stanine",$N32:$ZZ32,"&gt;=1"))</f>
        <v>6</v>
      </c>
      <c r="L32" s="68">
        <f>IFERROR(AVERAGEIF($N$1:$ZZ$1,"*"&amp;CHAR(10)&amp;"Stanine",$N32:$ZZ32),"")</f>
        <v>6.16666666666667</v>
      </c>
      <c r="M32" s="69">
        <f>IF(AND(ISNUMBER(tblY11[[#This Row],[Mean Stanine]]),ISNUMBER(tblY11[[#This Row],[Avg KS2 Band]])),tblY11[[#This Row],[Mean Stanine]]-tblY11[[#This Row],[Avg KS2 Band]],"")</f>
        <v>1.16666666666667</v>
      </c>
      <c r="N32" s="66" t="n">
        <v>32</v>
      </c>
      <c r="O3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32" s="66" t="n">
        <v>26</v>
      </c>
      <c r="Q3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32" s="66" t="n">
        <v>23</v>
      </c>
      <c r="S32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32" s="66" t="n">
        <v>28</v>
      </c>
      <c r="U3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32" s="66" t="n">
        <v>14</v>
      </c>
      <c r="W3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32" s="66" t="n">
        <v>23</v>
      </c>
      <c r="Y3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33">
      <c r="A33" s="65" t="inlineStr">
        <is>
          <t>X908041737647</t>
        </is>
      </c>
      <c r="B33" s="65" t="inlineStr">
        <is>
          <t>Jackson</t>
        </is>
      </c>
      <c r="C33" s="65" t="inlineStr">
        <is>
          <t>Priya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N</t>
        </is>
      </c>
      <c r="G33" s="34" t="n">
        <v>89.7</v>
      </c>
      <c r="H33" s="34" t="n">
        <v>115</v>
      </c>
      <c r="I33" s="67">
        <f>IF(ISNUMBER(tblY11[[#This Row],[Avg KS2]]),IFERROR(VLOOKUP(STANDARDIZE(tblY11[[#This Row],[Avg KS2]],AVERAGE(tblY11[[Avg KS2]]),_xlfn.STDEV.P(tblY11[[Avg KS2]])),_Stanine,2),5),"")</f>
        <v>8</v>
      </c>
      <c r="J33" s="66" t="inlineStr">
        <is>
          <t>11S/Sc1</t>
        </is>
      </c>
      <c r="K33" s="67">
        <f>IF(tblY11[[#This Row],[Preferred Last name]]="","",COUNTIFS($N$1:$ZZ$1,"*"&amp;CHAR(10)&amp;"Stanine",$N33:$ZZ33,"&gt;=1"))</f>
        <v>6</v>
      </c>
      <c r="L33" s="68">
        <f>IFERROR(AVERAGEIF($N$1:$ZZ$1,"*"&amp;CHAR(10)&amp;"Stanine",$N33:$ZZ33),"")</f>
        <v>7.33333333333333</v>
      </c>
      <c r="M33" s="69">
        <f>IF(AND(ISNUMBER(tblY11[[#This Row],[Mean Stanine]]),ISNUMBER(tblY11[[#This Row],[Avg KS2 Band]])),tblY11[[#This Row],[Mean Stanine]]-tblY11[[#This Row],[Avg KS2 Band]],"")</f>
        <v>-0.666666666666667</v>
      </c>
      <c r="N33" s="66" t="n">
        <v>37</v>
      </c>
      <c r="O3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33" s="66" t="n">
        <v>28</v>
      </c>
      <c r="Q3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33" s="66" t="n">
        <v>25</v>
      </c>
      <c r="S33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33" s="66" t="n">
        <v>37</v>
      </c>
      <c r="U3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33" s="66" t="n">
        <v>26</v>
      </c>
      <c r="W3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33" s="66" t="n">
        <v>24</v>
      </c>
      <c r="Y3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34">
      <c r="A34" s="65" t="inlineStr">
        <is>
          <t>X909071780885</t>
        </is>
      </c>
      <c r="B34" s="65" t="inlineStr">
        <is>
          <t>Johnson</t>
        </is>
      </c>
      <c r="C34" s="65" t="inlineStr">
        <is>
          <t>Freya</t>
        </is>
      </c>
      <c r="D34" s="66" t="inlineStr">
        <is>
          <t>M</t>
        </is>
      </c>
      <c r="E34" s="66" t="inlineStr">
        <is>
          <t>N</t>
        </is>
      </c>
      <c r="F34" s="66" t="inlineStr">
        <is>
          <t>Y</t>
        </is>
      </c>
      <c r="G34" s="34" t="n">
        <v>100</v>
      </c>
      <c r="H34" s="34" t="n">
        <v>104</v>
      </c>
      <c r="I34" s="67">
        <f>IF(ISNUMBER(tblY11[[#This Row],[Avg KS2]]),IFERROR(VLOOKUP(STANDARDIZE(tblY11[[#This Row],[Avg KS2]],AVERAGE(tblY11[[Avg KS2]]),_xlfn.STDEV.P(tblY11[[Avg KS2]])),_Stanine,2),5),"")</f>
        <v>5</v>
      </c>
      <c r="J34" s="66" t="inlineStr">
        <is>
          <t>11S/Sc3</t>
        </is>
      </c>
      <c r="K34" s="67">
        <f>IF(tblY11[[#This Row],[Preferred Last name]]="","",COUNTIFS($N$1:$ZZ$1,"*"&amp;CHAR(10)&amp;"Stanine",$N34:$ZZ34,"&gt;=1"))</f>
        <v>6</v>
      </c>
      <c r="L34" s="68">
        <f>IFERROR(AVERAGEIF($N$1:$ZZ$1,"*"&amp;CHAR(10)&amp;"Stanine",$N34:$ZZ34),"")</f>
        <v>6.16666666666667</v>
      </c>
      <c r="M34" s="69">
        <f>IF(AND(ISNUMBER(tblY11[[#This Row],[Mean Stanine]]),ISNUMBER(tblY11[[#This Row],[Avg KS2 Band]])),tblY11[[#This Row],[Mean Stanine]]-tblY11[[#This Row],[Avg KS2 Band]],"")</f>
        <v>1.16666666666667</v>
      </c>
      <c r="N34" s="66" t="n">
        <v>27</v>
      </c>
      <c r="O3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34" s="66" t="n">
        <v>23</v>
      </c>
      <c r="Q3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34" s="66" t="n">
        <v>28</v>
      </c>
      <c r="S34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34" s="66" t="n">
        <v>34</v>
      </c>
      <c r="U3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34" s="66" t="n">
        <v>15</v>
      </c>
      <c r="W3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34" s="66" t="n">
        <v>19</v>
      </c>
      <c r="Y3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35">
      <c r="A35" s="65" t="inlineStr">
        <is>
          <t>X906902647514</t>
        </is>
      </c>
      <c r="B35" s="65" t="inlineStr">
        <is>
          <t>Johnson</t>
        </is>
      </c>
      <c r="C35" s="65" t="inlineStr">
        <is>
          <t>Keira</t>
        </is>
      </c>
      <c r="D35" s="66" t="inlineStr">
        <is>
          <t>M</t>
        </is>
      </c>
      <c r="E35" s="66" t="inlineStr">
        <is>
          <t>E</t>
        </is>
      </c>
      <c r="F35" s="66" t="inlineStr">
        <is>
          <t>N</t>
        </is>
      </c>
      <c r="G35" s="34" t="n">
        <v>80.8</v>
      </c>
      <c r="H35" s="34" t="n">
        <v>105</v>
      </c>
      <c r="I35" s="67">
        <f>IF(ISNUMBER(tblY11[[#This Row],[Avg KS2]]),IFERROR(VLOOKUP(STANDARDIZE(tblY11[[#This Row],[Avg KS2]],AVERAGE(tblY11[[Avg KS2]]),_xlfn.STDEV.P(tblY11[[Avg KS2]])),_Stanine,2),5),"")</f>
        <v>5</v>
      </c>
      <c r="J35" s="66" t="inlineStr">
        <is>
          <t>11S/Sc1</t>
        </is>
      </c>
      <c r="K35" s="67">
        <f>IF(tblY11[[#This Row],[Preferred Last name]]="","",COUNTIFS($N$1:$ZZ$1,"*"&amp;CHAR(10)&amp;"Stanine",$N35:$ZZ35,"&gt;=1"))</f>
        <v>6</v>
      </c>
      <c r="L35" s="68">
        <f>IFERROR(AVERAGEIF($N$1:$ZZ$1,"*"&amp;CHAR(10)&amp;"Stanine",$N35:$ZZ35),"")</f>
        <v>6.16666666666667</v>
      </c>
      <c r="M35" s="69">
        <f>IF(AND(ISNUMBER(tblY11[[#This Row],[Mean Stanine]]),ISNUMBER(tblY11[[#This Row],[Avg KS2 Band]])),tblY11[[#This Row],[Mean Stanine]]-tblY11[[#This Row],[Avg KS2 Band]],"")</f>
        <v>1.16666666666667</v>
      </c>
      <c r="N35" s="66" t="n">
        <v>30</v>
      </c>
      <c r="O3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35" s="66" t="n">
        <v>23</v>
      </c>
      <c r="Q3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35" s="66" t="n">
        <v>22</v>
      </c>
      <c r="S35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35" s="66" t="n">
        <v>32</v>
      </c>
      <c r="U3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35" s="66" t="n">
        <v>19</v>
      </c>
      <c r="W3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35" s="66" t="n">
        <v>22</v>
      </c>
      <c r="Y3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36">
      <c r="A36" s="65" t="inlineStr">
        <is>
          <t>X904565424273</t>
        </is>
      </c>
      <c r="B36" s="65" t="inlineStr">
        <is>
          <t>Jones</t>
        </is>
      </c>
      <c r="C36" s="65" t="inlineStr">
        <is>
          <t>Lily</t>
        </is>
      </c>
      <c r="D36" s="66" t="inlineStr">
        <is>
          <t>F</t>
        </is>
      </c>
      <c r="E36" s="66" t="n"/>
      <c r="F36" s="66" t="inlineStr">
        <is>
          <t>Y</t>
        </is>
      </c>
      <c r="G36" s="34" t="n">
        <v>90.90000000000001</v>
      </c>
      <c r="H36" s="34" t="n">
        <v>108</v>
      </c>
      <c r="I36" s="67">
        <f>IF(ISNUMBER(tblY11[[#This Row],[Avg KS2]]),IFERROR(VLOOKUP(STANDARDIZE(tblY11[[#This Row],[Avg KS2]],AVERAGE(tblY11[[Avg KS2]]),_xlfn.STDEV.P(tblY11[[Avg KS2]])),_Stanine,2),5),"")</f>
        <v>6</v>
      </c>
      <c r="J36" s="66" t="inlineStr">
        <is>
          <t>11S/Sc2</t>
        </is>
      </c>
      <c r="K36" s="67">
        <f>IF(tblY11[[#This Row],[Preferred Last name]]="","",COUNTIFS($N$1:$ZZ$1,"*"&amp;CHAR(10)&amp;"Stanine",$N36:$ZZ36,"&gt;=1"))</f>
        <v>6</v>
      </c>
      <c r="L36" s="68">
        <f>IFERROR(AVERAGEIF($N$1:$ZZ$1,"*"&amp;CHAR(10)&amp;"Stanine",$N36:$ZZ36),"")</f>
        <v>7.16666666666667</v>
      </c>
      <c r="M36" s="69">
        <f>IF(AND(ISNUMBER(tblY11[[#This Row],[Mean Stanine]]),ISNUMBER(tblY11[[#This Row],[Avg KS2 Band]])),tblY11[[#This Row],[Mean Stanine]]-tblY11[[#This Row],[Avg KS2 Band]],"")</f>
        <v>1.16666666666667</v>
      </c>
      <c r="N36" s="66" t="n">
        <v>32</v>
      </c>
      <c r="O3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36" s="66" t="n">
        <v>29</v>
      </c>
      <c r="Q3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36" s="66" t="n">
        <v>21</v>
      </c>
      <c r="S36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36" s="66" t="n">
        <v>38</v>
      </c>
      <c r="U3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36" s="66" t="n">
        <v>24</v>
      </c>
      <c r="W3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36" s="66" t="n">
        <v>26</v>
      </c>
      <c r="Y3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37">
      <c r="A37" s="65" t="inlineStr">
        <is>
          <t>X909840897898</t>
        </is>
      </c>
      <c r="B37" s="65" t="inlineStr">
        <is>
          <t>Kelly</t>
        </is>
      </c>
      <c r="C37" s="65" t="inlineStr">
        <is>
          <t>Ava</t>
        </is>
      </c>
      <c r="D37" s="66" t="inlineStr">
        <is>
          <t>M</t>
        </is>
      </c>
      <c r="E37" s="66" t="inlineStr">
        <is>
          <t>K</t>
        </is>
      </c>
      <c r="F37" s="66" t="inlineStr">
        <is>
          <t>Y</t>
        </is>
      </c>
      <c r="G37" s="34" t="n">
        <v>82.8</v>
      </c>
      <c r="H37" s="34" t="n">
        <v>98.5</v>
      </c>
      <c r="I37" s="67">
        <f>IF(ISNUMBER(tblY11[[#This Row],[Avg KS2]]),IFERROR(VLOOKUP(STANDARDIZE(tblY11[[#This Row],[Avg KS2]],AVERAGE(tblY11[[Avg KS2]]),_xlfn.STDEV.P(tblY11[[Avg KS2]])),_Stanine,2),5),"")</f>
        <v>3</v>
      </c>
      <c r="J37" s="66" t="inlineStr">
        <is>
          <t>Science Support</t>
        </is>
      </c>
      <c r="K37" s="67">
        <f>IF(tblY11[[#This Row],[Preferred Last name]]="","",COUNTIFS($N$1:$ZZ$1,"*"&amp;CHAR(10)&amp;"Stanine",$N37:$ZZ37,"&gt;=1"))</f>
        <v>6</v>
      </c>
      <c r="L37" s="68">
        <f>IFERROR(AVERAGEIF($N$1:$ZZ$1,"*"&amp;CHAR(10)&amp;"Stanine",$N37:$ZZ37),"")</f>
        <v>2.16666666666667</v>
      </c>
      <c r="M37" s="69">
        <f>IF(AND(ISNUMBER(tblY11[[#This Row],[Mean Stanine]]),ISNUMBER(tblY11[[#This Row],[Avg KS2 Band]])),tblY11[[#This Row],[Mean Stanine]]-tblY11[[#This Row],[Avg KS2 Band]],"")</f>
        <v>-0.833333333333334</v>
      </c>
      <c r="N37" s="66" t="n">
        <v>7</v>
      </c>
      <c r="O3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37" s="66" t="n">
        <v>6</v>
      </c>
      <c r="Q3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37" s="66" t="n">
        <v>5</v>
      </c>
      <c r="S37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37" s="66" t="n">
        <v>10</v>
      </c>
      <c r="U3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1</v>
      </c>
      <c r="V37" s="66" t="n">
        <v>7</v>
      </c>
      <c r="W3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37" s="66" t="n">
        <v>7</v>
      </c>
      <c r="Y3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38">
      <c r="A38" s="65" t="inlineStr">
        <is>
          <t>X908602065279</t>
        </is>
      </c>
      <c r="B38" s="65" t="inlineStr">
        <is>
          <t>Kelly</t>
        </is>
      </c>
      <c r="C38" s="65" t="inlineStr">
        <is>
          <t>Finley</t>
        </is>
      </c>
      <c r="D38" s="66" t="inlineStr">
        <is>
          <t>M</t>
        </is>
      </c>
      <c r="E38" s="66" t="inlineStr">
        <is>
          <t>N</t>
        </is>
      </c>
      <c r="F38" s="66" t="inlineStr">
        <is>
          <t>Y</t>
        </is>
      </c>
      <c r="G38" s="34" t="n">
        <v>95.2</v>
      </c>
      <c r="H38" s="34" t="n">
        <v>105.5</v>
      </c>
      <c r="I38" s="67">
        <f>IF(ISNUMBER(tblY11[[#This Row],[Avg KS2]]),IFERROR(VLOOKUP(STANDARDIZE(tblY11[[#This Row],[Avg KS2]],AVERAGE(tblY11[[Avg KS2]]),_xlfn.STDEV.P(tblY11[[Avg KS2]])),_Stanine,2),5),"")</f>
        <v>5</v>
      </c>
      <c r="J38" s="66" t="inlineStr">
        <is>
          <t>11S/Sc1</t>
        </is>
      </c>
      <c r="K38" s="67">
        <f>IF(tblY11[[#This Row],[Preferred Last name]]="","",COUNTIFS($N$1:$ZZ$1,"*"&amp;CHAR(10)&amp;"Stanine",$N38:$ZZ38,"&gt;=1"))</f>
        <v>6</v>
      </c>
      <c r="L38" s="68">
        <f>IFERROR(AVERAGEIF($N$1:$ZZ$1,"*"&amp;CHAR(10)&amp;"Stanine",$N38:$ZZ38),"")</f>
        <v>5.16666666666667</v>
      </c>
      <c r="M38" s="69">
        <f>IF(AND(ISNUMBER(tblY11[[#This Row],[Mean Stanine]]),ISNUMBER(tblY11[[#This Row],[Avg KS2 Band]])),tblY11[[#This Row],[Mean Stanine]]-tblY11[[#This Row],[Avg KS2 Band]],"")</f>
        <v>0.166666666666667</v>
      </c>
      <c r="N38" s="66" t="n">
        <v>25</v>
      </c>
      <c r="O3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38" s="66" t="n">
        <v>23</v>
      </c>
      <c r="Q3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38" s="66" t="n">
        <v>16</v>
      </c>
      <c r="S38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38" s="66" t="n">
        <v>25</v>
      </c>
      <c r="U3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38" s="66" t="n">
        <v>11</v>
      </c>
      <c r="W3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38" s="66" t="n">
        <v>19</v>
      </c>
      <c r="Y3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39">
      <c r="A39" s="65" t="inlineStr">
        <is>
          <t>X901906853692</t>
        </is>
      </c>
      <c r="B39" s="65" t="inlineStr">
        <is>
          <t>Khan</t>
        </is>
      </c>
      <c r="C39" s="65" t="inlineStr">
        <is>
          <t>Sami</t>
        </is>
      </c>
      <c r="D39" s="66" t="inlineStr">
        <is>
          <t>F</t>
        </is>
      </c>
      <c r="E39" s="66" t="n"/>
      <c r="F39" s="66" t="inlineStr">
        <is>
          <t>N</t>
        </is>
      </c>
      <c r="G39" s="34" t="n">
        <v>100</v>
      </c>
      <c r="H39" s="34" t="n">
        <v>99.5</v>
      </c>
      <c r="I39" s="67">
        <f>IF(ISNUMBER(tblY11[[#This Row],[Avg KS2]]),IFERROR(VLOOKUP(STANDARDIZE(tblY11[[#This Row],[Avg KS2]],AVERAGE(tblY11[[Avg KS2]]),_xlfn.STDEV.P(tblY11[[Avg KS2]])),_Stanine,2),5),"")</f>
        <v>3</v>
      </c>
      <c r="J39" s="66" t="inlineStr">
        <is>
          <t>Science Support</t>
        </is>
      </c>
      <c r="K39" s="67">
        <f>IF(tblY11[[#This Row],[Preferred Last name]]="","",COUNTIFS($N$1:$ZZ$1,"*"&amp;CHAR(10)&amp;"Stanine",$N39:$ZZ39,"&gt;=1"))</f>
        <v>4</v>
      </c>
      <c r="L39" s="68">
        <f>IFERROR(AVERAGEIF($N$1:$ZZ$1,"*"&amp;CHAR(10)&amp;"Stanine",$N39:$ZZ39),"")</f>
        <v>2.25</v>
      </c>
      <c r="M39" s="69">
        <f>IF(AND(ISNUMBER(tblY11[[#This Row],[Mean Stanine]]),ISNUMBER(tblY11[[#This Row],[Avg KS2 Band]])),tblY11[[#This Row],[Mean Stanine]]-tblY11[[#This Row],[Avg KS2 Band]],"")</f>
        <v>-0.75</v>
      </c>
      <c r="N39" s="66" t="n">
        <v>9</v>
      </c>
      <c r="O3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39" s="66" t="inlineStr">
        <is>
          <t>A</t>
        </is>
      </c>
      <c r="Q39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39" s="66" t="n">
        <v>5</v>
      </c>
      <c r="S39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39" s="66" t="inlineStr">
        <is>
          <t>A</t>
        </is>
      </c>
      <c r="U39" s="67" t="str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/>
      </c>
      <c r="V39" s="66" t="n">
        <v>8</v>
      </c>
      <c r="W3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39" s="66" t="n">
        <v>5</v>
      </c>
      <c r="Y3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40">
      <c r="A40" s="65" t="inlineStr">
        <is>
          <t>X904732353131</t>
        </is>
      </c>
      <c r="B40" s="65" t="inlineStr">
        <is>
          <t>Kowalski</t>
        </is>
      </c>
      <c r="C40" s="65" t="inlineStr">
        <is>
          <t>Ethan</t>
        </is>
      </c>
      <c r="D40" s="66" t="inlineStr">
        <is>
          <t>F</t>
        </is>
      </c>
      <c r="E40" s="66" t="inlineStr">
        <is>
          <t>N</t>
        </is>
      </c>
      <c r="F40" s="66" t="inlineStr">
        <is>
          <t>Y</t>
        </is>
      </c>
      <c r="G40" s="34" t="n">
        <v>89.5</v>
      </c>
      <c r="H40" s="34" t="n">
        <v>97.5</v>
      </c>
      <c r="I40" s="67">
        <f>IF(ISNUMBER(tblY11[[#This Row],[Avg KS2]]),IFERROR(VLOOKUP(STANDARDIZE(tblY11[[#This Row],[Avg KS2]],AVERAGE(tblY11[[Avg KS2]]),_xlfn.STDEV.P(tblY11[[Avg KS2]])),_Stanine,2),5),"")</f>
        <v>3</v>
      </c>
      <c r="J40" s="66" t="inlineStr">
        <is>
          <t>11S/Sc3</t>
        </is>
      </c>
      <c r="K40" s="67">
        <f>IF(tblY11[[#This Row],[Preferred Last name]]="","",COUNTIFS($N$1:$ZZ$1,"*"&amp;CHAR(10)&amp;"Stanine",$N40:$ZZ40,"&gt;=1"))</f>
        <v>5</v>
      </c>
      <c r="L40" s="68">
        <f>IFERROR(AVERAGEIF($N$1:$ZZ$1,"*"&amp;CHAR(10)&amp;"Stanine",$N40:$ZZ40),"")</f>
        <v>3.2</v>
      </c>
      <c r="M40" s="69">
        <f>IF(AND(ISNUMBER(tblY11[[#This Row],[Mean Stanine]]),ISNUMBER(tblY11[[#This Row],[Avg KS2 Band]])),tblY11[[#This Row],[Mean Stanine]]-tblY11[[#This Row],[Avg KS2 Band]],"")</f>
        <v>0.2</v>
      </c>
      <c r="N40" s="66" t="n">
        <v>13</v>
      </c>
      <c r="O4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40" s="66" t="inlineStr">
        <is>
          <t>A</t>
        </is>
      </c>
      <c r="Q40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40" s="66" t="n">
        <v>8</v>
      </c>
      <c r="S40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40" s="66" t="n">
        <v>20</v>
      </c>
      <c r="U4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40" s="66" t="n">
        <v>8</v>
      </c>
      <c r="W4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40" s="66" t="n">
        <v>7</v>
      </c>
      <c r="Y4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41">
      <c r="A41" s="65" t="inlineStr">
        <is>
          <t>X908043791230</t>
        </is>
      </c>
      <c r="B41" s="65" t="inlineStr">
        <is>
          <t>Kowalski</t>
        </is>
      </c>
      <c r="C41" s="65" t="inlineStr">
        <is>
          <t>Evie</t>
        </is>
      </c>
      <c r="D41" s="66" t="inlineStr">
        <is>
          <t>F</t>
        </is>
      </c>
      <c r="E41" s="66" t="n"/>
      <c r="F41" s="66" t="inlineStr">
        <is>
          <t>N</t>
        </is>
      </c>
      <c r="G41" s="34" t="n">
        <v>92.09999999999999</v>
      </c>
      <c r="H41" s="34" t="n">
        <v>112</v>
      </c>
      <c r="I41" s="67">
        <f>IF(ISNUMBER(tblY11[[#This Row],[Avg KS2]]),IFERROR(VLOOKUP(STANDARDIZE(tblY11[[#This Row],[Avg KS2]],AVERAGE(tblY11[[Avg KS2]]),_xlfn.STDEV.P(tblY11[[Avg KS2]])),_Stanine,2),5),"")</f>
        <v>7</v>
      </c>
      <c r="J41" s="66" t="inlineStr">
        <is>
          <t>11S/Sc2</t>
        </is>
      </c>
      <c r="K41" s="67">
        <f>IF(tblY11[[#This Row],[Preferred Last name]]="","",COUNTIFS($N$1:$ZZ$1,"*"&amp;CHAR(10)&amp;"Stanine",$N41:$ZZ41,"&gt;=1"))</f>
        <v>6</v>
      </c>
      <c r="L41" s="68">
        <f>IFERROR(AVERAGEIF($N$1:$ZZ$1,"*"&amp;CHAR(10)&amp;"Stanine",$N41:$ZZ41),"")</f>
        <v>7.16666666666667</v>
      </c>
      <c r="M41" s="69">
        <f>IF(AND(ISNUMBER(tblY11[[#This Row],[Mean Stanine]]),ISNUMBER(tblY11[[#This Row],[Avg KS2 Band]])),tblY11[[#This Row],[Mean Stanine]]-tblY11[[#This Row],[Avg KS2 Band]],"")</f>
        <v>0.166666666666667</v>
      </c>
      <c r="N41" s="66" t="n">
        <v>28</v>
      </c>
      <c r="O4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41" s="66" t="n">
        <v>28</v>
      </c>
      <c r="Q4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41" s="66" t="n">
        <v>32</v>
      </c>
      <c r="S41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41" s="66" t="n">
        <v>37</v>
      </c>
      <c r="U4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41" s="66" t="n">
        <v>22</v>
      </c>
      <c r="W4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41" s="66" t="n">
        <v>27</v>
      </c>
      <c r="Y4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42">
      <c r="A42" s="65" t="inlineStr">
        <is>
          <t>X905050985754</t>
        </is>
      </c>
      <c r="B42" s="65" t="inlineStr">
        <is>
          <t>Kowalski</t>
        </is>
      </c>
      <c r="C42" s="65" t="inlineStr">
        <is>
          <t>Lewis</t>
        </is>
      </c>
      <c r="D42" s="66" t="inlineStr">
        <is>
          <t>F</t>
        </is>
      </c>
      <c r="E42" s="66" t="n"/>
      <c r="F42" s="66" t="inlineStr">
        <is>
          <t>N</t>
        </is>
      </c>
      <c r="G42" s="34" t="n">
        <v>88.7</v>
      </c>
      <c r="H42" s="34" t="n">
        <v>108.5</v>
      </c>
      <c r="I42" s="67">
        <f>IF(ISNUMBER(tblY11[[#This Row],[Avg KS2]]),IFERROR(VLOOKUP(STANDARDIZE(tblY11[[#This Row],[Avg KS2]],AVERAGE(tblY11[[Avg KS2]]),_xlfn.STDEV.P(tblY11[[Avg KS2]])),_Stanine,2),5),"")</f>
        <v>6</v>
      </c>
      <c r="J42" s="66" t="inlineStr">
        <is>
          <t>11S/Sc1</t>
        </is>
      </c>
      <c r="K42" s="67">
        <f>IF(tblY11[[#This Row],[Preferred Last name]]="","",COUNTIFS($N$1:$ZZ$1,"*"&amp;CHAR(10)&amp;"Stanine",$N42:$ZZ42,"&gt;=1"))</f>
        <v>6</v>
      </c>
      <c r="L42" s="68">
        <f>IFERROR(AVERAGEIF($N$1:$ZZ$1,"*"&amp;CHAR(10)&amp;"Stanine",$N42:$ZZ42),"")</f>
        <v>6.5</v>
      </c>
      <c r="M42" s="69">
        <f>IF(AND(ISNUMBER(tblY11[[#This Row],[Mean Stanine]]),ISNUMBER(tblY11[[#This Row],[Avg KS2 Band]])),tblY11[[#This Row],[Mean Stanine]]-tblY11[[#This Row],[Avg KS2 Band]],"")</f>
        <v>0.5</v>
      </c>
      <c r="N42" s="66" t="n">
        <v>33</v>
      </c>
      <c r="O4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42" s="66" t="n">
        <v>27</v>
      </c>
      <c r="Q4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42" s="66" t="n">
        <v>21</v>
      </c>
      <c r="S42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42" s="66" t="n">
        <v>33</v>
      </c>
      <c r="U4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42" s="66" t="n">
        <v>25</v>
      </c>
      <c r="W4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42" s="66" t="n">
        <v>16</v>
      </c>
      <c r="Y4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43">
      <c r="A43" s="65" t="inlineStr">
        <is>
          <t>X906329867098</t>
        </is>
      </c>
      <c r="B43" s="65" t="inlineStr">
        <is>
          <t>Kowalski</t>
        </is>
      </c>
      <c r="C43" s="65" t="inlineStr">
        <is>
          <t>Oliver</t>
        </is>
      </c>
      <c r="D43" s="66" t="inlineStr">
        <is>
          <t>M</t>
        </is>
      </c>
      <c r="E43" s="66" t="inlineStr">
        <is>
          <t>N</t>
        </is>
      </c>
      <c r="F43" s="66" t="inlineStr">
        <is>
          <t>Y</t>
        </is>
      </c>
      <c r="G43" s="34" t="n">
        <v>91.5</v>
      </c>
      <c r="H43" s="34" t="n">
        <v>112</v>
      </c>
      <c r="I43" s="67">
        <f>IF(ISNUMBER(tblY11[[#This Row],[Avg KS2]]),IFERROR(VLOOKUP(STANDARDIZE(tblY11[[#This Row],[Avg KS2]],AVERAGE(tblY11[[Avg KS2]]),_xlfn.STDEV.P(tblY11[[Avg KS2]])),_Stanine,2),5),"")</f>
        <v>7</v>
      </c>
      <c r="J43" s="66" t="inlineStr">
        <is>
          <t>11S/Sc1</t>
        </is>
      </c>
      <c r="K43" s="67">
        <f>IF(tblY11[[#This Row],[Preferred Last name]]="","",COUNTIFS($N$1:$ZZ$1,"*"&amp;CHAR(10)&amp;"Stanine",$N43:$ZZ43,"&gt;=1"))</f>
        <v>5</v>
      </c>
      <c r="L43" s="68">
        <f>IFERROR(AVERAGEIF($N$1:$ZZ$1,"*"&amp;CHAR(10)&amp;"Stanine",$N43:$ZZ43),"")</f>
        <v>6.4</v>
      </c>
      <c r="M43" s="69">
        <f>IF(AND(ISNUMBER(tblY11[[#This Row],[Mean Stanine]]),ISNUMBER(tblY11[[#This Row],[Avg KS2 Band]])),tblY11[[#This Row],[Mean Stanine]]-tblY11[[#This Row],[Avg KS2 Band]],"")</f>
        <v>-0.6</v>
      </c>
      <c r="N43" s="66" t="n">
        <v>31</v>
      </c>
      <c r="O4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43" s="66" t="n">
        <v>24</v>
      </c>
      <c r="Q4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43" s="66" t="n">
        <v>20</v>
      </c>
      <c r="S43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43" s="66" t="n">
        <v>34</v>
      </c>
      <c r="U4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43" s="66" t="inlineStr">
        <is>
          <t>A</t>
        </is>
      </c>
      <c r="W43" s="67" t="str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/>
      </c>
      <c r="X43" s="66" t="n">
        <v>19</v>
      </c>
      <c r="Y4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44">
      <c r="A44" s="65" t="inlineStr">
        <is>
          <t>X902828721467</t>
        </is>
      </c>
      <c r="B44" s="65" t="inlineStr">
        <is>
          <t>Kowalski</t>
        </is>
      </c>
      <c r="C44" s="65" t="inlineStr">
        <is>
          <t>Priya</t>
        </is>
      </c>
      <c r="D44" s="66" t="inlineStr">
        <is>
          <t>F</t>
        </is>
      </c>
      <c r="E44" s="66" t="n"/>
      <c r="F44" s="66" t="inlineStr">
        <is>
          <t>Y</t>
        </is>
      </c>
      <c r="G44" s="34" t="n">
        <v>92.59999999999999</v>
      </c>
      <c r="H44" s="34" t="n">
        <v>102</v>
      </c>
      <c r="I44" s="67">
        <f>IF(ISNUMBER(tblY11[[#This Row],[Avg KS2]]),IFERROR(VLOOKUP(STANDARDIZE(tblY11[[#This Row],[Avg KS2]],AVERAGE(tblY11[[Avg KS2]]),_xlfn.STDEV.P(tblY11[[Avg KS2]])),_Stanine,2),5),"")</f>
        <v>4</v>
      </c>
      <c r="J44" s="66" t="inlineStr">
        <is>
          <t>11S/Sc2</t>
        </is>
      </c>
      <c r="K44" s="67">
        <f>IF(tblY11[[#This Row],[Preferred Last name]]="","",COUNTIFS($N$1:$ZZ$1,"*"&amp;CHAR(10)&amp;"Stanine",$N44:$ZZ44,"&gt;=1"))</f>
        <v>6</v>
      </c>
      <c r="L44" s="68">
        <f>IFERROR(AVERAGEIF($N$1:$ZZ$1,"*"&amp;CHAR(10)&amp;"Stanine",$N44:$ZZ44),"")</f>
        <v>3.16666666666667</v>
      </c>
      <c r="M44" s="69">
        <f>IF(AND(ISNUMBER(tblY11[[#This Row],[Mean Stanine]]),ISNUMBER(tblY11[[#This Row],[Avg KS2 Band]])),tblY11[[#This Row],[Mean Stanine]]-tblY11[[#This Row],[Avg KS2 Band]],"")</f>
        <v>-0.833333333333334</v>
      </c>
      <c r="N44" s="66" t="n">
        <v>16</v>
      </c>
      <c r="O4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44" s="66" t="n">
        <v>12</v>
      </c>
      <c r="Q4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44" s="66" t="n">
        <v>9</v>
      </c>
      <c r="S44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44" s="66" t="n">
        <v>12</v>
      </c>
      <c r="U4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44" s="66" t="n">
        <v>11</v>
      </c>
      <c r="W4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44" s="66" t="n">
        <v>6</v>
      </c>
      <c r="Y4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45">
      <c r="A45" s="65" t="inlineStr">
        <is>
          <t>X900011347560</t>
        </is>
      </c>
      <c r="B45" s="65" t="inlineStr">
        <is>
          <t>Lewis</t>
        </is>
      </c>
      <c r="C45" s="65" t="inlineStr">
        <is>
          <t>Ella</t>
        </is>
      </c>
      <c r="D45" s="66" t="inlineStr">
        <is>
          <t>M</t>
        </is>
      </c>
      <c r="E45" s="66" t="inlineStr">
        <is>
          <t>N</t>
        </is>
      </c>
      <c r="F45" s="66" t="inlineStr">
        <is>
          <t>N</t>
        </is>
      </c>
      <c r="G45" s="34" t="n">
        <v>100</v>
      </c>
      <c r="H45" s="34" t="n">
        <v>106</v>
      </c>
      <c r="I45" s="67">
        <f>IF(ISNUMBER(tblY11[[#This Row],[Avg KS2]]),IFERROR(VLOOKUP(STANDARDIZE(tblY11[[#This Row],[Avg KS2]],AVERAGE(tblY11[[Avg KS2]]),_xlfn.STDEV.P(tblY11[[Avg KS2]])),_Stanine,2),5),"")</f>
        <v>5</v>
      </c>
      <c r="J45" s="66" t="inlineStr">
        <is>
          <t>11S/Sc1</t>
        </is>
      </c>
      <c r="K45" s="67">
        <f>IF(tblY11[[#This Row],[Preferred Last name]]="","",COUNTIFS($N$1:$ZZ$1,"*"&amp;CHAR(10)&amp;"Stanine",$N45:$ZZ45,"&gt;=1"))</f>
        <v>5</v>
      </c>
      <c r="L45" s="68">
        <f>IFERROR(AVERAGEIF($N$1:$ZZ$1,"*"&amp;CHAR(10)&amp;"Stanine",$N45:$ZZ45),"")</f>
        <v>5.4</v>
      </c>
      <c r="M45" s="69">
        <f>IF(AND(ISNUMBER(tblY11[[#This Row],[Mean Stanine]]),ISNUMBER(tblY11[[#This Row],[Avg KS2 Band]])),tblY11[[#This Row],[Mean Stanine]]-tblY11[[#This Row],[Avg KS2 Band]],"")</f>
        <v>0.4</v>
      </c>
      <c r="N45" s="66" t="inlineStr">
        <is>
          <t>A</t>
        </is>
      </c>
      <c r="O45" s="67" t="str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/>
      </c>
      <c r="P45" s="66" t="n">
        <v>15</v>
      </c>
      <c r="Q4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45" s="66" t="n">
        <v>19</v>
      </c>
      <c r="S45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45" s="66" t="n">
        <v>32</v>
      </c>
      <c r="U4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45" s="66" t="n">
        <v>20</v>
      </c>
      <c r="W4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45" s="66" t="n">
        <v>17</v>
      </c>
      <c r="Y4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46">
      <c r="A46" s="65" t="inlineStr">
        <is>
          <t>X907921310858</t>
        </is>
      </c>
      <c r="B46" s="65" t="inlineStr">
        <is>
          <t>Lewis</t>
        </is>
      </c>
      <c r="C46" s="65" t="inlineStr">
        <is>
          <t>Keira</t>
        </is>
      </c>
      <c r="D46" s="66" t="inlineStr">
        <is>
          <t>F</t>
        </is>
      </c>
      <c r="E46" s="66" t="n"/>
      <c r="F46" s="66" t="inlineStr">
        <is>
          <t>N</t>
        </is>
      </c>
      <c r="G46" s="34" t="n">
        <v>89.3</v>
      </c>
      <c r="H46" s="34" t="n">
        <v>105.5</v>
      </c>
      <c r="I46" s="67">
        <f>IF(ISNUMBER(tblY11[[#This Row],[Avg KS2]]),IFERROR(VLOOKUP(STANDARDIZE(tblY11[[#This Row],[Avg KS2]],AVERAGE(tblY11[[Avg KS2]]),_xlfn.STDEV.P(tblY11[[Avg KS2]])),_Stanine,2),5),"")</f>
        <v>5</v>
      </c>
      <c r="J46" s="66" t="inlineStr">
        <is>
          <t>11S/Sc2</t>
        </is>
      </c>
      <c r="K46" s="67">
        <f>IF(tblY11[[#This Row],[Preferred Last name]]="","",COUNTIFS($N$1:$ZZ$1,"*"&amp;CHAR(10)&amp;"Stanine",$N46:$ZZ46,"&gt;=1"))</f>
        <v>6</v>
      </c>
      <c r="L46" s="68">
        <f>IFERROR(AVERAGEIF($N$1:$ZZ$1,"*"&amp;CHAR(10)&amp;"Stanine",$N46:$ZZ46),"")</f>
        <v>5.66666666666667</v>
      </c>
      <c r="M46" s="69">
        <f>IF(AND(ISNUMBER(tblY11[[#This Row],[Mean Stanine]]),ISNUMBER(tblY11[[#This Row],[Avg KS2 Band]])),tblY11[[#This Row],[Mean Stanine]]-tblY11[[#This Row],[Avg KS2 Band]],"")</f>
        <v>0.666666666666667</v>
      </c>
      <c r="N46" s="66" t="n">
        <v>28</v>
      </c>
      <c r="O4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46" s="66" t="n">
        <v>20</v>
      </c>
      <c r="Q4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46" s="66" t="n">
        <v>22</v>
      </c>
      <c r="S46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46" s="66" t="n">
        <v>29</v>
      </c>
      <c r="U4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46" s="66" t="n">
        <v>17</v>
      </c>
      <c r="W4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46" s="66" t="n">
        <v>15</v>
      </c>
      <c r="Y4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47">
      <c r="A47" s="65" t="inlineStr">
        <is>
          <t>X907779045026</t>
        </is>
      </c>
      <c r="B47" s="65" t="inlineStr">
        <is>
          <t>Lloyd</t>
        </is>
      </c>
      <c r="C47" s="65" t="inlineStr">
        <is>
          <t>Finley</t>
        </is>
      </c>
      <c r="D47" s="66" t="inlineStr">
        <is>
          <t>F</t>
        </is>
      </c>
      <c r="E47" s="66" t="n"/>
      <c r="F47" s="66" t="inlineStr">
        <is>
          <t>N</t>
        </is>
      </c>
      <c r="G47" s="34" t="n">
        <v>91.5</v>
      </c>
      <c r="H47" s="34" t="n">
        <v>110</v>
      </c>
      <c r="I47" s="67">
        <f>IF(ISNUMBER(tblY11[[#This Row],[Avg KS2]]),IFERROR(VLOOKUP(STANDARDIZE(tblY11[[#This Row],[Avg KS2]],AVERAGE(tblY11[[Avg KS2]]),_xlfn.STDEV.P(tblY11[[Avg KS2]])),_Stanine,2),5),"")</f>
        <v>7</v>
      </c>
      <c r="J47" s="66" t="inlineStr">
        <is>
          <t>11S/Sc2</t>
        </is>
      </c>
      <c r="K47" s="67">
        <f>IF(tblY11[[#This Row],[Preferred Last name]]="","",COUNTIFS($N$1:$ZZ$1,"*"&amp;CHAR(10)&amp;"Stanine",$N47:$ZZ47,"&gt;=1"))</f>
        <v>6</v>
      </c>
      <c r="L47" s="68">
        <f>IFERROR(AVERAGEIF($N$1:$ZZ$1,"*"&amp;CHAR(10)&amp;"Stanine",$N47:$ZZ47),"")</f>
        <v>6.83333333333333</v>
      </c>
      <c r="M47" s="69">
        <f>IF(AND(ISNUMBER(tblY11[[#This Row],[Mean Stanine]]),ISNUMBER(tblY11[[#This Row],[Avg KS2 Band]])),tblY11[[#This Row],[Mean Stanine]]-tblY11[[#This Row],[Avg KS2 Band]],"")</f>
        <v>-0.166666666666667</v>
      </c>
      <c r="N47" s="66" t="n">
        <v>33</v>
      </c>
      <c r="O4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47" s="66" t="n">
        <v>20</v>
      </c>
      <c r="Q4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47" s="66" t="n">
        <v>27</v>
      </c>
      <c r="S47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47" s="66" t="n">
        <v>34</v>
      </c>
      <c r="U4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47" s="66" t="n">
        <v>24</v>
      </c>
      <c r="W4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47" s="66" t="n">
        <v>23</v>
      </c>
      <c r="Y4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48">
      <c r="A48" s="65" t="inlineStr">
        <is>
          <t>X902717417079</t>
        </is>
      </c>
      <c r="B48" s="65" t="inlineStr">
        <is>
          <t>Lloyd</t>
        </is>
      </c>
      <c r="C48" s="65" t="inlineStr">
        <is>
          <t>Tomasz</t>
        </is>
      </c>
      <c r="D48" s="66" t="inlineStr">
        <is>
          <t>M</t>
        </is>
      </c>
      <c r="E48" s="66" t="n"/>
      <c r="F48" s="66" t="inlineStr">
        <is>
          <t>N</t>
        </is>
      </c>
      <c r="G48" s="34" t="n">
        <v>87.40000000000001</v>
      </c>
      <c r="H48" s="34" t="n">
        <v>96</v>
      </c>
      <c r="I48" s="67">
        <f>IF(ISNUMBER(tblY11[[#This Row],[Avg KS2]]),IFERROR(VLOOKUP(STANDARDIZE(tblY11[[#This Row],[Avg KS2]],AVERAGE(tblY11[[Avg KS2]]),_xlfn.STDEV.P(tblY11[[Avg KS2]])),_Stanine,2),5),"")</f>
        <v>2</v>
      </c>
      <c r="J48" s="66" t="inlineStr">
        <is>
          <t>11S/Sc5</t>
        </is>
      </c>
      <c r="K48" s="67">
        <f>IF(tblY11[[#This Row],[Preferred Last name]]="","",COUNTIFS($N$1:$ZZ$1,"*"&amp;CHAR(10)&amp;"Stanine",$N48:$ZZ48,"&gt;=1"))</f>
        <v>6</v>
      </c>
      <c r="L48" s="68">
        <f>IFERROR(AVERAGEIF($N$1:$ZZ$1,"*"&amp;CHAR(10)&amp;"Stanine",$N48:$ZZ48),"")</f>
        <v>3.83333333333333</v>
      </c>
      <c r="M48" s="69">
        <f>IF(AND(ISNUMBER(tblY11[[#This Row],[Mean Stanine]]),ISNUMBER(tblY11[[#This Row],[Avg KS2 Band]])),tblY11[[#This Row],[Mean Stanine]]-tblY11[[#This Row],[Avg KS2 Band]],"")</f>
        <v>1.83333333333333</v>
      </c>
      <c r="N48" s="66" t="n">
        <v>13</v>
      </c>
      <c r="O4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48" s="66" t="n">
        <v>14</v>
      </c>
      <c r="Q4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48" s="66" t="n">
        <v>16</v>
      </c>
      <c r="S48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48" s="66" t="n">
        <v>19</v>
      </c>
      <c r="U4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48" s="66" t="n">
        <v>10</v>
      </c>
      <c r="W4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48" s="66" t="n">
        <v>9</v>
      </c>
      <c r="Y4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49">
      <c r="A49" s="65" t="inlineStr">
        <is>
          <t>X903127294483</t>
        </is>
      </c>
      <c r="B49" s="65" t="inlineStr">
        <is>
          <t>Mistry</t>
        </is>
      </c>
      <c r="C49" s="65" t="inlineStr">
        <is>
          <t>Muhammad</t>
        </is>
      </c>
      <c r="D49" s="66" t="inlineStr">
        <is>
          <t>F</t>
        </is>
      </c>
      <c r="E49" s="66" t="inlineStr">
        <is>
          <t>K</t>
        </is>
      </c>
      <c r="F49" s="66" t="inlineStr">
        <is>
          <t>N</t>
        </is>
      </c>
      <c r="G49" s="34" t="n">
        <v>89.90000000000001</v>
      </c>
      <c r="H49" s="34" t="n">
        <v>102.5</v>
      </c>
      <c r="I49" s="67">
        <f>IF(ISNUMBER(tblY11[[#This Row],[Avg KS2]]),IFERROR(VLOOKUP(STANDARDIZE(tblY11[[#This Row],[Avg KS2]],AVERAGE(tblY11[[Avg KS2]]),_xlfn.STDEV.P(tblY11[[Avg KS2]])),_Stanine,2),5),"")</f>
        <v>4</v>
      </c>
      <c r="J49" s="66" t="inlineStr">
        <is>
          <t>11S/Sc3</t>
        </is>
      </c>
      <c r="K49" s="67">
        <f>IF(tblY11[[#This Row],[Preferred Last name]]="","",COUNTIFS($N$1:$ZZ$1,"*"&amp;CHAR(10)&amp;"Stanine",$N49:$ZZ49,"&gt;=1"))</f>
        <v>6</v>
      </c>
      <c r="L49" s="68">
        <f>IFERROR(AVERAGEIF($N$1:$ZZ$1,"*"&amp;CHAR(10)&amp;"Stanine",$N49:$ZZ49),"")</f>
        <v>3.83333333333333</v>
      </c>
      <c r="M49" s="69">
        <f>IF(AND(ISNUMBER(tblY11[[#This Row],[Mean Stanine]]),ISNUMBER(tblY11[[#This Row],[Avg KS2 Band]])),tblY11[[#This Row],[Mean Stanine]]-tblY11[[#This Row],[Avg KS2 Band]],"")</f>
        <v>-0.166666666666667</v>
      </c>
      <c r="N49" s="66" t="n">
        <v>12</v>
      </c>
      <c r="O4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49" s="66" t="n">
        <v>16</v>
      </c>
      <c r="Q4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49" s="66" t="n">
        <v>12</v>
      </c>
      <c r="S49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49" s="66" t="n">
        <v>24</v>
      </c>
      <c r="U4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49" s="66" t="n">
        <v>11</v>
      </c>
      <c r="W4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49" s="66" t="n">
        <v>10</v>
      </c>
      <c r="Y4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50">
      <c r="A50" s="65" t="inlineStr">
        <is>
          <t>X907415946309</t>
        </is>
      </c>
      <c r="B50" s="65" t="inlineStr">
        <is>
          <t>Mistry</t>
        </is>
      </c>
      <c r="C50" s="65" t="inlineStr">
        <is>
          <t>Reuben</t>
        </is>
      </c>
      <c r="D50" s="66" t="inlineStr">
        <is>
          <t>F</t>
        </is>
      </c>
      <c r="E50" s="66" t="inlineStr">
        <is>
          <t>N</t>
        </is>
      </c>
      <c r="F50" s="66" t="inlineStr">
        <is>
          <t>Y</t>
        </is>
      </c>
      <c r="G50" s="34" t="n">
        <v>90.3</v>
      </c>
      <c r="H50" s="34" t="n">
        <v>99</v>
      </c>
      <c r="I50" s="67">
        <f>IF(ISNUMBER(tblY11[[#This Row],[Avg KS2]]),IFERROR(VLOOKUP(STANDARDIZE(tblY11[[#This Row],[Avg KS2]],AVERAGE(tblY11[[Avg KS2]]),_xlfn.STDEV.P(tblY11[[Avg KS2]])),_Stanine,2),5),"")</f>
        <v>3</v>
      </c>
      <c r="J50" s="66" t="inlineStr">
        <is>
          <t>11S/Sc3</t>
        </is>
      </c>
      <c r="K50" s="67">
        <f>IF(tblY11[[#This Row],[Preferred Last name]]="","",COUNTIFS($N$1:$ZZ$1,"*"&amp;CHAR(10)&amp;"Stanine",$N50:$ZZ50,"&gt;=1"))</f>
        <v>6</v>
      </c>
      <c r="L50" s="68">
        <f>IFERROR(AVERAGEIF($N$1:$ZZ$1,"*"&amp;CHAR(10)&amp;"Stanine",$N50:$ZZ50),"")</f>
        <v>3.5</v>
      </c>
      <c r="M50" s="69">
        <f>IF(AND(ISNUMBER(tblY11[[#This Row],[Mean Stanine]]),ISNUMBER(tblY11[[#This Row],[Avg KS2 Band]])),tblY11[[#This Row],[Mean Stanine]]-tblY11[[#This Row],[Avg KS2 Band]],"")</f>
        <v>0.5</v>
      </c>
      <c r="N50" s="66" t="n">
        <v>19</v>
      </c>
      <c r="O5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50" s="66" t="n">
        <v>17</v>
      </c>
      <c r="Q5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50" s="66" t="n">
        <v>9</v>
      </c>
      <c r="S50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50" s="66" t="n">
        <v>23</v>
      </c>
      <c r="U5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50" s="66" t="n">
        <v>9</v>
      </c>
      <c r="W5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50" s="66" t="n">
        <v>8</v>
      </c>
      <c r="Y5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51">
      <c r="A51" s="65" t="inlineStr">
        <is>
          <t>X902890347943</t>
        </is>
      </c>
      <c r="B51" s="65" t="inlineStr">
        <is>
          <t>Mistry</t>
        </is>
      </c>
      <c r="C51" s="65" t="inlineStr">
        <is>
          <t>Zofia</t>
        </is>
      </c>
      <c r="D51" s="66" t="inlineStr">
        <is>
          <t>F</t>
        </is>
      </c>
      <c r="E51" s="66" t="inlineStr">
        <is>
          <t>N</t>
        </is>
      </c>
      <c r="F51" s="66" t="inlineStr">
        <is>
          <t>N</t>
        </is>
      </c>
      <c r="G51" s="34" t="n">
        <v>92.7</v>
      </c>
      <c r="H51" s="34" t="inlineStr">
        <is>
          <t>No Data</t>
        </is>
      </c>
      <c r="I51" s="67" t="str">
        <f>IF(ISNUMBER(tblY11[[#This Row],[Avg KS2]]),IFERROR(VLOOKUP(STANDARDIZE(tblY11[[#This Row],[Avg KS2]],AVERAGE(tblY11[[Avg KS2]]),_xlfn.STDEV.P(tblY11[[Avg KS2]])),_Stanine,2),5),"")</f>
        <v/>
      </c>
      <c r="J51" s="66" t="inlineStr">
        <is>
          <t>11S/Sc3</t>
        </is>
      </c>
      <c r="K51" s="67">
        <f>IF(tblY11[[#This Row],[Preferred Last name]]="","",COUNTIFS($N$1:$ZZ$1,"*"&amp;CHAR(10)&amp;"Stanine",$N51:$ZZ51,"&gt;=1"))</f>
        <v>5</v>
      </c>
      <c r="L51" s="68">
        <f>IFERROR(AVERAGEIF($N$1:$ZZ$1,"*"&amp;CHAR(10)&amp;"Stanine",$N51:$ZZ51),"")</f>
        <v>5</v>
      </c>
      <c r="M51" s="69" t="str">
        <f>IF(AND(ISNUMBER(tblY11[[#This Row],[Mean Stanine]]),ISNUMBER(tblY11[[#This Row],[Avg KS2 Band]])),tblY11[[#This Row],[Mean Stanine]]-tblY11[[#This Row],[Avg KS2 Band]],"")</f>
        <v/>
      </c>
      <c r="N51" s="66" t="n">
        <v>24</v>
      </c>
      <c r="O5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51" s="66" t="n">
        <v>18</v>
      </c>
      <c r="Q5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51" s="66" t="n">
        <v>19</v>
      </c>
      <c r="S51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51" s="66" t="n">
        <v>26</v>
      </c>
      <c r="U5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51" s="66" t="n">
        <v>16</v>
      </c>
      <c r="W5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51" s="66" t="inlineStr">
        <is>
          <t>A</t>
        </is>
      </c>
      <c r="Y51" s="67" t="str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/>
      </c>
    </row>
    <row r="52">
      <c r="A52" s="65" t="inlineStr">
        <is>
          <t>X907045589272</t>
        </is>
      </c>
      <c r="B52" s="65" t="inlineStr">
        <is>
          <t>Morgan</t>
        </is>
      </c>
      <c r="C52" s="65" t="inlineStr">
        <is>
          <t>Amara</t>
        </is>
      </c>
      <c r="D52" s="66" t="inlineStr">
        <is>
          <t>M</t>
        </is>
      </c>
      <c r="E52" s="66" t="n"/>
      <c r="F52" s="66" t="inlineStr">
        <is>
          <t>N</t>
        </is>
      </c>
      <c r="G52" s="34" t="n">
        <v>87.09999999999999</v>
      </c>
      <c r="H52" s="34" t="n">
        <v>104.5</v>
      </c>
      <c r="I52" s="67">
        <f>IF(ISNUMBER(tblY11[[#This Row],[Avg KS2]]),IFERROR(VLOOKUP(STANDARDIZE(tblY11[[#This Row],[Avg KS2]],AVERAGE(tblY11[[Avg KS2]]),_xlfn.STDEV.P(tblY11[[Avg KS2]])),_Stanine,2),5),"")</f>
        <v>5</v>
      </c>
      <c r="J52" s="66" t="inlineStr">
        <is>
          <t>11S/Sc3</t>
        </is>
      </c>
      <c r="K52" s="67">
        <f>IF(tblY11[[#This Row],[Preferred Last name]]="","",COUNTIFS($N$1:$ZZ$1,"*"&amp;CHAR(10)&amp;"Stanine",$N52:$ZZ52,"&gt;=1"))</f>
        <v>5</v>
      </c>
      <c r="L52" s="68">
        <f>IFERROR(AVERAGEIF($N$1:$ZZ$1,"*"&amp;CHAR(10)&amp;"Stanine",$N52:$ZZ52),"")</f>
        <v>6.8</v>
      </c>
      <c r="M52" s="69">
        <f>IF(AND(ISNUMBER(tblY11[[#This Row],[Mean Stanine]]),ISNUMBER(tblY11[[#This Row],[Avg KS2 Band]])),tblY11[[#This Row],[Mean Stanine]]-tblY11[[#This Row],[Avg KS2 Band]],"")</f>
        <v>1.8</v>
      </c>
      <c r="N52" s="66" t="n">
        <v>32</v>
      </c>
      <c r="O5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52" s="66" t="n">
        <v>29</v>
      </c>
      <c r="Q5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52" s="66" t="inlineStr">
        <is>
          <t>A</t>
        </is>
      </c>
      <c r="S52" s="67" t="str">
        <f>IF(ISNUMBER(tblY11[[#This Row],[4P06 - Waves
Raw Score]]),IFERROR(VLOOKUP(STANDARDIZE(tblY11[[#This Row],[4P06 - Waves
Raw Score]],AVERAGE(tblY11[[4P06 - Waves
Raw Score]]),_xlfn.STDEV.P(tblY11[[4P06 - Waves
Raw Score]])),_Stanine,2),5),"")</f>
        <v/>
      </c>
      <c r="T52" s="66" t="n">
        <v>36</v>
      </c>
      <c r="U5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52" s="66" t="n">
        <v>19</v>
      </c>
      <c r="W5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52" s="66" t="n">
        <v>23</v>
      </c>
      <c r="Y5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53">
      <c r="A53" s="65" t="inlineStr">
        <is>
          <t>X900805563140</t>
        </is>
      </c>
      <c r="B53" s="65" t="inlineStr">
        <is>
          <t>Morgan</t>
        </is>
      </c>
      <c r="C53" s="65" t="inlineStr">
        <is>
          <t>Ivy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87.5</v>
      </c>
      <c r="H53" s="34" t="n">
        <v>100.5</v>
      </c>
      <c r="I53" s="67">
        <f>IF(ISNUMBER(tblY11[[#This Row],[Avg KS2]]),IFERROR(VLOOKUP(STANDARDIZE(tblY11[[#This Row],[Avg KS2]],AVERAGE(tblY11[[Avg KS2]]),_xlfn.STDEV.P(tblY11[[Avg KS2]])),_Stanine,2),5),"")</f>
        <v>4</v>
      </c>
      <c r="J53" s="66" t="inlineStr">
        <is>
          <t>11S/Sc2</t>
        </is>
      </c>
      <c r="K53" s="67">
        <f>IF(tblY11[[#This Row],[Preferred Last name]]="","",COUNTIFS($N$1:$ZZ$1,"*"&amp;CHAR(10)&amp;"Stanine",$N53:$ZZ53,"&gt;=1"))</f>
        <v>6</v>
      </c>
      <c r="L53" s="68">
        <f>IFERROR(AVERAGEIF($N$1:$ZZ$1,"*"&amp;CHAR(10)&amp;"Stanine",$N53:$ZZ53),"")</f>
        <v>5.33333333333333</v>
      </c>
      <c r="M53" s="69">
        <f>IF(AND(ISNUMBER(tblY11[[#This Row],[Mean Stanine]]),ISNUMBER(tblY11[[#This Row],[Avg KS2 Band]])),tblY11[[#This Row],[Mean Stanine]]-tblY11[[#This Row],[Avg KS2 Band]],"")</f>
        <v>1.33333333333333</v>
      </c>
      <c r="N53" s="66" t="n">
        <v>23</v>
      </c>
      <c r="O5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53" s="66" t="n">
        <v>23</v>
      </c>
      <c r="Q5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53" s="66" t="n">
        <v>21</v>
      </c>
      <c r="S53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53" s="66" t="n">
        <v>32</v>
      </c>
      <c r="U5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53" s="66" t="n">
        <v>15</v>
      </c>
      <c r="W5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53" s="66" t="n">
        <v>11</v>
      </c>
      <c r="Y5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54">
      <c r="A54" s="65" t="inlineStr">
        <is>
          <t>X903221354057</t>
        </is>
      </c>
      <c r="B54" s="65" t="inlineStr">
        <is>
          <t>Morgan</t>
        </is>
      </c>
      <c r="C54" s="65" t="inlineStr">
        <is>
          <t>Jacob</t>
        </is>
      </c>
      <c r="D54" s="66" t="inlineStr">
        <is>
          <t>M</t>
        </is>
      </c>
      <c r="E54" s="66" t="inlineStr">
        <is>
          <t>K</t>
        </is>
      </c>
      <c r="F54" s="66" t="inlineStr">
        <is>
          <t>N</t>
        </is>
      </c>
      <c r="G54" s="34" t="n">
        <v>97.5</v>
      </c>
      <c r="H54" s="34" t="n">
        <v>100.5</v>
      </c>
      <c r="I54" s="67">
        <f>IF(ISNUMBER(tblY11[[#This Row],[Avg KS2]]),IFERROR(VLOOKUP(STANDARDIZE(tblY11[[#This Row],[Avg KS2]],AVERAGE(tblY11[[Avg KS2]]),_xlfn.STDEV.P(tblY11[[Avg KS2]])),_Stanine,2),5),"")</f>
        <v>4</v>
      </c>
      <c r="J54" s="66" t="inlineStr">
        <is>
          <t>11S/Sc2</t>
        </is>
      </c>
      <c r="K54" s="67">
        <f>IF(tblY11[[#This Row],[Preferred Last name]]="","",COUNTIFS($N$1:$ZZ$1,"*"&amp;CHAR(10)&amp;"Stanine",$N54:$ZZ54,"&gt;=1"))</f>
        <v>6</v>
      </c>
      <c r="L54" s="68">
        <f>IFERROR(AVERAGEIF($N$1:$ZZ$1,"*"&amp;CHAR(10)&amp;"Stanine",$N54:$ZZ54),"")</f>
        <v>4</v>
      </c>
      <c r="M54" s="69">
        <f>IF(AND(ISNUMBER(tblY11[[#This Row],[Mean Stanine]]),ISNUMBER(tblY11[[#This Row],[Avg KS2 Band]])),tblY11[[#This Row],[Mean Stanine]]-tblY11[[#This Row],[Avg KS2 Band]],"")</f>
        <v>0</v>
      </c>
      <c r="N54" s="66" t="n">
        <v>23</v>
      </c>
      <c r="O5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54" s="66" t="n">
        <v>13</v>
      </c>
      <c r="Q5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54" s="66" t="n">
        <v>15</v>
      </c>
      <c r="S54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54" s="66" t="n">
        <v>22</v>
      </c>
      <c r="U5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54" s="66" t="n">
        <v>13</v>
      </c>
      <c r="W5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54" s="66" t="n">
        <v>9</v>
      </c>
      <c r="Y5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55">
      <c r="A55" s="65" t="inlineStr">
        <is>
          <t>X904237373530</t>
        </is>
      </c>
      <c r="B55" s="65" t="inlineStr">
        <is>
          <t>Morgan</t>
        </is>
      </c>
      <c r="C55" s="65" t="inlineStr">
        <is>
          <t>Keira</t>
        </is>
      </c>
      <c r="D55" s="66" t="inlineStr">
        <is>
          <t>M</t>
        </is>
      </c>
      <c r="E55" s="66" t="n"/>
      <c r="F55" s="66" t="inlineStr">
        <is>
          <t>N</t>
        </is>
      </c>
      <c r="G55" s="34" t="n">
        <v>100</v>
      </c>
      <c r="H55" s="34" t="n">
        <v>93.5</v>
      </c>
      <c r="I55" s="67">
        <f>IF(ISNUMBER(tblY11[[#This Row],[Avg KS2]]),IFERROR(VLOOKUP(STANDARDIZE(tblY11[[#This Row],[Avg KS2]],AVERAGE(tblY11[[Avg KS2]]),_xlfn.STDEV.P(tblY11[[Avg KS2]])),_Stanine,2),5),"")</f>
        <v>1</v>
      </c>
      <c r="J55" s="66" t="inlineStr">
        <is>
          <t>11S/Sc3</t>
        </is>
      </c>
      <c r="K55" s="67">
        <f>IF(tblY11[[#This Row],[Preferred Last name]]="","",COUNTIFS($N$1:$ZZ$1,"*"&amp;CHAR(10)&amp;"Stanine",$N55:$ZZ55,"&gt;=1"))</f>
        <v>6</v>
      </c>
      <c r="L55" s="68">
        <f>IFERROR(AVERAGEIF($N$1:$ZZ$1,"*"&amp;CHAR(10)&amp;"Stanine",$N55:$ZZ55),"")</f>
        <v>4</v>
      </c>
      <c r="M55" s="69">
        <f>IF(AND(ISNUMBER(tblY11[[#This Row],[Mean Stanine]]),ISNUMBER(tblY11[[#This Row],[Avg KS2 Band]])),tblY11[[#This Row],[Mean Stanine]]-tblY11[[#This Row],[Avg KS2 Band]],"")</f>
        <v>3</v>
      </c>
      <c r="N55" s="66" t="n">
        <v>16</v>
      </c>
      <c r="O5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55" s="66" t="n">
        <v>11</v>
      </c>
      <c r="Q5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55" s="66" t="n">
        <v>15</v>
      </c>
      <c r="S55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55" s="66" t="n">
        <v>26</v>
      </c>
      <c r="U5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55" s="66" t="n">
        <v>8</v>
      </c>
      <c r="W5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55" s="66" t="n">
        <v>14</v>
      </c>
      <c r="Y5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56">
      <c r="A56" s="65" t="inlineStr">
        <is>
          <t>X906906526644</t>
        </is>
      </c>
      <c r="B56" s="65" t="inlineStr">
        <is>
          <t>Murphy</t>
        </is>
      </c>
      <c r="C56" s="65" t="inlineStr">
        <is>
          <t>Chidi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N</t>
        </is>
      </c>
      <c r="G56" s="34" t="n">
        <v>92.3</v>
      </c>
      <c r="H56" s="34" t="n">
        <v>117</v>
      </c>
      <c r="I56" s="67">
        <f>IF(ISNUMBER(tblY11[[#This Row],[Avg KS2]]),IFERROR(VLOOKUP(STANDARDIZE(tblY11[[#This Row],[Avg KS2]],AVERAGE(tblY11[[Avg KS2]]),_xlfn.STDEV.P(tblY11[[Avg KS2]])),_Stanine,2),5),"")</f>
        <v>9</v>
      </c>
      <c r="J56" s="66" t="inlineStr">
        <is>
          <t>11S/Sc1</t>
        </is>
      </c>
      <c r="K56" s="67">
        <f>IF(tblY11[[#This Row],[Preferred Last name]]="","",COUNTIFS($N$1:$ZZ$1,"*"&amp;CHAR(10)&amp;"Stanine",$N56:$ZZ56,"&gt;=1"))</f>
        <v>6</v>
      </c>
      <c r="L56" s="68">
        <f>IFERROR(AVERAGEIF($N$1:$ZZ$1,"*"&amp;CHAR(10)&amp;"Stanine",$N56:$ZZ56),"")</f>
        <v>8.5</v>
      </c>
      <c r="M56" s="69">
        <f>IF(AND(ISNUMBER(tblY11[[#This Row],[Mean Stanine]]),ISNUMBER(tblY11[[#This Row],[Avg KS2 Band]])),tblY11[[#This Row],[Mean Stanine]]-tblY11[[#This Row],[Avg KS2 Band]],"")</f>
        <v>-0.5</v>
      </c>
      <c r="N56" s="66" t="n">
        <v>37</v>
      </c>
      <c r="O5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56" s="66" t="n">
        <v>32</v>
      </c>
      <c r="Q5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56" s="66" t="n">
        <v>33</v>
      </c>
      <c r="S56" s="67">
        <f>IF(ISNUMBER(tblY11[[#This Row],[4P06 - Waves
Raw Score]]),IFERROR(VLOOKUP(STANDARDIZE(tblY11[[#This Row],[4P06 - Waves
Raw Score]],AVERAGE(tblY11[[4P06 - Waves
Raw Score]]),_xlfn.STDEV.P(tblY11[[4P06 - Waves
Raw Score]])),_Stanine,2),5),"")</f>
        <v>9</v>
      </c>
      <c r="T56" s="66" t="n">
        <v>41</v>
      </c>
      <c r="U5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56" s="66" t="n">
        <v>28</v>
      </c>
      <c r="W5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9</v>
      </c>
      <c r="X56" s="66" t="n">
        <v>32</v>
      </c>
      <c r="Y5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9</v>
      </c>
    </row>
    <row r="57">
      <c r="A57" s="65" t="inlineStr">
        <is>
          <t>X908129469363</t>
        </is>
      </c>
      <c r="B57" s="65" t="inlineStr">
        <is>
          <t>Murphy</t>
        </is>
      </c>
      <c r="C57" s="65" t="inlineStr">
        <is>
          <t>Rhys</t>
        </is>
      </c>
      <c r="D57" s="66" t="inlineStr">
        <is>
          <t>M</t>
        </is>
      </c>
      <c r="E57" s="66" t="n"/>
      <c r="F57" s="66" t="inlineStr">
        <is>
          <t>N</t>
        </is>
      </c>
      <c r="G57" s="34" t="n">
        <v>84.7</v>
      </c>
      <c r="H57" s="34" t="n">
        <v>117.5</v>
      </c>
      <c r="I57" s="67">
        <f>IF(ISNUMBER(tblY11[[#This Row],[Avg KS2]]),IFERROR(VLOOKUP(STANDARDIZE(tblY11[[#This Row],[Avg KS2]],AVERAGE(tblY11[[Avg KS2]]),_xlfn.STDEV.P(tblY11[[Avg KS2]])),_Stanine,2),5),"")</f>
        <v>9</v>
      </c>
      <c r="J57" s="66" t="inlineStr">
        <is>
          <t>11S/Sc1</t>
        </is>
      </c>
      <c r="K57" s="67">
        <f>IF(tblY11[[#This Row],[Preferred Last name]]="","",COUNTIFS($N$1:$ZZ$1,"*"&amp;CHAR(10)&amp;"Stanine",$N57:$ZZ57,"&gt;=1"))</f>
        <v>6</v>
      </c>
      <c r="L57" s="68">
        <f>IFERROR(AVERAGEIF($N$1:$ZZ$1,"*"&amp;CHAR(10)&amp;"Stanine",$N57:$ZZ57),"")</f>
        <v>8.16666666666667</v>
      </c>
      <c r="M57" s="69">
        <f>IF(AND(ISNUMBER(tblY11[[#This Row],[Mean Stanine]]),ISNUMBER(tblY11[[#This Row],[Avg KS2 Band]])),tblY11[[#This Row],[Mean Stanine]]-tblY11[[#This Row],[Avg KS2 Band]],"")</f>
        <v>-0.833333333333334</v>
      </c>
      <c r="N57" s="66" t="n">
        <v>37</v>
      </c>
      <c r="O5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57" s="66" t="n">
        <v>31</v>
      </c>
      <c r="Q5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57" s="66" t="n">
        <v>32</v>
      </c>
      <c r="S57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57" s="66" t="n">
        <v>40</v>
      </c>
      <c r="U5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57" s="66" t="n">
        <v>27</v>
      </c>
      <c r="W5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57" s="66" t="n">
        <v>29</v>
      </c>
      <c r="Y5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9</v>
      </c>
    </row>
    <row r="58">
      <c r="A58" s="65" t="inlineStr">
        <is>
          <t>X905803357015</t>
        </is>
      </c>
      <c r="B58" s="65" t="inlineStr">
        <is>
          <t>Murphy</t>
        </is>
      </c>
      <c r="C58" s="65" t="inlineStr">
        <is>
          <t>Rhys</t>
        </is>
      </c>
      <c r="D58" s="66" t="inlineStr">
        <is>
          <t>F</t>
        </is>
      </c>
      <c r="E58" s="66" t="inlineStr">
        <is>
          <t>N</t>
        </is>
      </c>
      <c r="F58" s="66" t="inlineStr">
        <is>
          <t>N</t>
        </is>
      </c>
      <c r="G58" s="34" t="n">
        <v>95.2</v>
      </c>
      <c r="H58" s="34" t="n">
        <v>114.5</v>
      </c>
      <c r="I58" s="67">
        <f>IF(ISNUMBER(tblY11[[#This Row],[Avg KS2]]),IFERROR(VLOOKUP(STANDARDIZE(tblY11[[#This Row],[Avg KS2]],AVERAGE(tblY11[[Avg KS2]]),_xlfn.STDEV.P(tblY11[[Avg KS2]])),_Stanine,2),5),"")</f>
        <v>8</v>
      </c>
      <c r="J58" s="66" t="inlineStr">
        <is>
          <t>11S/Sc1</t>
        </is>
      </c>
      <c r="K58" s="67">
        <f>IF(tblY11[[#This Row],[Preferred Last name]]="","",COUNTIFS($N$1:$ZZ$1,"*"&amp;CHAR(10)&amp;"Stanine",$N58:$ZZ58,"&gt;=1"))</f>
        <v>5</v>
      </c>
      <c r="L58" s="68">
        <f>IFERROR(AVERAGEIF($N$1:$ZZ$1,"*"&amp;CHAR(10)&amp;"Stanine",$N58:$ZZ58),"")</f>
        <v>8</v>
      </c>
      <c r="M58" s="69">
        <f>IF(AND(ISNUMBER(tblY11[[#This Row],[Mean Stanine]]),ISNUMBER(tblY11[[#This Row],[Avg KS2 Band]])),tblY11[[#This Row],[Mean Stanine]]-tblY11[[#This Row],[Avg KS2 Band]],"")</f>
        <v>0</v>
      </c>
      <c r="N58" s="66" t="n">
        <v>37</v>
      </c>
      <c r="O5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58" s="66" t="n">
        <v>31</v>
      </c>
      <c r="Q5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58" s="66" t="n">
        <v>31</v>
      </c>
      <c r="S58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58" s="66" t="n">
        <v>40</v>
      </c>
      <c r="U5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58" s="66" t="n">
        <v>27</v>
      </c>
      <c r="W5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58" s="66" t="inlineStr">
        <is>
          <t>A</t>
        </is>
      </c>
      <c r="Y58" s="67" t="str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/>
      </c>
    </row>
    <row r="59">
      <c r="A59" s="65" t="inlineStr">
        <is>
          <t>X901934323984</t>
        </is>
      </c>
      <c r="B59" s="65" t="inlineStr">
        <is>
          <t>Murphy</t>
        </is>
      </c>
      <c r="C59" s="65" t="inlineStr">
        <is>
          <t>Tomasz</t>
        </is>
      </c>
      <c r="D59" s="66" t="inlineStr">
        <is>
          <t>F</t>
        </is>
      </c>
      <c r="E59" s="66" t="n"/>
      <c r="F59" s="66" t="inlineStr">
        <is>
          <t>N</t>
        </is>
      </c>
      <c r="G59" s="34" t="n">
        <v>92</v>
      </c>
      <c r="H59" s="34" t="n">
        <v>107.5</v>
      </c>
      <c r="I59" s="67">
        <f>IF(ISNUMBER(tblY11[[#This Row],[Avg KS2]]),IFERROR(VLOOKUP(STANDARDIZE(tblY11[[#This Row],[Avg KS2]],AVERAGE(tblY11[[Avg KS2]]),_xlfn.STDEV.P(tblY11[[Avg KS2]])),_Stanine,2),5),"")</f>
        <v>6</v>
      </c>
      <c r="J59" s="66" t="inlineStr">
        <is>
          <t>11S/Sc3</t>
        </is>
      </c>
      <c r="K59" s="67">
        <f>IF(tblY11[[#This Row],[Preferred Last name]]="","",COUNTIFS($N$1:$ZZ$1,"*"&amp;CHAR(10)&amp;"Stanine",$N59:$ZZ59,"&gt;=1"))</f>
        <v>6</v>
      </c>
      <c r="L59" s="68">
        <f>IFERROR(AVERAGEIF($N$1:$ZZ$1,"*"&amp;CHAR(10)&amp;"Stanine",$N59:$ZZ59),"")</f>
        <v>6.5</v>
      </c>
      <c r="M59" s="69">
        <f>IF(AND(ISNUMBER(tblY11[[#This Row],[Mean Stanine]]),ISNUMBER(tblY11[[#This Row],[Avg KS2 Band]])),tblY11[[#This Row],[Mean Stanine]]-tblY11[[#This Row],[Avg KS2 Band]],"")</f>
        <v>0.5</v>
      </c>
      <c r="N59" s="66" t="n">
        <v>29</v>
      </c>
      <c r="O5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59" s="66" t="n">
        <v>23</v>
      </c>
      <c r="Q5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59" s="66" t="n">
        <v>26</v>
      </c>
      <c r="S59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59" s="66" t="n">
        <v>35</v>
      </c>
      <c r="U5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59" s="66" t="n">
        <v>19</v>
      </c>
      <c r="W5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59" s="66" t="n">
        <v>24</v>
      </c>
      <c r="Y5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60">
      <c r="A60" s="65" t="inlineStr">
        <is>
          <t>X906952088366</t>
        </is>
      </c>
      <c r="B60" s="65" t="inlineStr">
        <is>
          <t>Nowak</t>
        </is>
      </c>
      <c r="C60" s="65" t="inlineStr">
        <is>
          <t>Ibrahim</t>
        </is>
      </c>
      <c r="D60" s="66" t="inlineStr">
        <is>
          <t>M</t>
        </is>
      </c>
      <c r="E60" s="66" t="inlineStr">
        <is>
          <t>N</t>
        </is>
      </c>
      <c r="F60" s="66" t="inlineStr">
        <is>
          <t>N</t>
        </is>
      </c>
      <c r="G60" s="34" t="n">
        <v>92.90000000000001</v>
      </c>
      <c r="H60" s="34" t="n">
        <v>107</v>
      </c>
      <c r="I60" s="67">
        <f>IF(ISNUMBER(tblY11[[#This Row],[Avg KS2]]),IFERROR(VLOOKUP(STANDARDIZE(tblY11[[#This Row],[Avg KS2]],AVERAGE(tblY11[[Avg KS2]]),_xlfn.STDEV.P(tblY11[[Avg KS2]])),_Stanine,2),5),"")</f>
        <v>6</v>
      </c>
      <c r="J60" s="66" t="inlineStr">
        <is>
          <t>11S/Sc3</t>
        </is>
      </c>
      <c r="K60" s="67">
        <f>IF(tblY11[[#This Row],[Preferred Last name]]="","",COUNTIFS($N$1:$ZZ$1,"*"&amp;CHAR(10)&amp;"Stanine",$N60:$ZZ60,"&gt;=1"))</f>
        <v>6</v>
      </c>
      <c r="L60" s="68">
        <f>IFERROR(AVERAGEIF($N$1:$ZZ$1,"*"&amp;CHAR(10)&amp;"Stanine",$N60:$ZZ60),"")</f>
        <v>4.66666666666667</v>
      </c>
      <c r="M60" s="69">
        <f>IF(AND(ISNUMBER(tblY11[[#This Row],[Mean Stanine]]),ISNUMBER(tblY11[[#This Row],[Avg KS2 Band]])),tblY11[[#This Row],[Mean Stanine]]-tblY11[[#This Row],[Avg KS2 Band]],"")</f>
        <v>-1.33333333333333</v>
      </c>
      <c r="N60" s="66" t="n">
        <v>23</v>
      </c>
      <c r="O6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60" s="66" t="n">
        <v>17</v>
      </c>
      <c r="Q6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60" s="66" t="n">
        <v>15</v>
      </c>
      <c r="S60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60" s="66" t="n">
        <v>26</v>
      </c>
      <c r="U6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60" s="66" t="n">
        <v>11</v>
      </c>
      <c r="W6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60" s="66" t="n">
        <v>17</v>
      </c>
      <c r="Y6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61">
      <c r="A61" s="65" t="inlineStr">
        <is>
          <t>X900525185304</t>
        </is>
      </c>
      <c r="B61" s="65" t="inlineStr">
        <is>
          <t>Okafor</t>
        </is>
      </c>
      <c r="C61" s="65" t="inlineStr">
        <is>
          <t>Ella</t>
        </is>
      </c>
      <c r="D61" s="66" t="inlineStr">
        <is>
          <t>M</t>
        </is>
      </c>
      <c r="E61" s="66" t="n"/>
      <c r="F61" s="66" t="inlineStr">
        <is>
          <t>N</t>
        </is>
      </c>
      <c r="G61" s="34" t="n">
        <v>89</v>
      </c>
      <c r="H61" s="34" t="n">
        <v>100</v>
      </c>
      <c r="I61" s="67">
        <f>IF(ISNUMBER(tblY11[[#This Row],[Avg KS2]]),IFERROR(VLOOKUP(STANDARDIZE(tblY11[[#This Row],[Avg KS2]],AVERAGE(tblY11[[Avg KS2]]),_xlfn.STDEV.P(tblY11[[Avg KS2]])),_Stanine,2),5),"")</f>
        <v>3</v>
      </c>
      <c r="J61" s="66" t="inlineStr">
        <is>
          <t>11S/Sc4</t>
        </is>
      </c>
      <c r="K61" s="67">
        <f>IF(tblY11[[#This Row],[Preferred Last name]]="","",COUNTIFS($N$1:$ZZ$1,"*"&amp;CHAR(10)&amp;"Stanine",$N61:$ZZ61,"&gt;=1"))</f>
        <v>5</v>
      </c>
      <c r="L61" s="68">
        <f>IFERROR(AVERAGEIF($N$1:$ZZ$1,"*"&amp;CHAR(10)&amp;"Stanine",$N61:$ZZ61),"")</f>
        <v>3</v>
      </c>
      <c r="M61" s="69">
        <f>IF(AND(ISNUMBER(tblY11[[#This Row],[Mean Stanine]]),ISNUMBER(tblY11[[#This Row],[Avg KS2 Band]])),tblY11[[#This Row],[Mean Stanine]]-tblY11[[#This Row],[Avg KS2 Band]],"")</f>
        <v>0</v>
      </c>
      <c r="N61" s="66" t="n">
        <v>21</v>
      </c>
      <c r="O6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61" s="66" t="n">
        <v>10</v>
      </c>
      <c r="Q6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61" s="66" t="n">
        <v>6</v>
      </c>
      <c r="S61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61" s="66" t="n">
        <v>14</v>
      </c>
      <c r="U6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61" s="66" t="inlineStr">
        <is>
          <t>A</t>
        </is>
      </c>
      <c r="W61" s="67" t="str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/>
      </c>
      <c r="X61" s="66" t="n">
        <v>7</v>
      </c>
      <c r="Y6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62">
      <c r="A62" s="65" t="inlineStr">
        <is>
          <t>X906526328718</t>
        </is>
      </c>
      <c r="B62" s="65" t="inlineStr">
        <is>
          <t>Okafor</t>
        </is>
      </c>
      <c r="C62" s="65" t="inlineStr">
        <is>
          <t>Harry</t>
        </is>
      </c>
      <c r="D62" s="66" t="inlineStr">
        <is>
          <t>M</t>
        </is>
      </c>
      <c r="E62" s="66" t="inlineStr">
        <is>
          <t>N</t>
        </is>
      </c>
      <c r="F62" s="66" t="inlineStr">
        <is>
          <t>N</t>
        </is>
      </c>
      <c r="G62" s="34" t="n">
        <v>95.59999999999999</v>
      </c>
      <c r="H62" s="34" t="n">
        <v>116</v>
      </c>
      <c r="I62" s="67">
        <f>IF(ISNUMBER(tblY11[[#This Row],[Avg KS2]]),IFERROR(VLOOKUP(STANDARDIZE(tblY11[[#This Row],[Avg KS2]],AVERAGE(tblY11[[Avg KS2]]),_xlfn.STDEV.P(tblY11[[Avg KS2]])),_Stanine,2),5),"")</f>
        <v>9</v>
      </c>
      <c r="J62" s="66" t="inlineStr">
        <is>
          <t>11S/Sc3</t>
        </is>
      </c>
      <c r="K62" s="67">
        <f>IF(tblY11[[#This Row],[Preferred Last name]]="","",COUNTIFS($N$1:$ZZ$1,"*"&amp;CHAR(10)&amp;"Stanine",$N62:$ZZ62,"&gt;=1"))</f>
        <v>6</v>
      </c>
      <c r="L62" s="68">
        <f>IFERROR(AVERAGEIF($N$1:$ZZ$1,"*"&amp;CHAR(10)&amp;"Stanine",$N62:$ZZ62),"")</f>
        <v>7.33333333333333</v>
      </c>
      <c r="M62" s="69">
        <f>IF(AND(ISNUMBER(tblY11[[#This Row],[Mean Stanine]]),ISNUMBER(tblY11[[#This Row],[Avg KS2 Band]])),tblY11[[#This Row],[Mean Stanine]]-tblY11[[#This Row],[Avg KS2 Band]],"")</f>
        <v>-1.66666666666667</v>
      </c>
      <c r="N62" s="66" t="n">
        <v>31</v>
      </c>
      <c r="O6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62" s="66" t="n">
        <v>32</v>
      </c>
      <c r="Q6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62" s="66" t="n">
        <v>29</v>
      </c>
      <c r="S62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62" s="66" t="n">
        <v>37</v>
      </c>
      <c r="U6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62" s="66" t="n">
        <v>23</v>
      </c>
      <c r="W6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62" s="66" t="n">
        <v>22</v>
      </c>
      <c r="Y6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63">
      <c r="A63" s="65" t="inlineStr">
        <is>
          <t>X908080605200</t>
        </is>
      </c>
      <c r="B63" s="65" t="inlineStr">
        <is>
          <t>Okafor</t>
        </is>
      </c>
      <c r="C63" s="65" t="inlineStr">
        <is>
          <t>Keira</t>
        </is>
      </c>
      <c r="D63" s="66" t="inlineStr">
        <is>
          <t>M</t>
        </is>
      </c>
      <c r="E63" s="66" t="n"/>
      <c r="F63" s="66" t="inlineStr">
        <is>
          <t>N</t>
        </is>
      </c>
      <c r="G63" s="34" t="n">
        <v>94.2</v>
      </c>
      <c r="H63" s="34" t="n">
        <v>106</v>
      </c>
      <c r="I63" s="67">
        <f>IF(ISNUMBER(tblY11[[#This Row],[Avg KS2]]),IFERROR(VLOOKUP(STANDARDIZE(tblY11[[#This Row],[Avg KS2]],AVERAGE(tblY11[[Avg KS2]]),_xlfn.STDEV.P(tblY11[[Avg KS2]])),_Stanine,2),5),"")</f>
        <v>5</v>
      </c>
      <c r="J63" s="66" t="inlineStr">
        <is>
          <t>11S/Sc4</t>
        </is>
      </c>
      <c r="K63" s="67">
        <f>IF(tblY11[[#This Row],[Preferred Last name]]="","",COUNTIFS($N$1:$ZZ$1,"*"&amp;CHAR(10)&amp;"Stanine",$N63:$ZZ63,"&gt;=1"))</f>
        <v>5</v>
      </c>
      <c r="L63" s="68">
        <f>IFERROR(AVERAGEIF($N$1:$ZZ$1,"*"&amp;CHAR(10)&amp;"Stanine",$N63:$ZZ63),"")</f>
        <v>5.6</v>
      </c>
      <c r="M63" s="69">
        <f>IF(AND(ISNUMBER(tblY11[[#This Row],[Mean Stanine]]),ISNUMBER(tblY11[[#This Row],[Avg KS2 Band]])),tblY11[[#This Row],[Mean Stanine]]-tblY11[[#This Row],[Avg KS2 Band]],"")</f>
        <v>0.6</v>
      </c>
      <c r="N63" s="66" t="n">
        <v>25</v>
      </c>
      <c r="O6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63" s="66" t="inlineStr">
        <is>
          <t>A</t>
        </is>
      </c>
      <c r="Q63" s="67" t="str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/>
      </c>
      <c r="R63" s="66" t="n">
        <v>16</v>
      </c>
      <c r="S63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63" s="66" t="n">
        <v>30</v>
      </c>
      <c r="U6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63" s="66" t="n">
        <v>18</v>
      </c>
      <c r="W6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63" s="66" t="n">
        <v>18</v>
      </c>
      <c r="Y6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64">
      <c r="A64" s="65" t="inlineStr">
        <is>
          <t>X907089762491</t>
        </is>
      </c>
      <c r="B64" s="65" t="inlineStr">
        <is>
          <t>Okafor</t>
        </is>
      </c>
      <c r="C64" s="65" t="inlineStr">
        <is>
          <t>Lewis</t>
        </is>
      </c>
      <c r="D64" s="66" t="inlineStr">
        <is>
          <t>M</t>
        </is>
      </c>
      <c r="E64" s="66" t="inlineStr">
        <is>
          <t>N</t>
        </is>
      </c>
      <c r="F64" s="66" t="inlineStr">
        <is>
          <t>N</t>
        </is>
      </c>
      <c r="G64" s="34" t="n">
        <v>100</v>
      </c>
      <c r="H64" s="34" t="n">
        <v>99</v>
      </c>
      <c r="I64" s="67">
        <f>IF(ISNUMBER(tblY11[[#This Row],[Avg KS2]]),IFERROR(VLOOKUP(STANDARDIZE(tblY11[[#This Row],[Avg KS2]],AVERAGE(tblY11[[Avg KS2]]),_xlfn.STDEV.P(tblY11[[Avg KS2]])),_Stanine,2),5),"")</f>
        <v>3</v>
      </c>
      <c r="J64" s="66" t="inlineStr">
        <is>
          <t>11S/Sc5</t>
        </is>
      </c>
      <c r="K64" s="67">
        <f>IF(tblY11[[#This Row],[Preferred Last name]]="","",COUNTIFS($N$1:$ZZ$1,"*"&amp;CHAR(10)&amp;"Stanine",$N64:$ZZ64,"&gt;=1"))</f>
        <v>6</v>
      </c>
      <c r="L64" s="68">
        <f>IFERROR(AVERAGEIF($N$1:$ZZ$1,"*"&amp;CHAR(10)&amp;"Stanine",$N64:$ZZ64),"")</f>
        <v>2.66666666666667</v>
      </c>
      <c r="M64" s="69">
        <f>IF(AND(ISNUMBER(tblY11[[#This Row],[Mean Stanine]]),ISNUMBER(tblY11[[#This Row],[Avg KS2 Band]])),tblY11[[#This Row],[Mean Stanine]]-tblY11[[#This Row],[Avg KS2 Band]],"")</f>
        <v>-0.333333333333334</v>
      </c>
      <c r="N64" s="66" t="n">
        <v>15</v>
      </c>
      <c r="O6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64" s="66" t="n">
        <v>8</v>
      </c>
      <c r="Q6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64" s="66" t="n">
        <v>11</v>
      </c>
      <c r="S64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64" s="66" t="n">
        <v>19</v>
      </c>
      <c r="U6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64" s="66" t="n">
        <v>8</v>
      </c>
      <c r="W6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64" s="66" t="n">
        <v>4</v>
      </c>
      <c r="Y6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65">
      <c r="A65" s="65" t="inlineStr">
        <is>
          <t>X904828406650</t>
        </is>
      </c>
      <c r="B65" s="65" t="inlineStr">
        <is>
          <t>Parker</t>
        </is>
      </c>
      <c r="C65" s="65" t="inlineStr">
        <is>
          <t>Poppy</t>
        </is>
      </c>
      <c r="D65" s="66" t="inlineStr">
        <is>
          <t>F</t>
        </is>
      </c>
      <c r="E65" s="66" t="inlineStr">
        <is>
          <t>N</t>
        </is>
      </c>
      <c r="F65" s="66" t="inlineStr">
        <is>
          <t>N</t>
        </is>
      </c>
      <c r="G65" s="34" t="n">
        <v>100</v>
      </c>
      <c r="H65" s="34" t="n">
        <v>107.5</v>
      </c>
      <c r="I65" s="67">
        <f>IF(ISNUMBER(tblY11[[#This Row],[Avg KS2]]),IFERROR(VLOOKUP(STANDARDIZE(tblY11[[#This Row],[Avg KS2]],AVERAGE(tblY11[[Avg KS2]]),_xlfn.STDEV.P(tblY11[[Avg KS2]])),_Stanine,2),5),"")</f>
        <v>6</v>
      </c>
      <c r="J65" s="66" t="inlineStr">
        <is>
          <t>11S/Sc1</t>
        </is>
      </c>
      <c r="K65" s="67">
        <f>IF(tblY11[[#This Row],[Preferred Last name]]="","",COUNTIFS($N$1:$ZZ$1,"*"&amp;CHAR(10)&amp;"Stanine",$N65:$ZZ65,"&gt;=1"))</f>
        <v>5</v>
      </c>
      <c r="L65" s="68">
        <f>IFERROR(AVERAGEIF($N$1:$ZZ$1,"*"&amp;CHAR(10)&amp;"Stanine",$N65:$ZZ65),"")</f>
        <v>5</v>
      </c>
      <c r="M65" s="69">
        <f>IF(AND(ISNUMBER(tblY11[[#This Row],[Mean Stanine]]),ISNUMBER(tblY11[[#This Row],[Avg KS2 Band]])),tblY11[[#This Row],[Mean Stanine]]-tblY11[[#This Row],[Avg KS2 Band]],"")</f>
        <v>-1</v>
      </c>
      <c r="N65" s="66" t="n">
        <v>22</v>
      </c>
      <c r="O6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65" s="66" t="n">
        <v>19</v>
      </c>
      <c r="Q6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65" s="66" t="n">
        <v>15</v>
      </c>
      <c r="S65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65" s="66" t="inlineStr">
        <is>
          <t>A</t>
        </is>
      </c>
      <c r="U65" s="67" t="str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/>
      </c>
      <c r="V65" s="66" t="n">
        <v>18</v>
      </c>
      <c r="W6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65" s="66" t="n">
        <v>13</v>
      </c>
      <c r="Y6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66">
      <c r="A66" s="65" t="inlineStr">
        <is>
          <t>X900368108573</t>
        </is>
      </c>
      <c r="B66" s="65" t="inlineStr">
        <is>
          <t>Patel</t>
        </is>
      </c>
      <c r="C66" s="65" t="inlineStr">
        <is>
          <t>George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100</v>
      </c>
      <c r="H66" s="34" t="n">
        <v>118</v>
      </c>
      <c r="I66" s="67">
        <f>IF(ISNUMBER(tblY11[[#This Row],[Avg KS2]]),IFERROR(VLOOKUP(STANDARDIZE(tblY11[[#This Row],[Avg KS2]],AVERAGE(tblY11[[Avg KS2]]),_xlfn.STDEV.P(tblY11[[Avg KS2]])),_Stanine,2),5),"")</f>
        <v>9</v>
      </c>
      <c r="J66" s="66" t="inlineStr">
        <is>
          <t>11S/Sc1</t>
        </is>
      </c>
      <c r="K66" s="67">
        <f>IF(tblY11[[#This Row],[Preferred Last name]]="","",COUNTIFS($N$1:$ZZ$1,"*"&amp;CHAR(10)&amp;"Stanine",$N66:$ZZ66,"&gt;=1"))</f>
        <v>6</v>
      </c>
      <c r="L66" s="68">
        <f>IFERROR(AVERAGEIF($N$1:$ZZ$1,"*"&amp;CHAR(10)&amp;"Stanine",$N66:$ZZ66),"")</f>
        <v>7.83333333333333</v>
      </c>
      <c r="M66" s="69">
        <f>IF(AND(ISNUMBER(tblY11[[#This Row],[Mean Stanine]]),ISNUMBER(tblY11[[#This Row],[Avg KS2 Band]])),tblY11[[#This Row],[Mean Stanine]]-tblY11[[#This Row],[Avg KS2 Band]],"")</f>
        <v>-1.16666666666667</v>
      </c>
      <c r="N66" s="66" t="n">
        <v>36</v>
      </c>
      <c r="O6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66" s="66" t="n">
        <v>28</v>
      </c>
      <c r="Q6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66" s="66" t="n">
        <v>31</v>
      </c>
      <c r="S66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66" s="66" t="n">
        <v>38</v>
      </c>
      <c r="U6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66" s="66" t="n">
        <v>25</v>
      </c>
      <c r="W6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66" s="66" t="n">
        <v>29</v>
      </c>
      <c r="Y6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9</v>
      </c>
    </row>
    <row r="67">
      <c r="A67" s="65" t="inlineStr">
        <is>
          <t>X905549421426</t>
        </is>
      </c>
      <c r="B67" s="65" t="inlineStr">
        <is>
          <t>Patel</t>
        </is>
      </c>
      <c r="C67" s="65" t="inlineStr">
        <is>
          <t>Ibrahim</t>
        </is>
      </c>
      <c r="D67" s="66" t="inlineStr">
        <is>
          <t>M</t>
        </is>
      </c>
      <c r="E67" s="66" t="inlineStr">
        <is>
          <t>N</t>
        </is>
      </c>
      <c r="F67" s="66" t="inlineStr">
        <is>
          <t>Y</t>
        </is>
      </c>
      <c r="G67" s="34" t="n">
        <v>92.90000000000001</v>
      </c>
      <c r="H67" s="34" t="n">
        <v>108</v>
      </c>
      <c r="I67" s="67">
        <f>IF(ISNUMBER(tblY11[[#This Row],[Avg KS2]]),IFERROR(VLOOKUP(STANDARDIZE(tblY11[[#This Row],[Avg KS2]],AVERAGE(tblY11[[Avg KS2]]),_xlfn.STDEV.P(tblY11[[Avg KS2]])),_Stanine,2),5),"")</f>
        <v>6</v>
      </c>
      <c r="J67" s="66" t="inlineStr">
        <is>
          <t>11S/Sc1</t>
        </is>
      </c>
      <c r="K67" s="67">
        <f>IF(tblY11[[#This Row],[Preferred Last name]]="","",COUNTIFS($N$1:$ZZ$1,"*"&amp;CHAR(10)&amp;"Stanine",$N67:$ZZ67,"&gt;=1"))</f>
        <v>6</v>
      </c>
      <c r="L67" s="68">
        <f>IFERROR(AVERAGEIF($N$1:$ZZ$1,"*"&amp;CHAR(10)&amp;"Stanine",$N67:$ZZ67),"")</f>
        <v>7.33333333333333</v>
      </c>
      <c r="M67" s="69">
        <f>IF(AND(ISNUMBER(tblY11[[#This Row],[Mean Stanine]]),ISNUMBER(tblY11[[#This Row],[Avg KS2 Band]])),tblY11[[#This Row],[Mean Stanine]]-tblY11[[#This Row],[Avg KS2 Band]],"")</f>
        <v>1.33333333333333</v>
      </c>
      <c r="N67" s="66" t="n">
        <v>32</v>
      </c>
      <c r="O6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67" s="66" t="n">
        <v>27</v>
      </c>
      <c r="Q6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67" s="66" t="n">
        <v>29</v>
      </c>
      <c r="S67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67" s="66" t="n">
        <v>36</v>
      </c>
      <c r="U6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67" s="66" t="n">
        <v>21</v>
      </c>
      <c r="W6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67" s="66" t="n">
        <v>25</v>
      </c>
      <c r="Y6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68">
      <c r="A68" s="65" t="inlineStr">
        <is>
          <t>X908040709581</t>
        </is>
      </c>
      <c r="B68" s="65" t="inlineStr">
        <is>
          <t>Pearson</t>
        </is>
      </c>
      <c r="C68" s="65" t="inlineStr">
        <is>
          <t>Dylan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N</t>
        </is>
      </c>
      <c r="G68" s="34" t="n">
        <v>98.40000000000001</v>
      </c>
      <c r="H68" s="34" t="n">
        <v>108.5</v>
      </c>
      <c r="I68" s="67">
        <f>IF(ISNUMBER(tblY11[[#This Row],[Avg KS2]]),IFERROR(VLOOKUP(STANDARDIZE(tblY11[[#This Row],[Avg KS2]],AVERAGE(tblY11[[Avg KS2]]),_xlfn.STDEV.P(tblY11[[Avg KS2]])),_Stanine,2),5),"")</f>
        <v>6</v>
      </c>
      <c r="J68" s="66" t="inlineStr">
        <is>
          <t>11S/Sc1</t>
        </is>
      </c>
      <c r="K68" s="67">
        <f>IF(tblY11[[#This Row],[Preferred Last name]]="","",COUNTIFS($N$1:$ZZ$1,"*"&amp;CHAR(10)&amp;"Stanine",$N68:$ZZ68,"&gt;=1"))</f>
        <v>6</v>
      </c>
      <c r="L68" s="68">
        <f>IFERROR(AVERAGEIF($N$1:$ZZ$1,"*"&amp;CHAR(10)&amp;"Stanine",$N68:$ZZ68),"")</f>
        <v>5.83333333333333</v>
      </c>
      <c r="M68" s="69">
        <f>IF(AND(ISNUMBER(tblY11[[#This Row],[Mean Stanine]]),ISNUMBER(tblY11[[#This Row],[Avg KS2 Band]])),tblY11[[#This Row],[Mean Stanine]]-tblY11[[#This Row],[Avg KS2 Band]],"")</f>
        <v>-0.166666666666667</v>
      </c>
      <c r="N68" s="66" t="n">
        <v>30</v>
      </c>
      <c r="O6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68" s="66" t="n">
        <v>20</v>
      </c>
      <c r="Q6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68" s="66" t="n">
        <v>20</v>
      </c>
      <c r="S68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68" s="66" t="n">
        <v>32</v>
      </c>
      <c r="U6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68" s="66" t="n">
        <v>21</v>
      </c>
      <c r="W6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68" s="66" t="n">
        <v>15</v>
      </c>
      <c r="Y6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69">
      <c r="A69" s="65" t="inlineStr">
        <is>
          <t>X902344665647</t>
        </is>
      </c>
      <c r="B69" s="65" t="inlineStr">
        <is>
          <t>Pearson</t>
        </is>
      </c>
      <c r="C69" s="65" t="inlineStr">
        <is>
          <t>Oscar</t>
        </is>
      </c>
      <c r="D69" s="66" t="inlineStr">
        <is>
          <t>F</t>
        </is>
      </c>
      <c r="E69" s="66" t="inlineStr">
        <is>
          <t>N</t>
        </is>
      </c>
      <c r="F69" s="66" t="inlineStr">
        <is>
          <t>N</t>
        </is>
      </c>
      <c r="G69" s="34" t="n">
        <v>97.09999999999999</v>
      </c>
      <c r="H69" s="34" t="n">
        <v>109</v>
      </c>
      <c r="I69" s="67">
        <f>IF(ISNUMBER(tblY11[[#This Row],[Avg KS2]]),IFERROR(VLOOKUP(STANDARDIZE(tblY11[[#This Row],[Avg KS2]],AVERAGE(tblY11[[Avg KS2]]),_xlfn.STDEV.P(tblY11[[Avg KS2]])),_Stanine,2),5),"")</f>
        <v>6</v>
      </c>
      <c r="J69" s="66" t="inlineStr">
        <is>
          <t>11S/Sc1</t>
        </is>
      </c>
      <c r="K69" s="67">
        <f>IF(tblY11[[#This Row],[Preferred Last name]]="","",COUNTIFS($N$1:$ZZ$1,"*"&amp;CHAR(10)&amp;"Stanine",$N69:$ZZ69,"&gt;=1"))</f>
        <v>6</v>
      </c>
      <c r="L69" s="68">
        <f>IFERROR(AVERAGEIF($N$1:$ZZ$1,"*"&amp;CHAR(10)&amp;"Stanine",$N69:$ZZ69),"")</f>
        <v>6.83333333333333</v>
      </c>
      <c r="M69" s="69">
        <f>IF(AND(ISNUMBER(tblY11[[#This Row],[Mean Stanine]]),ISNUMBER(tblY11[[#This Row],[Avg KS2 Band]])),tblY11[[#This Row],[Mean Stanine]]-tblY11[[#This Row],[Avg KS2 Band]],"")</f>
        <v>0.833333333333333</v>
      </c>
      <c r="N69" s="66" t="n">
        <v>30</v>
      </c>
      <c r="O6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69" s="66" t="n">
        <v>25</v>
      </c>
      <c r="Q6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69" s="66" t="n">
        <v>29</v>
      </c>
      <c r="S69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69" s="66" t="n">
        <v>32</v>
      </c>
      <c r="U6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69" s="66" t="n">
        <v>24</v>
      </c>
      <c r="W6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69" s="66" t="n">
        <v>22</v>
      </c>
      <c r="Y6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70">
      <c r="A70" s="65" t="inlineStr">
        <is>
          <t>X904920420871</t>
        </is>
      </c>
      <c r="B70" s="65" t="inlineStr">
        <is>
          <t>Pearson</t>
        </is>
      </c>
      <c r="C70" s="65" t="inlineStr">
        <is>
          <t>Zofia</t>
        </is>
      </c>
      <c r="D70" s="66" t="inlineStr">
        <is>
          <t>F</t>
        </is>
      </c>
      <c r="E70" s="66" t="inlineStr">
        <is>
          <t>N</t>
        </is>
      </c>
      <c r="F70" s="66" t="inlineStr">
        <is>
          <t>N</t>
        </is>
      </c>
      <c r="G70" s="34" t="n">
        <v>94.2</v>
      </c>
      <c r="H70" s="34" t="n">
        <v>111</v>
      </c>
      <c r="I70" s="67">
        <f>IF(ISNUMBER(tblY11[[#This Row],[Avg KS2]]),IFERROR(VLOOKUP(STANDARDIZE(tblY11[[#This Row],[Avg KS2]],AVERAGE(tblY11[[Avg KS2]]),_xlfn.STDEV.P(tblY11[[Avg KS2]])),_Stanine,2),5),"")</f>
        <v>7</v>
      </c>
      <c r="J70" s="66" t="inlineStr">
        <is>
          <t>11S/Sc1</t>
        </is>
      </c>
      <c r="K70" s="67">
        <f>IF(tblY11[[#This Row],[Preferred Last name]]="","",COUNTIFS($N$1:$ZZ$1,"*"&amp;CHAR(10)&amp;"Stanine",$N70:$ZZ70,"&gt;=1"))</f>
        <v>6</v>
      </c>
      <c r="L70" s="68">
        <f>IFERROR(AVERAGEIF($N$1:$ZZ$1,"*"&amp;CHAR(10)&amp;"Stanine",$N70:$ZZ70),"")</f>
        <v>8.16666666666667</v>
      </c>
      <c r="M70" s="69">
        <f>IF(AND(ISNUMBER(tblY11[[#This Row],[Mean Stanine]]),ISNUMBER(tblY11[[#This Row],[Avg KS2 Band]])),tblY11[[#This Row],[Mean Stanine]]-tblY11[[#This Row],[Avg KS2 Band]],"")</f>
        <v>1.16666666666667</v>
      </c>
      <c r="N70" s="66" t="n">
        <v>37</v>
      </c>
      <c r="O7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70" s="66" t="n">
        <v>32</v>
      </c>
      <c r="Q7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70" s="66" t="n">
        <v>32</v>
      </c>
      <c r="S70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70" s="66" t="n">
        <v>37</v>
      </c>
      <c r="U7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70" s="66" t="n">
        <v>28</v>
      </c>
      <c r="W7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9</v>
      </c>
      <c r="X70" s="66" t="n">
        <v>29</v>
      </c>
      <c r="Y7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9</v>
      </c>
    </row>
    <row r="71">
      <c r="A71" s="65" t="inlineStr">
        <is>
          <t>X907994352310</t>
        </is>
      </c>
      <c r="B71" s="65" t="inlineStr">
        <is>
          <t>Price</t>
        </is>
      </c>
      <c r="C71" s="65" t="inlineStr">
        <is>
          <t>Ethan</t>
        </is>
      </c>
      <c r="D71" s="66" t="inlineStr">
        <is>
          <t>M</t>
        </is>
      </c>
      <c r="E71" s="66" t="n"/>
      <c r="F71" s="66" t="inlineStr">
        <is>
          <t>N</t>
        </is>
      </c>
      <c r="G71" s="34" t="n">
        <v>90</v>
      </c>
      <c r="H71" s="34" t="n">
        <v>113</v>
      </c>
      <c r="I71" s="67">
        <f>IF(ISNUMBER(tblY11[[#This Row],[Avg KS2]]),IFERROR(VLOOKUP(STANDARDIZE(tblY11[[#This Row],[Avg KS2]],AVERAGE(tblY11[[Avg KS2]]),_xlfn.STDEV.P(tblY11[[Avg KS2]])),_Stanine,2),5),"")</f>
        <v>8</v>
      </c>
      <c r="J71" s="66" t="inlineStr">
        <is>
          <t>11S/Sc1</t>
        </is>
      </c>
      <c r="K71" s="67">
        <f>IF(tblY11[[#This Row],[Preferred Last name]]="","",COUNTIFS($N$1:$ZZ$1,"*"&amp;CHAR(10)&amp;"Stanine",$N71:$ZZ71,"&gt;=1"))</f>
        <v>6</v>
      </c>
      <c r="L71" s="68">
        <f>IFERROR(AVERAGEIF($N$1:$ZZ$1,"*"&amp;CHAR(10)&amp;"Stanine",$N71:$ZZ71),"")</f>
        <v>7.66666666666667</v>
      </c>
      <c r="M71" s="69">
        <f>IF(AND(ISNUMBER(tblY11[[#This Row],[Mean Stanine]]),ISNUMBER(tblY11[[#This Row],[Avg KS2 Band]])),tblY11[[#This Row],[Mean Stanine]]-tblY11[[#This Row],[Avg KS2 Band]],"")</f>
        <v>-0.333333333333333</v>
      </c>
      <c r="N71" s="66" t="n">
        <v>35</v>
      </c>
      <c r="O7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71" s="66" t="n">
        <v>32</v>
      </c>
      <c r="Q7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71" s="66" t="n">
        <v>28</v>
      </c>
      <c r="S71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71" s="66" t="n">
        <v>39</v>
      </c>
      <c r="U7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71" s="66" t="n">
        <v>21</v>
      </c>
      <c r="W7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71" s="66" t="n">
        <v>26</v>
      </c>
      <c r="Y7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72">
      <c r="A72" s="65" t="inlineStr">
        <is>
          <t>X905038558972</t>
        </is>
      </c>
      <c r="B72" s="65" t="inlineStr">
        <is>
          <t>Price</t>
        </is>
      </c>
      <c r="C72" s="65" t="inlineStr">
        <is>
          <t>Nia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97.09999999999999</v>
      </c>
      <c r="H72" s="34" t="n">
        <v>97</v>
      </c>
      <c r="I72" s="67">
        <f>IF(ISNUMBER(tblY11[[#This Row],[Avg KS2]]),IFERROR(VLOOKUP(STANDARDIZE(tblY11[[#This Row],[Avg KS2]],AVERAGE(tblY11[[Avg KS2]]),_xlfn.STDEV.P(tblY11[[Avg KS2]])),_Stanine,2),5),"")</f>
        <v>2</v>
      </c>
      <c r="J72" s="66" t="inlineStr">
        <is>
          <t>11S/Sc5</t>
        </is>
      </c>
      <c r="K72" s="67">
        <f>IF(tblY11[[#This Row],[Preferred Last name]]="","",COUNTIFS($N$1:$ZZ$1,"*"&amp;CHAR(10)&amp;"Stanine",$N72:$ZZ72,"&gt;=1"))</f>
        <v>6</v>
      </c>
      <c r="L72" s="68">
        <f>IFERROR(AVERAGEIF($N$1:$ZZ$1,"*"&amp;CHAR(10)&amp;"Stanine",$N72:$ZZ72),"")</f>
        <v>2.33333333333333</v>
      </c>
      <c r="M72" s="69">
        <f>IF(AND(ISNUMBER(tblY11[[#This Row],[Mean Stanine]]),ISNUMBER(tblY11[[#This Row],[Avg KS2 Band]])),tblY11[[#This Row],[Mean Stanine]]-tblY11[[#This Row],[Avg KS2 Band]],"")</f>
        <v>0.333333333333334</v>
      </c>
      <c r="N72" s="66" t="n">
        <v>11</v>
      </c>
      <c r="O7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72" s="66" t="n">
        <v>13</v>
      </c>
      <c r="Q7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72" s="66" t="n">
        <v>8</v>
      </c>
      <c r="S72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72" s="66" t="n">
        <v>11</v>
      </c>
      <c r="U7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72" s="66" t="n">
        <v>4</v>
      </c>
      <c r="W7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72" s="66" t="n">
        <v>5</v>
      </c>
      <c r="Y7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73">
      <c r="A73" s="65" t="inlineStr">
        <is>
          <t>X906030135762</t>
        </is>
      </c>
      <c r="B73" s="65" t="inlineStr">
        <is>
          <t>Roberts</t>
        </is>
      </c>
      <c r="C73" s="65" t="inlineStr">
        <is>
          <t>Amelia</t>
        </is>
      </c>
      <c r="D73" s="66" t="inlineStr">
        <is>
          <t>M</t>
        </is>
      </c>
      <c r="E73" s="66" t="inlineStr">
        <is>
          <t>N</t>
        </is>
      </c>
      <c r="F73" s="66" t="inlineStr">
        <is>
          <t>N</t>
        </is>
      </c>
      <c r="G73" s="34" t="n">
        <v>99.09999999999999</v>
      </c>
      <c r="H73" s="34" t="n">
        <v>103.5</v>
      </c>
      <c r="I73" s="67">
        <f>IF(ISNUMBER(tblY11[[#This Row],[Avg KS2]]),IFERROR(VLOOKUP(STANDARDIZE(tblY11[[#This Row],[Avg KS2]],AVERAGE(tblY11[[Avg KS2]]),_xlfn.STDEV.P(tblY11[[Avg KS2]])),_Stanine,2),5),"")</f>
        <v>5</v>
      </c>
      <c r="J73" s="66" t="inlineStr">
        <is>
          <t>11S/Sc4</t>
        </is>
      </c>
      <c r="K73" s="67">
        <f>IF(tblY11[[#This Row],[Preferred Last name]]="","",COUNTIFS($N$1:$ZZ$1,"*"&amp;CHAR(10)&amp;"Stanine",$N73:$ZZ73,"&gt;=1"))</f>
        <v>6</v>
      </c>
      <c r="L73" s="68">
        <f>IFERROR(AVERAGEIF($N$1:$ZZ$1,"*"&amp;CHAR(10)&amp;"Stanine",$N73:$ZZ73),"")</f>
        <v>4.33333333333333</v>
      </c>
      <c r="M73" s="69">
        <f>IF(AND(ISNUMBER(tblY11[[#This Row],[Mean Stanine]]),ISNUMBER(tblY11[[#This Row],[Avg KS2 Band]])),tblY11[[#This Row],[Mean Stanine]]-tblY11[[#This Row],[Avg KS2 Band]],"")</f>
        <v>-0.666666666666667</v>
      </c>
      <c r="N73" s="66" t="n">
        <v>22</v>
      </c>
      <c r="O7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73" s="66" t="n">
        <v>12</v>
      </c>
      <c r="Q7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73" s="66" t="n">
        <v>15</v>
      </c>
      <c r="S73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73" s="66" t="n">
        <v>22</v>
      </c>
      <c r="U7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73" s="66" t="n">
        <v>11</v>
      </c>
      <c r="W7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73" s="66" t="n">
        <v>18</v>
      </c>
      <c r="Y7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74">
      <c r="A74" s="65" t="inlineStr">
        <is>
          <t>X908583086061</t>
        </is>
      </c>
      <c r="B74" s="65" t="inlineStr">
        <is>
          <t>Roberts</t>
        </is>
      </c>
      <c r="C74" s="65" t="inlineStr">
        <is>
          <t>Callum</t>
        </is>
      </c>
      <c r="D74" s="66" t="inlineStr">
        <is>
          <t>M</t>
        </is>
      </c>
      <c r="E74" s="66" t="inlineStr">
        <is>
          <t>N</t>
        </is>
      </c>
      <c r="F74" s="66" t="inlineStr">
        <is>
          <t>Y</t>
        </is>
      </c>
      <c r="G74" s="34" t="n">
        <v>100</v>
      </c>
      <c r="H74" s="34" t="n">
        <v>107.5</v>
      </c>
      <c r="I74" s="67">
        <f>IF(ISNUMBER(tblY11[[#This Row],[Avg KS2]]),IFERROR(VLOOKUP(STANDARDIZE(tblY11[[#This Row],[Avg KS2]],AVERAGE(tblY11[[Avg KS2]]),_xlfn.STDEV.P(tblY11[[Avg KS2]])),_Stanine,2),5),"")</f>
        <v>6</v>
      </c>
      <c r="J74" s="66" t="inlineStr">
        <is>
          <t>11S/Sc2</t>
        </is>
      </c>
      <c r="K74" s="67">
        <f>IF(tblY11[[#This Row],[Preferred Last name]]="","",COUNTIFS($N$1:$ZZ$1,"*"&amp;CHAR(10)&amp;"Stanine",$N74:$ZZ74,"&gt;=1"))</f>
        <v>6</v>
      </c>
      <c r="L74" s="68">
        <f>IFERROR(AVERAGEIF($N$1:$ZZ$1,"*"&amp;CHAR(10)&amp;"Stanine",$N74:$ZZ74),"")</f>
        <v>6.66666666666667</v>
      </c>
      <c r="M74" s="69">
        <f>IF(AND(ISNUMBER(tblY11[[#This Row],[Mean Stanine]]),ISNUMBER(tblY11[[#This Row],[Avg KS2 Band]])),tblY11[[#This Row],[Mean Stanine]]-tblY11[[#This Row],[Avg KS2 Band]],"")</f>
        <v>0.666666666666667</v>
      </c>
      <c r="N74" s="66" t="n">
        <v>30</v>
      </c>
      <c r="O7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74" s="66" t="n">
        <v>28</v>
      </c>
      <c r="Q7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74" s="66" t="n">
        <v>26</v>
      </c>
      <c r="S74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74" s="66" t="n">
        <v>36</v>
      </c>
      <c r="U7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74" s="66" t="n">
        <v>23</v>
      </c>
      <c r="W7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74" s="66" t="n">
        <v>19</v>
      </c>
      <c r="Y7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75">
      <c r="A75" s="65" t="inlineStr">
        <is>
          <t>X909183247918</t>
        </is>
      </c>
      <c r="B75" s="65" t="inlineStr">
        <is>
          <t>Roberts</t>
        </is>
      </c>
      <c r="C75" s="65" t="inlineStr">
        <is>
          <t>Chidi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Y</t>
        </is>
      </c>
      <c r="G75" s="34" t="n">
        <v>95.40000000000001</v>
      </c>
      <c r="H75" s="34" t="n">
        <v>97.5</v>
      </c>
      <c r="I75" s="67">
        <f>IF(ISNUMBER(tblY11[[#This Row],[Avg KS2]]),IFERROR(VLOOKUP(STANDARDIZE(tblY11[[#This Row],[Avg KS2]],AVERAGE(tblY11[[Avg KS2]]),_xlfn.STDEV.P(tblY11[[Avg KS2]])),_Stanine,2),5),"")</f>
        <v>3</v>
      </c>
      <c r="J75" s="66" t="inlineStr">
        <is>
          <t>11S/Sc5</t>
        </is>
      </c>
      <c r="K75" s="67">
        <f>IF(tblY11[[#This Row],[Preferred Last name]]="","",COUNTIFS($N$1:$ZZ$1,"*"&amp;CHAR(10)&amp;"Stanine",$N75:$ZZ75,"&gt;=1"))</f>
        <v>6</v>
      </c>
      <c r="L75" s="68">
        <f>IFERROR(AVERAGEIF($N$1:$ZZ$1,"*"&amp;CHAR(10)&amp;"Stanine",$N75:$ZZ75),"")</f>
        <v>3.16666666666667</v>
      </c>
      <c r="M75" s="69">
        <f>IF(AND(ISNUMBER(tblY11[[#This Row],[Mean Stanine]]),ISNUMBER(tblY11[[#This Row],[Avg KS2 Band]])),tblY11[[#This Row],[Mean Stanine]]-tblY11[[#This Row],[Avg KS2 Band]],"")</f>
        <v>0.166666666666667</v>
      </c>
      <c r="N75" s="66" t="n">
        <v>15</v>
      </c>
      <c r="O7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75" s="66" t="n">
        <v>12</v>
      </c>
      <c r="Q7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75" s="66" t="n">
        <v>14</v>
      </c>
      <c r="S75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75" s="66" t="n">
        <v>16</v>
      </c>
      <c r="U7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75" s="66" t="n">
        <v>9</v>
      </c>
      <c r="W7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75" s="66" t="n">
        <v>6</v>
      </c>
      <c r="Y7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76">
      <c r="A76" s="65" t="inlineStr">
        <is>
          <t>X906322014057</t>
        </is>
      </c>
      <c r="B76" s="65" t="inlineStr">
        <is>
          <t>Roberts</t>
        </is>
      </c>
      <c r="C76" s="65" t="inlineStr">
        <is>
          <t>Muhammad</t>
        </is>
      </c>
      <c r="D76" s="66" t="inlineStr">
        <is>
          <t>M</t>
        </is>
      </c>
      <c r="E76" s="66" t="n"/>
      <c r="F76" s="66" t="inlineStr">
        <is>
          <t>Y</t>
        </is>
      </c>
      <c r="G76" s="34" t="n">
        <v>100</v>
      </c>
      <c r="H76" s="34" t="n">
        <v>99</v>
      </c>
      <c r="I76" s="67">
        <f>IF(ISNUMBER(tblY11[[#This Row],[Avg KS2]]),IFERROR(VLOOKUP(STANDARDIZE(tblY11[[#This Row],[Avg KS2]],AVERAGE(tblY11[[Avg KS2]]),_xlfn.STDEV.P(tblY11[[Avg KS2]])),_Stanine,2),5),"")</f>
        <v>3</v>
      </c>
      <c r="J76" s="66" t="inlineStr">
        <is>
          <t>11S/Sc4</t>
        </is>
      </c>
      <c r="K76" s="67">
        <f>IF(tblY11[[#This Row],[Preferred Last name]]="","",COUNTIFS($N$1:$ZZ$1,"*"&amp;CHAR(10)&amp;"Stanine",$N76:$ZZ76,"&gt;=1"))</f>
        <v>6</v>
      </c>
      <c r="L76" s="68">
        <f>IFERROR(AVERAGEIF($N$1:$ZZ$1,"*"&amp;CHAR(10)&amp;"Stanine",$N76:$ZZ76),"")</f>
        <v>3.66666666666667</v>
      </c>
      <c r="M76" s="69">
        <f>IF(AND(ISNUMBER(tblY11[[#This Row],[Mean Stanine]]),ISNUMBER(tblY11[[#This Row],[Avg KS2 Band]])),tblY11[[#This Row],[Mean Stanine]]-tblY11[[#This Row],[Avg KS2 Band]],"")</f>
        <v>0.666666666666667</v>
      </c>
      <c r="N76" s="66" t="n">
        <v>18</v>
      </c>
      <c r="O7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76" s="66" t="n">
        <v>14</v>
      </c>
      <c r="Q7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76" s="66" t="n">
        <v>11</v>
      </c>
      <c r="S76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76" s="66" t="n">
        <v>26</v>
      </c>
      <c r="U7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76" s="66" t="n">
        <v>9</v>
      </c>
      <c r="W7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76" s="66" t="n">
        <v>8</v>
      </c>
      <c r="Y7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77">
      <c r="A77" s="65" t="inlineStr">
        <is>
          <t>X907055438211</t>
        </is>
      </c>
      <c r="B77" s="65" t="inlineStr">
        <is>
          <t>Robinson</t>
        </is>
      </c>
      <c r="C77" s="65" t="inlineStr">
        <is>
          <t>Freya</t>
        </is>
      </c>
      <c r="D77" s="66" t="inlineStr">
        <is>
          <t>M</t>
        </is>
      </c>
      <c r="E77" s="66" t="n"/>
      <c r="F77" s="66" t="inlineStr">
        <is>
          <t>Y</t>
        </is>
      </c>
      <c r="G77" s="34" t="n">
        <v>79.3</v>
      </c>
      <c r="H77" s="34" t="n">
        <v>101.5</v>
      </c>
      <c r="I77" s="67">
        <f>IF(ISNUMBER(tblY11[[#This Row],[Avg KS2]]),IFERROR(VLOOKUP(STANDARDIZE(tblY11[[#This Row],[Avg KS2]],AVERAGE(tblY11[[Avg KS2]]),_xlfn.STDEV.P(tblY11[[Avg KS2]])),_Stanine,2),5),"")</f>
        <v>4</v>
      </c>
      <c r="J77" s="66" t="inlineStr">
        <is>
          <t>11S/Sc5</t>
        </is>
      </c>
      <c r="K77" s="67">
        <f>IF(tblY11[[#This Row],[Preferred Last name]]="","",COUNTIFS($N$1:$ZZ$1,"*"&amp;CHAR(10)&amp;"Stanine",$N77:$ZZ77,"&gt;=1"))</f>
        <v>6</v>
      </c>
      <c r="L77" s="68">
        <f>IFERROR(AVERAGEIF($N$1:$ZZ$1,"*"&amp;CHAR(10)&amp;"Stanine",$N77:$ZZ77),"")</f>
        <v>3.83333333333333</v>
      </c>
      <c r="M77" s="69">
        <f>IF(AND(ISNUMBER(tblY11[[#This Row],[Mean Stanine]]),ISNUMBER(tblY11[[#This Row],[Avg KS2 Band]])),tblY11[[#This Row],[Mean Stanine]]-tblY11[[#This Row],[Avg KS2 Band]],"")</f>
        <v>-0.166666666666667</v>
      </c>
      <c r="N77" s="66" t="n">
        <v>17</v>
      </c>
      <c r="O7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77" s="66" t="n">
        <v>12</v>
      </c>
      <c r="Q7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77" s="66" t="n">
        <v>15</v>
      </c>
      <c r="S77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77" s="66" t="n">
        <v>24</v>
      </c>
      <c r="U7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77" s="66" t="n">
        <v>12</v>
      </c>
      <c r="W7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77" s="66" t="n">
        <v>11</v>
      </c>
      <c r="Y7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78">
      <c r="A78" s="65" t="inlineStr">
        <is>
          <t>X908736108913</t>
        </is>
      </c>
      <c r="B78" s="65" t="inlineStr">
        <is>
          <t>Robinson</t>
        </is>
      </c>
      <c r="C78" s="65" t="inlineStr">
        <is>
          <t>Noah</t>
        </is>
      </c>
      <c r="D78" s="66" t="inlineStr">
        <is>
          <t>M</t>
        </is>
      </c>
      <c r="E78" s="66" t="inlineStr">
        <is>
          <t>N</t>
        </is>
      </c>
      <c r="F78" s="66" t="inlineStr">
        <is>
          <t>N</t>
        </is>
      </c>
      <c r="G78" s="34" t="n">
        <v>87.2</v>
      </c>
      <c r="H78" s="34" t="n">
        <v>109</v>
      </c>
      <c r="I78" s="67">
        <f>IF(ISNUMBER(tblY11[[#This Row],[Avg KS2]]),IFERROR(VLOOKUP(STANDARDIZE(tblY11[[#This Row],[Avg KS2]],AVERAGE(tblY11[[Avg KS2]]),_xlfn.STDEV.P(tblY11[[Avg KS2]])),_Stanine,2),5),"")</f>
        <v>6</v>
      </c>
      <c r="J78" s="66" t="inlineStr">
        <is>
          <t>11S/Sc3</t>
        </is>
      </c>
      <c r="K78" s="67">
        <f>IF(tblY11[[#This Row],[Preferred Last name]]="","",COUNTIFS($N$1:$ZZ$1,"*"&amp;CHAR(10)&amp;"Stanine",$N78:$ZZ78,"&gt;=1"))</f>
        <v>6</v>
      </c>
      <c r="L78" s="68">
        <f>IFERROR(AVERAGEIF($N$1:$ZZ$1,"*"&amp;CHAR(10)&amp;"Stanine",$N78:$ZZ78),"")</f>
        <v>5.33333333333333</v>
      </c>
      <c r="M78" s="69">
        <f>IF(AND(ISNUMBER(tblY11[[#This Row],[Mean Stanine]]),ISNUMBER(tblY11[[#This Row],[Avg KS2 Band]])),tblY11[[#This Row],[Mean Stanine]]-tblY11[[#This Row],[Avg KS2 Band]],"")</f>
        <v>-0.666666666666667</v>
      </c>
      <c r="N78" s="66" t="n">
        <v>28</v>
      </c>
      <c r="O7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78" s="66" t="n">
        <v>24</v>
      </c>
      <c r="Q7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78" s="66" t="n">
        <v>18</v>
      </c>
      <c r="S78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78" s="66" t="n">
        <v>22</v>
      </c>
      <c r="U7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78" s="66" t="n">
        <v>14</v>
      </c>
      <c r="W7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78" s="66" t="n">
        <v>20</v>
      </c>
      <c r="Y7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79">
      <c r="A79" s="65" t="inlineStr">
        <is>
          <t>X909723527823</t>
        </is>
      </c>
      <c r="B79" s="65" t="inlineStr">
        <is>
          <t>Shaw</t>
        </is>
      </c>
      <c r="C79" s="65" t="inlineStr">
        <is>
          <t>Callum</t>
        </is>
      </c>
      <c r="D79" s="66" t="inlineStr">
        <is>
          <t>F</t>
        </is>
      </c>
      <c r="E79" s="66" t="inlineStr">
        <is>
          <t>N</t>
        </is>
      </c>
      <c r="F79" s="66" t="inlineStr">
        <is>
          <t>Y</t>
        </is>
      </c>
      <c r="G79" s="34" t="n">
        <v>97.59999999999999</v>
      </c>
      <c r="H79" s="34" t="n">
        <v>109.5</v>
      </c>
      <c r="I79" s="67">
        <f>IF(ISNUMBER(tblY11[[#This Row],[Avg KS2]]),IFERROR(VLOOKUP(STANDARDIZE(tblY11[[#This Row],[Avg KS2]],AVERAGE(tblY11[[Avg KS2]]),_xlfn.STDEV.P(tblY11[[Avg KS2]])),_Stanine,2),5),"")</f>
        <v>7</v>
      </c>
      <c r="J79" s="66" t="inlineStr">
        <is>
          <t>11S/Sc2</t>
        </is>
      </c>
      <c r="K79" s="67">
        <f>IF(tblY11[[#This Row],[Preferred Last name]]="","",COUNTIFS($N$1:$ZZ$1,"*"&amp;CHAR(10)&amp;"Stanine",$N79:$ZZ79,"&gt;=1"))</f>
        <v>6</v>
      </c>
      <c r="L79" s="68">
        <f>IFERROR(AVERAGEIF($N$1:$ZZ$1,"*"&amp;CHAR(10)&amp;"Stanine",$N79:$ZZ79),"")</f>
        <v>8</v>
      </c>
      <c r="M79" s="69">
        <f>IF(AND(ISNUMBER(tblY11[[#This Row],[Mean Stanine]]),ISNUMBER(tblY11[[#This Row],[Avg KS2 Band]])),tblY11[[#This Row],[Mean Stanine]]-tblY11[[#This Row],[Avg KS2 Band]],"")</f>
        <v>1</v>
      </c>
      <c r="N79" s="66" t="n">
        <v>35</v>
      </c>
      <c r="O7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79" s="66" t="n">
        <v>26</v>
      </c>
      <c r="Q7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79" s="66" t="n">
        <v>34</v>
      </c>
      <c r="S79" s="67">
        <f>IF(ISNUMBER(tblY11[[#This Row],[4P06 - Waves
Raw Score]]),IFERROR(VLOOKUP(STANDARDIZE(tblY11[[#This Row],[4P06 - Waves
Raw Score]],AVERAGE(tblY11[[4P06 - Waves
Raw Score]]),_xlfn.STDEV.P(tblY11[[4P06 - Waves
Raw Score]])),_Stanine,2),5),"")</f>
        <v>9</v>
      </c>
      <c r="T79" s="66" t="n">
        <v>39</v>
      </c>
      <c r="U7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79" s="66" t="n">
        <v>26</v>
      </c>
      <c r="W7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79" s="66" t="n">
        <v>26</v>
      </c>
      <c r="Y7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80">
      <c r="A80" s="65" t="inlineStr">
        <is>
          <t>X901395882575</t>
        </is>
      </c>
      <c r="B80" s="65" t="inlineStr">
        <is>
          <t>Shaw</t>
        </is>
      </c>
      <c r="C80" s="65" t="inlineStr">
        <is>
          <t>Nia</t>
        </is>
      </c>
      <c r="D80" s="66" t="inlineStr">
        <is>
          <t>F</t>
        </is>
      </c>
      <c r="E80" s="66" t="inlineStr">
        <is>
          <t>N</t>
        </is>
      </c>
      <c r="F80" s="66" t="inlineStr">
        <is>
          <t>Y</t>
        </is>
      </c>
      <c r="G80" s="34" t="n">
        <v>93.59999999999999</v>
      </c>
      <c r="H80" s="34" t="n">
        <v>99</v>
      </c>
      <c r="I80" s="67">
        <f>IF(ISNUMBER(tblY11[[#This Row],[Avg KS2]]),IFERROR(VLOOKUP(STANDARDIZE(tblY11[[#This Row],[Avg KS2]],AVERAGE(tblY11[[Avg KS2]]),_xlfn.STDEV.P(tblY11[[Avg KS2]])),_Stanine,2),5),"")</f>
        <v>3</v>
      </c>
      <c r="J80" s="66" t="inlineStr">
        <is>
          <t>11S/Sc4</t>
        </is>
      </c>
      <c r="K80" s="67">
        <f>IF(tblY11[[#This Row],[Preferred Last name]]="","",COUNTIFS($N$1:$ZZ$1,"*"&amp;CHAR(10)&amp;"Stanine",$N80:$ZZ80,"&gt;=1"))</f>
        <v>6</v>
      </c>
      <c r="L80" s="68">
        <f>IFERROR(AVERAGEIF($N$1:$ZZ$1,"*"&amp;CHAR(10)&amp;"Stanine",$N80:$ZZ80),"")</f>
        <v>2.16666666666667</v>
      </c>
      <c r="M80" s="69">
        <f>IF(AND(ISNUMBER(tblY11[[#This Row],[Mean Stanine]]),ISNUMBER(tblY11[[#This Row],[Avg KS2 Band]])),tblY11[[#This Row],[Mean Stanine]]-tblY11[[#This Row],[Avg KS2 Band]],"")</f>
        <v>-0.833333333333334</v>
      </c>
      <c r="N80" s="66" t="n">
        <v>11</v>
      </c>
      <c r="O8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80" s="66" t="n">
        <v>12</v>
      </c>
      <c r="Q8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80" s="66" t="n">
        <v>7</v>
      </c>
      <c r="S80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80" s="66" t="n">
        <v>14</v>
      </c>
      <c r="U8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80" s="66" t="n">
        <v>4</v>
      </c>
      <c r="W8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80" s="66" t="n">
        <v>3</v>
      </c>
      <c r="Y8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81">
      <c r="A81" s="65" t="inlineStr">
        <is>
          <t>X906979567729</t>
        </is>
      </c>
      <c r="B81" s="65" t="inlineStr">
        <is>
          <t>Smith</t>
        </is>
      </c>
      <c r="C81" s="65" t="inlineStr">
        <is>
          <t>Freya</t>
        </is>
      </c>
      <c r="D81" s="66" t="inlineStr">
        <is>
          <t>M</t>
        </is>
      </c>
      <c r="E81" s="66" t="n"/>
      <c r="F81" s="66" t="inlineStr">
        <is>
          <t>N</t>
        </is>
      </c>
      <c r="G81" s="34" t="n">
        <v>100</v>
      </c>
      <c r="H81" s="34" t="n">
        <v>106</v>
      </c>
      <c r="I81" s="67">
        <f>IF(ISNUMBER(tblY11[[#This Row],[Avg KS2]]),IFERROR(VLOOKUP(STANDARDIZE(tblY11[[#This Row],[Avg KS2]],AVERAGE(tblY11[[Avg KS2]]),_xlfn.STDEV.P(tblY11[[Avg KS2]])),_Stanine,2),5),"")</f>
        <v>5</v>
      </c>
      <c r="J81" s="66" t="inlineStr">
        <is>
          <t>11S/Sc2</t>
        </is>
      </c>
      <c r="K81" s="67">
        <f>IF(tblY11[[#This Row],[Preferred Last name]]="","",COUNTIFS($N$1:$ZZ$1,"*"&amp;CHAR(10)&amp;"Stanine",$N81:$ZZ81,"&gt;=1"))</f>
        <v>6</v>
      </c>
      <c r="L81" s="68">
        <f>IFERROR(AVERAGEIF($N$1:$ZZ$1,"*"&amp;CHAR(10)&amp;"Stanine",$N81:$ZZ81),"")</f>
        <v>5</v>
      </c>
      <c r="M81" s="69">
        <f>IF(AND(ISNUMBER(tblY11[[#This Row],[Mean Stanine]]),ISNUMBER(tblY11[[#This Row],[Avg KS2 Band]])),tblY11[[#This Row],[Mean Stanine]]-tblY11[[#This Row],[Avg KS2 Band]],"")</f>
        <v>0</v>
      </c>
      <c r="N81" s="66" t="n">
        <v>25</v>
      </c>
      <c r="O8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81" s="66" t="n">
        <v>24</v>
      </c>
      <c r="Q8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81" s="66" t="n">
        <v>15</v>
      </c>
      <c r="S81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81" s="66" t="n">
        <v>23</v>
      </c>
      <c r="U8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81" s="66" t="n">
        <v>19</v>
      </c>
      <c r="W8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81" s="66" t="n">
        <v>13</v>
      </c>
      <c r="Y8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82">
      <c r="A82" s="65" t="inlineStr">
        <is>
          <t>X908667724170</t>
        </is>
      </c>
      <c r="B82" s="65" t="inlineStr">
        <is>
          <t>Smith</t>
        </is>
      </c>
      <c r="C82" s="65" t="inlineStr">
        <is>
          <t>Sophie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98.09999999999999</v>
      </c>
      <c r="H82" s="34" t="n">
        <v>98.5</v>
      </c>
      <c r="I82" s="67">
        <f>IF(ISNUMBER(tblY11[[#This Row],[Avg KS2]]),IFERROR(VLOOKUP(STANDARDIZE(tblY11[[#This Row],[Avg KS2]],AVERAGE(tblY11[[Avg KS2]]),_xlfn.STDEV.P(tblY11[[Avg KS2]])),_Stanine,2),5),"")</f>
        <v>3</v>
      </c>
      <c r="J82" s="66" t="inlineStr">
        <is>
          <t>11S/Sc5</t>
        </is>
      </c>
      <c r="K82" s="67">
        <f>IF(tblY11[[#This Row],[Preferred Last name]]="","",COUNTIFS($N$1:$ZZ$1,"*"&amp;CHAR(10)&amp;"Stanine",$N82:$ZZ82,"&gt;=1"))</f>
        <v>6</v>
      </c>
      <c r="L82" s="68">
        <f>IFERROR(AVERAGEIF($N$1:$ZZ$1,"*"&amp;CHAR(10)&amp;"Stanine",$N82:$ZZ82),"")</f>
        <v>2.66666666666667</v>
      </c>
      <c r="M82" s="69">
        <f>IF(AND(ISNUMBER(tblY11[[#This Row],[Mean Stanine]]),ISNUMBER(tblY11[[#This Row],[Avg KS2 Band]])),tblY11[[#This Row],[Mean Stanine]]-tblY11[[#This Row],[Avg KS2 Band]],"")</f>
        <v>-0.333333333333334</v>
      </c>
      <c r="N82" s="66" t="n">
        <v>9</v>
      </c>
      <c r="O8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2</v>
      </c>
      <c r="P82" s="66" t="n">
        <v>10</v>
      </c>
      <c r="Q8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82" s="66" t="n">
        <v>8</v>
      </c>
      <c r="S82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82" s="66" t="n">
        <v>17</v>
      </c>
      <c r="U8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82" s="66" t="n">
        <v>7</v>
      </c>
      <c r="W8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82" s="66" t="n">
        <v>4</v>
      </c>
      <c r="Y8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83">
      <c r="A83" s="65" t="inlineStr">
        <is>
          <t>X909268049503</t>
        </is>
      </c>
      <c r="B83" s="65" t="inlineStr">
        <is>
          <t>Smith</t>
        </is>
      </c>
      <c r="C83" s="65" t="inlineStr">
        <is>
          <t>Zara</t>
        </is>
      </c>
      <c r="D83" s="66" t="inlineStr">
        <is>
          <t>F</t>
        </is>
      </c>
      <c r="E83" s="66" t="n"/>
      <c r="F83" s="66" t="inlineStr">
        <is>
          <t>Y</t>
        </is>
      </c>
      <c r="G83" s="34" t="n">
        <v>100</v>
      </c>
      <c r="H83" s="34" t="n">
        <v>99.5</v>
      </c>
      <c r="I83" s="67">
        <f>IF(ISNUMBER(tblY11[[#This Row],[Avg KS2]]),IFERROR(VLOOKUP(STANDARDIZE(tblY11[[#This Row],[Avg KS2]],AVERAGE(tblY11[[Avg KS2]]),_xlfn.STDEV.P(tblY11[[Avg KS2]])),_Stanine,2),5),"")</f>
        <v>3</v>
      </c>
      <c r="J83" s="66" t="inlineStr">
        <is>
          <t>Science Support</t>
        </is>
      </c>
      <c r="K83" s="67">
        <f>IF(tblY11[[#This Row],[Preferred Last name]]="","",COUNTIFS($N$1:$ZZ$1,"*"&amp;CHAR(10)&amp;"Stanine",$N83:$ZZ83,"&gt;=1"))</f>
        <v>6</v>
      </c>
      <c r="L83" s="68">
        <f>IFERROR(AVERAGEIF($N$1:$ZZ$1,"*"&amp;CHAR(10)&amp;"Stanine",$N83:$ZZ83),"")</f>
        <v>2.16666666666667</v>
      </c>
      <c r="M83" s="69">
        <f>IF(AND(ISNUMBER(tblY11[[#This Row],[Mean Stanine]]),ISNUMBER(tblY11[[#This Row],[Avg KS2 Band]])),tblY11[[#This Row],[Mean Stanine]]-tblY11[[#This Row],[Avg KS2 Band]],"")</f>
        <v>-0.833333333333334</v>
      </c>
      <c r="N83" s="66" t="n">
        <v>12</v>
      </c>
      <c r="O8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83" s="66" t="n">
        <v>7</v>
      </c>
      <c r="Q8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83" s="66" t="n">
        <v>5</v>
      </c>
      <c r="S83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83" s="66" t="n">
        <v>15</v>
      </c>
      <c r="U8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2</v>
      </c>
      <c r="V83" s="66" t="n">
        <v>6</v>
      </c>
      <c r="W8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83" s="66" t="n">
        <v>4</v>
      </c>
      <c r="Y8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84">
      <c r="A84" s="65" t="inlineStr">
        <is>
          <t>X908254860243</t>
        </is>
      </c>
      <c r="B84" s="65" t="inlineStr">
        <is>
          <t>Taylor</t>
        </is>
      </c>
      <c r="C84" s="65" t="inlineStr">
        <is>
          <t>Arthur</t>
        </is>
      </c>
      <c r="D84" s="66" t="inlineStr">
        <is>
          <t>M</t>
        </is>
      </c>
      <c r="E84" s="66" t="n"/>
      <c r="F84" s="66" t="inlineStr">
        <is>
          <t>Y</t>
        </is>
      </c>
      <c r="G84" s="34" t="n">
        <v>97.59999999999999</v>
      </c>
      <c r="H84" s="34" t="n">
        <v>106</v>
      </c>
      <c r="I84" s="67">
        <f>IF(ISNUMBER(tblY11[[#This Row],[Avg KS2]]),IFERROR(VLOOKUP(STANDARDIZE(tblY11[[#This Row],[Avg KS2]],AVERAGE(tblY11[[Avg KS2]]),_xlfn.STDEV.P(tblY11[[Avg KS2]])),_Stanine,2),5),"")</f>
        <v>5</v>
      </c>
      <c r="J84" s="66" t="inlineStr">
        <is>
          <t>11S/Sc4</t>
        </is>
      </c>
      <c r="K84" s="67">
        <f>IF(tblY11[[#This Row],[Preferred Last name]]="","",COUNTIFS($N$1:$ZZ$1,"*"&amp;CHAR(10)&amp;"Stanine",$N84:$ZZ84,"&gt;=1"))</f>
        <v>6</v>
      </c>
      <c r="L84" s="68">
        <f>IFERROR(AVERAGEIF($N$1:$ZZ$1,"*"&amp;CHAR(10)&amp;"Stanine",$N84:$ZZ84),"")</f>
        <v>5.5</v>
      </c>
      <c r="M84" s="69">
        <f>IF(AND(ISNUMBER(tblY11[[#This Row],[Mean Stanine]]),ISNUMBER(tblY11[[#This Row],[Avg KS2 Band]])),tblY11[[#This Row],[Mean Stanine]]-tblY11[[#This Row],[Avg KS2 Band]],"")</f>
        <v>0.5</v>
      </c>
      <c r="N84" s="66" t="n">
        <v>24</v>
      </c>
      <c r="O8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84" s="66" t="n">
        <v>20</v>
      </c>
      <c r="Q8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84" s="66" t="n">
        <v>21</v>
      </c>
      <c r="S84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84" s="66" t="n">
        <v>25</v>
      </c>
      <c r="U8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84" s="66" t="n">
        <v>14</v>
      </c>
      <c r="W8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84" s="66" t="n">
        <v>21</v>
      </c>
      <c r="Y8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85">
      <c r="A85" s="65" t="inlineStr">
        <is>
          <t>X909614063692</t>
        </is>
      </c>
      <c r="B85" s="65" t="inlineStr">
        <is>
          <t>Taylor</t>
        </is>
      </c>
      <c r="C85" s="65" t="inlineStr">
        <is>
          <t>Freya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Y</t>
        </is>
      </c>
      <c r="G85" s="34" t="n">
        <v>96.3</v>
      </c>
      <c r="H85" s="34" t="n">
        <v>100.5</v>
      </c>
      <c r="I85" s="67">
        <f>IF(ISNUMBER(tblY11[[#This Row],[Avg KS2]]),IFERROR(VLOOKUP(STANDARDIZE(tblY11[[#This Row],[Avg KS2]],AVERAGE(tblY11[[Avg KS2]]),_xlfn.STDEV.P(tblY11[[Avg KS2]])),_Stanine,2),5),"")</f>
        <v>4</v>
      </c>
      <c r="J85" s="66" t="inlineStr">
        <is>
          <t>11S/Sc4</t>
        </is>
      </c>
      <c r="K85" s="67">
        <f>IF(tblY11[[#This Row],[Preferred Last name]]="","",COUNTIFS($N$1:$ZZ$1,"*"&amp;CHAR(10)&amp;"Stanine",$N85:$ZZ85,"&gt;=1"))</f>
        <v>6</v>
      </c>
      <c r="L85" s="68">
        <f>IFERROR(AVERAGEIF($N$1:$ZZ$1,"*"&amp;CHAR(10)&amp;"Stanine",$N85:$ZZ85),"")</f>
        <v>3.83333333333333</v>
      </c>
      <c r="M85" s="69">
        <f>IF(AND(ISNUMBER(tblY11[[#This Row],[Mean Stanine]]),ISNUMBER(tblY11[[#This Row],[Avg KS2 Band]])),tblY11[[#This Row],[Mean Stanine]]-tblY11[[#This Row],[Avg KS2 Band]],"")</f>
        <v>-0.166666666666667</v>
      </c>
      <c r="N85" s="66" t="n">
        <v>13</v>
      </c>
      <c r="O8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85" s="66" t="n">
        <v>18</v>
      </c>
      <c r="Q8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85" s="66" t="n">
        <v>10</v>
      </c>
      <c r="S85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85" s="66" t="n">
        <v>20</v>
      </c>
      <c r="U8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85" s="66" t="n">
        <v>13</v>
      </c>
      <c r="W8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85" s="66" t="n">
        <v>10</v>
      </c>
      <c r="Y8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86">
      <c r="A86" s="65" t="inlineStr">
        <is>
          <t>X905354669265</t>
        </is>
      </c>
      <c r="B86" s="65" t="inlineStr">
        <is>
          <t>Taylor</t>
        </is>
      </c>
      <c r="C86" s="65" t="inlineStr">
        <is>
          <t>Seren</t>
        </is>
      </c>
      <c r="D86" s="66" t="inlineStr">
        <is>
          <t>F</t>
        </is>
      </c>
      <c r="E86" s="66" t="n"/>
      <c r="F86" s="66" t="inlineStr">
        <is>
          <t>N</t>
        </is>
      </c>
      <c r="G86" s="34" t="n">
        <v>89.90000000000001</v>
      </c>
      <c r="H86" s="34" t="n">
        <v>104.5</v>
      </c>
      <c r="I86" s="67">
        <f>IF(ISNUMBER(tblY11[[#This Row],[Avg KS2]]),IFERROR(VLOOKUP(STANDARDIZE(tblY11[[#This Row],[Avg KS2]],AVERAGE(tblY11[[Avg KS2]]),_xlfn.STDEV.P(tblY11[[Avg KS2]])),_Stanine,2),5),"")</f>
        <v>5</v>
      </c>
      <c r="J86" s="66" t="inlineStr">
        <is>
          <t>11S/Sc1</t>
        </is>
      </c>
      <c r="K86" s="67">
        <f>IF(tblY11[[#This Row],[Preferred Last name]]="","",COUNTIFS($N$1:$ZZ$1,"*"&amp;CHAR(10)&amp;"Stanine",$N86:$ZZ86,"&gt;=1"))</f>
        <v>6</v>
      </c>
      <c r="L86" s="68">
        <f>IFERROR(AVERAGEIF($N$1:$ZZ$1,"*"&amp;CHAR(10)&amp;"Stanine",$N86:$ZZ86),"")</f>
        <v>5.66666666666667</v>
      </c>
      <c r="M86" s="69">
        <f>IF(AND(ISNUMBER(tblY11[[#This Row],[Mean Stanine]]),ISNUMBER(tblY11[[#This Row],[Avg KS2 Band]])),tblY11[[#This Row],[Mean Stanine]]-tblY11[[#This Row],[Avg KS2 Band]],"")</f>
        <v>0.666666666666667</v>
      </c>
      <c r="N86" s="66" t="n">
        <v>22</v>
      </c>
      <c r="O8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86" s="66" t="n">
        <v>22</v>
      </c>
      <c r="Q8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86" s="66" t="n">
        <v>15</v>
      </c>
      <c r="S86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86" s="66" t="n">
        <v>31</v>
      </c>
      <c r="U8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86" s="66" t="n">
        <v>18</v>
      </c>
      <c r="W8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86" s="66" t="n">
        <v>23</v>
      </c>
      <c r="Y8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87">
      <c r="A87" s="65" t="inlineStr">
        <is>
          <t>X901463139439</t>
        </is>
      </c>
      <c r="B87" s="65" t="inlineStr">
        <is>
          <t>Thompson</t>
        </is>
      </c>
      <c r="C87" s="65" t="inlineStr">
        <is>
          <t>Hannah</t>
        </is>
      </c>
      <c r="D87" s="66" t="inlineStr">
        <is>
          <t>M</t>
        </is>
      </c>
      <c r="E87" s="66" t="inlineStr">
        <is>
          <t>K</t>
        </is>
      </c>
      <c r="F87" s="66" t="inlineStr">
        <is>
          <t>Y</t>
        </is>
      </c>
      <c r="G87" s="34" t="n">
        <v>94.59999999999999</v>
      </c>
      <c r="H87" s="34" t="n">
        <v>97</v>
      </c>
      <c r="I87" s="67">
        <f>IF(ISNUMBER(tblY11[[#This Row],[Avg KS2]]),IFERROR(VLOOKUP(STANDARDIZE(tblY11[[#This Row],[Avg KS2]],AVERAGE(tblY11[[Avg KS2]]),_xlfn.STDEV.P(tblY11[[Avg KS2]])),_Stanine,2),5),"")</f>
        <v>2</v>
      </c>
      <c r="J87" s="66" t="inlineStr">
        <is>
          <t>11S/Sc5</t>
        </is>
      </c>
      <c r="K87" s="67">
        <f>IF(tblY11[[#This Row],[Preferred Last name]]="","",COUNTIFS($N$1:$ZZ$1,"*"&amp;CHAR(10)&amp;"Stanine",$N87:$ZZ87,"&gt;=1"))</f>
        <v>6</v>
      </c>
      <c r="L87" s="68">
        <f>IFERROR(AVERAGEIF($N$1:$ZZ$1,"*"&amp;CHAR(10)&amp;"Stanine",$N87:$ZZ87),"")</f>
        <v>2</v>
      </c>
      <c r="M87" s="69">
        <f>IF(AND(ISNUMBER(tblY11[[#This Row],[Mean Stanine]]),ISNUMBER(tblY11[[#This Row],[Avg KS2 Band]])),tblY11[[#This Row],[Mean Stanine]]-tblY11[[#This Row],[Avg KS2 Band]],"")</f>
        <v>0</v>
      </c>
      <c r="N87" s="66" t="n">
        <v>6</v>
      </c>
      <c r="O8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1</v>
      </c>
      <c r="P87" s="66" t="n">
        <v>5</v>
      </c>
      <c r="Q8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1</v>
      </c>
      <c r="R87" s="66" t="n">
        <v>4</v>
      </c>
      <c r="S87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87" s="66" t="n">
        <v>18</v>
      </c>
      <c r="U8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87" s="66" t="n">
        <v>9</v>
      </c>
      <c r="W8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87" s="66" t="n">
        <v>4</v>
      </c>
      <c r="Y8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88">
      <c r="A88" s="65" t="inlineStr">
        <is>
          <t>X902395765602</t>
        </is>
      </c>
      <c r="B88" s="65" t="inlineStr">
        <is>
          <t>Thompson</t>
        </is>
      </c>
      <c r="C88" s="65" t="inlineStr">
        <is>
          <t>Lily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96.8</v>
      </c>
      <c r="H88" s="34" t="n">
        <v>105.5</v>
      </c>
      <c r="I88" s="67">
        <f>IF(ISNUMBER(tblY11[[#This Row],[Avg KS2]]),IFERROR(VLOOKUP(STANDARDIZE(tblY11[[#This Row],[Avg KS2]],AVERAGE(tblY11[[Avg KS2]]),_xlfn.STDEV.P(tblY11[[Avg KS2]])),_Stanine,2),5),"")</f>
        <v>5</v>
      </c>
      <c r="J88" s="66" t="inlineStr">
        <is>
          <t>11S/Sc2</t>
        </is>
      </c>
      <c r="K88" s="67">
        <f>IF(tblY11[[#This Row],[Preferred Last name]]="","",COUNTIFS($N$1:$ZZ$1,"*"&amp;CHAR(10)&amp;"Stanine",$N88:$ZZ88,"&gt;=1"))</f>
        <v>6</v>
      </c>
      <c r="L88" s="68">
        <f>IFERROR(AVERAGEIF($N$1:$ZZ$1,"*"&amp;CHAR(10)&amp;"Stanine",$N88:$ZZ88),"")</f>
        <v>3.83333333333333</v>
      </c>
      <c r="M88" s="69">
        <f>IF(AND(ISNUMBER(tblY11[[#This Row],[Mean Stanine]]),ISNUMBER(tblY11[[#This Row],[Avg KS2 Band]])),tblY11[[#This Row],[Mean Stanine]]-tblY11[[#This Row],[Avg KS2 Band]],"")</f>
        <v>-1.16666666666667</v>
      </c>
      <c r="N88" s="66" t="n">
        <v>18</v>
      </c>
      <c r="O8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88" s="66" t="n">
        <v>16</v>
      </c>
      <c r="Q8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88" s="66" t="n">
        <v>18</v>
      </c>
      <c r="S88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88" s="66" t="n">
        <v>20</v>
      </c>
      <c r="U8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88" s="66" t="n">
        <v>6</v>
      </c>
      <c r="W8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88" s="66" t="n">
        <v>9</v>
      </c>
      <c r="Y8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89">
      <c r="A89" s="65" t="inlineStr">
        <is>
          <t>X909684786185</t>
        </is>
      </c>
      <c r="B89" s="65" t="inlineStr">
        <is>
          <t>Thompson</t>
        </is>
      </c>
      <c r="C89" s="65" t="inlineStr">
        <is>
          <t>Maisie</t>
        </is>
      </c>
      <c r="D89" s="66" t="inlineStr">
        <is>
          <t>M</t>
        </is>
      </c>
      <c r="E89" s="66" t="n"/>
      <c r="F89" s="66" t="inlineStr">
        <is>
          <t>N</t>
        </is>
      </c>
      <c r="G89" s="34" t="n">
        <v>94</v>
      </c>
      <c r="H89" s="34" t="n">
        <v>105</v>
      </c>
      <c r="I89" s="67">
        <f>IF(ISNUMBER(tblY11[[#This Row],[Avg KS2]]),IFERROR(VLOOKUP(STANDARDIZE(tblY11[[#This Row],[Avg KS2]],AVERAGE(tblY11[[Avg KS2]]),_xlfn.STDEV.P(tblY11[[Avg KS2]])),_Stanine,2),5),"")</f>
        <v>5</v>
      </c>
      <c r="J89" s="66" t="inlineStr">
        <is>
          <t>11S/Sc1</t>
        </is>
      </c>
      <c r="K89" s="67">
        <f>IF(tblY11[[#This Row],[Preferred Last name]]="","",COUNTIFS($N$1:$ZZ$1,"*"&amp;CHAR(10)&amp;"Stanine",$N89:$ZZ89,"&gt;=1"))</f>
        <v>6</v>
      </c>
      <c r="L89" s="68">
        <f>IFERROR(AVERAGEIF($N$1:$ZZ$1,"*"&amp;CHAR(10)&amp;"Stanine",$N89:$ZZ89),"")</f>
        <v>6.16666666666667</v>
      </c>
      <c r="M89" s="69">
        <f>IF(AND(ISNUMBER(tblY11[[#This Row],[Mean Stanine]]),ISNUMBER(tblY11[[#This Row],[Avg KS2 Band]])),tblY11[[#This Row],[Mean Stanine]]-tblY11[[#This Row],[Avg KS2 Band]],"")</f>
        <v>1.16666666666667</v>
      </c>
      <c r="N89" s="66" t="n">
        <v>30</v>
      </c>
      <c r="O8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89" s="66" t="n">
        <v>25</v>
      </c>
      <c r="Q8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89" s="66" t="n">
        <v>28</v>
      </c>
      <c r="S89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89" s="66" t="n">
        <v>32</v>
      </c>
      <c r="U8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89" s="66" t="n">
        <v>16</v>
      </c>
      <c r="W8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89" s="66" t="n">
        <v>21</v>
      </c>
      <c r="Y8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90">
      <c r="A90" s="65" t="inlineStr">
        <is>
          <t>X904557117110</t>
        </is>
      </c>
      <c r="B90" s="65" t="inlineStr">
        <is>
          <t>Walker</t>
        </is>
      </c>
      <c r="C90" s="65" t="inlineStr">
        <is>
          <t>Jack</t>
        </is>
      </c>
      <c r="D90" s="66" t="inlineStr">
        <is>
          <t>F</t>
        </is>
      </c>
      <c r="E90" s="66" t="inlineStr">
        <is>
          <t>N</t>
        </is>
      </c>
      <c r="F90" s="66" t="inlineStr">
        <is>
          <t>Y</t>
        </is>
      </c>
      <c r="G90" s="34" t="n">
        <v>100</v>
      </c>
      <c r="H90" s="34" t="n">
        <v>119</v>
      </c>
      <c r="I90" s="67">
        <f>IF(ISNUMBER(tblY11[[#This Row],[Avg KS2]]),IFERROR(VLOOKUP(STANDARDIZE(tblY11[[#This Row],[Avg KS2]],AVERAGE(tblY11[[Avg KS2]]),_xlfn.STDEV.P(tblY11[[Avg KS2]])),_Stanine,2),5),"")</f>
        <v>9</v>
      </c>
      <c r="J90" s="66" t="inlineStr">
        <is>
          <t>11S/Sc1</t>
        </is>
      </c>
      <c r="K90" s="67">
        <f>IF(tblY11[[#This Row],[Preferred Last name]]="","",COUNTIFS($N$1:$ZZ$1,"*"&amp;CHAR(10)&amp;"Stanine",$N90:$ZZ90,"&gt;=1"))</f>
        <v>6</v>
      </c>
      <c r="L90" s="68">
        <f>IFERROR(AVERAGEIF($N$1:$ZZ$1,"*"&amp;CHAR(10)&amp;"Stanine",$N90:$ZZ90),"")</f>
        <v>7.83333333333333</v>
      </c>
      <c r="M90" s="69">
        <f>IF(AND(ISNUMBER(tblY11[[#This Row],[Mean Stanine]]),ISNUMBER(tblY11[[#This Row],[Avg KS2 Band]])),tblY11[[#This Row],[Mean Stanine]]-tblY11[[#This Row],[Avg KS2 Band]],"")</f>
        <v>-1.16666666666667</v>
      </c>
      <c r="N90" s="66" t="n">
        <v>38</v>
      </c>
      <c r="O9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90" s="66" t="n">
        <v>32</v>
      </c>
      <c r="Q9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90" s="66" t="n">
        <v>31</v>
      </c>
      <c r="S90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90" s="66" t="n">
        <v>39</v>
      </c>
      <c r="U9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8</v>
      </c>
      <c r="V90" s="66" t="n">
        <v>26</v>
      </c>
      <c r="W9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90" s="66" t="n">
        <v>21</v>
      </c>
      <c r="Y9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91">
      <c r="A91" s="65" t="inlineStr">
        <is>
          <t>X900961181254</t>
        </is>
      </c>
      <c r="B91" s="65" t="inlineStr">
        <is>
          <t>Walker</t>
        </is>
      </c>
      <c r="C91" s="65" t="inlineStr">
        <is>
          <t>Jack</t>
        </is>
      </c>
      <c r="D91" s="66" t="inlineStr">
        <is>
          <t>F</t>
        </is>
      </c>
      <c r="E91" s="66" t="inlineStr">
        <is>
          <t>N</t>
        </is>
      </c>
      <c r="F91" s="66" t="inlineStr">
        <is>
          <t>Y</t>
        </is>
      </c>
      <c r="G91" s="34" t="n">
        <v>90.7</v>
      </c>
      <c r="H91" s="34" t="n">
        <v>112</v>
      </c>
      <c r="I91" s="67">
        <f>IF(ISNUMBER(tblY11[[#This Row],[Avg KS2]]),IFERROR(VLOOKUP(STANDARDIZE(tblY11[[#This Row],[Avg KS2]],AVERAGE(tblY11[[Avg KS2]]),_xlfn.STDEV.P(tblY11[[Avg KS2]])),_Stanine,2),5),"")</f>
        <v>7</v>
      </c>
      <c r="J91" s="66" t="inlineStr">
        <is>
          <t>11S/Sc1</t>
        </is>
      </c>
      <c r="K91" s="67">
        <f>IF(tblY11[[#This Row],[Preferred Last name]]="","",COUNTIFS($N$1:$ZZ$1,"*"&amp;CHAR(10)&amp;"Stanine",$N91:$ZZ91,"&gt;=1"))</f>
        <v>5</v>
      </c>
      <c r="L91" s="68">
        <f>IFERROR(AVERAGEIF($N$1:$ZZ$1,"*"&amp;CHAR(10)&amp;"Stanine",$N91:$ZZ91),"")</f>
        <v>7.8</v>
      </c>
      <c r="M91" s="69">
        <f>IF(AND(ISNUMBER(tblY11[[#This Row],[Mean Stanine]]),ISNUMBER(tblY11[[#This Row],[Avg KS2 Band]])),tblY11[[#This Row],[Mean Stanine]]-tblY11[[#This Row],[Avg KS2 Band]],"")</f>
        <v>0.8</v>
      </c>
      <c r="N91" s="66" t="n">
        <v>35</v>
      </c>
      <c r="O9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91" s="66" t="n">
        <v>31</v>
      </c>
      <c r="Q9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91" s="66" t="inlineStr">
        <is>
          <t>A</t>
        </is>
      </c>
      <c r="S91" s="67" t="str">
        <f>IF(ISNUMBER(tblY11[[#This Row],[4P06 - Waves
Raw Score]]),IFERROR(VLOOKUP(STANDARDIZE(tblY11[[#This Row],[4P06 - Waves
Raw Score]],AVERAGE(tblY11[[4P06 - Waves
Raw Score]]),_xlfn.STDEV.P(tblY11[[4P06 - Waves
Raw Score]])),_Stanine,2),5),"")</f>
        <v/>
      </c>
      <c r="T91" s="66" t="n">
        <v>38</v>
      </c>
      <c r="U9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91" s="66" t="n">
        <v>25</v>
      </c>
      <c r="W9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8</v>
      </c>
      <c r="X91" s="66" t="n">
        <v>27</v>
      </c>
      <c r="Y9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8</v>
      </c>
    </row>
    <row r="92">
      <c r="A92" s="65" t="inlineStr">
        <is>
          <t>X909023530712</t>
        </is>
      </c>
      <c r="B92" s="65" t="inlineStr">
        <is>
          <t>Ward</t>
        </is>
      </c>
      <c r="C92" s="65" t="inlineStr">
        <is>
          <t>Jack</t>
        </is>
      </c>
      <c r="D92" s="66" t="inlineStr">
        <is>
          <t>M</t>
        </is>
      </c>
      <c r="E92" s="66" t="inlineStr">
        <is>
          <t>N</t>
        </is>
      </c>
      <c r="F92" s="66" t="inlineStr">
        <is>
          <t>N</t>
        </is>
      </c>
      <c r="G92" s="34" t="n">
        <v>91.5</v>
      </c>
      <c r="H92" s="34" t="n">
        <v>107</v>
      </c>
      <c r="I92" s="67">
        <f>IF(ISNUMBER(tblY11[[#This Row],[Avg KS2]]),IFERROR(VLOOKUP(STANDARDIZE(tblY11[[#This Row],[Avg KS2]],AVERAGE(tblY11[[Avg KS2]]),_xlfn.STDEV.P(tblY11[[Avg KS2]])),_Stanine,2),5),"")</f>
        <v>6</v>
      </c>
      <c r="J92" s="66" t="inlineStr">
        <is>
          <t>11S/Sc3</t>
        </is>
      </c>
      <c r="K92" s="67">
        <f>IF(tblY11[[#This Row],[Preferred Last name]]="","",COUNTIFS($N$1:$ZZ$1,"*"&amp;CHAR(10)&amp;"Stanine",$N92:$ZZ92,"&gt;=1"))</f>
        <v>6</v>
      </c>
      <c r="L92" s="68">
        <f>IFERROR(AVERAGEIF($N$1:$ZZ$1,"*"&amp;CHAR(10)&amp;"Stanine",$N92:$ZZ92),"")</f>
        <v>4.33333333333333</v>
      </c>
      <c r="M92" s="69">
        <f>IF(AND(ISNUMBER(tblY11[[#This Row],[Mean Stanine]]),ISNUMBER(tblY11[[#This Row],[Avg KS2 Band]])),tblY11[[#This Row],[Mean Stanine]]-tblY11[[#This Row],[Avg KS2 Band]],"")</f>
        <v>-1.66666666666667</v>
      </c>
      <c r="N92" s="66" t="n">
        <v>17</v>
      </c>
      <c r="O9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92" s="66" t="n">
        <v>16</v>
      </c>
      <c r="Q9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92" s="66" t="n">
        <v>19</v>
      </c>
      <c r="S92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92" s="66" t="n">
        <v>26</v>
      </c>
      <c r="U9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92" s="66" t="n">
        <v>12</v>
      </c>
      <c r="W9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92" s="66" t="n">
        <v>12</v>
      </c>
      <c r="Y9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93">
      <c r="A93" s="65" t="inlineStr">
        <is>
          <t>X903691633942</t>
        </is>
      </c>
      <c r="B93" s="65" t="inlineStr">
        <is>
          <t>Ward</t>
        </is>
      </c>
      <c r="C93" s="65" t="inlineStr">
        <is>
          <t>Maisie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96.40000000000001</v>
      </c>
      <c r="H93" s="34" t="n">
        <v>103.5</v>
      </c>
      <c r="I93" s="67">
        <f>IF(ISNUMBER(tblY11[[#This Row],[Avg KS2]]),IFERROR(VLOOKUP(STANDARDIZE(tblY11[[#This Row],[Avg KS2]],AVERAGE(tblY11[[Avg KS2]]),_xlfn.STDEV.P(tblY11[[Avg KS2]])),_Stanine,2),5),"")</f>
        <v>5</v>
      </c>
      <c r="J93" s="66" t="inlineStr">
        <is>
          <t>11S/Sc2</t>
        </is>
      </c>
      <c r="K93" s="67">
        <f>IF(tblY11[[#This Row],[Preferred Last name]]="","",COUNTIFS($N$1:$ZZ$1,"*"&amp;CHAR(10)&amp;"Stanine",$N93:$ZZ93,"&gt;=1"))</f>
        <v>6</v>
      </c>
      <c r="L93" s="68">
        <f>IFERROR(AVERAGEIF($N$1:$ZZ$1,"*"&amp;CHAR(10)&amp;"Stanine",$N93:$ZZ93),"")</f>
        <v>5.16666666666667</v>
      </c>
      <c r="M93" s="69">
        <f>IF(AND(ISNUMBER(tblY11[[#This Row],[Mean Stanine]]),ISNUMBER(tblY11[[#This Row],[Avg KS2 Band]])),tblY11[[#This Row],[Mean Stanine]]-tblY11[[#This Row],[Avg KS2 Band]],"")</f>
        <v>0.166666666666667</v>
      </c>
      <c r="N93" s="66" t="n">
        <v>21</v>
      </c>
      <c r="O9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93" s="66" t="n">
        <v>23</v>
      </c>
      <c r="Q9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93" s="66" t="n">
        <v>19</v>
      </c>
      <c r="S93" s="67">
        <f>IF(ISNUMBER(tblY11[[#This Row],[4P06 - Waves
Raw Score]]),IFERROR(VLOOKUP(STANDARDIZE(tblY11[[#This Row],[4P06 - Waves
Raw Score]],AVERAGE(tblY11[[4P06 - Waves
Raw Score]]),_xlfn.STDEV.P(tblY11[[4P06 - Waves
Raw Score]])),_Stanine,2),5),"")</f>
        <v>5</v>
      </c>
      <c r="T93" s="66" t="n">
        <v>27</v>
      </c>
      <c r="U9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5</v>
      </c>
      <c r="V93" s="66" t="n">
        <v>17</v>
      </c>
      <c r="W9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93" s="66" t="n">
        <v>11</v>
      </c>
      <c r="Y9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94">
      <c r="A94" s="65" t="inlineStr">
        <is>
          <t>X905403935345</t>
        </is>
      </c>
      <c r="B94" s="65" t="inlineStr">
        <is>
          <t>Ward</t>
        </is>
      </c>
      <c r="C94" s="65" t="inlineStr">
        <is>
          <t>Rosie</t>
        </is>
      </c>
      <c r="D94" s="66" t="inlineStr">
        <is>
          <t>M</t>
        </is>
      </c>
      <c r="E94" s="66" t="inlineStr">
        <is>
          <t>N</t>
        </is>
      </c>
      <c r="F94" s="66" t="inlineStr">
        <is>
          <t>N</t>
        </is>
      </c>
      <c r="G94" s="34" t="n">
        <v>98</v>
      </c>
      <c r="H94" s="34" t="n">
        <v>107</v>
      </c>
      <c r="I94" s="67">
        <f>IF(ISNUMBER(tblY11[[#This Row],[Avg KS2]]),IFERROR(VLOOKUP(STANDARDIZE(tblY11[[#This Row],[Avg KS2]],AVERAGE(tblY11[[Avg KS2]]),_xlfn.STDEV.P(tblY11[[Avg KS2]])),_Stanine,2),5),"")</f>
        <v>6</v>
      </c>
      <c r="J94" s="66" t="inlineStr">
        <is>
          <t>11S/Sc4</t>
        </is>
      </c>
      <c r="K94" s="67">
        <f>IF(tblY11[[#This Row],[Preferred Last name]]="","",COUNTIFS($N$1:$ZZ$1,"*"&amp;CHAR(10)&amp;"Stanine",$N94:$ZZ94,"&gt;=1"))</f>
        <v>6</v>
      </c>
      <c r="L94" s="68">
        <f>IFERROR(AVERAGEIF($N$1:$ZZ$1,"*"&amp;CHAR(10)&amp;"Stanine",$N94:$ZZ94),"")</f>
        <v>3.33333333333333</v>
      </c>
      <c r="M94" s="69">
        <f>IF(AND(ISNUMBER(tblY11[[#This Row],[Mean Stanine]]),ISNUMBER(tblY11[[#This Row],[Avg KS2 Band]])),tblY11[[#This Row],[Mean Stanine]]-tblY11[[#This Row],[Avg KS2 Band]],"")</f>
        <v>-2.66666666666667</v>
      </c>
      <c r="N94" s="66" t="n">
        <v>14</v>
      </c>
      <c r="O9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94" s="66" t="n">
        <v>15</v>
      </c>
      <c r="Q9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94" s="66" t="n">
        <v>9</v>
      </c>
      <c r="S94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94" s="66" t="n">
        <v>19</v>
      </c>
      <c r="U9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94" s="66" t="n">
        <v>7</v>
      </c>
      <c r="W9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94" s="66" t="n">
        <v>12</v>
      </c>
      <c r="Y9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95">
      <c r="A95" s="65" t="inlineStr">
        <is>
          <t>X900693258688</t>
        </is>
      </c>
      <c r="B95" s="65" t="inlineStr">
        <is>
          <t>Williams</t>
        </is>
      </c>
      <c r="C95" s="65" t="inlineStr">
        <is>
          <t>Ella</t>
        </is>
      </c>
      <c r="D95" s="66" t="inlineStr">
        <is>
          <t>F</t>
        </is>
      </c>
      <c r="E95" s="66" t="n"/>
      <c r="F95" s="66" t="inlineStr">
        <is>
          <t>N</t>
        </is>
      </c>
      <c r="G95" s="34" t="n">
        <v>93.2</v>
      </c>
      <c r="H95" s="34" t="n">
        <v>94.5</v>
      </c>
      <c r="I95" s="67">
        <f>IF(ISNUMBER(tblY11[[#This Row],[Avg KS2]]),IFERROR(VLOOKUP(STANDARDIZE(tblY11[[#This Row],[Avg KS2]],AVERAGE(tblY11[[Avg KS2]]),_xlfn.STDEV.P(tblY11[[Avg KS2]])),_Stanine,2),5),"")</f>
        <v>2</v>
      </c>
      <c r="J95" s="66" t="inlineStr">
        <is>
          <t>11S/Sc3</t>
        </is>
      </c>
      <c r="K95" s="67">
        <f>IF(tblY11[[#This Row],[Preferred Last name]]="","",COUNTIFS($N$1:$ZZ$1,"*"&amp;CHAR(10)&amp;"Stanine",$N95:$ZZ95,"&gt;=1"))</f>
        <v>6</v>
      </c>
      <c r="L95" s="68">
        <f>IFERROR(AVERAGEIF($N$1:$ZZ$1,"*"&amp;CHAR(10)&amp;"Stanine",$N95:$ZZ95),"")</f>
        <v>2.33333333333333</v>
      </c>
      <c r="M95" s="69">
        <f>IF(AND(ISNUMBER(tblY11[[#This Row],[Mean Stanine]]),ISNUMBER(tblY11[[#This Row],[Avg KS2 Band]])),tblY11[[#This Row],[Mean Stanine]]-tblY11[[#This Row],[Avg KS2 Band]],"")</f>
        <v>0.333333333333334</v>
      </c>
      <c r="N95" s="66" t="n">
        <v>12</v>
      </c>
      <c r="O9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95" s="66" t="n">
        <v>8</v>
      </c>
      <c r="Q9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95" s="66" t="n">
        <v>6</v>
      </c>
      <c r="S95" s="67">
        <f>IF(ISNUMBER(tblY11[[#This Row],[4P06 - Waves
Raw Score]]),IFERROR(VLOOKUP(STANDARDIZE(tblY11[[#This Row],[4P06 - Waves
Raw Score]],AVERAGE(tblY11[[4P06 - Waves
Raw Score]]),_xlfn.STDEV.P(tblY11[[4P06 - Waves
Raw Score]])),_Stanine,2),5),"")</f>
        <v>2</v>
      </c>
      <c r="T95" s="66" t="n">
        <v>18</v>
      </c>
      <c r="U9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3</v>
      </c>
      <c r="V95" s="66" t="n">
        <v>5</v>
      </c>
      <c r="W9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95" s="66" t="n">
        <v>5</v>
      </c>
      <c r="Y95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2</v>
      </c>
    </row>
    <row r="96">
      <c r="A96" s="65" t="inlineStr">
        <is>
          <t>X906778627541</t>
        </is>
      </c>
      <c r="B96" s="65" t="inlineStr">
        <is>
          <t>Williams</t>
        </is>
      </c>
      <c r="C96" s="65" t="inlineStr">
        <is>
          <t>Maya</t>
        </is>
      </c>
      <c r="D96" s="66" t="inlineStr">
        <is>
          <t>M</t>
        </is>
      </c>
      <c r="E96" s="66" t="n"/>
      <c r="F96" s="66" t="inlineStr">
        <is>
          <t>N</t>
        </is>
      </c>
      <c r="G96" s="34" t="n">
        <v>98.90000000000001</v>
      </c>
      <c r="H96" s="34" t="n">
        <v>105.5</v>
      </c>
      <c r="I96" s="67">
        <f>IF(ISNUMBER(tblY11[[#This Row],[Avg KS2]]),IFERROR(VLOOKUP(STANDARDIZE(tblY11[[#This Row],[Avg KS2]],AVERAGE(tblY11[[Avg KS2]]),_xlfn.STDEV.P(tblY11[[Avg KS2]])),_Stanine,2),5),"")</f>
        <v>5</v>
      </c>
      <c r="J96" s="66" t="inlineStr">
        <is>
          <t>11S/Sc2</t>
        </is>
      </c>
      <c r="K96" s="67">
        <f>IF(tblY11[[#This Row],[Preferred Last name]]="","",COUNTIFS($N$1:$ZZ$1,"*"&amp;CHAR(10)&amp;"Stanine",$N96:$ZZ96,"&gt;=1"))</f>
        <v>5</v>
      </c>
      <c r="L96" s="68">
        <f>IFERROR(AVERAGEIF($N$1:$ZZ$1,"*"&amp;CHAR(10)&amp;"Stanine",$N96:$ZZ96),"")</f>
        <v>4</v>
      </c>
      <c r="M96" s="69">
        <f>IF(AND(ISNUMBER(tblY11[[#This Row],[Mean Stanine]]),ISNUMBER(tblY11[[#This Row],[Avg KS2 Band]])),tblY11[[#This Row],[Mean Stanine]]-tblY11[[#This Row],[Avg KS2 Band]],"")</f>
        <v>-1</v>
      </c>
      <c r="N96" s="66" t="n">
        <v>21</v>
      </c>
      <c r="O9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96" s="66" t="n">
        <v>12</v>
      </c>
      <c r="Q9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96" s="66" t="n">
        <v>14</v>
      </c>
      <c r="S96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96" s="66" t="n">
        <v>21</v>
      </c>
      <c r="U9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96" s="66" t="inlineStr">
        <is>
          <t>A</t>
        </is>
      </c>
      <c r="W96" s="67" t="str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/>
      </c>
      <c r="X96" s="66" t="n">
        <v>9</v>
      </c>
      <c r="Y9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97">
      <c r="A97" s="65" t="inlineStr">
        <is>
          <t>X903702876730</t>
        </is>
      </c>
      <c r="B97" s="65" t="inlineStr">
        <is>
          <t>Williams</t>
        </is>
      </c>
      <c r="C97" s="65" t="inlineStr">
        <is>
          <t>Seren</t>
        </is>
      </c>
      <c r="D97" s="66" t="inlineStr">
        <is>
          <t>F</t>
        </is>
      </c>
      <c r="E97" s="66" t="n"/>
      <c r="F97" s="66" t="inlineStr">
        <is>
          <t>N</t>
        </is>
      </c>
      <c r="G97" s="34" t="n">
        <v>87.7</v>
      </c>
      <c r="H97" s="34" t="n">
        <v>105</v>
      </c>
      <c r="I97" s="67">
        <f>IF(ISNUMBER(tblY11[[#This Row],[Avg KS2]]),IFERROR(VLOOKUP(STANDARDIZE(tblY11[[#This Row],[Avg KS2]],AVERAGE(tblY11[[Avg KS2]]),_xlfn.STDEV.P(tblY11[[Avg KS2]])),_Stanine,2),5),"")</f>
        <v>5</v>
      </c>
      <c r="J97" s="66" t="inlineStr">
        <is>
          <t>11S/Sc1</t>
        </is>
      </c>
      <c r="K97" s="67">
        <f>IF(tblY11[[#This Row],[Preferred Last name]]="","",COUNTIFS($N$1:$ZZ$1,"*"&amp;CHAR(10)&amp;"Stanine",$N97:$ZZ97,"&gt;=1"))</f>
        <v>6</v>
      </c>
      <c r="L97" s="68">
        <f>IFERROR(AVERAGEIF($N$1:$ZZ$1,"*"&amp;CHAR(10)&amp;"Stanine",$N97:$ZZ97),"")</f>
        <v>5.5</v>
      </c>
      <c r="M97" s="69">
        <f>IF(AND(ISNUMBER(tblY11[[#This Row],[Mean Stanine]]),ISNUMBER(tblY11[[#This Row],[Avg KS2 Band]])),tblY11[[#This Row],[Mean Stanine]]-tblY11[[#This Row],[Avg KS2 Band]],"")</f>
        <v>0.5</v>
      </c>
      <c r="N97" s="66" t="n">
        <v>26</v>
      </c>
      <c r="O9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97" s="66" t="n">
        <v>21</v>
      </c>
      <c r="Q9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97" s="66" t="n">
        <v>15</v>
      </c>
      <c r="S97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97" s="66" t="n">
        <v>32</v>
      </c>
      <c r="U9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97" s="66" t="n">
        <v>17</v>
      </c>
      <c r="W9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97" s="66" t="n">
        <v>17</v>
      </c>
      <c r="Y9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98">
      <c r="A98" s="65" t="inlineStr">
        <is>
          <t>X907014948489</t>
        </is>
      </c>
      <c r="B98" s="65" t="inlineStr">
        <is>
          <t>Wilson</t>
        </is>
      </c>
      <c r="C98" s="65" t="inlineStr">
        <is>
          <t>Grace</t>
        </is>
      </c>
      <c r="D98" s="66" t="inlineStr">
        <is>
          <t>M</t>
        </is>
      </c>
      <c r="E98" s="66" t="inlineStr">
        <is>
          <t>N</t>
        </is>
      </c>
      <c r="F98" s="66" t="inlineStr">
        <is>
          <t>N</t>
        </is>
      </c>
      <c r="G98" s="34" t="n">
        <v>88.2</v>
      </c>
      <c r="H98" s="34" t="n">
        <v>107</v>
      </c>
      <c r="I98" s="67">
        <f>IF(ISNUMBER(tblY11[[#This Row],[Avg KS2]]),IFERROR(VLOOKUP(STANDARDIZE(tblY11[[#This Row],[Avg KS2]],AVERAGE(tblY11[[Avg KS2]]),_xlfn.STDEV.P(tblY11[[Avg KS2]])),_Stanine,2),5),"")</f>
        <v>6</v>
      </c>
      <c r="J98" s="66" t="inlineStr">
        <is>
          <t>11S/Sc3</t>
        </is>
      </c>
      <c r="K98" s="67">
        <f>IF(tblY11[[#This Row],[Preferred Last name]]="","",COUNTIFS($N$1:$ZZ$1,"*"&amp;CHAR(10)&amp;"Stanine",$N98:$ZZ98,"&gt;=1"))</f>
        <v>6</v>
      </c>
      <c r="L98" s="68">
        <f>IFERROR(AVERAGEIF($N$1:$ZZ$1,"*"&amp;CHAR(10)&amp;"Stanine",$N98:$ZZ98),"")</f>
        <v>7.33333333333333</v>
      </c>
      <c r="M98" s="69">
        <f>IF(AND(ISNUMBER(tblY11[[#This Row],[Mean Stanine]]),ISNUMBER(tblY11[[#This Row],[Avg KS2 Band]])),tblY11[[#This Row],[Mean Stanine]]-tblY11[[#This Row],[Avg KS2 Band]],"")</f>
        <v>1.33333333333333</v>
      </c>
      <c r="N98" s="66" t="n">
        <v>34</v>
      </c>
      <c r="O98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7</v>
      </c>
      <c r="P98" s="66" t="n">
        <v>30</v>
      </c>
      <c r="Q98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8</v>
      </c>
      <c r="R98" s="66" t="n">
        <v>31</v>
      </c>
      <c r="S98" s="67">
        <f>IF(ISNUMBER(tblY11[[#This Row],[4P06 - Waves
Raw Score]]),IFERROR(VLOOKUP(STANDARDIZE(tblY11[[#This Row],[4P06 - Waves
Raw Score]],AVERAGE(tblY11[[4P06 - Waves
Raw Score]]),_xlfn.STDEV.P(tblY11[[4P06 - Waves
Raw Score]])),_Stanine,2),5),"")</f>
        <v>8</v>
      </c>
      <c r="T98" s="66" t="n">
        <v>36</v>
      </c>
      <c r="U98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98" s="66" t="n">
        <v>21</v>
      </c>
      <c r="W98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98" s="66" t="n">
        <v>24</v>
      </c>
      <c r="Y98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7</v>
      </c>
    </row>
    <row r="99">
      <c r="A99" s="65" t="inlineStr">
        <is>
          <t>X909642546503</t>
        </is>
      </c>
      <c r="B99" s="65" t="inlineStr">
        <is>
          <t>Wilson</t>
        </is>
      </c>
      <c r="C99" s="65" t="inlineStr">
        <is>
          <t>Ibrahim</t>
        </is>
      </c>
      <c r="D99" s="66" t="inlineStr">
        <is>
          <t>F</t>
        </is>
      </c>
      <c r="E99" s="66" t="inlineStr">
        <is>
          <t>N</t>
        </is>
      </c>
      <c r="F99" s="66" t="inlineStr">
        <is>
          <t>N</t>
        </is>
      </c>
      <c r="G99" s="34" t="n">
        <v>83.09999999999999</v>
      </c>
      <c r="H99" s="34" t="n">
        <v>99</v>
      </c>
      <c r="I99" s="67">
        <f>IF(ISNUMBER(tblY11[[#This Row],[Avg KS2]]),IFERROR(VLOOKUP(STANDARDIZE(tblY11[[#This Row],[Avg KS2]],AVERAGE(tblY11[[Avg KS2]]),_xlfn.STDEV.P(tblY11[[Avg KS2]])),_Stanine,2),5),"")</f>
        <v>3</v>
      </c>
      <c r="J99" s="66" t="inlineStr">
        <is>
          <t>11S/Sc4</t>
        </is>
      </c>
      <c r="K99" s="67">
        <f>IF(tblY11[[#This Row],[Preferred Last name]]="","",COUNTIFS($N$1:$ZZ$1,"*"&amp;CHAR(10)&amp;"Stanine",$N99:$ZZ99,"&gt;=1"))</f>
        <v>6</v>
      </c>
      <c r="L99" s="68">
        <f>IFERROR(AVERAGEIF($N$1:$ZZ$1,"*"&amp;CHAR(10)&amp;"Stanine",$N99:$ZZ99),"")</f>
        <v>3.5</v>
      </c>
      <c r="M99" s="69">
        <f>IF(AND(ISNUMBER(tblY11[[#This Row],[Mean Stanine]]),ISNUMBER(tblY11[[#This Row],[Avg KS2 Band]])),tblY11[[#This Row],[Mean Stanine]]-tblY11[[#This Row],[Avg KS2 Band]],"")</f>
        <v>0.5</v>
      </c>
      <c r="N99" s="66" t="n">
        <v>12</v>
      </c>
      <c r="O99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99" s="66" t="n">
        <v>12</v>
      </c>
      <c r="Q99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99" s="66" t="n">
        <v>12</v>
      </c>
      <c r="S99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99" s="66" t="n">
        <v>24</v>
      </c>
      <c r="U99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99" s="66" t="n">
        <v>8</v>
      </c>
      <c r="W99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99" s="66" t="n">
        <v>9</v>
      </c>
      <c r="Y99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4</v>
      </c>
    </row>
    <row r="100">
      <c r="A100" s="65" t="inlineStr">
        <is>
          <t>X902505157351</t>
        </is>
      </c>
      <c r="B100" s="65" t="inlineStr">
        <is>
          <t>Wilson</t>
        </is>
      </c>
      <c r="C100" s="65" t="inlineStr">
        <is>
          <t>Layla</t>
        </is>
      </c>
      <c r="D100" s="66" t="inlineStr">
        <is>
          <t>F</t>
        </is>
      </c>
      <c r="E100" s="66" t="n"/>
      <c r="F100" s="66" t="inlineStr">
        <is>
          <t>N</t>
        </is>
      </c>
      <c r="G100" s="34" t="n">
        <v>89.09999999999999</v>
      </c>
      <c r="H100" s="34" t="n">
        <v>100.5</v>
      </c>
      <c r="I100" s="67">
        <f>IF(ISNUMBER(tblY11[[#This Row],[Avg KS2]]),IFERROR(VLOOKUP(STANDARDIZE(tblY11[[#This Row],[Avg KS2]],AVERAGE(tblY11[[Avg KS2]]),_xlfn.STDEV.P(tblY11[[Avg KS2]])),_Stanine,2),5),"")</f>
        <v>4</v>
      </c>
      <c r="J100" s="66" t="inlineStr">
        <is>
          <t>11S/Sc5</t>
        </is>
      </c>
      <c r="K100" s="67">
        <f>IF(tblY11[[#This Row],[Preferred Last name]]="","",COUNTIFS($N$1:$ZZ$1,"*"&amp;CHAR(10)&amp;"Stanine",$N100:$ZZ100,"&gt;=1"))</f>
        <v>6</v>
      </c>
      <c r="L100" s="68">
        <f>IFERROR(AVERAGEIF($N$1:$ZZ$1,"*"&amp;CHAR(10)&amp;"Stanine",$N100:$ZZ100),"")</f>
        <v>3.16666666666667</v>
      </c>
      <c r="M100" s="69">
        <f>IF(AND(ISNUMBER(tblY11[[#This Row],[Mean Stanine]]),ISNUMBER(tblY11[[#This Row],[Avg KS2 Band]])),tblY11[[#This Row],[Mean Stanine]]-tblY11[[#This Row],[Avg KS2 Band]],"")</f>
        <v>-0.833333333333334</v>
      </c>
      <c r="N100" s="66" t="n">
        <v>14</v>
      </c>
      <c r="O100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100" s="66" t="n">
        <v>15</v>
      </c>
      <c r="Q100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100" s="66" t="n">
        <v>9</v>
      </c>
      <c r="S100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100" s="66" t="n">
        <v>20</v>
      </c>
      <c r="U100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100" s="66" t="n">
        <v>6</v>
      </c>
      <c r="W100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2</v>
      </c>
      <c r="X100" s="66" t="n">
        <v>7</v>
      </c>
      <c r="Y100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101">
      <c r="A101" s="65" t="inlineStr">
        <is>
          <t>X902238736160</t>
        </is>
      </c>
      <c r="B101" s="65" t="inlineStr">
        <is>
          <t>Wood</t>
        </is>
      </c>
      <c r="C101" s="65" t="inlineStr">
        <is>
          <t>Amelia</t>
        </is>
      </c>
      <c r="D101" s="66" t="inlineStr">
        <is>
          <t>M</t>
        </is>
      </c>
      <c r="E101" s="66" t="n"/>
      <c r="F101" s="66" t="inlineStr">
        <is>
          <t>Y</t>
        </is>
      </c>
      <c r="G101" s="34" t="n">
        <v>92.09999999999999</v>
      </c>
      <c r="H101" s="34" t="n">
        <v>107</v>
      </c>
      <c r="I101" s="67">
        <f>IF(ISNUMBER(tblY11[[#This Row],[Avg KS2]]),IFERROR(VLOOKUP(STANDARDIZE(tblY11[[#This Row],[Avg KS2]],AVERAGE(tblY11[[Avg KS2]]),_xlfn.STDEV.P(tblY11[[Avg KS2]])),_Stanine,2),5),"")</f>
        <v>6</v>
      </c>
      <c r="J101" s="66" t="inlineStr">
        <is>
          <t>11S/Sc2</t>
        </is>
      </c>
      <c r="K101" s="67">
        <f>IF(tblY11[[#This Row],[Preferred Last name]]="","",COUNTIFS($N$1:$ZZ$1,"*"&amp;CHAR(10)&amp;"Stanine",$N101:$ZZ101,"&gt;=1"))</f>
        <v>6</v>
      </c>
      <c r="L101" s="68">
        <f>IFERROR(AVERAGEIF($N$1:$ZZ$1,"*"&amp;CHAR(10)&amp;"Stanine",$N101:$ZZ101),"")</f>
        <v>6.16666666666667</v>
      </c>
      <c r="M101" s="69">
        <f>IF(AND(ISNUMBER(tblY11[[#This Row],[Mean Stanine]]),ISNUMBER(tblY11[[#This Row],[Avg KS2 Band]])),tblY11[[#This Row],[Mean Stanine]]-tblY11[[#This Row],[Avg KS2 Band]],"")</f>
        <v>0.166666666666667</v>
      </c>
      <c r="N101" s="66" t="n">
        <v>29</v>
      </c>
      <c r="O101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101" s="66" t="n">
        <v>25</v>
      </c>
      <c r="Q101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101" s="66" t="n">
        <v>23</v>
      </c>
      <c r="S101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101" s="66" t="n">
        <v>34</v>
      </c>
      <c r="U101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101" s="66" t="n">
        <v>18</v>
      </c>
      <c r="W101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101" s="66" t="n">
        <v>19</v>
      </c>
      <c r="Y101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102">
      <c r="A102" s="65" t="inlineStr">
        <is>
          <t>X906111504810</t>
        </is>
      </c>
      <c r="B102" s="65" t="inlineStr">
        <is>
          <t>Wood</t>
        </is>
      </c>
      <c r="C102" s="65" t="inlineStr">
        <is>
          <t>Evie</t>
        </is>
      </c>
      <c r="D102" s="66" t="inlineStr">
        <is>
          <t>F</t>
        </is>
      </c>
      <c r="E102" s="66" t="inlineStr">
        <is>
          <t>N</t>
        </is>
      </c>
      <c r="F102" s="66" t="inlineStr">
        <is>
          <t>N</t>
        </is>
      </c>
      <c r="G102" s="34" t="n">
        <v>95.8</v>
      </c>
      <c r="H102" s="34" t="n">
        <v>97.5</v>
      </c>
      <c r="I102" s="67">
        <f>IF(ISNUMBER(tblY11[[#This Row],[Avg KS2]]),IFERROR(VLOOKUP(STANDARDIZE(tblY11[[#This Row],[Avg KS2]],AVERAGE(tblY11[[Avg KS2]]),_xlfn.STDEV.P(tblY11[[Avg KS2]])),_Stanine,2),5),"")</f>
        <v>3</v>
      </c>
      <c r="J102" s="66" t="inlineStr">
        <is>
          <t>11S/Sc4</t>
        </is>
      </c>
      <c r="K102" s="67">
        <f>IF(tblY11[[#This Row],[Preferred Last name]]="","",COUNTIFS($N$1:$ZZ$1,"*"&amp;CHAR(10)&amp;"Stanine",$N102:$ZZ102,"&gt;=1"))</f>
        <v>6</v>
      </c>
      <c r="L102" s="68">
        <f>IFERROR(AVERAGEIF($N$1:$ZZ$1,"*"&amp;CHAR(10)&amp;"Stanine",$N102:$ZZ102),"")</f>
        <v>3.33333333333333</v>
      </c>
      <c r="M102" s="69">
        <f>IF(AND(ISNUMBER(tblY11[[#This Row],[Mean Stanine]]),ISNUMBER(tblY11[[#This Row],[Avg KS2 Band]])),tblY11[[#This Row],[Mean Stanine]]-tblY11[[#This Row],[Avg KS2 Band]],"")</f>
        <v>0.333333333333334</v>
      </c>
      <c r="N102" s="66" t="n">
        <v>16</v>
      </c>
      <c r="O102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4</v>
      </c>
      <c r="P102" s="66" t="n">
        <v>9</v>
      </c>
      <c r="Q102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2</v>
      </c>
      <c r="R102" s="66" t="n">
        <v>11</v>
      </c>
      <c r="S102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102" s="66" t="n">
        <v>23</v>
      </c>
      <c r="U102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102" s="66" t="n">
        <v>10</v>
      </c>
      <c r="W102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102" s="66" t="n">
        <v>8</v>
      </c>
      <c r="Y102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103">
      <c r="A103" s="65" t="inlineStr">
        <is>
          <t>X907345089065</t>
        </is>
      </c>
      <c r="B103" s="65" t="inlineStr">
        <is>
          <t>Wood</t>
        </is>
      </c>
      <c r="C103" s="65" t="inlineStr">
        <is>
          <t>Freya</t>
        </is>
      </c>
      <c r="D103" s="66" t="inlineStr">
        <is>
          <t>F</t>
        </is>
      </c>
      <c r="E103" s="66" t="inlineStr">
        <is>
          <t>N</t>
        </is>
      </c>
      <c r="F103" s="66" t="inlineStr">
        <is>
          <t>N</t>
        </is>
      </c>
      <c r="G103" s="34" t="n">
        <v>97</v>
      </c>
      <c r="H103" s="34" t="n">
        <v>102</v>
      </c>
      <c r="I103" s="67">
        <f>IF(ISNUMBER(tblY11[[#This Row],[Avg KS2]]),IFERROR(VLOOKUP(STANDARDIZE(tblY11[[#This Row],[Avg KS2]],AVERAGE(tblY11[[Avg KS2]]),_xlfn.STDEV.P(tblY11[[Avg KS2]])),_Stanine,2),5),"")</f>
        <v>4</v>
      </c>
      <c r="J103" s="66" t="inlineStr">
        <is>
          <t>11S/Sc3</t>
        </is>
      </c>
      <c r="K103" s="67">
        <f>IF(tblY11[[#This Row],[Preferred Last name]]="","",COUNTIFS($N$1:$ZZ$1,"*"&amp;CHAR(10)&amp;"Stanine",$N103:$ZZ103,"&gt;=1"))</f>
        <v>6</v>
      </c>
      <c r="L103" s="68">
        <f>IFERROR(AVERAGEIF($N$1:$ZZ$1,"*"&amp;CHAR(10)&amp;"Stanine",$N103:$ZZ103),"")</f>
        <v>3.16666666666667</v>
      </c>
      <c r="M103" s="69">
        <f>IF(AND(ISNUMBER(tblY11[[#This Row],[Mean Stanine]]),ISNUMBER(tblY11[[#This Row],[Avg KS2 Band]])),tblY11[[#This Row],[Mean Stanine]]-tblY11[[#This Row],[Avg KS2 Band]],"")</f>
        <v>-0.833333333333334</v>
      </c>
      <c r="N103" s="66" t="n">
        <v>12</v>
      </c>
      <c r="O103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3</v>
      </c>
      <c r="P103" s="66" t="n">
        <v>12</v>
      </c>
      <c r="Q103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3</v>
      </c>
      <c r="R103" s="66" t="n">
        <v>10</v>
      </c>
      <c r="S103" s="67">
        <f>IF(ISNUMBER(tblY11[[#This Row],[4P06 - Waves
Raw Score]]),IFERROR(VLOOKUP(STANDARDIZE(tblY11[[#This Row],[4P06 - Waves
Raw Score]],AVERAGE(tblY11[[4P06 - Waves
Raw Score]]),_xlfn.STDEV.P(tblY11[[4P06 - Waves
Raw Score]])),_Stanine,2),5),"")</f>
        <v>3</v>
      </c>
      <c r="T103" s="66" t="n">
        <v>22</v>
      </c>
      <c r="U103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103" s="66" t="n">
        <v>7</v>
      </c>
      <c r="W103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3</v>
      </c>
      <c r="X103" s="66" t="n">
        <v>7</v>
      </c>
      <c r="Y103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3</v>
      </c>
    </row>
    <row r="104">
      <c r="A104" s="65" t="inlineStr">
        <is>
          <t>X905534469455</t>
        </is>
      </c>
      <c r="B104" s="65" t="inlineStr">
        <is>
          <t>Wood</t>
        </is>
      </c>
      <c r="C104" s="65" t="inlineStr">
        <is>
          <t>Ibrahim</t>
        </is>
      </c>
      <c r="D104" s="66" t="inlineStr">
        <is>
          <t>F</t>
        </is>
      </c>
      <c r="E104" s="66" t="inlineStr">
        <is>
          <t>N</t>
        </is>
      </c>
      <c r="F104" s="66" t="inlineStr">
        <is>
          <t>N</t>
        </is>
      </c>
      <c r="G104" s="34" t="n">
        <v>95.7</v>
      </c>
      <c r="H104" s="34" t="n">
        <v>109</v>
      </c>
      <c r="I104" s="67">
        <f>IF(ISNUMBER(tblY11[[#This Row],[Avg KS2]]),IFERROR(VLOOKUP(STANDARDIZE(tblY11[[#This Row],[Avg KS2]],AVERAGE(tblY11[[Avg KS2]]),_xlfn.STDEV.P(tblY11[[Avg KS2]])),_Stanine,2),5),"")</f>
        <v>6</v>
      </c>
      <c r="J104" s="66" t="inlineStr">
        <is>
          <t>11S/Sc2</t>
        </is>
      </c>
      <c r="K104" s="67">
        <f>IF(tblY11[[#This Row],[Preferred Last name]]="","",COUNTIFS($N$1:$ZZ$1,"*"&amp;CHAR(10)&amp;"Stanine",$N104:$ZZ104,"&gt;=1"))</f>
        <v>6</v>
      </c>
      <c r="L104" s="68">
        <f>IFERROR(AVERAGEIF($N$1:$ZZ$1,"*"&amp;CHAR(10)&amp;"Stanine",$N104:$ZZ104),"")</f>
        <v>7</v>
      </c>
      <c r="M104" s="69">
        <f>IF(AND(ISNUMBER(tblY11[[#This Row],[Mean Stanine]]),ISNUMBER(tblY11[[#This Row],[Avg KS2 Band]])),tblY11[[#This Row],[Mean Stanine]]-tblY11[[#This Row],[Avg KS2 Band]],"")</f>
        <v>1</v>
      </c>
      <c r="N104" s="66" t="n">
        <v>36</v>
      </c>
      <c r="O104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8</v>
      </c>
      <c r="P104" s="66" t="n">
        <v>28</v>
      </c>
      <c r="Q104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7</v>
      </c>
      <c r="R104" s="66" t="n">
        <v>28</v>
      </c>
      <c r="S104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104" s="66" t="n">
        <v>36</v>
      </c>
      <c r="U104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104" s="66" t="n">
        <v>22</v>
      </c>
      <c r="W104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7</v>
      </c>
      <c r="X104" s="66" t="n">
        <v>18</v>
      </c>
      <c r="Y104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  <row r="105">
      <c r="A105" s="65" t="inlineStr">
        <is>
          <t>X904858657844</t>
        </is>
      </c>
      <c r="B105" s="65" t="inlineStr">
        <is>
          <t>Wright</t>
        </is>
      </c>
      <c r="C105" s="65" t="inlineStr">
        <is>
          <t>George</t>
        </is>
      </c>
      <c r="D105" s="66" t="inlineStr">
        <is>
          <t>M</t>
        </is>
      </c>
      <c r="E105" s="66" t="inlineStr">
        <is>
          <t>N</t>
        </is>
      </c>
      <c r="F105" s="66" t="inlineStr">
        <is>
          <t>N</t>
        </is>
      </c>
      <c r="G105" s="34" t="n">
        <v>94.2</v>
      </c>
      <c r="H105" s="34" t="n">
        <v>103</v>
      </c>
      <c r="I105" s="67">
        <f>IF(ISNUMBER(tblY11[[#This Row],[Avg KS2]]),IFERROR(VLOOKUP(STANDARDIZE(tblY11[[#This Row],[Avg KS2]],AVERAGE(tblY11[[Avg KS2]]),_xlfn.STDEV.P(tblY11[[Avg KS2]])),_Stanine,2),5),"")</f>
        <v>4</v>
      </c>
      <c r="J105" s="66" t="inlineStr">
        <is>
          <t>11S/Sc3</t>
        </is>
      </c>
      <c r="K105" s="67">
        <f>IF(tblY11[[#This Row],[Preferred Last name]]="","",COUNTIFS($N$1:$ZZ$1,"*"&amp;CHAR(10)&amp;"Stanine",$N105:$ZZ105,"&gt;=1"))</f>
        <v>5</v>
      </c>
      <c r="L105" s="68">
        <f>IFERROR(AVERAGEIF($N$1:$ZZ$1,"*"&amp;CHAR(10)&amp;"Stanine",$N105:$ZZ105),"")</f>
        <v>4.2</v>
      </c>
      <c r="M105" s="69">
        <f>IF(AND(ISNUMBER(tblY11[[#This Row],[Mean Stanine]]),ISNUMBER(tblY11[[#This Row],[Avg KS2 Band]])),tblY11[[#This Row],[Mean Stanine]]-tblY11[[#This Row],[Avg KS2 Band]],"")</f>
        <v>0.2</v>
      </c>
      <c r="N105" s="66" t="n">
        <v>22</v>
      </c>
      <c r="O105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105" s="66" t="n">
        <v>14</v>
      </c>
      <c r="Q105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4</v>
      </c>
      <c r="R105" s="66" t="n">
        <v>15</v>
      </c>
      <c r="S105" s="67">
        <f>IF(ISNUMBER(tblY11[[#This Row],[4P06 - Waves
Raw Score]]),IFERROR(VLOOKUP(STANDARDIZE(tblY11[[#This Row],[4P06 - Waves
Raw Score]],AVERAGE(tblY11[[4P06 - Waves
Raw Score]]),_xlfn.STDEV.P(tblY11[[4P06 - Waves
Raw Score]])),_Stanine,2),5),"")</f>
        <v>4</v>
      </c>
      <c r="T105" s="66" t="n">
        <v>22</v>
      </c>
      <c r="U105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4</v>
      </c>
      <c r="V105" s="66" t="n">
        <v>10</v>
      </c>
      <c r="W105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4</v>
      </c>
      <c r="X105" s="66" t="inlineStr">
        <is>
          <t>A</t>
        </is>
      </c>
      <c r="Y105" s="67" t="str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/>
      </c>
    </row>
    <row r="106">
      <c r="A106" s="65" t="inlineStr">
        <is>
          <t>X901656563487</t>
        </is>
      </c>
      <c r="B106" s="65" t="inlineStr">
        <is>
          <t>Wright</t>
        </is>
      </c>
      <c r="C106" s="65" t="inlineStr">
        <is>
          <t>Ivy</t>
        </is>
      </c>
      <c r="D106" s="66" t="inlineStr">
        <is>
          <t>M</t>
        </is>
      </c>
      <c r="E106" s="66" t="inlineStr">
        <is>
          <t>K</t>
        </is>
      </c>
      <c r="F106" s="66" t="inlineStr">
        <is>
          <t>N</t>
        </is>
      </c>
      <c r="G106" s="34" t="n">
        <v>100</v>
      </c>
      <c r="H106" s="34" t="n">
        <v>109</v>
      </c>
      <c r="I106" s="67">
        <f>IF(ISNUMBER(tblY11[[#This Row],[Avg KS2]]),IFERROR(VLOOKUP(STANDARDIZE(tblY11[[#This Row],[Avg KS2]],AVERAGE(tblY11[[Avg KS2]]),_xlfn.STDEV.P(tblY11[[Avg KS2]])),_Stanine,2),5),"")</f>
        <v>6</v>
      </c>
      <c r="J106" s="66" t="inlineStr">
        <is>
          <t>11S/Sc1</t>
        </is>
      </c>
      <c r="K106" s="67">
        <f>IF(tblY11[[#This Row],[Preferred Last name]]="","",COUNTIFS($N$1:$ZZ$1,"*"&amp;CHAR(10)&amp;"Stanine",$N106:$ZZ106,"&gt;=1"))</f>
        <v>6</v>
      </c>
      <c r="L106" s="68">
        <f>IFERROR(AVERAGEIF($N$1:$ZZ$1,"*"&amp;CHAR(10)&amp;"Stanine",$N106:$ZZ106),"")</f>
        <v>6</v>
      </c>
      <c r="M106" s="69">
        <f>IF(AND(ISNUMBER(tblY11[[#This Row],[Mean Stanine]]),ISNUMBER(tblY11[[#This Row],[Avg KS2 Band]])),tblY11[[#This Row],[Mean Stanine]]-tblY11[[#This Row],[Avg KS2 Band]],"")</f>
        <v>0</v>
      </c>
      <c r="N106" s="66" t="n">
        <v>26</v>
      </c>
      <c r="O106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6</v>
      </c>
      <c r="P106" s="66" t="n">
        <v>23</v>
      </c>
      <c r="Q106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6</v>
      </c>
      <c r="R106" s="66" t="n">
        <v>26</v>
      </c>
      <c r="S106" s="67">
        <f>IF(ISNUMBER(tblY11[[#This Row],[4P06 - Waves
Raw Score]]),IFERROR(VLOOKUP(STANDARDIZE(tblY11[[#This Row],[4P06 - Waves
Raw Score]],AVERAGE(tblY11[[4P06 - Waves
Raw Score]]),_xlfn.STDEV.P(tblY11[[4P06 - Waves
Raw Score]])),_Stanine,2),5),"")</f>
        <v>7</v>
      </c>
      <c r="T106" s="66" t="n">
        <v>29</v>
      </c>
      <c r="U106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6</v>
      </c>
      <c r="V106" s="66" t="n">
        <v>19</v>
      </c>
      <c r="W106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6</v>
      </c>
      <c r="X106" s="66" t="n">
        <v>13</v>
      </c>
      <c r="Y106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5</v>
      </c>
    </row>
    <row r="107">
      <c r="A107" s="65" t="inlineStr">
        <is>
          <t>X901319956107</t>
        </is>
      </c>
      <c r="B107" s="65" t="inlineStr">
        <is>
          <t>Wright</t>
        </is>
      </c>
      <c r="C107" s="65" t="inlineStr">
        <is>
          <t>Oscar</t>
        </is>
      </c>
      <c r="D107" s="66" t="inlineStr">
        <is>
          <t>M</t>
        </is>
      </c>
      <c r="E107" s="66" t="inlineStr">
        <is>
          <t>N</t>
        </is>
      </c>
      <c r="F107" s="66" t="inlineStr">
        <is>
          <t>N</t>
        </is>
      </c>
      <c r="G107" s="34" t="n">
        <v>97.2</v>
      </c>
      <c r="H107" s="34" t="n">
        <v>106.5</v>
      </c>
      <c r="I107" s="67">
        <f>IF(ISNUMBER(tblY11[[#This Row],[Avg KS2]]),IFERROR(VLOOKUP(STANDARDIZE(tblY11[[#This Row],[Avg KS2]],AVERAGE(tblY11[[Avg KS2]]),_xlfn.STDEV.P(tblY11[[Avg KS2]])),_Stanine,2),5),"")</f>
        <v>6</v>
      </c>
      <c r="J107" s="66" t="inlineStr">
        <is>
          <t>11S/Sc2</t>
        </is>
      </c>
      <c r="K107" s="67">
        <f>IF(tblY11[[#This Row],[Preferred Last name]]="","",COUNTIFS($N$1:$ZZ$1,"*"&amp;CHAR(10)&amp;"Stanine",$N107:$ZZ107,"&gt;=1"))</f>
        <v>6</v>
      </c>
      <c r="L107" s="68">
        <f>IFERROR(AVERAGEIF($N$1:$ZZ$1,"*"&amp;CHAR(10)&amp;"Stanine",$N107:$ZZ107),"")</f>
        <v>5.66666666666667</v>
      </c>
      <c r="M107" s="69">
        <f>IF(AND(ISNUMBER(tblY11[[#This Row],[Mean Stanine]]),ISNUMBER(tblY11[[#This Row],[Avg KS2 Band]])),tblY11[[#This Row],[Mean Stanine]]-tblY11[[#This Row],[Avg KS2 Band]],"")</f>
        <v>-0.333333333333333</v>
      </c>
      <c r="N107" s="66" t="n">
        <v>24</v>
      </c>
      <c r="O107" s="67">
        <f>IF(ISNUMBER(tblY11[[#This Row],[4B05 - Homeostasis
Raw Score]]),IFERROR(VLOOKUP(STANDARDIZE(tblY11[[#This Row],[4B05 - Homeostasis
Raw Score]],AVERAGE(tblY11[[4B05 - Homeostasis
Raw Score]]),_xlfn.STDEV.P(tblY11[[4B05 - Homeostasis
Raw Score]])),_Stanine,2),5),"")</f>
        <v>5</v>
      </c>
      <c r="P107" s="66" t="n">
        <v>20</v>
      </c>
      <c r="Q107" s="67">
        <f>IF(ISNUMBER(tblY11[[#This Row],[4C09 - Organic Chemistry
Raw Score]]),IFERROR(VLOOKUP(STANDARDIZE(tblY11[[#This Row],[4C09 - Organic Chemistry
Raw Score]],AVERAGE(tblY11[[4C09 - Organic Chemistry
Raw Score]]),_xlfn.STDEV.P(tblY11[[4C09 - Organic Chemistry
Raw Score]])),_Stanine,2),5),"")</f>
        <v>5</v>
      </c>
      <c r="R107" s="66" t="n">
        <v>20</v>
      </c>
      <c r="S107" s="67">
        <f>IF(ISNUMBER(tblY11[[#This Row],[4P06 - Waves
Raw Score]]),IFERROR(VLOOKUP(STANDARDIZE(tblY11[[#This Row],[4P06 - Waves
Raw Score]],AVERAGE(tblY11[[4P06 - Waves
Raw Score]]),_xlfn.STDEV.P(tblY11[[4P06 - Waves
Raw Score]])),_Stanine,2),5),"")</f>
        <v>6</v>
      </c>
      <c r="T107" s="66" t="n">
        <v>35</v>
      </c>
      <c r="U107" s="67">
        <f>IF(ISNUMBER(tblY11[[#This Row],[4B06 - Inheritance
Raw Score]]),IFERROR(VLOOKUP(STANDARDIZE(tblY11[[#This Row],[4B06 - Inheritance
Raw Score]],AVERAGE(tblY11[[4B06 - Inheritance
Raw Score]]),_xlfn.STDEV.P(tblY11[[4B06 - Inheritance
Raw Score]])),_Stanine,2),5),"")</f>
        <v>7</v>
      </c>
      <c r="V107" s="66" t="n">
        <v>15</v>
      </c>
      <c r="W107" s="67">
        <f>IF(ISNUMBER(tblY11[[#This Row],[4C10 - Chemical Analysis
Raw Score]]),IFERROR(VLOOKUP(STANDARDIZE(tblY11[[#This Row],[4C10 - Chemical Analysis
Raw Score]],AVERAGE(tblY11[[4C10 - Chemical Analysis
Raw Score]]),_xlfn.STDEV.P(tblY11[[4C10 - Chemical Analysis
Raw Score]])),_Stanine,2),5),"")</f>
        <v>5</v>
      </c>
      <c r="X107" s="66" t="n">
        <v>17</v>
      </c>
      <c r="Y107" s="67">
        <f>IF(ISNUMBER(tblY11[[#This Row],[4P07 - Magnetism
Raw Score]]),IFERROR(VLOOKUP(STANDARDIZE(tblY11[[#This Row],[4P07 - Magnetism
Raw Score]],AVERAGE(tblY11[[4P07 - Magnetism
Raw Score]]),_xlfn.STDEV.P(tblY11[[4P07 - Magnetism
Raw Score]])),_Stanine,2),5),"")</f>
        <v>6</v>
      </c>
    </row>
  </sheetData>
  <conditionalFormatting sqref="I2:I107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07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07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07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07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07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07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107">
    <cfRule type="iconSet" priority="8">
      <iconSet iconSet="3TrafficLights1">
        <cfvo type="percent" val="0"/>
        <cfvo type="num" val="4"/>
        <cfvo type="num" val="7"/>
      </iconSet>
    </cfRule>
  </conditionalFormatting>
  <conditionalFormatting sqref="Y2:Y107">
    <cfRule type="iconSet" priority="9">
      <iconSet iconSet="3TrafficLights1">
        <cfvo type="percent" val="0"/>
        <cfvo type="num" val="4"/>
        <cfvo type="num" val="7"/>
      </iconSet>
    </cfRule>
  </conditionalFormatting>
  <dataValidations count="6">
    <dataValidation sqref="N2:N107" showDropDown="0" showInputMessage="0" showErrorMessage="1" allowBlank="1" errorTitle="Score out of range" error="Type a mark from 0 to 40, or A for absent. Leave the cell blank if the student has not sat the test yet." type="custom">
      <formula1>OR(UPPER(N2)="A",AND(ISNUMBER(N2),N2&gt;=0,N2&lt;=40))</formula1>
    </dataValidation>
    <dataValidation sqref="P2:P107" showDropDown="0" showInputMessage="0" showErrorMessage="1" allowBlank="1" errorTitle="Score out of range" error="Type a mark from 0 to 35, or A for absent. Leave the cell blank if the student has not sat the test yet." type="custom">
      <formula1>OR(UPPER(P2)="A",AND(ISNUMBER(P2),P2&gt;=0,P2&lt;=35))</formula1>
    </dataValidation>
    <dataValidation sqref="R2:R107" showDropDown="0" showInputMessage="0" showErrorMessage="1" allowBlank="1" errorTitle="Score out of range" error="Type a mark from 0 to 38, or A for absent. Leave the cell blank if the student has not sat the test yet." type="custom">
      <formula1>OR(UPPER(R2)="A",AND(ISNUMBER(R2),R2&gt;=0,R2&lt;=38))</formula1>
    </dataValidation>
    <dataValidation sqref="T2:T107" showDropDown="0" showInputMessage="0" showErrorMessage="1" allowBlank="1" errorTitle="Score out of range" error="Type a mark from 0 to 42, or A for absent. Leave the cell blank if the student has not sat the test yet." type="custom">
      <formula1>OR(UPPER(T2)="A",AND(ISNUMBER(T2),T2&gt;=0,T2&lt;=42))</formula1>
    </dataValidation>
    <dataValidation sqref="V2:V107" showDropDown="0" showInputMessage="0" showErrorMessage="1" allowBlank="1" errorTitle="Score out of range" error="Type a mark from 0 to 30, or A for absent. Leave the cell blank if the student has not sat the test yet." type="custom">
      <formula1>OR(UPPER(V2)="A",AND(ISNUMBER(V2),V2&gt;=0,V2&lt;=30))</formula1>
    </dataValidation>
    <dataValidation sqref="X2:X107" showDropDown="0" showInputMessage="0" showErrorMessage="1" allowBlank="1" errorTitle="Score out of range" error="Type a mark from 0 to 34, or A for absent. Leave the cell blank if the student has not sat the test yet." type="custom">
      <formula1>OR(UPPER(X2)="A",AND(ISNUMBER(X2),X2&gt;=0,X2&lt;=34))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10.xml><?xml version="1.0" encoding="utf-8"?>
<worksheet xmlns="http://schemas.openxmlformats.org/spreadsheetml/2006/main">
  <sheetPr codeName="shInfo">
    <tabColor rgb="00898781"/>
    <outlinePr summaryBelow="1" summaryRight="1"/>
    <pageSetUpPr fitToPage="1"/>
  </sheetPr>
  <dimension ref="A1:W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8" customWidth="1" min="2" max="2"/>
    <col width="26" customWidth="1" min="3" max="3"/>
    <col width="30" customWidth="1" min="4" max="4"/>
    <col width="7" customWidth="1" min="5" max="5"/>
    <col width="11" customWidth="1" min="6" max="6"/>
    <col width="9" customWidth="1" min="7" max="7"/>
    <col width="7" customWidth="1" min="8" max="8"/>
    <col width="8" customWidth="1" min="9" max="9"/>
    <col width="9" customWidth="1" min="10" max="10"/>
    <col width="11" customWidth="1" min="11" max="11"/>
    <col width="8" customWidth="1" min="12" max="12"/>
    <col width="9" customWidth="1" min="13" max="13"/>
    <col width="8" customWidth="1" min="14" max="14"/>
    <col width="28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width="12" customWidth="1" min="21" max="21"/>
    <col width="9" customWidth="1" min="22" max="22"/>
    <col width="22" customWidth="1" min="23" max="23"/>
  </cols>
  <sheetData>
    <row r="1" ht="30" customHeight="1">
      <c r="A1" s="1" t="n"/>
      <c r="B1" s="2" t="inlineStr">
        <is>
          <t>Assessment register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17" t="inlineStr">
        <is>
          <t>One row per test. The Manage tests button adds, edits and removes rows - you only need to type here to correct a code, title, maximum mark or date.</t>
        </is>
      </c>
    </row>
    <row r="3">
      <c r="U3" s="6" t="inlineStr">
        <is>
          <t>Stanine lookup</t>
        </is>
      </c>
    </row>
    <row r="4" ht="32" customHeight="1">
      <c r="A4" s="7" t="inlineStr">
        <is>
          <t>Year Group</t>
        </is>
      </c>
      <c r="B4" s="7" t="inlineStr">
        <is>
          <t>Code</t>
        </is>
      </c>
      <c r="C4" s="7" t="inlineStr">
        <is>
          <t>Title</t>
        </is>
      </c>
      <c r="D4" s="7" t="inlineStr">
        <is>
          <t>Test Name</t>
        </is>
      </c>
      <c r="E4" s="7" t="inlineStr">
        <is>
          <t>Max Marks</t>
        </is>
      </c>
      <c r="F4" s="7" t="inlineStr">
        <is>
          <t>Date</t>
        </is>
      </c>
      <c r="G4" s="7" t="inlineStr">
        <is>
          <t>Students</t>
        </is>
      </c>
      <c r="H4" s="7" t="inlineStr">
        <is>
          <t>Sat</t>
        </is>
      </c>
      <c r="I4" s="7" t="inlineStr">
        <is>
          <t>Absent</t>
        </is>
      </c>
      <c r="J4" s="7" t="inlineStr">
        <is>
          <t>Not Entered</t>
        </is>
      </c>
      <c r="K4" s="7" t="inlineStr">
        <is>
          <t>Completion</t>
        </is>
      </c>
      <c r="L4" s="7" t="inlineStr">
        <is>
          <t>Year Mean</t>
        </is>
      </c>
      <c r="M4" s="7" t="inlineStr">
        <is>
          <t>Year Mean %</t>
        </is>
      </c>
      <c r="N4" s="7" t="inlineStr">
        <is>
          <t>Year SD</t>
        </is>
      </c>
      <c r="O4" s="7" t="inlineStr">
        <is>
          <t>Check</t>
        </is>
      </c>
      <c r="P4" s="7" t="inlineStr">
        <is>
          <t>Year Index</t>
        </is>
      </c>
      <c r="Q4" s="7" t="inlineStr">
        <is>
          <t>Raw Col</t>
        </is>
      </c>
      <c r="R4" s="7" t="inlineStr">
        <is>
          <t>Seq Key</t>
        </is>
      </c>
      <c r="S4" s="7" t="inlineStr">
        <is>
          <t>Name Key</t>
        </is>
      </c>
      <c r="U4" s="7" t="inlineStr">
        <is>
          <t>z-score from</t>
        </is>
      </c>
      <c r="V4" s="7" t="inlineStr">
        <is>
          <t>Stanine</t>
        </is>
      </c>
      <c r="W4" s="7" t="inlineStr">
        <is>
          <t>Meaning</t>
        </is>
      </c>
    </row>
    <row r="5">
      <c r="A5" s="10" t="inlineStr">
        <is>
          <t>Year 7</t>
        </is>
      </c>
      <c r="B5" s="10" t="inlineStr">
        <is>
          <t>7B01</t>
        </is>
      </c>
      <c r="C5" s="70" t="inlineStr">
        <is>
          <t>Cells</t>
        </is>
      </c>
      <c r="D5" s="70" t="inlineStr">
        <is>
          <t>7B01 - Cells</t>
        </is>
      </c>
      <c r="E5" s="9" t="n">
        <v>30</v>
      </c>
      <c r="F5" s="71" t="n">
        <v>46287</v>
      </c>
      <c r="G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5" s="72">
        <f>IF(tblAssessments[[#This Row],[Raw Col]]=0,"",COUNT(INDEX(CHOOSE(tblAssessments[[#This Row],[Year Index]],tblY7[#Data],tblY8[#Data],tblY9[#Data],tblY10[#Data],tblY11[#Data]),0,tblAssessments[[#This Row],[Raw Col]])))</f>
        <v>126</v>
      </c>
      <c r="I5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5" s="72">
        <f>IF(tblAssessments[[#This Row],[Raw Col]]=0,"",tblAssessments[[#This Row],[Students]]-tblAssessments[[#This Row],[Sat]]-tblAssessments[[#This Row],[Absent]])</f>
        <v>0</v>
      </c>
      <c r="K5" s="73">
        <f>IF(OR(tblAssessments[[#This Row],[Raw Col]]=0,N(tblAssessments[[#This Row],[Students]])=0),"",(tblAssessments[[#This Row],[Sat]]+tblAssessments[[#This Row],[Absent]])/tblAssessments[[#This Row],[Students]])</f>
        <v>1</v>
      </c>
      <c r="L5" s="74">
        <f>IF(N(tblAssessments[[#This Row],[Sat]])=0,"",AVERAGE(INDEX(CHOOSE(tblAssessments[[#This Row],[Year Index]],tblY7[#Data],tblY8[#Data],tblY9[#Data],tblY10[#Data],tblY11[#Data]),0,tblAssessments[[#This Row],[Raw Col]])))</f>
        <v>17.6984126984127</v>
      </c>
      <c r="M5" s="73">
        <f>IF(OR(tblAssessments[[#This Row],[Year Mean]]="",N(tblAssessments[[#This Row],[Max Marks]])=0),"",tblAssessments[[#This Row],[Year Mean]]/tblAssessments[[#This Row],[Max Marks]])</f>
        <v>0.58994708994709</v>
      </c>
      <c r="N5" s="74">
        <f>IF(N(tblAssessments[[#This Row],[Sat]])=0,"",_xlfn.STDEV.P(INDEX(CHOOSE(tblAssessments[[#This Row],[Year Index]],tblY7[#Data],tblY8[#Data],tblY9[#Data],tblY10[#Data],tblY11[#Data]),0,tblAssessments[[#This Row],[Raw Col]])))</f>
        <v>5.46165542854511</v>
      </c>
      <c r="O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5" s="72">
        <f>IFERROR(MATCH(tblAssessments[[#This Row],[Year Group]],YearNames,0),0)</f>
        <v>1</v>
      </c>
      <c r="Q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5" s="72" t="str">
        <f>tblAssessments[[#This Row],[Year Group]]&amp;"|"&amp;COUNTIF(INDEX(tblAssessments[Year Group],1):tblAssessments[[#This Row],[Year Group]],tblAssessments[[#This Row],[Year Group]])</f>
        <v>Year 7|1</v>
      </c>
      <c r="S5" s="72" t="str">
        <f>tblAssessments[[#This Row],[Year Group]]&amp;"|"&amp;tblAssessments[[#This Row],[Test Name]]</f>
        <v>Year 7|7B01 - Cells</v>
      </c>
      <c r="U5" s="76" t="n">
        <v>-99</v>
      </c>
      <c r="V5" s="16" t="n">
        <v>1</v>
      </c>
      <c r="W5" s="70" t="inlineStr">
        <is>
          <t>Very low</t>
        </is>
      </c>
    </row>
    <row r="6">
      <c r="A6" s="10" t="inlineStr">
        <is>
          <t>Year 7</t>
        </is>
      </c>
      <c r="B6" s="10" t="inlineStr">
        <is>
          <t>7C01</t>
        </is>
      </c>
      <c r="C6" s="70" t="inlineStr">
        <is>
          <t>Particles</t>
        </is>
      </c>
      <c r="D6" s="70" t="inlineStr">
        <is>
          <t>7C01 - Particles</t>
        </is>
      </c>
      <c r="E6" s="9" t="n">
        <v>25</v>
      </c>
      <c r="F6" s="71" t="n">
        <v>46301</v>
      </c>
      <c r="G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6" s="72">
        <f>IF(tblAssessments[[#This Row],[Raw Col]]=0,"",COUNT(INDEX(CHOOSE(tblAssessments[[#This Row],[Year Index]],tblY7[#Data],tblY8[#Data],tblY9[#Data],tblY10[#Data],tblY11[#Data]),0,tblAssessments[[#This Row],[Raw Col]])))</f>
        <v>125</v>
      </c>
      <c r="I6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6" s="72">
        <f>IF(tblAssessments[[#This Row],[Raw Col]]=0,"",tblAssessments[[#This Row],[Students]]-tblAssessments[[#This Row],[Sat]]-tblAssessments[[#This Row],[Absent]])</f>
        <v>0</v>
      </c>
      <c r="K6" s="73">
        <f>IF(OR(tblAssessments[[#This Row],[Raw Col]]=0,N(tblAssessments[[#This Row],[Students]])=0),"",(tblAssessments[[#This Row],[Sat]]+tblAssessments[[#This Row],[Absent]])/tblAssessments[[#This Row],[Students]])</f>
        <v>1</v>
      </c>
      <c r="L6" s="74">
        <f>IF(N(tblAssessments[[#This Row],[Sat]])=0,"",AVERAGE(INDEX(CHOOSE(tblAssessments[[#This Row],[Year Index]],tblY7[#Data],tblY8[#Data],tblY9[#Data],tblY10[#Data],tblY11[#Data]),0,tblAssessments[[#This Row],[Raw Col]])))</f>
        <v>16.256</v>
      </c>
      <c r="M6" s="73">
        <f>IF(OR(tblAssessments[[#This Row],[Year Mean]]="",N(tblAssessments[[#This Row],[Max Marks]])=0),"",tblAssessments[[#This Row],[Year Mean]]/tblAssessments[[#This Row],[Max Marks]])</f>
        <v>0.65024</v>
      </c>
      <c r="N6" s="74">
        <f>IF(N(tblAssessments[[#This Row],[Sat]])=0,"",_xlfn.STDEV.P(INDEX(CHOOSE(tblAssessments[[#This Row],[Year Index]],tblY7[#Data],tblY8[#Data],tblY9[#Data],tblY10[#Data],tblY11[#Data]),0,tblAssessments[[#This Row],[Raw Col]])))</f>
        <v>4.40346045741301</v>
      </c>
      <c r="O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6" s="72">
        <f>IFERROR(MATCH(tblAssessments[[#This Row],[Year Group]],YearNames,0),0)</f>
        <v>1</v>
      </c>
      <c r="Q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6" s="72" t="str">
        <f>tblAssessments[[#This Row],[Year Group]]&amp;"|"&amp;COUNTIF(INDEX(tblAssessments[Year Group],1):tblAssessments[[#This Row],[Year Group]],tblAssessments[[#This Row],[Year Group]])</f>
        <v>Year 7|2</v>
      </c>
      <c r="S6" s="72" t="str">
        <f>tblAssessments[[#This Row],[Year Group]]&amp;"|"&amp;tblAssessments[[#This Row],[Test Name]]</f>
        <v>Year 7|7C01 - Particles</v>
      </c>
      <c r="U6" s="76" t="n">
        <v>-1.75</v>
      </c>
      <c r="V6" s="16" t="n">
        <v>2</v>
      </c>
      <c r="W6" s="70" t="inlineStr">
        <is>
          <t>Low</t>
        </is>
      </c>
    </row>
    <row r="7">
      <c r="A7" s="10" t="inlineStr">
        <is>
          <t>Year 7</t>
        </is>
      </c>
      <c r="B7" s="10" t="inlineStr">
        <is>
          <t>7P01</t>
        </is>
      </c>
      <c r="C7" s="70" t="inlineStr">
        <is>
          <t>Forces</t>
        </is>
      </c>
      <c r="D7" s="70" t="inlineStr">
        <is>
          <t>7P01 - Forces</t>
        </is>
      </c>
      <c r="E7" s="9" t="n">
        <v>30</v>
      </c>
      <c r="F7" s="71" t="n">
        <v>46315</v>
      </c>
      <c r="G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7" s="72">
        <f>IF(tblAssessments[[#This Row],[Raw Col]]=0,"",COUNT(INDEX(CHOOSE(tblAssessments[[#This Row],[Year Index]],tblY7[#Data],tblY8[#Data],tblY9[#Data],tblY10[#Data],tblY11[#Data]),0,tblAssessments[[#This Row],[Raw Col]])))</f>
        <v>128</v>
      </c>
      <c r="I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7" s="72">
        <f>IF(tblAssessments[[#This Row],[Raw Col]]=0,"",tblAssessments[[#This Row],[Students]]-tblAssessments[[#This Row],[Sat]]-tblAssessments[[#This Row],[Absent]])</f>
        <v>0</v>
      </c>
      <c r="K7" s="73">
        <f>IF(OR(tblAssessments[[#This Row],[Raw Col]]=0,N(tblAssessments[[#This Row],[Students]])=0),"",(tblAssessments[[#This Row],[Sat]]+tblAssessments[[#This Row],[Absent]])/tblAssessments[[#This Row],[Students]])</f>
        <v>1</v>
      </c>
      <c r="L7" s="74">
        <f>IF(N(tblAssessments[[#This Row],[Sat]])=0,"",AVERAGE(INDEX(CHOOSE(tblAssessments[[#This Row],[Year Index]],tblY7[#Data],tblY8[#Data],tblY9[#Data],tblY10[#Data],tblY11[#Data]),0,tblAssessments[[#This Row],[Raw Col]])))</f>
        <v>16.0234375</v>
      </c>
      <c r="M7" s="73">
        <f>IF(OR(tblAssessments[[#This Row],[Year Mean]]="",N(tblAssessments[[#This Row],[Max Marks]])=0),"",tblAssessments[[#This Row],[Year Mean]]/tblAssessments[[#This Row],[Max Marks]])</f>
        <v>0.534114583333333</v>
      </c>
      <c r="N7" s="74">
        <f>IF(N(tblAssessments[[#This Row],[Sat]])=0,"",_xlfn.STDEV.P(INDEX(CHOOSE(tblAssessments[[#This Row],[Year Index]],tblY7[#Data],tblY8[#Data],tblY9[#Data],tblY10[#Data],tblY11[#Data]),0,tblAssessments[[#This Row],[Raw Col]])))</f>
        <v>5.45358947699529</v>
      </c>
      <c r="O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7" s="72">
        <f>IFERROR(MATCH(tblAssessments[[#This Row],[Year Group]],YearNames,0),0)</f>
        <v>1</v>
      </c>
      <c r="Q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7" s="72" t="str">
        <f>tblAssessments[[#This Row],[Year Group]]&amp;"|"&amp;COUNTIF(INDEX(tblAssessments[Year Group],1):tblAssessments[[#This Row],[Year Group]],tblAssessments[[#This Row],[Year Group]])</f>
        <v>Year 7|3</v>
      </c>
      <c r="S7" s="72" t="str">
        <f>tblAssessments[[#This Row],[Year Group]]&amp;"|"&amp;tblAssessments[[#This Row],[Test Name]]</f>
        <v>Year 7|7P01 - Forces</v>
      </c>
      <c r="U7" s="76" t="n">
        <v>-1.25</v>
      </c>
      <c r="V7" s="16" t="n">
        <v>3</v>
      </c>
      <c r="W7" s="70" t="inlineStr">
        <is>
          <t>Below average</t>
        </is>
      </c>
    </row>
    <row r="8">
      <c r="A8" s="10" t="inlineStr">
        <is>
          <t>Year 7</t>
        </is>
      </c>
      <c r="B8" s="10" t="inlineStr">
        <is>
          <t>7B02</t>
        </is>
      </c>
      <c r="C8" s="70" t="inlineStr">
        <is>
          <t>Organ Systems</t>
        </is>
      </c>
      <c r="D8" s="70" t="inlineStr">
        <is>
          <t>7B02 - Organ Systems</t>
        </is>
      </c>
      <c r="E8" s="9" t="n">
        <v>28</v>
      </c>
      <c r="F8" s="71" t="n">
        <v>46329</v>
      </c>
      <c r="G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8" s="72">
        <f>IF(tblAssessments[[#This Row],[Raw Col]]=0,"",COUNT(INDEX(CHOOSE(tblAssessments[[#This Row],[Year Index]],tblY7[#Data],tblY8[#Data],tblY9[#Data],tblY10[#Data],tblY11[#Data]),0,tblAssessments[[#This Row],[Raw Col]])))</f>
        <v>127</v>
      </c>
      <c r="I8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8" s="72">
        <f>IF(tblAssessments[[#This Row],[Raw Col]]=0,"",tblAssessments[[#This Row],[Students]]-tblAssessments[[#This Row],[Sat]]-tblAssessments[[#This Row],[Absent]])</f>
        <v>0</v>
      </c>
      <c r="K8" s="73">
        <f>IF(OR(tblAssessments[[#This Row],[Raw Col]]=0,N(tblAssessments[[#This Row],[Students]])=0),"",(tblAssessments[[#This Row],[Sat]]+tblAssessments[[#This Row],[Absent]])/tblAssessments[[#This Row],[Students]])</f>
        <v>1</v>
      </c>
      <c r="L8" s="74">
        <f>IF(N(tblAssessments[[#This Row],[Sat]])=0,"",AVERAGE(INDEX(CHOOSE(tblAssessments[[#This Row],[Year Index]],tblY7[#Data],tblY8[#Data],tblY9[#Data],tblY10[#Data],tblY11[#Data]),0,tblAssessments[[#This Row],[Raw Col]])))</f>
        <v>15.0472440944882</v>
      </c>
      <c r="M8" s="73">
        <f>IF(OR(tblAssessments[[#This Row],[Year Mean]]="",N(tblAssessments[[#This Row],[Max Marks]])=0),"",tblAssessments[[#This Row],[Year Mean]]/tblAssessments[[#This Row],[Max Marks]])</f>
        <v>0.53740157480315</v>
      </c>
      <c r="N8" s="74">
        <f>IF(N(tblAssessments[[#This Row],[Sat]])=0,"",_xlfn.STDEV.P(INDEX(CHOOSE(tblAssessments[[#This Row],[Year Index]],tblY7[#Data],tblY8[#Data],tblY9[#Data],tblY10[#Data],tblY11[#Data]),0,tblAssessments[[#This Row],[Raw Col]])))</f>
        <v>5.43082231228955</v>
      </c>
      <c r="O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8" s="72">
        <f>IFERROR(MATCH(tblAssessments[[#This Row],[Year Group]],YearNames,0),0)</f>
        <v>1</v>
      </c>
      <c r="Q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8" s="72" t="str">
        <f>tblAssessments[[#This Row],[Year Group]]&amp;"|"&amp;COUNTIF(INDEX(tblAssessments[Year Group],1):tblAssessments[[#This Row],[Year Group]],tblAssessments[[#This Row],[Year Group]])</f>
        <v>Year 7|4</v>
      </c>
      <c r="S8" s="72" t="str">
        <f>tblAssessments[[#This Row],[Year Group]]&amp;"|"&amp;tblAssessments[[#This Row],[Test Name]]</f>
        <v>Year 7|7B02 - Organ Systems</v>
      </c>
      <c r="U8" s="76" t="n">
        <v>-0.75</v>
      </c>
      <c r="V8" s="16" t="n">
        <v>4</v>
      </c>
      <c r="W8" s="70" t="inlineStr">
        <is>
          <t>Slightly below average</t>
        </is>
      </c>
    </row>
    <row r="9">
      <c r="A9" s="10" t="inlineStr">
        <is>
          <t>Year 8</t>
        </is>
      </c>
      <c r="B9" s="10" t="inlineStr">
        <is>
          <t>8C01</t>
        </is>
      </c>
      <c r="C9" s="70" t="inlineStr">
        <is>
          <t>Periodic Table</t>
        </is>
      </c>
      <c r="D9" s="70" t="inlineStr">
        <is>
          <t>8C01 - Periodic Table</t>
        </is>
      </c>
      <c r="E9" s="9" t="n">
        <v>30</v>
      </c>
      <c r="F9" s="71" t="n">
        <v>46288</v>
      </c>
      <c r="G9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9" s="72">
        <f>IF(tblAssessments[[#This Row],[Raw Col]]=0,"",COUNT(INDEX(CHOOSE(tblAssessments[[#This Row],[Year Index]],tblY7[#Data],tblY8[#Data],tblY9[#Data],tblY10[#Data],tblY11[#Data]),0,tblAssessments[[#This Row],[Raw Col]])))</f>
        <v>87</v>
      </c>
      <c r="I9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9" s="72">
        <f>IF(tblAssessments[[#This Row],[Raw Col]]=0,"",tblAssessments[[#This Row],[Students]]-tblAssessments[[#This Row],[Sat]]-tblAssessments[[#This Row],[Absent]])</f>
        <v>0</v>
      </c>
      <c r="K9" s="73">
        <f>IF(OR(tblAssessments[[#This Row],[Raw Col]]=0,N(tblAssessments[[#This Row],[Students]])=0),"",(tblAssessments[[#This Row],[Sat]]+tblAssessments[[#This Row],[Absent]])/tblAssessments[[#This Row],[Students]])</f>
        <v>1</v>
      </c>
      <c r="L9" s="74">
        <f>IF(N(tblAssessments[[#This Row],[Sat]])=0,"",AVERAGE(INDEX(CHOOSE(tblAssessments[[#This Row],[Year Index]],tblY7[#Data],tblY8[#Data],tblY9[#Data],tblY10[#Data],tblY11[#Data]),0,tblAssessments[[#This Row],[Raw Col]])))</f>
        <v>14.4827586206897</v>
      </c>
      <c r="M9" s="73">
        <f>IF(OR(tblAssessments[[#This Row],[Year Mean]]="",N(tblAssessments[[#This Row],[Max Marks]])=0),"",tblAssessments[[#This Row],[Year Mean]]/tblAssessments[[#This Row],[Max Marks]])</f>
        <v>0.482758620689655</v>
      </c>
      <c r="N9" s="74">
        <f>IF(N(tblAssessments[[#This Row],[Sat]])=0,"",_xlfn.STDEV.P(INDEX(CHOOSE(tblAssessments[[#This Row],[Year Index]],tblY7[#Data],tblY8[#Data],tblY9[#Data],tblY10[#Data],tblY11[#Data]),0,tblAssessments[[#This Row],[Raw Col]])))</f>
        <v>6.43957246557853</v>
      </c>
      <c r="O9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9" s="72">
        <f>IFERROR(MATCH(tblAssessments[[#This Row],[Year Group]],YearNames,0),0)</f>
        <v>2</v>
      </c>
      <c r="Q9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9" s="72" t="str">
        <f>tblAssessments[[#This Row],[Year Group]]&amp;"|"&amp;COUNTIF(INDEX(tblAssessments[Year Group],1):tblAssessments[[#This Row],[Year Group]],tblAssessments[[#This Row],[Year Group]])</f>
        <v>Year 8|1</v>
      </c>
      <c r="S9" s="72" t="str">
        <f>tblAssessments[[#This Row],[Year Group]]&amp;"|"&amp;tblAssessments[[#This Row],[Test Name]]</f>
        <v>Year 8|8C01 - Periodic Table</v>
      </c>
      <c r="U9" s="76" t="n">
        <v>-0.25</v>
      </c>
      <c r="V9" s="16" t="n">
        <v>5</v>
      </c>
      <c r="W9" s="70" t="inlineStr">
        <is>
          <t>Average</t>
        </is>
      </c>
    </row>
    <row r="10">
      <c r="A10" s="10" t="inlineStr">
        <is>
          <t>Year 8</t>
        </is>
      </c>
      <c r="B10" s="10" t="inlineStr">
        <is>
          <t>8P01</t>
        </is>
      </c>
      <c r="C10" s="70" t="inlineStr">
        <is>
          <t>Energy</t>
        </is>
      </c>
      <c r="D10" s="70" t="inlineStr">
        <is>
          <t>8P01 - Energy</t>
        </is>
      </c>
      <c r="E10" s="9" t="n">
        <v>25</v>
      </c>
      <c r="F10" s="71" t="n">
        <v>46302</v>
      </c>
      <c r="G10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0" s="72">
        <f>IF(tblAssessments[[#This Row],[Raw Col]]=0,"",COUNT(INDEX(CHOOSE(tblAssessments[[#This Row],[Year Index]],tblY7[#Data],tblY8[#Data],tblY9[#Data],tblY10[#Data],tblY11[#Data]),0,tblAssessments[[#This Row],[Raw Col]])))</f>
        <v>89</v>
      </c>
      <c r="I10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0" s="72">
        <f>IF(tblAssessments[[#This Row],[Raw Col]]=0,"",tblAssessments[[#This Row],[Students]]-tblAssessments[[#This Row],[Sat]]-tblAssessments[[#This Row],[Absent]])</f>
        <v>0</v>
      </c>
      <c r="K10" s="73">
        <f>IF(OR(tblAssessments[[#This Row],[Raw Col]]=0,N(tblAssessments[[#This Row],[Students]])=0),"",(tblAssessments[[#This Row],[Sat]]+tblAssessments[[#This Row],[Absent]])/tblAssessments[[#This Row],[Students]])</f>
        <v>1</v>
      </c>
      <c r="L10" s="74">
        <f>IF(N(tblAssessments[[#This Row],[Sat]])=0,"",AVERAGE(INDEX(CHOOSE(tblAssessments[[#This Row],[Year Index]],tblY7[#Data],tblY8[#Data],tblY9[#Data],tblY10[#Data],tblY11[#Data]),0,tblAssessments[[#This Row],[Raw Col]])))</f>
        <v>14.7415730337079</v>
      </c>
      <c r="M10" s="73">
        <f>IF(OR(tblAssessments[[#This Row],[Year Mean]]="",N(tblAssessments[[#This Row],[Max Marks]])=0),"",tblAssessments[[#This Row],[Year Mean]]/tblAssessments[[#This Row],[Max Marks]])</f>
        <v>0.589662921348315</v>
      </c>
      <c r="N10" s="74">
        <f>IF(N(tblAssessments[[#This Row],[Sat]])=0,"",_xlfn.STDEV.P(INDEX(CHOOSE(tblAssessments[[#This Row],[Year Index]],tblY7[#Data],tblY8[#Data],tblY9[#Data],tblY10[#Data],tblY11[#Data]),0,tblAssessments[[#This Row],[Raw Col]])))</f>
        <v>5.09797952902657</v>
      </c>
      <c r="O10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0" s="72">
        <f>IFERROR(MATCH(tblAssessments[[#This Row],[Year Group]],YearNames,0),0)</f>
        <v>2</v>
      </c>
      <c r="Q10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0" s="72" t="str">
        <f>tblAssessments[[#This Row],[Year Group]]&amp;"|"&amp;COUNTIF(INDEX(tblAssessments[Year Group],1):tblAssessments[[#This Row],[Year Group]],tblAssessments[[#This Row],[Year Group]])</f>
        <v>Year 8|2</v>
      </c>
      <c r="S10" s="72" t="str">
        <f>tblAssessments[[#This Row],[Year Group]]&amp;"|"&amp;tblAssessments[[#This Row],[Test Name]]</f>
        <v>Year 8|8P01 - Energy</v>
      </c>
      <c r="U10" s="76" t="n">
        <v>0.25</v>
      </c>
      <c r="V10" s="16" t="n">
        <v>6</v>
      </c>
      <c r="W10" s="70" t="inlineStr">
        <is>
          <t>Slightly above average</t>
        </is>
      </c>
    </row>
    <row r="11">
      <c r="A11" s="10" t="inlineStr">
        <is>
          <t>Year 8</t>
        </is>
      </c>
      <c r="B11" s="10" t="inlineStr">
        <is>
          <t>8B01</t>
        </is>
      </c>
      <c r="C11" s="70" t="inlineStr">
        <is>
          <t>Digestion</t>
        </is>
      </c>
      <c r="D11" s="70" t="inlineStr">
        <is>
          <t>8B01 - Digestion</t>
        </is>
      </c>
      <c r="E11" s="9" t="n">
        <v>30</v>
      </c>
      <c r="F11" s="71" t="n">
        <v>46316</v>
      </c>
      <c r="G11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1" s="72">
        <f>IF(tblAssessments[[#This Row],[Raw Col]]=0,"",COUNT(INDEX(CHOOSE(tblAssessments[[#This Row],[Year Index]],tblY7[#Data],tblY8[#Data],tblY9[#Data],tblY10[#Data],tblY11[#Data]),0,tblAssessments[[#This Row],[Raw Col]])))</f>
        <v>89</v>
      </c>
      <c r="I11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1" s="72">
        <f>IF(tblAssessments[[#This Row],[Raw Col]]=0,"",tblAssessments[[#This Row],[Students]]-tblAssessments[[#This Row],[Sat]]-tblAssessments[[#This Row],[Absent]])</f>
        <v>0</v>
      </c>
      <c r="K11" s="73">
        <f>IF(OR(tblAssessments[[#This Row],[Raw Col]]=0,N(tblAssessments[[#This Row],[Students]])=0),"",(tblAssessments[[#This Row],[Sat]]+tblAssessments[[#This Row],[Absent]])/tblAssessments[[#This Row],[Students]])</f>
        <v>1</v>
      </c>
      <c r="L11" s="74">
        <f>IF(N(tblAssessments[[#This Row],[Sat]])=0,"",AVERAGE(INDEX(CHOOSE(tblAssessments[[#This Row],[Year Index]],tblY7[#Data],tblY8[#Data],tblY9[#Data],tblY10[#Data],tblY11[#Data]),0,tblAssessments[[#This Row],[Raw Col]])))</f>
        <v>16.0561797752809</v>
      </c>
      <c r="M11" s="73">
        <f>IF(OR(tblAssessments[[#This Row],[Year Mean]]="",N(tblAssessments[[#This Row],[Max Marks]])=0),"",tblAssessments[[#This Row],[Year Mean]]/tblAssessments[[#This Row],[Max Marks]])</f>
        <v>0.535205992509363</v>
      </c>
      <c r="N11" s="74">
        <f>IF(N(tblAssessments[[#This Row],[Sat]])=0,"",_xlfn.STDEV.P(INDEX(CHOOSE(tblAssessments[[#This Row],[Year Index]],tblY7[#Data],tblY8[#Data],tblY9[#Data],tblY10[#Data],tblY11[#Data]),0,tblAssessments[[#This Row],[Raw Col]])))</f>
        <v>5.78716043110274</v>
      </c>
      <c r="O11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1" s="72">
        <f>IFERROR(MATCH(tblAssessments[[#This Row],[Year Group]],YearNames,0),0)</f>
        <v>2</v>
      </c>
      <c r="Q11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11" s="72" t="str">
        <f>tblAssessments[[#This Row],[Year Group]]&amp;"|"&amp;COUNTIF(INDEX(tblAssessments[Year Group],1):tblAssessments[[#This Row],[Year Group]],tblAssessments[[#This Row],[Year Group]])</f>
        <v>Year 8|3</v>
      </c>
      <c r="S11" s="72" t="str">
        <f>tblAssessments[[#This Row],[Year Group]]&amp;"|"&amp;tblAssessments[[#This Row],[Test Name]]</f>
        <v>Year 8|8B01 - Digestion</v>
      </c>
      <c r="U11" s="76" t="n">
        <v>0.75</v>
      </c>
      <c r="V11" s="16" t="n">
        <v>7</v>
      </c>
      <c r="W11" s="70" t="inlineStr">
        <is>
          <t>Above average</t>
        </is>
      </c>
    </row>
    <row r="12">
      <c r="A12" s="10" t="inlineStr">
        <is>
          <t>Year 8</t>
        </is>
      </c>
      <c r="B12" s="10" t="inlineStr">
        <is>
          <t>8C02</t>
        </is>
      </c>
      <c r="C12" s="70" t="inlineStr">
        <is>
          <t>Metals and Acids</t>
        </is>
      </c>
      <c r="D12" s="70" t="inlineStr">
        <is>
          <t>8C02 - Metals and Acids</t>
        </is>
      </c>
      <c r="E12" s="9" t="n">
        <v>26</v>
      </c>
      <c r="F12" s="71" t="n">
        <v>46330</v>
      </c>
      <c r="G12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2" s="72">
        <f>IF(tblAssessments[[#This Row],[Raw Col]]=0,"",COUNT(INDEX(CHOOSE(tblAssessments[[#This Row],[Year Index]],tblY7[#Data],tblY8[#Data],tblY9[#Data],tblY10[#Data],tblY11[#Data]),0,tblAssessments[[#This Row],[Raw Col]])))</f>
        <v>88</v>
      </c>
      <c r="I12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2" s="72">
        <f>IF(tblAssessments[[#This Row],[Raw Col]]=0,"",tblAssessments[[#This Row],[Students]]-tblAssessments[[#This Row],[Sat]]-tblAssessments[[#This Row],[Absent]])</f>
        <v>0</v>
      </c>
      <c r="K12" s="73">
        <f>IF(OR(tblAssessments[[#This Row],[Raw Col]]=0,N(tblAssessments[[#This Row],[Students]])=0),"",(tblAssessments[[#This Row],[Sat]]+tblAssessments[[#This Row],[Absent]])/tblAssessments[[#This Row],[Students]])</f>
        <v>1</v>
      </c>
      <c r="L12" s="74">
        <f>IF(N(tblAssessments[[#This Row],[Sat]])=0,"",AVERAGE(INDEX(CHOOSE(tblAssessments[[#This Row],[Year Index]],tblY7[#Data],tblY8[#Data],tblY9[#Data],tblY10[#Data],tblY11[#Data]),0,tblAssessments[[#This Row],[Raw Col]])))</f>
        <v>11.9886363636364</v>
      </c>
      <c r="M12" s="73">
        <f>IF(OR(tblAssessments[[#This Row],[Year Mean]]="",N(tblAssessments[[#This Row],[Max Marks]])=0),"",tblAssessments[[#This Row],[Year Mean]]/tblAssessments[[#This Row],[Max Marks]])</f>
        <v>0.461101398601399</v>
      </c>
      <c r="N12" s="74">
        <f>IF(N(tblAssessments[[#This Row],[Sat]])=0,"",_xlfn.STDEV.P(INDEX(CHOOSE(tblAssessments[[#This Row],[Year Index]],tblY7[#Data],tblY8[#Data],tblY9[#Data],tblY10[#Data],tblY11[#Data]),0,tblAssessments[[#This Row],[Raw Col]])))</f>
        <v>5.65382878752777</v>
      </c>
      <c r="O12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2" s="72">
        <f>IFERROR(MATCH(tblAssessments[[#This Row],[Year Group]],YearNames,0),0)</f>
        <v>2</v>
      </c>
      <c r="Q12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12" s="72" t="str">
        <f>tblAssessments[[#This Row],[Year Group]]&amp;"|"&amp;COUNTIF(INDEX(tblAssessments[Year Group],1):tblAssessments[[#This Row],[Year Group]],tblAssessments[[#This Row],[Year Group]])</f>
        <v>Year 8|4</v>
      </c>
      <c r="S12" s="72" t="str">
        <f>tblAssessments[[#This Row],[Year Group]]&amp;"|"&amp;tblAssessments[[#This Row],[Test Name]]</f>
        <v>Year 8|8C02 - Metals and Acids</v>
      </c>
      <c r="U12" s="76" t="n">
        <v>1.25</v>
      </c>
      <c r="V12" s="16" t="n">
        <v>8</v>
      </c>
      <c r="W12" s="70" t="inlineStr">
        <is>
          <t>High</t>
        </is>
      </c>
    </row>
    <row r="13">
      <c r="A13" s="10" t="inlineStr">
        <is>
          <t>Year 8</t>
        </is>
      </c>
      <c r="B13" s="10" t="inlineStr">
        <is>
          <t>8P02</t>
        </is>
      </c>
      <c r="C13" s="70" t="inlineStr">
        <is>
          <t>Light</t>
        </is>
      </c>
      <c r="D13" s="70" t="inlineStr">
        <is>
          <t>8P02 - Light</t>
        </is>
      </c>
      <c r="E13" s="9" t="n">
        <v>24</v>
      </c>
      <c r="F13" s="71" t="n">
        <v>46344</v>
      </c>
      <c r="G13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3" s="72">
        <f>IF(tblAssessments[[#This Row],[Raw Col]]=0,"",COUNT(INDEX(CHOOSE(tblAssessments[[#This Row],[Year Index]],tblY7[#Data],tblY8[#Data],tblY9[#Data],tblY10[#Data],tblY11[#Data]),0,tblAssessments[[#This Row],[Raw Col]])))</f>
        <v>50</v>
      </c>
      <c r="I13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3" s="72">
        <f>IF(tblAssessments[[#This Row],[Raw Col]]=0,"",tblAssessments[[#This Row],[Students]]-tblAssessments[[#This Row],[Sat]]-tblAssessments[[#This Row],[Absent]])</f>
        <v>38</v>
      </c>
      <c r="K13" s="73">
        <f>IF(OR(tblAssessments[[#This Row],[Raw Col]]=0,N(tblAssessments[[#This Row],[Students]])=0),"",(tblAssessments[[#This Row],[Sat]]+tblAssessments[[#This Row],[Absent]])/tblAssessments[[#This Row],[Students]])</f>
        <v>0.591397849462366</v>
      </c>
      <c r="L13" s="74">
        <f>IF(N(tblAssessments[[#This Row],[Sat]])=0,"",AVERAGE(INDEX(CHOOSE(tblAssessments[[#This Row],[Year Index]],tblY7[#Data],tblY8[#Data],tblY9[#Data],tblY10[#Data],tblY11[#Data]),0,tblAssessments[[#This Row],[Raw Col]])))</f>
        <v>12.28</v>
      </c>
      <c r="M13" s="73">
        <f>IF(OR(tblAssessments[[#This Row],[Year Mean]]="",N(tblAssessments[[#This Row],[Max Marks]])=0),"",tblAssessments[[#This Row],[Year Mean]]/tblAssessments[[#This Row],[Max Marks]])</f>
        <v>0.511666666666667</v>
      </c>
      <c r="N13" s="74">
        <f>IF(N(tblAssessments[[#This Row],[Sat]])=0,"",_xlfn.STDEV.P(INDEX(CHOOSE(tblAssessments[[#This Row],[Year Index]],tblY7[#Data],tblY8[#Data],tblY9[#Data],tblY10[#Data],tblY11[#Data]),0,tblAssessments[[#This Row],[Raw Col]])))</f>
        <v>4.85814779519932</v>
      </c>
      <c r="O13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3" s="72">
        <f>IFERROR(MATCH(tblAssessments[[#This Row],[Year Group]],YearNames,0),0)</f>
        <v>2</v>
      </c>
      <c r="Q13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13" s="72" t="str">
        <f>tblAssessments[[#This Row],[Year Group]]&amp;"|"&amp;COUNTIF(INDEX(tblAssessments[Year Group],1):tblAssessments[[#This Row],[Year Group]],tblAssessments[[#This Row],[Year Group]])</f>
        <v>Year 8|5</v>
      </c>
      <c r="S13" s="72" t="str">
        <f>tblAssessments[[#This Row],[Year Group]]&amp;"|"&amp;tblAssessments[[#This Row],[Test Name]]</f>
        <v>Year 8|8P02 - Light</v>
      </c>
      <c r="U13" s="76" t="n">
        <v>1.75</v>
      </c>
      <c r="V13" s="16" t="n">
        <v>9</v>
      </c>
      <c r="W13" s="70" t="inlineStr">
        <is>
          <t>Very high</t>
        </is>
      </c>
    </row>
    <row r="14">
      <c r="A14" s="10" t="inlineStr">
        <is>
          <t>Year 9</t>
        </is>
      </c>
      <c r="B14" s="10" t="inlineStr">
        <is>
          <t>9B01</t>
        </is>
      </c>
      <c r="C14" s="70" t="inlineStr">
        <is>
          <t>Genetics</t>
        </is>
      </c>
      <c r="D14" s="70" t="inlineStr">
        <is>
          <t>9B01 - Genetics</t>
        </is>
      </c>
      <c r="E14" s="9" t="n">
        <v>30</v>
      </c>
      <c r="F14" s="71" t="n">
        <v>46289</v>
      </c>
      <c r="G14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4" s="72">
        <f>IF(tblAssessments[[#This Row],[Raw Col]]=0,"",COUNT(INDEX(CHOOSE(tblAssessments[[#This Row],[Year Index]],tblY7[#Data],tblY8[#Data],tblY9[#Data],tblY10[#Data],tblY11[#Data]),0,tblAssessments[[#This Row],[Raw Col]])))</f>
        <v>121</v>
      </c>
      <c r="I14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4" s="72">
        <f>IF(tblAssessments[[#This Row],[Raw Col]]=0,"",tblAssessments[[#This Row],[Students]]-tblAssessments[[#This Row],[Sat]]-tblAssessments[[#This Row],[Absent]])</f>
        <v>0</v>
      </c>
      <c r="K14" s="73">
        <f>IF(OR(tblAssessments[[#This Row],[Raw Col]]=0,N(tblAssessments[[#This Row],[Students]])=0),"",(tblAssessments[[#This Row],[Sat]]+tblAssessments[[#This Row],[Absent]])/tblAssessments[[#This Row],[Students]])</f>
        <v>1</v>
      </c>
      <c r="L14" s="74">
        <f>IF(N(tblAssessments[[#This Row],[Sat]])=0,"",AVERAGE(INDEX(CHOOSE(tblAssessments[[#This Row],[Year Index]],tblY7[#Data],tblY8[#Data],tblY9[#Data],tblY10[#Data],tblY11[#Data]),0,tblAssessments[[#This Row],[Raw Col]])))</f>
        <v>15.8429752066116</v>
      </c>
      <c r="M14" s="73">
        <f>IF(OR(tblAssessments[[#This Row],[Year Mean]]="",N(tblAssessments[[#This Row],[Max Marks]])=0),"",tblAssessments[[#This Row],[Year Mean]]/tblAssessments[[#This Row],[Max Marks]])</f>
        <v>0.528099173553719</v>
      </c>
      <c r="N14" s="74">
        <f>IF(N(tblAssessments[[#This Row],[Sat]])=0,"",_xlfn.STDEV.P(INDEX(CHOOSE(tblAssessments[[#This Row],[Year Index]],tblY7[#Data],tblY8[#Data],tblY9[#Data],tblY10[#Data],tblY11[#Data]),0,tblAssessments[[#This Row],[Raw Col]])))</f>
        <v>5.8747368704399</v>
      </c>
      <c r="O14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4" s="72">
        <f>IFERROR(MATCH(tblAssessments[[#This Row],[Year Group]],YearNames,0),0)</f>
        <v>3</v>
      </c>
      <c r="Q14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14" s="72" t="str">
        <f>tblAssessments[[#This Row],[Year Group]]&amp;"|"&amp;COUNTIF(INDEX(tblAssessments[Year Group],1):tblAssessments[[#This Row],[Year Group]],tblAssessments[[#This Row],[Year Group]])</f>
        <v>Year 9|1</v>
      </c>
      <c r="S14" s="72" t="str">
        <f>tblAssessments[[#This Row],[Year Group]]&amp;"|"&amp;tblAssessments[[#This Row],[Test Name]]</f>
        <v>Year 9|9B01 - Genetics</v>
      </c>
    </row>
    <row r="15">
      <c r="A15" s="10" t="inlineStr">
        <is>
          <t>Year 9</t>
        </is>
      </c>
      <c r="B15" s="10" t="inlineStr">
        <is>
          <t>9C01</t>
        </is>
      </c>
      <c r="C15" s="70" t="inlineStr">
        <is>
          <t>Chemical Reactions</t>
        </is>
      </c>
      <c r="D15" s="70" t="inlineStr">
        <is>
          <t>9C01 - Chemical Reactions</t>
        </is>
      </c>
      <c r="E15" s="9" t="n">
        <v>32</v>
      </c>
      <c r="F15" s="71" t="n">
        <v>46303</v>
      </c>
      <c r="G1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5" s="72">
        <f>IF(tblAssessments[[#This Row],[Raw Col]]=0,"",COUNT(INDEX(CHOOSE(tblAssessments[[#This Row],[Year Index]],tblY7[#Data],tblY8[#Data],tblY9[#Data],tblY10[#Data],tblY11[#Data]),0,tblAssessments[[#This Row],[Raw Col]])))</f>
        <v>120</v>
      </c>
      <c r="I15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5" s="72">
        <f>IF(tblAssessments[[#This Row],[Raw Col]]=0,"",tblAssessments[[#This Row],[Students]]-tblAssessments[[#This Row],[Sat]]-tblAssessments[[#This Row],[Absent]])</f>
        <v>0</v>
      </c>
      <c r="K15" s="73">
        <f>IF(OR(tblAssessments[[#This Row],[Raw Col]]=0,N(tblAssessments[[#This Row],[Students]])=0),"",(tblAssessments[[#This Row],[Sat]]+tblAssessments[[#This Row],[Absent]])/tblAssessments[[#This Row],[Students]])</f>
        <v>1</v>
      </c>
      <c r="L15" s="74">
        <f>IF(N(tblAssessments[[#This Row],[Sat]])=0,"",AVERAGE(INDEX(CHOOSE(tblAssessments[[#This Row],[Year Index]],tblY7[#Data],tblY8[#Data],tblY9[#Data],tblY10[#Data],tblY11[#Data]),0,tblAssessments[[#This Row],[Raw Col]])))</f>
        <v>18.525</v>
      </c>
      <c r="M15" s="73">
        <f>IF(OR(tblAssessments[[#This Row],[Year Mean]]="",N(tblAssessments[[#This Row],[Max Marks]])=0),"",tblAssessments[[#This Row],[Year Mean]]/tblAssessments[[#This Row],[Max Marks]])</f>
        <v>0.57890625</v>
      </c>
      <c r="N15" s="74">
        <f>IF(N(tblAssessments[[#This Row],[Sat]])=0,"",_xlfn.STDEV.P(INDEX(CHOOSE(tblAssessments[[#This Row],[Year Index]],tblY7[#Data],tblY8[#Data],tblY9[#Data],tblY10[#Data],tblY11[#Data]),0,tblAssessments[[#This Row],[Raw Col]])))</f>
        <v>6.5776927312445</v>
      </c>
      <c r="O1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5" s="72">
        <f>IFERROR(MATCH(tblAssessments[[#This Row],[Year Group]],YearNames,0),0)</f>
        <v>3</v>
      </c>
      <c r="Q1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5" s="72" t="str">
        <f>tblAssessments[[#This Row],[Year Group]]&amp;"|"&amp;COUNTIF(INDEX(tblAssessments[Year Group],1):tblAssessments[[#This Row],[Year Group]],tblAssessments[[#This Row],[Year Group]])</f>
        <v>Year 9|2</v>
      </c>
      <c r="S15" s="72" t="str">
        <f>tblAssessments[[#This Row],[Year Group]]&amp;"|"&amp;tblAssessments[[#This Row],[Test Name]]</f>
        <v>Year 9|9C01 - Chemical Reactions</v>
      </c>
      <c r="U15" s="37" t="inlineStr">
        <is>
          <t>How a stanine is worked out: the score is turned into a z-score, (score - year-group mean) / year-group standard deviation, for that test, then placed in one of nine bands, each half a standard deviation wide. 5 is average; about 4% of students get a 1 and 4% get a 9.</t>
        </is>
      </c>
    </row>
    <row r="16">
      <c r="A16" s="10" t="inlineStr">
        <is>
          <t>Year 9</t>
        </is>
      </c>
      <c r="B16" s="10" t="inlineStr">
        <is>
          <t>9P01</t>
        </is>
      </c>
      <c r="C16" s="70" t="inlineStr">
        <is>
          <t>Electricity</t>
        </is>
      </c>
      <c r="D16" s="70" t="inlineStr">
        <is>
          <t>9P01 - Electricity</t>
        </is>
      </c>
      <c r="E16" s="9" t="n">
        <v>30</v>
      </c>
      <c r="F16" s="71" t="n">
        <v>46317</v>
      </c>
      <c r="G1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6" s="72">
        <f>IF(tblAssessments[[#This Row],[Raw Col]]=0,"",COUNT(INDEX(CHOOSE(tblAssessments[[#This Row],[Year Index]],tblY7[#Data],tblY8[#Data],tblY9[#Data],tblY10[#Data],tblY11[#Data]),0,tblAssessments[[#This Row],[Raw Col]])))</f>
        <v>123</v>
      </c>
      <c r="I16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16" s="72">
        <f>IF(tblAssessments[[#This Row],[Raw Col]]=0,"",tblAssessments[[#This Row],[Students]]-tblAssessments[[#This Row],[Sat]]-tblAssessments[[#This Row],[Absent]])</f>
        <v>0</v>
      </c>
      <c r="K16" s="73">
        <f>IF(OR(tblAssessments[[#This Row],[Raw Col]]=0,N(tblAssessments[[#This Row],[Students]])=0),"",(tblAssessments[[#This Row],[Sat]]+tblAssessments[[#This Row],[Absent]])/tblAssessments[[#This Row],[Students]])</f>
        <v>1</v>
      </c>
      <c r="L16" s="74">
        <f>IF(N(tblAssessments[[#This Row],[Sat]])=0,"",AVERAGE(INDEX(CHOOSE(tblAssessments[[#This Row],[Year Index]],tblY7[#Data],tblY8[#Data],tblY9[#Data],tblY10[#Data],tblY11[#Data]),0,tblAssessments[[#This Row],[Raw Col]])))</f>
        <v>18.7154471544715</v>
      </c>
      <c r="M16" s="73">
        <f>IF(OR(tblAssessments[[#This Row],[Year Mean]]="",N(tblAssessments[[#This Row],[Max Marks]])=0),"",tblAssessments[[#This Row],[Year Mean]]/tblAssessments[[#This Row],[Max Marks]])</f>
        <v>0.623848238482385</v>
      </c>
      <c r="N16" s="74">
        <f>IF(N(tblAssessments[[#This Row],[Sat]])=0,"",_xlfn.STDEV.P(INDEX(CHOOSE(tblAssessments[[#This Row],[Year Index]],tblY7[#Data],tblY8[#Data],tblY9[#Data],tblY10[#Data],tblY11[#Data]),0,tblAssessments[[#This Row],[Raw Col]])))</f>
        <v>5.6876993580045</v>
      </c>
      <c r="O1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6" s="72">
        <f>IFERROR(MATCH(tblAssessments[[#This Row],[Year Group]],YearNames,0),0)</f>
        <v>3</v>
      </c>
      <c r="Q1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16" s="72" t="str">
        <f>tblAssessments[[#This Row],[Year Group]]&amp;"|"&amp;COUNTIF(INDEX(tblAssessments[Year Group],1):tblAssessments[[#This Row],[Year Group]],tblAssessments[[#This Row],[Year Group]])</f>
        <v>Year 9|3</v>
      </c>
      <c r="S16" s="72" t="str">
        <f>tblAssessments[[#This Row],[Year Group]]&amp;"|"&amp;tblAssessments[[#This Row],[Test Name]]</f>
        <v>Year 9|9P01 - Electricity</v>
      </c>
    </row>
    <row r="17">
      <c r="A17" s="10" t="inlineStr">
        <is>
          <t>Year 9</t>
        </is>
      </c>
      <c r="B17" s="10" t="inlineStr">
        <is>
          <t>9B02</t>
        </is>
      </c>
      <c r="C17" s="70" t="inlineStr">
        <is>
          <t>Ecology</t>
        </is>
      </c>
      <c r="D17" s="70" t="inlineStr">
        <is>
          <t>9B02 - Ecology</t>
        </is>
      </c>
      <c r="E17" s="9" t="n">
        <v>25</v>
      </c>
      <c r="F17" s="71" t="n">
        <v>46331</v>
      </c>
      <c r="G1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7" s="72">
        <f>IF(tblAssessments[[#This Row],[Raw Col]]=0,"",COUNT(INDEX(CHOOSE(tblAssessments[[#This Row],[Year Index]],tblY7[#Data],tblY8[#Data],tblY9[#Data],tblY10[#Data],tblY11[#Data]),0,tblAssessments[[#This Row],[Raw Col]])))</f>
        <v>122</v>
      </c>
      <c r="I1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17" s="72">
        <f>IF(tblAssessments[[#This Row],[Raw Col]]=0,"",tblAssessments[[#This Row],[Students]]-tblAssessments[[#This Row],[Sat]]-tblAssessments[[#This Row],[Absent]])</f>
        <v>0</v>
      </c>
      <c r="K17" s="73">
        <f>IF(OR(tblAssessments[[#This Row],[Raw Col]]=0,N(tblAssessments[[#This Row],[Students]])=0),"",(tblAssessments[[#This Row],[Sat]]+tblAssessments[[#This Row],[Absent]])/tblAssessments[[#This Row],[Students]])</f>
        <v>1</v>
      </c>
      <c r="L17" s="74">
        <f>IF(N(tblAssessments[[#This Row],[Sat]])=0,"",AVERAGE(INDEX(CHOOSE(tblAssessments[[#This Row],[Year Index]],tblY7[#Data],tblY8[#Data],tblY9[#Data],tblY10[#Data],tblY11[#Data]),0,tblAssessments[[#This Row],[Raw Col]])))</f>
        <v>15.8032786885246</v>
      </c>
      <c r="M17" s="73">
        <f>IF(OR(tblAssessments[[#This Row],[Year Mean]]="",N(tblAssessments[[#This Row],[Max Marks]])=0),"",tblAssessments[[#This Row],[Year Mean]]/tblAssessments[[#This Row],[Max Marks]])</f>
        <v>0.632131147540984</v>
      </c>
      <c r="N17" s="74">
        <f>IF(N(tblAssessments[[#This Row],[Sat]])=0,"",_xlfn.STDEV.P(INDEX(CHOOSE(tblAssessments[[#This Row],[Year Index]],tblY7[#Data],tblY8[#Data],tblY9[#Data],tblY10[#Data],tblY11[#Data]),0,tblAssessments[[#This Row],[Raw Col]])))</f>
        <v>4.78494795740974</v>
      </c>
      <c r="O1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7" s="72">
        <f>IFERROR(MATCH(tblAssessments[[#This Row],[Year Group]],YearNames,0),0)</f>
        <v>3</v>
      </c>
      <c r="Q1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17" s="72" t="str">
        <f>tblAssessments[[#This Row],[Year Group]]&amp;"|"&amp;COUNTIF(INDEX(tblAssessments[Year Group],1):tblAssessments[[#This Row],[Year Group]],tblAssessments[[#This Row],[Year Group]])</f>
        <v>Year 9|4</v>
      </c>
      <c r="S17" s="72" t="str">
        <f>tblAssessments[[#This Row],[Year Group]]&amp;"|"&amp;tblAssessments[[#This Row],[Test Name]]</f>
        <v>Year 9|9B02 - Ecology</v>
      </c>
    </row>
    <row r="18">
      <c r="A18" s="10" t="inlineStr">
        <is>
          <t>Year 10</t>
        </is>
      </c>
      <c r="B18" s="10" t="inlineStr">
        <is>
          <t>4B01</t>
        </is>
      </c>
      <c r="C18" s="70" t="inlineStr">
        <is>
          <t>Cell Biology</t>
        </is>
      </c>
      <c r="D18" s="70" t="inlineStr">
        <is>
          <t>4B01 - Cell Biology</t>
        </is>
      </c>
      <c r="E18" s="9" t="n">
        <v>40</v>
      </c>
      <c r="F18" s="71" t="n">
        <v>46290</v>
      </c>
      <c r="G1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18" s="72">
        <f>IF(tblAssessments[[#This Row],[Raw Col]]=0,"",COUNT(INDEX(CHOOSE(tblAssessments[[#This Row],[Year Index]],tblY7[#Data],tblY8[#Data],tblY9[#Data],tblY10[#Data],tblY11[#Data]),0,tblAssessments[[#This Row],[Raw Col]])))</f>
        <v>111</v>
      </c>
      <c r="I18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18" s="72">
        <f>IF(tblAssessments[[#This Row],[Raw Col]]=0,"",tblAssessments[[#This Row],[Students]]-tblAssessments[[#This Row],[Sat]]-tblAssessments[[#This Row],[Absent]])</f>
        <v>0</v>
      </c>
      <c r="K18" s="73">
        <f>IF(OR(tblAssessments[[#This Row],[Raw Col]]=0,N(tblAssessments[[#This Row],[Students]])=0),"",(tblAssessments[[#This Row],[Sat]]+tblAssessments[[#This Row],[Absent]])/tblAssessments[[#This Row],[Students]])</f>
        <v>1</v>
      </c>
      <c r="L18" s="74">
        <f>IF(N(tblAssessments[[#This Row],[Sat]])=0,"",AVERAGE(INDEX(CHOOSE(tblAssessments[[#This Row],[Year Index]],tblY7[#Data],tblY8[#Data],tblY9[#Data],tblY10[#Data],tblY11[#Data]),0,tblAssessments[[#This Row],[Raw Col]])))</f>
        <v>18.6126126126126</v>
      </c>
      <c r="M18" s="73">
        <f>IF(OR(tblAssessments[[#This Row],[Year Mean]]="",N(tblAssessments[[#This Row],[Max Marks]])=0),"",tblAssessments[[#This Row],[Year Mean]]/tblAssessments[[#This Row],[Max Marks]])</f>
        <v>0.465315315315315</v>
      </c>
      <c r="N18" s="74">
        <f>IF(N(tblAssessments[[#This Row],[Sat]])=0,"",_xlfn.STDEV.P(INDEX(CHOOSE(tblAssessments[[#This Row],[Year Index]],tblY7[#Data],tblY8[#Data],tblY9[#Data],tblY10[#Data],tblY11[#Data]),0,tblAssessments[[#This Row],[Raw Col]])))</f>
        <v>8.13420225513286</v>
      </c>
      <c r="O1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8" s="72">
        <f>IFERROR(MATCH(tblAssessments[[#This Row],[Year Group]],YearNames,0),0)</f>
        <v>4</v>
      </c>
      <c r="Q1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18" s="72" t="str">
        <f>tblAssessments[[#This Row],[Year Group]]&amp;"|"&amp;COUNTIF(INDEX(tblAssessments[Year Group],1):tblAssessments[[#This Row],[Year Group]],tblAssessments[[#This Row],[Year Group]])</f>
        <v>Year 10|1</v>
      </c>
      <c r="S18" s="72" t="str">
        <f>tblAssessments[[#This Row],[Year Group]]&amp;"|"&amp;tblAssessments[[#This Row],[Test Name]]</f>
        <v>Year 10|4B01 - Cell Biology</v>
      </c>
    </row>
    <row r="19">
      <c r="A19" s="10" t="inlineStr">
        <is>
          <t>Year 10</t>
        </is>
      </c>
      <c r="B19" s="10" t="inlineStr">
        <is>
          <t>4C01</t>
        </is>
      </c>
      <c r="C19" s="70" t="inlineStr">
        <is>
          <t>Atomic Structure</t>
        </is>
      </c>
      <c r="D19" s="70" t="inlineStr">
        <is>
          <t>4C01 - Atomic Structure</t>
        </is>
      </c>
      <c r="E19" s="9" t="n">
        <v>36</v>
      </c>
      <c r="F19" s="71" t="n">
        <v>46304</v>
      </c>
      <c r="G19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19" s="72">
        <f>IF(tblAssessments[[#This Row],[Raw Col]]=0,"",COUNT(INDEX(CHOOSE(tblAssessments[[#This Row],[Year Index]],tblY7[#Data],tblY8[#Data],tblY9[#Data],tblY10[#Data],tblY11[#Data]),0,tblAssessments[[#This Row],[Raw Col]])))</f>
        <v>114</v>
      </c>
      <c r="I19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19" s="72">
        <f>IF(tblAssessments[[#This Row],[Raw Col]]=0,"",tblAssessments[[#This Row],[Students]]-tblAssessments[[#This Row],[Sat]]-tblAssessments[[#This Row],[Absent]])</f>
        <v>0</v>
      </c>
      <c r="K19" s="73">
        <f>IF(OR(tblAssessments[[#This Row],[Raw Col]]=0,N(tblAssessments[[#This Row],[Students]])=0),"",(tblAssessments[[#This Row],[Sat]]+tblAssessments[[#This Row],[Absent]])/tblAssessments[[#This Row],[Students]])</f>
        <v>1</v>
      </c>
      <c r="L19" s="74">
        <f>IF(N(tblAssessments[[#This Row],[Sat]])=0,"",AVERAGE(INDEX(CHOOSE(tblAssessments[[#This Row],[Year Index]],tblY7[#Data],tblY8[#Data],tblY9[#Data],tblY10[#Data],tblY11[#Data]),0,tblAssessments[[#This Row],[Raw Col]])))</f>
        <v>20.0877192982456</v>
      </c>
      <c r="M19" s="73">
        <f>IF(OR(tblAssessments[[#This Row],[Year Mean]]="",N(tblAssessments[[#This Row],[Max Marks]])=0),"",tblAssessments[[#This Row],[Year Mean]]/tblAssessments[[#This Row],[Max Marks]])</f>
        <v>0.557992202729045</v>
      </c>
      <c r="N19" s="74">
        <f>IF(N(tblAssessments[[#This Row],[Sat]])=0,"",_xlfn.STDEV.P(INDEX(CHOOSE(tblAssessments[[#This Row],[Year Index]],tblY7[#Data],tblY8[#Data],tblY9[#Data],tblY10[#Data],tblY11[#Data]),0,tblAssessments[[#This Row],[Raw Col]])))</f>
        <v>7.74093856622818</v>
      </c>
      <c r="O19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9" s="72">
        <f>IFERROR(MATCH(tblAssessments[[#This Row],[Year Group]],YearNames,0),0)</f>
        <v>4</v>
      </c>
      <c r="Q19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9" s="72" t="str">
        <f>tblAssessments[[#This Row],[Year Group]]&amp;"|"&amp;COUNTIF(INDEX(tblAssessments[Year Group],1):tblAssessments[[#This Row],[Year Group]],tblAssessments[[#This Row],[Year Group]])</f>
        <v>Year 10|2</v>
      </c>
      <c r="S19" s="72" t="str">
        <f>tblAssessments[[#This Row],[Year Group]]&amp;"|"&amp;tblAssessments[[#This Row],[Test Name]]</f>
        <v>Year 10|4C01 - Atomic Structure</v>
      </c>
    </row>
    <row r="20">
      <c r="A20" s="10" t="inlineStr">
        <is>
          <t>Year 10</t>
        </is>
      </c>
      <c r="B20" s="10" t="inlineStr">
        <is>
          <t>4P01</t>
        </is>
      </c>
      <c r="C20" s="70" t="inlineStr">
        <is>
          <t>Energy</t>
        </is>
      </c>
      <c r="D20" s="70" t="inlineStr">
        <is>
          <t>4P01 - Energy</t>
        </is>
      </c>
      <c r="E20" s="9" t="n">
        <v>35</v>
      </c>
      <c r="F20" s="71" t="n">
        <v>46318</v>
      </c>
      <c r="G20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0" s="72">
        <f>IF(tblAssessments[[#This Row],[Raw Col]]=0,"",COUNT(INDEX(CHOOSE(tblAssessments[[#This Row],[Year Index]],tblY7[#Data],tblY8[#Data],tblY9[#Data],tblY10[#Data],tblY11[#Data]),0,tblAssessments[[#This Row],[Raw Col]])))</f>
        <v>115</v>
      </c>
      <c r="I20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20" s="72">
        <f>IF(tblAssessments[[#This Row],[Raw Col]]=0,"",tblAssessments[[#This Row],[Students]]-tblAssessments[[#This Row],[Sat]]-tblAssessments[[#This Row],[Absent]])</f>
        <v>0</v>
      </c>
      <c r="K20" s="73">
        <f>IF(OR(tblAssessments[[#This Row],[Raw Col]]=0,N(tblAssessments[[#This Row],[Students]])=0),"",(tblAssessments[[#This Row],[Sat]]+tblAssessments[[#This Row],[Absent]])/tblAssessments[[#This Row],[Students]])</f>
        <v>1</v>
      </c>
      <c r="L20" s="74">
        <f>IF(N(tblAssessments[[#This Row],[Sat]])=0,"",AVERAGE(INDEX(CHOOSE(tblAssessments[[#This Row],[Year Index]],tblY7[#Data],tblY8[#Data],tblY9[#Data],tblY10[#Data],tblY11[#Data]),0,tblAssessments[[#This Row],[Raw Col]])))</f>
        <v>20.895652173913</v>
      </c>
      <c r="M20" s="73">
        <f>IF(OR(tblAssessments[[#This Row],[Year Mean]]="",N(tblAssessments[[#This Row],[Max Marks]])=0),"",tblAssessments[[#This Row],[Year Mean]]/tblAssessments[[#This Row],[Max Marks]])</f>
        <v>0.597018633540373</v>
      </c>
      <c r="N20" s="74">
        <f>IF(N(tblAssessments[[#This Row],[Sat]])=0,"",_xlfn.STDEV.P(INDEX(CHOOSE(tblAssessments[[#This Row],[Year Index]],tblY7[#Data],tblY8[#Data],tblY9[#Data],tblY10[#Data],tblY11[#Data]),0,tblAssessments[[#This Row],[Raw Col]])))</f>
        <v>7.36899959353044</v>
      </c>
      <c r="O20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0" s="72">
        <f>IFERROR(MATCH(tblAssessments[[#This Row],[Year Group]],YearNames,0),0)</f>
        <v>4</v>
      </c>
      <c r="Q20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20" s="72" t="str">
        <f>tblAssessments[[#This Row],[Year Group]]&amp;"|"&amp;COUNTIF(INDEX(tblAssessments[Year Group],1):tblAssessments[[#This Row],[Year Group]],tblAssessments[[#This Row],[Year Group]])</f>
        <v>Year 10|3</v>
      </c>
      <c r="S20" s="72" t="str">
        <f>tblAssessments[[#This Row],[Year Group]]&amp;"|"&amp;tblAssessments[[#This Row],[Test Name]]</f>
        <v>Year 10|4P01 - Energy</v>
      </c>
    </row>
    <row r="21">
      <c r="A21" s="10" t="inlineStr">
        <is>
          <t>Year 10</t>
        </is>
      </c>
      <c r="B21" s="10" t="inlineStr">
        <is>
          <t>4B02</t>
        </is>
      </c>
      <c r="C21" s="70" t="inlineStr">
        <is>
          <t>Organisation</t>
        </is>
      </c>
      <c r="D21" s="70" t="inlineStr">
        <is>
          <t>4B02 - Organisation</t>
        </is>
      </c>
      <c r="E21" s="9" t="n">
        <v>40</v>
      </c>
      <c r="F21" s="71" t="n">
        <v>46332</v>
      </c>
      <c r="G21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1" s="72">
        <f>IF(tblAssessments[[#This Row],[Raw Col]]=0,"",COUNT(INDEX(CHOOSE(tblAssessments[[#This Row],[Year Index]],tblY7[#Data],tblY8[#Data],tblY9[#Data],tblY10[#Data],tblY11[#Data]),0,tblAssessments[[#This Row],[Raw Col]])))</f>
        <v>115</v>
      </c>
      <c r="I21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21" s="72">
        <f>IF(tblAssessments[[#This Row],[Raw Col]]=0,"",tblAssessments[[#This Row],[Students]]-tblAssessments[[#This Row],[Sat]]-tblAssessments[[#This Row],[Absent]])</f>
        <v>0</v>
      </c>
      <c r="K21" s="73">
        <f>IF(OR(tblAssessments[[#This Row],[Raw Col]]=0,N(tblAssessments[[#This Row],[Students]])=0),"",(tblAssessments[[#This Row],[Sat]]+tblAssessments[[#This Row],[Absent]])/tblAssessments[[#This Row],[Students]])</f>
        <v>1</v>
      </c>
      <c r="L21" s="74">
        <f>IF(N(tblAssessments[[#This Row],[Sat]])=0,"",AVERAGE(INDEX(CHOOSE(tblAssessments[[#This Row],[Year Index]],tblY7[#Data],tblY8[#Data],tblY9[#Data],tblY10[#Data],tblY11[#Data]),0,tblAssessments[[#This Row],[Raw Col]])))</f>
        <v>18.9391304347826</v>
      </c>
      <c r="M21" s="73">
        <f>IF(OR(tblAssessments[[#This Row],[Year Mean]]="",N(tblAssessments[[#This Row],[Max Marks]])=0),"",tblAssessments[[#This Row],[Year Mean]]/tblAssessments[[#This Row],[Max Marks]])</f>
        <v>0.473478260869565</v>
      </c>
      <c r="N21" s="74">
        <f>IF(N(tblAssessments[[#This Row],[Sat]])=0,"",_xlfn.STDEV.P(INDEX(CHOOSE(tblAssessments[[#This Row],[Year Index]],tblY7[#Data],tblY8[#Data],tblY9[#Data],tblY10[#Data],tblY11[#Data]),0,tblAssessments[[#This Row],[Raw Col]])))</f>
        <v>8.6941129072411</v>
      </c>
      <c r="O21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1" s="72">
        <f>IFERROR(MATCH(tblAssessments[[#This Row],[Year Group]],YearNames,0),0)</f>
        <v>4</v>
      </c>
      <c r="Q21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21" s="72" t="str">
        <f>tblAssessments[[#This Row],[Year Group]]&amp;"|"&amp;COUNTIF(INDEX(tblAssessments[Year Group],1):tblAssessments[[#This Row],[Year Group]],tblAssessments[[#This Row],[Year Group]])</f>
        <v>Year 10|4</v>
      </c>
      <c r="S21" s="72" t="str">
        <f>tblAssessments[[#This Row],[Year Group]]&amp;"|"&amp;tblAssessments[[#This Row],[Test Name]]</f>
        <v>Year 10|4B02 - Organisation</v>
      </c>
    </row>
    <row r="22">
      <c r="A22" s="10" t="inlineStr">
        <is>
          <t>Year 10</t>
        </is>
      </c>
      <c r="B22" s="10" t="inlineStr">
        <is>
          <t>4C02</t>
        </is>
      </c>
      <c r="C22" s="70" t="inlineStr">
        <is>
          <t>Bonding</t>
        </is>
      </c>
      <c r="D22" s="70" t="inlineStr">
        <is>
          <t>4C02 - Bonding</t>
        </is>
      </c>
      <c r="E22" s="9" t="n">
        <v>38</v>
      </c>
      <c r="F22" s="71" t="n">
        <v>46346</v>
      </c>
      <c r="G22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2" s="72">
        <f>IF(tblAssessments[[#This Row],[Raw Col]]=0,"",COUNT(INDEX(CHOOSE(tblAssessments[[#This Row],[Year Index]],tblY7[#Data],tblY8[#Data],tblY9[#Data],tblY10[#Data],tblY11[#Data]),0,tblAssessments[[#This Row],[Raw Col]])))</f>
        <v>67</v>
      </c>
      <c r="I22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22" s="72">
        <f>IF(tblAssessments[[#This Row],[Raw Col]]=0,"",tblAssessments[[#This Row],[Students]]-tblAssessments[[#This Row],[Sat]]-tblAssessments[[#This Row],[Absent]])</f>
        <v>45</v>
      </c>
      <c r="K22" s="73">
        <f>IF(OR(tblAssessments[[#This Row],[Raw Col]]=0,N(tblAssessments[[#This Row],[Students]])=0),"",(tblAssessments[[#This Row],[Sat]]+tblAssessments[[#This Row],[Absent]])/tblAssessments[[#This Row],[Students]])</f>
        <v>0.615384615384615</v>
      </c>
      <c r="L22" s="74">
        <f>IF(N(tblAssessments[[#This Row],[Sat]])=0,"",AVERAGE(INDEX(CHOOSE(tblAssessments[[#This Row],[Year Index]],tblY7[#Data],tblY8[#Data],tblY9[#Data],tblY10[#Data],tblY11[#Data]),0,tblAssessments[[#This Row],[Raw Col]])))</f>
        <v>20.865671641791</v>
      </c>
      <c r="M22" s="73">
        <f>IF(OR(tblAssessments[[#This Row],[Year Mean]]="",N(tblAssessments[[#This Row],[Max Marks]])=0),"",tblAssessments[[#This Row],[Year Mean]]/tblAssessments[[#This Row],[Max Marks]])</f>
        <v>0.549096622152396</v>
      </c>
      <c r="N22" s="74">
        <f>IF(N(tblAssessments[[#This Row],[Sat]])=0,"",_xlfn.STDEV.P(INDEX(CHOOSE(tblAssessments[[#This Row],[Year Index]],tblY7[#Data],tblY8[#Data],tblY9[#Data],tblY10[#Data],tblY11[#Data]),0,tblAssessments[[#This Row],[Raw Col]])))</f>
        <v>8.56562990057786</v>
      </c>
      <c r="O22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2" s="72">
        <f>IFERROR(MATCH(tblAssessments[[#This Row],[Year Group]],YearNames,0),0)</f>
        <v>4</v>
      </c>
      <c r="Q22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22" s="72" t="str">
        <f>tblAssessments[[#This Row],[Year Group]]&amp;"|"&amp;COUNTIF(INDEX(tblAssessments[Year Group],1):tblAssessments[[#This Row],[Year Group]],tblAssessments[[#This Row],[Year Group]])</f>
        <v>Year 10|5</v>
      </c>
      <c r="S22" s="72" t="str">
        <f>tblAssessments[[#This Row],[Year Group]]&amp;"|"&amp;tblAssessments[[#This Row],[Test Name]]</f>
        <v>Year 10|4C02 - Bonding</v>
      </c>
    </row>
    <row r="23">
      <c r="A23" s="10" t="inlineStr">
        <is>
          <t>Year 11</t>
        </is>
      </c>
      <c r="B23" s="10" t="inlineStr">
        <is>
          <t>4B05</t>
        </is>
      </c>
      <c r="C23" s="70" t="inlineStr">
        <is>
          <t>Homeostasis</t>
        </is>
      </c>
      <c r="D23" s="70" t="inlineStr">
        <is>
          <t>4B05 - Homeostasis</t>
        </is>
      </c>
      <c r="E23" s="9" t="n">
        <v>40</v>
      </c>
      <c r="F23" s="71" t="n">
        <v>46291</v>
      </c>
      <c r="G23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3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3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3" s="72">
        <f>IF(tblAssessments[[#This Row],[Raw Col]]=0,"",tblAssessments[[#This Row],[Students]]-tblAssessments[[#This Row],[Sat]]-tblAssessments[[#This Row],[Absent]])</f>
        <v>0</v>
      </c>
      <c r="K23" s="73">
        <f>IF(OR(tblAssessments[[#This Row],[Raw Col]]=0,N(tblAssessments[[#This Row],[Students]])=0),"",(tblAssessments[[#This Row],[Sat]]+tblAssessments[[#This Row],[Absent]])/tblAssessments[[#This Row],[Students]])</f>
        <v>1</v>
      </c>
      <c r="L23" s="74">
        <f>IF(N(tblAssessments[[#This Row],[Sat]])=0,"",AVERAGE(INDEX(CHOOSE(tblAssessments[[#This Row],[Year Index]],tblY7[#Data],tblY8[#Data],tblY9[#Data],tblY10[#Data],tblY11[#Data]),0,tblAssessments[[#This Row],[Raw Col]])))</f>
        <v>22.9320388349515</v>
      </c>
      <c r="M23" s="73">
        <f>IF(OR(tblAssessments[[#This Row],[Year Mean]]="",N(tblAssessments[[#This Row],[Max Marks]])=0),"",tblAssessments[[#This Row],[Year Mean]]/tblAssessments[[#This Row],[Max Marks]])</f>
        <v>0.573300970873786</v>
      </c>
      <c r="N23" s="74">
        <f>IF(N(tblAssessments[[#This Row],[Sat]])=0,"",_xlfn.STDEV.P(INDEX(CHOOSE(tblAssessments[[#This Row],[Year Index]],tblY7[#Data],tblY8[#Data],tblY9[#Data],tblY10[#Data],tblY11[#Data]),0,tblAssessments[[#This Row],[Raw Col]])))</f>
        <v>9.42652952840801</v>
      </c>
      <c r="O23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3" s="72">
        <f>IFERROR(MATCH(tblAssessments[[#This Row],[Year Group]],YearNames,0),0)</f>
        <v>5</v>
      </c>
      <c r="Q23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23" s="72" t="str">
        <f>tblAssessments[[#This Row],[Year Group]]&amp;"|"&amp;COUNTIF(INDEX(tblAssessments[Year Group],1):tblAssessments[[#This Row],[Year Group]],tblAssessments[[#This Row],[Year Group]])</f>
        <v>Year 11|1</v>
      </c>
      <c r="S23" s="72" t="str">
        <f>tblAssessments[[#This Row],[Year Group]]&amp;"|"&amp;tblAssessments[[#This Row],[Test Name]]</f>
        <v>Year 11|4B05 - Homeostasis</v>
      </c>
    </row>
    <row r="24">
      <c r="A24" s="10" t="inlineStr">
        <is>
          <t>Year 11</t>
        </is>
      </c>
      <c r="B24" s="10" t="inlineStr">
        <is>
          <t>4C09</t>
        </is>
      </c>
      <c r="C24" s="70" t="inlineStr">
        <is>
          <t>Organic Chemistry</t>
        </is>
      </c>
      <c r="D24" s="70" t="inlineStr">
        <is>
          <t>4C09 - Organic Chemistry</t>
        </is>
      </c>
      <c r="E24" s="9" t="n">
        <v>35</v>
      </c>
      <c r="F24" s="71" t="n">
        <v>46305</v>
      </c>
      <c r="G24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4" s="72">
        <f>IF(tblAssessments[[#This Row],[Raw Col]]=0,"",COUNT(INDEX(CHOOSE(tblAssessments[[#This Row],[Year Index]],tblY7[#Data],tblY8[#Data],tblY9[#Data],tblY10[#Data],tblY11[#Data]),0,tblAssessments[[#This Row],[Raw Col]])))</f>
        <v>100</v>
      </c>
      <c r="I24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24" s="72">
        <f>IF(tblAssessments[[#This Row],[Raw Col]]=0,"",tblAssessments[[#This Row],[Students]]-tblAssessments[[#This Row],[Sat]]-tblAssessments[[#This Row],[Absent]])</f>
        <v>0</v>
      </c>
      <c r="K24" s="73">
        <f>IF(OR(tblAssessments[[#This Row],[Raw Col]]=0,N(tblAssessments[[#This Row],[Students]])=0),"",(tblAssessments[[#This Row],[Sat]]+tblAssessments[[#This Row],[Absent]])/tblAssessments[[#This Row],[Students]])</f>
        <v>1</v>
      </c>
      <c r="L24" s="74">
        <f>IF(N(tblAssessments[[#This Row],[Sat]])=0,"",AVERAGE(INDEX(CHOOSE(tblAssessments[[#This Row],[Year Index]],tblY7[#Data],tblY8[#Data],tblY9[#Data],tblY10[#Data],tblY11[#Data]),0,tblAssessments[[#This Row],[Raw Col]])))</f>
        <v>19.14</v>
      </c>
      <c r="M24" s="73">
        <f>IF(OR(tblAssessments[[#This Row],[Year Mean]]="",N(tblAssessments[[#This Row],[Max Marks]])=0),"",tblAssessments[[#This Row],[Year Mean]]/tblAssessments[[#This Row],[Max Marks]])</f>
        <v>0.546857142857143</v>
      </c>
      <c r="N24" s="74">
        <f>IF(N(tblAssessments[[#This Row],[Sat]])=0,"",_xlfn.STDEV.P(INDEX(CHOOSE(tblAssessments[[#This Row],[Year Index]],tblY7[#Data],tblY8[#Data],tblY9[#Data],tblY10[#Data],tblY11[#Data]),0,tblAssessments[[#This Row],[Raw Col]])))</f>
        <v>7.98501095803882</v>
      </c>
      <c r="O24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4" s="72">
        <f>IFERROR(MATCH(tblAssessments[[#This Row],[Year Group]],YearNames,0),0)</f>
        <v>5</v>
      </c>
      <c r="Q24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24" s="72" t="str">
        <f>tblAssessments[[#This Row],[Year Group]]&amp;"|"&amp;COUNTIF(INDEX(tblAssessments[Year Group],1):tblAssessments[[#This Row],[Year Group]],tblAssessments[[#This Row],[Year Group]])</f>
        <v>Year 11|2</v>
      </c>
      <c r="S24" s="72" t="str">
        <f>tblAssessments[[#This Row],[Year Group]]&amp;"|"&amp;tblAssessments[[#This Row],[Test Name]]</f>
        <v>Year 11|4C09 - Organic Chemistry</v>
      </c>
    </row>
    <row r="25">
      <c r="A25" s="10" t="inlineStr">
        <is>
          <t>Year 11</t>
        </is>
      </c>
      <c r="B25" s="10" t="inlineStr">
        <is>
          <t>4P06</t>
        </is>
      </c>
      <c r="C25" s="70" t="inlineStr">
        <is>
          <t>Waves</t>
        </is>
      </c>
      <c r="D25" s="70" t="inlineStr">
        <is>
          <t>4P06 - Waves</t>
        </is>
      </c>
      <c r="E25" s="9" t="n">
        <v>38</v>
      </c>
      <c r="F25" s="71" t="n">
        <v>46319</v>
      </c>
      <c r="G2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5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5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5" s="72">
        <f>IF(tblAssessments[[#This Row],[Raw Col]]=0,"",tblAssessments[[#This Row],[Students]]-tblAssessments[[#This Row],[Sat]]-tblAssessments[[#This Row],[Absent]])</f>
        <v>0</v>
      </c>
      <c r="K25" s="73">
        <f>IF(OR(tblAssessments[[#This Row],[Raw Col]]=0,N(tblAssessments[[#This Row],[Students]])=0),"",(tblAssessments[[#This Row],[Sat]]+tblAssessments[[#This Row],[Absent]])/tblAssessments[[#This Row],[Students]])</f>
        <v>1</v>
      </c>
      <c r="L25" s="74">
        <f>IF(N(tblAssessments[[#This Row],[Sat]])=0,"",AVERAGE(INDEX(CHOOSE(tblAssessments[[#This Row],[Year Index]],tblY7[#Data],tblY8[#Data],tblY9[#Data],tblY10[#Data],tblY11[#Data]),0,tblAssessments[[#This Row],[Raw Col]])))</f>
        <v>17.6699029126214</v>
      </c>
      <c r="M25" s="73">
        <f>IF(OR(tblAssessments[[#This Row],[Year Mean]]="",N(tblAssessments[[#This Row],[Max Marks]])=0),"",tblAssessments[[#This Row],[Year Mean]]/tblAssessments[[#This Row],[Max Marks]])</f>
        <v>0.464997445068983</v>
      </c>
      <c r="N25" s="74">
        <f>IF(N(tblAssessments[[#This Row],[Sat]])=0,"",_xlfn.STDEV.P(INDEX(CHOOSE(tblAssessments[[#This Row],[Year Index]],tblY7[#Data],tblY8[#Data],tblY9[#Data],tblY10[#Data],tblY11[#Data]),0,tblAssessments[[#This Row],[Raw Col]])))</f>
        <v>8.33333270493604</v>
      </c>
      <c r="O2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5" s="72">
        <f>IFERROR(MATCH(tblAssessments[[#This Row],[Year Group]],YearNames,0),0)</f>
        <v>5</v>
      </c>
      <c r="Q2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25" s="72" t="str">
        <f>tblAssessments[[#This Row],[Year Group]]&amp;"|"&amp;COUNTIF(INDEX(tblAssessments[Year Group],1):tblAssessments[[#This Row],[Year Group]],tblAssessments[[#This Row],[Year Group]])</f>
        <v>Year 11|3</v>
      </c>
      <c r="S25" s="72" t="str">
        <f>tblAssessments[[#This Row],[Year Group]]&amp;"|"&amp;tblAssessments[[#This Row],[Test Name]]</f>
        <v>Year 11|4P06 - Waves</v>
      </c>
    </row>
    <row r="26">
      <c r="A26" s="10" t="inlineStr">
        <is>
          <t>Year 11</t>
        </is>
      </c>
      <c r="B26" s="10" t="inlineStr">
        <is>
          <t>4B06</t>
        </is>
      </c>
      <c r="C26" s="70" t="inlineStr">
        <is>
          <t>Inheritance</t>
        </is>
      </c>
      <c r="D26" s="70" t="inlineStr">
        <is>
          <t>4B06 - Inheritance</t>
        </is>
      </c>
      <c r="E26" s="9" t="n">
        <v>42</v>
      </c>
      <c r="F26" s="71" t="n">
        <v>46333</v>
      </c>
      <c r="G2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6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6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6" s="72">
        <f>IF(tblAssessments[[#This Row],[Raw Col]]=0,"",tblAssessments[[#This Row],[Students]]-tblAssessments[[#This Row],[Sat]]-tblAssessments[[#This Row],[Absent]])</f>
        <v>0</v>
      </c>
      <c r="K26" s="73">
        <f>IF(OR(tblAssessments[[#This Row],[Raw Col]]=0,N(tblAssessments[[#This Row],[Students]])=0),"",(tblAssessments[[#This Row],[Sat]]+tblAssessments[[#This Row],[Absent]])/tblAssessments[[#This Row],[Students]])</f>
        <v>1</v>
      </c>
      <c r="L26" s="74">
        <f>IF(N(tblAssessments[[#This Row],[Sat]])=0,"",AVERAGE(INDEX(CHOOSE(tblAssessments[[#This Row],[Year Index]],tblY7[#Data],tblY8[#Data],tblY9[#Data],tblY10[#Data],tblY11[#Data]),0,tblAssessments[[#This Row],[Raw Col]])))</f>
        <v>26.6407766990291</v>
      </c>
      <c r="M26" s="73">
        <f>IF(OR(tblAssessments[[#This Row],[Year Mean]]="",N(tblAssessments[[#This Row],[Max Marks]])=0),"",tblAssessments[[#This Row],[Year Mean]]/tblAssessments[[#This Row],[Max Marks]])</f>
        <v>0.634304207119741</v>
      </c>
      <c r="N26" s="74">
        <f>IF(N(tblAssessments[[#This Row],[Sat]])=0,"",_xlfn.STDEV.P(INDEX(CHOOSE(tblAssessments[[#This Row],[Year Index]],tblY7[#Data],tblY8[#Data],tblY9[#Data],tblY10[#Data],tblY11[#Data]),0,tblAssessments[[#This Row],[Raw Col]])))</f>
        <v>9.08840546849916</v>
      </c>
      <c r="O2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6" s="72">
        <f>IFERROR(MATCH(tblAssessments[[#This Row],[Year Group]],YearNames,0),0)</f>
        <v>5</v>
      </c>
      <c r="Q2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26" s="72" t="str">
        <f>tblAssessments[[#This Row],[Year Group]]&amp;"|"&amp;COUNTIF(INDEX(tblAssessments[Year Group],1):tblAssessments[[#This Row],[Year Group]],tblAssessments[[#This Row],[Year Group]])</f>
        <v>Year 11|4</v>
      </c>
      <c r="S26" s="72" t="str">
        <f>tblAssessments[[#This Row],[Year Group]]&amp;"|"&amp;tblAssessments[[#This Row],[Test Name]]</f>
        <v>Year 11|4B06 - Inheritance</v>
      </c>
    </row>
    <row r="27">
      <c r="A27" s="10" t="inlineStr">
        <is>
          <t>Year 11</t>
        </is>
      </c>
      <c r="B27" s="10" t="inlineStr">
        <is>
          <t>4C10</t>
        </is>
      </c>
      <c r="C27" s="70" t="inlineStr">
        <is>
          <t>Chemical Analysis</t>
        </is>
      </c>
      <c r="D27" s="70" t="inlineStr">
        <is>
          <t>4C10 - Chemical Analysis</t>
        </is>
      </c>
      <c r="E27" s="9" t="n">
        <v>30</v>
      </c>
      <c r="F27" s="71" t="n">
        <v>46347</v>
      </c>
      <c r="G2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7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7" s="72">
        <f>IF(tblAssessments[[#This Row],[Raw Col]]=0,"",tblAssessments[[#This Row],[Students]]-tblAssessments[[#This Row],[Sat]]-tblAssessments[[#This Row],[Absent]])</f>
        <v>0</v>
      </c>
      <c r="K27" s="73">
        <f>IF(OR(tblAssessments[[#This Row],[Raw Col]]=0,N(tblAssessments[[#This Row],[Students]])=0),"",(tblAssessments[[#This Row],[Sat]]+tblAssessments[[#This Row],[Absent]])/tblAssessments[[#This Row],[Students]])</f>
        <v>1</v>
      </c>
      <c r="L27" s="74">
        <f>IF(N(tblAssessments[[#This Row],[Sat]])=0,"",AVERAGE(INDEX(CHOOSE(tblAssessments[[#This Row],[Year Index]],tblY7[#Data],tblY8[#Data],tblY9[#Data],tblY10[#Data],tblY11[#Data]),0,tblAssessments[[#This Row],[Raw Col]])))</f>
        <v>14.7766990291262</v>
      </c>
      <c r="M27" s="73">
        <f>IF(OR(tblAssessments[[#This Row],[Year Mean]]="",N(tblAssessments[[#This Row],[Max Marks]])=0),"",tblAssessments[[#This Row],[Year Mean]]/tblAssessments[[#This Row],[Max Marks]])</f>
        <v>0.492556634304207</v>
      </c>
      <c r="N27" s="74">
        <f>IF(N(tblAssessments[[#This Row],[Sat]])=0,"",_xlfn.STDEV.P(INDEX(CHOOSE(tblAssessments[[#This Row],[Year Index]],tblY7[#Data],tblY8[#Data],tblY9[#Data],tblY10[#Data],tblY11[#Data]),0,tblAssessments[[#This Row],[Raw Col]])))</f>
        <v>7.00198590253647</v>
      </c>
      <c r="O2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7" s="72">
        <f>IFERROR(MATCH(tblAssessments[[#This Row],[Year Group]],YearNames,0),0)</f>
        <v>5</v>
      </c>
      <c r="Q2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27" s="72" t="str">
        <f>tblAssessments[[#This Row],[Year Group]]&amp;"|"&amp;COUNTIF(INDEX(tblAssessments[Year Group],1):tblAssessments[[#This Row],[Year Group]],tblAssessments[[#This Row],[Year Group]])</f>
        <v>Year 11|5</v>
      </c>
      <c r="S27" s="72" t="str">
        <f>tblAssessments[[#This Row],[Year Group]]&amp;"|"&amp;tblAssessments[[#This Row],[Test Name]]</f>
        <v>Year 11|4C10 - Chemical Analysis</v>
      </c>
    </row>
    <row r="28">
      <c r="A28" s="10" t="inlineStr">
        <is>
          <t>Year 11</t>
        </is>
      </c>
      <c r="B28" s="10" t="inlineStr">
        <is>
          <t>4P07</t>
        </is>
      </c>
      <c r="C28" s="70" t="inlineStr">
        <is>
          <t>Magnetism</t>
        </is>
      </c>
      <c r="D28" s="70" t="inlineStr">
        <is>
          <t>4P07 - Magnetism</t>
        </is>
      </c>
      <c r="E28" s="9" t="n">
        <v>34</v>
      </c>
      <c r="F28" s="71" t="n">
        <v>46361</v>
      </c>
      <c r="G2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8" s="72">
        <f>IF(tblAssessments[[#This Row],[Raw Col]]=0,"",COUNT(INDEX(CHOOSE(tblAssessments[[#This Row],[Year Index]],tblY7[#Data],tblY8[#Data],tblY9[#Data],tblY10[#Data],tblY11[#Data]),0,tblAssessments[[#This Row],[Raw Col]])))</f>
        <v>101</v>
      </c>
      <c r="I28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28" s="72">
        <f>IF(tblAssessments[[#This Row],[Raw Col]]=0,"",tblAssessments[[#This Row],[Students]]-tblAssessments[[#This Row],[Sat]]-tblAssessments[[#This Row],[Absent]])</f>
        <v>0</v>
      </c>
      <c r="K28" s="73">
        <f>IF(OR(tblAssessments[[#This Row],[Raw Col]]=0,N(tblAssessments[[#This Row],[Students]])=0),"",(tblAssessments[[#This Row],[Sat]]+tblAssessments[[#This Row],[Absent]])/tblAssessments[[#This Row],[Students]])</f>
        <v>1</v>
      </c>
      <c r="L28" s="74">
        <f>IF(N(tblAssessments[[#This Row],[Sat]])=0,"",AVERAGE(INDEX(CHOOSE(tblAssessments[[#This Row],[Year Index]],tblY7[#Data],tblY8[#Data],tblY9[#Data],tblY10[#Data],tblY11[#Data]),0,tblAssessments[[#This Row],[Raw Col]])))</f>
        <v>14.8415841584158</v>
      </c>
      <c r="M28" s="73">
        <f>IF(OR(tblAssessments[[#This Row],[Year Mean]]="",N(tblAssessments[[#This Row],[Max Marks]])=0),"",tblAssessments[[#This Row],[Year Mean]]/tblAssessments[[#This Row],[Max Marks]])</f>
        <v>0.436517181129878</v>
      </c>
      <c r="N28" s="74">
        <f>IF(N(tblAssessments[[#This Row],[Sat]])=0,"",_xlfn.STDEV.P(INDEX(CHOOSE(tblAssessments[[#This Row],[Year Index]],tblY7[#Data],tblY8[#Data],tblY9[#Data],tblY10[#Data],tblY11[#Data]),0,tblAssessments[[#This Row],[Raw Col]])))</f>
        <v>7.86989837677331</v>
      </c>
      <c r="O2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8" s="72">
        <f>IFERROR(MATCH(tblAssessments[[#This Row],[Year Group]],YearNames,0),0)</f>
        <v>5</v>
      </c>
      <c r="Q2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24</v>
      </c>
      <c r="R28" s="72" t="str">
        <f>tblAssessments[[#This Row],[Year Group]]&amp;"|"&amp;COUNTIF(INDEX(tblAssessments[Year Group],1):tblAssessments[[#This Row],[Year Group]],tblAssessments[[#This Row],[Year Group]])</f>
        <v>Year 11|6</v>
      </c>
      <c r="S28" s="72" t="str">
        <f>tblAssessments[[#This Row],[Year Group]]&amp;"|"&amp;tblAssessments[[#This Row],[Test Name]]</f>
        <v>Year 11|4P07 - Magnetism</v>
      </c>
    </row>
  </sheetData>
  <mergeCells count="1">
    <mergeCell ref="U15:W20"/>
  </mergeCells>
  <conditionalFormatting sqref="K5:K404">
    <cfRule type="expression" priority="1" dxfId="2" stopIfTrue="1">
      <formula>AND(ISNUMBER(K5),K5=0)</formula>
    </cfRule>
    <cfRule type="expression" priority="2" dxfId="4" stopIfTrue="1">
      <formula>AND(ISNUMBER(K5),K5&lt;1)</formula>
    </cfRule>
  </conditionalFormatting>
  <conditionalFormatting sqref="O5:O404">
    <cfRule type="expression" priority="3" dxfId="8">
      <formula>AND(O5&lt;&gt;"",O5&lt;&gt;"OK")</formula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2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Settings">
    <tabColor rgb="00898781"/>
    <outlinePr summaryBelow="1" summaryRight="1"/>
    <pageSetUpPr fitToPage="1"/>
  </sheetPr>
  <dimension ref="A1:H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58" customWidth="1" min="2" max="2"/>
    <col width="16" customWidth="1" min="3" max="3"/>
    <col width="22" customWidth="1" min="4" max="4"/>
    <col hidden="1" width="14" customWidth="1" min="5" max="5"/>
    <col width="2" customWidth="1" min="6" max="6"/>
    <col width="2" customWidth="1" min="7" max="7"/>
    <col width="2" customWidth="1" min="8" max="8"/>
  </cols>
  <sheetData>
    <row r="1" ht="30" customHeight="1">
      <c r="A1" s="1" t="n"/>
      <c r="B1" s="2" t="inlineStr">
        <is>
          <t>Settings</t>
        </is>
      </c>
      <c r="C1" s="1" t="n"/>
      <c r="D1" s="1" t="n"/>
      <c r="E1" s="1" t="n"/>
      <c r="F1" s="1" t="n"/>
      <c r="G1" s="1" t="n"/>
      <c r="H1" s="1" t="n"/>
    </row>
    <row r="2">
      <c r="B2" s="17" t="inlineStr">
        <is>
          <t>Yellow cells are yours to change. Everything else updates itself.</t>
        </is>
      </c>
    </row>
    <row r="4">
      <c r="B4" s="6" t="inlineStr">
        <is>
          <t>Workbook</t>
        </is>
      </c>
    </row>
    <row r="5">
      <c r="B5" s="31" t="inlineStr">
        <is>
          <t>Academic year</t>
        </is>
      </c>
      <c r="C5" s="39" t="inlineStr">
        <is>
          <t>2026-27</t>
        </is>
      </c>
    </row>
    <row r="6">
      <c r="B6" s="31" t="inlineStr">
        <is>
          <t>School or department (shown in titles)</t>
        </is>
      </c>
      <c r="C6" s="39" t="inlineStr">
        <is>
          <t>Science</t>
        </is>
      </c>
    </row>
    <row r="8">
      <c r="B8" s="6" t="inlineStr">
        <is>
          <t>Watch list rules</t>
        </is>
      </c>
    </row>
    <row r="9">
      <c r="B9" s="31" t="inlineStr">
        <is>
          <t>Flag a student whose mean stanine is at least this far below their KS2 band</t>
        </is>
      </c>
      <c r="C9" s="77" t="n">
        <v>1.5</v>
      </c>
    </row>
    <row r="10">
      <c r="B10" s="31" t="inlineStr">
        <is>
          <t>... once they have sat at least this many tests</t>
        </is>
      </c>
      <c r="C10" s="39" t="n">
        <v>2</v>
      </c>
    </row>
    <row r="11">
      <c r="B11" s="31" t="inlineStr">
        <is>
          <t>Also flag students with no KS2 data whose mean stanine is this or lower</t>
        </is>
      </c>
      <c r="C11" s="77" t="n">
        <v>3</v>
      </c>
    </row>
    <row r="13">
      <c r="B13" s="6" t="inlineStr">
        <is>
          <t>Year groups</t>
        </is>
      </c>
    </row>
    <row r="14" ht="30" customHeight="1">
      <c r="B14" s="7" t="inlineStr">
        <is>
          <t>Year group</t>
        </is>
      </c>
      <c r="C14" s="7" t="inlineStr">
        <is>
          <t>Leaves in</t>
        </is>
      </c>
      <c r="D14" s="7" t="inlineStr">
        <is>
          <t>Sheet</t>
        </is>
      </c>
    </row>
    <row r="15">
      <c r="B15" s="12" t="inlineStr">
        <is>
          <t>Year 7</t>
        </is>
      </c>
      <c r="C15" s="9" t="n">
        <v>2031</v>
      </c>
      <c r="D15" s="12" t="inlineStr">
        <is>
          <t>Year 7</t>
        </is>
      </c>
    </row>
    <row r="16">
      <c r="B16" s="12" t="inlineStr">
        <is>
          <t>Year 8</t>
        </is>
      </c>
      <c r="C16" s="9" t="n">
        <v>2030</v>
      </c>
      <c r="D16" s="12" t="inlineStr">
        <is>
          <t>Year 8</t>
        </is>
      </c>
    </row>
    <row r="17">
      <c r="B17" s="12" t="inlineStr">
        <is>
          <t>Year 9</t>
        </is>
      </c>
      <c r="C17" s="9" t="n">
        <v>2029</v>
      </c>
      <c r="D17" s="12" t="inlineStr">
        <is>
          <t>Year 9</t>
        </is>
      </c>
    </row>
    <row r="18">
      <c r="B18" s="12" t="inlineStr">
        <is>
          <t>Year 10</t>
        </is>
      </c>
      <c r="C18" s="9" t="n">
        <v>2028</v>
      </c>
      <c r="D18" s="12" t="inlineStr">
        <is>
          <t>Year 10</t>
        </is>
      </c>
    </row>
    <row r="19">
      <c r="B19" s="12" t="inlineStr">
        <is>
          <t>Year 11</t>
        </is>
      </c>
      <c r="C19" s="9" t="n">
        <v>2027</v>
      </c>
      <c r="D19" s="12" t="inlineStr">
        <is>
          <t>Year 11</t>
        </is>
      </c>
    </row>
    <row r="21">
      <c r="B21" s="6" t="inlineStr">
        <is>
          <t>Class teachers (optional)</t>
        </is>
      </c>
    </row>
    <row r="22" ht="26" customHeight="1">
      <c r="B22" s="37" t="inlineStr">
        <is>
          <t>Type a teacher's name or initials next to each class. The dashboards show them. Add a row at the bottom of the table for a new class.</t>
        </is>
      </c>
    </row>
    <row r="24" ht="30" customHeight="1">
      <c r="B24" s="7" t="inlineStr">
        <is>
          <t>Year Group</t>
        </is>
      </c>
      <c r="C24" s="7" t="inlineStr">
        <is>
          <t>Class</t>
        </is>
      </c>
      <c r="D24" s="7" t="inlineStr">
        <is>
          <t>Teacher</t>
        </is>
      </c>
      <c r="E24" s="7" t="inlineStr">
        <is>
          <t>Key</t>
        </is>
      </c>
    </row>
    <row r="25">
      <c r="B25" s="12" t="inlineStr">
        <is>
          <t>Year 7</t>
        </is>
      </c>
      <c r="C25" s="12" t="inlineStr">
        <is>
          <t>7A/Sc1</t>
        </is>
      </c>
      <c r="D25" s="78" t="inlineStr">
        <is>
          <t>Ms Adeyemi</t>
        </is>
      </c>
      <c r="E25" s="79" t="str">
        <f>tblTeachers[[#This Row],[Year Group]]&amp;"|"&amp;tblTeachers[[#This Row],[Class]]</f>
        <v>Year 7|7A/Sc1</v>
      </c>
    </row>
    <row r="26">
      <c r="B26" s="12" t="inlineStr">
        <is>
          <t>Year 7</t>
        </is>
      </c>
      <c r="C26" s="12" t="inlineStr">
        <is>
          <t>7A/Sc2</t>
        </is>
      </c>
      <c r="D26" s="78" t="inlineStr">
        <is>
          <t>Dr Clarke</t>
        </is>
      </c>
      <c r="E26" s="79" t="str">
        <f>tblTeachers[[#This Row],[Year Group]]&amp;"|"&amp;tblTeachers[[#This Row],[Class]]</f>
        <v>Year 7|7A/Sc2</v>
      </c>
    </row>
    <row r="27">
      <c r="B27" s="12" t="inlineStr">
        <is>
          <t>Year 7</t>
        </is>
      </c>
      <c r="C27" s="12" t="inlineStr">
        <is>
          <t>7B/Sc1</t>
        </is>
      </c>
      <c r="D27" s="78" t="inlineStr">
        <is>
          <t>Mr Walsh</t>
        </is>
      </c>
      <c r="E27" s="79" t="str">
        <f>tblTeachers[[#This Row],[Year Group]]&amp;"|"&amp;tblTeachers[[#This Row],[Class]]</f>
        <v>Year 7|7B/Sc1</v>
      </c>
    </row>
    <row r="28">
      <c r="B28" s="12" t="inlineStr">
        <is>
          <t>Year 7</t>
        </is>
      </c>
      <c r="C28" s="12" t="inlineStr">
        <is>
          <t>7B/Sc2</t>
        </is>
      </c>
      <c r="D28" s="78" t="inlineStr">
        <is>
          <t>Ms Novak</t>
        </is>
      </c>
      <c r="E28" s="79" t="str">
        <f>tblTeachers[[#This Row],[Year Group]]&amp;"|"&amp;tblTeachers[[#This Row],[Class]]</f>
        <v>Year 7|7B/Sc2</v>
      </c>
    </row>
    <row r="29">
      <c r="B29" s="12" t="inlineStr">
        <is>
          <t>Year 7</t>
        </is>
      </c>
      <c r="C29" s="12" t="inlineStr">
        <is>
          <t>7B/Sc3</t>
        </is>
      </c>
      <c r="D29" s="78" t="inlineStr">
        <is>
          <t>Ms Rahman</t>
        </is>
      </c>
      <c r="E29" s="79" t="str">
        <f>tblTeachers[[#This Row],[Year Group]]&amp;"|"&amp;tblTeachers[[#This Row],[Class]]</f>
        <v>Year 7|7B/Sc3</v>
      </c>
    </row>
    <row r="30">
      <c r="B30" s="12" t="inlineStr">
        <is>
          <t>Year 8</t>
        </is>
      </c>
      <c r="C30" s="12" t="inlineStr">
        <is>
          <t>8A/Sc1</t>
        </is>
      </c>
      <c r="D30" s="78" t="inlineStr">
        <is>
          <t>Mr Owen</t>
        </is>
      </c>
      <c r="E30" s="79" t="str">
        <f>tblTeachers[[#This Row],[Year Group]]&amp;"|"&amp;tblTeachers[[#This Row],[Class]]</f>
        <v>Year 8|8A/Sc1</v>
      </c>
    </row>
    <row r="31">
      <c r="B31" s="12" t="inlineStr">
        <is>
          <t>Year 8</t>
        </is>
      </c>
      <c r="C31" s="12" t="inlineStr">
        <is>
          <t>8A/Sc2</t>
        </is>
      </c>
      <c r="D31" s="78" t="inlineStr">
        <is>
          <t>Mr Hughes</t>
        </is>
      </c>
      <c r="E31" s="79" t="str">
        <f>tblTeachers[[#This Row],[Year Group]]&amp;"|"&amp;tblTeachers[[#This Row],[Class]]</f>
        <v>Year 8|8A/Sc2</v>
      </c>
    </row>
    <row r="32">
      <c r="B32" s="12" t="inlineStr">
        <is>
          <t>Year 8</t>
        </is>
      </c>
      <c r="C32" s="12" t="inlineStr">
        <is>
          <t>8A/Sc3</t>
        </is>
      </c>
      <c r="D32" s="78" t="inlineStr">
        <is>
          <t>Mr Owen</t>
        </is>
      </c>
      <c r="E32" s="79" t="str">
        <f>tblTeachers[[#This Row],[Year Group]]&amp;"|"&amp;tblTeachers[[#This Row],[Class]]</f>
        <v>Year 8|8A/Sc3</v>
      </c>
    </row>
    <row r="33">
      <c r="B33" s="12" t="inlineStr">
        <is>
          <t>Year 8</t>
        </is>
      </c>
      <c r="C33" s="12" t="inlineStr">
        <is>
          <t>8A/Sc4</t>
        </is>
      </c>
      <c r="D33" s="78" t="inlineStr">
        <is>
          <t>Ms Adeyemi</t>
        </is>
      </c>
      <c r="E33" s="79" t="str">
        <f>tblTeachers[[#This Row],[Year Group]]&amp;"|"&amp;tblTeachers[[#This Row],[Class]]</f>
        <v>Year 8|8A/Sc4</v>
      </c>
    </row>
    <row r="34">
      <c r="B34" s="12" t="inlineStr">
        <is>
          <t>Year 8</t>
        </is>
      </c>
      <c r="C34" s="12" t="inlineStr">
        <is>
          <t>Science Support</t>
        </is>
      </c>
      <c r="D34" s="78" t="inlineStr">
        <is>
          <t>Mrs Evans</t>
        </is>
      </c>
      <c r="E34" s="79" t="str">
        <f>tblTeachers[[#This Row],[Year Group]]&amp;"|"&amp;tblTeachers[[#This Row],[Class]]</f>
        <v>Year 8|Science Support</v>
      </c>
    </row>
    <row r="35">
      <c r="B35" s="12" t="inlineStr">
        <is>
          <t>Year 9</t>
        </is>
      </c>
      <c r="C35" s="12" t="inlineStr">
        <is>
          <t>9A/Sc1</t>
        </is>
      </c>
      <c r="D35" s="78" t="inlineStr">
        <is>
          <t>Ms Rahman</t>
        </is>
      </c>
      <c r="E35" s="79" t="str">
        <f>tblTeachers[[#This Row],[Year Group]]&amp;"|"&amp;tblTeachers[[#This Row],[Class]]</f>
        <v>Year 9|9A/Sc1</v>
      </c>
    </row>
    <row r="36">
      <c r="B36" s="12" t="inlineStr">
        <is>
          <t>Year 9</t>
        </is>
      </c>
      <c r="C36" s="12" t="inlineStr">
        <is>
          <t>9A/Sc2</t>
        </is>
      </c>
      <c r="D36" s="78" t="inlineStr">
        <is>
          <t>Mr Hughes</t>
        </is>
      </c>
      <c r="E36" s="79" t="str">
        <f>tblTeachers[[#This Row],[Year Group]]&amp;"|"&amp;tblTeachers[[#This Row],[Class]]</f>
        <v>Year 9|9A/Sc2</v>
      </c>
    </row>
    <row r="37">
      <c r="B37" s="12" t="inlineStr">
        <is>
          <t>Year 9</t>
        </is>
      </c>
      <c r="C37" s="12" t="inlineStr">
        <is>
          <t>9A/Sc3</t>
        </is>
      </c>
      <c r="D37" s="78" t="inlineStr">
        <is>
          <t>Mrs Singh</t>
        </is>
      </c>
      <c r="E37" s="79" t="str">
        <f>tblTeachers[[#This Row],[Year Group]]&amp;"|"&amp;tblTeachers[[#This Row],[Class]]</f>
        <v>Year 9|9A/Sc3</v>
      </c>
    </row>
    <row r="38">
      <c r="B38" s="12" t="inlineStr">
        <is>
          <t>Year 9</t>
        </is>
      </c>
      <c r="C38" s="12" t="inlineStr">
        <is>
          <t>9B/Sc1</t>
        </is>
      </c>
      <c r="D38" s="78" t="inlineStr">
        <is>
          <t>Ms Rahman</t>
        </is>
      </c>
      <c r="E38" s="79" t="str">
        <f>tblTeachers[[#This Row],[Year Group]]&amp;"|"&amp;tblTeachers[[#This Row],[Class]]</f>
        <v>Year 9|9B/Sc1</v>
      </c>
    </row>
    <row r="39">
      <c r="B39" s="12" t="inlineStr">
        <is>
          <t>Year 9</t>
        </is>
      </c>
      <c r="C39" s="12" t="inlineStr">
        <is>
          <t>9B/Sc2</t>
        </is>
      </c>
      <c r="D39" s="78" t="inlineStr">
        <is>
          <t>Mr Owen</t>
        </is>
      </c>
      <c r="E39" s="79" t="str">
        <f>tblTeachers[[#This Row],[Year Group]]&amp;"|"&amp;tblTeachers[[#This Row],[Class]]</f>
        <v>Year 9|9B/Sc2</v>
      </c>
    </row>
    <row r="40">
      <c r="B40" s="12" t="inlineStr">
        <is>
          <t>Year 9</t>
        </is>
      </c>
      <c r="C40" s="12" t="inlineStr">
        <is>
          <t>Science Support</t>
        </is>
      </c>
      <c r="D40" s="78" t="inlineStr">
        <is>
          <t>Mr Walsh</t>
        </is>
      </c>
      <c r="E40" s="79" t="str">
        <f>tblTeachers[[#This Row],[Year Group]]&amp;"|"&amp;tblTeachers[[#This Row],[Class]]</f>
        <v>Year 9|Science Support</v>
      </c>
    </row>
    <row r="41">
      <c r="B41" s="12" t="inlineStr">
        <is>
          <t>Year 10</t>
        </is>
      </c>
      <c r="C41" s="12" t="inlineStr">
        <is>
          <t>10S/Sc1</t>
        </is>
      </c>
      <c r="D41" s="78" t="inlineStr">
        <is>
          <t>Mr Walsh</t>
        </is>
      </c>
      <c r="E41" s="79" t="str">
        <f>tblTeachers[[#This Row],[Year Group]]&amp;"|"&amp;tblTeachers[[#This Row],[Class]]</f>
        <v>Year 10|10S/Sc1</v>
      </c>
    </row>
    <row r="42">
      <c r="B42" s="12" t="inlineStr">
        <is>
          <t>Year 10</t>
        </is>
      </c>
      <c r="C42" s="12" t="inlineStr">
        <is>
          <t>10S/Sc2</t>
        </is>
      </c>
      <c r="D42" s="78" t="inlineStr">
        <is>
          <t>Mr Owen</t>
        </is>
      </c>
      <c r="E42" s="79" t="str">
        <f>tblTeachers[[#This Row],[Year Group]]&amp;"|"&amp;tblTeachers[[#This Row],[Class]]</f>
        <v>Year 10|10S/Sc2</v>
      </c>
    </row>
    <row r="43">
      <c r="B43" s="12" t="inlineStr">
        <is>
          <t>Year 10</t>
        </is>
      </c>
      <c r="C43" s="12" t="inlineStr">
        <is>
          <t>10S/Sc3</t>
        </is>
      </c>
      <c r="D43" s="78" t="inlineStr">
        <is>
          <t>Mrs Singh</t>
        </is>
      </c>
      <c r="E43" s="79" t="str">
        <f>tblTeachers[[#This Row],[Year Group]]&amp;"|"&amp;tblTeachers[[#This Row],[Class]]</f>
        <v>Year 10|10S/Sc3</v>
      </c>
    </row>
    <row r="44">
      <c r="B44" s="12" t="inlineStr">
        <is>
          <t>Year 10</t>
        </is>
      </c>
      <c r="C44" s="12" t="inlineStr">
        <is>
          <t>10S/Sc4</t>
        </is>
      </c>
      <c r="D44" s="78" t="inlineStr">
        <is>
          <t>Mr Owen</t>
        </is>
      </c>
      <c r="E44" s="79" t="str">
        <f>tblTeachers[[#This Row],[Year Group]]&amp;"|"&amp;tblTeachers[[#This Row],[Class]]</f>
        <v>Year 10|10S/Sc4</v>
      </c>
    </row>
    <row r="45">
      <c r="B45" s="12" t="inlineStr">
        <is>
          <t>Year 10</t>
        </is>
      </c>
      <c r="C45" s="12" t="inlineStr">
        <is>
          <t>10S/Sc5</t>
        </is>
      </c>
      <c r="D45" s="78" t="inlineStr">
        <is>
          <t>Mr Hughes</t>
        </is>
      </c>
      <c r="E45" s="79" t="str">
        <f>tblTeachers[[#This Row],[Year Group]]&amp;"|"&amp;tblTeachers[[#This Row],[Class]]</f>
        <v>Year 10|10S/Sc5</v>
      </c>
    </row>
    <row r="46">
      <c r="B46" s="12" t="inlineStr">
        <is>
          <t>Year 10</t>
        </is>
      </c>
      <c r="C46" s="12" t="inlineStr">
        <is>
          <t>Science Support</t>
        </is>
      </c>
      <c r="D46" s="78" t="inlineStr">
        <is>
          <t>Mr Walsh</t>
        </is>
      </c>
      <c r="E46" s="79" t="str">
        <f>tblTeachers[[#This Row],[Year Group]]&amp;"|"&amp;tblTeachers[[#This Row],[Class]]</f>
        <v>Year 10|Science Support</v>
      </c>
    </row>
    <row r="47">
      <c r="B47" s="12" t="inlineStr">
        <is>
          <t>Year 11</t>
        </is>
      </c>
      <c r="C47" s="12" t="inlineStr">
        <is>
          <t>11S/Sc1</t>
        </is>
      </c>
      <c r="D47" s="78" t="inlineStr">
        <is>
          <t>Ms Rahman</t>
        </is>
      </c>
      <c r="E47" s="79" t="str">
        <f>tblTeachers[[#This Row],[Year Group]]&amp;"|"&amp;tblTeachers[[#This Row],[Class]]</f>
        <v>Year 11|11S/Sc1</v>
      </c>
    </row>
    <row r="48">
      <c r="B48" s="12" t="inlineStr">
        <is>
          <t>Year 11</t>
        </is>
      </c>
      <c r="C48" s="12" t="inlineStr">
        <is>
          <t>11S/Sc2</t>
        </is>
      </c>
      <c r="D48" s="78" t="inlineStr">
        <is>
          <t>Mrs Evans</t>
        </is>
      </c>
      <c r="E48" s="79" t="str">
        <f>tblTeachers[[#This Row],[Year Group]]&amp;"|"&amp;tblTeachers[[#This Row],[Class]]</f>
        <v>Year 11|11S/Sc2</v>
      </c>
    </row>
    <row r="49">
      <c r="B49" s="12" t="inlineStr">
        <is>
          <t>Year 11</t>
        </is>
      </c>
      <c r="C49" s="12" t="inlineStr">
        <is>
          <t>11S/Sc3</t>
        </is>
      </c>
      <c r="D49" s="78" t="inlineStr">
        <is>
          <t>Mr Owen</t>
        </is>
      </c>
      <c r="E49" s="79" t="str">
        <f>tblTeachers[[#This Row],[Year Group]]&amp;"|"&amp;tblTeachers[[#This Row],[Class]]</f>
        <v>Year 11|11S/Sc3</v>
      </c>
    </row>
    <row r="50">
      <c r="B50" s="12" t="inlineStr">
        <is>
          <t>Year 11</t>
        </is>
      </c>
      <c r="C50" s="12" t="inlineStr">
        <is>
          <t>11S/Sc4</t>
        </is>
      </c>
      <c r="D50" s="78" t="inlineStr">
        <is>
          <t>Mrs Singh</t>
        </is>
      </c>
      <c r="E50" s="79" t="str">
        <f>tblTeachers[[#This Row],[Year Group]]&amp;"|"&amp;tblTeachers[[#This Row],[Class]]</f>
        <v>Year 11|11S/Sc4</v>
      </c>
    </row>
    <row r="51">
      <c r="B51" s="12" t="inlineStr">
        <is>
          <t>Year 11</t>
        </is>
      </c>
      <c r="C51" s="12" t="inlineStr">
        <is>
          <t>11S/Sc5</t>
        </is>
      </c>
      <c r="D51" s="78" t="inlineStr">
        <is>
          <t>Ms Novak</t>
        </is>
      </c>
      <c r="E51" s="79" t="str">
        <f>tblTeachers[[#This Row],[Year Group]]&amp;"|"&amp;tblTeachers[[#This Row],[Class]]</f>
        <v>Year 11|11S/Sc5</v>
      </c>
    </row>
    <row r="52">
      <c r="B52" s="12" t="inlineStr">
        <is>
          <t>Year 11</t>
        </is>
      </c>
      <c r="C52" s="12" t="inlineStr">
        <is>
          <t>Science Support</t>
        </is>
      </c>
      <c r="D52" s="78" t="inlineStr">
        <is>
          <t>Ms Novak</t>
        </is>
      </c>
      <c r="E52" s="79" t="str">
        <f>tblTeachers[[#This Row],[Year Group]]&amp;"|"&amp;tblTeachers[[#This Row],[Class]]</f>
        <v>Year 11|Science Support</v>
      </c>
    </row>
  </sheetData>
  <pageMargins left="0.4" right="0.4" top="0.5" bottom="0.5" header="0.5" footer="0.5"/>
  <pageSetup orientation="landscape" paperSize="9" fitToHeight="0" fitToWidth="1"/>
  <drawing xmlns:r="http://schemas.openxmlformats.org/officeDocument/2006/relationships" r:id="rId2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Calc">
    <outlinePr summaryBelow="1" summaryRight="1"/>
    <pageSetUpPr/>
  </sheetPr>
  <dimension ref="A1:BL669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Helper calculations for the dashboards and drop-down lists. Please do not edit.</t>
        </is>
      </c>
    </row>
    <row r="2">
      <c r="S2" s="81" t="inlineStr">
        <is>
          <t>Year 7</t>
        </is>
      </c>
      <c r="T2" s="81" t="inlineStr">
        <is>
          <t>Year 8</t>
        </is>
      </c>
      <c r="U2" s="81" t="inlineStr">
        <is>
          <t>Year 9</t>
        </is>
      </c>
      <c r="V2" s="81" t="inlineStr">
        <is>
          <t>Year 10</t>
        </is>
      </c>
      <c r="W2" s="81" t="inlineStr">
        <is>
          <t>Year 11</t>
        </is>
      </c>
      <c r="Y2" s="81" t="inlineStr">
        <is>
          <t>Selected year classes</t>
        </is>
      </c>
      <c r="AA2" s="81" t="inlineStr">
        <is>
          <t>Selected year tests</t>
        </is>
      </c>
      <c r="AB2" s="81" t="inlineStr">
        <is>
          <t>Max</t>
        </is>
      </c>
      <c r="AC2" s="81" t="inlineStr">
        <is>
          <t>Date</t>
        </is>
      </c>
      <c r="AD2" s="81" t="inlineStr">
        <is>
          <t>Code</t>
        </is>
      </c>
      <c r="AF2" s="81" t="inlineStr">
        <is>
          <t>Latest test</t>
        </is>
      </c>
      <c r="AK2" s="81" t="inlineStr">
        <is>
          <t>Trend label</t>
        </is>
      </c>
      <c r="AL2" s="81" t="inlineStr">
        <is>
          <t>Whole year</t>
        </is>
      </c>
      <c r="AM2" s="81" t="inlineStr">
        <is>
          <t>Focus class</t>
        </is>
      </c>
      <c r="AO2" s="81" t="inlineStr">
        <is>
          <t>Test by class</t>
        </is>
      </c>
      <c r="AR2" s="81" t="inlineStr">
        <is>
          <t>Stanine</t>
        </is>
      </c>
      <c r="AS2" s="81" t="inlineStr">
        <is>
          <t>This test</t>
        </is>
      </c>
      <c r="AT2" s="81" t="inlineStr">
        <is>
          <t>Expected</t>
        </is>
      </c>
    </row>
    <row r="3">
      <c r="B3" s="31" t="inlineStr">
        <is>
          <t>Year 7</t>
        </is>
      </c>
      <c r="C3" s="31" t="inlineStr">
        <is>
          <t>tblY7</t>
        </is>
      </c>
      <c r="E3" s="31" t="inlineStr">
        <is>
          <t>Mean %</t>
        </is>
      </c>
      <c r="S3" t="str">
        <f>IFERROR(INDEX(H$10:H$609,MATCH(SMALL(I$10:I$609,1),I$10:I$609,0)),"")</f>
        <v>7A/Sc1</v>
      </c>
      <c r="T3" t="str">
        <f>IFERROR(INDEX(J$10:J$609,MATCH(SMALL(K$10:K$609,1),K$10:K$609,0)),"")</f>
        <v>8A/Sc1</v>
      </c>
      <c r="U3" t="str">
        <f>IFERROR(INDEX(L$10:L$609,MATCH(SMALL(M$10:M$609,1),M$10:M$609,0)),"")</f>
        <v>9A/Sc1</v>
      </c>
      <c r="V3" t="str">
        <f>IFERROR(INDEX(N$10:N$609,MATCH(SMALL(O$10:O$609,1),O$10:O$609,0)),"")</f>
        <v>10S/Sc1</v>
      </c>
      <c r="W3" t="str">
        <f>IFERROR(INDEX(P$10:P$609,MATCH(SMALL(Q$10:Q$609,1),Q$10:Q$609,0)),"")</f>
        <v>11S/Sc1</v>
      </c>
      <c r="Y3" t="str">
        <f>IFERROR(INDEX($S3:$W3,dYear),"")</f>
        <v>11S/Sc1</v>
      </c>
      <c r="AA3" t="str">
        <f>IFERROR(INDEX(tblAssessments[Test Name],MATCH(SelYear&amp;"|"&amp;1,tblAssessments[Seq Key],0))&amp;"","")</f>
        <v>4B05 - Homeostasis</v>
      </c>
      <c r="AB3">
        <f>IF(AA3="","",IFERROR(INDEX(tblAssessments[Max Marks],MATCH(SelYear&amp;"|"&amp;1,tblAssessments[Seq Key],0)),""))</f>
        <v>40</v>
      </c>
      <c r="AC3" s="82">
        <f>IF(AA3="","",IFERROR(IF(INDEX(tblAssessments[Date],MATCH(SelYear&amp;"|"&amp;1,tblAssessments[Seq Key],0))="","",INDEX(tblAssessments[Date],MATCH(SelYear&amp;"|"&amp;1,tblAssessments[Seq Key],0))),""))</f>
        <v>46291.0</v>
      </c>
      <c r="AD3" t="str">
        <f>IF(AA3="","",IFERROR(INDEX(tblAssessments[Code],MATCH(SelYear&amp;"|"&amp;1,tblAssessments[Seq Key],0))&amp;"",""))</f>
        <v>4B05</v>
      </c>
      <c r="AF3" t="str">
        <f>IF(COUNTIF(tblAssessments[Year Group],"Year 7")=0,"",IFERROR(INDEX(tblAssessments[Test Name],MATCH("Year 7|"&amp;COUNTIF(tblAssessments[Year Group],"Year 7"),tblAssessments[Seq Key],0)),""))</f>
        <v>7B02 - Organ Systems</v>
      </c>
      <c r="AG3">
        <f>IF(AF3="","",IFERROR(INDEX(tblAssessments[Max Marks],MATCH("Year 7|"&amp;COUNTIF(tblAssessments[Year Group],"Year 7"),tblAssessments[Seq Key],0)),""))</f>
        <v>28</v>
      </c>
      <c r="AH3" s="82">
        <f>IF(AF3="","",IFERROR(IF(INDEX(tblAssessments[Date],MATCH("Year 7|"&amp;COUNTIF(tblAssessments[Year Group],"Year 7"),tblAssessments[Seq Key],0))="","",INDEX(tblAssessments[Date],MATCH("Year 7|"&amp;COUNTIF(tblAssessments[Year Group],"Year 7"),tblAssessments[Seq Key],0))),""))</f>
        <v>46329.0</v>
      </c>
      <c r="AI3">
        <f>COUNTIF(tblAssessments[Year Group],"Year 7")</f>
        <v>4</v>
      </c>
      <c r="AK3" t="str">
        <f>IF(AA3="","",IF(AD3&lt;&gt;"",AD3,LEFT(AA3,14)))</f>
        <v>4B05</v>
      </c>
      <c r="AL3">
        <f>IF(AA3="",NA(),IFERROR(AVERAGE(INDEX(dData,0,MATCH(AA3&amp;CHAR(10)&amp;"Stanine",dHdr,0))),NA()))</f>
        <v>5.01941747572816</v>
      </c>
      <c r="AM3">
        <f>IF(OR(AA3="",SelClass=""),NA(),IFERROR(AVERAGEIFS(INDEX(dData,0,MATCH(AA3&amp;CHAR(10)&amp;"Stanine",dHdr,0)),dClass,SelClass),NA()))</f>
        <v>6.84615384615385</v>
      </c>
      <c r="AO3" t="inlineStr">
        <is>
          <t>Whole year</t>
        </is>
      </c>
      <c r="AP3" s="83">
        <f>IFERROR(AVERAGE(dRaw)/dMax,NA())</f>
        <v>0.436517181129878</v>
      </c>
      <c r="AR3" t="n">
        <v>1</v>
      </c>
      <c r="AS3" s="83">
        <f>IFERROR(COUNTIF(dStn,AR3)/COUNT(dStn),0)</f>
        <v>0.0099009900990099</v>
      </c>
      <c r="AT3" s="83" t="n">
        <v>0.04</v>
      </c>
      <c r="BL3">
        <f>IFERROR(MATCH(SMALL($BJ$70:$BJ$669,1),$BJ$70:$BJ$669,0),"")</f>
        <v>93</v>
      </c>
    </row>
    <row r="4">
      <c r="B4" s="31" t="inlineStr">
        <is>
          <t>Year 8</t>
        </is>
      </c>
      <c r="C4" s="31" t="inlineStr">
        <is>
          <t>tblY8</t>
        </is>
      </c>
      <c r="E4" s="31" t="inlineStr">
        <is>
          <t>Mean stanine</t>
        </is>
      </c>
      <c r="S4" t="str">
        <f>IFERROR(INDEX(H$10:H$609,MATCH(SMALL(I$10:I$609,2),I$10:I$609,0)),"")</f>
        <v>7A/Sc2</v>
      </c>
      <c r="T4" t="str">
        <f>IFERROR(INDEX(J$10:J$609,MATCH(SMALL(K$10:K$609,2),K$10:K$609,0)),"")</f>
        <v>8A/Sc2</v>
      </c>
      <c r="U4" t="str">
        <f>IFERROR(INDEX(L$10:L$609,MATCH(SMALL(M$10:M$609,2),M$10:M$609,0)),"")</f>
        <v>9A/Sc2</v>
      </c>
      <c r="V4" t="str">
        <f>IFERROR(INDEX(N$10:N$609,MATCH(SMALL(O$10:O$609,2),O$10:O$609,0)),"")</f>
        <v>10S/Sc2</v>
      </c>
      <c r="W4" t="str">
        <f>IFERROR(INDEX(P$10:P$609,MATCH(SMALL(Q$10:Q$609,2),Q$10:Q$609,0)),"")</f>
        <v>11S/Sc2</v>
      </c>
      <c r="Y4" t="str">
        <f>IFERROR(INDEX($S4:$W4,dYear),"")</f>
        <v>11S/Sc2</v>
      </c>
      <c r="AA4" t="str">
        <f>IFERROR(INDEX(tblAssessments[Test Name],MATCH(SelYear&amp;"|"&amp;2,tblAssessments[Seq Key],0))&amp;"","")</f>
        <v>4C09 - Organic Chemistry</v>
      </c>
      <c r="AB4">
        <f>IF(AA4="","",IFERROR(INDEX(tblAssessments[Max Marks],MATCH(SelYear&amp;"|"&amp;2,tblAssessments[Seq Key],0)),""))</f>
        <v>35</v>
      </c>
      <c r="AC4" s="82">
        <f>IF(AA4="","",IFERROR(IF(INDEX(tblAssessments[Date],MATCH(SelYear&amp;"|"&amp;2,tblAssessments[Seq Key],0))="","",INDEX(tblAssessments[Date],MATCH(SelYear&amp;"|"&amp;2,tblAssessments[Seq Key],0))),""))</f>
        <v>46305.0</v>
      </c>
      <c r="AD4" t="str">
        <f>IF(AA4="","",IFERROR(INDEX(tblAssessments[Code],MATCH(SelYear&amp;"|"&amp;2,tblAssessments[Seq Key],0))&amp;"",""))</f>
        <v>4C09</v>
      </c>
      <c r="AF4" t="str">
        <f>IF(COUNTIF(tblAssessments[Year Group],"Year 8")=0,"",IFERROR(INDEX(tblAssessments[Test Name],MATCH("Year 8|"&amp;COUNTIF(tblAssessments[Year Group],"Year 8"),tblAssessments[Seq Key],0)),""))</f>
        <v>8P02 - Light</v>
      </c>
      <c r="AG4">
        <f>IF(AF4="","",IFERROR(INDEX(tblAssessments[Max Marks],MATCH("Year 8|"&amp;COUNTIF(tblAssessments[Year Group],"Year 8"),tblAssessments[Seq Key],0)),""))</f>
        <v>24</v>
      </c>
      <c r="AH4" s="82">
        <f>IF(AF4="","",IFERROR(IF(INDEX(tblAssessments[Date],MATCH("Year 8|"&amp;COUNTIF(tblAssessments[Year Group],"Year 8"),tblAssessments[Seq Key],0))="","",INDEX(tblAssessments[Date],MATCH("Year 8|"&amp;COUNTIF(tblAssessments[Year Group],"Year 8"),tblAssessments[Seq Key],0))),""))</f>
        <v>46344.0</v>
      </c>
      <c r="AI4">
        <f>COUNTIF(tblAssessments[Year Group],"Year 8")</f>
        <v>5</v>
      </c>
      <c r="AK4" t="str">
        <f>IF(AA4="","",IF(AD4&lt;&gt;"",AD4,LEFT(AA4,14)))</f>
        <v>4C09</v>
      </c>
      <c r="AL4">
        <f>IF(AA4="",NA(),IFERROR(AVERAGE(INDEX(dData,0,MATCH(AA4&amp;CHAR(10)&amp;"Stanine",dHdr,0))),NA()))</f>
        <v>4.9</v>
      </c>
      <c r="AM4">
        <f>IF(OR(AA4="",SelClass=""),NA(),IFERROR(AVERAGEIFS(INDEX(dData,0,MATCH(AA4&amp;CHAR(10)&amp;"Stanine",dHdr,0)),dClass,SelClass),NA()))</f>
        <v>6.59259259259259</v>
      </c>
      <c r="AO4" t="str">
        <f>Y3</f>
        <v>11S/Sc1</v>
      </c>
      <c r="AP4" s="83">
        <f>IF(AO4="",NA(),IFERROR(AVERAGEIFS(dRaw,dClass,AO4)/dMax,NA()))</f>
        <v>0.628540305010893</v>
      </c>
      <c r="AR4" t="n">
        <v>2</v>
      </c>
      <c r="AS4" s="83">
        <f>IFERROR(COUNTIF(dStn,AR4)/COUNT(dStn),0)</f>
        <v>0.148514851485149</v>
      </c>
      <c r="AT4" s="83" t="n">
        <v>0.07000000000000001</v>
      </c>
      <c r="BL4">
        <f>IFERROR(MATCH(SMALL($BJ$70:$BJ$669,2),$BJ$70:$BJ$669,0),"")</f>
        <v>61</v>
      </c>
    </row>
    <row r="5">
      <c r="B5" s="31" t="inlineStr">
        <is>
          <t>Year 9</t>
        </is>
      </c>
      <c r="C5" s="31" t="inlineStr">
        <is>
          <t>tblY9</t>
        </is>
      </c>
      <c r="E5" s="31" t="inlineStr">
        <is>
          <t>Completion %</t>
        </is>
      </c>
      <c r="S5" t="str">
        <f>IFERROR(INDEX(H$10:H$609,MATCH(SMALL(I$10:I$609,3),I$10:I$609,0)),"")</f>
        <v>7B/Sc1</v>
      </c>
      <c r="T5" t="str">
        <f>IFERROR(INDEX(J$10:J$609,MATCH(SMALL(K$10:K$609,3),K$10:K$609,0)),"")</f>
        <v>8A/Sc3</v>
      </c>
      <c r="U5" t="str">
        <f>IFERROR(INDEX(L$10:L$609,MATCH(SMALL(M$10:M$609,3),M$10:M$609,0)),"")</f>
        <v>9A/Sc3</v>
      </c>
      <c r="V5" t="str">
        <f>IFERROR(INDEX(N$10:N$609,MATCH(SMALL(O$10:O$609,3),O$10:O$609,0)),"")</f>
        <v>10S/Sc3</v>
      </c>
      <c r="W5" t="str">
        <f>IFERROR(INDEX(P$10:P$609,MATCH(SMALL(Q$10:Q$609,3),Q$10:Q$609,0)),"")</f>
        <v>11S/Sc3</v>
      </c>
      <c r="Y5" t="str">
        <f>IFERROR(INDEX($S5:$W5,dYear),"")</f>
        <v>11S/Sc3</v>
      </c>
      <c r="AA5" t="str">
        <f>IFERROR(INDEX(tblAssessments[Test Name],MATCH(SelYear&amp;"|"&amp;3,tblAssessments[Seq Key],0))&amp;"","")</f>
        <v>4P06 - Waves</v>
      </c>
      <c r="AB5">
        <f>IF(AA5="","",IFERROR(INDEX(tblAssessments[Max Marks],MATCH(SelYear&amp;"|"&amp;3,tblAssessments[Seq Key],0)),""))</f>
        <v>38</v>
      </c>
      <c r="AC5" s="82">
        <f>IF(AA5="","",IFERROR(IF(INDEX(tblAssessments[Date],MATCH(SelYear&amp;"|"&amp;3,tblAssessments[Seq Key],0))="","",INDEX(tblAssessments[Date],MATCH(SelYear&amp;"|"&amp;3,tblAssessments[Seq Key],0))),""))</f>
        <v>46319.0</v>
      </c>
      <c r="AD5" t="str">
        <f>IF(AA5="","",IFERROR(INDEX(tblAssessments[Code],MATCH(SelYear&amp;"|"&amp;3,tblAssessments[Seq Key],0))&amp;"",""))</f>
        <v>4P06</v>
      </c>
      <c r="AF5" t="str">
        <f>IF(COUNTIF(tblAssessments[Year Group],"Year 9")=0,"",IFERROR(INDEX(tblAssessments[Test Name],MATCH("Year 9|"&amp;COUNTIF(tblAssessments[Year Group],"Year 9"),tblAssessments[Seq Key],0)),""))</f>
        <v>9B02 - Ecology</v>
      </c>
      <c r="AG5">
        <f>IF(AF5="","",IFERROR(INDEX(tblAssessments[Max Marks],MATCH("Year 9|"&amp;COUNTIF(tblAssessments[Year Group],"Year 9"),tblAssessments[Seq Key],0)),""))</f>
        <v>25</v>
      </c>
      <c r="AH5" s="82">
        <f>IF(AF5="","",IFERROR(IF(INDEX(tblAssessments[Date],MATCH("Year 9|"&amp;COUNTIF(tblAssessments[Year Group],"Year 9"),tblAssessments[Seq Key],0))="","",INDEX(tblAssessments[Date],MATCH("Year 9|"&amp;COUNTIF(tblAssessments[Year Group],"Year 9"),tblAssessments[Seq Key],0))),""))</f>
        <v>46331.0</v>
      </c>
      <c r="AI5">
        <f>COUNTIF(tblAssessments[Year Group],"Year 9")</f>
        <v>4</v>
      </c>
      <c r="AK5" t="str">
        <f>IF(AA5="","",IF(AD5&lt;&gt;"",AD5,LEFT(AA5,14)))</f>
        <v>4P06</v>
      </c>
      <c r="AL5">
        <f>IF(AA5="",NA(),IFERROR(AVERAGE(INDEX(dData,0,MATCH(AA5&amp;CHAR(10)&amp;"Stanine",dHdr,0))),NA()))</f>
        <v>4.94174757281553</v>
      </c>
      <c r="AM5">
        <f>IF(OR(AA5="",SelClass=""),NA(),IFERROR(AVERAGEIFS(INDEX(dData,0,MATCH(AA5&amp;CHAR(10)&amp;"Stanine",dHdr,0)),dClass,SelClass),NA()))</f>
        <v>6.59259259259259</v>
      </c>
      <c r="AO5" t="str">
        <f>Y4</f>
        <v>11S/Sc2</v>
      </c>
      <c r="AP5" s="83">
        <f>IF(AO5="",NA(),IFERROR(AVERAGEIFS(dRaw,dClass,AO5)/dMax,NA()))</f>
        <v>0.515294117647059</v>
      </c>
      <c r="AR5" t="n">
        <v>3</v>
      </c>
      <c r="AS5" s="83">
        <f>IFERROR(COUNTIF(dStn,AR5)/COUNT(dStn),0)</f>
        <v>0.118811881188119</v>
      </c>
      <c r="AT5" s="83" t="n">
        <v>0.12</v>
      </c>
      <c r="BL5">
        <f>IFERROR(MATCH(SMALL($BJ$70:$BJ$669,3),$BJ$70:$BJ$669,0),"")</f>
        <v>91</v>
      </c>
    </row>
    <row r="6">
      <c r="B6" s="31" t="inlineStr">
        <is>
          <t>Year 10</t>
        </is>
      </c>
      <c r="C6" s="31" t="inlineStr">
        <is>
          <t>tblY10</t>
        </is>
      </c>
      <c r="S6" t="str">
        <f>IFERROR(INDEX(H$10:H$609,MATCH(SMALL(I$10:I$609,4),I$10:I$609,0)),"")</f>
        <v>7B/Sc2</v>
      </c>
      <c r="T6" t="str">
        <f>IFERROR(INDEX(J$10:J$609,MATCH(SMALL(K$10:K$609,4),K$10:K$609,0)),"")</f>
        <v>8A/Sc4</v>
      </c>
      <c r="U6" t="str">
        <f>IFERROR(INDEX(L$10:L$609,MATCH(SMALL(M$10:M$609,4),M$10:M$609,0)),"")</f>
        <v>9B/Sc1</v>
      </c>
      <c r="V6" t="str">
        <f>IFERROR(INDEX(N$10:N$609,MATCH(SMALL(O$10:O$609,4),O$10:O$609,0)),"")</f>
        <v>10S/Sc4</v>
      </c>
      <c r="W6" t="str">
        <f>IFERROR(INDEX(P$10:P$609,MATCH(SMALL(Q$10:Q$609,4),Q$10:Q$609,0)),"")</f>
        <v>11S/Sc4</v>
      </c>
      <c r="Y6" t="str">
        <f>IFERROR(INDEX($S6:$W6,dYear),"")</f>
        <v>11S/Sc4</v>
      </c>
      <c r="AA6" t="str">
        <f>IFERROR(INDEX(tblAssessments[Test Name],MATCH(SelYear&amp;"|"&amp;4,tblAssessments[Seq Key],0))&amp;"","")</f>
        <v>4B06 - Inheritance</v>
      </c>
      <c r="AB6">
        <f>IF(AA6="","",IFERROR(INDEX(tblAssessments[Max Marks],MATCH(SelYear&amp;"|"&amp;4,tblAssessments[Seq Key],0)),""))</f>
        <v>42</v>
      </c>
      <c r="AC6" s="82">
        <f>IF(AA6="","",IFERROR(IF(INDEX(tblAssessments[Date],MATCH(SelYear&amp;"|"&amp;4,tblAssessments[Seq Key],0))="","",INDEX(tblAssessments[Date],MATCH(SelYear&amp;"|"&amp;4,tblAssessments[Seq Key],0))),""))</f>
        <v>46333.0</v>
      </c>
      <c r="AD6" t="str">
        <f>IF(AA6="","",IFERROR(INDEX(tblAssessments[Code],MATCH(SelYear&amp;"|"&amp;4,tblAssessments[Seq Key],0))&amp;"",""))</f>
        <v>4B06</v>
      </c>
      <c r="AF6" t="str">
        <f>IF(COUNTIF(tblAssessments[Year Group],"Year 10")=0,"",IFERROR(INDEX(tblAssessments[Test Name],MATCH("Year 10|"&amp;COUNTIF(tblAssessments[Year Group],"Year 10"),tblAssessments[Seq Key],0)),""))</f>
        <v>4C02 - Bonding</v>
      </c>
      <c r="AG6">
        <f>IF(AF6="","",IFERROR(INDEX(tblAssessments[Max Marks],MATCH("Year 10|"&amp;COUNTIF(tblAssessments[Year Group],"Year 10"),tblAssessments[Seq Key],0)),""))</f>
        <v>38</v>
      </c>
      <c r="AH6" s="82">
        <f>IF(AF6="","",IFERROR(IF(INDEX(tblAssessments[Date],MATCH("Year 10|"&amp;COUNTIF(tblAssessments[Year Group],"Year 10"),tblAssessments[Seq Key],0))="","",INDEX(tblAssessments[Date],MATCH("Year 10|"&amp;COUNTIF(tblAssessments[Year Group],"Year 10"),tblAssessments[Seq Key],0))),""))</f>
        <v>46346.0</v>
      </c>
      <c r="AI6">
        <f>COUNTIF(tblAssessments[Year Group],"Year 10")</f>
        <v>5</v>
      </c>
      <c r="AK6" t="str">
        <f>IF(AA6="","",IF(AD6&lt;&gt;"",AD6,LEFT(AA6,14)))</f>
        <v>4B06</v>
      </c>
      <c r="AL6">
        <f>IF(AA6="",NA(),IFERROR(AVERAGE(INDEX(dData,0,MATCH(AA6&amp;CHAR(10)&amp;"Stanine",dHdr,0))),NA()))</f>
        <v>5.00970873786408</v>
      </c>
      <c r="AM6">
        <f>IF(OR(AA6="",SelClass=""),NA(),IFERROR(AVERAGEIFS(INDEX(dData,0,MATCH(AA6&amp;CHAR(10)&amp;"Stanine",dHdr,0)),dClass,SelClass),NA()))</f>
        <v>6.59259259259259</v>
      </c>
      <c r="AO6" t="str">
        <f>Y5</f>
        <v>11S/Sc3</v>
      </c>
      <c r="AP6" s="83">
        <f>IF(AO6="",NA(),IFERROR(AVERAGEIFS(dRaw,dClass,AO6)/dMax,NA()))</f>
        <v>0.382352941176471</v>
      </c>
      <c r="AR6" t="n">
        <v>4</v>
      </c>
      <c r="AS6" s="83">
        <f>IFERROR(COUNTIF(dStn,AR6)/COUNT(dStn),0)</f>
        <v>0.158415841584158</v>
      </c>
      <c r="AT6" s="83" t="n">
        <v>0.17</v>
      </c>
      <c r="BL6" t="str">
        <f>IFERROR(MATCH(SMALL($BJ$70:$BJ$669,4),$BJ$70:$BJ$669,0),"")</f>
        <v/>
      </c>
    </row>
    <row r="7">
      <c r="B7" s="31" t="inlineStr">
        <is>
          <t>Year 11</t>
        </is>
      </c>
      <c r="C7" s="31" t="inlineStr">
        <is>
          <t>tblY11</t>
        </is>
      </c>
      <c r="S7" t="str">
        <f>IFERROR(INDEX(H$10:H$609,MATCH(SMALL(I$10:I$609,5),I$10:I$609,0)),"")</f>
        <v>7B/Sc3</v>
      </c>
      <c r="T7" t="str">
        <f>IFERROR(INDEX(J$10:J$609,MATCH(SMALL(K$10:K$609,5),K$10:K$609,0)),"")</f>
        <v>Science Support</v>
      </c>
      <c r="U7" t="str">
        <f>IFERROR(INDEX(L$10:L$609,MATCH(SMALL(M$10:M$609,5),M$10:M$609,0)),"")</f>
        <v>9B/Sc2</v>
      </c>
      <c r="V7" t="str">
        <f>IFERROR(INDEX(N$10:N$609,MATCH(SMALL(O$10:O$609,5),O$10:O$609,0)),"")</f>
        <v>10S/Sc5</v>
      </c>
      <c r="W7" t="str">
        <f>IFERROR(INDEX(P$10:P$609,MATCH(SMALL(Q$10:Q$609,5),Q$10:Q$609,0)),"")</f>
        <v>11S/Sc5</v>
      </c>
      <c r="Y7" t="str">
        <f>IFERROR(INDEX($S7:$W7,dYear),"")</f>
        <v>11S/Sc5</v>
      </c>
      <c r="AA7" t="str">
        <f>IFERROR(INDEX(tblAssessments[Test Name],MATCH(SelYear&amp;"|"&amp;5,tblAssessments[Seq Key],0))&amp;"","")</f>
        <v>4C10 - Chemical Analysis</v>
      </c>
      <c r="AB7">
        <f>IF(AA7="","",IFERROR(INDEX(tblAssessments[Max Marks],MATCH(SelYear&amp;"|"&amp;5,tblAssessments[Seq Key],0)),""))</f>
        <v>30</v>
      </c>
      <c r="AC7" s="82">
        <f>IF(AA7="","",IFERROR(IF(INDEX(tblAssessments[Date],MATCH(SelYear&amp;"|"&amp;5,tblAssessments[Seq Key],0))="","",INDEX(tblAssessments[Date],MATCH(SelYear&amp;"|"&amp;5,tblAssessments[Seq Key],0))),""))</f>
        <v>46347.0</v>
      </c>
      <c r="AD7" t="str">
        <f>IF(AA7="","",IFERROR(INDEX(tblAssessments[Code],MATCH(SelYear&amp;"|"&amp;5,tblAssessments[Seq Key],0))&amp;"",""))</f>
        <v>4C10</v>
      </c>
      <c r="AF7" t="str">
        <f>IF(COUNTIF(tblAssessments[Year Group],"Year 11")=0,"",IFERROR(INDEX(tblAssessments[Test Name],MATCH("Year 11|"&amp;COUNTIF(tblAssessments[Year Group],"Year 11"),tblAssessments[Seq Key],0)),""))</f>
        <v>4P07 - Magnetism</v>
      </c>
      <c r="AG7">
        <f>IF(AF7="","",IFERROR(INDEX(tblAssessments[Max Marks],MATCH("Year 11|"&amp;COUNTIF(tblAssessments[Year Group],"Year 11"),tblAssessments[Seq Key],0)),""))</f>
        <v>34</v>
      </c>
      <c r="AH7" s="82">
        <f>IF(AF7="","",IFERROR(IF(INDEX(tblAssessments[Date],MATCH("Year 11|"&amp;COUNTIF(tblAssessments[Year Group],"Year 11"),tblAssessments[Seq Key],0))="","",INDEX(tblAssessments[Date],MATCH("Year 11|"&amp;COUNTIF(tblAssessments[Year Group],"Year 11"),tblAssessments[Seq Key],0))),""))</f>
        <v>46361.0</v>
      </c>
      <c r="AI7">
        <f>COUNTIF(tblAssessments[Year Group],"Year 11")</f>
        <v>6</v>
      </c>
      <c r="AK7" t="str">
        <f>IF(AA7="","",IF(AD7&lt;&gt;"",AD7,LEFT(AA7,14)))</f>
        <v>4C10</v>
      </c>
      <c r="AL7">
        <f>IF(AA7="",NA(),IFERROR(AVERAGE(INDEX(dData,0,MATCH(AA7&amp;CHAR(10)&amp;"Stanine",dHdr,0))),NA()))</f>
        <v>4.94174757281553</v>
      </c>
      <c r="AM7">
        <f>IF(OR(AA7="",SelClass=""),NA(),IFERROR(AVERAGEIFS(INDEX(dData,0,MATCH(AA7&amp;CHAR(10)&amp;"Stanine",dHdr,0)),dClass,SelClass),NA()))</f>
        <v>6.92592592592593</v>
      </c>
      <c r="AO7" t="str">
        <f>Y6</f>
        <v>11S/Sc4</v>
      </c>
      <c r="AP7" s="83">
        <f>IF(AO7="",NA(),IFERROR(AVERAGEIFS(dRaw,dClass,AO7)/dMax,NA()))</f>
        <v>0.305429864253394</v>
      </c>
      <c r="AR7" t="n">
        <v>5</v>
      </c>
      <c r="AS7" s="83">
        <f>IFERROR(COUNTIF(dStn,AR7)/COUNT(dStn),0)</f>
        <v>0.099009900990099</v>
      </c>
      <c r="AT7" s="83" t="n">
        <v>0.2</v>
      </c>
      <c r="BL7" t="str">
        <f>IFERROR(MATCH(SMALL($BJ$70:$BJ$669,5),$BJ$70:$BJ$669,0),"")</f>
        <v/>
      </c>
    </row>
    <row r="8">
      <c r="S8" t="str">
        <f>IFERROR(INDEX(H$10:H$609,MATCH(SMALL(I$10:I$609,6),I$10:I$609,0)),"")</f>
        <v/>
      </c>
      <c r="T8" t="str">
        <f>IFERROR(INDEX(J$10:J$609,MATCH(SMALL(K$10:K$609,6),K$10:K$609,0)),"")</f>
        <v/>
      </c>
      <c r="U8" t="str">
        <f>IFERROR(INDEX(L$10:L$609,MATCH(SMALL(M$10:M$609,6),M$10:M$609,0)),"")</f>
        <v>Science Support</v>
      </c>
      <c r="V8" t="str">
        <f>IFERROR(INDEX(N$10:N$609,MATCH(SMALL(O$10:O$609,6),O$10:O$609,0)),"")</f>
        <v>Science Support</v>
      </c>
      <c r="W8" t="str">
        <f>IFERROR(INDEX(P$10:P$609,MATCH(SMALL(Q$10:Q$609,6),Q$10:Q$609,0)),"")</f>
        <v>Science Support</v>
      </c>
      <c r="Y8" t="str">
        <f>IFERROR(INDEX($S8:$W8,dYear),"")</f>
        <v>Science Support</v>
      </c>
      <c r="AA8" t="str">
        <f>IFERROR(INDEX(tblAssessments[Test Name],MATCH(SelYear&amp;"|"&amp;6,tblAssessments[Seq Key],0))&amp;"","")</f>
        <v>4P07 - Magnetism</v>
      </c>
      <c r="AB8">
        <f>IF(AA8="","",IFERROR(INDEX(tblAssessments[Max Marks],MATCH(SelYear&amp;"|"&amp;6,tblAssessments[Seq Key],0)),""))</f>
        <v>34</v>
      </c>
      <c r="AC8" s="82">
        <f>IF(AA8="","",IFERROR(IF(INDEX(tblAssessments[Date],MATCH(SelYear&amp;"|"&amp;6,tblAssessments[Seq Key],0))="","",INDEX(tblAssessments[Date],MATCH(SelYear&amp;"|"&amp;6,tblAssessments[Seq Key],0))),""))</f>
        <v>46361.0</v>
      </c>
      <c r="AD8" t="str">
        <f>IF(AA8="","",IFERROR(INDEX(tblAssessments[Code],MATCH(SelYear&amp;"|"&amp;6,tblAssessments[Seq Key],0))&amp;"",""))</f>
        <v>4P07</v>
      </c>
      <c r="AK8" t="str">
        <f>IF(AA8="","",IF(AD8&lt;&gt;"",AD8,LEFT(AA8,14)))</f>
        <v>4P07</v>
      </c>
      <c r="AL8">
        <f>IF(AA8="",NA(),IFERROR(AVERAGE(INDEX(dData,0,MATCH(AA8&amp;CHAR(10)&amp;"Stanine",dHdr,0))),NA()))</f>
        <v>5.03960396039604</v>
      </c>
      <c r="AM8">
        <f>IF(OR(AA8="",SelClass=""),NA(),IFERROR(AVERAGEIFS(INDEX(dData,0,MATCH(AA8&amp;CHAR(10)&amp;"Stanine",dHdr,0)),dClass,SelClass),NA()))</f>
        <v>6.77777777777778</v>
      </c>
      <c r="AO8" t="str">
        <f>Y7</f>
        <v>11S/Sc5</v>
      </c>
      <c r="AP8" s="83">
        <f>IF(AO8="",NA(),IFERROR(AVERAGEIFS(dRaw,dClass,AO8)/dMax,NA()))</f>
        <v>0.190045248868778</v>
      </c>
      <c r="AR8" t="n">
        <v>6</v>
      </c>
      <c r="AS8" s="83">
        <f>IFERROR(COUNTIF(dStn,AR8)/COUNT(dStn),0)</f>
        <v>0.158415841584158</v>
      </c>
      <c r="AT8" s="83" t="n">
        <v>0.17</v>
      </c>
      <c r="BL8" t="str">
        <f>IFERROR(MATCH(SMALL($BJ$70:$BJ$669,6),$BJ$70:$BJ$669,0),"")</f>
        <v/>
      </c>
    </row>
    <row r="9">
      <c r="H9" s="81" t="inlineStr">
        <is>
          <t>Year 7 class</t>
        </is>
      </c>
      <c r="J9" s="81" t="inlineStr">
        <is>
          <t>Year 8 class</t>
        </is>
      </c>
      <c r="L9" s="81" t="inlineStr">
        <is>
          <t>Year 9 class</t>
        </is>
      </c>
      <c r="N9" s="81" t="inlineStr">
        <is>
          <t>Year 10 class</t>
        </is>
      </c>
      <c r="P9" s="81" t="inlineStr">
        <is>
          <t>Year 11 class</t>
        </is>
      </c>
      <c r="S9" t="str">
        <f>IFERROR(INDEX(H$10:H$609,MATCH(SMALL(I$10:I$609,7),I$10:I$609,0)),"")</f>
        <v/>
      </c>
      <c r="T9" t="str">
        <f>IFERROR(INDEX(J$10:J$609,MATCH(SMALL(K$10:K$609,7),K$10:K$609,0)),"")</f>
        <v/>
      </c>
      <c r="U9" t="str">
        <f>IFERROR(INDEX(L$10:L$609,MATCH(SMALL(M$10:M$609,7),M$10:M$609,0)),"")</f>
        <v/>
      </c>
      <c r="V9" t="str">
        <f>IFERROR(INDEX(N$10:N$609,MATCH(SMALL(O$10:O$609,7),O$10:O$609,0)),"")</f>
        <v/>
      </c>
      <c r="W9" t="str">
        <f>IFERROR(INDEX(P$10:P$609,MATCH(SMALL(Q$10:Q$609,7),Q$10:Q$609,0)),"")</f>
        <v/>
      </c>
      <c r="Y9" t="str">
        <f>IFERROR(INDEX($S9:$W9,dYear),"")</f>
        <v/>
      </c>
      <c r="AA9" t="str">
        <f>IFERROR(INDEX(tblAssessments[Test Name],MATCH(SelYear&amp;"|"&amp;7,tblAssessments[Seq Key],0))&amp;"","")</f>
        <v/>
      </c>
      <c r="AB9" t="str">
        <f>IF(AA9="","",IFERROR(INDEX(tblAssessments[Max Marks],MATCH(SelYear&amp;"|"&amp;7,tblAssessments[Seq Key],0)),""))</f>
        <v/>
      </c>
      <c r="AC9" s="82" t="str">
        <f>IF(AA9="","",IFERROR(IF(INDEX(tblAssessments[Date],MATCH(SelYear&amp;"|"&amp;7,tblAssessments[Seq Key],0))="","",INDEX(tblAssessments[Date],MATCH(SelYear&amp;"|"&amp;7,tblAssessments[Seq Key],0))),""))</f>
        <v/>
      </c>
      <c r="AD9" t="str">
        <f>IF(AA9="","",IFERROR(INDEX(tblAssessments[Code],MATCH(SelYear&amp;"|"&amp;7,tblAssessments[Seq Key],0))&amp;"",""))</f>
        <v/>
      </c>
      <c r="AK9" t="str">
        <f>IF(AA9="","",IF(AD9&lt;&gt;"",AD9,LEFT(AA9,14)))</f>
        <v/>
      </c>
      <c r="AL9" t="e">
        <f>IF(AA9="",NA(),IFERROR(AVERAGE(INDEX(dData,0,MATCH(AA9&amp;CHAR(10)&amp;"Stanine",dHdr,0))),NA()))</f>
        <v>#N/A</v>
      </c>
      <c r="AM9" t="e">
        <f>IF(OR(AA9="",SelClass=""),NA(),IFERROR(AVERAGEIFS(INDEX(dData,0,MATCH(AA9&amp;CHAR(10)&amp;"Stanine",dHdr,0)),dClass,SelClass),NA()))</f>
        <v>#N/A</v>
      </c>
      <c r="AO9" t="str">
        <f>Y8</f>
        <v>Science Support</v>
      </c>
      <c r="AP9" s="83">
        <f>IF(AO9="",NA(),IFERROR(AVERAGEIFS(dRaw,dClass,AO9)/dMax,NA()))</f>
        <v>0.132352941176471</v>
      </c>
      <c r="AR9" t="n">
        <v>7</v>
      </c>
      <c r="AS9" s="83">
        <f>IFERROR(COUNTIF(dStn,AR9)/COUNT(dStn),0)</f>
        <v>0.198019801980198</v>
      </c>
      <c r="AT9" s="83" t="n">
        <v>0.12</v>
      </c>
      <c r="BL9" t="str">
        <f>IFERROR(MATCH(SMALL($BJ$70:$BJ$669,7),$BJ$70:$BJ$669,0),"")</f>
        <v/>
      </c>
    </row>
    <row r="10">
      <c r="H10" t="str">
        <f>IFERROR(INDEX(tblY7[Class],ROWS(H$10:H10))&amp;"","")</f>
        <v>7B/Sc2</v>
      </c>
      <c r="I10">
        <f>IF(H10="","",IF(COUNTIF(H$10:H10,H10)=1,COUNTIF(H$10:H$609,"&lt;"&amp;H10)+1,""))</f>
        <v>557</v>
      </c>
      <c r="J10" t="str">
        <f>IFERROR(INDEX(tblY8[Class],ROWS(J$10:J10))&amp;"","")</f>
        <v>8A/Sc2</v>
      </c>
      <c r="K10">
        <f>IF(J10="","",IF(COUNTIF(J$10:J10,J10)=1,COUNTIF(J$10:J$609,"&lt;"&amp;J10)+1,""))</f>
        <v>536</v>
      </c>
      <c r="L10" t="str">
        <f>IFERROR(INDEX(tblY9[Class],ROWS(L$10:L10))&amp;"","")</f>
        <v>9B/Sc1</v>
      </c>
      <c r="M10">
        <f>IF(L10="","",IF(COUNTIF(L$10:L10,L10)=1,COUNTIF(L$10:L$609,"&lt;"&amp;L10)+1,""))</f>
        <v>542</v>
      </c>
      <c r="N10" t="str">
        <f>IFERROR(INDEX(tblY10[Class],ROWS(N$10:N10))&amp;"","")</f>
        <v>10S/Sc3</v>
      </c>
      <c r="O10">
        <f>IF(N10="","",IF(COUNTIF(N$10:N10,N10)=1,COUNTIF(N$10:N$609,"&lt;"&amp;N10)+1,""))</f>
        <v>541</v>
      </c>
      <c r="P10" t="str">
        <f>IFERROR(INDEX(tblY11[Class],ROWS(P$10:P10))&amp;"","")</f>
        <v>11S/Sc4</v>
      </c>
      <c r="Q10">
        <f>IF(P10="","",IF(COUNTIF(P$10:P10,P10)=1,COUNTIF(P$10:P$609,"&lt;"&amp;P10)+1,""))</f>
        <v>570</v>
      </c>
      <c r="S10" t="str">
        <f>IFERROR(INDEX(H$10:H$609,MATCH(SMALL(I$10:I$609,8),I$10:I$609,0)),"")</f>
        <v/>
      </c>
      <c r="T10" t="str">
        <f>IFERROR(INDEX(J$10:J$609,MATCH(SMALL(K$10:K$609,8),K$10:K$609,0)),"")</f>
        <v/>
      </c>
      <c r="U10" t="str">
        <f>IFERROR(INDEX(L$10:L$609,MATCH(SMALL(M$10:M$609,8),M$10:M$609,0)),"")</f>
        <v/>
      </c>
      <c r="V10" t="str">
        <f>IFERROR(INDEX(N$10:N$609,MATCH(SMALL(O$10:O$609,8),O$10:O$609,0)),"")</f>
        <v/>
      </c>
      <c r="W10" t="str">
        <f>IFERROR(INDEX(P$10:P$609,MATCH(SMALL(Q$10:Q$609,8),Q$10:Q$609,0)),"")</f>
        <v/>
      </c>
      <c r="Y10" t="str">
        <f>IFERROR(INDEX($S10:$W10,dYear),"")</f>
        <v/>
      </c>
      <c r="AA10" t="str">
        <f>IFERROR(INDEX(tblAssessments[Test Name],MATCH(SelYear&amp;"|"&amp;8,tblAssessments[Seq Key],0))&amp;"","")</f>
        <v/>
      </c>
      <c r="AB10" t="str">
        <f>IF(AA10="","",IFERROR(INDEX(tblAssessments[Max Marks],MATCH(SelYear&amp;"|"&amp;8,tblAssessments[Seq Key],0)),""))</f>
        <v/>
      </c>
      <c r="AC10" s="82" t="str">
        <f>IF(AA10="","",IFERROR(IF(INDEX(tblAssessments[Date],MATCH(SelYear&amp;"|"&amp;8,tblAssessments[Seq Key],0))="","",INDEX(tblAssessments[Date],MATCH(SelYear&amp;"|"&amp;8,tblAssessments[Seq Key],0))),""))</f>
        <v/>
      </c>
      <c r="AD10" t="str">
        <f>IF(AA10="","",IFERROR(INDEX(tblAssessments[Code],MATCH(SelYear&amp;"|"&amp;8,tblAssessments[Seq Key],0))&amp;"",""))</f>
        <v/>
      </c>
      <c r="AK10" t="str">
        <f>IF(AA10="","",IF(AD10&lt;&gt;"",AD10,LEFT(AA10,14)))</f>
        <v/>
      </c>
      <c r="AL10" t="e">
        <f>IF(AA10="",NA(),IFERROR(AVERAGE(INDEX(dData,0,MATCH(AA10&amp;CHAR(10)&amp;"Stanine",dHdr,0))),NA()))</f>
        <v>#N/A</v>
      </c>
      <c r="AM10" t="e">
        <f>IF(OR(AA10="",SelClass=""),NA(),IFERROR(AVERAGEIFS(INDEX(dData,0,MATCH(AA10&amp;CHAR(10)&amp;"Stanine",dHdr,0)),dClass,SelClass),NA()))</f>
        <v>#N/A</v>
      </c>
      <c r="AO10" t="str">
        <f>Y9</f>
        <v/>
      </c>
      <c r="AP10" s="83" t="e">
        <f>IF(AO10="",NA(),IFERROR(AVERAGEIFS(dRaw,dClass,AO10)/dMax,NA()))</f>
        <v>#N/A</v>
      </c>
      <c r="AR10" t="n">
        <v>8</v>
      </c>
      <c r="AS10" s="83">
        <f>IFERROR(COUNTIF(dStn,AR10)/COUNT(dStn),0)</f>
        <v>0.0693069306930693</v>
      </c>
      <c r="AT10" s="83" t="n">
        <v>0.07000000000000001</v>
      </c>
      <c r="BL10" t="str">
        <f>IFERROR(MATCH(SMALL($BJ$70:$BJ$669,8),$BJ$70:$BJ$669,0),"")</f>
        <v/>
      </c>
    </row>
    <row r="11">
      <c r="H11" t="str">
        <f>IFERROR(INDEX(tblY7[Class],ROWS(H$10:H11))&amp;"","")</f>
        <v>7B/Sc1</v>
      </c>
      <c r="I11">
        <f>IF(H11="","",IF(COUNTIF(H$10:H11,H11)=1,COUNTIF(H$10:H$609,"&lt;"&amp;H11)+1,""))</f>
        <v>530</v>
      </c>
      <c r="J11" t="str">
        <f>IFERROR(INDEX(tblY8[Class],ROWS(J$10:J11))&amp;"","")</f>
        <v>8A/Sc1</v>
      </c>
      <c r="K11">
        <f>IF(J11="","",IF(COUNTIF(J$10:J11,J11)=1,COUNTIF(J$10:J$609,"&lt;"&amp;J11)+1,""))</f>
        <v>508</v>
      </c>
      <c r="L11" t="str">
        <f>IFERROR(INDEX(tblY9[Class],ROWS(L$10:L11))&amp;"","")</f>
        <v>9A/Sc3</v>
      </c>
      <c r="M11">
        <f>IF(L11="","",IF(COUNTIF(L$10:L11,L11)=1,COUNTIF(L$10:L$609,"&lt;"&amp;L11)+1,""))</f>
        <v>523</v>
      </c>
      <c r="N11" t="str">
        <f>IFERROR(INDEX(tblY10[Class],ROWS(N$10:N11))&amp;"","")</f>
        <v>10S/Sc2</v>
      </c>
      <c r="O11">
        <f>IF(N11="","",IF(COUNTIF(N$10:N11,N11)=1,COUNTIF(N$10:N$609,"&lt;"&amp;N11)+1,""))</f>
        <v>513</v>
      </c>
      <c r="P11" t="str">
        <f>IFERROR(INDEX(tblY11[Class],ROWS(P$10:P11))&amp;"","")</f>
        <v>11S/Sc1</v>
      </c>
      <c r="Q11">
        <f>IF(P11="","",IF(COUNTIF(P$10:P11,P11)=1,COUNTIF(P$10:P$609,"&lt;"&amp;P11)+1,""))</f>
        <v>495</v>
      </c>
      <c r="AA11" t="str">
        <f>IFERROR(INDEX(tblAssessments[Test Name],MATCH(SelYear&amp;"|"&amp;9,tblAssessments[Seq Key],0))&amp;"","")</f>
        <v/>
      </c>
      <c r="AB11" t="str">
        <f>IF(AA11="","",IFERROR(INDEX(tblAssessments[Max Marks],MATCH(SelYear&amp;"|"&amp;9,tblAssessments[Seq Key],0)),""))</f>
        <v/>
      </c>
      <c r="AC11" s="82" t="str">
        <f>IF(AA11="","",IFERROR(IF(INDEX(tblAssessments[Date],MATCH(SelYear&amp;"|"&amp;9,tblAssessments[Seq Key],0))="","",INDEX(tblAssessments[Date],MATCH(SelYear&amp;"|"&amp;9,tblAssessments[Seq Key],0))),""))</f>
        <v/>
      </c>
      <c r="AD11" t="str">
        <f>IF(AA11="","",IFERROR(INDEX(tblAssessments[Code],MATCH(SelYear&amp;"|"&amp;9,tblAssessments[Seq Key],0))&amp;"",""))</f>
        <v/>
      </c>
      <c r="AK11" t="str">
        <f>IF(AA11="","",IF(AD11&lt;&gt;"",AD11,LEFT(AA11,14)))</f>
        <v/>
      </c>
      <c r="AL11" t="e">
        <f>IF(AA11="",NA(),IFERROR(AVERAGE(INDEX(dData,0,MATCH(AA11&amp;CHAR(10)&amp;"Stanine",dHdr,0))),NA()))</f>
        <v>#N/A</v>
      </c>
      <c r="AM11" t="e">
        <f>IF(OR(AA11="",SelClass=""),NA(),IFERROR(AVERAGEIFS(INDEX(dData,0,MATCH(AA11&amp;CHAR(10)&amp;"Stanine",dHdr,0)),dClass,SelClass),NA()))</f>
        <v>#N/A</v>
      </c>
      <c r="AO11" t="str">
        <f>Y10</f>
        <v/>
      </c>
      <c r="AP11" s="83" t="e">
        <f>IF(AO11="",NA(),IFERROR(AVERAGEIFS(dRaw,dClass,AO11)/dMax,NA()))</f>
        <v>#N/A</v>
      </c>
      <c r="AR11" t="n">
        <v>9</v>
      </c>
      <c r="AS11" s="83">
        <f>IFERROR(COUNTIF(dStn,AR11)/COUNT(dStn),0)</f>
        <v>0.0396039603960396</v>
      </c>
      <c r="AT11" s="83" t="n">
        <v>0.04</v>
      </c>
      <c r="BL11" t="str">
        <f>IFERROR(MATCH(SMALL($BJ$70:$BJ$669,9),$BJ$70:$BJ$669,0),"")</f>
        <v/>
      </c>
    </row>
    <row r="12">
      <c r="H12" t="str">
        <f>IFERROR(INDEX(tblY7[Class],ROWS(H$10:H12))&amp;"","")</f>
        <v>7A/Sc1</v>
      </c>
      <c r="I12">
        <f>IF(H12="","",IF(COUNTIF(H$10:H12,H12)=1,COUNTIF(H$10:H$609,"&lt;"&amp;H12)+1,""))</f>
        <v>470</v>
      </c>
      <c r="J12" t="str">
        <f>IFERROR(INDEX(tblY8[Class],ROWS(J$10:J12))&amp;"","")</f>
        <v>8A/Sc1</v>
      </c>
      <c r="K12" t="str">
        <f>IF(J12="","",IF(COUNTIF(J$10:J12,J12)=1,COUNTIF(J$10:J$609,"&lt;"&amp;J12)+1,""))</f>
        <v/>
      </c>
      <c r="L12" t="str">
        <f>IFERROR(INDEX(tblY9[Class],ROWS(L$10:L12))&amp;"","")</f>
        <v>9A/Sc2</v>
      </c>
      <c r="M12">
        <f>IF(L12="","",IF(COUNTIF(L$10:L12,L12)=1,COUNTIF(L$10:L$609,"&lt;"&amp;L12)+1,""))</f>
        <v>498</v>
      </c>
      <c r="N12" t="str">
        <f>IFERROR(INDEX(tblY10[Class],ROWS(N$10:N12))&amp;"","")</f>
        <v>10S/Sc2</v>
      </c>
      <c r="O12" t="str">
        <f>IF(N12="","",IF(COUNTIF(N$10:N12,N12)=1,COUNTIF(N$10:N$609,"&lt;"&amp;N12)+1,""))</f>
        <v/>
      </c>
      <c r="P12" t="str">
        <f>IFERROR(INDEX(tblY11[Class],ROWS(P$10:P12))&amp;"","")</f>
        <v>11S/Sc3</v>
      </c>
      <c r="Q12">
        <f>IF(P12="","",IF(COUNTIF(P$10:P12,P12)=1,COUNTIF(P$10:P$609,"&lt;"&amp;P12)+1,""))</f>
        <v>549</v>
      </c>
      <c r="S12">
        <f>COUNT(I$10:I$609)</f>
        <v>5</v>
      </c>
      <c r="T12">
        <f>COUNT(K$10:K$609)</f>
        <v>5</v>
      </c>
      <c r="U12">
        <f>COUNT(M$10:M$609)</f>
        <v>6</v>
      </c>
      <c r="V12">
        <f>COUNT(O$10:O$609)</f>
        <v>6</v>
      </c>
      <c r="W12">
        <f>COUNT(Q$10:Q$609)</f>
        <v>6</v>
      </c>
      <c r="Y12">
        <f>IFERROR(INDEX($S$12:$W$12,dYear),0)</f>
        <v>6</v>
      </c>
      <c r="AA12" t="str">
        <f>IFERROR(INDEX(tblAssessments[Test Name],MATCH(SelYear&amp;"|"&amp;10,tblAssessments[Seq Key],0))&amp;"","")</f>
        <v/>
      </c>
      <c r="AB12" t="str">
        <f>IF(AA12="","",IFERROR(INDEX(tblAssessments[Max Marks],MATCH(SelYear&amp;"|"&amp;10,tblAssessments[Seq Key],0)),""))</f>
        <v/>
      </c>
      <c r="AC12" s="82" t="str">
        <f>IF(AA12="","",IFERROR(IF(INDEX(tblAssessments[Date],MATCH(SelYear&amp;"|"&amp;10,tblAssessments[Seq Key],0))="","",INDEX(tblAssessments[Date],MATCH(SelYear&amp;"|"&amp;10,tblAssessments[Seq Key],0))),""))</f>
        <v/>
      </c>
      <c r="AD12" t="str">
        <f>IF(AA12="","",IFERROR(INDEX(tblAssessments[Code],MATCH(SelYear&amp;"|"&amp;10,tblAssessments[Seq Key],0))&amp;"",""))</f>
        <v/>
      </c>
      <c r="AK12" t="str">
        <f>IF(AA12="","",IF(AD12&lt;&gt;"",AD12,LEFT(AA12,14)))</f>
        <v/>
      </c>
      <c r="AL12" t="e">
        <f>IF(AA12="",NA(),IFERROR(AVERAGE(INDEX(dData,0,MATCH(AA12&amp;CHAR(10)&amp;"Stanine",dHdr,0))),NA()))</f>
        <v>#N/A</v>
      </c>
      <c r="AM12" t="e">
        <f>IF(OR(AA12="",SelClass=""),NA(),IFERROR(AVERAGEIFS(INDEX(dData,0,MATCH(AA12&amp;CHAR(10)&amp;"Stanine",dHdr,0)),dClass,SelClass),NA()))</f>
        <v>#N/A</v>
      </c>
      <c r="BL12" t="str">
        <f>IFERROR(MATCH(SMALL($BJ$70:$BJ$669,10),$BJ$70:$BJ$669,0),"")</f>
        <v/>
      </c>
    </row>
    <row r="13">
      <c r="H13" t="str">
        <f>IFERROR(INDEX(tblY7[Class],ROWS(H$10:H13))&amp;"","")</f>
        <v>7A/Sc1</v>
      </c>
      <c r="I13" t="str">
        <f>IF(H13="","",IF(COUNTIF(H$10:H13,H13)=1,COUNTIF(H$10:H$609,"&lt;"&amp;H13)+1,""))</f>
        <v/>
      </c>
      <c r="J13" t="str">
        <f>IFERROR(INDEX(tblY8[Class],ROWS(J$10:J13))&amp;"","")</f>
        <v>8A/Sc3</v>
      </c>
      <c r="K13">
        <f>IF(J13="","",IF(COUNTIF(J$10:J13,J13)=1,COUNTIF(J$10:J$609,"&lt;"&amp;J13)+1,""))</f>
        <v>561</v>
      </c>
      <c r="L13" t="str">
        <f>IFERROR(INDEX(tblY9[Class],ROWS(L$10:L13))&amp;"","")</f>
        <v>9B/Sc2</v>
      </c>
      <c r="M13">
        <f>IF(L13="","",IF(COUNTIF(L$10:L13,L13)=1,COUNTIF(L$10:L$609,"&lt;"&amp;L13)+1,""))</f>
        <v>569</v>
      </c>
      <c r="N13" t="str">
        <f>IFERROR(INDEX(tblY10[Class],ROWS(N$10:N13))&amp;"","")</f>
        <v>10S/Sc1</v>
      </c>
      <c r="O13">
        <f>IF(N13="","",IF(COUNTIF(N$10:N13,N13)=1,COUNTIF(N$10:N$609,"&lt;"&amp;N13)+1,""))</f>
        <v>484</v>
      </c>
      <c r="P13" t="str">
        <f>IFERROR(INDEX(tblY11[Class],ROWS(P$10:P13))&amp;"","")</f>
        <v>11S/Sc2</v>
      </c>
      <c r="Q13">
        <f>IF(P13="","",IF(COUNTIF(P$10:P13,P13)=1,COUNTIF(P$10:P$609,"&lt;"&amp;P13)+1,""))</f>
        <v>523</v>
      </c>
      <c r="AA13" t="str">
        <f>IFERROR(INDEX(tblAssessments[Test Name],MATCH(SelYear&amp;"|"&amp;11,tblAssessments[Seq Key],0))&amp;"","")</f>
        <v/>
      </c>
      <c r="AB13" t="str">
        <f>IF(AA13="","",IFERROR(INDEX(tblAssessments[Max Marks],MATCH(SelYear&amp;"|"&amp;11,tblAssessments[Seq Key],0)),""))</f>
        <v/>
      </c>
      <c r="AC13" s="82" t="str">
        <f>IF(AA13="","",IFERROR(IF(INDEX(tblAssessments[Date],MATCH(SelYear&amp;"|"&amp;11,tblAssessments[Seq Key],0))="","",INDEX(tblAssessments[Date],MATCH(SelYear&amp;"|"&amp;11,tblAssessments[Seq Key],0))),""))</f>
        <v/>
      </c>
      <c r="AD13" t="str">
        <f>IF(AA13="","",IFERROR(INDEX(tblAssessments[Code],MATCH(SelYear&amp;"|"&amp;11,tblAssessments[Seq Key],0))&amp;"",""))</f>
        <v/>
      </c>
      <c r="AK13" t="str">
        <f>IF(AA13="","",IF(AD13&lt;&gt;"",AD13,LEFT(AA13,14)))</f>
        <v/>
      </c>
      <c r="AL13" t="e">
        <f>IF(AA13="",NA(),IFERROR(AVERAGE(INDEX(dData,0,MATCH(AA13&amp;CHAR(10)&amp;"Stanine",dHdr,0))),NA()))</f>
        <v>#N/A</v>
      </c>
      <c r="AM13" t="e">
        <f>IF(OR(AA13="",SelClass=""),NA(),IFERROR(AVERAGEIFS(INDEX(dData,0,MATCH(AA13&amp;CHAR(10)&amp;"Stanine",dHdr,0)),dClass,SelClass),NA()))</f>
        <v>#N/A</v>
      </c>
      <c r="BL13" t="str">
        <f>IFERROR(MATCH(SMALL($BJ$70:$BJ$669,11),$BJ$70:$BJ$669,0),"")</f>
        <v/>
      </c>
    </row>
    <row r="14">
      <c r="H14" t="str">
        <f>IFERROR(INDEX(tblY7[Class],ROWS(H$10:H14))&amp;"","")</f>
        <v>7A/Sc1</v>
      </c>
      <c r="I14" t="str">
        <f>IF(H14="","",IF(COUNTIF(H$10:H14,H14)=1,COUNTIF(H$10:H$609,"&lt;"&amp;H14)+1,""))</f>
        <v/>
      </c>
      <c r="J14" t="str">
        <f>IFERROR(INDEX(tblY8[Class],ROWS(J$10:J14))&amp;"","")</f>
        <v>8A/Sc3</v>
      </c>
      <c r="K14" t="str">
        <f>IF(J14="","",IF(COUNTIF(J$10:J14,J14)=1,COUNTIF(J$10:J$609,"&lt;"&amp;J14)+1,""))</f>
        <v/>
      </c>
      <c r="L14" t="str">
        <f>IFERROR(INDEX(tblY9[Class],ROWS(L$10:L14))&amp;"","")</f>
        <v>Science Support</v>
      </c>
      <c r="M14">
        <f>IF(L14="","",IF(COUNTIF(L$10:L14,L14)=1,COUNTIF(L$10:L$609,"&lt;"&amp;L14)+1,""))</f>
        <v>598</v>
      </c>
      <c r="N14" t="str">
        <f>IFERROR(INDEX(tblY10[Class],ROWS(N$10:N14))&amp;"","")</f>
        <v>10S/Sc1</v>
      </c>
      <c r="O14" t="str">
        <f>IF(N14="","",IF(COUNTIF(N$10:N14,N14)=1,COUNTIF(N$10:N$609,"&lt;"&amp;N14)+1,""))</f>
        <v/>
      </c>
      <c r="P14" t="str">
        <f>IFERROR(INDEX(tblY11[Class],ROWS(P$10:P14))&amp;"","")</f>
        <v>11S/Sc2</v>
      </c>
      <c r="Q14" t="str">
        <f>IF(P14="","",IF(COUNTIF(P$10:P14,P14)=1,COUNTIF(P$10:P$609,"&lt;"&amp;P14)+1,""))</f>
        <v/>
      </c>
      <c r="AA14" t="str">
        <f>IFERROR(INDEX(tblAssessments[Test Name],MATCH(SelYear&amp;"|"&amp;12,tblAssessments[Seq Key],0))&amp;"","")</f>
        <v/>
      </c>
      <c r="AB14" t="str">
        <f>IF(AA14="","",IFERROR(INDEX(tblAssessments[Max Marks],MATCH(SelYear&amp;"|"&amp;12,tblAssessments[Seq Key],0)),""))</f>
        <v/>
      </c>
      <c r="AC14" s="82" t="str">
        <f>IF(AA14="","",IFERROR(IF(INDEX(tblAssessments[Date],MATCH(SelYear&amp;"|"&amp;12,tblAssessments[Seq Key],0))="","",INDEX(tblAssessments[Date],MATCH(SelYear&amp;"|"&amp;12,tblAssessments[Seq Key],0))),""))</f>
        <v/>
      </c>
      <c r="AD14" t="str">
        <f>IF(AA14="","",IFERROR(INDEX(tblAssessments[Code],MATCH(SelYear&amp;"|"&amp;12,tblAssessments[Seq Key],0))&amp;"",""))</f>
        <v/>
      </c>
      <c r="AK14" t="str">
        <f>IF(AA14="","",IF(AD14&lt;&gt;"",AD14,LEFT(AA14,14)))</f>
        <v/>
      </c>
      <c r="AL14" t="e">
        <f>IF(AA14="",NA(),IFERROR(AVERAGE(INDEX(dData,0,MATCH(AA14&amp;CHAR(10)&amp;"Stanine",dHdr,0))),NA()))</f>
        <v>#N/A</v>
      </c>
      <c r="AM14" t="e">
        <f>IF(OR(AA14="",SelClass=""),NA(),IFERROR(AVERAGEIFS(INDEX(dData,0,MATCH(AA14&amp;CHAR(10)&amp;"Stanine",dHdr,0)),dClass,SelClass),NA()))</f>
        <v>#N/A</v>
      </c>
      <c r="BL14" t="str">
        <f>IFERROR(MATCH(SMALL($BJ$70:$BJ$669,12),$BJ$70:$BJ$669,0),"")</f>
        <v/>
      </c>
    </row>
    <row r="15">
      <c r="H15" t="str">
        <f>IFERROR(INDEX(tblY7[Class],ROWS(H$10:H15))&amp;"","")</f>
        <v>7B/Sc2</v>
      </c>
      <c r="I15" t="str">
        <f>IF(H15="","",IF(COUNTIF(H$10:H15,H15)=1,COUNTIF(H$10:H$609,"&lt;"&amp;H15)+1,""))</f>
        <v/>
      </c>
      <c r="J15" t="str">
        <f>IFERROR(INDEX(tblY8[Class],ROWS(J$10:J15))&amp;"","")</f>
        <v>8A/Sc2</v>
      </c>
      <c r="K15" t="str">
        <f>IF(J15="","",IF(COUNTIF(J$10:J15,J15)=1,COUNTIF(J$10:J$609,"&lt;"&amp;J15)+1,""))</f>
        <v/>
      </c>
      <c r="L15" t="str">
        <f>IFERROR(INDEX(tblY9[Class],ROWS(L$10:L15))&amp;"","")</f>
        <v>9B/Sc2</v>
      </c>
      <c r="M15" t="str">
        <f>IF(L15="","",IF(COUNTIF(L$10:L15,L15)=1,COUNTIF(L$10:L$609,"&lt;"&amp;L15)+1,""))</f>
        <v/>
      </c>
      <c r="N15" t="str">
        <f>IFERROR(INDEX(tblY10[Class],ROWS(N$10:N15))&amp;"","")</f>
        <v>10S/Sc3</v>
      </c>
      <c r="O15" t="str">
        <f>IF(N15="","",IF(COUNTIF(N$10:N15,N15)=1,COUNTIF(N$10:N$609,"&lt;"&amp;N15)+1,""))</f>
        <v/>
      </c>
      <c r="P15" t="str">
        <f>IFERROR(INDEX(tblY11[Class],ROWS(P$10:P15))&amp;"","")</f>
        <v>11S/Sc2</v>
      </c>
      <c r="Q15" t="str">
        <f>IF(P15="","",IF(COUNTIF(P$10:P15,P15)=1,COUNTIF(P$10:P$609,"&lt;"&amp;P15)+1,""))</f>
        <v/>
      </c>
      <c r="AA15" t="str">
        <f>IFERROR(INDEX(tblAssessments[Test Name],MATCH(SelYear&amp;"|"&amp;13,tblAssessments[Seq Key],0))&amp;"","")</f>
        <v/>
      </c>
      <c r="AB15" t="str">
        <f>IF(AA15="","",IFERROR(INDEX(tblAssessments[Max Marks],MATCH(SelYear&amp;"|"&amp;13,tblAssessments[Seq Key],0)),""))</f>
        <v/>
      </c>
      <c r="AC15" s="82" t="str">
        <f>IF(AA15="","",IFERROR(IF(INDEX(tblAssessments[Date],MATCH(SelYear&amp;"|"&amp;13,tblAssessments[Seq Key],0))="","",INDEX(tblAssessments[Date],MATCH(SelYear&amp;"|"&amp;13,tblAssessments[Seq Key],0))),""))</f>
        <v/>
      </c>
      <c r="AD15" t="str">
        <f>IF(AA15="","",IFERROR(INDEX(tblAssessments[Code],MATCH(SelYear&amp;"|"&amp;13,tblAssessments[Seq Key],0))&amp;"",""))</f>
        <v/>
      </c>
      <c r="AK15" t="str">
        <f>IF(AA15="","",IF(AD15&lt;&gt;"",AD15,LEFT(AA15,14)))</f>
        <v/>
      </c>
      <c r="AL15" t="e">
        <f>IF(AA15="",NA(),IFERROR(AVERAGE(INDEX(dData,0,MATCH(AA15&amp;CHAR(10)&amp;"Stanine",dHdr,0))),NA()))</f>
        <v>#N/A</v>
      </c>
      <c r="AM15" t="e">
        <f>IF(OR(AA15="",SelClass=""),NA(),IFERROR(AVERAGEIFS(INDEX(dData,0,MATCH(AA15&amp;CHAR(10)&amp;"Stanine",dHdr,0)),dClass,SelClass),NA()))</f>
        <v>#N/A</v>
      </c>
      <c r="BL15" t="str">
        <f>IFERROR(MATCH(SMALL($BJ$70:$BJ$669,13),$BJ$70:$BJ$669,0),"")</f>
        <v/>
      </c>
    </row>
    <row r="16">
      <c r="H16" t="str">
        <f>IFERROR(INDEX(tblY7[Class],ROWS(H$10:H16))&amp;"","")</f>
        <v>7B/Sc1</v>
      </c>
      <c r="I16" t="str">
        <f>IF(H16="","",IF(COUNTIF(H$10:H16,H16)=1,COUNTIF(H$10:H$609,"&lt;"&amp;H16)+1,""))</f>
        <v/>
      </c>
      <c r="J16" t="str">
        <f>IFERROR(INDEX(tblY8[Class],ROWS(J$10:J16))&amp;"","")</f>
        <v>8A/Sc3</v>
      </c>
      <c r="K16" t="str">
        <f>IF(J16="","",IF(COUNTIF(J$10:J16,J16)=1,COUNTIF(J$10:J$609,"&lt;"&amp;J16)+1,""))</f>
        <v/>
      </c>
      <c r="L16" t="str">
        <f>IFERROR(INDEX(tblY9[Class],ROWS(L$10:L16))&amp;"","")</f>
        <v>9B/Sc2</v>
      </c>
      <c r="M16" t="str">
        <f>IF(L16="","",IF(COUNTIF(L$10:L16,L16)=1,COUNTIF(L$10:L$609,"&lt;"&amp;L16)+1,""))</f>
        <v/>
      </c>
      <c r="N16" t="str">
        <f>IFERROR(INDEX(tblY10[Class],ROWS(N$10:N16))&amp;"","")</f>
        <v>10S/Sc3</v>
      </c>
      <c r="O16" t="str">
        <f>IF(N16="","",IF(COUNTIF(N$10:N16,N16)=1,COUNTIF(N$10:N$609,"&lt;"&amp;N16)+1,""))</f>
        <v/>
      </c>
      <c r="P16" t="str">
        <f>IFERROR(INDEX(tblY11[Class],ROWS(P$10:P16))&amp;"","")</f>
        <v>11S/Sc1</v>
      </c>
      <c r="Q16" t="str">
        <f>IF(P16="","",IF(COUNTIF(P$10:P16,P16)=1,COUNTIF(P$10:P$609,"&lt;"&amp;P16)+1,""))</f>
        <v/>
      </c>
      <c r="AA16" t="str">
        <f>IFERROR(INDEX(tblAssessments[Test Name],MATCH(SelYear&amp;"|"&amp;14,tblAssessments[Seq Key],0))&amp;"","")</f>
        <v/>
      </c>
      <c r="AB16" t="str">
        <f>IF(AA16="","",IFERROR(INDEX(tblAssessments[Max Marks],MATCH(SelYear&amp;"|"&amp;14,tblAssessments[Seq Key],0)),""))</f>
        <v/>
      </c>
      <c r="AC16" s="82" t="str">
        <f>IF(AA16="","",IFERROR(IF(INDEX(tblAssessments[Date],MATCH(SelYear&amp;"|"&amp;14,tblAssessments[Seq Key],0))="","",INDEX(tblAssessments[Date],MATCH(SelYear&amp;"|"&amp;14,tblAssessments[Seq Key],0))),""))</f>
        <v/>
      </c>
      <c r="AD16" t="str">
        <f>IF(AA16="","",IFERROR(INDEX(tblAssessments[Code],MATCH(SelYear&amp;"|"&amp;14,tblAssessments[Seq Key],0))&amp;"",""))</f>
        <v/>
      </c>
      <c r="AK16" t="str">
        <f>IF(AA16="","",IF(AD16&lt;&gt;"",AD16,LEFT(AA16,14)))</f>
        <v/>
      </c>
      <c r="AL16" t="e">
        <f>IF(AA16="",NA(),IFERROR(AVERAGE(INDEX(dData,0,MATCH(AA16&amp;CHAR(10)&amp;"Stanine",dHdr,0))),NA()))</f>
        <v>#N/A</v>
      </c>
      <c r="AM16" t="e">
        <f>IF(OR(AA16="",SelClass=""),NA(),IFERROR(AVERAGEIFS(INDEX(dData,0,MATCH(AA16&amp;CHAR(10)&amp;"Stanine",dHdr,0)),dClass,SelClass),NA()))</f>
        <v>#N/A</v>
      </c>
      <c r="BL16" t="str">
        <f>IFERROR(MATCH(SMALL($BJ$70:$BJ$669,14),$BJ$70:$BJ$669,0),"")</f>
        <v/>
      </c>
    </row>
    <row r="17">
      <c r="H17" t="str">
        <f>IFERROR(INDEX(tblY7[Class],ROWS(H$10:H17))&amp;"","")</f>
        <v>7A/Sc1</v>
      </c>
      <c r="I17" t="str">
        <f>IF(H17="","",IF(COUNTIF(H$10:H17,H17)=1,COUNTIF(H$10:H$609,"&lt;"&amp;H17)+1,""))</f>
        <v/>
      </c>
      <c r="J17" t="str">
        <f>IFERROR(INDEX(tblY8[Class],ROWS(J$10:J17))&amp;"","")</f>
        <v>8A/Sc1</v>
      </c>
      <c r="K17" t="str">
        <f>IF(J17="","",IF(COUNTIF(J$10:J17,J17)=1,COUNTIF(J$10:J$609,"&lt;"&amp;J17)+1,""))</f>
        <v/>
      </c>
      <c r="L17" t="str">
        <f>IFERROR(INDEX(tblY9[Class],ROWS(L$10:L17))&amp;"","")</f>
        <v>9B/Sc1</v>
      </c>
      <c r="M17" t="str">
        <f>IF(L17="","",IF(COUNTIF(L$10:L17,L17)=1,COUNTIF(L$10:L$609,"&lt;"&amp;L17)+1,""))</f>
        <v/>
      </c>
      <c r="N17" t="str">
        <f>IFERROR(INDEX(tblY10[Class],ROWS(N$10:N17))&amp;"","")</f>
        <v>10S/Sc1</v>
      </c>
      <c r="O17" t="str">
        <f>IF(N17="","",IF(COUNTIF(N$10:N17,N17)=1,COUNTIF(N$10:N$609,"&lt;"&amp;N17)+1,""))</f>
        <v/>
      </c>
      <c r="P17" t="str">
        <f>IFERROR(INDEX(tblY11[Class],ROWS(P$10:P17))&amp;"","")</f>
        <v>11S/Sc3</v>
      </c>
      <c r="Q17" t="str">
        <f>IF(P17="","",IF(COUNTIF(P$10:P17,P17)=1,COUNTIF(P$10:P$609,"&lt;"&amp;P17)+1,""))</f>
        <v/>
      </c>
      <c r="AA17" t="str">
        <f>IFERROR(INDEX(tblAssessments[Test Name],MATCH(SelYear&amp;"|"&amp;15,tblAssessments[Seq Key],0))&amp;"","")</f>
        <v/>
      </c>
      <c r="AB17" t="str">
        <f>IF(AA17="","",IFERROR(INDEX(tblAssessments[Max Marks],MATCH(SelYear&amp;"|"&amp;15,tblAssessments[Seq Key],0)),""))</f>
        <v/>
      </c>
      <c r="AC17" s="82" t="str">
        <f>IF(AA17="","",IFERROR(IF(INDEX(tblAssessments[Date],MATCH(SelYear&amp;"|"&amp;15,tblAssessments[Seq Key],0))="","",INDEX(tblAssessments[Date],MATCH(SelYear&amp;"|"&amp;15,tblAssessments[Seq Key],0))),""))</f>
        <v/>
      </c>
      <c r="AD17" t="str">
        <f>IF(AA17="","",IFERROR(INDEX(tblAssessments[Code],MATCH(SelYear&amp;"|"&amp;15,tblAssessments[Seq Key],0))&amp;"",""))</f>
        <v/>
      </c>
      <c r="AK17" t="str">
        <f>IF(AA17="","",IF(AD17&lt;&gt;"",AD17,LEFT(AA17,14)))</f>
        <v/>
      </c>
      <c r="AL17" t="e">
        <f>IF(AA17="",NA(),IFERROR(AVERAGE(INDEX(dData,0,MATCH(AA17&amp;CHAR(10)&amp;"Stanine",dHdr,0))),NA()))</f>
        <v>#N/A</v>
      </c>
      <c r="AM17" t="e">
        <f>IF(OR(AA17="",SelClass=""),NA(),IFERROR(AVERAGEIFS(INDEX(dData,0,MATCH(AA17&amp;CHAR(10)&amp;"Stanine",dHdr,0)),dClass,SelClass),NA()))</f>
        <v>#N/A</v>
      </c>
      <c r="BL17" t="str">
        <f>IFERROR(MATCH(SMALL($BJ$70:$BJ$669,15),$BJ$70:$BJ$669,0),"")</f>
        <v/>
      </c>
    </row>
    <row r="18">
      <c r="H18" t="str">
        <f>IFERROR(INDEX(tblY7[Class],ROWS(H$10:H18))&amp;"","")</f>
        <v>7A/Sc2</v>
      </c>
      <c r="I18">
        <f>IF(H18="","",IF(COUNTIF(H$10:H18,H18)=1,COUNTIF(H$10:H$609,"&lt;"&amp;H18)+1,""))</f>
        <v>500</v>
      </c>
      <c r="J18" t="str">
        <f>IFERROR(INDEX(tblY8[Class],ROWS(J$10:J18))&amp;"","")</f>
        <v>8A/Sc4</v>
      </c>
      <c r="K18">
        <f>IF(J18="","",IF(COUNTIF(J$10:J18,J18)=1,COUNTIF(J$10:J$609,"&lt;"&amp;J18)+1,""))</f>
        <v>583</v>
      </c>
      <c r="L18" t="str">
        <f>IFERROR(INDEX(tblY9[Class],ROWS(L$10:L18))&amp;"","")</f>
        <v>9A/Sc1</v>
      </c>
      <c r="M18">
        <f>IF(L18="","",IF(COUNTIF(L$10:L18,L18)=1,COUNTIF(L$10:L$609,"&lt;"&amp;L18)+1,""))</f>
        <v>476</v>
      </c>
      <c r="N18" t="str">
        <f>IFERROR(INDEX(tblY10[Class],ROWS(N$10:N18))&amp;"","")</f>
        <v>10S/Sc4</v>
      </c>
      <c r="O18">
        <f>IF(N18="","",IF(COUNTIF(N$10:N18,N18)=1,COUNTIF(N$10:N$609,"&lt;"&amp;N18)+1,""))</f>
        <v>564</v>
      </c>
      <c r="P18" t="str">
        <f>IFERROR(INDEX(tblY11[Class],ROWS(P$10:P18))&amp;"","")</f>
        <v>11S/Sc5</v>
      </c>
      <c r="Q18">
        <f>IF(P18="","",IF(COUNTIF(P$10:P18,P18)=1,COUNTIF(P$10:P$609,"&lt;"&amp;P18)+1,""))</f>
        <v>583</v>
      </c>
      <c r="AA18" t="str">
        <f>IFERROR(INDEX(tblAssessments[Test Name],MATCH(SelYear&amp;"|"&amp;16,tblAssessments[Seq Key],0))&amp;"","")</f>
        <v/>
      </c>
      <c r="AB18" t="str">
        <f>IF(AA18="","",IFERROR(INDEX(tblAssessments[Max Marks],MATCH(SelYear&amp;"|"&amp;16,tblAssessments[Seq Key],0)),""))</f>
        <v/>
      </c>
      <c r="AC18" s="82" t="str">
        <f>IF(AA18="","",IFERROR(IF(INDEX(tblAssessments[Date],MATCH(SelYear&amp;"|"&amp;16,tblAssessments[Seq Key],0))="","",INDEX(tblAssessments[Date],MATCH(SelYear&amp;"|"&amp;16,tblAssessments[Seq Key],0))),""))</f>
        <v/>
      </c>
      <c r="AD18" t="str">
        <f>IF(AA18="","",IFERROR(INDEX(tblAssessments[Code],MATCH(SelYear&amp;"|"&amp;16,tblAssessments[Seq Key],0))&amp;"",""))</f>
        <v/>
      </c>
      <c r="AK18" t="str">
        <f>IF(AA18="","",IF(AD18&lt;&gt;"",AD18,LEFT(AA18,14)))</f>
        <v/>
      </c>
      <c r="AL18" t="e">
        <f>IF(AA18="",NA(),IFERROR(AVERAGE(INDEX(dData,0,MATCH(AA18&amp;CHAR(10)&amp;"Stanine",dHdr,0))),NA()))</f>
        <v>#N/A</v>
      </c>
      <c r="AM18" t="e">
        <f>IF(OR(AA18="",SelClass=""),NA(),IFERROR(AVERAGEIFS(INDEX(dData,0,MATCH(AA18&amp;CHAR(10)&amp;"Stanine",dHdr,0)),dClass,SelClass),NA()))</f>
        <v>#N/A</v>
      </c>
      <c r="BL18" t="str">
        <f>IFERROR(MATCH(SMALL($BJ$70:$BJ$669,16),$BJ$70:$BJ$669,0),"")</f>
        <v/>
      </c>
    </row>
    <row r="19">
      <c r="H19" t="str">
        <f>IFERROR(INDEX(tblY7[Class],ROWS(H$10:H19))&amp;"","")</f>
        <v>7A/Sc2</v>
      </c>
      <c r="I19" t="str">
        <f>IF(H19="","",IF(COUNTIF(H$10:H19,H19)=1,COUNTIF(H$10:H$609,"&lt;"&amp;H19)+1,""))</f>
        <v/>
      </c>
      <c r="J19" t="str">
        <f>IFERROR(INDEX(tblY8[Class],ROWS(J$10:J19))&amp;"","")</f>
        <v>8A/Sc2</v>
      </c>
      <c r="K19" t="str">
        <f>IF(J19="","",IF(COUNTIF(J$10:J19,J19)=1,COUNTIF(J$10:J$609,"&lt;"&amp;J19)+1,""))</f>
        <v/>
      </c>
      <c r="L19" t="str">
        <f>IFERROR(INDEX(tblY9[Class],ROWS(L$10:L19))&amp;"","")</f>
        <v>9A/Sc1</v>
      </c>
      <c r="M19" t="str">
        <f>IF(L19="","",IF(COUNTIF(L$10:L19,L19)=1,COUNTIF(L$10:L$609,"&lt;"&amp;L19)+1,""))</f>
        <v/>
      </c>
      <c r="N19" t="str">
        <f>IFERROR(INDEX(tblY10[Class],ROWS(N$10:N19))&amp;"","")</f>
        <v>10S/Sc3</v>
      </c>
      <c r="O19" t="str">
        <f>IF(N19="","",IF(COUNTIF(N$10:N19,N19)=1,COUNTIF(N$10:N$609,"&lt;"&amp;N19)+1,""))</f>
        <v/>
      </c>
      <c r="P19" t="str">
        <f>IFERROR(INDEX(tblY11[Class],ROWS(P$10:P19))&amp;"","")</f>
        <v>11S/Sc5</v>
      </c>
      <c r="Q19" t="str">
        <f>IF(P19="","",IF(COUNTIF(P$10:P19,P19)=1,COUNTIF(P$10:P$609,"&lt;"&amp;P19)+1,""))</f>
        <v/>
      </c>
      <c r="AA19" t="str">
        <f>IFERROR(INDEX(tblAssessments[Test Name],MATCH(SelYear&amp;"|"&amp;17,tblAssessments[Seq Key],0))&amp;"","")</f>
        <v/>
      </c>
      <c r="AB19" t="str">
        <f>IF(AA19="","",IFERROR(INDEX(tblAssessments[Max Marks],MATCH(SelYear&amp;"|"&amp;17,tblAssessments[Seq Key],0)),""))</f>
        <v/>
      </c>
      <c r="AC19" s="82" t="str">
        <f>IF(AA19="","",IFERROR(IF(INDEX(tblAssessments[Date],MATCH(SelYear&amp;"|"&amp;17,tblAssessments[Seq Key],0))="","",INDEX(tblAssessments[Date],MATCH(SelYear&amp;"|"&amp;17,tblAssessments[Seq Key],0))),""))</f>
        <v/>
      </c>
      <c r="AD19" t="str">
        <f>IF(AA19="","",IFERROR(INDEX(tblAssessments[Code],MATCH(SelYear&amp;"|"&amp;17,tblAssessments[Seq Key],0))&amp;"",""))</f>
        <v/>
      </c>
      <c r="AK19" t="str">
        <f>IF(AA19="","",IF(AD19&lt;&gt;"",AD19,LEFT(AA19,14)))</f>
        <v/>
      </c>
      <c r="AL19" t="e">
        <f>IF(AA19="",NA(),IFERROR(AVERAGE(INDEX(dData,0,MATCH(AA19&amp;CHAR(10)&amp;"Stanine",dHdr,0))),NA()))</f>
        <v>#N/A</v>
      </c>
      <c r="AM19" t="e">
        <f>IF(OR(AA19="",SelClass=""),NA(),IFERROR(AVERAGEIFS(INDEX(dData,0,MATCH(AA19&amp;CHAR(10)&amp;"Stanine",dHdr,0)),dClass,SelClass),NA()))</f>
        <v>#N/A</v>
      </c>
      <c r="BL19" t="str">
        <f>IFERROR(MATCH(SMALL($BJ$70:$BJ$669,17),$BJ$70:$BJ$669,0),"")</f>
        <v/>
      </c>
    </row>
    <row r="20">
      <c r="H20" t="str">
        <f>IFERROR(INDEX(tblY7[Class],ROWS(H$10:H20))&amp;"","")</f>
        <v>7A/Sc2</v>
      </c>
      <c r="I20" t="str">
        <f>IF(H20="","",IF(COUNTIF(H$10:H20,H20)=1,COUNTIF(H$10:H$609,"&lt;"&amp;H20)+1,""))</f>
        <v/>
      </c>
      <c r="J20" t="str">
        <f>IFERROR(INDEX(tblY8[Class],ROWS(J$10:J20))&amp;"","")</f>
        <v>8A/Sc1</v>
      </c>
      <c r="K20" t="str">
        <f>IF(J20="","",IF(COUNTIF(J$10:J20,J20)=1,COUNTIF(J$10:J$609,"&lt;"&amp;J20)+1,""))</f>
        <v/>
      </c>
      <c r="L20" t="str">
        <f>IFERROR(INDEX(tblY9[Class],ROWS(L$10:L20))&amp;"","")</f>
        <v>9A/Sc2</v>
      </c>
      <c r="M20" t="str">
        <f>IF(L20="","",IF(COUNTIF(L$10:L20,L20)=1,COUNTIF(L$10:L$609,"&lt;"&amp;L20)+1,""))</f>
        <v/>
      </c>
      <c r="N20" t="str">
        <f>IFERROR(INDEX(tblY10[Class],ROWS(N$10:N20))&amp;"","")</f>
        <v>10S/Sc1</v>
      </c>
      <c r="O20" t="str">
        <f>IF(N20="","",IF(COUNTIF(N$10:N20,N20)=1,COUNTIF(N$10:N$609,"&lt;"&amp;N20)+1,""))</f>
        <v/>
      </c>
      <c r="P20" t="str">
        <f>IFERROR(INDEX(tblY11[Class],ROWS(P$10:P20))&amp;"","")</f>
        <v>11S/Sc1</v>
      </c>
      <c r="Q20" t="str">
        <f>IF(P20="","",IF(COUNTIF(P$10:P20,P20)=1,COUNTIF(P$10:P$609,"&lt;"&amp;P20)+1,""))</f>
        <v/>
      </c>
      <c r="AA20" t="str">
        <f>IFERROR(INDEX(tblAssessments[Test Name],MATCH(SelYear&amp;"|"&amp;18,tblAssessments[Seq Key],0))&amp;"","")</f>
        <v/>
      </c>
      <c r="AB20" t="str">
        <f>IF(AA20="","",IFERROR(INDEX(tblAssessments[Max Marks],MATCH(SelYear&amp;"|"&amp;18,tblAssessments[Seq Key],0)),""))</f>
        <v/>
      </c>
      <c r="AC20" s="82" t="str">
        <f>IF(AA20="","",IFERROR(IF(INDEX(tblAssessments[Date],MATCH(SelYear&amp;"|"&amp;18,tblAssessments[Seq Key],0))="","",INDEX(tblAssessments[Date],MATCH(SelYear&amp;"|"&amp;18,tblAssessments[Seq Key],0))),""))</f>
        <v/>
      </c>
      <c r="AD20" t="str">
        <f>IF(AA20="","",IFERROR(INDEX(tblAssessments[Code],MATCH(SelYear&amp;"|"&amp;18,tblAssessments[Seq Key],0))&amp;"",""))</f>
        <v/>
      </c>
      <c r="AK20" t="str">
        <f>IF(AA20="","",IF(AD20&lt;&gt;"",AD20,LEFT(AA20,14)))</f>
        <v/>
      </c>
      <c r="AL20" t="e">
        <f>IF(AA20="",NA(),IFERROR(AVERAGE(INDEX(dData,0,MATCH(AA20&amp;CHAR(10)&amp;"Stanine",dHdr,0))),NA()))</f>
        <v>#N/A</v>
      </c>
      <c r="AM20" t="e">
        <f>IF(OR(AA20="",SelClass=""),NA(),IFERROR(AVERAGEIFS(INDEX(dData,0,MATCH(AA20&amp;CHAR(10)&amp;"Stanine",dHdr,0)),dClass,SelClass),NA()))</f>
        <v>#N/A</v>
      </c>
      <c r="BL20" t="str">
        <f>IFERROR(MATCH(SMALL($BJ$70:$BJ$669,18),$BJ$70:$BJ$669,0),"")</f>
        <v/>
      </c>
    </row>
    <row r="21">
      <c r="H21" t="str">
        <f>IFERROR(INDEX(tblY7[Class],ROWS(H$10:H21))&amp;"","")</f>
        <v>7B/Sc2</v>
      </c>
      <c r="I21" t="str">
        <f>IF(H21="","",IF(COUNTIF(H$10:H21,H21)=1,COUNTIF(H$10:H$609,"&lt;"&amp;H21)+1,""))</f>
        <v/>
      </c>
      <c r="J21" t="str">
        <f>IFERROR(INDEX(tblY8[Class],ROWS(J$10:J21))&amp;"","")</f>
        <v>8A/Sc3</v>
      </c>
      <c r="K21" t="str">
        <f>IF(J21="","",IF(COUNTIF(J$10:J21,J21)=1,COUNTIF(J$10:J$609,"&lt;"&amp;J21)+1,""))</f>
        <v/>
      </c>
      <c r="L21" t="str">
        <f>IFERROR(INDEX(tblY9[Class],ROWS(L$10:L21))&amp;"","")</f>
        <v>9A/Sc2</v>
      </c>
      <c r="M21" t="str">
        <f>IF(L21="","",IF(COUNTIF(L$10:L21,L21)=1,COUNTIF(L$10:L$609,"&lt;"&amp;L21)+1,""))</f>
        <v/>
      </c>
      <c r="N21" t="str">
        <f>IFERROR(INDEX(tblY10[Class],ROWS(N$10:N21))&amp;"","")</f>
        <v>10S/Sc3</v>
      </c>
      <c r="O21" t="str">
        <f>IF(N21="","",IF(COUNTIF(N$10:N21,N21)=1,COUNTIF(N$10:N$609,"&lt;"&amp;N21)+1,""))</f>
        <v/>
      </c>
      <c r="P21" t="str">
        <f>IFERROR(INDEX(tblY11[Class],ROWS(P$10:P21))&amp;"","")</f>
        <v>11S/Sc4</v>
      </c>
      <c r="Q21" t="str">
        <f>IF(P21="","",IF(COUNTIF(P$10:P21,P21)=1,COUNTIF(P$10:P$609,"&lt;"&amp;P21)+1,""))</f>
        <v/>
      </c>
      <c r="AA21" t="str">
        <f>IFERROR(INDEX(tblAssessments[Test Name],MATCH(SelYear&amp;"|"&amp;19,tblAssessments[Seq Key],0))&amp;"","")</f>
        <v/>
      </c>
      <c r="AB21" t="str">
        <f>IF(AA21="","",IFERROR(INDEX(tblAssessments[Max Marks],MATCH(SelYear&amp;"|"&amp;19,tblAssessments[Seq Key],0)),""))</f>
        <v/>
      </c>
      <c r="AC21" s="82" t="str">
        <f>IF(AA21="","",IFERROR(IF(INDEX(tblAssessments[Date],MATCH(SelYear&amp;"|"&amp;19,tblAssessments[Seq Key],0))="","",INDEX(tblAssessments[Date],MATCH(SelYear&amp;"|"&amp;19,tblAssessments[Seq Key],0))),""))</f>
        <v/>
      </c>
      <c r="AD21" t="str">
        <f>IF(AA21="","",IFERROR(INDEX(tblAssessments[Code],MATCH(SelYear&amp;"|"&amp;19,tblAssessments[Seq Key],0))&amp;"",""))</f>
        <v/>
      </c>
      <c r="AK21" t="str">
        <f>IF(AA21="","",IF(AD21&lt;&gt;"",AD21,LEFT(AA21,14)))</f>
        <v/>
      </c>
      <c r="AL21" t="e">
        <f>IF(AA21="",NA(),IFERROR(AVERAGE(INDEX(dData,0,MATCH(AA21&amp;CHAR(10)&amp;"Stanine",dHdr,0))),NA()))</f>
        <v>#N/A</v>
      </c>
      <c r="AM21" t="e">
        <f>IF(OR(AA21="",SelClass=""),NA(),IFERROR(AVERAGEIFS(INDEX(dData,0,MATCH(AA21&amp;CHAR(10)&amp;"Stanine",dHdr,0)),dClass,SelClass),NA()))</f>
        <v>#N/A</v>
      </c>
      <c r="BL21" t="str">
        <f>IFERROR(MATCH(SMALL($BJ$70:$BJ$669,19),$BJ$70:$BJ$669,0),"")</f>
        <v/>
      </c>
    </row>
    <row r="22">
      <c r="H22" t="str">
        <f>IFERROR(INDEX(tblY7[Class],ROWS(H$10:H22))&amp;"","")</f>
        <v>7A/Sc1</v>
      </c>
      <c r="I22" t="str">
        <f>IF(H22="","",IF(COUNTIF(H$10:H22,H22)=1,COUNTIF(H$10:H$609,"&lt;"&amp;H22)+1,""))</f>
        <v/>
      </c>
      <c r="J22" t="str">
        <f>IFERROR(INDEX(tblY8[Class],ROWS(J$10:J22))&amp;"","")</f>
        <v>8A/Sc4</v>
      </c>
      <c r="K22" t="str">
        <f>IF(J22="","",IF(COUNTIF(J$10:J22,J22)=1,COUNTIF(J$10:J$609,"&lt;"&amp;J22)+1,""))</f>
        <v/>
      </c>
      <c r="L22" t="str">
        <f>IFERROR(INDEX(tblY9[Class],ROWS(L$10:L22))&amp;"","")</f>
        <v>9B/Sc1</v>
      </c>
      <c r="M22" t="str">
        <f>IF(L22="","",IF(COUNTIF(L$10:L22,L22)=1,COUNTIF(L$10:L$609,"&lt;"&amp;L22)+1,""))</f>
        <v/>
      </c>
      <c r="N22" t="str">
        <f>IFERROR(INDEX(tblY10[Class],ROWS(N$10:N22))&amp;"","")</f>
        <v>10S/Sc2</v>
      </c>
      <c r="O22" t="str">
        <f>IF(N22="","",IF(COUNTIF(N$10:N22,N22)=1,COUNTIF(N$10:N$609,"&lt;"&amp;N22)+1,""))</f>
        <v/>
      </c>
      <c r="P22" t="str">
        <f>IFERROR(INDEX(tblY11[Class],ROWS(P$10:P22))&amp;"","")</f>
        <v>Science Support</v>
      </c>
      <c r="Q22">
        <f>IF(P22="","",IF(COUNTIF(P$10:P22,P22)=1,COUNTIF(P$10:P$609,"&lt;"&amp;P22)+1,""))</f>
        <v>596</v>
      </c>
      <c r="AA22" t="str">
        <f>IFERROR(INDEX(tblAssessments[Test Name],MATCH(SelYear&amp;"|"&amp;20,tblAssessments[Seq Key],0))&amp;"","")</f>
        <v/>
      </c>
      <c r="AB22" t="str">
        <f>IF(AA22="","",IFERROR(INDEX(tblAssessments[Max Marks],MATCH(SelYear&amp;"|"&amp;20,tblAssessments[Seq Key],0)),""))</f>
        <v/>
      </c>
      <c r="AC22" s="82" t="str">
        <f>IF(AA22="","",IFERROR(IF(INDEX(tblAssessments[Date],MATCH(SelYear&amp;"|"&amp;20,tblAssessments[Seq Key],0))="","",INDEX(tblAssessments[Date],MATCH(SelYear&amp;"|"&amp;20,tblAssessments[Seq Key],0))),""))</f>
        <v/>
      </c>
      <c r="AD22" t="str">
        <f>IF(AA22="","",IFERROR(INDEX(tblAssessments[Code],MATCH(SelYear&amp;"|"&amp;20,tblAssessments[Seq Key],0))&amp;"",""))</f>
        <v/>
      </c>
      <c r="AK22" t="str">
        <f>IF(AA22="","",IF(AD22&lt;&gt;"",AD22,LEFT(AA22,14)))</f>
        <v/>
      </c>
      <c r="AL22" t="e">
        <f>IF(AA22="",NA(),IFERROR(AVERAGE(INDEX(dData,0,MATCH(AA22&amp;CHAR(10)&amp;"Stanine",dHdr,0))),NA()))</f>
        <v>#N/A</v>
      </c>
      <c r="AM22" t="e">
        <f>IF(OR(AA22="",SelClass=""),NA(),IFERROR(AVERAGEIFS(INDEX(dData,0,MATCH(AA22&amp;CHAR(10)&amp;"Stanine",dHdr,0)),dClass,SelClass),NA()))</f>
        <v>#N/A</v>
      </c>
      <c r="BL22" t="str">
        <f>IFERROR(MATCH(SMALL($BJ$70:$BJ$669,20),$BJ$70:$BJ$669,0),"")</f>
        <v/>
      </c>
    </row>
    <row r="23">
      <c r="H23" t="str">
        <f>IFERROR(INDEX(tblY7[Class],ROWS(H$10:H23))&amp;"","")</f>
        <v>7A/Sc1</v>
      </c>
      <c r="I23" t="str">
        <f>IF(H23="","",IF(COUNTIF(H$10:H23,H23)=1,COUNTIF(H$10:H$609,"&lt;"&amp;H23)+1,""))</f>
        <v/>
      </c>
      <c r="J23" t="str">
        <f>IFERROR(INDEX(tblY8[Class],ROWS(J$10:J23))&amp;"","")</f>
        <v>8A/Sc4</v>
      </c>
      <c r="K23" t="str">
        <f>IF(J23="","",IF(COUNTIF(J$10:J23,J23)=1,COUNTIF(J$10:J$609,"&lt;"&amp;J23)+1,""))</f>
        <v/>
      </c>
      <c r="L23" t="str">
        <f>IFERROR(INDEX(tblY9[Class],ROWS(L$10:L23))&amp;"","")</f>
        <v>9A/Sc2</v>
      </c>
      <c r="M23" t="str">
        <f>IF(L23="","",IF(COUNTIF(L$10:L23,L23)=1,COUNTIF(L$10:L$609,"&lt;"&amp;L23)+1,""))</f>
        <v/>
      </c>
      <c r="N23" t="str">
        <f>IFERROR(INDEX(tblY10[Class],ROWS(N$10:N23))&amp;"","")</f>
        <v>Science Support</v>
      </c>
      <c r="O23">
        <f>IF(N23="","",IF(COUNTIF(N$10:N23,N23)=1,COUNTIF(N$10:N$609,"&lt;"&amp;N23)+1,""))</f>
        <v>598</v>
      </c>
      <c r="P23" t="str">
        <f>IFERROR(INDEX(tblY11[Class],ROWS(P$10:P23))&amp;"","")</f>
        <v>11S/Sc5</v>
      </c>
      <c r="Q23" t="str">
        <f>IF(P23="","",IF(COUNTIF(P$10:P23,P23)=1,COUNTIF(P$10:P$609,"&lt;"&amp;P23)+1,""))</f>
        <v/>
      </c>
      <c r="AA23" t="str">
        <f>IFERROR(INDEX(tblAssessments[Test Name],MATCH(SelYear&amp;"|"&amp;21,tblAssessments[Seq Key],0))&amp;"","")</f>
        <v/>
      </c>
      <c r="AB23" t="str">
        <f>IF(AA23="","",IFERROR(INDEX(tblAssessments[Max Marks],MATCH(SelYear&amp;"|"&amp;21,tblAssessments[Seq Key],0)),""))</f>
        <v/>
      </c>
      <c r="AC23" s="82" t="str">
        <f>IF(AA23="","",IFERROR(IF(INDEX(tblAssessments[Date],MATCH(SelYear&amp;"|"&amp;21,tblAssessments[Seq Key],0))="","",INDEX(tblAssessments[Date],MATCH(SelYear&amp;"|"&amp;21,tblAssessments[Seq Key],0))),""))</f>
        <v/>
      </c>
      <c r="AD23" t="str">
        <f>IF(AA23="","",IFERROR(INDEX(tblAssessments[Code],MATCH(SelYear&amp;"|"&amp;21,tblAssessments[Seq Key],0))&amp;"",""))</f>
        <v/>
      </c>
      <c r="AK23" t="str">
        <f>IF(AA23="","",IF(AD23&lt;&gt;"",AD23,LEFT(AA23,14)))</f>
        <v/>
      </c>
      <c r="AL23" t="e">
        <f>IF(AA23="",NA(),IFERROR(AVERAGE(INDEX(dData,0,MATCH(AA23&amp;CHAR(10)&amp;"Stanine",dHdr,0))),NA()))</f>
        <v>#N/A</v>
      </c>
      <c r="AM23" t="e">
        <f>IF(OR(AA23="",SelClass=""),NA(),IFERROR(AVERAGEIFS(INDEX(dData,0,MATCH(AA23&amp;CHAR(10)&amp;"Stanine",dHdr,0)),dClass,SelClass),NA()))</f>
        <v>#N/A</v>
      </c>
      <c r="BL23" t="str">
        <f>IFERROR(MATCH(SMALL($BJ$70:$BJ$669,21),$BJ$70:$BJ$669,0),"")</f>
        <v/>
      </c>
    </row>
    <row r="24">
      <c r="H24" t="str">
        <f>IFERROR(INDEX(tblY7[Class],ROWS(H$10:H24))&amp;"","")</f>
        <v>7B/Sc1</v>
      </c>
      <c r="I24" t="str">
        <f>IF(H24="","",IF(COUNTIF(H$10:H24,H24)=1,COUNTIF(H$10:H$609,"&lt;"&amp;H24)+1,""))</f>
        <v/>
      </c>
      <c r="J24" t="str">
        <f>IFERROR(INDEX(tblY8[Class],ROWS(J$10:J24))&amp;"","")</f>
        <v>8A/Sc2</v>
      </c>
      <c r="K24" t="str">
        <f>IF(J24="","",IF(COUNTIF(J$10:J24,J24)=1,COUNTIF(J$10:J$609,"&lt;"&amp;J24)+1,""))</f>
        <v/>
      </c>
      <c r="L24" t="str">
        <f>IFERROR(INDEX(tblY9[Class],ROWS(L$10:L24))&amp;"","")</f>
        <v>9B/Sc2</v>
      </c>
      <c r="M24" t="str">
        <f>IF(L24="","",IF(COUNTIF(L$10:L24,L24)=1,COUNTIF(L$10:L$609,"&lt;"&amp;L24)+1,""))</f>
        <v/>
      </c>
      <c r="N24" t="str">
        <f>IFERROR(INDEX(tblY10[Class],ROWS(N$10:N24))&amp;"","")</f>
        <v>10S/Sc5</v>
      </c>
      <c r="O24">
        <f>IF(N24="","",IF(COUNTIF(N$10:N24,N24)=1,COUNTIF(N$10:N$609,"&lt;"&amp;N24)+1,""))</f>
        <v>586</v>
      </c>
      <c r="P24" t="str">
        <f>IFERROR(INDEX(tblY11[Class],ROWS(P$10:P24))&amp;"","")</f>
        <v>11S/Sc2</v>
      </c>
      <c r="Q24" t="str">
        <f>IF(P24="","",IF(COUNTIF(P$10:P24,P24)=1,COUNTIF(P$10:P$609,"&lt;"&amp;P24)+1,""))</f>
        <v/>
      </c>
      <c r="AA24" t="str">
        <f>IFERROR(INDEX(tblAssessments[Test Name],MATCH(SelYear&amp;"|"&amp;22,tblAssessments[Seq Key],0))&amp;"","")</f>
        <v/>
      </c>
      <c r="AB24" t="str">
        <f>IF(AA24="","",IFERROR(INDEX(tblAssessments[Max Marks],MATCH(SelYear&amp;"|"&amp;22,tblAssessments[Seq Key],0)),""))</f>
        <v/>
      </c>
      <c r="AC24" s="82" t="str">
        <f>IF(AA24="","",IFERROR(IF(INDEX(tblAssessments[Date],MATCH(SelYear&amp;"|"&amp;22,tblAssessments[Seq Key],0))="","",INDEX(tblAssessments[Date],MATCH(SelYear&amp;"|"&amp;22,tblAssessments[Seq Key],0))),""))</f>
        <v/>
      </c>
      <c r="AD24" t="str">
        <f>IF(AA24="","",IFERROR(INDEX(tblAssessments[Code],MATCH(SelYear&amp;"|"&amp;22,tblAssessments[Seq Key],0))&amp;"",""))</f>
        <v/>
      </c>
      <c r="AK24" t="str">
        <f>IF(AA24="","",IF(AD24&lt;&gt;"",AD24,LEFT(AA24,14)))</f>
        <v/>
      </c>
      <c r="AL24" t="e">
        <f>IF(AA24="",NA(),IFERROR(AVERAGE(INDEX(dData,0,MATCH(AA24&amp;CHAR(10)&amp;"Stanine",dHdr,0))),NA()))</f>
        <v>#N/A</v>
      </c>
      <c r="AM24" t="e">
        <f>IF(OR(AA24="",SelClass=""),NA(),IFERROR(AVERAGEIFS(INDEX(dData,0,MATCH(AA24&amp;CHAR(10)&amp;"Stanine",dHdr,0)),dClass,SelClass),NA()))</f>
        <v>#N/A</v>
      </c>
      <c r="BL24" t="str">
        <f>IFERROR(MATCH(SMALL($BJ$70:$BJ$669,22),$BJ$70:$BJ$669,0),"")</f>
        <v/>
      </c>
    </row>
    <row r="25">
      <c r="H25" t="str">
        <f>IFERROR(INDEX(tblY7[Class],ROWS(H$10:H25))&amp;"","")</f>
        <v>7B/Sc2</v>
      </c>
      <c r="I25" t="str">
        <f>IF(H25="","",IF(COUNTIF(H$10:H25,H25)=1,COUNTIF(H$10:H$609,"&lt;"&amp;H25)+1,""))</f>
        <v/>
      </c>
      <c r="J25" t="str">
        <f>IFERROR(INDEX(tblY8[Class],ROWS(J$10:J25))&amp;"","")</f>
        <v>8A/Sc2</v>
      </c>
      <c r="K25" t="str">
        <f>IF(J25="","",IF(COUNTIF(J$10:J25,J25)=1,COUNTIF(J$10:J$609,"&lt;"&amp;J25)+1,""))</f>
        <v/>
      </c>
      <c r="L25" t="str">
        <f>IFERROR(INDEX(tblY9[Class],ROWS(L$10:L25))&amp;"","")</f>
        <v>9B/Sc1</v>
      </c>
      <c r="M25" t="str">
        <f>IF(L25="","",IF(COUNTIF(L$10:L25,L25)=1,COUNTIF(L$10:L$609,"&lt;"&amp;L25)+1,""))</f>
        <v/>
      </c>
      <c r="N25" t="str">
        <f>IFERROR(INDEX(tblY10[Class],ROWS(N$10:N25))&amp;"","")</f>
        <v>10S/Sc3</v>
      </c>
      <c r="O25" t="str">
        <f>IF(N25="","",IF(COUNTIF(N$10:N25,N25)=1,COUNTIF(N$10:N$609,"&lt;"&amp;N25)+1,""))</f>
        <v/>
      </c>
      <c r="P25" t="str">
        <f>IFERROR(INDEX(tblY11[Class],ROWS(P$10:P25))&amp;"","")</f>
        <v>11S/Sc2</v>
      </c>
      <c r="Q25" t="str">
        <f>IF(P25="","",IF(COUNTIF(P$10:P25,P25)=1,COUNTIF(P$10:P$609,"&lt;"&amp;P25)+1,""))</f>
        <v/>
      </c>
      <c r="AA25" t="str">
        <f>IFERROR(INDEX(tblAssessments[Test Name],MATCH(SelYear&amp;"|"&amp;23,tblAssessments[Seq Key],0))&amp;"","")</f>
        <v/>
      </c>
      <c r="AB25" t="str">
        <f>IF(AA25="","",IFERROR(INDEX(tblAssessments[Max Marks],MATCH(SelYear&amp;"|"&amp;23,tblAssessments[Seq Key],0)),""))</f>
        <v/>
      </c>
      <c r="AC25" s="82" t="str">
        <f>IF(AA25="","",IFERROR(IF(INDEX(tblAssessments[Date],MATCH(SelYear&amp;"|"&amp;23,tblAssessments[Seq Key],0))="","",INDEX(tblAssessments[Date],MATCH(SelYear&amp;"|"&amp;23,tblAssessments[Seq Key],0))),""))</f>
        <v/>
      </c>
      <c r="AD25" t="str">
        <f>IF(AA25="","",IFERROR(INDEX(tblAssessments[Code],MATCH(SelYear&amp;"|"&amp;23,tblAssessments[Seq Key],0))&amp;"",""))</f>
        <v/>
      </c>
      <c r="AK25" t="str">
        <f>IF(AA25="","",IF(AD25&lt;&gt;"",AD25,LEFT(AA25,14)))</f>
        <v/>
      </c>
      <c r="AL25" t="e">
        <f>IF(AA25="",NA(),IFERROR(AVERAGE(INDEX(dData,0,MATCH(AA25&amp;CHAR(10)&amp;"Stanine",dHdr,0))),NA()))</f>
        <v>#N/A</v>
      </c>
      <c r="AM25" t="e">
        <f>IF(OR(AA25="",SelClass=""),NA(),IFERROR(AVERAGEIFS(INDEX(dData,0,MATCH(AA25&amp;CHAR(10)&amp;"Stanine",dHdr,0)),dClass,SelClass),NA()))</f>
        <v>#N/A</v>
      </c>
      <c r="BL25" t="str">
        <f>IFERROR(MATCH(SMALL($BJ$70:$BJ$669,23),$BJ$70:$BJ$669,0),"")</f>
        <v/>
      </c>
    </row>
    <row r="26">
      <c r="H26" t="str">
        <f>IFERROR(INDEX(tblY7[Class],ROWS(H$10:H26))&amp;"","")</f>
        <v>7B/Sc3</v>
      </c>
      <c r="I26">
        <f>IF(H26="","",IF(COUNTIF(H$10:H26,H26)=1,COUNTIF(H$10:H$609,"&lt;"&amp;H26)+1,""))</f>
        <v>583</v>
      </c>
      <c r="J26" t="str">
        <f>IFERROR(INDEX(tblY8[Class],ROWS(J$10:J26))&amp;"","")</f>
        <v>8A/Sc4</v>
      </c>
      <c r="K26" t="str">
        <f>IF(J26="","",IF(COUNTIF(J$10:J26,J26)=1,COUNTIF(J$10:J$609,"&lt;"&amp;J26)+1,""))</f>
        <v/>
      </c>
      <c r="L26" t="str">
        <f>IFERROR(INDEX(tblY9[Class],ROWS(L$10:L26))&amp;"","")</f>
        <v>9A/Sc2</v>
      </c>
      <c r="M26" t="str">
        <f>IF(L26="","",IF(COUNTIF(L$10:L26,L26)=1,COUNTIF(L$10:L$609,"&lt;"&amp;L26)+1,""))</f>
        <v/>
      </c>
      <c r="N26" t="str">
        <f>IFERROR(INDEX(tblY10[Class],ROWS(N$10:N26))&amp;"","")</f>
        <v>10S/Sc1</v>
      </c>
      <c r="O26" t="str">
        <f>IF(N26="","",IF(COUNTIF(N$10:N26,N26)=1,COUNTIF(N$10:N$609,"&lt;"&amp;N26)+1,""))</f>
        <v/>
      </c>
      <c r="P26" t="str">
        <f>IFERROR(INDEX(tblY11[Class],ROWS(P$10:P26))&amp;"","")</f>
        <v>11S/Sc4</v>
      </c>
      <c r="Q26" t="str">
        <f>IF(P26="","",IF(COUNTIF(P$10:P26,P26)=1,COUNTIF(P$10:P$609,"&lt;"&amp;P26)+1,""))</f>
        <v/>
      </c>
      <c r="AA26" t="str">
        <f>IFERROR(INDEX(tblAssessments[Test Name],MATCH(SelYear&amp;"|"&amp;24,tblAssessments[Seq Key],0))&amp;"","")</f>
        <v/>
      </c>
      <c r="AB26" t="str">
        <f>IF(AA26="","",IFERROR(INDEX(tblAssessments[Max Marks],MATCH(SelYear&amp;"|"&amp;24,tblAssessments[Seq Key],0)),""))</f>
        <v/>
      </c>
      <c r="AC26" s="82" t="str">
        <f>IF(AA26="","",IFERROR(IF(INDEX(tblAssessments[Date],MATCH(SelYear&amp;"|"&amp;24,tblAssessments[Seq Key],0))="","",INDEX(tblAssessments[Date],MATCH(SelYear&amp;"|"&amp;24,tblAssessments[Seq Key],0))),""))</f>
        <v/>
      </c>
      <c r="AD26" t="str">
        <f>IF(AA26="","",IFERROR(INDEX(tblAssessments[Code],MATCH(SelYear&amp;"|"&amp;24,tblAssessments[Seq Key],0))&amp;"",""))</f>
        <v/>
      </c>
      <c r="AK26" t="str">
        <f>IF(AA26="","",IF(AD26&lt;&gt;"",AD26,LEFT(AA26,14)))</f>
        <v/>
      </c>
      <c r="AL26" t="e">
        <f>IF(AA26="",NA(),IFERROR(AVERAGE(INDEX(dData,0,MATCH(AA26&amp;CHAR(10)&amp;"Stanine",dHdr,0))),NA()))</f>
        <v>#N/A</v>
      </c>
      <c r="AM26" t="e">
        <f>IF(OR(AA26="",SelClass=""),NA(),IFERROR(AVERAGEIFS(INDEX(dData,0,MATCH(AA26&amp;CHAR(10)&amp;"Stanine",dHdr,0)),dClass,SelClass),NA()))</f>
        <v>#N/A</v>
      </c>
      <c r="BL26" t="str">
        <f>IFERROR(MATCH(SMALL($BJ$70:$BJ$669,24),$BJ$70:$BJ$669,0),"")</f>
        <v/>
      </c>
    </row>
    <row r="27">
      <c r="H27" t="str">
        <f>IFERROR(INDEX(tblY7[Class],ROWS(H$10:H27))&amp;"","")</f>
        <v>7A/Sc1</v>
      </c>
      <c r="I27" t="str">
        <f>IF(H27="","",IF(COUNTIF(H$10:H27,H27)=1,COUNTIF(H$10:H$609,"&lt;"&amp;H27)+1,""))</f>
        <v/>
      </c>
      <c r="J27" t="str">
        <f>IFERROR(INDEX(tblY8[Class],ROWS(J$10:J27))&amp;"","")</f>
        <v>8A/Sc1</v>
      </c>
      <c r="K27" t="str">
        <f>IF(J27="","",IF(COUNTIF(J$10:J27,J27)=1,COUNTIF(J$10:J$609,"&lt;"&amp;J27)+1,""))</f>
        <v/>
      </c>
      <c r="L27" t="str">
        <f>IFERROR(INDEX(tblY9[Class],ROWS(L$10:L27))&amp;"","")</f>
        <v>9A/Sc1</v>
      </c>
      <c r="M27" t="str">
        <f>IF(L27="","",IF(COUNTIF(L$10:L27,L27)=1,COUNTIF(L$10:L$609,"&lt;"&amp;L27)+1,""))</f>
        <v/>
      </c>
      <c r="N27" t="str">
        <f>IFERROR(INDEX(tblY10[Class],ROWS(N$10:N27))&amp;"","")</f>
        <v>10S/Sc2</v>
      </c>
      <c r="O27" t="str">
        <f>IF(N27="","",IF(COUNTIF(N$10:N27,N27)=1,COUNTIF(N$10:N$609,"&lt;"&amp;N27)+1,""))</f>
        <v/>
      </c>
      <c r="P27" t="str">
        <f>IFERROR(INDEX(tblY11[Class],ROWS(P$10:P27))&amp;"","")</f>
        <v>11S/Sc2</v>
      </c>
      <c r="Q27" t="str">
        <f>IF(P27="","",IF(COUNTIF(P$10:P27,P27)=1,COUNTIF(P$10:P$609,"&lt;"&amp;P27)+1,""))</f>
        <v/>
      </c>
      <c r="AA27" t="str">
        <f>IFERROR(INDEX(tblAssessments[Test Name],MATCH(SelYear&amp;"|"&amp;25,tblAssessments[Seq Key],0))&amp;"","")</f>
        <v/>
      </c>
      <c r="AB27" t="str">
        <f>IF(AA27="","",IFERROR(INDEX(tblAssessments[Max Marks],MATCH(SelYear&amp;"|"&amp;25,tblAssessments[Seq Key],0)),""))</f>
        <v/>
      </c>
      <c r="AC27" s="82" t="str">
        <f>IF(AA27="","",IFERROR(IF(INDEX(tblAssessments[Date],MATCH(SelYear&amp;"|"&amp;25,tblAssessments[Seq Key],0))="","",INDEX(tblAssessments[Date],MATCH(SelYear&amp;"|"&amp;25,tblAssessments[Seq Key],0))),""))</f>
        <v/>
      </c>
      <c r="AD27" t="str">
        <f>IF(AA27="","",IFERROR(INDEX(tblAssessments[Code],MATCH(SelYear&amp;"|"&amp;25,tblAssessments[Seq Key],0))&amp;"",""))</f>
        <v/>
      </c>
      <c r="AK27" t="str">
        <f>IF(AA27="","",IF(AD27&lt;&gt;"",AD27,LEFT(AA27,14)))</f>
        <v/>
      </c>
      <c r="AL27" t="e">
        <f>IF(AA27="",NA(),IFERROR(AVERAGE(INDEX(dData,0,MATCH(AA27&amp;CHAR(10)&amp;"Stanine",dHdr,0))),NA()))</f>
        <v>#N/A</v>
      </c>
      <c r="AM27" t="e">
        <f>IF(OR(AA27="",SelClass=""),NA(),IFERROR(AVERAGEIFS(INDEX(dData,0,MATCH(AA27&amp;CHAR(10)&amp;"Stanine",dHdr,0)),dClass,SelClass),NA()))</f>
        <v>#N/A</v>
      </c>
      <c r="BL27" t="str">
        <f>IFERROR(MATCH(SMALL($BJ$70:$BJ$669,25),$BJ$70:$BJ$669,0),"")</f>
        <v/>
      </c>
    </row>
    <row r="28">
      <c r="H28" t="str">
        <f>IFERROR(INDEX(tblY7[Class],ROWS(H$10:H28))&amp;"","")</f>
        <v>7B/Sc1</v>
      </c>
      <c r="I28" t="str">
        <f>IF(H28="","",IF(COUNTIF(H$10:H28,H28)=1,COUNTIF(H$10:H$609,"&lt;"&amp;H28)+1,""))</f>
        <v/>
      </c>
      <c r="J28" t="str">
        <f>IFERROR(INDEX(tblY8[Class],ROWS(J$10:J28))&amp;"","")</f>
        <v>8A/Sc3</v>
      </c>
      <c r="K28" t="str">
        <f>IF(J28="","",IF(COUNTIF(J$10:J28,J28)=1,COUNTIF(J$10:J$609,"&lt;"&amp;J28)+1,""))</f>
        <v/>
      </c>
      <c r="L28" t="str">
        <f>IFERROR(INDEX(tblY9[Class],ROWS(L$10:L28))&amp;"","")</f>
        <v>9B/Sc1</v>
      </c>
      <c r="M28" t="str">
        <f>IF(L28="","",IF(COUNTIF(L$10:L28,L28)=1,COUNTIF(L$10:L$609,"&lt;"&amp;L28)+1,""))</f>
        <v/>
      </c>
      <c r="N28" t="str">
        <f>IFERROR(INDEX(tblY10[Class],ROWS(N$10:N28))&amp;"","")</f>
        <v>10S/Sc2</v>
      </c>
      <c r="O28" t="str">
        <f>IF(N28="","",IF(COUNTIF(N$10:N28,N28)=1,COUNTIF(N$10:N$609,"&lt;"&amp;N28)+1,""))</f>
        <v/>
      </c>
      <c r="P28" t="str">
        <f>IFERROR(INDEX(tblY11[Class],ROWS(P$10:P28))&amp;"","")</f>
        <v>11S/Sc3</v>
      </c>
      <c r="Q28" t="str">
        <f>IF(P28="","",IF(COUNTIF(P$10:P28,P28)=1,COUNTIF(P$10:P$609,"&lt;"&amp;P28)+1,""))</f>
        <v/>
      </c>
      <c r="AA28" t="str">
        <f>IFERROR(INDEX(tblAssessments[Test Name],MATCH(SelYear&amp;"|"&amp;26,tblAssessments[Seq Key],0))&amp;"","")</f>
        <v/>
      </c>
      <c r="AB28" t="str">
        <f>IF(AA28="","",IFERROR(INDEX(tblAssessments[Max Marks],MATCH(SelYear&amp;"|"&amp;26,tblAssessments[Seq Key],0)),""))</f>
        <v/>
      </c>
      <c r="AC28" s="82" t="str">
        <f>IF(AA28="","",IFERROR(IF(INDEX(tblAssessments[Date],MATCH(SelYear&amp;"|"&amp;26,tblAssessments[Seq Key],0))="","",INDEX(tblAssessments[Date],MATCH(SelYear&amp;"|"&amp;26,tblAssessments[Seq Key],0))),""))</f>
        <v/>
      </c>
      <c r="AD28" t="str">
        <f>IF(AA28="","",IFERROR(INDEX(tblAssessments[Code],MATCH(SelYear&amp;"|"&amp;26,tblAssessments[Seq Key],0))&amp;"",""))</f>
        <v/>
      </c>
      <c r="AK28" t="str">
        <f>IF(AA28="","",IF(AD28&lt;&gt;"",AD28,LEFT(AA28,14)))</f>
        <v/>
      </c>
      <c r="AL28" t="e">
        <f>IF(AA28="",NA(),IFERROR(AVERAGE(INDEX(dData,0,MATCH(AA28&amp;CHAR(10)&amp;"Stanine",dHdr,0))),NA()))</f>
        <v>#N/A</v>
      </c>
      <c r="AM28" t="e">
        <f>IF(OR(AA28="",SelClass=""),NA(),IFERROR(AVERAGEIFS(INDEX(dData,0,MATCH(AA28&amp;CHAR(10)&amp;"Stanine",dHdr,0)),dClass,SelClass),NA()))</f>
        <v>#N/A</v>
      </c>
      <c r="BL28" t="str">
        <f>IFERROR(MATCH(SMALL($BJ$70:$BJ$669,26),$BJ$70:$BJ$669,0),"")</f>
        <v/>
      </c>
    </row>
    <row r="29">
      <c r="H29" t="str">
        <f>IFERROR(INDEX(tblY7[Class],ROWS(H$10:H29))&amp;"","")</f>
        <v>7B/Sc2</v>
      </c>
      <c r="I29" t="str">
        <f>IF(H29="","",IF(COUNTIF(H$10:H29,H29)=1,COUNTIF(H$10:H$609,"&lt;"&amp;H29)+1,""))</f>
        <v/>
      </c>
      <c r="J29" t="str">
        <f>IFERROR(INDEX(tblY8[Class],ROWS(J$10:J29))&amp;"","")</f>
        <v>8A/Sc4</v>
      </c>
      <c r="K29" t="str">
        <f>IF(J29="","",IF(COUNTIF(J$10:J29,J29)=1,COUNTIF(J$10:J$609,"&lt;"&amp;J29)+1,""))</f>
        <v/>
      </c>
      <c r="L29" t="str">
        <f>IFERROR(INDEX(tblY9[Class],ROWS(L$10:L29))&amp;"","")</f>
        <v>9B/Sc1</v>
      </c>
      <c r="M29" t="str">
        <f>IF(L29="","",IF(COUNTIF(L$10:L29,L29)=1,COUNTIF(L$10:L$609,"&lt;"&amp;L29)+1,""))</f>
        <v/>
      </c>
      <c r="N29" t="str">
        <f>IFERROR(INDEX(tblY10[Class],ROWS(N$10:N29))&amp;"","")</f>
        <v>10S/Sc4</v>
      </c>
      <c r="O29" t="str">
        <f>IF(N29="","",IF(COUNTIF(N$10:N29,N29)=1,COUNTIF(N$10:N$609,"&lt;"&amp;N29)+1,""))</f>
        <v/>
      </c>
      <c r="P29" t="str">
        <f>IFERROR(INDEX(tblY11[Class],ROWS(P$10:P29))&amp;"","")</f>
        <v>11S/Sc2</v>
      </c>
      <c r="Q29" t="str">
        <f>IF(P29="","",IF(COUNTIF(P$10:P29,P29)=1,COUNTIF(P$10:P$609,"&lt;"&amp;P29)+1,""))</f>
        <v/>
      </c>
      <c r="AA29" t="str">
        <f>IFERROR(INDEX(tblAssessments[Test Name],MATCH(SelYear&amp;"|"&amp;27,tblAssessments[Seq Key],0))&amp;"","")</f>
        <v/>
      </c>
      <c r="AB29" t="str">
        <f>IF(AA29="","",IFERROR(INDEX(tblAssessments[Max Marks],MATCH(SelYear&amp;"|"&amp;27,tblAssessments[Seq Key],0)),""))</f>
        <v/>
      </c>
      <c r="AC29" s="82" t="str">
        <f>IF(AA29="","",IFERROR(IF(INDEX(tblAssessments[Date],MATCH(SelYear&amp;"|"&amp;27,tblAssessments[Seq Key],0))="","",INDEX(tblAssessments[Date],MATCH(SelYear&amp;"|"&amp;27,tblAssessments[Seq Key],0))),""))</f>
        <v/>
      </c>
      <c r="AD29" t="str">
        <f>IF(AA29="","",IFERROR(INDEX(tblAssessments[Code],MATCH(SelYear&amp;"|"&amp;27,tblAssessments[Seq Key],0))&amp;"",""))</f>
        <v/>
      </c>
      <c r="AK29" t="str">
        <f>IF(AA29="","",IF(AD29&lt;&gt;"",AD29,LEFT(AA29,14)))</f>
        <v/>
      </c>
      <c r="AL29" t="e">
        <f>IF(AA29="",NA(),IFERROR(AVERAGE(INDEX(dData,0,MATCH(AA29&amp;CHAR(10)&amp;"Stanine",dHdr,0))),NA()))</f>
        <v>#N/A</v>
      </c>
      <c r="AM29" t="e">
        <f>IF(OR(AA29="",SelClass=""),NA(),IFERROR(AVERAGEIFS(INDEX(dData,0,MATCH(AA29&amp;CHAR(10)&amp;"Stanine",dHdr,0)),dClass,SelClass),NA()))</f>
        <v>#N/A</v>
      </c>
      <c r="BL29" t="str">
        <f>IFERROR(MATCH(SMALL($BJ$70:$BJ$669,27),$BJ$70:$BJ$669,0),"")</f>
        <v/>
      </c>
    </row>
    <row r="30">
      <c r="H30" t="str">
        <f>IFERROR(INDEX(tblY7[Class],ROWS(H$10:H30))&amp;"","")</f>
        <v>7B/Sc2</v>
      </c>
      <c r="I30" t="str">
        <f>IF(H30="","",IF(COUNTIF(H$10:H30,H30)=1,COUNTIF(H$10:H$609,"&lt;"&amp;H30)+1,""))</f>
        <v/>
      </c>
      <c r="J30" t="str">
        <f>IFERROR(INDEX(tblY8[Class],ROWS(J$10:J30))&amp;"","")</f>
        <v>8A/Sc3</v>
      </c>
      <c r="K30" t="str">
        <f>IF(J30="","",IF(COUNTIF(J$10:J30,J30)=1,COUNTIF(J$10:J$609,"&lt;"&amp;J30)+1,""))</f>
        <v/>
      </c>
      <c r="L30" t="str">
        <f>IFERROR(INDEX(tblY9[Class],ROWS(L$10:L30))&amp;"","")</f>
        <v>9A/Sc2</v>
      </c>
      <c r="M30" t="str">
        <f>IF(L30="","",IF(COUNTIF(L$10:L30,L30)=1,COUNTIF(L$10:L$609,"&lt;"&amp;L30)+1,""))</f>
        <v/>
      </c>
      <c r="N30" t="str">
        <f>IFERROR(INDEX(tblY10[Class],ROWS(N$10:N30))&amp;"","")</f>
        <v>10S/Sc3</v>
      </c>
      <c r="O30" t="str">
        <f>IF(N30="","",IF(COUNTIF(N$10:N30,N30)=1,COUNTIF(N$10:N$609,"&lt;"&amp;N30)+1,""))</f>
        <v/>
      </c>
      <c r="P30" t="str">
        <f>IFERROR(INDEX(tblY11[Class],ROWS(P$10:P30))&amp;"","")</f>
        <v>11S/Sc1</v>
      </c>
      <c r="Q30" t="str">
        <f>IF(P30="","",IF(COUNTIF(P$10:P30,P30)=1,COUNTIF(P$10:P$609,"&lt;"&amp;P30)+1,""))</f>
        <v/>
      </c>
      <c r="AA30" t="str">
        <f>IFERROR(INDEX(tblAssessments[Test Name],MATCH(SelYear&amp;"|"&amp;28,tblAssessments[Seq Key],0))&amp;"","")</f>
        <v/>
      </c>
      <c r="AB30" t="str">
        <f>IF(AA30="","",IFERROR(INDEX(tblAssessments[Max Marks],MATCH(SelYear&amp;"|"&amp;28,tblAssessments[Seq Key],0)),""))</f>
        <v/>
      </c>
      <c r="AC30" s="82" t="str">
        <f>IF(AA30="","",IFERROR(IF(INDEX(tblAssessments[Date],MATCH(SelYear&amp;"|"&amp;28,tblAssessments[Seq Key],0))="","",INDEX(tblAssessments[Date],MATCH(SelYear&amp;"|"&amp;28,tblAssessments[Seq Key],0))),""))</f>
        <v/>
      </c>
      <c r="AD30" t="str">
        <f>IF(AA30="","",IFERROR(INDEX(tblAssessments[Code],MATCH(SelYear&amp;"|"&amp;28,tblAssessments[Seq Key],0))&amp;"",""))</f>
        <v/>
      </c>
      <c r="AK30" t="str">
        <f>IF(AA30="","",IF(AD30&lt;&gt;"",AD30,LEFT(AA30,14)))</f>
        <v/>
      </c>
      <c r="AL30" t="e">
        <f>IF(AA30="",NA(),IFERROR(AVERAGE(INDEX(dData,0,MATCH(AA30&amp;CHAR(10)&amp;"Stanine",dHdr,0))),NA()))</f>
        <v>#N/A</v>
      </c>
      <c r="AM30" t="e">
        <f>IF(OR(AA30="",SelClass=""),NA(),IFERROR(AVERAGEIFS(INDEX(dData,0,MATCH(AA30&amp;CHAR(10)&amp;"Stanine",dHdr,0)),dClass,SelClass),NA()))</f>
        <v>#N/A</v>
      </c>
      <c r="BL30" t="str">
        <f>IFERROR(MATCH(SMALL($BJ$70:$BJ$669,28),$BJ$70:$BJ$669,0),"")</f>
        <v/>
      </c>
    </row>
    <row r="31">
      <c r="H31" t="str">
        <f>IFERROR(INDEX(tblY7[Class],ROWS(H$10:H31))&amp;"","")</f>
        <v>7A/Sc2</v>
      </c>
      <c r="I31" t="str">
        <f>IF(H31="","",IF(COUNTIF(H$10:H31,H31)=1,COUNTIF(H$10:H$609,"&lt;"&amp;H31)+1,""))</f>
        <v/>
      </c>
      <c r="J31" t="str">
        <f>IFERROR(INDEX(tblY8[Class],ROWS(J$10:J31))&amp;"","")</f>
        <v>8A/Sc2</v>
      </c>
      <c r="K31" t="str">
        <f>IF(J31="","",IF(COUNTIF(J$10:J31,J31)=1,COUNTIF(J$10:J$609,"&lt;"&amp;J31)+1,""))</f>
        <v/>
      </c>
      <c r="L31" t="str">
        <f>IFERROR(INDEX(tblY9[Class],ROWS(L$10:L31))&amp;"","")</f>
        <v>9B/Sc1</v>
      </c>
      <c r="M31" t="str">
        <f>IF(L31="","",IF(COUNTIF(L$10:L31,L31)=1,COUNTIF(L$10:L$609,"&lt;"&amp;L31)+1,""))</f>
        <v/>
      </c>
      <c r="N31" t="str">
        <f>IFERROR(INDEX(tblY10[Class],ROWS(N$10:N31))&amp;"","")</f>
        <v>10S/Sc2</v>
      </c>
      <c r="O31" t="str">
        <f>IF(N31="","",IF(COUNTIF(N$10:N31,N31)=1,COUNTIF(N$10:N$609,"&lt;"&amp;N31)+1,""))</f>
        <v/>
      </c>
      <c r="P31" t="str">
        <f>IFERROR(INDEX(tblY11[Class],ROWS(P$10:P31))&amp;"","")</f>
        <v>11S/Sc2</v>
      </c>
      <c r="Q31" t="str">
        <f>IF(P31="","",IF(COUNTIF(P$10:P31,P31)=1,COUNTIF(P$10:P$609,"&lt;"&amp;P31)+1,""))</f>
        <v/>
      </c>
      <c r="AA31" t="str">
        <f>IFERROR(INDEX(tblAssessments[Test Name],MATCH(SelYear&amp;"|"&amp;29,tblAssessments[Seq Key],0))&amp;"","")</f>
        <v/>
      </c>
      <c r="AB31" t="str">
        <f>IF(AA31="","",IFERROR(INDEX(tblAssessments[Max Marks],MATCH(SelYear&amp;"|"&amp;29,tblAssessments[Seq Key],0)),""))</f>
        <v/>
      </c>
      <c r="AC31" s="82" t="str">
        <f>IF(AA31="","",IFERROR(IF(INDEX(tblAssessments[Date],MATCH(SelYear&amp;"|"&amp;29,tblAssessments[Seq Key],0))="","",INDEX(tblAssessments[Date],MATCH(SelYear&amp;"|"&amp;29,tblAssessments[Seq Key],0))),""))</f>
        <v/>
      </c>
      <c r="AD31" t="str">
        <f>IF(AA31="","",IFERROR(INDEX(tblAssessments[Code],MATCH(SelYear&amp;"|"&amp;29,tblAssessments[Seq Key],0))&amp;"",""))</f>
        <v/>
      </c>
      <c r="AK31" t="str">
        <f>IF(AA31="","",IF(AD31&lt;&gt;"",AD31,LEFT(AA31,14)))</f>
        <v/>
      </c>
      <c r="AL31" t="e">
        <f>IF(AA31="",NA(),IFERROR(AVERAGE(INDEX(dData,0,MATCH(AA31&amp;CHAR(10)&amp;"Stanine",dHdr,0))),NA()))</f>
        <v>#N/A</v>
      </c>
      <c r="AM31" t="e">
        <f>IF(OR(AA31="",SelClass=""),NA(),IFERROR(AVERAGEIFS(INDEX(dData,0,MATCH(AA31&amp;CHAR(10)&amp;"Stanine",dHdr,0)),dClass,SelClass),NA()))</f>
        <v>#N/A</v>
      </c>
      <c r="BL31" t="str">
        <f>IFERROR(MATCH(SMALL($BJ$70:$BJ$669,29),$BJ$70:$BJ$669,0),"")</f>
        <v/>
      </c>
    </row>
    <row r="32">
      <c r="H32" t="str">
        <f>IFERROR(INDEX(tblY7[Class],ROWS(H$10:H32))&amp;"","")</f>
        <v>7B/Sc3</v>
      </c>
      <c r="I32" t="str">
        <f>IF(H32="","",IF(COUNTIF(H$10:H32,H32)=1,COUNTIF(H$10:H$609,"&lt;"&amp;H32)+1,""))</f>
        <v/>
      </c>
      <c r="J32" t="str">
        <f>IFERROR(INDEX(tblY8[Class],ROWS(J$10:J32))&amp;"","")</f>
        <v>8A/Sc1</v>
      </c>
      <c r="K32" t="str">
        <f>IF(J32="","",IF(COUNTIF(J$10:J32,J32)=1,COUNTIF(J$10:J$609,"&lt;"&amp;J32)+1,""))</f>
        <v/>
      </c>
      <c r="L32" t="str">
        <f>IFERROR(INDEX(tblY9[Class],ROWS(L$10:L32))&amp;"","")</f>
        <v>9A/Sc2</v>
      </c>
      <c r="M32" t="str">
        <f>IF(L32="","",IF(COUNTIF(L$10:L32,L32)=1,COUNTIF(L$10:L$609,"&lt;"&amp;L32)+1,""))</f>
        <v/>
      </c>
      <c r="N32" t="str">
        <f>IFERROR(INDEX(tblY10[Class],ROWS(N$10:N32))&amp;"","")</f>
        <v>10S/Sc4</v>
      </c>
      <c r="O32" t="str">
        <f>IF(N32="","",IF(COUNTIF(N$10:N32,N32)=1,COUNTIF(N$10:N$609,"&lt;"&amp;N32)+1,""))</f>
        <v/>
      </c>
      <c r="P32" t="str">
        <f>IFERROR(INDEX(tblY11[Class],ROWS(P$10:P32))&amp;"","")</f>
        <v>11S/Sc3</v>
      </c>
      <c r="Q32" t="str">
        <f>IF(P32="","",IF(COUNTIF(P$10:P32,P32)=1,COUNTIF(P$10:P$609,"&lt;"&amp;P32)+1,""))</f>
        <v/>
      </c>
      <c r="AA32" t="str">
        <f>IFERROR(INDEX(tblAssessments[Test Name],MATCH(SelYear&amp;"|"&amp;30,tblAssessments[Seq Key],0))&amp;"","")</f>
        <v/>
      </c>
      <c r="AB32" t="str">
        <f>IF(AA32="","",IFERROR(INDEX(tblAssessments[Max Marks],MATCH(SelYear&amp;"|"&amp;30,tblAssessments[Seq Key],0)),""))</f>
        <v/>
      </c>
      <c r="AC32" s="82" t="str">
        <f>IF(AA32="","",IFERROR(IF(INDEX(tblAssessments[Date],MATCH(SelYear&amp;"|"&amp;30,tblAssessments[Seq Key],0))="","",INDEX(tblAssessments[Date],MATCH(SelYear&amp;"|"&amp;30,tblAssessments[Seq Key],0))),""))</f>
        <v/>
      </c>
      <c r="AD32" t="str">
        <f>IF(AA32="","",IFERROR(INDEX(tblAssessments[Code],MATCH(SelYear&amp;"|"&amp;30,tblAssessments[Seq Key],0))&amp;"",""))</f>
        <v/>
      </c>
      <c r="AK32" t="str">
        <f>IF(AA32="","",IF(AD32&lt;&gt;"",AD32,LEFT(AA32,14)))</f>
        <v/>
      </c>
      <c r="AL32" t="e">
        <f>IF(AA32="",NA(),IFERROR(AVERAGE(INDEX(dData,0,MATCH(AA32&amp;CHAR(10)&amp;"Stanine",dHdr,0))),NA()))</f>
        <v>#N/A</v>
      </c>
      <c r="AM32" t="e">
        <f>IF(OR(AA32="",SelClass=""),NA(),IFERROR(AVERAGEIFS(INDEX(dData,0,MATCH(AA32&amp;CHAR(10)&amp;"Stanine",dHdr,0)),dClass,SelClass),NA()))</f>
        <v>#N/A</v>
      </c>
      <c r="BL32" t="str">
        <f>IFERROR(MATCH(SMALL($BJ$70:$BJ$669,30),$BJ$70:$BJ$669,0),"")</f>
        <v/>
      </c>
    </row>
    <row r="33">
      <c r="H33" t="str">
        <f>IFERROR(INDEX(tblY7[Class],ROWS(H$10:H33))&amp;"","")</f>
        <v>7A/Sc1</v>
      </c>
      <c r="I33" t="str">
        <f>IF(H33="","",IF(COUNTIF(H$10:H33,H33)=1,COUNTIF(H$10:H$609,"&lt;"&amp;H33)+1,""))</f>
        <v/>
      </c>
      <c r="J33" t="str">
        <f>IFERROR(INDEX(tblY8[Class],ROWS(J$10:J33))&amp;"","")</f>
        <v>8A/Sc3</v>
      </c>
      <c r="K33" t="str">
        <f>IF(J33="","",IF(COUNTIF(J$10:J33,J33)=1,COUNTIF(J$10:J$609,"&lt;"&amp;J33)+1,""))</f>
        <v/>
      </c>
      <c r="L33" t="str">
        <f>IFERROR(INDEX(tblY9[Class],ROWS(L$10:L33))&amp;"","")</f>
        <v>9A/Sc2</v>
      </c>
      <c r="M33" t="str">
        <f>IF(L33="","",IF(COUNTIF(L$10:L33,L33)=1,COUNTIF(L$10:L$609,"&lt;"&amp;L33)+1,""))</f>
        <v/>
      </c>
      <c r="N33" t="str">
        <f>IFERROR(INDEX(tblY10[Class],ROWS(N$10:N33))&amp;"","")</f>
        <v>10S/Sc3</v>
      </c>
      <c r="O33" t="str">
        <f>IF(N33="","",IF(COUNTIF(N$10:N33,N33)=1,COUNTIF(N$10:N$609,"&lt;"&amp;N33)+1,""))</f>
        <v/>
      </c>
      <c r="P33" t="str">
        <f>IFERROR(INDEX(tblY11[Class],ROWS(P$10:P33))&amp;"","")</f>
        <v>11S/Sc5</v>
      </c>
      <c r="Q33" t="str">
        <f>IF(P33="","",IF(COUNTIF(P$10:P33,P33)=1,COUNTIF(P$10:P$609,"&lt;"&amp;P33)+1,""))</f>
        <v/>
      </c>
      <c r="AA33" t="str">
        <f>IFERROR(INDEX(tblAssessments[Test Name],MATCH(SelYear&amp;"|"&amp;31,tblAssessments[Seq Key],0))&amp;"","")</f>
        <v/>
      </c>
      <c r="AB33" t="str">
        <f>IF(AA33="","",IFERROR(INDEX(tblAssessments[Max Marks],MATCH(SelYear&amp;"|"&amp;31,tblAssessments[Seq Key],0)),""))</f>
        <v/>
      </c>
      <c r="AC33" s="82" t="str">
        <f>IF(AA33="","",IFERROR(IF(INDEX(tblAssessments[Date],MATCH(SelYear&amp;"|"&amp;31,tblAssessments[Seq Key],0))="","",INDEX(tblAssessments[Date],MATCH(SelYear&amp;"|"&amp;31,tblAssessments[Seq Key],0))),""))</f>
        <v/>
      </c>
      <c r="AD33" t="str">
        <f>IF(AA33="","",IFERROR(INDEX(tblAssessments[Code],MATCH(SelYear&amp;"|"&amp;31,tblAssessments[Seq Key],0))&amp;"",""))</f>
        <v/>
      </c>
      <c r="AK33" t="str">
        <f>IF(AA33="","",IF(AD33&lt;&gt;"",AD33,LEFT(AA33,14)))</f>
        <v/>
      </c>
      <c r="AL33" t="e">
        <f>IF(AA33="",NA(),IFERROR(AVERAGE(INDEX(dData,0,MATCH(AA33&amp;CHAR(10)&amp;"Stanine",dHdr,0))),NA()))</f>
        <v>#N/A</v>
      </c>
      <c r="AM33" t="e">
        <f>IF(OR(AA33="",SelClass=""),NA(),IFERROR(AVERAGEIFS(INDEX(dData,0,MATCH(AA33&amp;CHAR(10)&amp;"Stanine",dHdr,0)),dClass,SelClass),NA()))</f>
        <v>#N/A</v>
      </c>
      <c r="BL33" t="str">
        <f>IFERROR(MATCH(SMALL($BJ$70:$BJ$669,31),$BJ$70:$BJ$669,0),"")</f>
        <v/>
      </c>
    </row>
    <row r="34">
      <c r="H34" t="str">
        <f>IFERROR(INDEX(tblY7[Class],ROWS(H$10:H34))&amp;"","")</f>
        <v>7B/Sc3</v>
      </c>
      <c r="I34" t="str">
        <f>IF(H34="","",IF(COUNTIF(H$10:H34,H34)=1,COUNTIF(H$10:H$609,"&lt;"&amp;H34)+1,""))</f>
        <v/>
      </c>
      <c r="J34" t="str">
        <f>IFERROR(INDEX(tblY8[Class],ROWS(J$10:J34))&amp;"","")</f>
        <v>8A/Sc4</v>
      </c>
      <c r="K34" t="str">
        <f>IF(J34="","",IF(COUNTIF(J$10:J34,J34)=1,COUNTIF(J$10:J$609,"&lt;"&amp;J34)+1,""))</f>
        <v/>
      </c>
      <c r="L34" t="str">
        <f>IFERROR(INDEX(tblY9[Class],ROWS(L$10:L34))&amp;"","")</f>
        <v>9B/Sc1</v>
      </c>
      <c r="M34" t="str">
        <f>IF(L34="","",IF(COUNTIF(L$10:L34,L34)=1,COUNTIF(L$10:L$609,"&lt;"&amp;L34)+1,""))</f>
        <v/>
      </c>
      <c r="N34" t="str">
        <f>IFERROR(INDEX(tblY10[Class],ROWS(N$10:N34))&amp;"","")</f>
        <v>10S/Sc1</v>
      </c>
      <c r="O34" t="str">
        <f>IF(N34="","",IF(COUNTIF(N$10:N34,N34)=1,COUNTIF(N$10:N$609,"&lt;"&amp;N34)+1,""))</f>
        <v/>
      </c>
      <c r="P34" t="str">
        <f>IFERROR(INDEX(tblY11[Class],ROWS(P$10:P34))&amp;"","")</f>
        <v>11S/Sc2</v>
      </c>
      <c r="Q34" t="str">
        <f>IF(P34="","",IF(COUNTIF(P$10:P34,P34)=1,COUNTIF(P$10:P$609,"&lt;"&amp;P34)+1,""))</f>
        <v/>
      </c>
      <c r="AA34" t="str">
        <f>IFERROR(INDEX(tblAssessments[Test Name],MATCH(SelYear&amp;"|"&amp;32,tblAssessments[Seq Key],0))&amp;"","")</f>
        <v/>
      </c>
      <c r="AB34" t="str">
        <f>IF(AA34="","",IFERROR(INDEX(tblAssessments[Max Marks],MATCH(SelYear&amp;"|"&amp;32,tblAssessments[Seq Key],0)),""))</f>
        <v/>
      </c>
      <c r="AC34" s="82" t="str">
        <f>IF(AA34="","",IFERROR(IF(INDEX(tblAssessments[Date],MATCH(SelYear&amp;"|"&amp;32,tblAssessments[Seq Key],0))="","",INDEX(tblAssessments[Date],MATCH(SelYear&amp;"|"&amp;32,tblAssessments[Seq Key],0))),""))</f>
        <v/>
      </c>
      <c r="AD34" t="str">
        <f>IF(AA34="","",IFERROR(INDEX(tblAssessments[Code],MATCH(SelYear&amp;"|"&amp;32,tblAssessments[Seq Key],0))&amp;"",""))</f>
        <v/>
      </c>
      <c r="AK34" t="str">
        <f>IF(AA34="","",IF(AD34&lt;&gt;"",AD34,LEFT(AA34,14)))</f>
        <v/>
      </c>
      <c r="AL34" t="e">
        <f>IF(AA34="",NA(),IFERROR(AVERAGE(INDEX(dData,0,MATCH(AA34&amp;CHAR(10)&amp;"Stanine",dHdr,0))),NA()))</f>
        <v>#N/A</v>
      </c>
      <c r="AM34" t="e">
        <f>IF(OR(AA34="",SelClass=""),NA(),IFERROR(AVERAGEIFS(INDEX(dData,0,MATCH(AA34&amp;CHAR(10)&amp;"Stanine",dHdr,0)),dClass,SelClass),NA()))</f>
        <v>#N/A</v>
      </c>
      <c r="BL34" t="str">
        <f>IFERROR(MATCH(SMALL($BJ$70:$BJ$669,32),$BJ$70:$BJ$669,0),"")</f>
        <v/>
      </c>
    </row>
    <row r="35">
      <c r="H35" t="str">
        <f>IFERROR(INDEX(tblY7[Class],ROWS(H$10:H35))&amp;"","")</f>
        <v>7B/Sc1</v>
      </c>
      <c r="I35" t="str">
        <f>IF(H35="","",IF(COUNTIF(H$10:H35,H35)=1,COUNTIF(H$10:H$609,"&lt;"&amp;H35)+1,""))</f>
        <v/>
      </c>
      <c r="J35" t="str">
        <f>IFERROR(INDEX(tblY8[Class],ROWS(J$10:J35))&amp;"","")</f>
        <v>8A/Sc1</v>
      </c>
      <c r="K35" t="str">
        <f>IF(J35="","",IF(COUNTIF(J$10:J35,J35)=1,COUNTIF(J$10:J$609,"&lt;"&amp;J35)+1,""))</f>
        <v/>
      </c>
      <c r="L35" t="str">
        <f>IFERROR(INDEX(tblY9[Class],ROWS(L$10:L35))&amp;"","")</f>
        <v>9A/Sc1</v>
      </c>
      <c r="M35" t="str">
        <f>IF(L35="","",IF(COUNTIF(L$10:L35,L35)=1,COUNTIF(L$10:L$609,"&lt;"&amp;L35)+1,""))</f>
        <v/>
      </c>
      <c r="N35" t="str">
        <f>IFERROR(INDEX(tblY10[Class],ROWS(N$10:N35))&amp;"","")</f>
        <v>10S/Sc3</v>
      </c>
      <c r="O35" t="str">
        <f>IF(N35="","",IF(COUNTIF(N$10:N35,N35)=1,COUNTIF(N$10:N$609,"&lt;"&amp;N35)+1,""))</f>
        <v/>
      </c>
      <c r="P35" t="str">
        <f>IFERROR(INDEX(tblY11[Class],ROWS(P$10:P35))&amp;"","")</f>
        <v>11S/Sc1</v>
      </c>
      <c r="Q35" t="str">
        <f>IF(P35="","",IF(COUNTIF(P$10:P35,P35)=1,COUNTIF(P$10:P$609,"&lt;"&amp;P35)+1,""))</f>
        <v/>
      </c>
      <c r="AA35" t="str">
        <f>IFERROR(INDEX(tblAssessments[Test Name],MATCH(SelYear&amp;"|"&amp;33,tblAssessments[Seq Key],0))&amp;"","")</f>
        <v/>
      </c>
      <c r="AB35" t="str">
        <f>IF(AA35="","",IFERROR(INDEX(tblAssessments[Max Marks],MATCH(SelYear&amp;"|"&amp;33,tblAssessments[Seq Key],0)),""))</f>
        <v/>
      </c>
      <c r="AC35" s="82" t="str">
        <f>IF(AA35="","",IFERROR(IF(INDEX(tblAssessments[Date],MATCH(SelYear&amp;"|"&amp;33,tblAssessments[Seq Key],0))="","",INDEX(tblAssessments[Date],MATCH(SelYear&amp;"|"&amp;33,tblAssessments[Seq Key],0))),""))</f>
        <v/>
      </c>
      <c r="AD35" t="str">
        <f>IF(AA35="","",IFERROR(INDEX(tblAssessments[Code],MATCH(SelYear&amp;"|"&amp;33,tblAssessments[Seq Key],0))&amp;"",""))</f>
        <v/>
      </c>
      <c r="AK35" t="str">
        <f>IF(AA35="","",IF(AD35&lt;&gt;"",AD35,LEFT(AA35,14)))</f>
        <v/>
      </c>
      <c r="AL35" t="e">
        <f>IF(AA35="",NA(),IFERROR(AVERAGE(INDEX(dData,0,MATCH(AA35&amp;CHAR(10)&amp;"Stanine",dHdr,0))),NA()))</f>
        <v>#N/A</v>
      </c>
      <c r="AM35" t="e">
        <f>IF(OR(AA35="",SelClass=""),NA(),IFERROR(AVERAGEIFS(INDEX(dData,0,MATCH(AA35&amp;CHAR(10)&amp;"Stanine",dHdr,0)),dClass,SelClass),NA()))</f>
        <v>#N/A</v>
      </c>
      <c r="BL35" t="str">
        <f>IFERROR(MATCH(SMALL($BJ$70:$BJ$669,33),$BJ$70:$BJ$669,0),"")</f>
        <v/>
      </c>
    </row>
    <row r="36">
      <c r="H36" t="str">
        <f>IFERROR(INDEX(tblY7[Class],ROWS(H$10:H36))&amp;"","")</f>
        <v>7A/Sc1</v>
      </c>
      <c r="I36" t="str">
        <f>IF(H36="","",IF(COUNTIF(H$10:H36,H36)=1,COUNTIF(H$10:H$609,"&lt;"&amp;H36)+1,""))</f>
        <v/>
      </c>
      <c r="J36" t="str">
        <f>IFERROR(INDEX(tblY8[Class],ROWS(J$10:J36))&amp;"","")</f>
        <v>8A/Sc3</v>
      </c>
      <c r="K36" t="str">
        <f>IF(J36="","",IF(COUNTIF(J$10:J36,J36)=1,COUNTIF(J$10:J$609,"&lt;"&amp;J36)+1,""))</f>
        <v/>
      </c>
      <c r="L36" t="str">
        <f>IFERROR(INDEX(tblY9[Class],ROWS(L$10:L36))&amp;"","")</f>
        <v>Science Support</v>
      </c>
      <c r="M36" t="str">
        <f>IF(L36="","",IF(COUNTIF(L$10:L36,L36)=1,COUNTIF(L$10:L$609,"&lt;"&amp;L36)+1,""))</f>
        <v/>
      </c>
      <c r="N36" t="str">
        <f>IFERROR(INDEX(tblY10[Class],ROWS(N$10:N36))&amp;"","")</f>
        <v>10S/Sc2</v>
      </c>
      <c r="O36" t="str">
        <f>IF(N36="","",IF(COUNTIF(N$10:N36,N36)=1,COUNTIF(N$10:N$609,"&lt;"&amp;N36)+1,""))</f>
        <v/>
      </c>
      <c r="P36" t="str">
        <f>IFERROR(INDEX(tblY11[Class],ROWS(P$10:P36))&amp;"","")</f>
        <v>11S/Sc3</v>
      </c>
      <c r="Q36" t="str">
        <f>IF(P36="","",IF(COUNTIF(P$10:P36,P36)=1,COUNTIF(P$10:P$609,"&lt;"&amp;P36)+1,""))</f>
        <v/>
      </c>
      <c r="AA36" t="str">
        <f>IFERROR(INDEX(tblAssessments[Test Name],MATCH(SelYear&amp;"|"&amp;34,tblAssessments[Seq Key],0))&amp;"","")</f>
        <v/>
      </c>
      <c r="AB36" t="str">
        <f>IF(AA36="","",IFERROR(INDEX(tblAssessments[Max Marks],MATCH(SelYear&amp;"|"&amp;34,tblAssessments[Seq Key],0)),""))</f>
        <v/>
      </c>
      <c r="AC36" s="82" t="str">
        <f>IF(AA36="","",IFERROR(IF(INDEX(tblAssessments[Date],MATCH(SelYear&amp;"|"&amp;34,tblAssessments[Seq Key],0))="","",INDEX(tblAssessments[Date],MATCH(SelYear&amp;"|"&amp;34,tblAssessments[Seq Key],0))),""))</f>
        <v/>
      </c>
      <c r="AD36" t="str">
        <f>IF(AA36="","",IFERROR(INDEX(tblAssessments[Code],MATCH(SelYear&amp;"|"&amp;34,tblAssessments[Seq Key],0))&amp;"",""))</f>
        <v/>
      </c>
      <c r="AK36" t="str">
        <f>IF(AA36="","",IF(AD36&lt;&gt;"",AD36,LEFT(AA36,14)))</f>
        <v/>
      </c>
      <c r="AL36" t="e">
        <f>IF(AA36="",NA(),IFERROR(AVERAGE(INDEX(dData,0,MATCH(AA36&amp;CHAR(10)&amp;"Stanine",dHdr,0))),NA()))</f>
        <v>#N/A</v>
      </c>
      <c r="AM36" t="e">
        <f>IF(OR(AA36="",SelClass=""),NA(),IFERROR(AVERAGEIFS(INDEX(dData,0,MATCH(AA36&amp;CHAR(10)&amp;"Stanine",dHdr,0)),dClass,SelClass),NA()))</f>
        <v>#N/A</v>
      </c>
      <c r="BL36" t="str">
        <f>IFERROR(MATCH(SMALL($BJ$70:$BJ$669,34),$BJ$70:$BJ$669,0),"")</f>
        <v/>
      </c>
    </row>
    <row r="37">
      <c r="H37" t="str">
        <f>IFERROR(INDEX(tblY7[Class],ROWS(H$10:H37))&amp;"","")</f>
        <v>7B/Sc1</v>
      </c>
      <c r="I37" t="str">
        <f>IF(H37="","",IF(COUNTIF(H$10:H37,H37)=1,COUNTIF(H$10:H$609,"&lt;"&amp;H37)+1,""))</f>
        <v/>
      </c>
      <c r="J37" t="str">
        <f>IFERROR(INDEX(tblY8[Class],ROWS(J$10:J37))&amp;"","")</f>
        <v>8A/Sc2</v>
      </c>
      <c r="K37" t="str">
        <f>IF(J37="","",IF(COUNTIF(J$10:J37,J37)=1,COUNTIF(J$10:J$609,"&lt;"&amp;J37)+1,""))</f>
        <v/>
      </c>
      <c r="L37" t="str">
        <f>IFERROR(INDEX(tblY9[Class],ROWS(L$10:L37))&amp;"","")</f>
        <v>9B/Sc2</v>
      </c>
      <c r="M37" t="str">
        <f>IF(L37="","",IF(COUNTIF(L$10:L37,L37)=1,COUNTIF(L$10:L$609,"&lt;"&amp;L37)+1,""))</f>
        <v/>
      </c>
      <c r="N37" t="str">
        <f>IFERROR(INDEX(tblY10[Class],ROWS(N$10:N37))&amp;"","")</f>
        <v>10S/Sc2</v>
      </c>
      <c r="O37" t="str">
        <f>IF(N37="","",IF(COUNTIF(N$10:N37,N37)=1,COUNTIF(N$10:N$609,"&lt;"&amp;N37)+1,""))</f>
        <v/>
      </c>
      <c r="P37" t="str">
        <f>IFERROR(INDEX(tblY11[Class],ROWS(P$10:P37))&amp;"","")</f>
        <v>11S/Sc1</v>
      </c>
      <c r="Q37" t="str">
        <f>IF(P37="","",IF(COUNTIF(P$10:P37,P37)=1,COUNTIF(P$10:P$609,"&lt;"&amp;P37)+1,""))</f>
        <v/>
      </c>
      <c r="AA37" t="str">
        <f>IFERROR(INDEX(tblAssessments[Test Name],MATCH(SelYear&amp;"|"&amp;35,tblAssessments[Seq Key],0))&amp;"","")</f>
        <v/>
      </c>
      <c r="AB37" t="str">
        <f>IF(AA37="","",IFERROR(INDEX(tblAssessments[Max Marks],MATCH(SelYear&amp;"|"&amp;35,tblAssessments[Seq Key],0)),""))</f>
        <v/>
      </c>
      <c r="AC37" s="82" t="str">
        <f>IF(AA37="","",IFERROR(IF(INDEX(tblAssessments[Date],MATCH(SelYear&amp;"|"&amp;35,tblAssessments[Seq Key],0))="","",INDEX(tblAssessments[Date],MATCH(SelYear&amp;"|"&amp;35,tblAssessments[Seq Key],0))),""))</f>
        <v/>
      </c>
      <c r="AD37" t="str">
        <f>IF(AA37="","",IFERROR(INDEX(tblAssessments[Code],MATCH(SelYear&amp;"|"&amp;35,tblAssessments[Seq Key],0))&amp;"",""))</f>
        <v/>
      </c>
      <c r="AK37" t="str">
        <f>IF(AA37="","",IF(AD37&lt;&gt;"",AD37,LEFT(AA37,14)))</f>
        <v/>
      </c>
      <c r="AL37" t="e">
        <f>IF(AA37="",NA(),IFERROR(AVERAGE(INDEX(dData,0,MATCH(AA37&amp;CHAR(10)&amp;"Stanine",dHdr,0))),NA()))</f>
        <v>#N/A</v>
      </c>
      <c r="AM37" t="e">
        <f>IF(OR(AA37="",SelClass=""),NA(),IFERROR(AVERAGEIFS(INDEX(dData,0,MATCH(AA37&amp;CHAR(10)&amp;"Stanine",dHdr,0)),dClass,SelClass),NA()))</f>
        <v>#N/A</v>
      </c>
      <c r="BL37" t="str">
        <f>IFERROR(MATCH(SMALL($BJ$70:$BJ$669,35),$BJ$70:$BJ$669,0),"")</f>
        <v/>
      </c>
    </row>
    <row r="38">
      <c r="H38" t="str">
        <f>IFERROR(INDEX(tblY7[Class],ROWS(H$10:H38))&amp;"","")</f>
        <v>7B/Sc3</v>
      </c>
      <c r="I38" t="str">
        <f>IF(H38="","",IF(COUNTIF(H$10:H38,H38)=1,COUNTIF(H$10:H$609,"&lt;"&amp;H38)+1,""))</f>
        <v/>
      </c>
      <c r="J38" t="str">
        <f>IFERROR(INDEX(tblY8[Class],ROWS(J$10:J38))&amp;"","")</f>
        <v>8A/Sc3</v>
      </c>
      <c r="K38" t="str">
        <f>IF(J38="","",IF(COUNTIF(J$10:J38,J38)=1,COUNTIF(J$10:J$609,"&lt;"&amp;J38)+1,""))</f>
        <v/>
      </c>
      <c r="L38" t="str">
        <f>IFERROR(INDEX(tblY9[Class],ROWS(L$10:L38))&amp;"","")</f>
        <v>9A/Sc3</v>
      </c>
      <c r="M38" t="str">
        <f>IF(L38="","",IF(COUNTIF(L$10:L38,L38)=1,COUNTIF(L$10:L$609,"&lt;"&amp;L38)+1,""))</f>
        <v/>
      </c>
      <c r="N38" t="str">
        <f>IFERROR(INDEX(tblY10[Class],ROWS(N$10:N38))&amp;"","")</f>
        <v>10S/Sc1</v>
      </c>
      <c r="O38" t="str">
        <f>IF(N38="","",IF(COUNTIF(N$10:N38,N38)=1,COUNTIF(N$10:N$609,"&lt;"&amp;N38)+1,""))</f>
        <v/>
      </c>
      <c r="P38" t="str">
        <f>IFERROR(INDEX(tblY11[Class],ROWS(P$10:P38))&amp;"","")</f>
        <v>Science Support</v>
      </c>
      <c r="Q38" t="str">
        <f>IF(P38="","",IF(COUNTIF(P$10:P38,P38)=1,COUNTIF(P$10:P$609,"&lt;"&amp;P38)+1,""))</f>
        <v/>
      </c>
      <c r="AA38" t="str">
        <f>IFERROR(INDEX(tblAssessments[Test Name],MATCH(SelYear&amp;"|"&amp;36,tblAssessments[Seq Key],0))&amp;"","")</f>
        <v/>
      </c>
      <c r="AB38" t="str">
        <f>IF(AA38="","",IFERROR(INDEX(tblAssessments[Max Marks],MATCH(SelYear&amp;"|"&amp;36,tblAssessments[Seq Key],0)),""))</f>
        <v/>
      </c>
      <c r="AC38" s="82" t="str">
        <f>IF(AA38="","",IFERROR(IF(INDEX(tblAssessments[Date],MATCH(SelYear&amp;"|"&amp;36,tblAssessments[Seq Key],0))="","",INDEX(tblAssessments[Date],MATCH(SelYear&amp;"|"&amp;36,tblAssessments[Seq Key],0))),""))</f>
        <v/>
      </c>
      <c r="AD38" t="str">
        <f>IF(AA38="","",IFERROR(INDEX(tblAssessments[Code],MATCH(SelYear&amp;"|"&amp;36,tblAssessments[Seq Key],0))&amp;"",""))</f>
        <v/>
      </c>
      <c r="AK38" t="str">
        <f>IF(AA38="","",IF(AD38&lt;&gt;"",AD38,LEFT(AA38,14)))</f>
        <v/>
      </c>
      <c r="AL38" t="e">
        <f>IF(AA38="",NA(),IFERROR(AVERAGE(INDEX(dData,0,MATCH(AA38&amp;CHAR(10)&amp;"Stanine",dHdr,0))),NA()))</f>
        <v>#N/A</v>
      </c>
      <c r="AM38" t="e">
        <f>IF(OR(AA38="",SelClass=""),NA(),IFERROR(AVERAGEIFS(INDEX(dData,0,MATCH(AA38&amp;CHAR(10)&amp;"Stanine",dHdr,0)),dClass,SelClass),NA()))</f>
        <v>#N/A</v>
      </c>
      <c r="BL38" t="str">
        <f>IFERROR(MATCH(SMALL($BJ$70:$BJ$669,36),$BJ$70:$BJ$669,0),"")</f>
        <v/>
      </c>
    </row>
    <row r="39">
      <c r="H39" t="str">
        <f>IFERROR(INDEX(tblY7[Class],ROWS(H$10:H39))&amp;"","")</f>
        <v>7B/Sc3</v>
      </c>
      <c r="I39" t="str">
        <f>IF(H39="","",IF(COUNTIF(H$10:H39,H39)=1,COUNTIF(H$10:H$609,"&lt;"&amp;H39)+1,""))</f>
        <v/>
      </c>
      <c r="J39" t="str">
        <f>IFERROR(INDEX(tblY8[Class],ROWS(J$10:J39))&amp;"","")</f>
        <v>8A/Sc3</v>
      </c>
      <c r="K39" t="str">
        <f>IF(J39="","",IF(COUNTIF(J$10:J39,J39)=1,COUNTIF(J$10:J$609,"&lt;"&amp;J39)+1,""))</f>
        <v/>
      </c>
      <c r="L39" t="str">
        <f>IFERROR(INDEX(tblY9[Class],ROWS(L$10:L39))&amp;"","")</f>
        <v>9A/Sc3</v>
      </c>
      <c r="M39" t="str">
        <f>IF(L39="","",IF(COUNTIF(L$10:L39,L39)=1,COUNTIF(L$10:L$609,"&lt;"&amp;L39)+1,""))</f>
        <v/>
      </c>
      <c r="N39" t="str">
        <f>IFERROR(INDEX(tblY10[Class],ROWS(N$10:N39))&amp;"","")</f>
        <v>10S/Sc3</v>
      </c>
      <c r="O39" t="str">
        <f>IF(N39="","",IF(COUNTIF(N$10:N39,N39)=1,COUNTIF(N$10:N$609,"&lt;"&amp;N39)+1,""))</f>
        <v/>
      </c>
      <c r="P39" t="str">
        <f>IFERROR(INDEX(tblY11[Class],ROWS(P$10:P39))&amp;"","")</f>
        <v>11S/Sc5</v>
      </c>
      <c r="Q39" t="str">
        <f>IF(P39="","",IF(COUNTIF(P$10:P39,P39)=1,COUNTIF(P$10:P$609,"&lt;"&amp;P39)+1,""))</f>
        <v/>
      </c>
      <c r="AA39" t="str">
        <f>IFERROR(INDEX(tblAssessments[Test Name],MATCH(SelYear&amp;"|"&amp;37,tblAssessments[Seq Key],0))&amp;"","")</f>
        <v/>
      </c>
      <c r="AB39" t="str">
        <f>IF(AA39="","",IFERROR(INDEX(tblAssessments[Max Marks],MATCH(SelYear&amp;"|"&amp;37,tblAssessments[Seq Key],0)),""))</f>
        <v/>
      </c>
      <c r="AC39" s="82" t="str">
        <f>IF(AA39="","",IFERROR(IF(INDEX(tblAssessments[Date],MATCH(SelYear&amp;"|"&amp;37,tblAssessments[Seq Key],0))="","",INDEX(tblAssessments[Date],MATCH(SelYear&amp;"|"&amp;37,tblAssessments[Seq Key],0))),""))</f>
        <v/>
      </c>
      <c r="AD39" t="str">
        <f>IF(AA39="","",IFERROR(INDEX(tblAssessments[Code],MATCH(SelYear&amp;"|"&amp;37,tblAssessments[Seq Key],0))&amp;"",""))</f>
        <v/>
      </c>
      <c r="AK39" t="str">
        <f>IF(AA39="","",IF(AD39&lt;&gt;"",AD39,LEFT(AA39,14)))</f>
        <v/>
      </c>
      <c r="AL39" t="e">
        <f>IF(AA39="",NA(),IFERROR(AVERAGE(INDEX(dData,0,MATCH(AA39&amp;CHAR(10)&amp;"Stanine",dHdr,0))),NA()))</f>
        <v>#N/A</v>
      </c>
      <c r="AM39" t="e">
        <f>IF(OR(AA39="",SelClass=""),NA(),IFERROR(AVERAGEIFS(INDEX(dData,0,MATCH(AA39&amp;CHAR(10)&amp;"Stanine",dHdr,0)),dClass,SelClass),NA()))</f>
        <v>#N/A</v>
      </c>
      <c r="BL39" t="str">
        <f>IFERROR(MATCH(SMALL($BJ$70:$BJ$669,37),$BJ$70:$BJ$669,0),"")</f>
        <v/>
      </c>
    </row>
    <row r="40">
      <c r="H40" t="str">
        <f>IFERROR(INDEX(tblY7[Class],ROWS(H$10:H40))&amp;"","")</f>
        <v>7A/Sc2</v>
      </c>
      <c r="I40" t="str">
        <f>IF(H40="","",IF(COUNTIF(H$10:H40,H40)=1,COUNTIF(H$10:H$609,"&lt;"&amp;H40)+1,""))</f>
        <v/>
      </c>
      <c r="J40" t="str">
        <f>IFERROR(INDEX(tblY8[Class],ROWS(J$10:J40))&amp;"","")</f>
        <v>8A/Sc2</v>
      </c>
      <c r="K40" t="str">
        <f>IF(J40="","",IF(COUNTIF(J$10:J40,J40)=1,COUNTIF(J$10:J$609,"&lt;"&amp;J40)+1,""))</f>
        <v/>
      </c>
      <c r="L40" t="str">
        <f>IFERROR(INDEX(tblY9[Class],ROWS(L$10:L40))&amp;"","")</f>
        <v>9A/Sc2</v>
      </c>
      <c r="M40" t="str">
        <f>IF(L40="","",IF(COUNTIF(L$10:L40,L40)=1,COUNTIF(L$10:L$609,"&lt;"&amp;L40)+1,""))</f>
        <v/>
      </c>
      <c r="N40" t="str">
        <f>IFERROR(INDEX(tblY10[Class],ROWS(N$10:N40))&amp;"","")</f>
        <v>10S/Sc1</v>
      </c>
      <c r="O40" t="str">
        <f>IF(N40="","",IF(COUNTIF(N$10:N40,N40)=1,COUNTIF(N$10:N$609,"&lt;"&amp;N40)+1,""))</f>
        <v/>
      </c>
      <c r="P40" t="str">
        <f>IFERROR(INDEX(tblY11[Class],ROWS(P$10:P40))&amp;"","")</f>
        <v>11S/Sc2</v>
      </c>
      <c r="Q40" t="str">
        <f>IF(P40="","",IF(COUNTIF(P$10:P40,P40)=1,COUNTIF(P$10:P$609,"&lt;"&amp;P40)+1,""))</f>
        <v/>
      </c>
      <c r="AA40" t="str">
        <f>IFERROR(INDEX(tblAssessments[Test Name],MATCH(SelYear&amp;"|"&amp;38,tblAssessments[Seq Key],0))&amp;"","")</f>
        <v/>
      </c>
      <c r="AB40" t="str">
        <f>IF(AA40="","",IFERROR(INDEX(tblAssessments[Max Marks],MATCH(SelYear&amp;"|"&amp;38,tblAssessments[Seq Key],0)),""))</f>
        <v/>
      </c>
      <c r="AC40" s="82" t="str">
        <f>IF(AA40="","",IFERROR(IF(INDEX(tblAssessments[Date],MATCH(SelYear&amp;"|"&amp;38,tblAssessments[Seq Key],0))="","",INDEX(tblAssessments[Date],MATCH(SelYear&amp;"|"&amp;38,tblAssessments[Seq Key],0))),""))</f>
        <v/>
      </c>
      <c r="AD40" t="str">
        <f>IF(AA40="","",IFERROR(INDEX(tblAssessments[Code],MATCH(SelYear&amp;"|"&amp;38,tblAssessments[Seq Key],0))&amp;"",""))</f>
        <v/>
      </c>
      <c r="AK40" t="str">
        <f>IF(AA40="","",IF(AD40&lt;&gt;"",AD40,LEFT(AA40,14)))</f>
        <v/>
      </c>
      <c r="AL40" t="e">
        <f>IF(AA40="",NA(),IFERROR(AVERAGE(INDEX(dData,0,MATCH(AA40&amp;CHAR(10)&amp;"Stanine",dHdr,0))),NA()))</f>
        <v>#N/A</v>
      </c>
      <c r="AM40" t="e">
        <f>IF(OR(AA40="",SelClass=""),NA(),IFERROR(AVERAGEIFS(INDEX(dData,0,MATCH(AA40&amp;CHAR(10)&amp;"Stanine",dHdr,0)),dClass,SelClass),NA()))</f>
        <v>#N/A</v>
      </c>
      <c r="BL40" t="str">
        <f>IFERROR(MATCH(SMALL($BJ$70:$BJ$669,38),$BJ$70:$BJ$669,0),"")</f>
        <v/>
      </c>
    </row>
    <row r="41">
      <c r="H41" t="str">
        <f>IFERROR(INDEX(tblY7[Class],ROWS(H$10:H41))&amp;"","")</f>
        <v>7B/Sc2</v>
      </c>
      <c r="I41" t="str">
        <f>IF(H41="","",IF(COUNTIF(H$10:H41,H41)=1,COUNTIF(H$10:H$609,"&lt;"&amp;H41)+1,""))</f>
        <v/>
      </c>
      <c r="J41" t="str">
        <f>IFERROR(INDEX(tblY8[Class],ROWS(J$10:J41))&amp;"","")</f>
        <v>8A/Sc2</v>
      </c>
      <c r="K41" t="str">
        <f>IF(J41="","",IF(COUNTIF(J$10:J41,J41)=1,COUNTIF(J$10:J$609,"&lt;"&amp;J41)+1,""))</f>
        <v/>
      </c>
      <c r="L41" t="str">
        <f>IFERROR(INDEX(tblY9[Class],ROWS(L$10:L41))&amp;"","")</f>
        <v>9B/Sc1</v>
      </c>
      <c r="M41" t="str">
        <f>IF(L41="","",IF(COUNTIF(L$10:L41,L41)=1,COUNTIF(L$10:L$609,"&lt;"&amp;L41)+1,""))</f>
        <v/>
      </c>
      <c r="N41" t="str">
        <f>IFERROR(INDEX(tblY10[Class],ROWS(N$10:N41))&amp;"","")</f>
        <v>10S/Sc1</v>
      </c>
      <c r="O41" t="str">
        <f>IF(N41="","",IF(COUNTIF(N$10:N41,N41)=1,COUNTIF(N$10:N$609,"&lt;"&amp;N41)+1,""))</f>
        <v/>
      </c>
      <c r="P41" t="str">
        <f>IFERROR(INDEX(tblY11[Class],ROWS(P$10:P41))&amp;"","")</f>
        <v>11S/Sc1</v>
      </c>
      <c r="Q41" t="str">
        <f>IF(P41="","",IF(COUNTIF(P$10:P41,P41)=1,COUNTIF(P$10:P$609,"&lt;"&amp;P41)+1,""))</f>
        <v/>
      </c>
      <c r="AA41" t="str">
        <f>IFERROR(INDEX(tblAssessments[Test Name],MATCH(SelYear&amp;"|"&amp;39,tblAssessments[Seq Key],0))&amp;"","")</f>
        <v/>
      </c>
      <c r="AB41" t="str">
        <f>IF(AA41="","",IFERROR(INDEX(tblAssessments[Max Marks],MATCH(SelYear&amp;"|"&amp;39,tblAssessments[Seq Key],0)),""))</f>
        <v/>
      </c>
      <c r="AC41" s="82" t="str">
        <f>IF(AA41="","",IFERROR(IF(INDEX(tblAssessments[Date],MATCH(SelYear&amp;"|"&amp;39,tblAssessments[Seq Key],0))="","",INDEX(tblAssessments[Date],MATCH(SelYear&amp;"|"&amp;39,tblAssessments[Seq Key],0))),""))</f>
        <v/>
      </c>
      <c r="AD41" t="str">
        <f>IF(AA41="","",IFERROR(INDEX(tblAssessments[Code],MATCH(SelYear&amp;"|"&amp;39,tblAssessments[Seq Key],0))&amp;"",""))</f>
        <v/>
      </c>
      <c r="AK41" t="str">
        <f>IF(AA41="","",IF(AD41&lt;&gt;"",AD41,LEFT(AA41,14)))</f>
        <v/>
      </c>
      <c r="AL41" t="e">
        <f>IF(AA41="",NA(),IFERROR(AVERAGE(INDEX(dData,0,MATCH(AA41&amp;CHAR(10)&amp;"Stanine",dHdr,0))),NA()))</f>
        <v>#N/A</v>
      </c>
      <c r="AM41" t="e">
        <f>IF(OR(AA41="",SelClass=""),NA(),IFERROR(AVERAGEIFS(INDEX(dData,0,MATCH(AA41&amp;CHAR(10)&amp;"Stanine",dHdr,0)),dClass,SelClass),NA()))</f>
        <v>#N/A</v>
      </c>
      <c r="BL41" t="str">
        <f>IFERROR(MATCH(SMALL($BJ$70:$BJ$669,39),$BJ$70:$BJ$669,0),"")</f>
        <v/>
      </c>
    </row>
    <row r="42">
      <c r="H42" t="str">
        <f>IFERROR(INDEX(tblY7[Class],ROWS(H$10:H42))&amp;"","")</f>
        <v>7A/Sc2</v>
      </c>
      <c r="I42" t="str">
        <f>IF(H42="","",IF(COUNTIF(H$10:H42,H42)=1,COUNTIF(H$10:H$609,"&lt;"&amp;H42)+1,""))</f>
        <v/>
      </c>
      <c r="J42" t="str">
        <f>IFERROR(INDEX(tblY8[Class],ROWS(J$10:J42))&amp;"","")</f>
        <v>8A/Sc1</v>
      </c>
      <c r="K42" t="str">
        <f>IF(J42="","",IF(COUNTIF(J$10:J42,J42)=1,COUNTIF(J$10:J$609,"&lt;"&amp;J42)+1,""))</f>
        <v/>
      </c>
      <c r="L42" t="str">
        <f>IFERROR(INDEX(tblY9[Class],ROWS(L$10:L42))&amp;"","")</f>
        <v>9B/Sc1</v>
      </c>
      <c r="M42" t="str">
        <f>IF(L42="","",IF(COUNTIF(L$10:L42,L42)=1,COUNTIF(L$10:L$609,"&lt;"&amp;L42)+1,""))</f>
        <v/>
      </c>
      <c r="N42" t="str">
        <f>IFERROR(INDEX(tblY10[Class],ROWS(N$10:N42))&amp;"","")</f>
        <v>10S/Sc4</v>
      </c>
      <c r="O42" t="str">
        <f>IF(N42="","",IF(COUNTIF(N$10:N42,N42)=1,COUNTIF(N$10:N$609,"&lt;"&amp;N42)+1,""))</f>
        <v/>
      </c>
      <c r="P42" t="str">
        <f>IFERROR(INDEX(tblY11[Class],ROWS(P$10:P42))&amp;"","")</f>
        <v>11S/Sc3</v>
      </c>
      <c r="Q42" t="str">
        <f>IF(P42="","",IF(COUNTIF(P$10:P42,P42)=1,COUNTIF(P$10:P$609,"&lt;"&amp;P42)+1,""))</f>
        <v/>
      </c>
      <c r="AA42" t="str">
        <f>IFERROR(INDEX(tblAssessments[Test Name],MATCH(SelYear&amp;"|"&amp;40,tblAssessments[Seq Key],0))&amp;"","")</f>
        <v/>
      </c>
      <c r="AB42" t="str">
        <f>IF(AA42="","",IFERROR(INDEX(tblAssessments[Max Marks],MATCH(SelYear&amp;"|"&amp;40,tblAssessments[Seq Key],0)),""))</f>
        <v/>
      </c>
      <c r="AC42" s="82" t="str">
        <f>IF(AA42="","",IFERROR(IF(INDEX(tblAssessments[Date],MATCH(SelYear&amp;"|"&amp;40,tblAssessments[Seq Key],0))="","",INDEX(tblAssessments[Date],MATCH(SelYear&amp;"|"&amp;40,tblAssessments[Seq Key],0))),""))</f>
        <v/>
      </c>
      <c r="AD42" t="str">
        <f>IF(AA42="","",IFERROR(INDEX(tblAssessments[Code],MATCH(SelYear&amp;"|"&amp;40,tblAssessments[Seq Key],0))&amp;"",""))</f>
        <v/>
      </c>
      <c r="AK42" t="str">
        <f>IF(AA42="","",IF(AD42&lt;&gt;"",AD42,LEFT(AA42,14)))</f>
        <v/>
      </c>
      <c r="AL42" t="e">
        <f>IF(AA42="",NA(),IFERROR(AVERAGE(INDEX(dData,0,MATCH(AA42&amp;CHAR(10)&amp;"Stanine",dHdr,0))),NA()))</f>
        <v>#N/A</v>
      </c>
      <c r="AM42" t="e">
        <f>IF(OR(AA42="",SelClass=""),NA(),IFERROR(AVERAGEIFS(INDEX(dData,0,MATCH(AA42&amp;CHAR(10)&amp;"Stanine",dHdr,0)),dClass,SelClass),NA()))</f>
        <v>#N/A</v>
      </c>
      <c r="BL42" t="str">
        <f>IFERROR(MATCH(SMALL($BJ$70:$BJ$669,40),$BJ$70:$BJ$669,0),"")</f>
        <v/>
      </c>
    </row>
    <row r="43">
      <c r="H43" t="str">
        <f>IFERROR(INDEX(tblY7[Class],ROWS(H$10:H43))&amp;"","")</f>
        <v>7B/Sc2</v>
      </c>
      <c r="I43" t="str">
        <f>IF(H43="","",IF(COUNTIF(H$10:H43,H43)=1,COUNTIF(H$10:H$609,"&lt;"&amp;H43)+1,""))</f>
        <v/>
      </c>
      <c r="J43" t="str">
        <f>IFERROR(INDEX(tblY8[Class],ROWS(J$10:J43))&amp;"","")</f>
        <v>8A/Sc2</v>
      </c>
      <c r="K43" t="str">
        <f>IF(J43="","",IF(COUNTIF(J$10:J43,J43)=1,COUNTIF(J$10:J$609,"&lt;"&amp;J43)+1,""))</f>
        <v/>
      </c>
      <c r="L43" t="str">
        <f>IFERROR(INDEX(tblY9[Class],ROWS(L$10:L43))&amp;"","")</f>
        <v>9A/Sc3</v>
      </c>
      <c r="M43" t="str">
        <f>IF(L43="","",IF(COUNTIF(L$10:L43,L43)=1,COUNTIF(L$10:L$609,"&lt;"&amp;L43)+1,""))</f>
        <v/>
      </c>
      <c r="N43" t="str">
        <f>IFERROR(INDEX(tblY10[Class],ROWS(N$10:N43))&amp;"","")</f>
        <v>10S/Sc4</v>
      </c>
      <c r="O43" t="str">
        <f>IF(N43="","",IF(COUNTIF(N$10:N43,N43)=1,COUNTIF(N$10:N$609,"&lt;"&amp;N43)+1,""))</f>
        <v/>
      </c>
      <c r="P43" t="str">
        <f>IFERROR(INDEX(tblY11[Class],ROWS(P$10:P43))&amp;"","")</f>
        <v>11S/Sc1</v>
      </c>
      <c r="Q43" t="str">
        <f>IF(P43="","",IF(COUNTIF(P$10:P43,P43)=1,COUNTIF(P$10:P$609,"&lt;"&amp;P43)+1,""))</f>
        <v/>
      </c>
      <c r="AA43" t="str">
        <f>IFERROR(INDEX(tblAssessments[Test Name],MATCH(SelYear&amp;"|"&amp;41,tblAssessments[Seq Key],0))&amp;"","")</f>
        <v/>
      </c>
      <c r="AB43" t="str">
        <f>IF(AA43="","",IFERROR(INDEX(tblAssessments[Max Marks],MATCH(SelYear&amp;"|"&amp;41,tblAssessments[Seq Key],0)),""))</f>
        <v/>
      </c>
      <c r="AC43" s="82" t="str">
        <f>IF(AA43="","",IFERROR(IF(INDEX(tblAssessments[Date],MATCH(SelYear&amp;"|"&amp;41,tblAssessments[Seq Key],0))="","",INDEX(tblAssessments[Date],MATCH(SelYear&amp;"|"&amp;41,tblAssessments[Seq Key],0))),""))</f>
        <v/>
      </c>
      <c r="AD43" t="str">
        <f>IF(AA43="","",IFERROR(INDEX(tblAssessments[Code],MATCH(SelYear&amp;"|"&amp;41,tblAssessments[Seq Key],0))&amp;"",""))</f>
        <v/>
      </c>
      <c r="AK43" t="str">
        <f>IF(AA43="","",IF(AD43&lt;&gt;"",AD43,LEFT(AA43,14)))</f>
        <v/>
      </c>
      <c r="AL43" t="e">
        <f>IF(AA43="",NA(),IFERROR(AVERAGE(INDEX(dData,0,MATCH(AA43&amp;CHAR(10)&amp;"Stanine",dHdr,0))),NA()))</f>
        <v>#N/A</v>
      </c>
      <c r="AM43" t="e">
        <f>IF(OR(AA43="",SelClass=""),NA(),IFERROR(AVERAGEIFS(INDEX(dData,0,MATCH(AA43&amp;CHAR(10)&amp;"Stanine",dHdr,0)),dClass,SelClass),NA()))</f>
        <v>#N/A</v>
      </c>
      <c r="BL43" t="str">
        <f>IFERROR(MATCH(SMALL($BJ$70:$BJ$669,41),$BJ$70:$BJ$669,0),"")</f>
        <v/>
      </c>
    </row>
    <row r="44">
      <c r="H44" t="str">
        <f>IFERROR(INDEX(tblY7[Class],ROWS(H$10:H44))&amp;"","")</f>
        <v>7A/Sc1</v>
      </c>
      <c r="I44" t="str">
        <f>IF(H44="","",IF(COUNTIF(H$10:H44,H44)=1,COUNTIF(H$10:H$609,"&lt;"&amp;H44)+1,""))</f>
        <v/>
      </c>
      <c r="J44" t="str">
        <f>IFERROR(INDEX(tblY8[Class],ROWS(J$10:J44))&amp;"","")</f>
        <v>8A/Sc2</v>
      </c>
      <c r="K44" t="str">
        <f>IF(J44="","",IF(COUNTIF(J$10:J44,J44)=1,COUNTIF(J$10:J$609,"&lt;"&amp;J44)+1,""))</f>
        <v/>
      </c>
      <c r="L44" t="str">
        <f>IFERROR(INDEX(tblY9[Class],ROWS(L$10:L44))&amp;"","")</f>
        <v>9A/Sc3</v>
      </c>
      <c r="M44" t="str">
        <f>IF(L44="","",IF(COUNTIF(L$10:L44,L44)=1,COUNTIF(L$10:L$609,"&lt;"&amp;L44)+1,""))</f>
        <v/>
      </c>
      <c r="N44" t="str">
        <f>IFERROR(INDEX(tblY10[Class],ROWS(N$10:N44))&amp;"","")</f>
        <v>10S/Sc5</v>
      </c>
      <c r="O44" t="str">
        <f>IF(N44="","",IF(COUNTIF(N$10:N44,N44)=1,COUNTIF(N$10:N$609,"&lt;"&amp;N44)+1,""))</f>
        <v/>
      </c>
      <c r="P44" t="str">
        <f>IFERROR(INDEX(tblY11[Class],ROWS(P$10:P44))&amp;"","")</f>
        <v>11S/Sc2</v>
      </c>
      <c r="Q44" t="str">
        <f>IF(P44="","",IF(COUNTIF(P$10:P44,P44)=1,COUNTIF(P$10:P$609,"&lt;"&amp;P44)+1,""))</f>
        <v/>
      </c>
      <c r="AA44" t="str">
        <f>IFERROR(INDEX(tblAssessments[Test Name],MATCH(SelYear&amp;"|"&amp;42,tblAssessments[Seq Key],0))&amp;"","")</f>
        <v/>
      </c>
      <c r="AB44" t="str">
        <f>IF(AA44="","",IFERROR(INDEX(tblAssessments[Max Marks],MATCH(SelYear&amp;"|"&amp;42,tblAssessments[Seq Key],0)),""))</f>
        <v/>
      </c>
      <c r="AC44" s="82" t="str">
        <f>IF(AA44="","",IFERROR(IF(INDEX(tblAssessments[Date],MATCH(SelYear&amp;"|"&amp;42,tblAssessments[Seq Key],0))="","",INDEX(tblAssessments[Date],MATCH(SelYear&amp;"|"&amp;42,tblAssessments[Seq Key],0))),""))</f>
        <v/>
      </c>
      <c r="AD44" t="str">
        <f>IF(AA44="","",IFERROR(INDEX(tblAssessments[Code],MATCH(SelYear&amp;"|"&amp;42,tblAssessments[Seq Key],0))&amp;"",""))</f>
        <v/>
      </c>
      <c r="AK44" t="str">
        <f>IF(AA44="","",IF(AD44&lt;&gt;"",AD44,LEFT(AA44,14)))</f>
        <v/>
      </c>
      <c r="AL44" t="e">
        <f>IF(AA44="",NA(),IFERROR(AVERAGE(INDEX(dData,0,MATCH(AA44&amp;CHAR(10)&amp;"Stanine",dHdr,0))),NA()))</f>
        <v>#N/A</v>
      </c>
      <c r="AM44" t="e">
        <f>IF(OR(AA44="",SelClass=""),NA(),IFERROR(AVERAGEIFS(INDEX(dData,0,MATCH(AA44&amp;CHAR(10)&amp;"Stanine",dHdr,0)),dClass,SelClass),NA()))</f>
        <v>#N/A</v>
      </c>
      <c r="BL44" t="str">
        <f>IFERROR(MATCH(SMALL($BJ$70:$BJ$669,42),$BJ$70:$BJ$669,0),"")</f>
        <v/>
      </c>
    </row>
    <row r="45">
      <c r="H45" t="str">
        <f>IFERROR(INDEX(tblY7[Class],ROWS(H$10:H45))&amp;"","")</f>
        <v>7A/Sc1</v>
      </c>
      <c r="I45" t="str">
        <f>IF(H45="","",IF(COUNTIF(H$10:H45,H45)=1,COUNTIF(H$10:H$609,"&lt;"&amp;H45)+1,""))</f>
        <v/>
      </c>
      <c r="J45" t="str">
        <f>IFERROR(INDEX(tblY8[Class],ROWS(J$10:J45))&amp;"","")</f>
        <v>8A/Sc3</v>
      </c>
      <c r="K45" t="str">
        <f>IF(J45="","",IF(COUNTIF(J$10:J45,J45)=1,COUNTIF(J$10:J$609,"&lt;"&amp;J45)+1,""))</f>
        <v/>
      </c>
      <c r="L45" t="str">
        <f>IFERROR(INDEX(tblY9[Class],ROWS(L$10:L45))&amp;"","")</f>
        <v>9B/Sc1</v>
      </c>
      <c r="M45" t="str">
        <f>IF(L45="","",IF(COUNTIF(L$10:L45,L45)=1,COUNTIF(L$10:L$609,"&lt;"&amp;L45)+1,""))</f>
        <v/>
      </c>
      <c r="N45" t="str">
        <f>IFERROR(INDEX(tblY10[Class],ROWS(N$10:N45))&amp;"","")</f>
        <v>10S/Sc1</v>
      </c>
      <c r="O45" t="str">
        <f>IF(N45="","",IF(COUNTIF(N$10:N45,N45)=1,COUNTIF(N$10:N$609,"&lt;"&amp;N45)+1,""))</f>
        <v/>
      </c>
      <c r="P45" t="str">
        <f>IFERROR(INDEX(tblY11[Class],ROWS(P$10:P45))&amp;"","")</f>
        <v>Science Support</v>
      </c>
      <c r="Q45" t="str">
        <f>IF(P45="","",IF(COUNTIF(P$10:P45,P45)=1,COUNTIF(P$10:P$609,"&lt;"&amp;P45)+1,""))</f>
        <v/>
      </c>
      <c r="AA45" t="str">
        <f>IFERROR(INDEX(tblAssessments[Test Name],MATCH(SelYear&amp;"|"&amp;43,tblAssessments[Seq Key],0))&amp;"","")</f>
        <v/>
      </c>
      <c r="AB45" t="str">
        <f>IF(AA45="","",IFERROR(INDEX(tblAssessments[Max Marks],MATCH(SelYear&amp;"|"&amp;43,tblAssessments[Seq Key],0)),""))</f>
        <v/>
      </c>
      <c r="AC45" s="82" t="str">
        <f>IF(AA45="","",IFERROR(IF(INDEX(tblAssessments[Date],MATCH(SelYear&amp;"|"&amp;43,tblAssessments[Seq Key],0))="","",INDEX(tblAssessments[Date],MATCH(SelYear&amp;"|"&amp;43,tblAssessments[Seq Key],0))),""))</f>
        <v/>
      </c>
      <c r="AD45" t="str">
        <f>IF(AA45="","",IFERROR(INDEX(tblAssessments[Code],MATCH(SelYear&amp;"|"&amp;43,tblAssessments[Seq Key],0))&amp;"",""))</f>
        <v/>
      </c>
      <c r="AK45" t="str">
        <f>IF(AA45="","",IF(AD45&lt;&gt;"",AD45,LEFT(AA45,14)))</f>
        <v/>
      </c>
      <c r="AL45" t="e">
        <f>IF(AA45="",NA(),IFERROR(AVERAGE(INDEX(dData,0,MATCH(AA45&amp;CHAR(10)&amp;"Stanine",dHdr,0))),NA()))</f>
        <v>#N/A</v>
      </c>
      <c r="AM45" t="e">
        <f>IF(OR(AA45="",SelClass=""),NA(),IFERROR(AVERAGEIFS(INDEX(dData,0,MATCH(AA45&amp;CHAR(10)&amp;"Stanine",dHdr,0)),dClass,SelClass),NA()))</f>
        <v>#N/A</v>
      </c>
      <c r="BL45" t="str">
        <f>IFERROR(MATCH(SMALL($BJ$70:$BJ$669,43),$BJ$70:$BJ$669,0),"")</f>
        <v/>
      </c>
    </row>
    <row r="46">
      <c r="H46" t="str">
        <f>IFERROR(INDEX(tblY7[Class],ROWS(H$10:H46))&amp;"","")</f>
        <v>7B/Sc1</v>
      </c>
      <c r="I46" t="str">
        <f>IF(H46="","",IF(COUNTIF(H$10:H46,H46)=1,COUNTIF(H$10:H$609,"&lt;"&amp;H46)+1,""))</f>
        <v/>
      </c>
      <c r="J46" t="str">
        <f>IFERROR(INDEX(tblY8[Class],ROWS(J$10:J46))&amp;"","")</f>
        <v>8A/Sc1</v>
      </c>
      <c r="K46" t="str">
        <f>IF(J46="","",IF(COUNTIF(J$10:J46,J46)=1,COUNTIF(J$10:J$609,"&lt;"&amp;J46)+1,""))</f>
        <v/>
      </c>
      <c r="L46" t="str">
        <f>IFERROR(INDEX(tblY9[Class],ROWS(L$10:L46))&amp;"","")</f>
        <v>9B/Sc2</v>
      </c>
      <c r="M46" t="str">
        <f>IF(L46="","",IF(COUNTIF(L$10:L46,L46)=1,COUNTIF(L$10:L$609,"&lt;"&amp;L46)+1,""))</f>
        <v/>
      </c>
      <c r="N46" t="str">
        <f>IFERROR(INDEX(tblY10[Class],ROWS(N$10:N46))&amp;"","")</f>
        <v>10S/Sc1</v>
      </c>
      <c r="O46" t="str">
        <f>IF(N46="","",IF(COUNTIF(N$10:N46,N46)=1,COUNTIF(N$10:N$609,"&lt;"&amp;N46)+1,""))</f>
        <v/>
      </c>
      <c r="P46" t="str">
        <f>IFERROR(INDEX(tblY11[Class],ROWS(P$10:P46))&amp;"","")</f>
        <v>11S/Sc1</v>
      </c>
      <c r="Q46" t="str">
        <f>IF(P46="","",IF(COUNTIF(P$10:P46,P46)=1,COUNTIF(P$10:P$609,"&lt;"&amp;P46)+1,""))</f>
        <v/>
      </c>
      <c r="AA46" t="str">
        <f>IFERROR(INDEX(tblAssessments[Test Name],MATCH(SelYear&amp;"|"&amp;44,tblAssessments[Seq Key],0))&amp;"","")</f>
        <v/>
      </c>
      <c r="AB46" t="str">
        <f>IF(AA46="","",IFERROR(INDEX(tblAssessments[Max Marks],MATCH(SelYear&amp;"|"&amp;44,tblAssessments[Seq Key],0)),""))</f>
        <v/>
      </c>
      <c r="AC46" s="82" t="str">
        <f>IF(AA46="","",IFERROR(IF(INDEX(tblAssessments[Date],MATCH(SelYear&amp;"|"&amp;44,tblAssessments[Seq Key],0))="","",INDEX(tblAssessments[Date],MATCH(SelYear&amp;"|"&amp;44,tblAssessments[Seq Key],0))),""))</f>
        <v/>
      </c>
      <c r="AD46" t="str">
        <f>IF(AA46="","",IFERROR(INDEX(tblAssessments[Code],MATCH(SelYear&amp;"|"&amp;44,tblAssessments[Seq Key],0))&amp;"",""))</f>
        <v/>
      </c>
      <c r="AK46" t="str">
        <f>IF(AA46="","",IF(AD46&lt;&gt;"",AD46,LEFT(AA46,14)))</f>
        <v/>
      </c>
      <c r="AL46" t="e">
        <f>IF(AA46="",NA(),IFERROR(AVERAGE(INDEX(dData,0,MATCH(AA46&amp;CHAR(10)&amp;"Stanine",dHdr,0))),NA()))</f>
        <v>#N/A</v>
      </c>
      <c r="AM46" t="e">
        <f>IF(OR(AA46="",SelClass=""),NA(),IFERROR(AVERAGEIFS(INDEX(dData,0,MATCH(AA46&amp;CHAR(10)&amp;"Stanine",dHdr,0)),dClass,SelClass),NA()))</f>
        <v>#N/A</v>
      </c>
      <c r="BL46" t="str">
        <f>IFERROR(MATCH(SMALL($BJ$70:$BJ$669,44),$BJ$70:$BJ$669,0),"")</f>
        <v/>
      </c>
    </row>
    <row r="47">
      <c r="H47" t="str">
        <f>IFERROR(INDEX(tblY7[Class],ROWS(H$10:H47))&amp;"","")</f>
        <v>7A/Sc2</v>
      </c>
      <c r="I47" t="str">
        <f>IF(H47="","",IF(COUNTIF(H$10:H47,H47)=1,COUNTIF(H$10:H$609,"&lt;"&amp;H47)+1,""))</f>
        <v/>
      </c>
      <c r="J47" t="str">
        <f>IFERROR(INDEX(tblY8[Class],ROWS(J$10:J47))&amp;"","")</f>
        <v>8A/Sc2</v>
      </c>
      <c r="K47" t="str">
        <f>IF(J47="","",IF(COUNTIF(J$10:J47,J47)=1,COUNTIF(J$10:J$609,"&lt;"&amp;J47)+1,""))</f>
        <v/>
      </c>
      <c r="L47" t="str">
        <f>IFERROR(INDEX(tblY9[Class],ROWS(L$10:L47))&amp;"","")</f>
        <v>9A/Sc2</v>
      </c>
      <c r="M47" t="str">
        <f>IF(L47="","",IF(COUNTIF(L$10:L47,L47)=1,COUNTIF(L$10:L$609,"&lt;"&amp;L47)+1,""))</f>
        <v/>
      </c>
      <c r="N47" t="str">
        <f>IFERROR(INDEX(tblY10[Class],ROWS(N$10:N47))&amp;"","")</f>
        <v>10S/Sc3</v>
      </c>
      <c r="O47" t="str">
        <f>IF(N47="","",IF(COUNTIF(N$10:N47,N47)=1,COUNTIF(N$10:N$609,"&lt;"&amp;N47)+1,""))</f>
        <v/>
      </c>
      <c r="P47" t="str">
        <f>IFERROR(INDEX(tblY11[Class],ROWS(P$10:P47))&amp;"","")</f>
        <v>Science Support</v>
      </c>
      <c r="Q47" t="str">
        <f>IF(P47="","",IF(COUNTIF(P$10:P47,P47)=1,COUNTIF(P$10:P$609,"&lt;"&amp;P47)+1,""))</f>
        <v/>
      </c>
      <c r="AA47" t="str">
        <f>IFERROR(INDEX(tblAssessments[Test Name],MATCH(SelYear&amp;"|"&amp;45,tblAssessments[Seq Key],0))&amp;"","")</f>
        <v/>
      </c>
      <c r="AB47" t="str">
        <f>IF(AA47="","",IFERROR(INDEX(tblAssessments[Max Marks],MATCH(SelYear&amp;"|"&amp;45,tblAssessments[Seq Key],0)),""))</f>
        <v/>
      </c>
      <c r="AC47" s="82" t="str">
        <f>IF(AA47="","",IFERROR(IF(INDEX(tblAssessments[Date],MATCH(SelYear&amp;"|"&amp;45,tblAssessments[Seq Key],0))="","",INDEX(tblAssessments[Date],MATCH(SelYear&amp;"|"&amp;45,tblAssessments[Seq Key],0))),""))</f>
        <v/>
      </c>
      <c r="AD47" t="str">
        <f>IF(AA47="","",IFERROR(INDEX(tblAssessments[Code],MATCH(SelYear&amp;"|"&amp;45,tblAssessments[Seq Key],0))&amp;"",""))</f>
        <v/>
      </c>
      <c r="AK47" t="str">
        <f>IF(AA47="","",IF(AD47&lt;&gt;"",AD47,LEFT(AA47,14)))</f>
        <v/>
      </c>
      <c r="AL47" t="e">
        <f>IF(AA47="",NA(),IFERROR(AVERAGE(INDEX(dData,0,MATCH(AA47&amp;CHAR(10)&amp;"Stanine",dHdr,0))),NA()))</f>
        <v>#N/A</v>
      </c>
      <c r="AM47" t="e">
        <f>IF(OR(AA47="",SelClass=""),NA(),IFERROR(AVERAGEIFS(INDEX(dData,0,MATCH(AA47&amp;CHAR(10)&amp;"Stanine",dHdr,0)),dClass,SelClass),NA()))</f>
        <v>#N/A</v>
      </c>
      <c r="BL47" t="str">
        <f>IFERROR(MATCH(SMALL($BJ$70:$BJ$669,45),$BJ$70:$BJ$669,0),"")</f>
        <v/>
      </c>
    </row>
    <row r="48">
      <c r="H48" t="str">
        <f>IFERROR(INDEX(tblY7[Class],ROWS(H$10:H48))&amp;"","")</f>
        <v>7B/Sc2</v>
      </c>
      <c r="I48" t="str">
        <f>IF(H48="","",IF(COUNTIF(H$10:H48,H48)=1,COUNTIF(H$10:H$609,"&lt;"&amp;H48)+1,""))</f>
        <v/>
      </c>
      <c r="J48" t="str">
        <f>IFERROR(INDEX(tblY8[Class],ROWS(J$10:J48))&amp;"","")</f>
        <v>8A/Sc4</v>
      </c>
      <c r="K48" t="str">
        <f>IF(J48="","",IF(COUNTIF(J$10:J48,J48)=1,COUNTIF(J$10:J$609,"&lt;"&amp;J48)+1,""))</f>
        <v/>
      </c>
      <c r="L48" t="str">
        <f>IFERROR(INDEX(tblY9[Class],ROWS(L$10:L48))&amp;"","")</f>
        <v>Science Support</v>
      </c>
      <c r="M48" t="str">
        <f>IF(L48="","",IF(COUNTIF(L$10:L48,L48)=1,COUNTIF(L$10:L$609,"&lt;"&amp;L48)+1,""))</f>
        <v/>
      </c>
      <c r="N48" t="str">
        <f>IFERROR(INDEX(tblY10[Class],ROWS(N$10:N48))&amp;"","")</f>
        <v>10S/Sc1</v>
      </c>
      <c r="O48" t="str">
        <f>IF(N48="","",IF(COUNTIF(N$10:N48,N48)=1,COUNTIF(N$10:N$609,"&lt;"&amp;N48)+1,""))</f>
        <v/>
      </c>
      <c r="P48" t="str">
        <f>IFERROR(INDEX(tblY11[Class],ROWS(P$10:P48))&amp;"","")</f>
        <v>11S/Sc3</v>
      </c>
      <c r="Q48" t="str">
        <f>IF(P48="","",IF(COUNTIF(P$10:P48,P48)=1,COUNTIF(P$10:P$609,"&lt;"&amp;P48)+1,""))</f>
        <v/>
      </c>
      <c r="AA48" t="str">
        <f>IFERROR(INDEX(tblAssessments[Test Name],MATCH(SelYear&amp;"|"&amp;46,tblAssessments[Seq Key],0))&amp;"","")</f>
        <v/>
      </c>
      <c r="AB48" t="str">
        <f>IF(AA48="","",IFERROR(INDEX(tblAssessments[Max Marks],MATCH(SelYear&amp;"|"&amp;46,tblAssessments[Seq Key],0)),""))</f>
        <v/>
      </c>
      <c r="AC48" s="82" t="str">
        <f>IF(AA48="","",IFERROR(IF(INDEX(tblAssessments[Date],MATCH(SelYear&amp;"|"&amp;46,tblAssessments[Seq Key],0))="","",INDEX(tblAssessments[Date],MATCH(SelYear&amp;"|"&amp;46,tblAssessments[Seq Key],0))),""))</f>
        <v/>
      </c>
      <c r="AD48" t="str">
        <f>IF(AA48="","",IFERROR(INDEX(tblAssessments[Code],MATCH(SelYear&amp;"|"&amp;46,tblAssessments[Seq Key],0))&amp;"",""))</f>
        <v/>
      </c>
      <c r="AK48" t="str">
        <f>IF(AA48="","",IF(AD48&lt;&gt;"",AD48,LEFT(AA48,14)))</f>
        <v/>
      </c>
      <c r="AL48" t="e">
        <f>IF(AA48="",NA(),IFERROR(AVERAGE(INDEX(dData,0,MATCH(AA48&amp;CHAR(10)&amp;"Stanine",dHdr,0))),NA()))</f>
        <v>#N/A</v>
      </c>
      <c r="AM48" t="e">
        <f>IF(OR(AA48="",SelClass=""),NA(),IFERROR(AVERAGEIFS(INDEX(dData,0,MATCH(AA48&amp;CHAR(10)&amp;"Stanine",dHdr,0)),dClass,SelClass),NA()))</f>
        <v>#N/A</v>
      </c>
      <c r="BL48" t="str">
        <f>IFERROR(MATCH(SMALL($BJ$70:$BJ$669,46),$BJ$70:$BJ$669,0),"")</f>
        <v/>
      </c>
    </row>
    <row r="49">
      <c r="H49" t="str">
        <f>IFERROR(INDEX(tblY7[Class],ROWS(H$10:H49))&amp;"","")</f>
        <v>7A/Sc2</v>
      </c>
      <c r="I49" t="str">
        <f>IF(H49="","",IF(COUNTIF(H$10:H49,H49)=1,COUNTIF(H$10:H$609,"&lt;"&amp;H49)+1,""))</f>
        <v/>
      </c>
      <c r="J49" t="str">
        <f>IFERROR(INDEX(tblY8[Class],ROWS(J$10:J49))&amp;"","")</f>
        <v>8A/Sc4</v>
      </c>
      <c r="K49" t="str">
        <f>IF(J49="","",IF(COUNTIF(J$10:J49,J49)=1,COUNTIF(J$10:J$609,"&lt;"&amp;J49)+1,""))</f>
        <v/>
      </c>
      <c r="L49" t="str">
        <f>IFERROR(INDEX(tblY9[Class],ROWS(L$10:L49))&amp;"","")</f>
        <v>9B/Sc2</v>
      </c>
      <c r="M49" t="str">
        <f>IF(L49="","",IF(COUNTIF(L$10:L49,L49)=1,COUNTIF(L$10:L$609,"&lt;"&amp;L49)+1,""))</f>
        <v/>
      </c>
      <c r="N49" t="str">
        <f>IFERROR(INDEX(tblY10[Class],ROWS(N$10:N49))&amp;"","")</f>
        <v>10S/Sc3</v>
      </c>
      <c r="O49" t="str">
        <f>IF(N49="","",IF(COUNTIF(N$10:N49,N49)=1,COUNTIF(N$10:N$609,"&lt;"&amp;N49)+1,""))</f>
        <v/>
      </c>
      <c r="P49" t="str">
        <f>IFERROR(INDEX(tblY11[Class],ROWS(P$10:P49))&amp;"","")</f>
        <v>11S/Sc2</v>
      </c>
      <c r="Q49" t="str">
        <f>IF(P49="","",IF(COUNTIF(P$10:P49,P49)=1,COUNTIF(P$10:P$609,"&lt;"&amp;P49)+1,""))</f>
        <v/>
      </c>
      <c r="AA49" t="str">
        <f>IFERROR(INDEX(tblAssessments[Test Name],MATCH(SelYear&amp;"|"&amp;47,tblAssessments[Seq Key],0))&amp;"","")</f>
        <v/>
      </c>
      <c r="AB49" t="str">
        <f>IF(AA49="","",IFERROR(INDEX(tblAssessments[Max Marks],MATCH(SelYear&amp;"|"&amp;47,tblAssessments[Seq Key],0)),""))</f>
        <v/>
      </c>
      <c r="AC49" s="82" t="str">
        <f>IF(AA49="","",IFERROR(IF(INDEX(tblAssessments[Date],MATCH(SelYear&amp;"|"&amp;47,tblAssessments[Seq Key],0))="","",INDEX(tblAssessments[Date],MATCH(SelYear&amp;"|"&amp;47,tblAssessments[Seq Key],0))),""))</f>
        <v/>
      </c>
      <c r="AD49" t="str">
        <f>IF(AA49="","",IFERROR(INDEX(tblAssessments[Code],MATCH(SelYear&amp;"|"&amp;47,tblAssessments[Seq Key],0))&amp;"",""))</f>
        <v/>
      </c>
      <c r="AK49" t="str">
        <f>IF(AA49="","",IF(AD49&lt;&gt;"",AD49,LEFT(AA49,14)))</f>
        <v/>
      </c>
      <c r="AL49" t="e">
        <f>IF(AA49="",NA(),IFERROR(AVERAGE(INDEX(dData,0,MATCH(AA49&amp;CHAR(10)&amp;"Stanine",dHdr,0))),NA()))</f>
        <v>#N/A</v>
      </c>
      <c r="AM49" t="e">
        <f>IF(OR(AA49="",SelClass=""),NA(),IFERROR(AVERAGEIFS(INDEX(dData,0,MATCH(AA49&amp;CHAR(10)&amp;"Stanine",dHdr,0)),dClass,SelClass),NA()))</f>
        <v>#N/A</v>
      </c>
      <c r="BL49" t="str">
        <f>IFERROR(MATCH(SMALL($BJ$70:$BJ$669,47),$BJ$70:$BJ$669,0),"")</f>
        <v/>
      </c>
    </row>
    <row r="50">
      <c r="H50" t="str">
        <f>IFERROR(INDEX(tblY7[Class],ROWS(H$10:H50))&amp;"","")</f>
        <v>7B/Sc2</v>
      </c>
      <c r="I50" t="str">
        <f>IF(H50="","",IF(COUNTIF(H$10:H50,H50)=1,COUNTIF(H$10:H$609,"&lt;"&amp;H50)+1,""))</f>
        <v/>
      </c>
      <c r="J50" t="str">
        <f>IFERROR(INDEX(tblY8[Class],ROWS(J$10:J50))&amp;"","")</f>
        <v>8A/Sc2</v>
      </c>
      <c r="K50" t="str">
        <f>IF(J50="","",IF(COUNTIF(J$10:J50,J50)=1,COUNTIF(J$10:J$609,"&lt;"&amp;J50)+1,""))</f>
        <v/>
      </c>
      <c r="L50" t="str">
        <f>IFERROR(INDEX(tblY9[Class],ROWS(L$10:L50))&amp;"","")</f>
        <v>9B/Sc1</v>
      </c>
      <c r="M50" t="str">
        <f>IF(L50="","",IF(COUNTIF(L$10:L50,L50)=1,COUNTIF(L$10:L$609,"&lt;"&amp;L50)+1,""))</f>
        <v/>
      </c>
      <c r="N50" t="str">
        <f>IFERROR(INDEX(tblY10[Class],ROWS(N$10:N50))&amp;"","")</f>
        <v>10S/Sc3</v>
      </c>
      <c r="O50" t="str">
        <f>IF(N50="","",IF(COUNTIF(N$10:N50,N50)=1,COUNTIF(N$10:N$609,"&lt;"&amp;N50)+1,""))</f>
        <v/>
      </c>
      <c r="P50" t="str">
        <f>IFERROR(INDEX(tblY11[Class],ROWS(P$10:P50))&amp;"","")</f>
        <v>11S/Sc1</v>
      </c>
      <c r="Q50" t="str">
        <f>IF(P50="","",IF(COUNTIF(P$10:P50,P50)=1,COUNTIF(P$10:P$609,"&lt;"&amp;P50)+1,""))</f>
        <v/>
      </c>
      <c r="AA50" t="str">
        <f>IFERROR(INDEX(tblAssessments[Test Name],MATCH(SelYear&amp;"|"&amp;48,tblAssessments[Seq Key],0))&amp;"","")</f>
        <v/>
      </c>
      <c r="AB50" t="str">
        <f>IF(AA50="","",IFERROR(INDEX(tblAssessments[Max Marks],MATCH(SelYear&amp;"|"&amp;48,tblAssessments[Seq Key],0)),""))</f>
        <v/>
      </c>
      <c r="AC50" s="82" t="str">
        <f>IF(AA50="","",IFERROR(IF(INDEX(tblAssessments[Date],MATCH(SelYear&amp;"|"&amp;48,tblAssessments[Seq Key],0))="","",INDEX(tblAssessments[Date],MATCH(SelYear&amp;"|"&amp;48,tblAssessments[Seq Key],0))),""))</f>
        <v/>
      </c>
      <c r="AD50" t="str">
        <f>IF(AA50="","",IFERROR(INDEX(tblAssessments[Code],MATCH(SelYear&amp;"|"&amp;48,tblAssessments[Seq Key],0))&amp;"",""))</f>
        <v/>
      </c>
      <c r="AK50" t="str">
        <f>IF(AA50="","",IF(AD50&lt;&gt;"",AD50,LEFT(AA50,14)))</f>
        <v/>
      </c>
      <c r="AL50" t="e">
        <f>IF(AA50="",NA(),IFERROR(AVERAGE(INDEX(dData,0,MATCH(AA50&amp;CHAR(10)&amp;"Stanine",dHdr,0))),NA()))</f>
        <v>#N/A</v>
      </c>
      <c r="AM50" t="e">
        <f>IF(OR(AA50="",SelClass=""),NA(),IFERROR(AVERAGEIFS(INDEX(dData,0,MATCH(AA50&amp;CHAR(10)&amp;"Stanine",dHdr,0)),dClass,SelClass),NA()))</f>
        <v>#N/A</v>
      </c>
      <c r="BL50" t="str">
        <f>IFERROR(MATCH(SMALL($BJ$70:$BJ$669,48),$BJ$70:$BJ$669,0),"")</f>
        <v/>
      </c>
    </row>
    <row r="51">
      <c r="H51" t="str">
        <f>IFERROR(INDEX(tblY7[Class],ROWS(H$10:H51))&amp;"","")</f>
        <v>7B/Sc1</v>
      </c>
      <c r="I51" t="str">
        <f>IF(H51="","",IF(COUNTIF(H$10:H51,H51)=1,COUNTIF(H$10:H$609,"&lt;"&amp;H51)+1,""))</f>
        <v/>
      </c>
      <c r="J51" t="str">
        <f>IFERROR(INDEX(tblY8[Class],ROWS(J$10:J51))&amp;"","")</f>
        <v>8A/Sc4</v>
      </c>
      <c r="K51" t="str">
        <f>IF(J51="","",IF(COUNTIF(J$10:J51,J51)=1,COUNTIF(J$10:J$609,"&lt;"&amp;J51)+1,""))</f>
        <v/>
      </c>
      <c r="L51" t="str">
        <f>IFERROR(INDEX(tblY9[Class],ROWS(L$10:L51))&amp;"","")</f>
        <v>9A/Sc2</v>
      </c>
      <c r="M51" t="str">
        <f>IF(L51="","",IF(COUNTIF(L$10:L51,L51)=1,COUNTIF(L$10:L$609,"&lt;"&amp;L51)+1,""))</f>
        <v/>
      </c>
      <c r="N51" t="str">
        <f>IFERROR(INDEX(tblY10[Class],ROWS(N$10:N51))&amp;"","")</f>
        <v>10S/Sc4</v>
      </c>
      <c r="O51" t="str">
        <f>IF(N51="","",IF(COUNTIF(N$10:N51,N51)=1,COUNTIF(N$10:N$609,"&lt;"&amp;N51)+1,""))</f>
        <v/>
      </c>
      <c r="P51" t="str">
        <f>IFERROR(INDEX(tblY11[Class],ROWS(P$10:P51))&amp;"","")</f>
        <v>11S/Sc1</v>
      </c>
      <c r="Q51" t="str">
        <f>IF(P51="","",IF(COUNTIF(P$10:P51,P51)=1,COUNTIF(P$10:P$609,"&lt;"&amp;P51)+1,""))</f>
        <v/>
      </c>
      <c r="AA51" t="str">
        <f>IFERROR(INDEX(tblAssessments[Test Name],MATCH(SelYear&amp;"|"&amp;49,tblAssessments[Seq Key],0))&amp;"","")</f>
        <v/>
      </c>
      <c r="AB51" t="str">
        <f>IF(AA51="","",IFERROR(INDEX(tblAssessments[Max Marks],MATCH(SelYear&amp;"|"&amp;49,tblAssessments[Seq Key],0)),""))</f>
        <v/>
      </c>
      <c r="AC51" s="82" t="str">
        <f>IF(AA51="","",IFERROR(IF(INDEX(tblAssessments[Date],MATCH(SelYear&amp;"|"&amp;49,tblAssessments[Seq Key],0))="","",INDEX(tblAssessments[Date],MATCH(SelYear&amp;"|"&amp;49,tblAssessments[Seq Key],0))),""))</f>
        <v/>
      </c>
      <c r="AD51" t="str">
        <f>IF(AA51="","",IFERROR(INDEX(tblAssessments[Code],MATCH(SelYear&amp;"|"&amp;49,tblAssessments[Seq Key],0))&amp;"",""))</f>
        <v/>
      </c>
      <c r="AK51" t="str">
        <f>IF(AA51="","",IF(AD51&lt;&gt;"",AD51,LEFT(AA51,14)))</f>
        <v/>
      </c>
      <c r="AL51" t="e">
        <f>IF(AA51="",NA(),IFERROR(AVERAGE(INDEX(dData,0,MATCH(AA51&amp;CHAR(10)&amp;"Stanine",dHdr,0))),NA()))</f>
        <v>#N/A</v>
      </c>
      <c r="AM51" t="e">
        <f>IF(OR(AA51="",SelClass=""),NA(),IFERROR(AVERAGEIFS(INDEX(dData,0,MATCH(AA51&amp;CHAR(10)&amp;"Stanine",dHdr,0)),dClass,SelClass),NA()))</f>
        <v>#N/A</v>
      </c>
      <c r="BL51" t="str">
        <f>IFERROR(MATCH(SMALL($BJ$70:$BJ$669,49),$BJ$70:$BJ$669,0),"")</f>
        <v/>
      </c>
    </row>
    <row r="52">
      <c r="H52" t="str">
        <f>IFERROR(INDEX(tblY7[Class],ROWS(H$10:H52))&amp;"","")</f>
        <v>7B/Sc1</v>
      </c>
      <c r="I52" t="str">
        <f>IF(H52="","",IF(COUNTIF(H$10:H52,H52)=1,COUNTIF(H$10:H$609,"&lt;"&amp;H52)+1,""))</f>
        <v/>
      </c>
      <c r="J52" t="str">
        <f>IFERROR(INDEX(tblY8[Class],ROWS(J$10:J52))&amp;"","")</f>
        <v>8A/Sc1</v>
      </c>
      <c r="K52" t="str">
        <f>IF(J52="","",IF(COUNTIF(J$10:J52,J52)=1,COUNTIF(J$10:J$609,"&lt;"&amp;J52)+1,""))</f>
        <v/>
      </c>
      <c r="L52" t="str">
        <f>IFERROR(INDEX(tblY9[Class],ROWS(L$10:L52))&amp;"","")</f>
        <v>9A/Sc3</v>
      </c>
      <c r="M52" t="str">
        <f>IF(L52="","",IF(COUNTIF(L$10:L52,L52)=1,COUNTIF(L$10:L$609,"&lt;"&amp;L52)+1,""))</f>
        <v/>
      </c>
      <c r="N52" t="str">
        <f>IFERROR(INDEX(tblY10[Class],ROWS(N$10:N52))&amp;"","")</f>
        <v>10S/Sc3</v>
      </c>
      <c r="O52" t="str">
        <f>IF(N52="","",IF(COUNTIF(N$10:N52,N52)=1,COUNTIF(N$10:N$609,"&lt;"&amp;N52)+1,""))</f>
        <v/>
      </c>
      <c r="P52" t="str">
        <f>IFERROR(INDEX(tblY11[Class],ROWS(P$10:P52))&amp;"","")</f>
        <v>11S/Sc2</v>
      </c>
      <c r="Q52" t="str">
        <f>IF(P52="","",IF(COUNTIF(P$10:P52,P52)=1,COUNTIF(P$10:P$609,"&lt;"&amp;P52)+1,""))</f>
        <v/>
      </c>
      <c r="AA52" t="str">
        <f>IFERROR(INDEX(tblAssessments[Test Name],MATCH(SelYear&amp;"|"&amp;50,tblAssessments[Seq Key],0))&amp;"","")</f>
        <v/>
      </c>
      <c r="AB52" t="str">
        <f>IF(AA52="","",IFERROR(INDEX(tblAssessments[Max Marks],MATCH(SelYear&amp;"|"&amp;50,tblAssessments[Seq Key],0)),""))</f>
        <v/>
      </c>
      <c r="AC52" s="82" t="str">
        <f>IF(AA52="","",IFERROR(IF(INDEX(tblAssessments[Date],MATCH(SelYear&amp;"|"&amp;50,tblAssessments[Seq Key],0))="","",INDEX(tblAssessments[Date],MATCH(SelYear&amp;"|"&amp;50,tblAssessments[Seq Key],0))),""))</f>
        <v/>
      </c>
      <c r="AD52" t="str">
        <f>IF(AA52="","",IFERROR(INDEX(tblAssessments[Code],MATCH(SelYear&amp;"|"&amp;50,tblAssessments[Seq Key],0))&amp;"",""))</f>
        <v/>
      </c>
      <c r="AK52" t="str">
        <f>IF(AA52="","",IF(AD52&lt;&gt;"",AD52,LEFT(AA52,14)))</f>
        <v/>
      </c>
      <c r="AL52" t="e">
        <f>IF(AA52="",NA(),IFERROR(AVERAGE(INDEX(dData,0,MATCH(AA52&amp;CHAR(10)&amp;"Stanine",dHdr,0))),NA()))</f>
        <v>#N/A</v>
      </c>
      <c r="AM52" t="e">
        <f>IF(OR(AA52="",SelClass=""),NA(),IFERROR(AVERAGEIFS(INDEX(dData,0,MATCH(AA52&amp;CHAR(10)&amp;"Stanine",dHdr,0)),dClass,SelClass),NA()))</f>
        <v>#N/A</v>
      </c>
      <c r="BL52" t="str">
        <f>IFERROR(MATCH(SMALL($BJ$70:$BJ$669,50),$BJ$70:$BJ$669,0),"")</f>
        <v/>
      </c>
    </row>
    <row r="53">
      <c r="H53" t="str">
        <f>IFERROR(INDEX(tblY7[Class],ROWS(H$10:H53))&amp;"","")</f>
        <v>7A/Sc2</v>
      </c>
      <c r="I53" t="str">
        <f>IF(H53="","",IF(COUNTIF(H$10:H53,H53)=1,COUNTIF(H$10:H$609,"&lt;"&amp;H53)+1,""))</f>
        <v/>
      </c>
      <c r="J53" t="str">
        <f>IFERROR(INDEX(tblY8[Class],ROWS(J$10:J53))&amp;"","")</f>
        <v>8A/Sc3</v>
      </c>
      <c r="K53" t="str">
        <f>IF(J53="","",IF(COUNTIF(J$10:J53,J53)=1,COUNTIF(J$10:J$609,"&lt;"&amp;J53)+1,""))</f>
        <v/>
      </c>
      <c r="L53" t="str">
        <f>IFERROR(INDEX(tblY9[Class],ROWS(L$10:L53))&amp;"","")</f>
        <v>9B/Sc1</v>
      </c>
      <c r="M53" t="str">
        <f>IF(L53="","",IF(COUNTIF(L$10:L53,L53)=1,COUNTIF(L$10:L$609,"&lt;"&amp;L53)+1,""))</f>
        <v/>
      </c>
      <c r="N53" t="str">
        <f>IFERROR(INDEX(tblY10[Class],ROWS(N$10:N53))&amp;"","")</f>
        <v>10S/Sc3</v>
      </c>
      <c r="O53" t="str">
        <f>IF(N53="","",IF(COUNTIF(N$10:N53,N53)=1,COUNTIF(N$10:N$609,"&lt;"&amp;N53)+1,""))</f>
        <v/>
      </c>
      <c r="P53" t="str">
        <f>IFERROR(INDEX(tblY11[Class],ROWS(P$10:P53))&amp;"","")</f>
        <v>11S/Sc1</v>
      </c>
      <c r="Q53" t="str">
        <f>IF(P53="","",IF(COUNTIF(P$10:P53,P53)=1,COUNTIF(P$10:P$609,"&lt;"&amp;P53)+1,""))</f>
        <v/>
      </c>
      <c r="AA53" t="str">
        <f>IFERROR(INDEX(tblAssessments[Test Name],MATCH(SelYear&amp;"|"&amp;51,tblAssessments[Seq Key],0))&amp;"","")</f>
        <v/>
      </c>
      <c r="AB53" t="str">
        <f>IF(AA53="","",IFERROR(INDEX(tblAssessments[Max Marks],MATCH(SelYear&amp;"|"&amp;51,tblAssessments[Seq Key],0)),""))</f>
        <v/>
      </c>
      <c r="AC53" s="82" t="str">
        <f>IF(AA53="","",IFERROR(IF(INDEX(tblAssessments[Date],MATCH(SelYear&amp;"|"&amp;51,tblAssessments[Seq Key],0))="","",INDEX(tblAssessments[Date],MATCH(SelYear&amp;"|"&amp;51,tblAssessments[Seq Key],0))),""))</f>
        <v/>
      </c>
      <c r="AD53" t="str">
        <f>IF(AA53="","",IFERROR(INDEX(tblAssessments[Code],MATCH(SelYear&amp;"|"&amp;51,tblAssessments[Seq Key],0))&amp;"",""))</f>
        <v/>
      </c>
      <c r="AK53" t="str">
        <f>IF(AA53="","",IF(AD53&lt;&gt;"",AD53,LEFT(AA53,14)))</f>
        <v/>
      </c>
      <c r="AL53" t="e">
        <f>IF(AA53="",NA(),IFERROR(AVERAGE(INDEX(dData,0,MATCH(AA53&amp;CHAR(10)&amp;"Stanine",dHdr,0))),NA()))</f>
        <v>#N/A</v>
      </c>
      <c r="AM53" t="e">
        <f>IF(OR(AA53="",SelClass=""),NA(),IFERROR(AVERAGEIFS(INDEX(dData,0,MATCH(AA53&amp;CHAR(10)&amp;"Stanine",dHdr,0)),dClass,SelClass),NA()))</f>
        <v>#N/A</v>
      </c>
    </row>
    <row r="54">
      <c r="H54" t="str">
        <f>IFERROR(INDEX(tblY7[Class],ROWS(H$10:H54))&amp;"","")</f>
        <v>7B/Sc1</v>
      </c>
      <c r="I54" t="str">
        <f>IF(H54="","",IF(COUNTIF(H$10:H54,H54)=1,COUNTIF(H$10:H$609,"&lt;"&amp;H54)+1,""))</f>
        <v/>
      </c>
      <c r="J54" t="str">
        <f>IFERROR(INDEX(tblY8[Class],ROWS(J$10:J54))&amp;"","")</f>
        <v>8A/Sc1</v>
      </c>
      <c r="K54" t="str">
        <f>IF(J54="","",IF(COUNTIF(J$10:J54,J54)=1,COUNTIF(J$10:J$609,"&lt;"&amp;J54)+1,""))</f>
        <v/>
      </c>
      <c r="L54" t="str">
        <f>IFERROR(INDEX(tblY9[Class],ROWS(L$10:L54))&amp;"","")</f>
        <v>9A/Sc2</v>
      </c>
      <c r="M54" t="str">
        <f>IF(L54="","",IF(COUNTIF(L$10:L54,L54)=1,COUNTIF(L$10:L$609,"&lt;"&amp;L54)+1,""))</f>
        <v/>
      </c>
      <c r="N54" t="str">
        <f>IFERROR(INDEX(tblY10[Class],ROWS(N$10:N54))&amp;"","")</f>
        <v>10S/Sc2</v>
      </c>
      <c r="O54" t="str">
        <f>IF(N54="","",IF(COUNTIF(N$10:N54,N54)=1,COUNTIF(N$10:N$609,"&lt;"&amp;N54)+1,""))</f>
        <v/>
      </c>
      <c r="P54" t="str">
        <f>IFERROR(INDEX(tblY11[Class],ROWS(P$10:P54))&amp;"","")</f>
        <v>11S/Sc2</v>
      </c>
      <c r="Q54" t="str">
        <f>IF(P54="","",IF(COUNTIF(P$10:P54,P54)=1,COUNTIF(P$10:P$609,"&lt;"&amp;P54)+1,""))</f>
        <v/>
      </c>
      <c r="AA54" t="str">
        <f>IFERROR(INDEX(tblAssessments[Test Name],MATCH(SelYear&amp;"|"&amp;52,tblAssessments[Seq Key],0))&amp;"","")</f>
        <v/>
      </c>
      <c r="AB54" t="str">
        <f>IF(AA54="","",IFERROR(INDEX(tblAssessments[Max Marks],MATCH(SelYear&amp;"|"&amp;52,tblAssessments[Seq Key],0)),""))</f>
        <v/>
      </c>
      <c r="AC54" s="82" t="str">
        <f>IF(AA54="","",IFERROR(IF(INDEX(tblAssessments[Date],MATCH(SelYear&amp;"|"&amp;52,tblAssessments[Seq Key],0))="","",INDEX(tblAssessments[Date],MATCH(SelYear&amp;"|"&amp;52,tblAssessments[Seq Key],0))),""))</f>
        <v/>
      </c>
      <c r="AD54" t="str">
        <f>IF(AA54="","",IFERROR(INDEX(tblAssessments[Code],MATCH(SelYear&amp;"|"&amp;52,tblAssessments[Seq Key],0))&amp;"",""))</f>
        <v/>
      </c>
      <c r="AK54" t="str">
        <f>IF(AA54="","",IF(AD54&lt;&gt;"",AD54,LEFT(AA54,14)))</f>
        <v/>
      </c>
      <c r="AL54" t="e">
        <f>IF(AA54="",NA(),IFERROR(AVERAGE(INDEX(dData,0,MATCH(AA54&amp;CHAR(10)&amp;"Stanine",dHdr,0))),NA()))</f>
        <v>#N/A</v>
      </c>
      <c r="AM54" t="e">
        <f>IF(OR(AA54="",SelClass=""),NA(),IFERROR(AVERAGEIFS(INDEX(dData,0,MATCH(AA54&amp;CHAR(10)&amp;"Stanine",dHdr,0)),dClass,SelClass),NA()))</f>
        <v>#N/A</v>
      </c>
    </row>
    <row r="55">
      <c r="H55" t="str">
        <f>IFERROR(INDEX(tblY7[Class],ROWS(H$10:H55))&amp;"","")</f>
        <v>7A/Sc2</v>
      </c>
      <c r="I55" t="str">
        <f>IF(H55="","",IF(COUNTIF(H$10:H55,H55)=1,COUNTIF(H$10:H$609,"&lt;"&amp;H55)+1,""))</f>
        <v/>
      </c>
      <c r="J55" t="str">
        <f>IFERROR(INDEX(tblY8[Class],ROWS(J$10:J55))&amp;"","")</f>
        <v>8A/Sc4</v>
      </c>
      <c r="K55" t="str">
        <f>IF(J55="","",IF(COUNTIF(J$10:J55,J55)=1,COUNTIF(J$10:J$609,"&lt;"&amp;J55)+1,""))</f>
        <v/>
      </c>
      <c r="L55" t="str">
        <f>IFERROR(INDEX(tblY9[Class],ROWS(L$10:L55))&amp;"","")</f>
        <v>9B/Sc2</v>
      </c>
      <c r="M55" t="str">
        <f>IF(L55="","",IF(COUNTIF(L$10:L55,L55)=1,COUNTIF(L$10:L$609,"&lt;"&amp;L55)+1,""))</f>
        <v/>
      </c>
      <c r="N55" t="str">
        <f>IFERROR(INDEX(tblY10[Class],ROWS(N$10:N55))&amp;"","")</f>
        <v>10S/Sc3</v>
      </c>
      <c r="O55" t="str">
        <f>IF(N55="","",IF(COUNTIF(N$10:N55,N55)=1,COUNTIF(N$10:N$609,"&lt;"&amp;N55)+1,""))</f>
        <v/>
      </c>
      <c r="P55" t="str">
        <f>IFERROR(INDEX(tblY11[Class],ROWS(P$10:P55))&amp;"","")</f>
        <v>11S/Sc2</v>
      </c>
      <c r="Q55" t="str">
        <f>IF(P55="","",IF(COUNTIF(P$10:P55,P55)=1,COUNTIF(P$10:P$609,"&lt;"&amp;P55)+1,""))</f>
        <v/>
      </c>
      <c r="AA55" t="str">
        <f>IFERROR(INDEX(tblAssessments[Test Name],MATCH(SelYear&amp;"|"&amp;53,tblAssessments[Seq Key],0))&amp;"","")</f>
        <v/>
      </c>
      <c r="AB55" t="str">
        <f>IF(AA55="","",IFERROR(INDEX(tblAssessments[Max Marks],MATCH(SelYear&amp;"|"&amp;53,tblAssessments[Seq Key],0)),""))</f>
        <v/>
      </c>
      <c r="AC55" s="82" t="str">
        <f>IF(AA55="","",IFERROR(IF(INDEX(tblAssessments[Date],MATCH(SelYear&amp;"|"&amp;53,tblAssessments[Seq Key],0))="","",INDEX(tblAssessments[Date],MATCH(SelYear&amp;"|"&amp;53,tblAssessments[Seq Key],0))),""))</f>
        <v/>
      </c>
      <c r="AD55" t="str">
        <f>IF(AA55="","",IFERROR(INDEX(tblAssessments[Code],MATCH(SelYear&amp;"|"&amp;53,tblAssessments[Seq Key],0))&amp;"",""))</f>
        <v/>
      </c>
      <c r="AK55" t="str">
        <f>IF(AA55="","",IF(AD55&lt;&gt;"",AD55,LEFT(AA55,14)))</f>
        <v/>
      </c>
      <c r="AL55" t="e">
        <f>IF(AA55="",NA(),IFERROR(AVERAGE(INDEX(dData,0,MATCH(AA55&amp;CHAR(10)&amp;"Stanine",dHdr,0))),NA()))</f>
        <v>#N/A</v>
      </c>
      <c r="AM55" t="e">
        <f>IF(OR(AA55="",SelClass=""),NA(),IFERROR(AVERAGEIFS(INDEX(dData,0,MATCH(AA55&amp;CHAR(10)&amp;"Stanine",dHdr,0)),dClass,SelClass),NA()))</f>
        <v>#N/A</v>
      </c>
    </row>
    <row r="56">
      <c r="H56" t="str">
        <f>IFERROR(INDEX(tblY7[Class],ROWS(H$10:H56))&amp;"","")</f>
        <v>7A/Sc2</v>
      </c>
      <c r="I56" t="str">
        <f>IF(H56="","",IF(COUNTIF(H$10:H56,H56)=1,COUNTIF(H$10:H$609,"&lt;"&amp;H56)+1,""))</f>
        <v/>
      </c>
      <c r="J56" t="str">
        <f>IFERROR(INDEX(tblY8[Class],ROWS(J$10:J56))&amp;"","")</f>
        <v>8A/Sc1</v>
      </c>
      <c r="K56" t="str">
        <f>IF(J56="","",IF(COUNTIF(J$10:J56,J56)=1,COUNTIF(J$10:J$609,"&lt;"&amp;J56)+1,""))</f>
        <v/>
      </c>
      <c r="L56" t="str">
        <f>IFERROR(INDEX(tblY9[Class],ROWS(L$10:L56))&amp;"","")</f>
        <v>9A/Sc1</v>
      </c>
      <c r="M56" t="str">
        <f>IF(L56="","",IF(COUNTIF(L$10:L56,L56)=1,COUNTIF(L$10:L$609,"&lt;"&amp;L56)+1,""))</f>
        <v/>
      </c>
      <c r="N56" t="str">
        <f>IFERROR(INDEX(tblY10[Class],ROWS(N$10:N56))&amp;"","")</f>
        <v>10S/Sc5</v>
      </c>
      <c r="O56" t="str">
        <f>IF(N56="","",IF(COUNTIF(N$10:N56,N56)=1,COUNTIF(N$10:N$609,"&lt;"&amp;N56)+1,""))</f>
        <v/>
      </c>
      <c r="P56" t="str">
        <f>IFERROR(INDEX(tblY11[Class],ROWS(P$10:P56))&amp;"","")</f>
        <v>11S/Sc5</v>
      </c>
      <c r="Q56" t="str">
        <f>IF(P56="","",IF(COUNTIF(P$10:P56,P56)=1,COUNTIF(P$10:P$609,"&lt;"&amp;P56)+1,""))</f>
        <v/>
      </c>
      <c r="AA56" t="str">
        <f>IFERROR(INDEX(tblAssessments[Test Name],MATCH(SelYear&amp;"|"&amp;54,tblAssessments[Seq Key],0))&amp;"","")</f>
        <v/>
      </c>
      <c r="AB56" t="str">
        <f>IF(AA56="","",IFERROR(INDEX(tblAssessments[Max Marks],MATCH(SelYear&amp;"|"&amp;54,tblAssessments[Seq Key],0)),""))</f>
        <v/>
      </c>
      <c r="AC56" s="82" t="str">
        <f>IF(AA56="","",IFERROR(IF(INDEX(tblAssessments[Date],MATCH(SelYear&amp;"|"&amp;54,tblAssessments[Seq Key],0))="","",INDEX(tblAssessments[Date],MATCH(SelYear&amp;"|"&amp;54,tblAssessments[Seq Key],0))),""))</f>
        <v/>
      </c>
      <c r="AD56" t="str">
        <f>IF(AA56="","",IFERROR(INDEX(tblAssessments[Code],MATCH(SelYear&amp;"|"&amp;54,tblAssessments[Seq Key],0))&amp;"",""))</f>
        <v/>
      </c>
      <c r="AK56" t="str">
        <f>IF(AA56="","",IF(AD56&lt;&gt;"",AD56,LEFT(AA56,14)))</f>
        <v/>
      </c>
      <c r="AL56" t="e">
        <f>IF(AA56="",NA(),IFERROR(AVERAGE(INDEX(dData,0,MATCH(AA56&amp;CHAR(10)&amp;"Stanine",dHdr,0))),NA()))</f>
        <v>#N/A</v>
      </c>
      <c r="AM56" t="e">
        <f>IF(OR(AA56="",SelClass=""),NA(),IFERROR(AVERAGEIFS(INDEX(dData,0,MATCH(AA56&amp;CHAR(10)&amp;"Stanine",dHdr,0)),dClass,SelClass),NA()))</f>
        <v>#N/A</v>
      </c>
    </row>
    <row r="57">
      <c r="H57" t="str">
        <f>IFERROR(INDEX(tblY7[Class],ROWS(H$10:H57))&amp;"","")</f>
        <v>7B/Sc2</v>
      </c>
      <c r="I57" t="str">
        <f>IF(H57="","",IF(COUNTIF(H$10:H57,H57)=1,COUNTIF(H$10:H$609,"&lt;"&amp;H57)+1,""))</f>
        <v/>
      </c>
      <c r="J57" t="str">
        <f>IFERROR(INDEX(tblY8[Class],ROWS(J$10:J57))&amp;"","")</f>
        <v>8A/Sc3</v>
      </c>
      <c r="K57" t="str">
        <f>IF(J57="","",IF(COUNTIF(J$10:J57,J57)=1,COUNTIF(J$10:J$609,"&lt;"&amp;J57)+1,""))</f>
        <v/>
      </c>
      <c r="L57" t="str">
        <f>IFERROR(INDEX(tblY9[Class],ROWS(L$10:L57))&amp;"","")</f>
        <v>9B/Sc1</v>
      </c>
      <c r="M57" t="str">
        <f>IF(L57="","",IF(COUNTIF(L$10:L57,L57)=1,COUNTIF(L$10:L$609,"&lt;"&amp;L57)+1,""))</f>
        <v/>
      </c>
      <c r="N57" t="str">
        <f>IFERROR(INDEX(tblY10[Class],ROWS(N$10:N57))&amp;"","")</f>
        <v>10S/Sc3</v>
      </c>
      <c r="O57" t="str">
        <f>IF(N57="","",IF(COUNTIF(N$10:N57,N57)=1,COUNTIF(N$10:N$609,"&lt;"&amp;N57)+1,""))</f>
        <v/>
      </c>
      <c r="P57" t="str">
        <f>IFERROR(INDEX(tblY11[Class],ROWS(P$10:P57))&amp;"","")</f>
        <v>11S/Sc3</v>
      </c>
      <c r="Q57" t="str">
        <f>IF(P57="","",IF(COUNTIF(P$10:P57,P57)=1,COUNTIF(P$10:P$609,"&lt;"&amp;P57)+1,""))</f>
        <v/>
      </c>
      <c r="AA57" t="str">
        <f>IFERROR(INDEX(tblAssessments[Test Name],MATCH(SelYear&amp;"|"&amp;55,tblAssessments[Seq Key],0))&amp;"","")</f>
        <v/>
      </c>
      <c r="AB57" t="str">
        <f>IF(AA57="","",IFERROR(INDEX(tblAssessments[Max Marks],MATCH(SelYear&amp;"|"&amp;55,tblAssessments[Seq Key],0)),""))</f>
        <v/>
      </c>
      <c r="AC57" s="82" t="str">
        <f>IF(AA57="","",IFERROR(IF(INDEX(tblAssessments[Date],MATCH(SelYear&amp;"|"&amp;55,tblAssessments[Seq Key],0))="","",INDEX(tblAssessments[Date],MATCH(SelYear&amp;"|"&amp;55,tblAssessments[Seq Key],0))),""))</f>
        <v/>
      </c>
      <c r="AD57" t="str">
        <f>IF(AA57="","",IFERROR(INDEX(tblAssessments[Code],MATCH(SelYear&amp;"|"&amp;55,tblAssessments[Seq Key],0))&amp;"",""))</f>
        <v/>
      </c>
      <c r="AK57" t="str">
        <f>IF(AA57="","",IF(AD57&lt;&gt;"",AD57,LEFT(AA57,14)))</f>
        <v/>
      </c>
      <c r="AL57" t="e">
        <f>IF(AA57="",NA(),IFERROR(AVERAGE(INDEX(dData,0,MATCH(AA57&amp;CHAR(10)&amp;"Stanine",dHdr,0))),NA()))</f>
        <v>#N/A</v>
      </c>
      <c r="AM57" t="e">
        <f>IF(OR(AA57="",SelClass=""),NA(),IFERROR(AVERAGEIFS(INDEX(dData,0,MATCH(AA57&amp;CHAR(10)&amp;"Stanine",dHdr,0)),dClass,SelClass),NA()))</f>
        <v>#N/A</v>
      </c>
    </row>
    <row r="58">
      <c r="H58" t="str">
        <f>IFERROR(INDEX(tblY7[Class],ROWS(H$10:H58))&amp;"","")</f>
        <v>7B/Sc1</v>
      </c>
      <c r="I58" t="str">
        <f>IF(H58="","",IF(COUNTIF(H$10:H58,H58)=1,COUNTIF(H$10:H$609,"&lt;"&amp;H58)+1,""))</f>
        <v/>
      </c>
      <c r="J58" t="str">
        <f>IFERROR(INDEX(tblY8[Class],ROWS(J$10:J58))&amp;"","")</f>
        <v>8A/Sc1</v>
      </c>
      <c r="K58" t="str">
        <f>IF(J58="","",IF(COUNTIF(J$10:J58,J58)=1,COUNTIF(J$10:J$609,"&lt;"&amp;J58)+1,""))</f>
        <v/>
      </c>
      <c r="L58" t="str">
        <f>IFERROR(INDEX(tblY9[Class],ROWS(L$10:L58))&amp;"","")</f>
        <v>9A/Sc1</v>
      </c>
      <c r="M58" t="str">
        <f>IF(L58="","",IF(COUNTIF(L$10:L58,L58)=1,COUNTIF(L$10:L$609,"&lt;"&amp;L58)+1,""))</f>
        <v/>
      </c>
      <c r="N58" t="str">
        <f>IFERROR(INDEX(tblY10[Class],ROWS(N$10:N58))&amp;"","")</f>
        <v>10S/Sc2</v>
      </c>
      <c r="O58" t="str">
        <f>IF(N58="","",IF(COUNTIF(N$10:N58,N58)=1,COUNTIF(N$10:N$609,"&lt;"&amp;N58)+1,""))</f>
        <v/>
      </c>
      <c r="P58" t="str">
        <f>IFERROR(INDEX(tblY11[Class],ROWS(P$10:P58))&amp;"","")</f>
        <v>11S/Sc3</v>
      </c>
      <c r="Q58" t="str">
        <f>IF(P58="","",IF(COUNTIF(P$10:P58,P58)=1,COUNTIF(P$10:P$609,"&lt;"&amp;P58)+1,""))</f>
        <v/>
      </c>
      <c r="AA58" t="str">
        <f>IFERROR(INDEX(tblAssessments[Test Name],MATCH(SelYear&amp;"|"&amp;56,tblAssessments[Seq Key],0))&amp;"","")</f>
        <v/>
      </c>
      <c r="AB58" t="str">
        <f>IF(AA58="","",IFERROR(INDEX(tblAssessments[Max Marks],MATCH(SelYear&amp;"|"&amp;56,tblAssessments[Seq Key],0)),""))</f>
        <v/>
      </c>
      <c r="AC58" s="82" t="str">
        <f>IF(AA58="","",IFERROR(IF(INDEX(tblAssessments[Date],MATCH(SelYear&amp;"|"&amp;56,tblAssessments[Seq Key],0))="","",INDEX(tblAssessments[Date],MATCH(SelYear&amp;"|"&amp;56,tblAssessments[Seq Key],0))),""))</f>
        <v/>
      </c>
      <c r="AD58" t="str">
        <f>IF(AA58="","",IFERROR(INDEX(tblAssessments[Code],MATCH(SelYear&amp;"|"&amp;56,tblAssessments[Seq Key],0))&amp;"",""))</f>
        <v/>
      </c>
      <c r="AK58" t="str">
        <f>IF(AA58="","",IF(AD58&lt;&gt;"",AD58,LEFT(AA58,14)))</f>
        <v/>
      </c>
      <c r="AL58" t="e">
        <f>IF(AA58="",NA(),IFERROR(AVERAGE(INDEX(dData,0,MATCH(AA58&amp;CHAR(10)&amp;"Stanine",dHdr,0))),NA()))</f>
        <v>#N/A</v>
      </c>
      <c r="AM58" t="e">
        <f>IF(OR(AA58="",SelClass=""),NA(),IFERROR(AVERAGEIFS(INDEX(dData,0,MATCH(AA58&amp;CHAR(10)&amp;"Stanine",dHdr,0)),dClass,SelClass),NA()))</f>
        <v>#N/A</v>
      </c>
    </row>
    <row r="59">
      <c r="H59" t="str">
        <f>IFERROR(INDEX(tblY7[Class],ROWS(H$10:H59))&amp;"","")</f>
        <v>7B/Sc1</v>
      </c>
      <c r="I59" t="str">
        <f>IF(H59="","",IF(COUNTIF(H$10:H59,H59)=1,COUNTIF(H$10:H$609,"&lt;"&amp;H59)+1,""))</f>
        <v/>
      </c>
      <c r="J59" t="str">
        <f>IFERROR(INDEX(tblY8[Class],ROWS(J$10:J59))&amp;"","")</f>
        <v>8A/Sc1</v>
      </c>
      <c r="K59" t="str">
        <f>IF(J59="","",IF(COUNTIF(J$10:J59,J59)=1,COUNTIF(J$10:J$609,"&lt;"&amp;J59)+1,""))</f>
        <v/>
      </c>
      <c r="L59" t="str">
        <f>IFERROR(INDEX(tblY9[Class],ROWS(L$10:L59))&amp;"","")</f>
        <v>9A/Sc2</v>
      </c>
      <c r="M59" t="str">
        <f>IF(L59="","",IF(COUNTIF(L$10:L59,L59)=1,COUNTIF(L$10:L$609,"&lt;"&amp;L59)+1,""))</f>
        <v/>
      </c>
      <c r="N59" t="str">
        <f>IFERROR(INDEX(tblY10[Class],ROWS(N$10:N59))&amp;"","")</f>
        <v>10S/Sc2</v>
      </c>
      <c r="O59" t="str">
        <f>IF(N59="","",IF(COUNTIF(N$10:N59,N59)=1,COUNTIF(N$10:N$609,"&lt;"&amp;N59)+1,""))</f>
        <v/>
      </c>
      <c r="P59" t="str">
        <f>IFERROR(INDEX(tblY11[Class],ROWS(P$10:P59))&amp;"","")</f>
        <v>11S/Sc3</v>
      </c>
      <c r="Q59" t="str">
        <f>IF(P59="","",IF(COUNTIF(P$10:P59,P59)=1,COUNTIF(P$10:P$609,"&lt;"&amp;P59)+1,""))</f>
        <v/>
      </c>
      <c r="AA59" t="str">
        <f>IFERROR(INDEX(tblAssessments[Test Name],MATCH(SelYear&amp;"|"&amp;57,tblAssessments[Seq Key],0))&amp;"","")</f>
        <v/>
      </c>
      <c r="AB59" t="str">
        <f>IF(AA59="","",IFERROR(INDEX(tblAssessments[Max Marks],MATCH(SelYear&amp;"|"&amp;57,tblAssessments[Seq Key],0)),""))</f>
        <v/>
      </c>
      <c r="AC59" s="82" t="str">
        <f>IF(AA59="","",IFERROR(IF(INDEX(tblAssessments[Date],MATCH(SelYear&amp;"|"&amp;57,tblAssessments[Seq Key],0))="","",INDEX(tblAssessments[Date],MATCH(SelYear&amp;"|"&amp;57,tblAssessments[Seq Key],0))),""))</f>
        <v/>
      </c>
      <c r="AD59" t="str">
        <f>IF(AA59="","",IFERROR(INDEX(tblAssessments[Code],MATCH(SelYear&amp;"|"&amp;57,tblAssessments[Seq Key],0))&amp;"",""))</f>
        <v/>
      </c>
      <c r="AK59" t="str">
        <f>IF(AA59="","",IF(AD59&lt;&gt;"",AD59,LEFT(AA59,14)))</f>
        <v/>
      </c>
      <c r="AL59" t="e">
        <f>IF(AA59="",NA(),IFERROR(AVERAGE(INDEX(dData,0,MATCH(AA59&amp;CHAR(10)&amp;"Stanine",dHdr,0))),NA()))</f>
        <v>#N/A</v>
      </c>
      <c r="AM59" t="e">
        <f>IF(OR(AA59="",SelClass=""),NA(),IFERROR(AVERAGEIFS(INDEX(dData,0,MATCH(AA59&amp;CHAR(10)&amp;"Stanine",dHdr,0)),dClass,SelClass),NA()))</f>
        <v>#N/A</v>
      </c>
    </row>
    <row r="60">
      <c r="H60" t="str">
        <f>IFERROR(INDEX(tblY7[Class],ROWS(H$10:H60))&amp;"","")</f>
        <v>7A/Sc2</v>
      </c>
      <c r="I60" t="str">
        <f>IF(H60="","",IF(COUNTIF(H$10:H60,H60)=1,COUNTIF(H$10:H$609,"&lt;"&amp;H60)+1,""))</f>
        <v/>
      </c>
      <c r="J60" t="str">
        <f>IFERROR(INDEX(tblY8[Class],ROWS(J$10:J60))&amp;"","")</f>
        <v>8A/Sc1</v>
      </c>
      <c r="K60" t="str">
        <f>IF(J60="","",IF(COUNTIF(J$10:J60,J60)=1,COUNTIF(J$10:J$609,"&lt;"&amp;J60)+1,""))</f>
        <v/>
      </c>
      <c r="L60" t="str">
        <f>IFERROR(INDEX(tblY9[Class],ROWS(L$10:L60))&amp;"","")</f>
        <v>9B/Sc1</v>
      </c>
      <c r="M60" t="str">
        <f>IF(L60="","",IF(COUNTIF(L$10:L60,L60)=1,COUNTIF(L$10:L$609,"&lt;"&amp;L60)+1,""))</f>
        <v/>
      </c>
      <c r="N60" t="str">
        <f>IFERROR(INDEX(tblY10[Class],ROWS(N$10:N60))&amp;"","")</f>
        <v>10S/Sc2</v>
      </c>
      <c r="O60" t="str">
        <f>IF(N60="","",IF(COUNTIF(N$10:N60,N60)=1,COUNTIF(N$10:N$609,"&lt;"&amp;N60)+1,""))</f>
        <v/>
      </c>
      <c r="P60" t="str">
        <f>IFERROR(INDEX(tblY11[Class],ROWS(P$10:P60))&amp;"","")</f>
        <v>11S/Sc3</v>
      </c>
      <c r="Q60" t="str">
        <f>IF(P60="","",IF(COUNTIF(P$10:P60,P60)=1,COUNTIF(P$10:P$609,"&lt;"&amp;P60)+1,""))</f>
        <v/>
      </c>
      <c r="AA60" t="str">
        <f>IFERROR(INDEX(tblAssessments[Test Name],MATCH(SelYear&amp;"|"&amp;58,tblAssessments[Seq Key],0))&amp;"","")</f>
        <v/>
      </c>
      <c r="AB60" t="str">
        <f>IF(AA60="","",IFERROR(INDEX(tblAssessments[Max Marks],MATCH(SelYear&amp;"|"&amp;58,tblAssessments[Seq Key],0)),""))</f>
        <v/>
      </c>
      <c r="AC60" s="82" t="str">
        <f>IF(AA60="","",IFERROR(IF(INDEX(tblAssessments[Date],MATCH(SelYear&amp;"|"&amp;58,tblAssessments[Seq Key],0))="","",INDEX(tblAssessments[Date],MATCH(SelYear&amp;"|"&amp;58,tblAssessments[Seq Key],0))),""))</f>
        <v/>
      </c>
      <c r="AD60" t="str">
        <f>IF(AA60="","",IFERROR(INDEX(tblAssessments[Code],MATCH(SelYear&amp;"|"&amp;58,tblAssessments[Seq Key],0))&amp;"",""))</f>
        <v/>
      </c>
      <c r="AK60" t="str">
        <f>IF(AA60="","",IF(AD60&lt;&gt;"",AD60,LEFT(AA60,14)))</f>
        <v/>
      </c>
      <c r="AL60" t="e">
        <f>IF(AA60="",NA(),IFERROR(AVERAGE(INDEX(dData,0,MATCH(AA60&amp;CHAR(10)&amp;"Stanine",dHdr,0))),NA()))</f>
        <v>#N/A</v>
      </c>
      <c r="AM60" t="e">
        <f>IF(OR(AA60="",SelClass=""),NA(),IFERROR(AVERAGEIFS(INDEX(dData,0,MATCH(AA60&amp;CHAR(10)&amp;"Stanine",dHdr,0)),dClass,SelClass),NA()))</f>
        <v>#N/A</v>
      </c>
    </row>
    <row r="61">
      <c r="H61" t="str">
        <f>IFERROR(INDEX(tblY7[Class],ROWS(H$10:H61))&amp;"","")</f>
        <v>7B/Sc3</v>
      </c>
      <c r="I61" t="str">
        <f>IF(H61="","",IF(COUNTIF(H$10:H61,H61)=1,COUNTIF(H$10:H$609,"&lt;"&amp;H61)+1,""))</f>
        <v/>
      </c>
      <c r="J61" t="str">
        <f>IFERROR(INDEX(tblY8[Class],ROWS(J$10:J61))&amp;"","")</f>
        <v>8A/Sc4</v>
      </c>
      <c r="K61" t="str">
        <f>IF(J61="","",IF(COUNTIF(J$10:J61,J61)=1,COUNTIF(J$10:J$609,"&lt;"&amp;J61)+1,""))</f>
        <v/>
      </c>
      <c r="L61" t="str">
        <f>IFERROR(INDEX(tblY9[Class],ROWS(L$10:L61))&amp;"","")</f>
        <v>9B/Sc2</v>
      </c>
      <c r="M61" t="str">
        <f>IF(L61="","",IF(COUNTIF(L$10:L61,L61)=1,COUNTIF(L$10:L$609,"&lt;"&amp;L61)+1,""))</f>
        <v/>
      </c>
      <c r="N61" t="str">
        <f>IFERROR(INDEX(tblY10[Class],ROWS(N$10:N61))&amp;"","")</f>
        <v>10S/Sc2</v>
      </c>
      <c r="O61" t="str">
        <f>IF(N61="","",IF(COUNTIF(N$10:N61,N61)=1,COUNTIF(N$10:N$609,"&lt;"&amp;N61)+1,""))</f>
        <v/>
      </c>
      <c r="P61" t="str">
        <f>IFERROR(INDEX(tblY11[Class],ROWS(P$10:P61))&amp;"","")</f>
        <v>11S/Sc2</v>
      </c>
      <c r="Q61" t="str">
        <f>IF(P61="","",IF(COUNTIF(P$10:P61,P61)=1,COUNTIF(P$10:P$609,"&lt;"&amp;P61)+1,""))</f>
        <v/>
      </c>
      <c r="AA61" t="str">
        <f>IFERROR(INDEX(tblAssessments[Test Name],MATCH(SelYear&amp;"|"&amp;59,tblAssessments[Seq Key],0))&amp;"","")</f>
        <v/>
      </c>
      <c r="AB61" t="str">
        <f>IF(AA61="","",IFERROR(INDEX(tblAssessments[Max Marks],MATCH(SelYear&amp;"|"&amp;59,tblAssessments[Seq Key],0)),""))</f>
        <v/>
      </c>
      <c r="AC61" s="82" t="str">
        <f>IF(AA61="","",IFERROR(IF(INDEX(tblAssessments[Date],MATCH(SelYear&amp;"|"&amp;59,tblAssessments[Seq Key],0))="","",INDEX(tblAssessments[Date],MATCH(SelYear&amp;"|"&amp;59,tblAssessments[Seq Key],0))),""))</f>
        <v/>
      </c>
      <c r="AD61" t="str">
        <f>IF(AA61="","",IFERROR(INDEX(tblAssessments[Code],MATCH(SelYear&amp;"|"&amp;59,tblAssessments[Seq Key],0))&amp;"",""))</f>
        <v/>
      </c>
      <c r="AK61" t="str">
        <f>IF(AA61="","",IF(AD61&lt;&gt;"",AD61,LEFT(AA61,14)))</f>
        <v/>
      </c>
      <c r="AL61" t="e">
        <f>IF(AA61="",NA(),IFERROR(AVERAGE(INDEX(dData,0,MATCH(AA61&amp;CHAR(10)&amp;"Stanine",dHdr,0))),NA()))</f>
        <v>#N/A</v>
      </c>
      <c r="AM61" t="e">
        <f>IF(OR(AA61="",SelClass=""),NA(),IFERROR(AVERAGEIFS(INDEX(dData,0,MATCH(AA61&amp;CHAR(10)&amp;"Stanine",dHdr,0)),dClass,SelClass),NA()))</f>
        <v>#N/A</v>
      </c>
    </row>
    <row r="62">
      <c r="H62" t="str">
        <f>IFERROR(INDEX(tblY7[Class],ROWS(H$10:H62))&amp;"","")</f>
        <v>7A/Sc2</v>
      </c>
      <c r="I62" t="str">
        <f>IF(H62="","",IF(COUNTIF(H$10:H62,H62)=1,COUNTIF(H$10:H$609,"&lt;"&amp;H62)+1,""))</f>
        <v/>
      </c>
      <c r="J62" t="str">
        <f>IFERROR(INDEX(tblY8[Class],ROWS(J$10:J62))&amp;"","")</f>
        <v>8A/Sc2</v>
      </c>
      <c r="K62" t="str">
        <f>IF(J62="","",IF(COUNTIF(J$10:J62,J62)=1,COUNTIF(J$10:J$609,"&lt;"&amp;J62)+1,""))</f>
        <v/>
      </c>
      <c r="L62" t="str">
        <f>IFERROR(INDEX(tblY9[Class],ROWS(L$10:L62))&amp;"","")</f>
        <v>9B/Sc2</v>
      </c>
      <c r="M62" t="str">
        <f>IF(L62="","",IF(COUNTIF(L$10:L62,L62)=1,COUNTIF(L$10:L$609,"&lt;"&amp;L62)+1,""))</f>
        <v/>
      </c>
      <c r="N62" t="str">
        <f>IFERROR(INDEX(tblY10[Class],ROWS(N$10:N62))&amp;"","")</f>
        <v>10S/Sc1</v>
      </c>
      <c r="O62" t="str">
        <f>IF(N62="","",IF(COUNTIF(N$10:N62,N62)=1,COUNTIF(N$10:N$609,"&lt;"&amp;N62)+1,""))</f>
        <v/>
      </c>
      <c r="P62" t="str">
        <f>IFERROR(INDEX(tblY11[Class],ROWS(P$10:P62))&amp;"","")</f>
        <v>11S/Sc2</v>
      </c>
      <c r="Q62" t="str">
        <f>IF(P62="","",IF(COUNTIF(P$10:P62,P62)=1,COUNTIF(P$10:P$609,"&lt;"&amp;P62)+1,""))</f>
        <v/>
      </c>
      <c r="AA62" t="str">
        <f>IFERROR(INDEX(tblAssessments[Test Name],MATCH(SelYear&amp;"|"&amp;60,tblAssessments[Seq Key],0))&amp;"","")</f>
        <v/>
      </c>
      <c r="AB62" t="str">
        <f>IF(AA62="","",IFERROR(INDEX(tblAssessments[Max Marks],MATCH(SelYear&amp;"|"&amp;60,tblAssessments[Seq Key],0)),""))</f>
        <v/>
      </c>
      <c r="AC62" s="82" t="str">
        <f>IF(AA62="","",IFERROR(IF(INDEX(tblAssessments[Date],MATCH(SelYear&amp;"|"&amp;60,tblAssessments[Seq Key],0))="","",INDEX(tblAssessments[Date],MATCH(SelYear&amp;"|"&amp;60,tblAssessments[Seq Key],0))),""))</f>
        <v/>
      </c>
      <c r="AD62" t="str">
        <f>IF(AA62="","",IFERROR(INDEX(tblAssessments[Code],MATCH(SelYear&amp;"|"&amp;60,tblAssessments[Seq Key],0))&amp;"",""))</f>
        <v/>
      </c>
      <c r="AK62" t="str">
        <f>IF(AA62="","",IF(AD62&lt;&gt;"",AD62,LEFT(AA62,14)))</f>
        <v/>
      </c>
      <c r="AL62" t="e">
        <f>IF(AA62="",NA(),IFERROR(AVERAGE(INDEX(dData,0,MATCH(AA62&amp;CHAR(10)&amp;"Stanine",dHdr,0))),NA()))</f>
        <v>#N/A</v>
      </c>
      <c r="AM62" t="e">
        <f>IF(OR(AA62="",SelClass=""),NA(),IFERROR(AVERAGEIFS(INDEX(dData,0,MATCH(AA62&amp;CHAR(10)&amp;"Stanine",dHdr,0)),dClass,SelClass),NA()))</f>
        <v>#N/A</v>
      </c>
    </row>
    <row r="63">
      <c r="H63" t="str">
        <f>IFERROR(INDEX(tblY7[Class],ROWS(H$10:H63))&amp;"","")</f>
        <v>7A/Sc2</v>
      </c>
      <c r="I63" t="str">
        <f>IF(H63="","",IF(COUNTIF(H$10:H63,H63)=1,COUNTIF(H$10:H$609,"&lt;"&amp;H63)+1,""))</f>
        <v/>
      </c>
      <c r="J63" t="str">
        <f>IFERROR(INDEX(tblY8[Class],ROWS(J$10:J63))&amp;"","")</f>
        <v>8A/Sc1</v>
      </c>
      <c r="K63" t="str">
        <f>IF(J63="","",IF(COUNTIF(J$10:J63,J63)=1,COUNTIF(J$10:J$609,"&lt;"&amp;J63)+1,""))</f>
        <v/>
      </c>
      <c r="L63" t="str">
        <f>IFERROR(INDEX(tblY9[Class],ROWS(L$10:L63))&amp;"","")</f>
        <v>9B/Sc1</v>
      </c>
      <c r="M63" t="str">
        <f>IF(L63="","",IF(COUNTIF(L$10:L63,L63)=1,COUNTIF(L$10:L$609,"&lt;"&amp;L63)+1,""))</f>
        <v/>
      </c>
      <c r="N63" t="str">
        <f>IFERROR(INDEX(tblY10[Class],ROWS(N$10:N63))&amp;"","")</f>
        <v>10S/Sc3</v>
      </c>
      <c r="O63" t="str">
        <f>IF(N63="","",IF(COUNTIF(N$10:N63,N63)=1,COUNTIF(N$10:N$609,"&lt;"&amp;N63)+1,""))</f>
        <v/>
      </c>
      <c r="P63" t="str">
        <f>IFERROR(INDEX(tblY11[Class],ROWS(P$10:P63))&amp;"","")</f>
        <v>11S/Sc3</v>
      </c>
      <c r="Q63" t="str">
        <f>IF(P63="","",IF(COUNTIF(P$10:P63,P63)=1,COUNTIF(P$10:P$609,"&lt;"&amp;P63)+1,""))</f>
        <v/>
      </c>
    </row>
    <row r="64">
      <c r="H64" t="str">
        <f>IFERROR(INDEX(tblY7[Class],ROWS(H$10:H64))&amp;"","")</f>
        <v>7B/Sc2</v>
      </c>
      <c r="I64" t="str">
        <f>IF(H64="","",IF(COUNTIF(H$10:H64,H64)=1,COUNTIF(H$10:H$609,"&lt;"&amp;H64)+1,""))</f>
        <v/>
      </c>
      <c r="J64" t="str">
        <f>IFERROR(INDEX(tblY8[Class],ROWS(J$10:J64))&amp;"","")</f>
        <v>8A/Sc1</v>
      </c>
      <c r="K64" t="str">
        <f>IF(J64="","",IF(COUNTIF(J$10:J64,J64)=1,COUNTIF(J$10:J$609,"&lt;"&amp;J64)+1,""))</f>
        <v/>
      </c>
      <c r="L64" t="str">
        <f>IFERROR(INDEX(tblY9[Class],ROWS(L$10:L64))&amp;"","")</f>
        <v>9A/Sc1</v>
      </c>
      <c r="M64" t="str">
        <f>IF(L64="","",IF(COUNTIF(L$10:L64,L64)=1,COUNTIF(L$10:L$609,"&lt;"&amp;L64)+1,""))</f>
        <v/>
      </c>
      <c r="N64" t="str">
        <f>IFERROR(INDEX(tblY10[Class],ROWS(N$10:N64))&amp;"","")</f>
        <v>10S/Sc5</v>
      </c>
      <c r="O64" t="str">
        <f>IF(N64="","",IF(COUNTIF(N$10:N64,N64)=1,COUNTIF(N$10:N$609,"&lt;"&amp;N64)+1,""))</f>
        <v/>
      </c>
      <c r="P64" t="str">
        <f>IFERROR(INDEX(tblY11[Class],ROWS(P$10:P64))&amp;"","")</f>
        <v>11S/Sc1</v>
      </c>
      <c r="Q64" t="str">
        <f>IF(P64="","",IF(COUNTIF(P$10:P64,P64)=1,COUNTIF(P$10:P$609,"&lt;"&amp;P64)+1,""))</f>
        <v/>
      </c>
      <c r="AA64">
        <f>COUNTIF(tblAssessments[Year Group],SelYear)</f>
        <v>6</v>
      </c>
    </row>
    <row r="65">
      <c r="H65" t="str">
        <f>IFERROR(INDEX(tblY7[Class],ROWS(H$10:H65))&amp;"","")</f>
        <v>7B/Sc1</v>
      </c>
      <c r="I65" t="str">
        <f>IF(H65="","",IF(COUNTIF(H$10:H65,H65)=1,COUNTIF(H$10:H$609,"&lt;"&amp;H65)+1,""))</f>
        <v/>
      </c>
      <c r="J65" t="str">
        <f>IFERROR(INDEX(tblY8[Class],ROWS(J$10:J65))&amp;"","")</f>
        <v>8A/Sc1</v>
      </c>
      <c r="K65" t="str">
        <f>IF(J65="","",IF(COUNTIF(J$10:J65,J65)=1,COUNTIF(J$10:J$609,"&lt;"&amp;J65)+1,""))</f>
        <v/>
      </c>
      <c r="L65" t="str">
        <f>IFERROR(INDEX(tblY9[Class],ROWS(L$10:L65))&amp;"","")</f>
        <v>9A/Sc3</v>
      </c>
      <c r="M65" t="str">
        <f>IF(L65="","",IF(COUNTIF(L$10:L65,L65)=1,COUNTIF(L$10:L$609,"&lt;"&amp;L65)+1,""))</f>
        <v/>
      </c>
      <c r="N65" t="str">
        <f>IFERROR(INDEX(tblY10[Class],ROWS(N$10:N65))&amp;"","")</f>
        <v>10S/Sc2</v>
      </c>
      <c r="O65" t="str">
        <f>IF(N65="","",IF(COUNTIF(N$10:N65,N65)=1,COUNTIF(N$10:N$609,"&lt;"&amp;N65)+1,""))</f>
        <v/>
      </c>
      <c r="P65" t="str">
        <f>IFERROR(INDEX(tblY11[Class],ROWS(P$10:P65))&amp;"","")</f>
        <v>11S/Sc1</v>
      </c>
      <c r="Q65" t="str">
        <f>IF(P65="","",IF(COUNTIF(P$10:P65,P65)=1,COUNTIF(P$10:P$609,"&lt;"&amp;P65)+1,""))</f>
        <v/>
      </c>
    </row>
    <row r="66">
      <c r="H66" t="str">
        <f>IFERROR(INDEX(tblY7[Class],ROWS(H$10:H66))&amp;"","")</f>
        <v>7A/Sc1</v>
      </c>
      <c r="I66" t="str">
        <f>IF(H66="","",IF(COUNTIF(H$10:H66,H66)=1,COUNTIF(H$10:H$609,"&lt;"&amp;H66)+1,""))</f>
        <v/>
      </c>
      <c r="J66" t="str">
        <f>IFERROR(INDEX(tblY8[Class],ROWS(J$10:J66))&amp;"","")</f>
        <v>8A/Sc1</v>
      </c>
      <c r="K66" t="str">
        <f>IF(J66="","",IF(COUNTIF(J$10:J66,J66)=1,COUNTIF(J$10:J$609,"&lt;"&amp;J66)+1,""))</f>
        <v/>
      </c>
      <c r="L66" t="str">
        <f>IFERROR(INDEX(tblY9[Class],ROWS(L$10:L66))&amp;"","")</f>
        <v>9A/Sc3</v>
      </c>
      <c r="M66" t="str">
        <f>IF(L66="","",IF(COUNTIF(L$10:L66,L66)=1,COUNTIF(L$10:L$609,"&lt;"&amp;L66)+1,""))</f>
        <v/>
      </c>
      <c r="N66" t="str">
        <f>IFERROR(INDEX(tblY10[Class],ROWS(N$10:N66))&amp;"","")</f>
        <v>10S/Sc4</v>
      </c>
      <c r="O66" t="str">
        <f>IF(N66="","",IF(COUNTIF(N$10:N66,N66)=1,COUNTIF(N$10:N$609,"&lt;"&amp;N66)+1,""))</f>
        <v/>
      </c>
      <c r="P66" t="str">
        <f>IFERROR(INDEX(tblY11[Class],ROWS(P$10:P66))&amp;"","")</f>
        <v>11S/Sc1</v>
      </c>
      <c r="Q66" t="str">
        <f>IF(P66="","",IF(COUNTIF(P$10:P66,P66)=1,COUNTIF(P$10:P$609,"&lt;"&amp;P66)+1,""))</f>
        <v/>
      </c>
    </row>
    <row r="67">
      <c r="H67" t="str">
        <f>IFERROR(INDEX(tblY7[Class],ROWS(H$10:H67))&amp;"","")</f>
        <v>7A/Sc2</v>
      </c>
      <c r="I67" t="str">
        <f>IF(H67="","",IF(COUNTIF(H$10:H67,H67)=1,COUNTIF(H$10:H$609,"&lt;"&amp;H67)+1,""))</f>
        <v/>
      </c>
      <c r="J67" t="str">
        <f>IFERROR(INDEX(tblY8[Class],ROWS(J$10:J67))&amp;"","")</f>
        <v>8A/Sc3</v>
      </c>
      <c r="K67" t="str">
        <f>IF(J67="","",IF(COUNTIF(J$10:J67,J67)=1,COUNTIF(J$10:J$609,"&lt;"&amp;J67)+1,""))</f>
        <v/>
      </c>
      <c r="L67" t="str">
        <f>IFERROR(INDEX(tblY9[Class],ROWS(L$10:L67))&amp;"","")</f>
        <v>9B/Sc1</v>
      </c>
      <c r="M67" t="str">
        <f>IF(L67="","",IF(COUNTIF(L$10:L67,L67)=1,COUNTIF(L$10:L$609,"&lt;"&amp;L67)+1,""))</f>
        <v/>
      </c>
      <c r="N67" t="str">
        <f>IFERROR(INDEX(tblY10[Class],ROWS(N$10:N67))&amp;"","")</f>
        <v>10S/Sc5</v>
      </c>
      <c r="O67" t="str">
        <f>IF(N67="","",IF(COUNTIF(N$10:N67,N67)=1,COUNTIF(N$10:N$609,"&lt;"&amp;N67)+1,""))</f>
        <v/>
      </c>
      <c r="P67" t="str">
        <f>IFERROR(INDEX(tblY11[Class],ROWS(P$10:P67))&amp;"","")</f>
        <v>11S/Sc3</v>
      </c>
      <c r="Q67" t="str">
        <f>IF(P67="","",IF(COUNTIF(P$10:P67,P67)=1,COUNTIF(P$10:P$609,"&lt;"&amp;P67)+1,""))</f>
        <v/>
      </c>
      <c r="BA67">
        <f>COUNT(BJ70:BJ669)</f>
        <v>3</v>
      </c>
    </row>
    <row r="68">
      <c r="H68" t="str">
        <f>IFERROR(INDEX(tblY7[Class],ROWS(H$10:H68))&amp;"","")</f>
        <v>7B/Sc1</v>
      </c>
      <c r="I68" t="str">
        <f>IF(H68="","",IF(COUNTIF(H$10:H68,H68)=1,COUNTIF(H$10:H$609,"&lt;"&amp;H68)+1,""))</f>
        <v/>
      </c>
      <c r="J68" t="str">
        <f>IFERROR(INDEX(tblY8[Class],ROWS(J$10:J68))&amp;"","")</f>
        <v>8A/Sc4</v>
      </c>
      <c r="K68" t="str">
        <f>IF(J68="","",IF(COUNTIF(J$10:J68,J68)=1,COUNTIF(J$10:J$609,"&lt;"&amp;J68)+1,""))</f>
        <v/>
      </c>
      <c r="L68" t="str">
        <f>IFERROR(INDEX(tblY9[Class],ROWS(L$10:L68))&amp;"","")</f>
        <v>9A/Sc1</v>
      </c>
      <c r="M68" t="str">
        <f>IF(L68="","",IF(COUNTIF(L$10:L68,L68)=1,COUNTIF(L$10:L$609,"&lt;"&amp;L68)+1,""))</f>
        <v/>
      </c>
      <c r="N68" t="str">
        <f>IFERROR(INDEX(tblY10[Class],ROWS(N$10:N68))&amp;"","")</f>
        <v>10S/Sc4</v>
      </c>
      <c r="O68" t="str">
        <f>IF(N68="","",IF(COUNTIF(N$10:N68,N68)=1,COUNTIF(N$10:N$609,"&lt;"&amp;N68)+1,""))</f>
        <v/>
      </c>
      <c r="P68" t="str">
        <f>IFERROR(INDEX(tblY11[Class],ROWS(P$10:P68))&amp;"","")</f>
        <v>11S/Sc3</v>
      </c>
      <c r="Q68" t="str">
        <f>IF(P68="","",IF(COUNTIF(P$10:P68,P68)=1,COUNTIF(P$10:P$609,"&lt;"&amp;P68)+1,""))</f>
        <v/>
      </c>
    </row>
    <row r="69">
      <c r="H69" t="str">
        <f>IFERROR(INDEX(tblY7[Class],ROWS(H$10:H69))&amp;"","")</f>
        <v>7A/Sc1</v>
      </c>
      <c r="I69" t="str">
        <f>IF(H69="","",IF(COUNTIF(H$10:H69,H69)=1,COUNTIF(H$10:H$609,"&lt;"&amp;H69)+1,""))</f>
        <v/>
      </c>
      <c r="J69" t="str">
        <f>IFERROR(INDEX(tblY8[Class],ROWS(J$10:J69))&amp;"","")</f>
        <v>8A/Sc1</v>
      </c>
      <c r="K69" t="str">
        <f>IF(J69="","",IF(COUNTIF(J$10:J69,J69)=1,COUNTIF(J$10:J$609,"&lt;"&amp;J69)+1,""))</f>
        <v/>
      </c>
      <c r="L69" t="str">
        <f>IFERROR(INDEX(tblY9[Class],ROWS(L$10:L69))&amp;"","")</f>
        <v>9A/Sc3</v>
      </c>
      <c r="M69" t="str">
        <f>IF(L69="","",IF(COUNTIF(L$10:L69,L69)=1,COUNTIF(L$10:L$609,"&lt;"&amp;L69)+1,""))</f>
        <v/>
      </c>
      <c r="N69" t="str">
        <f>IFERROR(INDEX(tblY10[Class],ROWS(N$10:N69))&amp;"","")</f>
        <v>Science Support</v>
      </c>
      <c r="O69" t="str">
        <f>IF(N69="","",IF(COUNTIF(N$10:N69,N69)=1,COUNTIF(N$10:N$609,"&lt;"&amp;N69)+1,""))</f>
        <v/>
      </c>
      <c r="P69" t="str">
        <f>IFERROR(INDEX(tblY11[Class],ROWS(P$10:P69))&amp;"","")</f>
        <v>11S/Sc4</v>
      </c>
      <c r="Q69" t="str">
        <f>IF(P69="","",IF(COUNTIF(P$10:P69,P69)=1,COUNTIF(P$10:P$609,"&lt;"&amp;P69)+1,""))</f>
        <v/>
      </c>
      <c r="BA69" s="81" t="inlineStr">
        <is>
          <t>Last</t>
        </is>
      </c>
      <c r="BB69" s="81" t="inlineStr">
        <is>
          <t>First</t>
        </is>
      </c>
      <c r="BC69" s="81" t="inlineStr">
        <is>
          <t>Class</t>
        </is>
      </c>
      <c r="BD69" s="81" t="inlineStr">
        <is>
          <t>KS2 band</t>
        </is>
      </c>
      <c r="BE69" s="81" t="inlineStr">
        <is>
          <t>Tests</t>
        </is>
      </c>
      <c r="BF69" s="81" t="inlineStr">
        <is>
          <t>Mean</t>
        </is>
      </c>
      <c r="BG69" s="81" t="inlineStr">
        <is>
          <t>vs KS2</t>
        </is>
      </c>
      <c r="BH69" s="81" t="inlineStr">
        <is>
          <t>Latest</t>
        </is>
      </c>
      <c r="BI69" s="81" t="inlineStr">
        <is>
          <t>Reason</t>
        </is>
      </c>
      <c r="BJ69" s="81" t="inlineStr">
        <is>
          <t>Key</t>
        </is>
      </c>
    </row>
    <row r="70">
      <c r="H70" t="str">
        <f>IFERROR(INDEX(tblY7[Class],ROWS(H$10:H70))&amp;"","")</f>
        <v>7A/Sc2</v>
      </c>
      <c r="I70" t="str">
        <f>IF(H70="","",IF(COUNTIF(H$10:H70,H70)=1,COUNTIF(H$10:H$609,"&lt;"&amp;H70)+1,""))</f>
        <v/>
      </c>
      <c r="J70" t="str">
        <f>IFERROR(INDEX(tblY8[Class],ROWS(J$10:J70))&amp;"","")</f>
        <v>8A/Sc3</v>
      </c>
      <c r="K70" t="str">
        <f>IF(J70="","",IF(COUNTIF(J$10:J70,J70)=1,COUNTIF(J$10:J$609,"&lt;"&amp;J70)+1,""))</f>
        <v/>
      </c>
      <c r="L70" t="str">
        <f>IFERROR(INDEX(tblY9[Class],ROWS(L$10:L70))&amp;"","")</f>
        <v>9A/Sc1</v>
      </c>
      <c r="M70" t="str">
        <f>IF(L70="","",IF(COUNTIF(L$10:L70,L70)=1,COUNTIF(L$10:L$609,"&lt;"&amp;L70)+1,""))</f>
        <v/>
      </c>
      <c r="N70" t="str">
        <f>IFERROR(INDEX(tblY10[Class],ROWS(N$10:N70))&amp;"","")</f>
        <v>10S/Sc2</v>
      </c>
      <c r="O70" t="str">
        <f>IF(N70="","",IF(COUNTIF(N$10:N70,N70)=1,COUNTIF(N$10:N$609,"&lt;"&amp;N70)+1,""))</f>
        <v/>
      </c>
      <c r="P70" t="str">
        <f>IFERROR(INDEX(tblY11[Class],ROWS(P$10:P70))&amp;"","")</f>
        <v>11S/Sc3</v>
      </c>
      <c r="Q70" t="str">
        <f>IF(P70="","",IF(COUNTIF(P$10:P70,P70)=1,COUNTIF(P$10:P$609,"&lt;"&amp;P70)+1,""))</f>
        <v/>
      </c>
      <c r="BA70" t="str">
        <f>IFERROR(INDEX(wLast,1)&amp;"","")</f>
        <v>Adeyemi</v>
      </c>
      <c r="BB70" t="str">
        <f>IF(BA70="","",IFERROR(INDEX(wFirst,1)&amp;"",""))</f>
        <v>Chidi</v>
      </c>
      <c r="BC70" t="str">
        <f>IF(BA70="","",IFERROR(INDEX(wClass,1)&amp;"",""))</f>
        <v>11S/Sc4</v>
      </c>
      <c r="BD70">
        <f>IF(BA70="","",IFERROR(INDEX(wKS2,1)+0,""))</f>
        <v>3</v>
      </c>
      <c r="BE70">
        <f>IF(BA70="","",IFERROR(INDEX(wTests,1)+0,0))</f>
        <v>6</v>
      </c>
      <c r="BF70">
        <f>IF(BA70="","",IFERROR(INDEX(wMean,1)+0,""))</f>
        <v>2.5</v>
      </c>
      <c r="BG70">
        <f>IF(BA70="","",IFERROR(INDEX(wVs,1)+0,""))</f>
        <v>-0.5</v>
      </c>
      <c r="BH70">
        <f>IF(OR(BA70="",wLatest=""),"",IFERROR(INDEX(wData,1,MATCH(wLatest&amp;CHAR(10)&amp;"Stanine",wHdr,0))+0,""))</f>
        <v>2</v>
      </c>
      <c r="BI70" t="str">
        <f>IF(BA70="","",IF(AND(ISNUMBER(BG70),N(BE70)&gt;=WlMinTests,BG70&lt;=-WlGap),"Below KS2 starting point",IF(AND(NOT(ISNUMBER(BD70)),ISNUMBER(BF70),N(BE70)&gt;=WlMinTests,BF70&lt;=WlLowMean),"Low results, no KS2 data","")))</f>
        <v/>
      </c>
      <c r="BJ70" t="str">
        <f>IF(BI70="","",IF(BI70="Below KS2 starting point",BG70,100+BF70)+ROW()/1000000)</f>
        <v/>
      </c>
    </row>
    <row r="71">
      <c r="H71" t="str">
        <f>IFERROR(INDEX(tblY7[Class],ROWS(H$10:H71))&amp;"","")</f>
        <v>7A/Sc2</v>
      </c>
      <c r="I71" t="str">
        <f>IF(H71="","",IF(COUNTIF(H$10:H71,H71)=1,COUNTIF(H$10:H$609,"&lt;"&amp;H71)+1,""))</f>
        <v/>
      </c>
      <c r="J71" t="str">
        <f>IFERROR(INDEX(tblY8[Class],ROWS(J$10:J71))&amp;"","")</f>
        <v>8A/Sc2</v>
      </c>
      <c r="K71" t="str">
        <f>IF(J71="","",IF(COUNTIF(J$10:J71,J71)=1,COUNTIF(J$10:J$609,"&lt;"&amp;J71)+1,""))</f>
        <v/>
      </c>
      <c r="L71" t="str">
        <f>IFERROR(INDEX(tblY9[Class],ROWS(L$10:L71))&amp;"","")</f>
        <v>9B/Sc2</v>
      </c>
      <c r="M71" t="str">
        <f>IF(L71="","",IF(COUNTIF(L$10:L71,L71)=1,COUNTIF(L$10:L$609,"&lt;"&amp;L71)+1,""))</f>
        <v/>
      </c>
      <c r="N71" t="str">
        <f>IFERROR(INDEX(tblY10[Class],ROWS(N$10:N71))&amp;"","")</f>
        <v>10S/Sc4</v>
      </c>
      <c r="O71" t="str">
        <f>IF(N71="","",IF(COUNTIF(N$10:N71,N71)=1,COUNTIF(N$10:N$609,"&lt;"&amp;N71)+1,""))</f>
        <v/>
      </c>
      <c r="P71" t="str">
        <f>IFERROR(INDEX(tblY11[Class],ROWS(P$10:P71))&amp;"","")</f>
        <v>11S/Sc4</v>
      </c>
      <c r="Q71" t="str">
        <f>IF(P71="","",IF(COUNTIF(P$10:P71,P71)=1,COUNTIF(P$10:P$609,"&lt;"&amp;P71)+1,""))</f>
        <v/>
      </c>
      <c r="BA71" t="str">
        <f>IFERROR(INDEX(wLast,2)&amp;"","")</f>
        <v>Adeyemi</v>
      </c>
      <c r="BB71" t="str">
        <f>IF(BA71="","",IFERROR(INDEX(wFirst,2)&amp;"",""))</f>
        <v>Mia</v>
      </c>
      <c r="BC71" t="str">
        <f>IF(BA71="","",IFERROR(INDEX(wClass,2)&amp;"",""))</f>
        <v>11S/Sc1</v>
      </c>
      <c r="BD71">
        <f>IF(BA71="","",IFERROR(INDEX(wKS2,2)+0,""))</f>
        <v>8</v>
      </c>
      <c r="BE71">
        <f>IF(BA71="","",IFERROR(INDEX(wTests,2)+0,0))</f>
        <v>6</v>
      </c>
      <c r="BF71">
        <f>IF(BA71="","",IFERROR(INDEX(wMean,2)+0,""))</f>
        <v>7.33333333333333</v>
      </c>
      <c r="BG71">
        <f>IF(BA71="","",IFERROR(INDEX(wVs,2)+0,""))</f>
        <v>-0.666666666666667</v>
      </c>
      <c r="BH71">
        <f>IF(OR(BA71="",wLatest=""),"",IFERROR(INDEX(wData,2,MATCH(wLatest&amp;CHAR(10)&amp;"Stanine",wHdr,0))+0,""))</f>
        <v>7</v>
      </c>
      <c r="BI71" t="str">
        <f>IF(BA71="","",IF(AND(ISNUMBER(BG71),N(BE71)&gt;=WlMinTests,BG71&lt;=-WlGap),"Below KS2 starting point",IF(AND(NOT(ISNUMBER(BD71)),ISNUMBER(BF71),N(BE71)&gt;=WlMinTests,BF71&lt;=WlLowMean),"Low results, no KS2 data","")))</f>
        <v/>
      </c>
      <c r="BJ71" t="str">
        <f>IF(BI71="","",IF(BI71="Below KS2 starting point",BG71,100+BF71)+ROW()/1000000)</f>
        <v/>
      </c>
    </row>
    <row r="72">
      <c r="H72" t="str">
        <f>IFERROR(INDEX(tblY7[Class],ROWS(H$10:H72))&amp;"","")</f>
        <v>7B/Sc1</v>
      </c>
      <c r="I72" t="str">
        <f>IF(H72="","",IF(COUNTIF(H$10:H72,H72)=1,COUNTIF(H$10:H$609,"&lt;"&amp;H72)+1,""))</f>
        <v/>
      </c>
      <c r="J72" t="str">
        <f>IFERROR(INDEX(tblY8[Class],ROWS(J$10:J72))&amp;"","")</f>
        <v>8A/Sc2</v>
      </c>
      <c r="K72" t="str">
        <f>IF(J72="","",IF(COUNTIF(J$10:J72,J72)=1,COUNTIF(J$10:J$609,"&lt;"&amp;J72)+1,""))</f>
        <v/>
      </c>
      <c r="L72" t="str">
        <f>IFERROR(INDEX(tblY9[Class],ROWS(L$10:L72))&amp;"","")</f>
        <v>9A/Sc1</v>
      </c>
      <c r="M72" t="str">
        <f>IF(L72="","",IF(COUNTIF(L$10:L72,L72)=1,COUNTIF(L$10:L$609,"&lt;"&amp;L72)+1,""))</f>
        <v/>
      </c>
      <c r="N72" t="str">
        <f>IFERROR(INDEX(tblY10[Class],ROWS(N$10:N72))&amp;"","")</f>
        <v>10S/Sc4</v>
      </c>
      <c r="O72" t="str">
        <f>IF(N72="","",IF(COUNTIF(N$10:N72,N72)=1,COUNTIF(N$10:N$609,"&lt;"&amp;N72)+1,""))</f>
        <v/>
      </c>
      <c r="P72" t="str">
        <f>IFERROR(INDEX(tblY11[Class],ROWS(P$10:P72))&amp;"","")</f>
        <v>11S/Sc5</v>
      </c>
      <c r="Q72" t="str">
        <f>IF(P72="","",IF(COUNTIF(P$10:P72,P72)=1,COUNTIF(P$10:P$609,"&lt;"&amp;P72)+1,""))</f>
        <v/>
      </c>
      <c r="BA72" t="str">
        <f>IFERROR(INDEX(wLast,3)&amp;"","")</f>
        <v>Ahmed</v>
      </c>
      <c r="BB72" t="str">
        <f>IF(BA72="","",IFERROR(INDEX(wFirst,3)&amp;"",""))</f>
        <v>Isla</v>
      </c>
      <c r="BC72" t="str">
        <f>IF(BA72="","",IFERROR(INDEX(wClass,3)&amp;"",""))</f>
        <v>11S/Sc3</v>
      </c>
      <c r="BD72">
        <f>IF(BA72="","",IFERROR(INDEX(wKS2,3)+0,""))</f>
        <v>3</v>
      </c>
      <c r="BE72">
        <f>IF(BA72="","",IFERROR(INDEX(wTests,3)+0,0))</f>
        <v>6</v>
      </c>
      <c r="BF72">
        <f>IF(BA72="","",IFERROR(INDEX(wMean,3)+0,""))</f>
        <v>2</v>
      </c>
      <c r="BG72">
        <f>IF(BA72="","",IFERROR(INDEX(wVs,3)+0,""))</f>
        <v>-1</v>
      </c>
      <c r="BH72">
        <f>IF(OR(BA72="",wLatest=""),"",IFERROR(INDEX(wData,3,MATCH(wLatest&amp;CHAR(10)&amp;"Stanine",wHdr,0))+0,""))</f>
        <v>2</v>
      </c>
      <c r="BI72" t="str">
        <f>IF(BA72="","",IF(AND(ISNUMBER(BG72),N(BE72)&gt;=WlMinTests,BG72&lt;=-WlGap),"Below KS2 starting point",IF(AND(NOT(ISNUMBER(BD72)),ISNUMBER(BF72),N(BE72)&gt;=WlMinTests,BF72&lt;=WlLowMean),"Low results, no KS2 data","")))</f>
        <v/>
      </c>
      <c r="BJ72" t="str">
        <f>IF(BI72="","",IF(BI72="Below KS2 starting point",BG72,100+BF72)+ROW()/1000000)</f>
        <v/>
      </c>
    </row>
    <row r="73">
      <c r="H73" t="str">
        <f>IFERROR(INDEX(tblY7[Class],ROWS(H$10:H73))&amp;"","")</f>
        <v>7B/Sc2</v>
      </c>
      <c r="I73" t="str">
        <f>IF(H73="","",IF(COUNTIF(H$10:H73,H73)=1,COUNTIF(H$10:H$609,"&lt;"&amp;H73)+1,""))</f>
        <v/>
      </c>
      <c r="J73" t="str">
        <f>IFERROR(INDEX(tblY8[Class],ROWS(J$10:J73))&amp;"","")</f>
        <v>8A/Sc3</v>
      </c>
      <c r="K73" t="str">
        <f>IF(J73="","",IF(COUNTIF(J$10:J73,J73)=1,COUNTIF(J$10:J$609,"&lt;"&amp;J73)+1,""))</f>
        <v/>
      </c>
      <c r="L73" t="str">
        <f>IFERROR(INDEX(tblY9[Class],ROWS(L$10:L73))&amp;"","")</f>
        <v>9A/Sc2</v>
      </c>
      <c r="M73" t="str">
        <f>IF(L73="","",IF(COUNTIF(L$10:L73,L73)=1,COUNTIF(L$10:L$609,"&lt;"&amp;L73)+1,""))</f>
        <v/>
      </c>
      <c r="N73" t="str">
        <f>IFERROR(INDEX(tblY10[Class],ROWS(N$10:N73))&amp;"","")</f>
        <v>10S/Sc2</v>
      </c>
      <c r="O73" t="str">
        <f>IF(N73="","",IF(COUNTIF(N$10:N73,N73)=1,COUNTIF(N$10:N$609,"&lt;"&amp;N73)+1,""))</f>
        <v/>
      </c>
      <c r="P73" t="str">
        <f>IFERROR(INDEX(tblY11[Class],ROWS(P$10:P73))&amp;"","")</f>
        <v>11S/Sc1</v>
      </c>
      <c r="Q73" t="str">
        <f>IF(P73="","",IF(COUNTIF(P$10:P73,P73)=1,COUNTIF(P$10:P$609,"&lt;"&amp;P73)+1,""))</f>
        <v/>
      </c>
      <c r="BA73" t="str">
        <f>IFERROR(INDEX(wLast,4)&amp;"","")</f>
        <v>Ahmed</v>
      </c>
      <c r="BB73" t="str">
        <f>IF(BA73="","",IFERROR(INDEX(wFirst,4)&amp;"",""))</f>
        <v>Jacob</v>
      </c>
      <c r="BC73" t="str">
        <f>IF(BA73="","",IFERROR(INDEX(wClass,4)&amp;"",""))</f>
        <v>11S/Sc2</v>
      </c>
      <c r="BD73">
        <f>IF(BA73="","",IFERROR(INDEX(wKS2,4)+0,""))</f>
        <v>5</v>
      </c>
      <c r="BE73">
        <f>IF(BA73="","",IFERROR(INDEX(wTests,4)+0,0))</f>
        <v>6</v>
      </c>
      <c r="BF73">
        <f>IF(BA73="","",IFERROR(INDEX(wMean,4)+0,""))</f>
        <v>5.16666666666667</v>
      </c>
      <c r="BG73">
        <f>IF(BA73="","",IFERROR(INDEX(wVs,4)+0,""))</f>
        <v>0.166666666666667</v>
      </c>
      <c r="BH73">
        <f>IF(OR(BA73="",wLatest=""),"",IFERROR(INDEX(wData,4,MATCH(wLatest&amp;CHAR(10)&amp;"Stanine",wHdr,0))+0,""))</f>
        <v>5</v>
      </c>
      <c r="BI73" t="str">
        <f>IF(BA73="","",IF(AND(ISNUMBER(BG73),N(BE73)&gt;=WlMinTests,BG73&lt;=-WlGap),"Below KS2 starting point",IF(AND(NOT(ISNUMBER(BD73)),ISNUMBER(BF73),N(BE73)&gt;=WlMinTests,BF73&lt;=WlLowMean),"Low results, no KS2 data","")))</f>
        <v/>
      </c>
      <c r="BJ73" t="str">
        <f>IF(BI73="","",IF(BI73="Below KS2 starting point",BG73,100+BF73)+ROW()/1000000)</f>
        <v/>
      </c>
    </row>
    <row r="74">
      <c r="H74" t="str">
        <f>IFERROR(INDEX(tblY7[Class],ROWS(H$10:H74))&amp;"","")</f>
        <v>7A/Sc1</v>
      </c>
      <c r="I74" t="str">
        <f>IF(H74="","",IF(COUNTIF(H$10:H74,H74)=1,COUNTIF(H$10:H$609,"&lt;"&amp;H74)+1,""))</f>
        <v/>
      </c>
      <c r="J74" t="str">
        <f>IFERROR(INDEX(tblY8[Class],ROWS(J$10:J74))&amp;"","")</f>
        <v>Science Support</v>
      </c>
      <c r="K74">
        <f>IF(J74="","",IF(COUNTIF(J$10:J74,J74)=1,COUNTIF(J$10:J$609,"&lt;"&amp;J74)+1,""))</f>
        <v>599</v>
      </c>
      <c r="L74" t="str">
        <f>IFERROR(INDEX(tblY9[Class],ROWS(L$10:L74))&amp;"","")</f>
        <v>9A/Sc3</v>
      </c>
      <c r="M74" t="str">
        <f>IF(L74="","",IF(COUNTIF(L$10:L74,L74)=1,COUNTIF(L$10:L$609,"&lt;"&amp;L74)+1,""))</f>
        <v/>
      </c>
      <c r="N74" t="str">
        <f>IFERROR(INDEX(tblY10[Class],ROWS(N$10:N74))&amp;"","")</f>
        <v>10S/Sc4</v>
      </c>
      <c r="O74" t="str">
        <f>IF(N74="","",IF(COUNTIF(N$10:N74,N74)=1,COUNTIF(N$10:N$609,"&lt;"&amp;N74)+1,""))</f>
        <v/>
      </c>
      <c r="P74" t="str">
        <f>IFERROR(INDEX(tblY11[Class],ROWS(P$10:P74))&amp;"","")</f>
        <v>11S/Sc1</v>
      </c>
      <c r="Q74" t="str">
        <f>IF(P74="","",IF(COUNTIF(P$10:P74,P74)=1,COUNTIF(P$10:P$609,"&lt;"&amp;P74)+1,""))</f>
        <v/>
      </c>
      <c r="BA74" t="str">
        <f>IFERROR(INDEX(wLast,5)&amp;"","")</f>
        <v>Barker</v>
      </c>
      <c r="BB74" t="str">
        <f>IF(BA74="","",IFERROR(INDEX(wFirst,5)&amp;"",""))</f>
        <v>Amara</v>
      </c>
      <c r="BC74" t="str">
        <f>IF(BA74="","",IFERROR(INDEX(wClass,5)&amp;"",""))</f>
        <v>11S/Sc2</v>
      </c>
      <c r="BD74">
        <f>IF(BA74="","",IFERROR(INDEX(wKS2,5)+0,""))</f>
        <v>6</v>
      </c>
      <c r="BE74">
        <f>IF(BA74="","",IFERROR(INDEX(wTests,5)+0,0))</f>
        <v>6</v>
      </c>
      <c r="BF74">
        <f>IF(BA74="","",IFERROR(INDEX(wMean,5)+0,""))</f>
        <v>5.66666666666667</v>
      </c>
      <c r="BG74">
        <f>IF(BA74="","",IFERROR(INDEX(wVs,5)+0,""))</f>
        <v>-0.333333333333333</v>
      </c>
      <c r="BH74">
        <f>IF(OR(BA74="",wLatest=""),"",IFERROR(INDEX(wData,5,MATCH(wLatest&amp;CHAR(10)&amp;"Stanine",wHdr,0))+0,""))</f>
        <v>6</v>
      </c>
      <c r="BI74" t="str">
        <f>IF(BA74="","",IF(AND(ISNUMBER(BG74),N(BE74)&gt;=WlMinTests,BG74&lt;=-WlGap),"Below KS2 starting point",IF(AND(NOT(ISNUMBER(BD74)),ISNUMBER(BF74),N(BE74)&gt;=WlMinTests,BF74&lt;=WlLowMean),"Low results, no KS2 data","")))</f>
        <v/>
      </c>
      <c r="BJ74" t="str">
        <f>IF(BI74="","",IF(BI74="Below KS2 starting point",BG74,100+BF74)+ROW()/1000000)</f>
        <v/>
      </c>
    </row>
    <row r="75">
      <c r="H75" t="str">
        <f>IFERROR(INDEX(tblY7[Class],ROWS(H$10:H75))&amp;"","")</f>
        <v>7A/Sc1</v>
      </c>
      <c r="I75" t="str">
        <f>IF(H75="","",IF(COUNTIF(H$10:H75,H75)=1,COUNTIF(H$10:H$609,"&lt;"&amp;H75)+1,""))</f>
        <v/>
      </c>
      <c r="J75" t="str">
        <f>IFERROR(INDEX(tblY8[Class],ROWS(J$10:J75))&amp;"","")</f>
        <v>8A/Sc2</v>
      </c>
      <c r="K75" t="str">
        <f>IF(J75="","",IF(COUNTIF(J$10:J75,J75)=1,COUNTIF(J$10:J$609,"&lt;"&amp;J75)+1,""))</f>
        <v/>
      </c>
      <c r="L75" t="str">
        <f>IFERROR(INDEX(tblY9[Class],ROWS(L$10:L75))&amp;"","")</f>
        <v>9A/Sc3</v>
      </c>
      <c r="M75" t="str">
        <f>IF(L75="","",IF(COUNTIF(L$10:L75,L75)=1,COUNTIF(L$10:L$609,"&lt;"&amp;L75)+1,""))</f>
        <v/>
      </c>
      <c r="N75" t="str">
        <f>IFERROR(INDEX(tblY10[Class],ROWS(N$10:N75))&amp;"","")</f>
        <v>10S/Sc2</v>
      </c>
      <c r="O75" t="str">
        <f>IF(N75="","",IF(COUNTIF(N$10:N75,N75)=1,COUNTIF(N$10:N$609,"&lt;"&amp;N75)+1,""))</f>
        <v/>
      </c>
      <c r="P75" t="str">
        <f>IFERROR(INDEX(tblY11[Class],ROWS(P$10:P75))&amp;"","")</f>
        <v>11S/Sc1</v>
      </c>
      <c r="Q75" t="str">
        <f>IF(P75="","",IF(COUNTIF(P$10:P75,P75)=1,COUNTIF(P$10:P$609,"&lt;"&amp;P75)+1,""))</f>
        <v/>
      </c>
      <c r="BA75" t="str">
        <f>IFERROR(INDEX(wLast,6)&amp;"","")</f>
        <v>Barker</v>
      </c>
      <c r="BB75" t="str">
        <f>IF(BA75="","",IFERROR(INDEX(wFirst,6)&amp;"",""))</f>
        <v>Arjun</v>
      </c>
      <c r="BC75" t="str">
        <f>IF(BA75="","",IFERROR(INDEX(wClass,6)&amp;"",""))</f>
        <v>11S/Sc2</v>
      </c>
      <c r="BD75">
        <f>IF(BA75="","",IFERROR(INDEX(wKS2,6)+0,""))</f>
        <v>7</v>
      </c>
      <c r="BE75">
        <f>IF(BA75="","",IFERROR(INDEX(wTests,6)+0,0))</f>
        <v>5</v>
      </c>
      <c r="BF75">
        <f>IF(BA75="","",IFERROR(INDEX(wMean,6)+0,""))</f>
        <v>6.4</v>
      </c>
      <c r="BG75">
        <f>IF(BA75="","",IFERROR(INDEX(wVs,6)+0,""))</f>
        <v>-0.6</v>
      </c>
      <c r="BH75">
        <f>IF(OR(BA75="",wLatest=""),"",IFERROR(INDEX(wData,6,MATCH(wLatest&amp;CHAR(10)&amp;"Stanine",wHdr,0))+0,""))</f>
        <v>7</v>
      </c>
      <c r="BI75" t="str">
        <f>IF(BA75="","",IF(AND(ISNUMBER(BG75),N(BE75)&gt;=WlMinTests,BG75&lt;=-WlGap),"Below KS2 starting point",IF(AND(NOT(ISNUMBER(BD75)),ISNUMBER(BF75),N(BE75)&gt;=WlMinTests,BF75&lt;=WlLowMean),"Low results, no KS2 data","")))</f>
        <v/>
      </c>
      <c r="BJ75" t="str">
        <f>IF(BI75="","",IF(BI75="Below KS2 starting point",BG75,100+BF75)+ROW()/1000000)</f>
        <v/>
      </c>
    </row>
    <row r="76">
      <c r="H76" t="str">
        <f>IFERROR(INDEX(tblY7[Class],ROWS(H$10:H76))&amp;"","")</f>
        <v>7B/Sc1</v>
      </c>
      <c r="I76" t="str">
        <f>IF(H76="","",IF(COUNTIF(H$10:H76,H76)=1,COUNTIF(H$10:H$609,"&lt;"&amp;H76)+1,""))</f>
        <v/>
      </c>
      <c r="J76" t="str">
        <f>IFERROR(INDEX(tblY8[Class],ROWS(J$10:J76))&amp;"","")</f>
        <v>8A/Sc1</v>
      </c>
      <c r="K76" t="str">
        <f>IF(J76="","",IF(COUNTIF(J$10:J76,J76)=1,COUNTIF(J$10:J$609,"&lt;"&amp;J76)+1,""))</f>
        <v/>
      </c>
      <c r="L76" t="str">
        <f>IFERROR(INDEX(tblY9[Class],ROWS(L$10:L76))&amp;"","")</f>
        <v>9B/Sc1</v>
      </c>
      <c r="M76" t="str">
        <f>IF(L76="","",IF(COUNTIF(L$10:L76,L76)=1,COUNTIF(L$10:L$609,"&lt;"&amp;L76)+1,""))</f>
        <v/>
      </c>
      <c r="N76" t="str">
        <f>IFERROR(INDEX(tblY10[Class],ROWS(N$10:N76))&amp;"","")</f>
        <v>10S/Sc2</v>
      </c>
      <c r="O76" t="str">
        <f>IF(N76="","",IF(COUNTIF(N$10:N76,N76)=1,COUNTIF(N$10:N$609,"&lt;"&amp;N76)+1,""))</f>
        <v/>
      </c>
      <c r="P76" t="str">
        <f>IFERROR(INDEX(tblY11[Class],ROWS(P$10:P76))&amp;"","")</f>
        <v>11S/Sc1</v>
      </c>
      <c r="Q76" t="str">
        <f>IF(P76="","",IF(COUNTIF(P$10:P76,P76)=1,COUNTIF(P$10:P$609,"&lt;"&amp;P76)+1,""))</f>
        <v/>
      </c>
      <c r="BA76" t="str">
        <f>IFERROR(INDEX(wLast,7)&amp;"","")</f>
        <v>Barker</v>
      </c>
      <c r="BB76" t="str">
        <f>IF(BA76="","",IFERROR(INDEX(wFirst,7)&amp;"",""))</f>
        <v>Zofia</v>
      </c>
      <c r="BC76" t="str">
        <f>IF(BA76="","",IFERROR(INDEX(wClass,7)&amp;"",""))</f>
        <v>11S/Sc1</v>
      </c>
      <c r="BD76">
        <f>IF(BA76="","",IFERROR(INDEX(wKS2,7)+0,""))</f>
        <v>6</v>
      </c>
      <c r="BE76">
        <f>IF(BA76="","",IFERROR(INDEX(wTests,7)+0,0))</f>
        <v>6</v>
      </c>
      <c r="BF76">
        <f>IF(BA76="","",IFERROR(INDEX(wMean,7)+0,""))</f>
        <v>6.66666666666667</v>
      </c>
      <c r="BG76">
        <f>IF(BA76="","",IFERROR(INDEX(wVs,7)+0,""))</f>
        <v>0.666666666666667</v>
      </c>
      <c r="BH76">
        <f>IF(OR(BA76="",wLatest=""),"",IFERROR(INDEX(wData,7,MATCH(wLatest&amp;CHAR(10)&amp;"Stanine",wHdr,0))+0,""))</f>
        <v>7</v>
      </c>
      <c r="BI76" t="str">
        <f>IF(BA76="","",IF(AND(ISNUMBER(BG76),N(BE76)&gt;=WlMinTests,BG76&lt;=-WlGap),"Below KS2 starting point",IF(AND(NOT(ISNUMBER(BD76)),ISNUMBER(BF76),N(BE76)&gt;=WlMinTests,BF76&lt;=WlLowMean),"Low results, no KS2 data","")))</f>
        <v/>
      </c>
      <c r="BJ76" t="str">
        <f>IF(BI76="","",IF(BI76="Below KS2 starting point",BG76,100+BF76)+ROW()/1000000)</f>
        <v/>
      </c>
    </row>
    <row r="77">
      <c r="H77" t="str">
        <f>IFERROR(INDEX(tblY7[Class],ROWS(H$10:H77))&amp;"","")</f>
        <v>7A/Sc2</v>
      </c>
      <c r="I77" t="str">
        <f>IF(H77="","",IF(COUNTIF(H$10:H77,H77)=1,COUNTIF(H$10:H$609,"&lt;"&amp;H77)+1,""))</f>
        <v/>
      </c>
      <c r="J77" t="str">
        <f>IFERROR(INDEX(tblY8[Class],ROWS(J$10:J77))&amp;"","")</f>
        <v>8A/Sc4</v>
      </c>
      <c r="K77" t="str">
        <f>IF(J77="","",IF(COUNTIF(J$10:J77,J77)=1,COUNTIF(J$10:J$609,"&lt;"&amp;J77)+1,""))</f>
        <v/>
      </c>
      <c r="L77" t="str">
        <f>IFERROR(INDEX(tblY9[Class],ROWS(L$10:L77))&amp;"","")</f>
        <v>9A/Sc1</v>
      </c>
      <c r="M77" t="str">
        <f>IF(L77="","",IF(COUNTIF(L$10:L77,L77)=1,COUNTIF(L$10:L$609,"&lt;"&amp;L77)+1,""))</f>
        <v/>
      </c>
      <c r="N77" t="str">
        <f>IFERROR(INDEX(tblY10[Class],ROWS(N$10:N77))&amp;"","")</f>
        <v>10S/Sc3</v>
      </c>
      <c r="O77" t="str">
        <f>IF(N77="","",IF(COUNTIF(N$10:N77,N77)=1,COUNTIF(N$10:N$609,"&lt;"&amp;N77)+1,""))</f>
        <v/>
      </c>
      <c r="P77" t="str">
        <f>IFERROR(INDEX(tblY11[Class],ROWS(P$10:P77))&amp;"","")</f>
        <v>11S/Sc1</v>
      </c>
      <c r="Q77" t="str">
        <f>IF(P77="","",IF(COUNTIF(P$10:P77,P77)=1,COUNTIF(P$10:P$609,"&lt;"&amp;P77)+1,""))</f>
        <v/>
      </c>
      <c r="BA77" t="str">
        <f>IFERROR(INDEX(wLast,8)&amp;"","")</f>
        <v>Begum</v>
      </c>
      <c r="BB77" t="str">
        <f>IF(BA77="","",IFERROR(INDEX(wFirst,8)&amp;"",""))</f>
        <v>Sophie</v>
      </c>
      <c r="BC77" t="str">
        <f>IF(BA77="","",IFERROR(INDEX(wClass,8)&amp;"",""))</f>
        <v>11S/Sc3</v>
      </c>
      <c r="BD77">
        <f>IF(BA77="","",IFERROR(INDEX(wKS2,8)+0,""))</f>
        <v>2</v>
      </c>
      <c r="BE77">
        <f>IF(BA77="","",IFERROR(INDEX(wTests,8)+0,0))</f>
        <v>6</v>
      </c>
      <c r="BF77">
        <f>IF(BA77="","",IFERROR(INDEX(wMean,8)+0,""))</f>
        <v>1.66666666666667</v>
      </c>
      <c r="BG77">
        <f>IF(BA77="","",IFERROR(INDEX(wVs,8)+0,""))</f>
        <v>-0.333333333333333</v>
      </c>
      <c r="BH77">
        <f>IF(OR(BA77="",wLatest=""),"",IFERROR(INDEX(wData,8,MATCH(wLatest&amp;CHAR(10)&amp;"Stanine",wHdr,0))+0,""))</f>
        <v>2</v>
      </c>
      <c r="BI77" t="str">
        <f>IF(BA77="","",IF(AND(ISNUMBER(BG77),N(BE77)&gt;=WlMinTests,BG77&lt;=-WlGap),"Below KS2 starting point",IF(AND(NOT(ISNUMBER(BD77)),ISNUMBER(BF77),N(BE77)&gt;=WlMinTests,BF77&lt;=WlLowMean),"Low results, no KS2 data","")))</f>
        <v/>
      </c>
      <c r="BJ77" t="str">
        <f>IF(BI77="","",IF(BI77="Below KS2 starting point",BG77,100+BF77)+ROW()/1000000)</f>
        <v/>
      </c>
    </row>
    <row r="78">
      <c r="H78" t="str">
        <f>IFERROR(INDEX(tblY7[Class],ROWS(H$10:H78))&amp;"","")</f>
        <v>7B/Sc2</v>
      </c>
      <c r="I78" t="str">
        <f>IF(H78="","",IF(COUNTIF(H$10:H78,H78)=1,COUNTIF(H$10:H$609,"&lt;"&amp;H78)+1,""))</f>
        <v/>
      </c>
      <c r="J78" t="str">
        <f>IFERROR(INDEX(tblY8[Class],ROWS(J$10:J78))&amp;"","")</f>
        <v>8A/Sc2</v>
      </c>
      <c r="K78" t="str">
        <f>IF(J78="","",IF(COUNTIF(J$10:J78,J78)=1,COUNTIF(J$10:J$609,"&lt;"&amp;J78)+1,""))</f>
        <v/>
      </c>
      <c r="L78" t="str">
        <f>IFERROR(INDEX(tblY9[Class],ROWS(L$10:L78))&amp;"","")</f>
        <v>9A/Sc2</v>
      </c>
      <c r="M78" t="str">
        <f>IF(L78="","",IF(COUNTIF(L$10:L78,L78)=1,COUNTIF(L$10:L$609,"&lt;"&amp;L78)+1,""))</f>
        <v/>
      </c>
      <c r="N78" t="str">
        <f>IFERROR(INDEX(tblY10[Class],ROWS(N$10:N78))&amp;"","")</f>
        <v>10S/Sc4</v>
      </c>
      <c r="O78" t="str">
        <f>IF(N78="","",IF(COUNTIF(N$10:N78,N78)=1,COUNTIF(N$10:N$609,"&lt;"&amp;N78)+1,""))</f>
        <v/>
      </c>
      <c r="P78" t="str">
        <f>IFERROR(INDEX(tblY11[Class],ROWS(P$10:P78))&amp;"","")</f>
        <v>11S/Sc1</v>
      </c>
      <c r="Q78" t="str">
        <f>IF(P78="","",IF(COUNTIF(P$10:P78,P78)=1,COUNTIF(P$10:P$609,"&lt;"&amp;P78)+1,""))</f>
        <v/>
      </c>
      <c r="BA78" t="str">
        <f>IFERROR(INDEX(wLast,9)&amp;"","")</f>
        <v>Bennett</v>
      </c>
      <c r="BB78" t="str">
        <f>IF(BA78="","",IFERROR(INDEX(wFirst,9)&amp;"",""))</f>
        <v>Ibrahim</v>
      </c>
      <c r="BC78" t="str">
        <f>IF(BA78="","",IFERROR(INDEX(wClass,9)&amp;"",""))</f>
        <v>11S/Sc5</v>
      </c>
      <c r="BD78">
        <f>IF(BA78="","",IFERROR(INDEX(wKS2,9)+0,""))</f>
        <v>1</v>
      </c>
      <c r="BE78">
        <f>IF(BA78="","",IFERROR(INDEX(wTests,9)+0,0))</f>
        <v>6</v>
      </c>
      <c r="BF78">
        <f>IF(BA78="","",IFERROR(INDEX(wMean,9)+0,""))</f>
        <v>1.83333333333333</v>
      </c>
      <c r="BG78">
        <f>IF(BA78="","",IFERROR(INDEX(wVs,9)+0,""))</f>
        <v>0.833333333333333</v>
      </c>
      <c r="BH78">
        <f>IF(OR(BA78="",wLatest=""),"",IFERROR(INDEX(wData,9,MATCH(wLatest&amp;CHAR(10)&amp;"Stanine",wHdr,0))+0,""))</f>
        <v>2</v>
      </c>
      <c r="BI78" t="str">
        <f>IF(BA78="","",IF(AND(ISNUMBER(BG78),N(BE78)&gt;=WlMinTests,BG78&lt;=-WlGap),"Below KS2 starting point",IF(AND(NOT(ISNUMBER(BD78)),ISNUMBER(BF78),N(BE78)&gt;=WlMinTests,BF78&lt;=WlLowMean),"Low results, no KS2 data","")))</f>
        <v/>
      </c>
      <c r="BJ78" t="str">
        <f>IF(BI78="","",IF(BI78="Below KS2 starting point",BG78,100+BF78)+ROW()/1000000)</f>
        <v/>
      </c>
    </row>
    <row r="79">
      <c r="H79" t="str">
        <f>IFERROR(INDEX(tblY7[Class],ROWS(H$10:H79))&amp;"","")</f>
        <v>7A/Sc1</v>
      </c>
      <c r="I79" t="str">
        <f>IF(H79="","",IF(COUNTIF(H$10:H79,H79)=1,COUNTIF(H$10:H$609,"&lt;"&amp;H79)+1,""))</f>
        <v/>
      </c>
      <c r="J79" t="str">
        <f>IFERROR(INDEX(tblY8[Class],ROWS(J$10:J79))&amp;"","")</f>
        <v>8A/Sc3</v>
      </c>
      <c r="K79" t="str">
        <f>IF(J79="","",IF(COUNTIF(J$10:J79,J79)=1,COUNTIF(J$10:J$609,"&lt;"&amp;J79)+1,""))</f>
        <v/>
      </c>
      <c r="L79" t="str">
        <f>IFERROR(INDEX(tblY9[Class],ROWS(L$10:L79))&amp;"","")</f>
        <v>9B/Sc2</v>
      </c>
      <c r="M79" t="str">
        <f>IF(L79="","",IF(COUNTIF(L$10:L79,L79)=1,COUNTIF(L$10:L$609,"&lt;"&amp;L79)+1,""))</f>
        <v/>
      </c>
      <c r="N79" t="str">
        <f>IFERROR(INDEX(tblY10[Class],ROWS(N$10:N79))&amp;"","")</f>
        <v>10S/Sc1</v>
      </c>
      <c r="O79" t="str">
        <f>IF(N79="","",IF(COUNTIF(N$10:N79,N79)=1,COUNTIF(N$10:N$609,"&lt;"&amp;N79)+1,""))</f>
        <v/>
      </c>
      <c r="P79" t="str">
        <f>IFERROR(INDEX(tblY11[Class],ROWS(P$10:P79))&amp;"","")</f>
        <v>11S/Sc1</v>
      </c>
      <c r="Q79" t="str">
        <f>IF(P79="","",IF(COUNTIF(P$10:P79,P79)=1,COUNTIF(P$10:P$609,"&lt;"&amp;P79)+1,""))</f>
        <v/>
      </c>
      <c r="BA79" t="str">
        <f>IFERROR(INDEX(wLast,10)&amp;"","")</f>
        <v>Bennett</v>
      </c>
      <c r="BB79" t="str">
        <f>IF(BA79="","",IFERROR(INDEX(wFirst,10)&amp;"",""))</f>
        <v>Ivy</v>
      </c>
      <c r="BC79" t="str">
        <f>IF(BA79="","",IFERROR(INDEX(wClass,10)&amp;"",""))</f>
        <v>11S/Sc5</v>
      </c>
      <c r="BD79">
        <f>IF(BA79="","",IFERROR(INDEX(wKS2,10)+0,""))</f>
        <v>1</v>
      </c>
      <c r="BE79">
        <f>IF(BA79="","",IFERROR(INDEX(wTests,10)+0,0))</f>
        <v>6</v>
      </c>
      <c r="BF79">
        <f>IF(BA79="","",IFERROR(INDEX(wMean,10)+0,""))</f>
        <v>1.83333333333333</v>
      </c>
      <c r="BG79">
        <f>IF(BA79="","",IFERROR(INDEX(wVs,10)+0,""))</f>
        <v>0.833333333333333</v>
      </c>
      <c r="BH79">
        <f>IF(OR(BA79="",wLatest=""),"",IFERROR(INDEX(wData,10,MATCH(wLatest&amp;CHAR(10)&amp;"Stanine",wHdr,0))+0,""))</f>
        <v>2</v>
      </c>
      <c r="BI79" t="str">
        <f>IF(BA79="","",IF(AND(ISNUMBER(BG79),N(BE79)&gt;=WlMinTests,BG79&lt;=-WlGap),"Below KS2 starting point",IF(AND(NOT(ISNUMBER(BD79)),ISNUMBER(BF79),N(BE79)&gt;=WlMinTests,BF79&lt;=WlLowMean),"Low results, no KS2 data","")))</f>
        <v/>
      </c>
      <c r="BJ79" t="str">
        <f>IF(BI79="","",IF(BI79="Below KS2 starting point",BG79,100+BF79)+ROW()/1000000)</f>
        <v/>
      </c>
    </row>
    <row r="80">
      <c r="H80" t="str">
        <f>IFERROR(INDEX(tblY7[Class],ROWS(H$10:H80))&amp;"","")</f>
        <v>7A/Sc2</v>
      </c>
      <c r="I80" t="str">
        <f>IF(H80="","",IF(COUNTIF(H$10:H80,H80)=1,COUNTIF(H$10:H$609,"&lt;"&amp;H80)+1,""))</f>
        <v/>
      </c>
      <c r="J80" t="str">
        <f>IFERROR(INDEX(tblY8[Class],ROWS(J$10:J80))&amp;"","")</f>
        <v>8A/Sc2</v>
      </c>
      <c r="K80" t="str">
        <f>IF(J80="","",IF(COUNTIF(J$10:J80,J80)=1,COUNTIF(J$10:J$609,"&lt;"&amp;J80)+1,""))</f>
        <v/>
      </c>
      <c r="L80" t="str">
        <f>IFERROR(INDEX(tblY9[Class],ROWS(L$10:L80))&amp;"","")</f>
        <v>9B/Sc1</v>
      </c>
      <c r="M80" t="str">
        <f>IF(L80="","",IF(COUNTIF(L$10:L80,L80)=1,COUNTIF(L$10:L$609,"&lt;"&amp;L80)+1,""))</f>
        <v/>
      </c>
      <c r="N80" t="str">
        <f>IFERROR(INDEX(tblY10[Class],ROWS(N$10:N80))&amp;"","")</f>
        <v>10S/Sc4</v>
      </c>
      <c r="O80" t="str">
        <f>IF(N80="","",IF(COUNTIF(N$10:N80,N80)=1,COUNTIF(N$10:N$609,"&lt;"&amp;N80)+1,""))</f>
        <v/>
      </c>
      <c r="P80" t="str">
        <f>IFERROR(INDEX(tblY11[Class],ROWS(P$10:P80))&amp;"","")</f>
        <v>11S/Sc5</v>
      </c>
      <c r="Q80" t="str">
        <f>IF(P80="","",IF(COUNTIF(P$10:P80,P80)=1,COUNTIF(P$10:P$609,"&lt;"&amp;P80)+1,""))</f>
        <v/>
      </c>
      <c r="BA80" t="str">
        <f>IFERROR(INDEX(wLast,11)&amp;"","")</f>
        <v>Clarke</v>
      </c>
      <c r="BB80" t="str">
        <f>IF(BA80="","",IFERROR(INDEX(wFirst,11)&amp;"",""))</f>
        <v>Ibrahim</v>
      </c>
      <c r="BC80" t="str">
        <f>IF(BA80="","",IFERROR(INDEX(wClass,11)&amp;"",""))</f>
        <v>11S/Sc1</v>
      </c>
      <c r="BD80">
        <f>IF(BA80="","",IFERROR(INDEX(wKS2,11)+0,""))</f>
        <v>7</v>
      </c>
      <c r="BE80">
        <f>IF(BA80="","",IFERROR(INDEX(wTests,11)+0,0))</f>
        <v>6</v>
      </c>
      <c r="BF80">
        <f>IF(BA80="","",IFERROR(INDEX(wMean,11)+0,""))</f>
        <v>6.16666666666667</v>
      </c>
      <c r="BG80">
        <f>IF(BA80="","",IFERROR(INDEX(wVs,11)+0,""))</f>
        <v>-0.833333333333333</v>
      </c>
      <c r="BH80">
        <f>IF(OR(BA80="",wLatest=""),"",IFERROR(INDEX(wData,11,MATCH(wLatest&amp;CHAR(10)&amp;"Stanine",wHdr,0))+0,""))</f>
        <v>7</v>
      </c>
      <c r="BI80" t="str">
        <f>IF(BA80="","",IF(AND(ISNUMBER(BG80),N(BE80)&gt;=WlMinTests,BG80&lt;=-WlGap),"Below KS2 starting point",IF(AND(NOT(ISNUMBER(BD80)),ISNUMBER(BF80),N(BE80)&gt;=WlMinTests,BF80&lt;=WlLowMean),"Low results, no KS2 data","")))</f>
        <v/>
      </c>
      <c r="BJ80" t="str">
        <f>IF(BI80="","",IF(BI80="Below KS2 starting point",BG80,100+BF80)+ROW()/1000000)</f>
        <v/>
      </c>
    </row>
    <row r="81">
      <c r="H81" t="str">
        <f>IFERROR(INDEX(tblY7[Class],ROWS(H$10:H81))&amp;"","")</f>
        <v>7B/Sc3</v>
      </c>
      <c r="I81" t="str">
        <f>IF(H81="","",IF(COUNTIF(H$10:H81,H81)=1,COUNTIF(H$10:H$609,"&lt;"&amp;H81)+1,""))</f>
        <v/>
      </c>
      <c r="J81" t="str">
        <f>IFERROR(INDEX(tblY8[Class],ROWS(J$10:J81))&amp;"","")</f>
        <v>8A/Sc1</v>
      </c>
      <c r="K81" t="str">
        <f>IF(J81="","",IF(COUNTIF(J$10:J81,J81)=1,COUNTIF(J$10:J$609,"&lt;"&amp;J81)+1,""))</f>
        <v/>
      </c>
      <c r="L81" t="str">
        <f>IFERROR(INDEX(tblY9[Class],ROWS(L$10:L81))&amp;"","")</f>
        <v>9A/Sc2</v>
      </c>
      <c r="M81" t="str">
        <f>IF(L81="","",IF(COUNTIF(L$10:L81,L81)=1,COUNTIF(L$10:L$609,"&lt;"&amp;L81)+1,""))</f>
        <v/>
      </c>
      <c r="N81" t="str">
        <f>IFERROR(INDEX(tblY10[Class],ROWS(N$10:N81))&amp;"","")</f>
        <v>10S/Sc5</v>
      </c>
      <c r="O81" t="str">
        <f>IF(N81="","",IF(COUNTIF(N$10:N81,N81)=1,COUNTIF(N$10:N$609,"&lt;"&amp;N81)+1,""))</f>
        <v/>
      </c>
      <c r="P81" t="str">
        <f>IFERROR(INDEX(tblY11[Class],ROWS(P$10:P81))&amp;"","")</f>
        <v>11S/Sc4</v>
      </c>
      <c r="Q81" t="str">
        <f>IF(P81="","",IF(COUNTIF(P$10:P81,P81)=1,COUNTIF(P$10:P$609,"&lt;"&amp;P81)+1,""))</f>
        <v/>
      </c>
      <c r="BA81" t="str">
        <f>IFERROR(INDEX(wLast,12)&amp;"","")</f>
        <v>Clarke</v>
      </c>
      <c r="BB81" t="str">
        <f>IF(BA81="","",IFERROR(INDEX(wFirst,12)&amp;"",""))</f>
        <v>Sami</v>
      </c>
      <c r="BC81" t="str">
        <f>IF(BA81="","",IFERROR(INDEX(wClass,12)&amp;"",""))</f>
        <v>11S/Sc4</v>
      </c>
      <c r="BD81">
        <f>IF(BA81="","",IFERROR(INDEX(wKS2,12)+0,""))</f>
        <v>1</v>
      </c>
      <c r="BE81">
        <f>IF(BA81="","",IFERROR(INDEX(wTests,12)+0,0))</f>
        <v>6</v>
      </c>
      <c r="BF81">
        <f>IF(BA81="","",IFERROR(INDEX(wMean,12)+0,""))</f>
        <v>1</v>
      </c>
      <c r="BG81">
        <f>IF(BA81="","",IFERROR(INDEX(wVs,12)+0,""))</f>
        <v>0</v>
      </c>
      <c r="BH81">
        <f>IF(OR(BA81="",wLatest=""),"",IFERROR(INDEX(wData,12,MATCH(wLatest&amp;CHAR(10)&amp;"Stanine",wHdr,0))+0,""))</f>
        <v>1</v>
      </c>
      <c r="BI81" t="str">
        <f>IF(BA81="","",IF(AND(ISNUMBER(BG81),N(BE81)&gt;=WlMinTests,BG81&lt;=-WlGap),"Below KS2 starting point",IF(AND(NOT(ISNUMBER(BD81)),ISNUMBER(BF81),N(BE81)&gt;=WlMinTests,BF81&lt;=WlLowMean),"Low results, no KS2 data","")))</f>
        <v/>
      </c>
      <c r="BJ81" t="str">
        <f>IF(BI81="","",IF(BI81="Below KS2 starting point",BG81,100+BF81)+ROW()/1000000)</f>
        <v/>
      </c>
    </row>
    <row r="82">
      <c r="H82" t="str">
        <f>IFERROR(INDEX(tblY7[Class],ROWS(H$10:H82))&amp;"","")</f>
        <v>7A/Sc1</v>
      </c>
      <c r="I82" t="str">
        <f>IF(H82="","",IF(COUNTIF(H$10:H82,H82)=1,COUNTIF(H$10:H$609,"&lt;"&amp;H82)+1,""))</f>
        <v/>
      </c>
      <c r="J82" t="str">
        <f>IFERROR(INDEX(tblY8[Class],ROWS(J$10:J82))&amp;"","")</f>
        <v>8A/Sc4</v>
      </c>
      <c r="K82" t="str">
        <f>IF(J82="","",IF(COUNTIF(J$10:J82,J82)=1,COUNTIF(J$10:J$609,"&lt;"&amp;J82)+1,""))</f>
        <v/>
      </c>
      <c r="L82" t="str">
        <f>IFERROR(INDEX(tblY9[Class],ROWS(L$10:L82))&amp;"","")</f>
        <v>9A/Sc3</v>
      </c>
      <c r="M82" t="str">
        <f>IF(L82="","",IF(COUNTIF(L$10:L82,L82)=1,COUNTIF(L$10:L$609,"&lt;"&amp;L82)+1,""))</f>
        <v/>
      </c>
      <c r="N82" t="str">
        <f>IFERROR(INDEX(tblY10[Class],ROWS(N$10:N82))&amp;"","")</f>
        <v>10S/Sc1</v>
      </c>
      <c r="O82" t="str">
        <f>IF(N82="","",IF(COUNTIF(N$10:N82,N82)=1,COUNTIF(N$10:N$609,"&lt;"&amp;N82)+1,""))</f>
        <v/>
      </c>
      <c r="P82" t="str">
        <f>IFERROR(INDEX(tblY11[Class],ROWS(P$10:P82))&amp;"","")</f>
        <v>11S/Sc2</v>
      </c>
      <c r="Q82" t="str">
        <f>IF(P82="","",IF(COUNTIF(P$10:P82,P82)=1,COUNTIF(P$10:P$609,"&lt;"&amp;P82)+1,""))</f>
        <v/>
      </c>
      <c r="BA82" t="str">
        <f>IFERROR(INDEX(wLast,13)&amp;"","")</f>
        <v>Cooper</v>
      </c>
      <c r="BB82" t="str">
        <f>IF(BA82="","",IFERROR(INDEX(wFirst,13)&amp;"",""))</f>
        <v>Isla</v>
      </c>
      <c r="BC82" t="str">
        <f>IF(BA82="","",IFERROR(INDEX(wClass,13)&amp;"",""))</f>
        <v>Science Support</v>
      </c>
      <c r="BD82">
        <f>IF(BA82="","",IFERROR(INDEX(wKS2,13)+0,""))</f>
        <v>1</v>
      </c>
      <c r="BE82">
        <f>IF(BA82="","",IFERROR(INDEX(wTests,13)+0,0))</f>
        <v>6</v>
      </c>
      <c r="BF82">
        <f>IF(BA82="","",IFERROR(INDEX(wMean,13)+0,""))</f>
        <v>1.16666666666667</v>
      </c>
      <c r="BG82">
        <f>IF(BA82="","",IFERROR(INDEX(wVs,13)+0,""))</f>
        <v>0.166666666666667</v>
      </c>
      <c r="BH82">
        <f>IF(OR(BA82="",wLatest=""),"",IFERROR(INDEX(wData,13,MATCH(wLatest&amp;CHAR(10)&amp;"Stanine",wHdr,0))+0,""))</f>
        <v>2</v>
      </c>
      <c r="BI82" t="str">
        <f>IF(BA82="","",IF(AND(ISNUMBER(BG82),N(BE82)&gt;=WlMinTests,BG82&lt;=-WlGap),"Below KS2 starting point",IF(AND(NOT(ISNUMBER(BD82)),ISNUMBER(BF82),N(BE82)&gt;=WlMinTests,BF82&lt;=WlLowMean),"Low results, no KS2 data","")))</f>
        <v/>
      </c>
      <c r="BJ82" t="str">
        <f>IF(BI82="","",IF(BI82="Below KS2 starting point",BG82,100+BF82)+ROW()/1000000)</f>
        <v/>
      </c>
    </row>
    <row r="83">
      <c r="H83" t="str">
        <f>IFERROR(INDEX(tblY7[Class],ROWS(H$10:H83))&amp;"","")</f>
        <v>7A/Sc1</v>
      </c>
      <c r="I83" t="str">
        <f>IF(H83="","",IF(COUNTIF(H$10:H83,H83)=1,COUNTIF(H$10:H$609,"&lt;"&amp;H83)+1,""))</f>
        <v/>
      </c>
      <c r="J83" t="str">
        <f>IFERROR(INDEX(tblY8[Class],ROWS(J$10:J83))&amp;"","")</f>
        <v>8A/Sc2</v>
      </c>
      <c r="K83" t="str">
        <f>IF(J83="","",IF(COUNTIF(J$10:J83,J83)=1,COUNTIF(J$10:J$609,"&lt;"&amp;J83)+1,""))</f>
        <v/>
      </c>
      <c r="L83" t="str">
        <f>IFERROR(INDEX(tblY9[Class],ROWS(L$10:L83))&amp;"","")</f>
        <v>9B/Sc2</v>
      </c>
      <c r="M83" t="str">
        <f>IF(L83="","",IF(COUNTIF(L$10:L83,L83)=1,COUNTIF(L$10:L$609,"&lt;"&amp;L83)+1,""))</f>
        <v/>
      </c>
      <c r="N83" t="str">
        <f>IFERROR(INDEX(tblY10[Class],ROWS(N$10:N83))&amp;"","")</f>
        <v>10S/Sc1</v>
      </c>
      <c r="O83" t="str">
        <f>IF(N83="","",IF(COUNTIF(N$10:N83,N83)=1,COUNTIF(N$10:N$609,"&lt;"&amp;N83)+1,""))</f>
        <v/>
      </c>
      <c r="P83" t="str">
        <f>IFERROR(INDEX(tblY11[Class],ROWS(P$10:P83))&amp;"","")</f>
        <v>11S/Sc5</v>
      </c>
      <c r="Q83" t="str">
        <f>IF(P83="","",IF(COUNTIF(P$10:P83,P83)=1,COUNTIF(P$10:P$609,"&lt;"&amp;P83)+1,""))</f>
        <v/>
      </c>
      <c r="BA83" t="str">
        <f>IFERROR(INDEX(wLast,14)&amp;"","")</f>
        <v>Cooper</v>
      </c>
      <c r="BB83" t="str">
        <f>IF(BA83="","",IFERROR(INDEX(wFirst,14)&amp;"",""))</f>
        <v>Rhys</v>
      </c>
      <c r="BC83" t="str">
        <f>IF(BA83="","",IFERROR(INDEX(wClass,14)&amp;"",""))</f>
        <v>11S/Sc5</v>
      </c>
      <c r="BD83">
        <f>IF(BA83="","",IFERROR(INDEX(wKS2,14)+0,""))</f>
        <v>4</v>
      </c>
      <c r="BE83">
        <f>IF(BA83="","",IFERROR(INDEX(wTests,14)+0,0))</f>
        <v>6</v>
      </c>
      <c r="BF83">
        <f>IF(BA83="","",IFERROR(INDEX(wMean,14)+0,""))</f>
        <v>2.66666666666667</v>
      </c>
      <c r="BG83">
        <f>IF(BA83="","",IFERROR(INDEX(wVs,14)+0,""))</f>
        <v>-1.33333333333333</v>
      </c>
      <c r="BH83">
        <f>IF(OR(BA83="",wLatest=""),"",IFERROR(INDEX(wData,14,MATCH(wLatest&amp;CHAR(10)&amp;"Stanine",wHdr,0))+0,""))</f>
        <v>2</v>
      </c>
      <c r="BI83" t="str">
        <f>IF(BA83="","",IF(AND(ISNUMBER(BG83),N(BE83)&gt;=WlMinTests,BG83&lt;=-WlGap),"Below KS2 starting point",IF(AND(NOT(ISNUMBER(BD83)),ISNUMBER(BF83),N(BE83)&gt;=WlMinTests,BF83&lt;=WlLowMean),"Low results, no KS2 data","")))</f>
        <v/>
      </c>
      <c r="BJ83" t="str">
        <f>IF(BI83="","",IF(BI83="Below KS2 starting point",BG83,100+BF83)+ROW()/1000000)</f>
        <v/>
      </c>
    </row>
    <row r="84">
      <c r="H84" t="str">
        <f>IFERROR(INDEX(tblY7[Class],ROWS(H$10:H84))&amp;"","")</f>
        <v>7A/Sc2</v>
      </c>
      <c r="I84" t="str">
        <f>IF(H84="","",IF(COUNTIF(H$10:H84,H84)=1,COUNTIF(H$10:H$609,"&lt;"&amp;H84)+1,""))</f>
        <v/>
      </c>
      <c r="J84" t="str">
        <f>IFERROR(INDEX(tblY8[Class],ROWS(J$10:J84))&amp;"","")</f>
        <v>8A/Sc1</v>
      </c>
      <c r="K84" t="str">
        <f>IF(J84="","",IF(COUNTIF(J$10:J84,J84)=1,COUNTIF(J$10:J$609,"&lt;"&amp;J84)+1,""))</f>
        <v/>
      </c>
      <c r="L84" t="str">
        <f>IFERROR(INDEX(tblY9[Class],ROWS(L$10:L84))&amp;"","")</f>
        <v>9B/Sc2</v>
      </c>
      <c r="M84" t="str">
        <f>IF(L84="","",IF(COUNTIF(L$10:L84,L84)=1,COUNTIF(L$10:L$609,"&lt;"&amp;L84)+1,""))</f>
        <v/>
      </c>
      <c r="N84" t="str">
        <f>IFERROR(INDEX(tblY10[Class],ROWS(N$10:N84))&amp;"","")</f>
        <v>10S/Sc5</v>
      </c>
      <c r="O84" t="str">
        <f>IF(N84="","",IF(COUNTIF(N$10:N84,N84)=1,COUNTIF(N$10:N$609,"&lt;"&amp;N84)+1,""))</f>
        <v/>
      </c>
      <c r="P84" t="str">
        <f>IFERROR(INDEX(tblY11[Class],ROWS(P$10:P84))&amp;"","")</f>
        <v>11S/Sc4</v>
      </c>
      <c r="Q84" t="str">
        <f>IF(P84="","",IF(COUNTIF(P$10:P84,P84)=1,COUNTIF(P$10:P$609,"&lt;"&amp;P84)+1,""))</f>
        <v/>
      </c>
      <c r="BA84" t="str">
        <f>IFERROR(INDEX(wLast,15)&amp;"","")</f>
        <v>Edwards</v>
      </c>
      <c r="BB84" t="str">
        <f>IF(BA84="","",IFERROR(INDEX(wFirst,15)&amp;"",""))</f>
        <v>Sophie</v>
      </c>
      <c r="BC84" t="str">
        <f>IF(BA84="","",IFERROR(INDEX(wClass,15)&amp;"",""))</f>
        <v>11S/Sc2</v>
      </c>
      <c r="BD84">
        <f>IF(BA84="","",IFERROR(INDEX(wKS2,15)+0,""))</f>
        <v>6</v>
      </c>
      <c r="BE84">
        <f>IF(BA84="","",IFERROR(INDEX(wTests,15)+0,0))</f>
        <v>5</v>
      </c>
      <c r="BF84">
        <f>IF(BA84="","",IFERROR(INDEX(wMean,15)+0,""))</f>
        <v>6.2</v>
      </c>
      <c r="BG84">
        <f>IF(BA84="","",IFERROR(INDEX(wVs,15)+0,""))</f>
        <v>0.2</v>
      </c>
      <c r="BH84">
        <f>IF(OR(BA84="",wLatest=""),"",IFERROR(INDEX(wData,15,MATCH(wLatest&amp;CHAR(10)&amp;"Stanine",wHdr,0))+0,""))</f>
        <v>7</v>
      </c>
      <c r="BI84" t="str">
        <f>IF(BA84="","",IF(AND(ISNUMBER(BG84),N(BE84)&gt;=WlMinTests,BG84&lt;=-WlGap),"Below KS2 starting point",IF(AND(NOT(ISNUMBER(BD84)),ISNUMBER(BF84),N(BE84)&gt;=WlMinTests,BF84&lt;=WlLowMean),"Low results, no KS2 data","")))</f>
        <v/>
      </c>
      <c r="BJ84" t="str">
        <f>IF(BI84="","",IF(BI84="Below KS2 starting point",BG84,100+BF84)+ROW()/1000000)</f>
        <v/>
      </c>
    </row>
    <row r="85">
      <c r="H85" t="str">
        <f>IFERROR(INDEX(tblY7[Class],ROWS(H$10:H85))&amp;"","")</f>
        <v>7B/Sc2</v>
      </c>
      <c r="I85" t="str">
        <f>IF(H85="","",IF(COUNTIF(H$10:H85,H85)=1,COUNTIF(H$10:H$609,"&lt;"&amp;H85)+1,""))</f>
        <v/>
      </c>
      <c r="J85" t="str">
        <f>IFERROR(INDEX(tblY8[Class],ROWS(J$10:J85))&amp;"","")</f>
        <v>Science Support</v>
      </c>
      <c r="K85" t="str">
        <f>IF(J85="","",IF(COUNTIF(J$10:J85,J85)=1,COUNTIF(J$10:J$609,"&lt;"&amp;J85)+1,""))</f>
        <v/>
      </c>
      <c r="L85" t="str">
        <f>IFERROR(INDEX(tblY9[Class],ROWS(L$10:L85))&amp;"","")</f>
        <v>9A/Sc1</v>
      </c>
      <c r="M85" t="str">
        <f>IF(L85="","",IF(COUNTIF(L$10:L85,L85)=1,COUNTIF(L$10:L$609,"&lt;"&amp;L85)+1,""))</f>
        <v/>
      </c>
      <c r="N85" t="str">
        <f>IFERROR(INDEX(tblY10[Class],ROWS(N$10:N85))&amp;"","")</f>
        <v>Science Support</v>
      </c>
      <c r="O85" t="str">
        <f>IF(N85="","",IF(COUNTIF(N$10:N85,N85)=1,COUNTIF(N$10:N$609,"&lt;"&amp;N85)+1,""))</f>
        <v/>
      </c>
      <c r="P85" t="str">
        <f>IFERROR(INDEX(tblY11[Class],ROWS(P$10:P85))&amp;"","")</f>
        <v>11S/Sc5</v>
      </c>
      <c r="Q85" t="str">
        <f>IF(P85="","",IF(COUNTIF(P$10:P85,P85)=1,COUNTIF(P$10:P$609,"&lt;"&amp;P85)+1,""))</f>
        <v/>
      </c>
      <c r="BA85" t="str">
        <f>IFERROR(INDEX(wLast,16)&amp;"","")</f>
        <v>Evans</v>
      </c>
      <c r="BB85" t="str">
        <f>IF(BA85="","",IFERROR(INDEX(wFirst,16)&amp;"",""))</f>
        <v>Ava</v>
      </c>
      <c r="BC85" t="str">
        <f>IF(BA85="","",IFERROR(INDEX(wClass,16)&amp;"",""))</f>
        <v>11S/Sc2</v>
      </c>
      <c r="BD85">
        <f>IF(BA85="","",IFERROR(INDEX(wKS2,16)+0,""))</f>
        <v>7</v>
      </c>
      <c r="BE85">
        <f>IF(BA85="","",IFERROR(INDEX(wTests,16)+0,0))</f>
        <v>6</v>
      </c>
      <c r="BF85">
        <f>IF(BA85="","",IFERROR(INDEX(wMean,16)+0,""))</f>
        <v>7.33333333333333</v>
      </c>
      <c r="BG85">
        <f>IF(BA85="","",IFERROR(INDEX(wVs,16)+0,""))</f>
        <v>0.333333333333333</v>
      </c>
      <c r="BH85">
        <f>IF(OR(BA85="",wLatest=""),"",IFERROR(INDEX(wData,16,MATCH(wLatest&amp;CHAR(10)&amp;"Stanine",wHdr,0))+0,""))</f>
        <v>8</v>
      </c>
      <c r="BI85" t="str">
        <f>IF(BA85="","",IF(AND(ISNUMBER(BG85),N(BE85)&gt;=WlMinTests,BG85&lt;=-WlGap),"Below KS2 starting point",IF(AND(NOT(ISNUMBER(BD85)),ISNUMBER(BF85),N(BE85)&gt;=WlMinTests,BF85&lt;=WlLowMean),"Low results, no KS2 data","")))</f>
        <v/>
      </c>
      <c r="BJ85" t="str">
        <f>IF(BI85="","",IF(BI85="Below KS2 starting point",BG85,100+BF85)+ROW()/1000000)</f>
        <v/>
      </c>
    </row>
    <row r="86">
      <c r="H86" t="str">
        <f>IFERROR(INDEX(tblY7[Class],ROWS(H$10:H86))&amp;"","")</f>
        <v>7B/Sc1</v>
      </c>
      <c r="I86" t="str">
        <f>IF(H86="","",IF(COUNTIF(H$10:H86,H86)=1,COUNTIF(H$10:H$609,"&lt;"&amp;H86)+1,""))</f>
        <v/>
      </c>
      <c r="J86" t="str">
        <f>IFERROR(INDEX(tblY8[Class],ROWS(J$10:J86))&amp;"","")</f>
        <v>8A/Sc1</v>
      </c>
      <c r="K86" t="str">
        <f>IF(J86="","",IF(COUNTIF(J$10:J86,J86)=1,COUNTIF(J$10:J$609,"&lt;"&amp;J86)+1,""))</f>
        <v/>
      </c>
      <c r="L86" t="str">
        <f>IFERROR(INDEX(tblY9[Class],ROWS(L$10:L86))&amp;"","")</f>
        <v>9B/Sc2</v>
      </c>
      <c r="M86" t="str">
        <f>IF(L86="","",IF(COUNTIF(L$10:L86,L86)=1,COUNTIF(L$10:L$609,"&lt;"&amp;L86)+1,""))</f>
        <v/>
      </c>
      <c r="N86" t="str">
        <f>IFERROR(INDEX(tblY10[Class],ROWS(N$10:N86))&amp;"","")</f>
        <v>10S/Sc3</v>
      </c>
      <c r="O86" t="str">
        <f>IF(N86="","",IF(COUNTIF(N$10:N86,N86)=1,COUNTIF(N$10:N$609,"&lt;"&amp;N86)+1,""))</f>
        <v/>
      </c>
      <c r="P86" t="str">
        <f>IFERROR(INDEX(tblY11[Class],ROWS(P$10:P86))&amp;"","")</f>
        <v>11S/Sc3</v>
      </c>
      <c r="Q86" t="str">
        <f>IF(P86="","",IF(COUNTIF(P$10:P86,P86)=1,COUNTIF(P$10:P$609,"&lt;"&amp;P86)+1,""))</f>
        <v/>
      </c>
      <c r="BA86" t="str">
        <f>IFERROR(INDEX(wLast,17)&amp;"","")</f>
        <v>Evans</v>
      </c>
      <c r="BB86" t="str">
        <f>IF(BA86="","",IFERROR(INDEX(wFirst,17)&amp;"",""))</f>
        <v>Ibrahim</v>
      </c>
      <c r="BC86" t="str">
        <f>IF(BA86="","",IFERROR(INDEX(wClass,17)&amp;"",""))</f>
        <v>11S/Sc4</v>
      </c>
      <c r="BD86">
        <f>IF(BA86="","",IFERROR(INDEX(wKS2,17)+0,""))</f>
        <v>5</v>
      </c>
      <c r="BE86">
        <f>IF(BA86="","",IFERROR(INDEX(wTests,17)+0,0))</f>
        <v>5</v>
      </c>
      <c r="BF86">
        <f>IF(BA86="","",IFERROR(INDEX(wMean,17)+0,""))</f>
        <v>4.8</v>
      </c>
      <c r="BG86">
        <f>IF(BA86="","",IFERROR(INDEX(wVs,17)+0,""))</f>
        <v>-0.2</v>
      </c>
      <c r="BH86">
        <f>IF(OR(BA86="",wLatest=""),"",IFERROR(INDEX(wData,17,MATCH(wLatest&amp;CHAR(10)&amp;"Stanine",wHdr,0))+0,""))</f>
        <v>5</v>
      </c>
      <c r="BI86" t="str">
        <f>IF(BA86="","",IF(AND(ISNUMBER(BG86),N(BE86)&gt;=WlMinTests,BG86&lt;=-WlGap),"Below KS2 starting point",IF(AND(NOT(ISNUMBER(BD86)),ISNUMBER(BF86),N(BE86)&gt;=WlMinTests,BF86&lt;=WlLowMean),"Low results, no KS2 data","")))</f>
        <v/>
      </c>
      <c r="BJ86" t="str">
        <f>IF(BI86="","",IF(BI86="Below KS2 starting point",BG86,100+BF86)+ROW()/1000000)</f>
        <v/>
      </c>
    </row>
    <row r="87">
      <c r="H87" t="str">
        <f>IFERROR(INDEX(tblY7[Class],ROWS(H$10:H87))&amp;"","")</f>
        <v>7B/Sc1</v>
      </c>
      <c r="I87" t="str">
        <f>IF(H87="","",IF(COUNTIF(H$10:H87,H87)=1,COUNTIF(H$10:H$609,"&lt;"&amp;H87)+1,""))</f>
        <v/>
      </c>
      <c r="J87" t="str">
        <f>IFERROR(INDEX(tblY8[Class],ROWS(J$10:J87))&amp;"","")</f>
        <v>8A/Sc2</v>
      </c>
      <c r="K87" t="str">
        <f>IF(J87="","",IF(COUNTIF(J$10:J87,J87)=1,COUNTIF(J$10:J$609,"&lt;"&amp;J87)+1,""))</f>
        <v/>
      </c>
      <c r="L87" t="str">
        <f>IFERROR(INDEX(tblY9[Class],ROWS(L$10:L87))&amp;"","")</f>
        <v>9B/Sc1</v>
      </c>
      <c r="M87" t="str">
        <f>IF(L87="","",IF(COUNTIF(L$10:L87,L87)=1,COUNTIF(L$10:L$609,"&lt;"&amp;L87)+1,""))</f>
        <v/>
      </c>
      <c r="N87" t="str">
        <f>IFERROR(INDEX(tblY10[Class],ROWS(N$10:N87))&amp;"","")</f>
        <v>10S/Sc5</v>
      </c>
      <c r="O87" t="str">
        <f>IF(N87="","",IF(COUNTIF(N$10:N87,N87)=1,COUNTIF(N$10:N$609,"&lt;"&amp;N87)+1,""))</f>
        <v/>
      </c>
      <c r="P87" t="str">
        <f>IFERROR(INDEX(tblY11[Class],ROWS(P$10:P87))&amp;"","")</f>
        <v>11S/Sc2</v>
      </c>
      <c r="Q87" t="str">
        <f>IF(P87="","",IF(COUNTIF(P$10:P87,P87)=1,COUNTIF(P$10:P$609,"&lt;"&amp;P87)+1,""))</f>
        <v/>
      </c>
      <c r="BA87" t="str">
        <f>IFERROR(INDEX(wLast,18)&amp;"","")</f>
        <v>Fletcher</v>
      </c>
      <c r="BB87" t="str">
        <f>IF(BA87="","",IFERROR(INDEX(wFirst,18)&amp;"",""))</f>
        <v>Arthur</v>
      </c>
      <c r="BC87" t="str">
        <f>IF(BA87="","",IFERROR(INDEX(wClass,18)&amp;"",""))</f>
        <v>11S/Sc2</v>
      </c>
      <c r="BD87">
        <f>IF(BA87="","",IFERROR(INDEX(wKS2,18)+0,""))</f>
        <v>5</v>
      </c>
      <c r="BE87">
        <f>IF(BA87="","",IFERROR(INDEX(wTests,18)+0,0))</f>
        <v>6</v>
      </c>
      <c r="BF87">
        <f>IF(BA87="","",IFERROR(INDEX(wMean,18)+0,""))</f>
        <v>4.5</v>
      </c>
      <c r="BG87">
        <f>IF(BA87="","",IFERROR(INDEX(wVs,18)+0,""))</f>
        <v>-0.5</v>
      </c>
      <c r="BH87">
        <f>IF(OR(BA87="",wLatest=""),"",IFERROR(INDEX(wData,18,MATCH(wLatest&amp;CHAR(10)&amp;"Stanine",wHdr,0))+0,""))</f>
        <v>4</v>
      </c>
      <c r="BI87" t="str">
        <f>IF(BA87="","",IF(AND(ISNUMBER(BG87),N(BE87)&gt;=WlMinTests,BG87&lt;=-WlGap),"Below KS2 starting point",IF(AND(NOT(ISNUMBER(BD87)),ISNUMBER(BF87),N(BE87)&gt;=WlMinTests,BF87&lt;=WlLowMean),"Low results, no KS2 data","")))</f>
        <v/>
      </c>
      <c r="BJ87" t="str">
        <f>IF(BI87="","",IF(BI87="Below KS2 starting point",BG87,100+BF87)+ROW()/1000000)</f>
        <v/>
      </c>
    </row>
    <row r="88">
      <c r="H88" t="str">
        <f>IFERROR(INDEX(tblY7[Class],ROWS(H$10:H88))&amp;"","")</f>
        <v>7B/Sc1</v>
      </c>
      <c r="I88" t="str">
        <f>IF(H88="","",IF(COUNTIF(H$10:H88,H88)=1,COUNTIF(H$10:H$609,"&lt;"&amp;H88)+1,""))</f>
        <v/>
      </c>
      <c r="J88" t="str">
        <f>IFERROR(INDEX(tblY8[Class],ROWS(J$10:J88))&amp;"","")</f>
        <v>8A/Sc2</v>
      </c>
      <c r="K88" t="str">
        <f>IF(J88="","",IF(COUNTIF(J$10:J88,J88)=1,COUNTIF(J$10:J$609,"&lt;"&amp;J88)+1,""))</f>
        <v/>
      </c>
      <c r="L88" t="str">
        <f>IFERROR(INDEX(tblY9[Class],ROWS(L$10:L88))&amp;"","")</f>
        <v>9A/Sc2</v>
      </c>
      <c r="M88" t="str">
        <f>IF(L88="","",IF(COUNTIF(L$10:L88,L88)=1,COUNTIF(L$10:L$609,"&lt;"&amp;L88)+1,""))</f>
        <v/>
      </c>
      <c r="N88" t="str">
        <f>IFERROR(INDEX(tblY10[Class],ROWS(N$10:N88))&amp;"","")</f>
        <v>10S/Sc1</v>
      </c>
      <c r="O88" t="str">
        <f>IF(N88="","",IF(COUNTIF(N$10:N88,N88)=1,COUNTIF(N$10:N$609,"&lt;"&amp;N88)+1,""))</f>
        <v/>
      </c>
      <c r="P88" t="str">
        <f>IFERROR(INDEX(tblY11[Class],ROWS(P$10:P88))&amp;"","")</f>
        <v>11S/Sc4</v>
      </c>
      <c r="Q88" t="str">
        <f>IF(P88="","",IF(COUNTIF(P$10:P88,P88)=1,COUNTIF(P$10:P$609,"&lt;"&amp;P88)+1,""))</f>
        <v/>
      </c>
      <c r="BA88" t="str">
        <f>IFERROR(INDEX(wLast,19)&amp;"","")</f>
        <v>Fletcher</v>
      </c>
      <c r="BB88" t="str">
        <f>IF(BA88="","",IFERROR(INDEX(wFirst,19)&amp;"",""))</f>
        <v>Leo</v>
      </c>
      <c r="BC88" t="str">
        <f>IF(BA88="","",IFERROR(INDEX(wClass,19)&amp;"",""))</f>
        <v>11S/Sc3</v>
      </c>
      <c r="BD88">
        <f>IF(BA88="","",IFERROR(INDEX(wKS2,19)+0,""))</f>
        <v>3</v>
      </c>
      <c r="BE88">
        <f>IF(BA88="","",IFERROR(INDEX(wTests,19)+0,0))</f>
        <v>6</v>
      </c>
      <c r="BF88">
        <f>IF(BA88="","",IFERROR(INDEX(wMean,19)+0,""))</f>
        <v>3.5</v>
      </c>
      <c r="BG88">
        <f>IF(BA88="","",IFERROR(INDEX(wVs,19)+0,""))</f>
        <v>0.5</v>
      </c>
      <c r="BH88">
        <f>IF(OR(BA88="",wLatest=""),"",IFERROR(INDEX(wData,19,MATCH(wLatest&amp;CHAR(10)&amp;"Stanine",wHdr,0))+0,""))</f>
        <v>4</v>
      </c>
      <c r="BI88" t="str">
        <f>IF(BA88="","",IF(AND(ISNUMBER(BG88),N(BE88)&gt;=WlMinTests,BG88&lt;=-WlGap),"Below KS2 starting point",IF(AND(NOT(ISNUMBER(BD88)),ISNUMBER(BF88),N(BE88)&gt;=WlMinTests,BF88&lt;=WlLowMean),"Low results, no KS2 data","")))</f>
        <v/>
      </c>
      <c r="BJ88" t="str">
        <f>IF(BI88="","",IF(BI88="Below KS2 starting point",BG88,100+BF88)+ROW()/1000000)</f>
        <v/>
      </c>
    </row>
    <row r="89">
      <c r="H89" t="str">
        <f>IFERROR(INDEX(tblY7[Class],ROWS(H$10:H89))&amp;"","")</f>
        <v>7B/Sc1</v>
      </c>
      <c r="I89" t="str">
        <f>IF(H89="","",IF(COUNTIF(H$10:H89,H89)=1,COUNTIF(H$10:H$609,"&lt;"&amp;H89)+1,""))</f>
        <v/>
      </c>
      <c r="J89" t="str">
        <f>IFERROR(INDEX(tblY8[Class],ROWS(J$10:J89))&amp;"","")</f>
        <v>8A/Sc2</v>
      </c>
      <c r="K89" t="str">
        <f>IF(J89="","",IF(COUNTIF(J$10:J89,J89)=1,COUNTIF(J$10:J$609,"&lt;"&amp;J89)+1,""))</f>
        <v/>
      </c>
      <c r="L89" t="str">
        <f>IFERROR(INDEX(tblY9[Class],ROWS(L$10:L89))&amp;"","")</f>
        <v>9A/Sc2</v>
      </c>
      <c r="M89" t="str">
        <f>IF(L89="","",IF(COUNTIF(L$10:L89,L89)=1,COUNTIF(L$10:L$609,"&lt;"&amp;L89)+1,""))</f>
        <v/>
      </c>
      <c r="N89" t="str">
        <f>IFERROR(INDEX(tblY10[Class],ROWS(N$10:N89))&amp;"","")</f>
        <v>10S/Sc3</v>
      </c>
      <c r="O89" t="str">
        <f>IF(N89="","",IF(COUNTIF(N$10:N89,N89)=1,COUNTIF(N$10:N$609,"&lt;"&amp;N89)+1,""))</f>
        <v/>
      </c>
      <c r="P89" t="str">
        <f>IFERROR(INDEX(tblY11[Class],ROWS(P$10:P89))&amp;"","")</f>
        <v>11S/Sc2</v>
      </c>
      <c r="Q89" t="str">
        <f>IF(P89="","",IF(COUNTIF(P$10:P89,P89)=1,COUNTIF(P$10:P$609,"&lt;"&amp;P89)+1,""))</f>
        <v/>
      </c>
      <c r="BA89" t="str">
        <f>IFERROR(INDEX(wLast,20)&amp;"","")</f>
        <v>Green</v>
      </c>
      <c r="BB89" t="str">
        <f>IF(BA89="","",IFERROR(INDEX(wFirst,20)&amp;"",""))</f>
        <v>Amara</v>
      </c>
      <c r="BC89" t="str">
        <f>IF(BA89="","",IFERROR(INDEX(wClass,20)&amp;"",""))</f>
        <v>11S/Sc2</v>
      </c>
      <c r="BD89">
        <f>IF(BA89="","",IFERROR(INDEX(wKS2,20)+0,""))</f>
        <v>6</v>
      </c>
      <c r="BE89">
        <f>IF(BA89="","",IFERROR(INDEX(wTests,20)+0,0))</f>
        <v>5</v>
      </c>
      <c r="BF89">
        <f>IF(BA89="","",IFERROR(INDEX(wMean,20)+0,""))</f>
        <v>6.8</v>
      </c>
      <c r="BG89">
        <f>IF(BA89="","",IFERROR(INDEX(wVs,20)+0,""))</f>
        <v>0.8</v>
      </c>
      <c r="BH89">
        <f>IF(OR(BA89="",wLatest=""),"",IFERROR(INDEX(wData,20,MATCH(wLatest&amp;CHAR(10)&amp;"Stanine",wHdr,0))+0,""))</f>
        <v>7</v>
      </c>
      <c r="BI89" t="str">
        <f>IF(BA89="","",IF(AND(ISNUMBER(BG89),N(BE89)&gt;=WlMinTests,BG89&lt;=-WlGap),"Below KS2 starting point",IF(AND(NOT(ISNUMBER(BD89)),ISNUMBER(BF89),N(BE89)&gt;=WlMinTests,BF89&lt;=WlLowMean),"Low results, no KS2 data","")))</f>
        <v/>
      </c>
      <c r="BJ89" t="str">
        <f>IF(BI89="","",IF(BI89="Below KS2 starting point",BG89,100+BF89)+ROW()/1000000)</f>
        <v/>
      </c>
    </row>
    <row r="90">
      <c r="H90" t="str">
        <f>IFERROR(INDEX(tblY7[Class],ROWS(H$10:H90))&amp;"","")</f>
        <v>7B/Sc2</v>
      </c>
      <c r="I90" t="str">
        <f>IF(H90="","",IF(COUNTIF(H$10:H90,H90)=1,COUNTIF(H$10:H$609,"&lt;"&amp;H90)+1,""))</f>
        <v/>
      </c>
      <c r="J90" t="str">
        <f>IFERROR(INDEX(tblY8[Class],ROWS(J$10:J90))&amp;"","")</f>
        <v>8A/Sc1</v>
      </c>
      <c r="K90" t="str">
        <f>IF(J90="","",IF(COUNTIF(J$10:J90,J90)=1,COUNTIF(J$10:J$609,"&lt;"&amp;J90)+1,""))</f>
        <v/>
      </c>
      <c r="L90" t="str">
        <f>IFERROR(INDEX(tblY9[Class],ROWS(L$10:L90))&amp;"","")</f>
        <v>9A/Sc1</v>
      </c>
      <c r="M90" t="str">
        <f>IF(L90="","",IF(COUNTIF(L$10:L90,L90)=1,COUNTIF(L$10:L$609,"&lt;"&amp;L90)+1,""))</f>
        <v/>
      </c>
      <c r="N90" t="str">
        <f>IFERROR(INDEX(tblY10[Class],ROWS(N$10:N90))&amp;"","")</f>
        <v>10S/Sc2</v>
      </c>
      <c r="O90" t="str">
        <f>IF(N90="","",IF(COUNTIF(N$10:N90,N90)=1,COUNTIF(N$10:N$609,"&lt;"&amp;N90)+1,""))</f>
        <v/>
      </c>
      <c r="P90" t="str">
        <f>IFERROR(INDEX(tblY11[Class],ROWS(P$10:P90))&amp;"","")</f>
        <v>11S/Sc5</v>
      </c>
      <c r="Q90" t="str">
        <f>IF(P90="","",IF(COUNTIF(P$10:P90,P90)=1,COUNTIF(P$10:P$609,"&lt;"&amp;P90)+1,""))</f>
        <v/>
      </c>
      <c r="BA90" t="str">
        <f>IFERROR(INDEX(wLast,21)&amp;"","")</f>
        <v>Green</v>
      </c>
      <c r="BB90" t="str">
        <f>IF(BA90="","",IFERROR(INDEX(wFirst,21)&amp;"",""))</f>
        <v>Arjun</v>
      </c>
      <c r="BC90" t="str">
        <f>IF(BA90="","",IFERROR(INDEX(wClass,21)&amp;"",""))</f>
        <v>11S/Sc1</v>
      </c>
      <c r="BD90">
        <f>IF(BA90="","",IFERROR(INDEX(wKS2,21)+0,""))</f>
        <v>6</v>
      </c>
      <c r="BE90">
        <f>IF(BA90="","",IFERROR(INDEX(wTests,21)+0,0))</f>
        <v>6</v>
      </c>
      <c r="BF90">
        <f>IF(BA90="","",IFERROR(INDEX(wMean,21)+0,""))</f>
        <v>6.33333333333333</v>
      </c>
      <c r="BG90">
        <f>IF(BA90="","",IFERROR(INDEX(wVs,21)+0,""))</f>
        <v>0.333333333333333</v>
      </c>
      <c r="BH90">
        <f>IF(OR(BA90="",wLatest=""),"",IFERROR(INDEX(wData,21,MATCH(wLatest&amp;CHAR(10)&amp;"Stanine",wHdr,0))+0,""))</f>
        <v>6</v>
      </c>
      <c r="BI90" t="str">
        <f>IF(BA90="","",IF(AND(ISNUMBER(BG90),N(BE90)&gt;=WlMinTests,BG90&lt;=-WlGap),"Below KS2 starting point",IF(AND(NOT(ISNUMBER(BD90)),ISNUMBER(BF90),N(BE90)&gt;=WlMinTests,BF90&lt;=WlLowMean),"Low results, no KS2 data","")))</f>
        <v/>
      </c>
      <c r="BJ90" t="str">
        <f>IF(BI90="","",IF(BI90="Below KS2 starting point",BG90,100+BF90)+ROW()/1000000)</f>
        <v/>
      </c>
    </row>
    <row r="91">
      <c r="H91" t="str">
        <f>IFERROR(INDEX(tblY7[Class],ROWS(H$10:H91))&amp;"","")</f>
        <v>7B/Sc3</v>
      </c>
      <c r="I91" t="str">
        <f>IF(H91="","",IF(COUNTIF(H$10:H91,H91)=1,COUNTIF(H$10:H$609,"&lt;"&amp;H91)+1,""))</f>
        <v/>
      </c>
      <c r="J91" t="str">
        <f>IFERROR(INDEX(tblY8[Class],ROWS(J$10:J91))&amp;"","")</f>
        <v>8A/Sc3</v>
      </c>
      <c r="K91" t="str">
        <f>IF(J91="","",IF(COUNTIF(J$10:J91,J91)=1,COUNTIF(J$10:J$609,"&lt;"&amp;J91)+1,""))</f>
        <v/>
      </c>
      <c r="L91" t="str">
        <f>IFERROR(INDEX(tblY9[Class],ROWS(L$10:L91))&amp;"","")</f>
        <v>9B/Sc2</v>
      </c>
      <c r="M91" t="str">
        <f>IF(L91="","",IF(COUNTIF(L$10:L91,L91)=1,COUNTIF(L$10:L$609,"&lt;"&amp;L91)+1,""))</f>
        <v/>
      </c>
      <c r="N91" t="str">
        <f>IFERROR(INDEX(tblY10[Class],ROWS(N$10:N91))&amp;"","")</f>
        <v>10S/Sc1</v>
      </c>
      <c r="O91" t="str">
        <f>IF(N91="","",IF(COUNTIF(N$10:N91,N91)=1,COUNTIF(N$10:N$609,"&lt;"&amp;N91)+1,""))</f>
        <v/>
      </c>
      <c r="P91" t="str">
        <f>IFERROR(INDEX(tblY11[Class],ROWS(P$10:P91))&amp;"","")</f>
        <v>Science Support</v>
      </c>
      <c r="Q91" t="str">
        <f>IF(P91="","",IF(COUNTIF(P$10:P91,P91)=1,COUNTIF(P$10:P$609,"&lt;"&amp;P91)+1,""))</f>
        <v/>
      </c>
      <c r="BA91" t="str">
        <f>IFERROR(INDEX(wLast,22)&amp;"","")</f>
        <v>Green</v>
      </c>
      <c r="BB91" t="str">
        <f>IF(BA91="","",IFERROR(INDEX(wFirst,22)&amp;"",""))</f>
        <v>Ella</v>
      </c>
      <c r="BC91" t="str">
        <f>IF(BA91="","",IFERROR(INDEX(wClass,22)&amp;"",""))</f>
        <v>11S/Sc2</v>
      </c>
      <c r="BD91">
        <f>IF(BA91="","",IFERROR(INDEX(wKS2,22)+0,""))</f>
        <v>5</v>
      </c>
      <c r="BE91">
        <f>IF(BA91="","",IFERROR(INDEX(wTests,22)+0,0))</f>
        <v>5</v>
      </c>
      <c r="BF91">
        <f>IF(BA91="","",IFERROR(INDEX(wMean,22)+0,""))</f>
        <v>6.6</v>
      </c>
      <c r="BG91">
        <f>IF(BA91="","",IFERROR(INDEX(wVs,22)+0,""))</f>
        <v>1.6</v>
      </c>
      <c r="BH91" t="str">
        <f>IF(OR(BA91="",wLatest=""),"",IFERROR(INDEX(wData,22,MATCH(wLatest&amp;CHAR(10)&amp;"Stanine",wHdr,0))+0,""))</f>
        <v/>
      </c>
      <c r="BI91" t="str">
        <f>IF(BA91="","",IF(AND(ISNUMBER(BG91),N(BE91)&gt;=WlMinTests,BG91&lt;=-WlGap),"Below KS2 starting point",IF(AND(NOT(ISNUMBER(BD91)),ISNUMBER(BF91),N(BE91)&gt;=WlMinTests,BF91&lt;=WlLowMean),"Low results, no KS2 data","")))</f>
        <v/>
      </c>
      <c r="BJ91" t="str">
        <f>IF(BI91="","",IF(BI91="Below KS2 starting point",BG91,100+BF91)+ROW()/1000000)</f>
        <v/>
      </c>
    </row>
    <row r="92">
      <c r="H92" t="str">
        <f>IFERROR(INDEX(tblY7[Class],ROWS(H$10:H92))&amp;"","")</f>
        <v>7B/Sc3</v>
      </c>
      <c r="I92" t="str">
        <f>IF(H92="","",IF(COUNTIF(H$10:H92,H92)=1,COUNTIF(H$10:H$609,"&lt;"&amp;H92)+1,""))</f>
        <v/>
      </c>
      <c r="J92" t="str">
        <f>IFERROR(INDEX(tblY8[Class],ROWS(J$10:J92))&amp;"","")</f>
        <v>8A/Sc2</v>
      </c>
      <c r="K92" t="str">
        <f>IF(J92="","",IF(COUNTIF(J$10:J92,J92)=1,COUNTIF(J$10:J$609,"&lt;"&amp;J92)+1,""))</f>
        <v/>
      </c>
      <c r="L92" t="str">
        <f>IFERROR(INDEX(tblY9[Class],ROWS(L$10:L92))&amp;"","")</f>
        <v>9A/Sc2</v>
      </c>
      <c r="M92" t="str">
        <f>IF(L92="","",IF(COUNTIF(L$10:L92,L92)=1,COUNTIF(L$10:L$609,"&lt;"&amp;L92)+1,""))</f>
        <v/>
      </c>
      <c r="N92" t="str">
        <f>IFERROR(INDEX(tblY10[Class],ROWS(N$10:N92))&amp;"","")</f>
        <v>10S/Sc1</v>
      </c>
      <c r="O92" t="str">
        <f>IF(N92="","",IF(COUNTIF(N$10:N92,N92)=1,COUNTIF(N$10:N$609,"&lt;"&amp;N92)+1,""))</f>
        <v/>
      </c>
      <c r="P92" t="str">
        <f>IFERROR(INDEX(tblY11[Class],ROWS(P$10:P92))&amp;"","")</f>
        <v>11S/Sc4</v>
      </c>
      <c r="Q92" t="str">
        <f>IF(P92="","",IF(COUNTIF(P$10:P92,P92)=1,COUNTIF(P$10:P$609,"&lt;"&amp;P92)+1,""))</f>
        <v/>
      </c>
      <c r="BA92" t="str">
        <f>IFERROR(INDEX(wLast,23)&amp;"","")</f>
        <v>Griffiths</v>
      </c>
      <c r="BB92" t="str">
        <f>IF(BA92="","",IFERROR(INDEX(wFirst,23)&amp;"",""))</f>
        <v>Alfie</v>
      </c>
      <c r="BC92" t="str">
        <f>IF(BA92="","",IFERROR(INDEX(wClass,23)&amp;"",""))</f>
        <v>11S/Sc3</v>
      </c>
      <c r="BD92">
        <f>IF(BA92="","",IFERROR(INDEX(wKS2,23)+0,""))</f>
        <v>3</v>
      </c>
      <c r="BE92">
        <f>IF(BA92="","",IFERROR(INDEX(wTests,23)+0,0))</f>
        <v>6</v>
      </c>
      <c r="BF92">
        <f>IF(BA92="","",IFERROR(INDEX(wMean,23)+0,""))</f>
        <v>3.16666666666667</v>
      </c>
      <c r="BG92">
        <f>IF(BA92="","",IFERROR(INDEX(wVs,23)+0,""))</f>
        <v>0.166666666666667</v>
      </c>
      <c r="BH92">
        <f>IF(OR(BA92="",wLatest=""),"",IFERROR(INDEX(wData,23,MATCH(wLatest&amp;CHAR(10)&amp;"Stanine",wHdr,0))+0,""))</f>
        <v>4</v>
      </c>
      <c r="BI92" t="str">
        <f>IF(BA92="","",IF(AND(ISNUMBER(BG92),N(BE92)&gt;=WlMinTests,BG92&lt;=-WlGap),"Below KS2 starting point",IF(AND(NOT(ISNUMBER(BD92)),ISNUMBER(BF92),N(BE92)&gt;=WlMinTests,BF92&lt;=WlLowMean),"Low results, no KS2 data","")))</f>
        <v/>
      </c>
      <c r="BJ92" t="str">
        <f>IF(BI92="","",IF(BI92="Below KS2 starting point",BG92,100+BF92)+ROW()/1000000)</f>
        <v/>
      </c>
    </row>
    <row r="93">
      <c r="H93" t="str">
        <f>IFERROR(INDEX(tblY7[Class],ROWS(H$10:H93))&amp;"","")</f>
        <v>7A/Sc1</v>
      </c>
      <c r="I93" t="str">
        <f>IF(H93="","",IF(COUNTIF(H$10:H93,H93)=1,COUNTIF(H$10:H$609,"&lt;"&amp;H93)+1,""))</f>
        <v/>
      </c>
      <c r="J93" t="str">
        <f>IFERROR(INDEX(tblY8[Class],ROWS(J$10:J93))&amp;"","")</f>
        <v>8A/Sc4</v>
      </c>
      <c r="K93" t="str">
        <f>IF(J93="","",IF(COUNTIF(J$10:J93,J93)=1,COUNTIF(J$10:J$609,"&lt;"&amp;J93)+1,""))</f>
        <v/>
      </c>
      <c r="L93" t="str">
        <f>IFERROR(INDEX(tblY9[Class],ROWS(L$10:L93))&amp;"","")</f>
        <v>9B/Sc2</v>
      </c>
      <c r="M93" t="str">
        <f>IF(L93="","",IF(COUNTIF(L$10:L93,L93)=1,COUNTIF(L$10:L$609,"&lt;"&amp;L93)+1,""))</f>
        <v/>
      </c>
      <c r="N93" t="str">
        <f>IFERROR(INDEX(tblY10[Class],ROWS(N$10:N93))&amp;"","")</f>
        <v>10S/Sc3</v>
      </c>
      <c r="O93" t="str">
        <f>IF(N93="","",IF(COUNTIF(N$10:N93,N93)=1,COUNTIF(N$10:N$609,"&lt;"&amp;N93)+1,""))</f>
        <v/>
      </c>
      <c r="P93" t="str">
        <f>IFERROR(INDEX(tblY11[Class],ROWS(P$10:P93))&amp;"","")</f>
        <v>11S/Sc4</v>
      </c>
      <c r="Q93" t="str">
        <f>IF(P93="","",IF(COUNTIF(P$10:P93,P93)=1,COUNTIF(P$10:P$609,"&lt;"&amp;P93)+1,""))</f>
        <v/>
      </c>
      <c r="BA93" t="str">
        <f>IFERROR(INDEX(wLast,24)&amp;"","")</f>
        <v>Hall</v>
      </c>
      <c r="BB93" t="str">
        <f>IF(BA93="","",IFERROR(INDEX(wFirst,24)&amp;"",""))</f>
        <v>Evie</v>
      </c>
      <c r="BC93" t="str">
        <f>IF(BA93="","",IFERROR(INDEX(wClass,24)&amp;"",""))</f>
        <v>11S/Sc5</v>
      </c>
      <c r="BD93">
        <f>IF(BA93="","",IFERROR(INDEX(wKS2,24)+0,""))</f>
        <v>3</v>
      </c>
      <c r="BE93">
        <f>IF(BA93="","",IFERROR(INDEX(wTests,24)+0,0))</f>
        <v>6</v>
      </c>
      <c r="BF93">
        <f>IF(BA93="","",IFERROR(INDEX(wMean,24)+0,""))</f>
        <v>3.5</v>
      </c>
      <c r="BG93">
        <f>IF(BA93="","",IFERROR(INDEX(wVs,24)+0,""))</f>
        <v>0.5</v>
      </c>
      <c r="BH93">
        <f>IF(OR(BA93="",wLatest=""),"",IFERROR(INDEX(wData,24,MATCH(wLatest&amp;CHAR(10)&amp;"Stanine",wHdr,0))+0,""))</f>
        <v>3</v>
      </c>
      <c r="BI93" t="str">
        <f>IF(BA93="","",IF(AND(ISNUMBER(BG93),N(BE93)&gt;=WlMinTests,BG93&lt;=-WlGap),"Below KS2 starting point",IF(AND(NOT(ISNUMBER(BD93)),ISNUMBER(BF93),N(BE93)&gt;=WlMinTests,BF93&lt;=WlLowMean),"Low results, no KS2 data","")))</f>
        <v/>
      </c>
      <c r="BJ93" t="str">
        <f>IF(BI93="","",IF(BI93="Below KS2 starting point",BG93,100+BF93)+ROW()/1000000)</f>
        <v/>
      </c>
    </row>
    <row r="94">
      <c r="H94" t="str">
        <f>IFERROR(INDEX(tblY7[Class],ROWS(H$10:H94))&amp;"","")</f>
        <v>7A/Sc1</v>
      </c>
      <c r="I94" t="str">
        <f>IF(H94="","",IF(COUNTIF(H$10:H94,H94)=1,COUNTIF(H$10:H$609,"&lt;"&amp;H94)+1,""))</f>
        <v/>
      </c>
      <c r="J94" t="str">
        <f>IFERROR(INDEX(tblY8[Class],ROWS(J$10:J94))&amp;"","")</f>
        <v>8A/Sc3</v>
      </c>
      <c r="K94" t="str">
        <f>IF(J94="","",IF(COUNTIF(J$10:J94,J94)=1,COUNTIF(J$10:J$609,"&lt;"&amp;J94)+1,""))</f>
        <v/>
      </c>
      <c r="L94" t="str">
        <f>IFERROR(INDEX(tblY9[Class],ROWS(L$10:L94))&amp;"","")</f>
        <v>9B/Sc1</v>
      </c>
      <c r="M94" t="str">
        <f>IF(L94="","",IF(COUNTIF(L$10:L94,L94)=1,COUNTIF(L$10:L$609,"&lt;"&amp;L94)+1,""))</f>
        <v/>
      </c>
      <c r="N94" t="str">
        <f>IFERROR(INDEX(tblY10[Class],ROWS(N$10:N94))&amp;"","")</f>
        <v>10S/Sc4</v>
      </c>
      <c r="O94" t="str">
        <f>IF(N94="","",IF(COUNTIF(N$10:N94,N94)=1,COUNTIF(N$10:N$609,"&lt;"&amp;N94)+1,""))</f>
        <v/>
      </c>
      <c r="P94" t="str">
        <f>IFERROR(INDEX(tblY11[Class],ROWS(P$10:P94))&amp;"","")</f>
        <v>11S/Sc1</v>
      </c>
      <c r="Q94" t="str">
        <f>IF(P94="","",IF(COUNTIF(P$10:P94,P94)=1,COUNTIF(P$10:P$609,"&lt;"&amp;P94)+1,""))</f>
        <v/>
      </c>
      <c r="BA94" t="str">
        <f>IFERROR(INDEX(wLast,25)&amp;"","")</f>
        <v>Hall</v>
      </c>
      <c r="BB94" t="str">
        <f>IF(BA94="","",IFERROR(INDEX(wFirst,25)&amp;"",""))</f>
        <v>Isla</v>
      </c>
      <c r="BC94" t="str">
        <f>IF(BA94="","",IFERROR(INDEX(wClass,25)&amp;"",""))</f>
        <v>11S/Sc2</v>
      </c>
      <c r="BD94">
        <f>IF(BA94="","",IFERROR(INDEX(wKS2,25)+0,""))</f>
        <v>5</v>
      </c>
      <c r="BE94">
        <f>IF(BA94="","",IFERROR(INDEX(wTests,25)+0,0))</f>
        <v>6</v>
      </c>
      <c r="BF94">
        <f>IF(BA94="","",IFERROR(INDEX(wMean,25)+0,""))</f>
        <v>6.16666666666667</v>
      </c>
      <c r="BG94">
        <f>IF(BA94="","",IFERROR(INDEX(wVs,25)+0,""))</f>
        <v>1.16666666666667</v>
      </c>
      <c r="BH94">
        <f>IF(OR(BA94="",wLatest=""),"",IFERROR(INDEX(wData,25,MATCH(wLatest&amp;CHAR(10)&amp;"Stanine",wHdr,0))+0,""))</f>
        <v>7</v>
      </c>
      <c r="BI94" t="str">
        <f>IF(BA94="","",IF(AND(ISNUMBER(BG94),N(BE94)&gt;=WlMinTests,BG94&lt;=-WlGap),"Below KS2 starting point",IF(AND(NOT(ISNUMBER(BD94)),ISNUMBER(BF94),N(BE94)&gt;=WlMinTests,BF94&lt;=WlLowMean),"Low results, no KS2 data","")))</f>
        <v/>
      </c>
      <c r="BJ94" t="str">
        <f>IF(BI94="","",IF(BI94="Below KS2 starting point",BG94,100+BF94)+ROW()/1000000)</f>
        <v/>
      </c>
    </row>
    <row r="95">
      <c r="H95" t="str">
        <f>IFERROR(INDEX(tblY7[Class],ROWS(H$10:H95))&amp;"","")</f>
        <v>7B/Sc1</v>
      </c>
      <c r="I95" t="str">
        <f>IF(H95="","",IF(COUNTIF(H$10:H95,H95)=1,COUNTIF(H$10:H$609,"&lt;"&amp;H95)+1,""))</f>
        <v/>
      </c>
      <c r="J95" t="str">
        <f>IFERROR(INDEX(tblY8[Class],ROWS(J$10:J95))&amp;"","")</f>
        <v>8A/Sc2</v>
      </c>
      <c r="K95" t="str">
        <f>IF(J95="","",IF(COUNTIF(J$10:J95,J95)=1,COUNTIF(J$10:J$609,"&lt;"&amp;J95)+1,""))</f>
        <v/>
      </c>
      <c r="L95" t="str">
        <f>IFERROR(INDEX(tblY9[Class],ROWS(L$10:L95))&amp;"","")</f>
        <v>9A/Sc1</v>
      </c>
      <c r="M95" t="str">
        <f>IF(L95="","",IF(COUNTIF(L$10:L95,L95)=1,COUNTIF(L$10:L$609,"&lt;"&amp;L95)+1,""))</f>
        <v/>
      </c>
      <c r="N95" t="str">
        <f>IFERROR(INDEX(tblY10[Class],ROWS(N$10:N95))&amp;"","")</f>
        <v>10S/Sc1</v>
      </c>
      <c r="O95" t="str">
        <f>IF(N95="","",IF(COUNTIF(N$10:N95,N95)=1,COUNTIF(N$10:N$609,"&lt;"&amp;N95)+1,""))</f>
        <v/>
      </c>
      <c r="P95" t="str">
        <f>IFERROR(INDEX(tblY11[Class],ROWS(P$10:P95))&amp;"","")</f>
        <v>11S/Sc5</v>
      </c>
      <c r="Q95" t="str">
        <f>IF(P95="","",IF(COUNTIF(P$10:P95,P95)=1,COUNTIF(P$10:P$609,"&lt;"&amp;P95)+1,""))</f>
        <v/>
      </c>
      <c r="BA95" t="str">
        <f>IFERROR(INDEX(wLast,26)&amp;"","")</f>
        <v>Hall</v>
      </c>
      <c r="BB95" t="str">
        <f>IF(BA95="","",IFERROR(INDEX(wFirst,26)&amp;"",""))</f>
        <v>Lily</v>
      </c>
      <c r="BC95" t="str">
        <f>IF(BA95="","",IFERROR(INDEX(wClass,26)&amp;"",""))</f>
        <v>11S/Sc1</v>
      </c>
      <c r="BD95">
        <f>IF(BA95="","",IFERROR(INDEX(wKS2,26)+0,""))</f>
        <v>6</v>
      </c>
      <c r="BE95">
        <f>IF(BA95="","",IFERROR(INDEX(wTests,26)+0,0))</f>
        <v>5</v>
      </c>
      <c r="BF95">
        <f>IF(BA95="","",IFERROR(INDEX(wMean,26)+0,""))</f>
        <v>6</v>
      </c>
      <c r="BG95">
        <f>IF(BA95="","",IFERROR(INDEX(wVs,26)+0,""))</f>
        <v>0</v>
      </c>
      <c r="BH95">
        <f>IF(OR(BA95="",wLatest=""),"",IFERROR(INDEX(wData,26,MATCH(wLatest&amp;CHAR(10)&amp;"Stanine",wHdr,0))+0,""))</f>
        <v>6</v>
      </c>
      <c r="BI95" t="str">
        <f>IF(BA95="","",IF(AND(ISNUMBER(BG95),N(BE95)&gt;=WlMinTests,BG95&lt;=-WlGap),"Below KS2 starting point",IF(AND(NOT(ISNUMBER(BD95)),ISNUMBER(BF95),N(BE95)&gt;=WlMinTests,BF95&lt;=WlLowMean),"Low results, no KS2 data","")))</f>
        <v/>
      </c>
      <c r="BJ95" t="str">
        <f>IF(BI95="","",IF(BI95="Below KS2 starting point",BG95,100+BF95)+ROW()/1000000)</f>
        <v/>
      </c>
    </row>
    <row r="96">
      <c r="H96" t="str">
        <f>IFERROR(INDEX(tblY7[Class],ROWS(H$10:H96))&amp;"","")</f>
        <v>7B/Sc3</v>
      </c>
      <c r="I96" t="str">
        <f>IF(H96="","",IF(COUNTIF(H$10:H96,H96)=1,COUNTIF(H$10:H$609,"&lt;"&amp;H96)+1,""))</f>
        <v/>
      </c>
      <c r="J96" t="str">
        <f>IFERROR(INDEX(tblY8[Class],ROWS(J$10:J96))&amp;"","")</f>
        <v>8A/Sc1</v>
      </c>
      <c r="K96" t="str">
        <f>IF(J96="","",IF(COUNTIF(J$10:J96,J96)=1,COUNTIF(J$10:J$609,"&lt;"&amp;J96)+1,""))</f>
        <v/>
      </c>
      <c r="L96" t="str">
        <f>IFERROR(INDEX(tblY9[Class],ROWS(L$10:L96))&amp;"","")</f>
        <v>9A/Sc3</v>
      </c>
      <c r="M96" t="str">
        <f>IF(L96="","",IF(COUNTIF(L$10:L96,L96)=1,COUNTIF(L$10:L$609,"&lt;"&amp;L96)+1,""))</f>
        <v/>
      </c>
      <c r="N96" t="str">
        <f>IFERROR(INDEX(tblY10[Class],ROWS(N$10:N96))&amp;"","")</f>
        <v>10S/Sc4</v>
      </c>
      <c r="O96" t="str">
        <f>IF(N96="","",IF(COUNTIF(N$10:N96,N96)=1,COUNTIF(N$10:N$609,"&lt;"&amp;N96)+1,""))</f>
        <v/>
      </c>
      <c r="P96" t="str">
        <f>IFERROR(INDEX(tblY11[Class],ROWS(P$10:P96))&amp;"","")</f>
        <v>11S/Sc2</v>
      </c>
      <c r="Q96" t="str">
        <f>IF(P96="","",IF(COUNTIF(P$10:P96,P96)=1,COUNTIF(P$10:P$609,"&lt;"&amp;P96)+1,""))</f>
        <v/>
      </c>
      <c r="BA96" t="str">
        <f>IFERROR(INDEX(wLast,27)&amp;"","")</f>
        <v>Harrison</v>
      </c>
      <c r="BB96" t="str">
        <f>IF(BA96="","",IFERROR(INDEX(wFirst,27)&amp;"",""))</f>
        <v>Chidi</v>
      </c>
      <c r="BC96" t="str">
        <f>IF(BA96="","",IFERROR(INDEX(wClass,27)&amp;"",""))</f>
        <v>11S/Sc3</v>
      </c>
      <c r="BD96">
        <f>IF(BA96="","",IFERROR(INDEX(wKS2,27)+0,""))</f>
        <v>4</v>
      </c>
      <c r="BE96">
        <f>IF(BA96="","",IFERROR(INDEX(wTests,27)+0,0))</f>
        <v>6</v>
      </c>
      <c r="BF96">
        <f>IF(BA96="","",IFERROR(INDEX(wMean,27)+0,""))</f>
        <v>2.66666666666667</v>
      </c>
      <c r="BG96">
        <f>IF(BA96="","",IFERROR(INDEX(wVs,27)+0,""))</f>
        <v>-1.33333333333333</v>
      </c>
      <c r="BH96">
        <f>IF(OR(BA96="",wLatest=""),"",IFERROR(INDEX(wData,27,MATCH(wLatest&amp;CHAR(10)&amp;"Stanine",wHdr,0))+0,""))</f>
        <v>3</v>
      </c>
      <c r="BI96" t="str">
        <f>IF(BA96="","",IF(AND(ISNUMBER(BG96),N(BE96)&gt;=WlMinTests,BG96&lt;=-WlGap),"Below KS2 starting point",IF(AND(NOT(ISNUMBER(BD96)),ISNUMBER(BF96),N(BE96)&gt;=WlMinTests,BF96&lt;=WlLowMean),"Low results, no KS2 data","")))</f>
        <v/>
      </c>
      <c r="BJ96" t="str">
        <f>IF(BI96="","",IF(BI96="Below KS2 starting point",BG96,100+BF96)+ROW()/1000000)</f>
        <v/>
      </c>
    </row>
    <row r="97">
      <c r="H97" t="str">
        <f>IFERROR(INDEX(tblY7[Class],ROWS(H$10:H97))&amp;"","")</f>
        <v>7B/Sc2</v>
      </c>
      <c r="I97" t="str">
        <f>IF(H97="","",IF(COUNTIF(H$10:H97,H97)=1,COUNTIF(H$10:H$609,"&lt;"&amp;H97)+1,""))</f>
        <v/>
      </c>
      <c r="J97" t="str">
        <f>IFERROR(INDEX(tblY8[Class],ROWS(J$10:J97))&amp;"","")</f>
        <v>8A/Sc4</v>
      </c>
      <c r="K97" t="str">
        <f>IF(J97="","",IF(COUNTIF(J$10:J97,J97)=1,COUNTIF(J$10:J$609,"&lt;"&amp;J97)+1,""))</f>
        <v/>
      </c>
      <c r="L97" t="str">
        <f>IFERROR(INDEX(tblY9[Class],ROWS(L$10:L97))&amp;"","")</f>
        <v>9A/Sc1</v>
      </c>
      <c r="M97" t="str">
        <f>IF(L97="","",IF(COUNTIF(L$10:L97,L97)=1,COUNTIF(L$10:L$609,"&lt;"&amp;L97)+1,""))</f>
        <v/>
      </c>
      <c r="N97" t="str">
        <f>IFERROR(INDEX(tblY10[Class],ROWS(N$10:N97))&amp;"","")</f>
        <v>10S/Sc4</v>
      </c>
      <c r="O97" t="str">
        <f>IF(N97="","",IF(COUNTIF(N$10:N97,N97)=1,COUNTIF(N$10:N$609,"&lt;"&amp;N97)+1,""))</f>
        <v/>
      </c>
      <c r="P97" t="str">
        <f>IFERROR(INDEX(tblY11[Class],ROWS(P$10:P97))&amp;"","")</f>
        <v>11S/Sc1</v>
      </c>
      <c r="Q97" t="str">
        <f>IF(P97="","",IF(COUNTIF(P$10:P97,P97)=1,COUNTIF(P$10:P$609,"&lt;"&amp;P97)+1,""))</f>
        <v/>
      </c>
      <c r="BA97" t="str">
        <f>IFERROR(INDEX(wLast,28)&amp;"","")</f>
        <v>Harrison</v>
      </c>
      <c r="BB97" t="str">
        <f>IF(BA97="","",IFERROR(INDEX(wFirst,28)&amp;"",""))</f>
        <v>Theo</v>
      </c>
      <c r="BC97" t="str">
        <f>IF(BA97="","",IFERROR(INDEX(wClass,28)&amp;"",""))</f>
        <v>11S/Sc1</v>
      </c>
      <c r="BD97">
        <f>IF(BA97="","",IFERROR(INDEX(wKS2,28)+0,""))</f>
        <v>7</v>
      </c>
      <c r="BE97">
        <f>IF(BA97="","",IFERROR(INDEX(wTests,28)+0,0))</f>
        <v>5</v>
      </c>
      <c r="BF97">
        <f>IF(BA97="","",IFERROR(INDEX(wMean,28)+0,""))</f>
        <v>6</v>
      </c>
      <c r="BG97">
        <f>IF(BA97="","",IFERROR(INDEX(wVs,28)+0,""))</f>
        <v>-1</v>
      </c>
      <c r="BH97">
        <f>IF(OR(BA97="",wLatest=""),"",IFERROR(INDEX(wData,28,MATCH(wLatest&amp;CHAR(10)&amp;"Stanine",wHdr,0))+0,""))</f>
        <v>4</v>
      </c>
      <c r="BI97" t="str">
        <f>IF(BA97="","",IF(AND(ISNUMBER(BG97),N(BE97)&gt;=WlMinTests,BG97&lt;=-WlGap),"Below KS2 starting point",IF(AND(NOT(ISNUMBER(BD97)),ISNUMBER(BF97),N(BE97)&gt;=WlMinTests,BF97&lt;=WlLowMean),"Low results, no KS2 data","")))</f>
        <v/>
      </c>
      <c r="BJ97" t="str">
        <f>IF(BI97="","",IF(BI97="Below KS2 starting point",BG97,100+BF97)+ROW()/1000000)</f>
        <v/>
      </c>
    </row>
    <row r="98">
      <c r="H98" t="str">
        <f>IFERROR(INDEX(tblY7[Class],ROWS(H$10:H98))&amp;"","")</f>
        <v>7A/Sc1</v>
      </c>
      <c r="I98" t="str">
        <f>IF(H98="","",IF(COUNTIF(H$10:H98,H98)=1,COUNTIF(H$10:H$609,"&lt;"&amp;H98)+1,""))</f>
        <v/>
      </c>
      <c r="J98" t="str">
        <f>IFERROR(INDEX(tblY8[Class],ROWS(J$10:J98))&amp;"","")</f>
        <v>8A/Sc3</v>
      </c>
      <c r="K98" t="str">
        <f>IF(J98="","",IF(COUNTIF(J$10:J98,J98)=1,COUNTIF(J$10:J$609,"&lt;"&amp;J98)+1,""))</f>
        <v/>
      </c>
      <c r="L98" t="str">
        <f>IFERROR(INDEX(tblY9[Class],ROWS(L$10:L98))&amp;"","")</f>
        <v>9A/Sc3</v>
      </c>
      <c r="M98" t="str">
        <f>IF(L98="","",IF(COUNTIF(L$10:L98,L98)=1,COUNTIF(L$10:L$609,"&lt;"&amp;L98)+1,""))</f>
        <v/>
      </c>
      <c r="N98" t="str">
        <f>IFERROR(INDEX(tblY10[Class],ROWS(N$10:N98))&amp;"","")</f>
        <v>10S/Sc1</v>
      </c>
      <c r="O98" t="str">
        <f>IF(N98="","",IF(COUNTIF(N$10:N98,N98)=1,COUNTIF(N$10:N$609,"&lt;"&amp;N98)+1,""))</f>
        <v/>
      </c>
      <c r="P98" t="str">
        <f>IFERROR(INDEX(tblY11[Class],ROWS(P$10:P98))&amp;"","")</f>
        <v>11S/Sc1</v>
      </c>
      <c r="Q98" t="str">
        <f>IF(P98="","",IF(COUNTIF(P$10:P98,P98)=1,COUNTIF(P$10:P$609,"&lt;"&amp;P98)+1,""))</f>
        <v/>
      </c>
      <c r="BA98" t="str">
        <f>IFERROR(INDEX(wLast,29)&amp;"","")</f>
        <v>Hughes</v>
      </c>
      <c r="BB98" t="str">
        <f>IF(BA98="","",IFERROR(INDEX(wFirst,29)&amp;"",""))</f>
        <v>Sami</v>
      </c>
      <c r="BC98" t="str">
        <f>IF(BA98="","",IFERROR(INDEX(wClass,29)&amp;"",""))</f>
        <v>Science Support</v>
      </c>
      <c r="BD98">
        <f>IF(BA98="","",IFERROR(INDEX(wKS2,29)+0,""))</f>
        <v>3</v>
      </c>
      <c r="BE98">
        <f>IF(BA98="","",IFERROR(INDEX(wTests,29)+0,0))</f>
        <v>4</v>
      </c>
      <c r="BF98">
        <f>IF(BA98="","",IFERROR(INDEX(wMean,29)+0,""))</f>
        <v>4.75</v>
      </c>
      <c r="BG98">
        <f>IF(BA98="","",IFERROR(INDEX(wVs,29)+0,""))</f>
        <v>1.75</v>
      </c>
      <c r="BH98" t="str">
        <f>IF(OR(BA98="",wLatest=""),"",IFERROR(INDEX(wData,29,MATCH(wLatest&amp;CHAR(10)&amp;"Stanine",wHdr,0))+0,""))</f>
        <v/>
      </c>
      <c r="BI98" t="str">
        <f>IF(BA98="","",IF(AND(ISNUMBER(BG98),N(BE98)&gt;=WlMinTests,BG98&lt;=-WlGap),"Below KS2 starting point",IF(AND(NOT(ISNUMBER(BD98)),ISNUMBER(BF98),N(BE98)&gt;=WlMinTests,BF98&lt;=WlLowMean),"Low results, no KS2 data","")))</f>
        <v/>
      </c>
      <c r="BJ98" t="str">
        <f>IF(BI98="","",IF(BI98="Below KS2 starting point",BG98,100+BF98)+ROW()/1000000)</f>
        <v/>
      </c>
    </row>
    <row r="99">
      <c r="H99" t="str">
        <f>IFERROR(INDEX(tblY7[Class],ROWS(H$10:H99))&amp;"","")</f>
        <v>7B/Sc1</v>
      </c>
      <c r="I99" t="str">
        <f>IF(H99="","",IF(COUNTIF(H$10:H99,H99)=1,COUNTIF(H$10:H$609,"&lt;"&amp;H99)+1,""))</f>
        <v/>
      </c>
      <c r="J99" t="str">
        <f>IFERROR(INDEX(tblY8[Class],ROWS(J$10:J99))&amp;"","")</f>
        <v>8A/Sc3</v>
      </c>
      <c r="K99" t="str">
        <f>IF(J99="","",IF(COUNTIF(J$10:J99,J99)=1,COUNTIF(J$10:J$609,"&lt;"&amp;J99)+1,""))</f>
        <v/>
      </c>
      <c r="L99" t="str">
        <f>IFERROR(INDEX(tblY9[Class],ROWS(L$10:L99))&amp;"","")</f>
        <v>9A/Sc3</v>
      </c>
      <c r="M99" t="str">
        <f>IF(L99="","",IF(COUNTIF(L$10:L99,L99)=1,COUNTIF(L$10:L$609,"&lt;"&amp;L99)+1,""))</f>
        <v/>
      </c>
      <c r="N99" t="str">
        <f>IFERROR(INDEX(tblY10[Class],ROWS(N$10:N99))&amp;"","")</f>
        <v>10S/Sc1</v>
      </c>
      <c r="O99" t="str">
        <f>IF(N99="","",IF(COUNTIF(N$10:N99,N99)=1,COUNTIF(N$10:N$609,"&lt;"&amp;N99)+1,""))</f>
        <v/>
      </c>
      <c r="P99" t="str">
        <f>IFERROR(INDEX(tblY11[Class],ROWS(P$10:P99))&amp;"","")</f>
        <v>11S/Sc1</v>
      </c>
      <c r="Q99" t="str">
        <f>IF(P99="","",IF(COUNTIF(P$10:P99,P99)=1,COUNTIF(P$10:P$609,"&lt;"&amp;P99)+1,""))</f>
        <v/>
      </c>
      <c r="BA99" t="str">
        <f>IFERROR(INDEX(wLast,30)&amp;"","")</f>
        <v>Hughes</v>
      </c>
      <c r="BB99" t="str">
        <f>IF(BA99="","",IFERROR(INDEX(wFirst,30)&amp;"",""))</f>
        <v>Zofia</v>
      </c>
      <c r="BC99" t="str">
        <f>IF(BA99="","",IFERROR(INDEX(wClass,30)&amp;"",""))</f>
        <v>11S/Sc5</v>
      </c>
      <c r="BD99">
        <f>IF(BA99="","",IFERROR(INDEX(wKS2,30)+0,""))</f>
        <v>5</v>
      </c>
      <c r="BE99">
        <f>IF(BA99="","",IFERROR(INDEX(wTests,30)+0,0))</f>
        <v>6</v>
      </c>
      <c r="BF99">
        <f>IF(BA99="","",IFERROR(INDEX(wMean,30)+0,""))</f>
        <v>5.66666666666667</v>
      </c>
      <c r="BG99">
        <f>IF(BA99="","",IFERROR(INDEX(wVs,30)+0,""))</f>
        <v>0.666666666666667</v>
      </c>
      <c r="BH99">
        <f>IF(OR(BA99="",wLatest=""),"",IFERROR(INDEX(wData,30,MATCH(wLatest&amp;CHAR(10)&amp;"Stanine",wHdr,0))+0,""))</f>
        <v>5</v>
      </c>
      <c r="BI99" t="str">
        <f>IF(BA99="","",IF(AND(ISNUMBER(BG99),N(BE99)&gt;=WlMinTests,BG99&lt;=-WlGap),"Below KS2 starting point",IF(AND(NOT(ISNUMBER(BD99)),ISNUMBER(BF99),N(BE99)&gt;=WlMinTests,BF99&lt;=WlLowMean),"Low results, no KS2 data","")))</f>
        <v/>
      </c>
      <c r="BJ99" t="str">
        <f>IF(BI99="","",IF(BI99="Below KS2 starting point",BG99,100+BF99)+ROW()/1000000)</f>
        <v/>
      </c>
    </row>
    <row r="100">
      <c r="H100" t="str">
        <f>IFERROR(INDEX(tblY7[Class],ROWS(H$10:H100))&amp;"","")</f>
        <v>7B/Sc2</v>
      </c>
      <c r="I100" t="str">
        <f>IF(H100="","",IF(COUNTIF(H$10:H100,H100)=1,COUNTIF(H$10:H$609,"&lt;"&amp;H100)+1,""))</f>
        <v/>
      </c>
      <c r="J100" t="str">
        <f>IFERROR(INDEX(tblY8[Class],ROWS(J$10:J100))&amp;"","")</f>
        <v>8A/Sc3</v>
      </c>
      <c r="K100" t="str">
        <f>IF(J100="","",IF(COUNTIF(J$10:J100,J100)=1,COUNTIF(J$10:J$609,"&lt;"&amp;J100)+1,""))</f>
        <v/>
      </c>
      <c r="L100" t="str">
        <f>IFERROR(INDEX(tblY9[Class],ROWS(L$10:L100))&amp;"","")</f>
        <v>9A/Sc3</v>
      </c>
      <c r="M100" t="str">
        <f>IF(L100="","",IF(COUNTIF(L$10:L100,L100)=1,COUNTIF(L$10:L$609,"&lt;"&amp;L100)+1,""))</f>
        <v/>
      </c>
      <c r="N100" t="str">
        <f>IFERROR(INDEX(tblY10[Class],ROWS(N$10:N100))&amp;"","")</f>
        <v>10S/Sc2</v>
      </c>
      <c r="O100" t="str">
        <f>IF(N100="","",IF(COUNTIF(N$10:N100,N100)=1,COUNTIF(N$10:N$609,"&lt;"&amp;N100)+1,""))</f>
        <v/>
      </c>
      <c r="P100" t="str">
        <f>IFERROR(INDEX(tblY11[Class],ROWS(P$10:P100))&amp;"","")</f>
        <v>11S/Sc3</v>
      </c>
      <c r="Q100" t="str">
        <f>IF(P100="","",IF(COUNTIF(P$10:P100,P100)=1,COUNTIF(P$10:P$609,"&lt;"&amp;P100)+1,""))</f>
        <v/>
      </c>
      <c r="BA100" t="str">
        <f>IFERROR(INDEX(wLast,31)&amp;"","")</f>
        <v>Hussain</v>
      </c>
      <c r="BB100" t="str">
        <f>IF(BA100="","",IFERROR(INDEX(wFirst,31)&amp;"",""))</f>
        <v>Poppy</v>
      </c>
      <c r="BC100" t="str">
        <f>IF(BA100="","",IFERROR(INDEX(wClass,31)&amp;"",""))</f>
        <v>11S/Sc2</v>
      </c>
      <c r="BD100">
        <f>IF(BA100="","",IFERROR(INDEX(wKS2,31)+0,""))</f>
        <v>5</v>
      </c>
      <c r="BE100">
        <f>IF(BA100="","",IFERROR(INDEX(wTests,31)+0,0))</f>
        <v>6</v>
      </c>
      <c r="BF100">
        <f>IF(BA100="","",IFERROR(INDEX(wMean,31)+0,""))</f>
        <v>6.16666666666667</v>
      </c>
      <c r="BG100">
        <f>IF(BA100="","",IFERROR(INDEX(wVs,31)+0,""))</f>
        <v>1.16666666666667</v>
      </c>
      <c r="BH100">
        <f>IF(OR(BA100="",wLatest=""),"",IFERROR(INDEX(wData,31,MATCH(wLatest&amp;CHAR(10)&amp;"Stanine",wHdr,0))+0,""))</f>
        <v>7</v>
      </c>
      <c r="BI100" t="str">
        <f>IF(BA100="","",IF(AND(ISNUMBER(BG100),N(BE100)&gt;=WlMinTests,BG100&lt;=-WlGap),"Below KS2 starting point",IF(AND(NOT(ISNUMBER(BD100)),ISNUMBER(BF100),N(BE100)&gt;=WlMinTests,BF100&lt;=WlLowMean),"Low results, no KS2 data","")))</f>
        <v/>
      </c>
      <c r="BJ100" t="str">
        <f>IF(BI100="","",IF(BI100="Below KS2 starting point",BG100,100+BF100)+ROW()/1000000)</f>
        <v/>
      </c>
    </row>
    <row r="101">
      <c r="H101" t="str">
        <f>IFERROR(INDEX(tblY7[Class],ROWS(H$10:H101))&amp;"","")</f>
        <v>7B/Sc2</v>
      </c>
      <c r="I101" t="str">
        <f>IF(H101="","",IF(COUNTIF(H$10:H101,H101)=1,COUNTIF(H$10:H$609,"&lt;"&amp;H101)+1,""))</f>
        <v/>
      </c>
      <c r="J101" t="str">
        <f>IFERROR(INDEX(tblY8[Class],ROWS(J$10:J101))&amp;"","")</f>
        <v>8A/Sc1</v>
      </c>
      <c r="K101" t="str">
        <f>IF(J101="","",IF(COUNTIF(J$10:J101,J101)=1,COUNTIF(J$10:J$609,"&lt;"&amp;J101)+1,""))</f>
        <v/>
      </c>
      <c r="L101" t="str">
        <f>IFERROR(INDEX(tblY9[Class],ROWS(L$10:L101))&amp;"","")</f>
        <v>9A/Sc2</v>
      </c>
      <c r="M101" t="str">
        <f>IF(L101="","",IF(COUNTIF(L$10:L101,L101)=1,COUNTIF(L$10:L$609,"&lt;"&amp;L101)+1,""))</f>
        <v/>
      </c>
      <c r="N101" t="str">
        <f>IFERROR(INDEX(tblY10[Class],ROWS(N$10:N101))&amp;"","")</f>
        <v>10S/Sc5</v>
      </c>
      <c r="O101" t="str">
        <f>IF(N101="","",IF(COUNTIF(N$10:N101,N101)=1,COUNTIF(N$10:N$609,"&lt;"&amp;N101)+1,""))</f>
        <v/>
      </c>
      <c r="P101" t="str">
        <f>IFERROR(INDEX(tblY11[Class],ROWS(P$10:P101))&amp;"","")</f>
        <v>11S/Sc2</v>
      </c>
      <c r="Q101" t="str">
        <f>IF(P101="","",IF(COUNTIF(P$10:P101,P101)=1,COUNTIF(P$10:P$609,"&lt;"&amp;P101)+1,""))</f>
        <v/>
      </c>
      <c r="BA101" t="str">
        <f>IFERROR(INDEX(wLast,32)&amp;"","")</f>
        <v>Jackson</v>
      </c>
      <c r="BB101" t="str">
        <f>IF(BA101="","",IFERROR(INDEX(wFirst,32)&amp;"",""))</f>
        <v>Priya</v>
      </c>
      <c r="BC101" t="str">
        <f>IF(BA101="","",IFERROR(INDEX(wClass,32)&amp;"",""))</f>
        <v>11S/Sc1</v>
      </c>
      <c r="BD101">
        <f>IF(BA101="","",IFERROR(INDEX(wKS2,32)+0,""))</f>
        <v>8</v>
      </c>
      <c r="BE101">
        <f>IF(BA101="","",IFERROR(INDEX(wTests,32)+0,0))</f>
        <v>6</v>
      </c>
      <c r="BF101">
        <f>IF(BA101="","",IFERROR(INDEX(wMean,32)+0,""))</f>
        <v>7.33333333333333</v>
      </c>
      <c r="BG101">
        <f>IF(BA101="","",IFERROR(INDEX(wVs,32)+0,""))</f>
        <v>-0.666666666666667</v>
      </c>
      <c r="BH101">
        <f>IF(OR(BA101="",wLatest=""),"",IFERROR(INDEX(wData,32,MATCH(wLatest&amp;CHAR(10)&amp;"Stanine",wHdr,0))+0,""))</f>
        <v>7</v>
      </c>
      <c r="BI101" t="str">
        <f>IF(BA101="","",IF(AND(ISNUMBER(BG101),N(BE101)&gt;=WlMinTests,BG101&lt;=-WlGap),"Below KS2 starting point",IF(AND(NOT(ISNUMBER(BD101)),ISNUMBER(BF101),N(BE101)&gt;=WlMinTests,BF101&lt;=WlLowMean),"Low results, no KS2 data","")))</f>
        <v/>
      </c>
      <c r="BJ101" t="str">
        <f>IF(BI101="","",IF(BI101="Below KS2 starting point",BG101,100+BF101)+ROW()/1000000)</f>
        <v/>
      </c>
    </row>
    <row r="102">
      <c r="H102" t="str">
        <f>IFERROR(INDEX(tblY7[Class],ROWS(H$10:H102))&amp;"","")</f>
        <v>7A/Sc2</v>
      </c>
      <c r="I102" t="str">
        <f>IF(H102="","",IF(COUNTIF(H$10:H102,H102)=1,COUNTIF(H$10:H$609,"&lt;"&amp;H102)+1,""))</f>
        <v/>
      </c>
      <c r="J102" t="str">
        <f>IFERROR(INDEX(tblY8[Class],ROWS(J$10:J102))&amp;"","")</f>
        <v>8A/Sc1</v>
      </c>
      <c r="K102" t="str">
        <f>IF(J102="","",IF(COUNTIF(J$10:J102,J102)=1,COUNTIF(J$10:J$609,"&lt;"&amp;J102)+1,""))</f>
        <v/>
      </c>
      <c r="L102" t="str">
        <f>IFERROR(INDEX(tblY9[Class],ROWS(L$10:L102))&amp;"","")</f>
        <v>9B/Sc2</v>
      </c>
      <c r="M102" t="str">
        <f>IF(L102="","",IF(COUNTIF(L$10:L102,L102)=1,COUNTIF(L$10:L$609,"&lt;"&amp;L102)+1,""))</f>
        <v/>
      </c>
      <c r="N102" t="str">
        <f>IFERROR(INDEX(tblY10[Class],ROWS(N$10:N102))&amp;"","")</f>
        <v>10S/Sc1</v>
      </c>
      <c r="O102" t="str">
        <f>IF(N102="","",IF(COUNTIF(N$10:N102,N102)=1,COUNTIF(N$10:N$609,"&lt;"&amp;N102)+1,""))</f>
        <v/>
      </c>
      <c r="P102" t="str">
        <f>IFERROR(INDEX(tblY11[Class],ROWS(P$10:P102))&amp;"","")</f>
        <v>11S/Sc4</v>
      </c>
      <c r="Q102" t="str">
        <f>IF(P102="","",IF(COUNTIF(P$10:P102,P102)=1,COUNTIF(P$10:P$609,"&lt;"&amp;P102)+1,""))</f>
        <v/>
      </c>
      <c r="BA102" t="str">
        <f>IFERROR(INDEX(wLast,33)&amp;"","")</f>
        <v>Johnson</v>
      </c>
      <c r="BB102" t="str">
        <f>IF(BA102="","",IFERROR(INDEX(wFirst,33)&amp;"",""))</f>
        <v>Freya</v>
      </c>
      <c r="BC102" t="str">
        <f>IF(BA102="","",IFERROR(INDEX(wClass,33)&amp;"",""))</f>
        <v>11S/Sc3</v>
      </c>
      <c r="BD102">
        <f>IF(BA102="","",IFERROR(INDEX(wKS2,33)+0,""))</f>
        <v>5</v>
      </c>
      <c r="BE102">
        <f>IF(BA102="","",IFERROR(INDEX(wTests,33)+0,0))</f>
        <v>6</v>
      </c>
      <c r="BF102">
        <f>IF(BA102="","",IFERROR(INDEX(wMean,33)+0,""))</f>
        <v>6.16666666666667</v>
      </c>
      <c r="BG102">
        <f>IF(BA102="","",IFERROR(INDEX(wVs,33)+0,""))</f>
        <v>1.16666666666667</v>
      </c>
      <c r="BH102">
        <f>IF(OR(BA102="",wLatest=""),"",IFERROR(INDEX(wData,33,MATCH(wLatest&amp;CHAR(10)&amp;"Stanine",wHdr,0))+0,""))</f>
        <v>6</v>
      </c>
      <c r="BI102" t="str">
        <f>IF(BA102="","",IF(AND(ISNUMBER(BG102),N(BE102)&gt;=WlMinTests,BG102&lt;=-WlGap),"Below KS2 starting point",IF(AND(NOT(ISNUMBER(BD102)),ISNUMBER(BF102),N(BE102)&gt;=WlMinTests,BF102&lt;=WlLowMean),"Low results, no KS2 data","")))</f>
        <v/>
      </c>
      <c r="BJ102" t="str">
        <f>IF(BI102="","",IF(BI102="Below KS2 starting point",BG102,100+BF102)+ROW()/1000000)</f>
        <v/>
      </c>
    </row>
    <row r="103">
      <c r="H103" t="str">
        <f>IFERROR(INDEX(tblY7[Class],ROWS(H$10:H103))&amp;"","")</f>
        <v>7B/Sc2</v>
      </c>
      <c r="I103" t="str">
        <f>IF(H103="","",IF(COUNTIF(H$10:H103,H103)=1,COUNTIF(H$10:H$609,"&lt;"&amp;H103)+1,""))</f>
        <v/>
      </c>
      <c r="J103" t="str">
        <f>IFERROR(INDEX(tblY8[Class],ROWS(J$10:J103))&amp;"","")</f>
        <v/>
      </c>
      <c r="K103" t="str">
        <f>IF(J103="","",IF(COUNTIF(J$10:J103,J103)=1,COUNTIF(J$10:J$609,"&lt;"&amp;J103)+1,""))</f>
        <v/>
      </c>
      <c r="L103" t="str">
        <f>IFERROR(INDEX(tblY9[Class],ROWS(L$10:L103))&amp;"","")</f>
        <v>9B/Sc2</v>
      </c>
      <c r="M103" t="str">
        <f>IF(L103="","",IF(COUNTIF(L$10:L103,L103)=1,COUNTIF(L$10:L$609,"&lt;"&amp;L103)+1,""))</f>
        <v/>
      </c>
      <c r="N103" t="str">
        <f>IFERROR(INDEX(tblY10[Class],ROWS(N$10:N103))&amp;"","")</f>
        <v>10S/Sc4</v>
      </c>
      <c r="O103" t="str">
        <f>IF(N103="","",IF(COUNTIF(N$10:N103,N103)=1,COUNTIF(N$10:N$609,"&lt;"&amp;N103)+1,""))</f>
        <v/>
      </c>
      <c r="P103" t="str">
        <f>IFERROR(INDEX(tblY11[Class],ROWS(P$10:P103))&amp;"","")</f>
        <v>11S/Sc3</v>
      </c>
      <c r="Q103" t="str">
        <f>IF(P103="","",IF(COUNTIF(P$10:P103,P103)=1,COUNTIF(P$10:P$609,"&lt;"&amp;P103)+1,""))</f>
        <v/>
      </c>
      <c r="BA103" t="str">
        <f>IFERROR(INDEX(wLast,34)&amp;"","")</f>
        <v>Johnson</v>
      </c>
      <c r="BB103" t="str">
        <f>IF(BA103="","",IFERROR(INDEX(wFirst,34)&amp;"",""))</f>
        <v>Keira</v>
      </c>
      <c r="BC103" t="str">
        <f>IF(BA103="","",IFERROR(INDEX(wClass,34)&amp;"",""))</f>
        <v>11S/Sc1</v>
      </c>
      <c r="BD103">
        <f>IF(BA103="","",IFERROR(INDEX(wKS2,34)+0,""))</f>
        <v>5</v>
      </c>
      <c r="BE103">
        <f>IF(BA103="","",IFERROR(INDEX(wTests,34)+0,0))</f>
        <v>6</v>
      </c>
      <c r="BF103">
        <f>IF(BA103="","",IFERROR(INDEX(wMean,34)+0,""))</f>
        <v>6.16666666666667</v>
      </c>
      <c r="BG103">
        <f>IF(BA103="","",IFERROR(INDEX(wVs,34)+0,""))</f>
        <v>1.16666666666667</v>
      </c>
      <c r="BH103">
        <f>IF(OR(BA103="",wLatest=""),"",IFERROR(INDEX(wData,34,MATCH(wLatest&amp;CHAR(10)&amp;"Stanine",wHdr,0))+0,""))</f>
        <v>7</v>
      </c>
      <c r="BI103" t="str">
        <f>IF(BA103="","",IF(AND(ISNUMBER(BG103),N(BE103)&gt;=WlMinTests,BG103&lt;=-WlGap),"Below KS2 starting point",IF(AND(NOT(ISNUMBER(BD103)),ISNUMBER(BF103),N(BE103)&gt;=WlMinTests,BF103&lt;=WlLowMean),"Low results, no KS2 data","")))</f>
        <v/>
      </c>
      <c r="BJ103" t="str">
        <f>IF(BI103="","",IF(BI103="Below KS2 starting point",BG103,100+BF103)+ROW()/1000000)</f>
        <v/>
      </c>
    </row>
    <row r="104">
      <c r="H104" t="str">
        <f>IFERROR(INDEX(tblY7[Class],ROWS(H$10:H104))&amp;"","")</f>
        <v>7A/Sc1</v>
      </c>
      <c r="I104" t="str">
        <f>IF(H104="","",IF(COUNTIF(H$10:H104,H104)=1,COUNTIF(H$10:H$609,"&lt;"&amp;H104)+1,""))</f>
        <v/>
      </c>
      <c r="J104" t="str">
        <f>IFERROR(INDEX(tblY8[Class],ROWS(J$10:J104))&amp;"","")</f>
        <v/>
      </c>
      <c r="K104" t="str">
        <f>IF(J104="","",IF(COUNTIF(J$10:J104,J104)=1,COUNTIF(J$10:J$609,"&lt;"&amp;J104)+1,""))</f>
        <v/>
      </c>
      <c r="L104" t="str">
        <f>IFERROR(INDEX(tblY9[Class],ROWS(L$10:L104))&amp;"","")</f>
        <v>9B/Sc2</v>
      </c>
      <c r="M104" t="str">
        <f>IF(L104="","",IF(COUNTIF(L$10:L104,L104)=1,COUNTIF(L$10:L$609,"&lt;"&amp;L104)+1,""))</f>
        <v/>
      </c>
      <c r="N104" t="str">
        <f>IFERROR(INDEX(tblY10[Class],ROWS(N$10:N104))&amp;"","")</f>
        <v>10S/Sc2</v>
      </c>
      <c r="O104" t="str">
        <f>IF(N104="","",IF(COUNTIF(N$10:N104,N104)=1,COUNTIF(N$10:N$609,"&lt;"&amp;N104)+1,""))</f>
        <v/>
      </c>
      <c r="P104" t="str">
        <f>IFERROR(INDEX(tblY11[Class],ROWS(P$10:P104))&amp;"","")</f>
        <v>11S/Sc2</v>
      </c>
      <c r="Q104" t="str">
        <f>IF(P104="","",IF(COUNTIF(P$10:P104,P104)=1,COUNTIF(P$10:P$609,"&lt;"&amp;P104)+1,""))</f>
        <v/>
      </c>
      <c r="BA104" t="str">
        <f>IFERROR(INDEX(wLast,35)&amp;"","")</f>
        <v>Jones</v>
      </c>
      <c r="BB104" t="str">
        <f>IF(BA104="","",IFERROR(INDEX(wFirst,35)&amp;"",""))</f>
        <v>Lily</v>
      </c>
      <c r="BC104" t="str">
        <f>IF(BA104="","",IFERROR(INDEX(wClass,35)&amp;"",""))</f>
        <v>11S/Sc2</v>
      </c>
      <c r="BD104">
        <f>IF(BA104="","",IFERROR(INDEX(wKS2,35)+0,""))</f>
        <v>6</v>
      </c>
      <c r="BE104">
        <f>IF(BA104="","",IFERROR(INDEX(wTests,35)+0,0))</f>
        <v>6</v>
      </c>
      <c r="BF104">
        <f>IF(BA104="","",IFERROR(INDEX(wMean,35)+0,""))</f>
        <v>7.16666666666667</v>
      </c>
      <c r="BG104">
        <f>IF(BA104="","",IFERROR(INDEX(wVs,35)+0,""))</f>
        <v>1.16666666666667</v>
      </c>
      <c r="BH104">
        <f>IF(OR(BA104="",wLatest=""),"",IFERROR(INDEX(wData,35,MATCH(wLatest&amp;CHAR(10)&amp;"Stanine",wHdr,0))+0,""))</f>
        <v>8</v>
      </c>
      <c r="BI104" t="str">
        <f>IF(BA104="","",IF(AND(ISNUMBER(BG104),N(BE104)&gt;=WlMinTests,BG104&lt;=-WlGap),"Below KS2 starting point",IF(AND(NOT(ISNUMBER(BD104)),ISNUMBER(BF104),N(BE104)&gt;=WlMinTests,BF104&lt;=WlLowMean),"Low results, no KS2 data","")))</f>
        <v/>
      </c>
      <c r="BJ104" t="str">
        <f>IF(BI104="","",IF(BI104="Below KS2 starting point",BG104,100+BF104)+ROW()/1000000)</f>
        <v/>
      </c>
    </row>
    <row r="105">
      <c r="H105" t="str">
        <f>IFERROR(INDEX(tblY7[Class],ROWS(H$10:H105))&amp;"","")</f>
        <v>7A/Sc2</v>
      </c>
      <c r="I105" t="str">
        <f>IF(H105="","",IF(COUNTIF(H$10:H105,H105)=1,COUNTIF(H$10:H$609,"&lt;"&amp;H105)+1,""))</f>
        <v/>
      </c>
      <c r="J105" t="str">
        <f>IFERROR(INDEX(tblY8[Class],ROWS(J$10:J105))&amp;"","")</f>
        <v/>
      </c>
      <c r="K105" t="str">
        <f>IF(J105="","",IF(COUNTIF(J$10:J105,J105)=1,COUNTIF(J$10:J$609,"&lt;"&amp;J105)+1,""))</f>
        <v/>
      </c>
      <c r="L105" t="str">
        <f>IFERROR(INDEX(tblY9[Class],ROWS(L$10:L105))&amp;"","")</f>
        <v>9B/Sc2</v>
      </c>
      <c r="M105" t="str">
        <f>IF(L105="","",IF(COUNTIF(L$10:L105,L105)=1,COUNTIF(L$10:L$609,"&lt;"&amp;L105)+1,""))</f>
        <v/>
      </c>
      <c r="N105" t="str">
        <f>IFERROR(INDEX(tblY10[Class],ROWS(N$10:N105))&amp;"","")</f>
        <v>10S/Sc2</v>
      </c>
      <c r="O105" t="str">
        <f>IF(N105="","",IF(COUNTIF(N$10:N105,N105)=1,COUNTIF(N$10:N$609,"&lt;"&amp;N105)+1,""))</f>
        <v/>
      </c>
      <c r="P105" t="str">
        <f>IFERROR(INDEX(tblY11[Class],ROWS(P$10:P105))&amp;"","")</f>
        <v>11S/Sc1</v>
      </c>
      <c r="Q105" t="str">
        <f>IF(P105="","",IF(COUNTIF(P$10:P105,P105)=1,COUNTIF(P$10:P$609,"&lt;"&amp;P105)+1,""))</f>
        <v/>
      </c>
      <c r="BA105" t="str">
        <f>IFERROR(INDEX(wLast,36)&amp;"","")</f>
        <v>Kelly</v>
      </c>
      <c r="BB105" t="str">
        <f>IF(BA105="","",IFERROR(INDEX(wFirst,36)&amp;"",""))</f>
        <v>Ava</v>
      </c>
      <c r="BC105" t="str">
        <f>IF(BA105="","",IFERROR(INDEX(wClass,36)&amp;"",""))</f>
        <v>Science Support</v>
      </c>
      <c r="BD105">
        <f>IF(BA105="","",IFERROR(INDEX(wKS2,36)+0,""))</f>
        <v>3</v>
      </c>
      <c r="BE105">
        <f>IF(BA105="","",IFERROR(INDEX(wTests,36)+0,0))</f>
        <v>6</v>
      </c>
      <c r="BF105">
        <f>IF(BA105="","",IFERROR(INDEX(wMean,36)+0,""))</f>
        <v>2.16666666666667</v>
      </c>
      <c r="BG105">
        <f>IF(BA105="","",IFERROR(INDEX(wVs,36)+0,""))</f>
        <v>-0.833333333333334</v>
      </c>
      <c r="BH105">
        <f>IF(OR(BA105="",wLatest=""),"",IFERROR(INDEX(wData,36,MATCH(wLatest&amp;CHAR(10)&amp;"Stanine",wHdr,0))+0,""))</f>
        <v>3</v>
      </c>
      <c r="BI105" t="str">
        <f>IF(BA105="","",IF(AND(ISNUMBER(BG105),N(BE105)&gt;=WlMinTests,BG105&lt;=-WlGap),"Below KS2 starting point",IF(AND(NOT(ISNUMBER(BD105)),ISNUMBER(BF105),N(BE105)&gt;=WlMinTests,BF105&lt;=WlLowMean),"Low results, no KS2 data","")))</f>
        <v/>
      </c>
      <c r="BJ105" t="str">
        <f>IF(BI105="","",IF(BI105="Below KS2 starting point",BG105,100+BF105)+ROW()/1000000)</f>
        <v/>
      </c>
    </row>
    <row r="106">
      <c r="H106" t="str">
        <f>IFERROR(INDEX(tblY7[Class],ROWS(H$10:H106))&amp;"","")</f>
        <v>7A/Sc1</v>
      </c>
      <c r="I106" t="str">
        <f>IF(H106="","",IF(COUNTIF(H$10:H106,H106)=1,COUNTIF(H$10:H$609,"&lt;"&amp;H106)+1,""))</f>
        <v/>
      </c>
      <c r="J106" t="str">
        <f>IFERROR(INDEX(tblY8[Class],ROWS(J$10:J106))&amp;"","")</f>
        <v/>
      </c>
      <c r="K106" t="str">
        <f>IF(J106="","",IF(COUNTIF(J$10:J106,J106)=1,COUNTIF(J$10:J$609,"&lt;"&amp;J106)+1,""))</f>
        <v/>
      </c>
      <c r="L106" t="str">
        <f>IFERROR(INDEX(tblY9[Class],ROWS(L$10:L106))&amp;"","")</f>
        <v>9B/Sc1</v>
      </c>
      <c r="M106" t="str">
        <f>IF(L106="","",IF(COUNTIF(L$10:L106,L106)=1,COUNTIF(L$10:L$609,"&lt;"&amp;L106)+1,""))</f>
        <v/>
      </c>
      <c r="N106" t="str">
        <f>IFERROR(INDEX(tblY10[Class],ROWS(N$10:N106))&amp;"","")</f>
        <v>10S/Sc1</v>
      </c>
      <c r="O106" t="str">
        <f>IF(N106="","",IF(COUNTIF(N$10:N106,N106)=1,COUNTIF(N$10:N$609,"&lt;"&amp;N106)+1,""))</f>
        <v/>
      </c>
      <c r="P106" t="str">
        <f>IFERROR(INDEX(tblY11[Class],ROWS(P$10:P106))&amp;"","")</f>
        <v>11S/Sc3</v>
      </c>
      <c r="Q106" t="str">
        <f>IF(P106="","",IF(COUNTIF(P$10:P106,P106)=1,COUNTIF(P$10:P$609,"&lt;"&amp;P106)+1,""))</f>
        <v/>
      </c>
      <c r="BA106" t="str">
        <f>IFERROR(INDEX(wLast,37)&amp;"","")</f>
        <v>Kelly</v>
      </c>
      <c r="BB106" t="str">
        <f>IF(BA106="","",IFERROR(INDEX(wFirst,37)&amp;"",""))</f>
        <v>Finley</v>
      </c>
      <c r="BC106" t="str">
        <f>IF(BA106="","",IFERROR(INDEX(wClass,37)&amp;"",""))</f>
        <v>11S/Sc1</v>
      </c>
      <c r="BD106">
        <f>IF(BA106="","",IFERROR(INDEX(wKS2,37)+0,""))</f>
        <v>5</v>
      </c>
      <c r="BE106">
        <f>IF(BA106="","",IFERROR(INDEX(wTests,37)+0,0))</f>
        <v>6</v>
      </c>
      <c r="BF106">
        <f>IF(BA106="","",IFERROR(INDEX(wMean,37)+0,""))</f>
        <v>5.16666666666667</v>
      </c>
      <c r="BG106">
        <f>IF(BA106="","",IFERROR(INDEX(wVs,37)+0,""))</f>
        <v>0.166666666666667</v>
      </c>
      <c r="BH106">
        <f>IF(OR(BA106="",wLatest=""),"",IFERROR(INDEX(wData,37,MATCH(wLatest&amp;CHAR(10)&amp;"Stanine",wHdr,0))+0,""))</f>
        <v>6</v>
      </c>
      <c r="BI106" t="str">
        <f>IF(BA106="","",IF(AND(ISNUMBER(BG106),N(BE106)&gt;=WlMinTests,BG106&lt;=-WlGap),"Below KS2 starting point",IF(AND(NOT(ISNUMBER(BD106)),ISNUMBER(BF106),N(BE106)&gt;=WlMinTests,BF106&lt;=WlLowMean),"Low results, no KS2 data","")))</f>
        <v/>
      </c>
      <c r="BJ106" t="str">
        <f>IF(BI106="","",IF(BI106="Below KS2 starting point",BG106,100+BF106)+ROW()/1000000)</f>
        <v/>
      </c>
    </row>
    <row r="107">
      <c r="H107" t="str">
        <f>IFERROR(INDEX(tblY7[Class],ROWS(H$10:H107))&amp;"","")</f>
        <v>7B/Sc3</v>
      </c>
      <c r="I107" t="str">
        <f>IF(H107="","",IF(COUNTIF(H$10:H107,H107)=1,COUNTIF(H$10:H$609,"&lt;"&amp;H107)+1,""))</f>
        <v/>
      </c>
      <c r="J107" t="str">
        <f>IFERROR(INDEX(tblY8[Class],ROWS(J$10:J107))&amp;"","")</f>
        <v/>
      </c>
      <c r="K107" t="str">
        <f>IF(J107="","",IF(COUNTIF(J$10:J107,J107)=1,COUNTIF(J$10:J$609,"&lt;"&amp;J107)+1,""))</f>
        <v/>
      </c>
      <c r="L107" t="str">
        <f>IFERROR(INDEX(tblY9[Class],ROWS(L$10:L107))&amp;"","")</f>
        <v>9B/Sc2</v>
      </c>
      <c r="M107" t="str">
        <f>IF(L107="","",IF(COUNTIF(L$10:L107,L107)=1,COUNTIF(L$10:L$609,"&lt;"&amp;L107)+1,""))</f>
        <v/>
      </c>
      <c r="N107" t="str">
        <f>IFERROR(INDEX(tblY10[Class],ROWS(N$10:N107))&amp;"","")</f>
        <v>10S/Sc4</v>
      </c>
      <c r="O107" t="str">
        <f>IF(N107="","",IF(COUNTIF(N$10:N107,N107)=1,COUNTIF(N$10:N$609,"&lt;"&amp;N107)+1,""))</f>
        <v/>
      </c>
      <c r="P107" t="str">
        <f>IFERROR(INDEX(tblY11[Class],ROWS(P$10:P107))&amp;"","")</f>
        <v>11S/Sc4</v>
      </c>
      <c r="Q107" t="str">
        <f>IF(P107="","",IF(COUNTIF(P$10:P107,P107)=1,COUNTIF(P$10:P$609,"&lt;"&amp;P107)+1,""))</f>
        <v/>
      </c>
      <c r="BA107" t="str">
        <f>IFERROR(INDEX(wLast,38)&amp;"","")</f>
        <v>Khan</v>
      </c>
      <c r="BB107" t="str">
        <f>IF(BA107="","",IFERROR(INDEX(wFirst,38)&amp;"",""))</f>
        <v>Sami</v>
      </c>
      <c r="BC107" t="str">
        <f>IF(BA107="","",IFERROR(INDEX(wClass,38)&amp;"",""))</f>
        <v>Science Support</v>
      </c>
      <c r="BD107">
        <f>IF(BA107="","",IFERROR(INDEX(wKS2,38)+0,""))</f>
        <v>3</v>
      </c>
      <c r="BE107">
        <f>IF(BA107="","",IFERROR(INDEX(wTests,38)+0,0))</f>
        <v>4</v>
      </c>
      <c r="BF107">
        <f>IF(BA107="","",IFERROR(INDEX(wMean,38)+0,""))</f>
        <v>2.25</v>
      </c>
      <c r="BG107">
        <f>IF(BA107="","",IFERROR(INDEX(wVs,38)+0,""))</f>
        <v>-0.75</v>
      </c>
      <c r="BH107">
        <f>IF(OR(BA107="",wLatest=""),"",IFERROR(INDEX(wData,38,MATCH(wLatest&amp;CHAR(10)&amp;"Stanine",wHdr,0))+0,""))</f>
        <v>2</v>
      </c>
      <c r="BI107" t="str">
        <f>IF(BA107="","",IF(AND(ISNUMBER(BG107),N(BE107)&gt;=WlMinTests,BG107&lt;=-WlGap),"Below KS2 starting point",IF(AND(NOT(ISNUMBER(BD107)),ISNUMBER(BF107),N(BE107)&gt;=WlMinTests,BF107&lt;=WlLowMean),"Low results, no KS2 data","")))</f>
        <v/>
      </c>
      <c r="BJ107" t="str">
        <f>IF(BI107="","",IF(BI107="Below KS2 starting point",BG107,100+BF107)+ROW()/1000000)</f>
        <v/>
      </c>
    </row>
    <row r="108">
      <c r="H108" t="str">
        <f>IFERROR(INDEX(tblY7[Class],ROWS(H$10:H108))&amp;"","")</f>
        <v>7B/Sc2</v>
      </c>
      <c r="I108" t="str">
        <f>IF(H108="","",IF(COUNTIF(H$10:H108,H108)=1,COUNTIF(H$10:H$609,"&lt;"&amp;H108)+1,""))</f>
        <v/>
      </c>
      <c r="J108" t="str">
        <f>IFERROR(INDEX(tblY8[Class],ROWS(J$10:J108))&amp;"","")</f>
        <v/>
      </c>
      <c r="K108" t="str">
        <f>IF(J108="","",IF(COUNTIF(J$10:J108,J108)=1,COUNTIF(J$10:J$609,"&lt;"&amp;J108)+1,""))</f>
        <v/>
      </c>
      <c r="L108" t="str">
        <f>IFERROR(INDEX(tblY9[Class],ROWS(L$10:L108))&amp;"","")</f>
        <v>9A/Sc1</v>
      </c>
      <c r="M108" t="str">
        <f>IF(L108="","",IF(COUNTIF(L$10:L108,L108)=1,COUNTIF(L$10:L$609,"&lt;"&amp;L108)+1,""))</f>
        <v/>
      </c>
      <c r="N108" t="str">
        <f>IFERROR(INDEX(tblY10[Class],ROWS(N$10:N108))&amp;"","")</f>
        <v>10S/Sc1</v>
      </c>
      <c r="O108" t="str">
        <f>IF(N108="","",IF(COUNTIF(N$10:N108,N108)=1,COUNTIF(N$10:N$609,"&lt;"&amp;N108)+1,""))</f>
        <v/>
      </c>
      <c r="P108" t="str">
        <f>IFERROR(INDEX(tblY11[Class],ROWS(P$10:P108))&amp;"","")</f>
        <v>11S/Sc5</v>
      </c>
      <c r="Q108" t="str">
        <f>IF(P108="","",IF(COUNTIF(P$10:P108,P108)=1,COUNTIF(P$10:P$609,"&lt;"&amp;P108)+1,""))</f>
        <v/>
      </c>
      <c r="BA108" t="str">
        <f>IFERROR(INDEX(wLast,39)&amp;"","")</f>
        <v>Kowalski</v>
      </c>
      <c r="BB108" t="str">
        <f>IF(BA108="","",IFERROR(INDEX(wFirst,39)&amp;"",""))</f>
        <v>Ethan</v>
      </c>
      <c r="BC108" t="str">
        <f>IF(BA108="","",IFERROR(INDEX(wClass,39)&amp;"",""))</f>
        <v>11S/Sc3</v>
      </c>
      <c r="BD108">
        <f>IF(BA108="","",IFERROR(INDEX(wKS2,39)+0,""))</f>
        <v>3</v>
      </c>
      <c r="BE108">
        <f>IF(BA108="","",IFERROR(INDEX(wTests,39)+0,0))</f>
        <v>5</v>
      </c>
      <c r="BF108">
        <f>IF(BA108="","",IFERROR(INDEX(wMean,39)+0,""))</f>
        <v>3.2</v>
      </c>
      <c r="BG108">
        <f>IF(BA108="","",IFERROR(INDEX(wVs,39)+0,""))</f>
        <v>0.2</v>
      </c>
      <c r="BH108">
        <f>IF(OR(BA108="",wLatest=""),"",IFERROR(INDEX(wData,39,MATCH(wLatest&amp;CHAR(10)&amp;"Stanine",wHdr,0))+0,""))</f>
        <v>3</v>
      </c>
      <c r="BI108" t="str">
        <f>IF(BA108="","",IF(AND(ISNUMBER(BG108),N(BE108)&gt;=WlMinTests,BG108&lt;=-WlGap),"Below KS2 starting point",IF(AND(NOT(ISNUMBER(BD108)),ISNUMBER(BF108),N(BE108)&gt;=WlMinTests,BF108&lt;=WlLowMean),"Low results, no KS2 data","")))</f>
        <v/>
      </c>
      <c r="BJ108" t="str">
        <f>IF(BI108="","",IF(BI108="Below KS2 starting point",BG108,100+BF108)+ROW()/1000000)</f>
        <v/>
      </c>
    </row>
    <row r="109">
      <c r="H109" t="str">
        <f>IFERROR(INDEX(tblY7[Class],ROWS(H$10:H109))&amp;"","")</f>
        <v>7A/Sc2</v>
      </c>
      <c r="I109" t="str">
        <f>IF(H109="","",IF(COUNTIF(H$10:H109,H109)=1,COUNTIF(H$10:H$609,"&lt;"&amp;H109)+1,""))</f>
        <v/>
      </c>
      <c r="J109" t="str">
        <f>IFERROR(INDEX(tblY8[Class],ROWS(J$10:J109))&amp;"","")</f>
        <v/>
      </c>
      <c r="K109" t="str">
        <f>IF(J109="","",IF(COUNTIF(J$10:J109,J109)=1,COUNTIF(J$10:J$609,"&lt;"&amp;J109)+1,""))</f>
        <v/>
      </c>
      <c r="L109" t="str">
        <f>IFERROR(INDEX(tblY9[Class],ROWS(L$10:L109))&amp;"","")</f>
        <v>9A/Sc3</v>
      </c>
      <c r="M109" t="str">
        <f>IF(L109="","",IF(COUNTIF(L$10:L109,L109)=1,COUNTIF(L$10:L$609,"&lt;"&amp;L109)+1,""))</f>
        <v/>
      </c>
      <c r="N109" t="str">
        <f>IFERROR(INDEX(tblY10[Class],ROWS(N$10:N109))&amp;"","")</f>
        <v>10S/Sc2</v>
      </c>
      <c r="O109" t="str">
        <f>IF(N109="","",IF(COUNTIF(N$10:N109,N109)=1,COUNTIF(N$10:N$609,"&lt;"&amp;N109)+1,""))</f>
        <v/>
      </c>
      <c r="P109" t="str">
        <f>IFERROR(INDEX(tblY11[Class],ROWS(P$10:P109))&amp;"","")</f>
        <v>11S/Sc2</v>
      </c>
      <c r="Q109" t="str">
        <f>IF(P109="","",IF(COUNTIF(P$10:P109,P109)=1,COUNTIF(P$10:P$609,"&lt;"&amp;P109)+1,""))</f>
        <v/>
      </c>
      <c r="BA109" t="str">
        <f>IFERROR(INDEX(wLast,40)&amp;"","")</f>
        <v>Kowalski</v>
      </c>
      <c r="BB109" t="str">
        <f>IF(BA109="","",IFERROR(INDEX(wFirst,40)&amp;"",""))</f>
        <v>Evie</v>
      </c>
      <c r="BC109" t="str">
        <f>IF(BA109="","",IFERROR(INDEX(wClass,40)&amp;"",""))</f>
        <v>11S/Sc2</v>
      </c>
      <c r="BD109">
        <f>IF(BA109="","",IFERROR(INDEX(wKS2,40)+0,""))</f>
        <v>7</v>
      </c>
      <c r="BE109">
        <f>IF(BA109="","",IFERROR(INDEX(wTests,40)+0,0))</f>
        <v>6</v>
      </c>
      <c r="BF109">
        <f>IF(BA109="","",IFERROR(INDEX(wMean,40)+0,""))</f>
        <v>7.16666666666667</v>
      </c>
      <c r="BG109">
        <f>IF(BA109="","",IFERROR(INDEX(wVs,40)+0,""))</f>
        <v>0.166666666666667</v>
      </c>
      <c r="BH109">
        <f>IF(OR(BA109="",wLatest=""),"",IFERROR(INDEX(wData,40,MATCH(wLatest&amp;CHAR(10)&amp;"Stanine",wHdr,0))+0,""))</f>
        <v>8</v>
      </c>
      <c r="BI109" t="str">
        <f>IF(BA109="","",IF(AND(ISNUMBER(BG109),N(BE109)&gt;=WlMinTests,BG109&lt;=-WlGap),"Below KS2 starting point",IF(AND(NOT(ISNUMBER(BD109)),ISNUMBER(BF109),N(BE109)&gt;=WlMinTests,BF109&lt;=WlLowMean),"Low results, no KS2 data","")))</f>
        <v/>
      </c>
      <c r="BJ109" t="str">
        <f>IF(BI109="","",IF(BI109="Below KS2 starting point",BG109,100+BF109)+ROW()/1000000)</f>
        <v/>
      </c>
    </row>
    <row r="110">
      <c r="H110" t="str">
        <f>IFERROR(INDEX(tblY7[Class],ROWS(H$10:H110))&amp;"","")</f>
        <v>7A/Sc1</v>
      </c>
      <c r="I110" t="str">
        <f>IF(H110="","",IF(COUNTIF(H$10:H110,H110)=1,COUNTIF(H$10:H$609,"&lt;"&amp;H110)+1,""))</f>
        <v/>
      </c>
      <c r="J110" t="str">
        <f>IFERROR(INDEX(tblY8[Class],ROWS(J$10:J110))&amp;"","")</f>
        <v/>
      </c>
      <c r="K110" t="str">
        <f>IF(J110="","",IF(COUNTIF(J$10:J110,J110)=1,COUNTIF(J$10:J$609,"&lt;"&amp;J110)+1,""))</f>
        <v/>
      </c>
      <c r="L110" t="str">
        <f>IFERROR(INDEX(tblY9[Class],ROWS(L$10:L110))&amp;"","")</f>
        <v>9A/Sc2</v>
      </c>
      <c r="M110" t="str">
        <f>IF(L110="","",IF(COUNTIF(L$10:L110,L110)=1,COUNTIF(L$10:L$609,"&lt;"&amp;L110)+1,""))</f>
        <v/>
      </c>
      <c r="N110" t="str">
        <f>IFERROR(INDEX(tblY10[Class],ROWS(N$10:N110))&amp;"","")</f>
        <v>10S/Sc4</v>
      </c>
      <c r="O110" t="str">
        <f>IF(N110="","",IF(COUNTIF(N$10:N110,N110)=1,COUNTIF(N$10:N$609,"&lt;"&amp;N110)+1,""))</f>
        <v/>
      </c>
      <c r="P110" t="str">
        <f>IFERROR(INDEX(tblY11[Class],ROWS(P$10:P110))&amp;"","")</f>
        <v>11S/Sc4</v>
      </c>
      <c r="Q110" t="str">
        <f>IF(P110="","",IF(COUNTIF(P$10:P110,P110)=1,COUNTIF(P$10:P$609,"&lt;"&amp;P110)+1,""))</f>
        <v/>
      </c>
      <c r="BA110" t="str">
        <f>IFERROR(INDEX(wLast,41)&amp;"","")</f>
        <v>Kowalski</v>
      </c>
      <c r="BB110" t="str">
        <f>IF(BA110="","",IFERROR(INDEX(wFirst,41)&amp;"",""))</f>
        <v>Lewis</v>
      </c>
      <c r="BC110" t="str">
        <f>IF(BA110="","",IFERROR(INDEX(wClass,41)&amp;"",""))</f>
        <v>11S/Sc1</v>
      </c>
      <c r="BD110">
        <f>IF(BA110="","",IFERROR(INDEX(wKS2,41)+0,""))</f>
        <v>6</v>
      </c>
      <c r="BE110">
        <f>IF(BA110="","",IFERROR(INDEX(wTests,41)+0,0))</f>
        <v>6</v>
      </c>
      <c r="BF110">
        <f>IF(BA110="","",IFERROR(INDEX(wMean,41)+0,""))</f>
        <v>6.5</v>
      </c>
      <c r="BG110">
        <f>IF(BA110="","",IFERROR(INDEX(wVs,41)+0,""))</f>
        <v>0.5</v>
      </c>
      <c r="BH110">
        <f>IF(OR(BA110="",wLatest=""),"",IFERROR(INDEX(wData,41,MATCH(wLatest&amp;CHAR(10)&amp;"Stanine",wHdr,0))+0,""))</f>
        <v>5</v>
      </c>
      <c r="BI110" t="str">
        <f>IF(BA110="","",IF(AND(ISNUMBER(BG110),N(BE110)&gt;=WlMinTests,BG110&lt;=-WlGap),"Below KS2 starting point",IF(AND(NOT(ISNUMBER(BD110)),ISNUMBER(BF110),N(BE110)&gt;=WlMinTests,BF110&lt;=WlLowMean),"Low results, no KS2 data","")))</f>
        <v/>
      </c>
      <c r="BJ110" t="str">
        <f>IF(BI110="","",IF(BI110="Below KS2 starting point",BG110,100+BF110)+ROW()/1000000)</f>
        <v/>
      </c>
    </row>
    <row r="111">
      <c r="H111" t="str">
        <f>IFERROR(INDEX(tblY7[Class],ROWS(H$10:H111))&amp;"","")</f>
        <v>7A/Sc2</v>
      </c>
      <c r="I111" t="str">
        <f>IF(H111="","",IF(COUNTIF(H$10:H111,H111)=1,COUNTIF(H$10:H$609,"&lt;"&amp;H111)+1,""))</f>
        <v/>
      </c>
      <c r="J111" t="str">
        <f>IFERROR(INDEX(tblY8[Class],ROWS(J$10:J111))&amp;"","")</f>
        <v/>
      </c>
      <c r="K111" t="str">
        <f>IF(J111="","",IF(COUNTIF(J$10:J111,J111)=1,COUNTIF(J$10:J$609,"&lt;"&amp;J111)+1,""))</f>
        <v/>
      </c>
      <c r="L111" t="str">
        <f>IFERROR(INDEX(tblY9[Class],ROWS(L$10:L111))&amp;"","")</f>
        <v>9B/Sc2</v>
      </c>
      <c r="M111" t="str">
        <f>IF(L111="","",IF(COUNTIF(L$10:L111,L111)=1,COUNTIF(L$10:L$609,"&lt;"&amp;L111)+1,""))</f>
        <v/>
      </c>
      <c r="N111" t="str">
        <f>IFERROR(INDEX(tblY10[Class],ROWS(N$10:N111))&amp;"","")</f>
        <v>10S/Sc2</v>
      </c>
      <c r="O111" t="str">
        <f>IF(N111="","",IF(COUNTIF(N$10:N111,N111)=1,COUNTIF(N$10:N$609,"&lt;"&amp;N111)+1,""))</f>
        <v/>
      </c>
      <c r="P111" t="str">
        <f>IFERROR(INDEX(tblY11[Class],ROWS(P$10:P111))&amp;"","")</f>
        <v>11S/Sc3</v>
      </c>
      <c r="Q111" t="str">
        <f>IF(P111="","",IF(COUNTIF(P$10:P111,P111)=1,COUNTIF(P$10:P$609,"&lt;"&amp;P111)+1,""))</f>
        <v/>
      </c>
      <c r="BA111" t="str">
        <f>IFERROR(INDEX(wLast,42)&amp;"","")</f>
        <v>Kowalski</v>
      </c>
      <c r="BB111" t="str">
        <f>IF(BA111="","",IFERROR(INDEX(wFirst,42)&amp;"",""))</f>
        <v>Oliver</v>
      </c>
      <c r="BC111" t="str">
        <f>IF(BA111="","",IFERROR(INDEX(wClass,42)&amp;"",""))</f>
        <v>11S/Sc1</v>
      </c>
      <c r="BD111">
        <f>IF(BA111="","",IFERROR(INDEX(wKS2,42)+0,""))</f>
        <v>7</v>
      </c>
      <c r="BE111">
        <f>IF(BA111="","",IFERROR(INDEX(wTests,42)+0,0))</f>
        <v>5</v>
      </c>
      <c r="BF111">
        <f>IF(BA111="","",IFERROR(INDEX(wMean,42)+0,""))</f>
        <v>6.4</v>
      </c>
      <c r="BG111">
        <f>IF(BA111="","",IFERROR(INDEX(wVs,42)+0,""))</f>
        <v>-0.6</v>
      </c>
      <c r="BH111">
        <f>IF(OR(BA111="",wLatest=""),"",IFERROR(INDEX(wData,42,MATCH(wLatest&amp;CHAR(10)&amp;"Stanine",wHdr,0))+0,""))</f>
        <v>6</v>
      </c>
      <c r="BI111" t="str">
        <f>IF(BA111="","",IF(AND(ISNUMBER(BG111),N(BE111)&gt;=WlMinTests,BG111&lt;=-WlGap),"Below KS2 starting point",IF(AND(NOT(ISNUMBER(BD111)),ISNUMBER(BF111),N(BE111)&gt;=WlMinTests,BF111&lt;=WlLowMean),"Low results, no KS2 data","")))</f>
        <v/>
      </c>
      <c r="BJ111" t="str">
        <f>IF(BI111="","",IF(BI111="Below KS2 starting point",BG111,100+BF111)+ROW()/1000000)</f>
        <v/>
      </c>
    </row>
    <row r="112">
      <c r="H112" t="str">
        <f>IFERROR(INDEX(tblY7[Class],ROWS(H$10:H112))&amp;"","")</f>
        <v>7A/Sc2</v>
      </c>
      <c r="I112" t="str">
        <f>IF(H112="","",IF(COUNTIF(H$10:H112,H112)=1,COUNTIF(H$10:H$609,"&lt;"&amp;H112)+1,""))</f>
        <v/>
      </c>
      <c r="J112" t="str">
        <f>IFERROR(INDEX(tblY8[Class],ROWS(J$10:J112))&amp;"","")</f>
        <v/>
      </c>
      <c r="K112" t="str">
        <f>IF(J112="","",IF(COUNTIF(J$10:J112,J112)=1,COUNTIF(J$10:J$609,"&lt;"&amp;J112)+1,""))</f>
        <v/>
      </c>
      <c r="L112" t="str">
        <f>IFERROR(INDEX(tblY9[Class],ROWS(L$10:L112))&amp;"","")</f>
        <v>9A/Sc1</v>
      </c>
      <c r="M112" t="str">
        <f>IF(L112="","",IF(COUNTIF(L$10:L112,L112)=1,COUNTIF(L$10:L$609,"&lt;"&amp;L112)+1,""))</f>
        <v/>
      </c>
      <c r="N112" t="str">
        <f>IFERROR(INDEX(tblY10[Class],ROWS(N$10:N112))&amp;"","")</f>
        <v>10S/Sc3</v>
      </c>
      <c r="O112" t="str">
        <f>IF(N112="","",IF(COUNTIF(N$10:N112,N112)=1,COUNTIF(N$10:N$609,"&lt;"&amp;N112)+1,""))</f>
        <v/>
      </c>
      <c r="P112" t="str">
        <f>IFERROR(INDEX(tblY11[Class],ROWS(P$10:P112))&amp;"","")</f>
        <v>11S/Sc2</v>
      </c>
      <c r="Q112" t="str">
        <f>IF(P112="","",IF(COUNTIF(P$10:P112,P112)=1,COUNTIF(P$10:P$609,"&lt;"&amp;P112)+1,""))</f>
        <v/>
      </c>
      <c r="BA112" t="str">
        <f>IFERROR(INDEX(wLast,43)&amp;"","")</f>
        <v>Kowalski</v>
      </c>
      <c r="BB112" t="str">
        <f>IF(BA112="","",IFERROR(INDEX(wFirst,43)&amp;"",""))</f>
        <v>Priya</v>
      </c>
      <c r="BC112" t="str">
        <f>IF(BA112="","",IFERROR(INDEX(wClass,43)&amp;"",""))</f>
        <v>11S/Sc2</v>
      </c>
      <c r="BD112">
        <f>IF(BA112="","",IFERROR(INDEX(wKS2,43)+0,""))</f>
        <v>4</v>
      </c>
      <c r="BE112">
        <f>IF(BA112="","",IFERROR(INDEX(wTests,43)+0,0))</f>
        <v>6</v>
      </c>
      <c r="BF112">
        <f>IF(BA112="","",IFERROR(INDEX(wMean,43)+0,""))</f>
        <v>3.16666666666667</v>
      </c>
      <c r="BG112">
        <f>IF(BA112="","",IFERROR(INDEX(wVs,43)+0,""))</f>
        <v>-0.833333333333334</v>
      </c>
      <c r="BH112">
        <f>IF(OR(BA112="",wLatest=""),"",IFERROR(INDEX(wData,43,MATCH(wLatest&amp;CHAR(10)&amp;"Stanine",wHdr,0))+0,""))</f>
        <v>3</v>
      </c>
      <c r="BI112" t="str">
        <f>IF(BA112="","",IF(AND(ISNUMBER(BG112),N(BE112)&gt;=WlMinTests,BG112&lt;=-WlGap),"Below KS2 starting point",IF(AND(NOT(ISNUMBER(BD112)),ISNUMBER(BF112),N(BE112)&gt;=WlMinTests,BF112&lt;=WlLowMean),"Low results, no KS2 data","")))</f>
        <v/>
      </c>
      <c r="BJ112" t="str">
        <f>IF(BI112="","",IF(BI112="Below KS2 starting point",BG112,100+BF112)+ROW()/1000000)</f>
        <v/>
      </c>
    </row>
    <row r="113">
      <c r="H113" t="str">
        <f>IFERROR(INDEX(tblY7[Class],ROWS(H$10:H113))&amp;"","")</f>
        <v>7B/Sc1</v>
      </c>
      <c r="I113" t="str">
        <f>IF(H113="","",IF(COUNTIF(H$10:H113,H113)=1,COUNTIF(H$10:H$609,"&lt;"&amp;H113)+1,""))</f>
        <v/>
      </c>
      <c r="J113" t="str">
        <f>IFERROR(INDEX(tblY8[Class],ROWS(J$10:J113))&amp;"","")</f>
        <v/>
      </c>
      <c r="K113" t="str">
        <f>IF(J113="","",IF(COUNTIF(J$10:J113,J113)=1,COUNTIF(J$10:J$609,"&lt;"&amp;J113)+1,""))</f>
        <v/>
      </c>
      <c r="L113" t="str">
        <f>IFERROR(INDEX(tblY9[Class],ROWS(L$10:L113))&amp;"","")</f>
        <v>9B/Sc1</v>
      </c>
      <c r="M113" t="str">
        <f>IF(L113="","",IF(COUNTIF(L$10:L113,L113)=1,COUNTIF(L$10:L$609,"&lt;"&amp;L113)+1,""))</f>
        <v/>
      </c>
      <c r="N113" t="str">
        <f>IFERROR(INDEX(tblY10[Class],ROWS(N$10:N113))&amp;"","")</f>
        <v>10S/Sc2</v>
      </c>
      <c r="O113" t="str">
        <f>IF(N113="","",IF(COUNTIF(N$10:N113,N113)=1,COUNTIF(N$10:N$609,"&lt;"&amp;N113)+1,""))</f>
        <v/>
      </c>
      <c r="P113" t="str">
        <f>IFERROR(INDEX(tblY11[Class],ROWS(P$10:P113))&amp;"","")</f>
        <v>11S/Sc3</v>
      </c>
      <c r="Q113" t="str">
        <f>IF(P113="","",IF(COUNTIF(P$10:P113,P113)=1,COUNTIF(P$10:P$609,"&lt;"&amp;P113)+1,""))</f>
        <v/>
      </c>
      <c r="BA113" t="str">
        <f>IFERROR(INDEX(wLast,44)&amp;"","")</f>
        <v>Lewis</v>
      </c>
      <c r="BB113" t="str">
        <f>IF(BA113="","",IFERROR(INDEX(wFirst,44)&amp;"",""))</f>
        <v>Ella</v>
      </c>
      <c r="BC113" t="str">
        <f>IF(BA113="","",IFERROR(INDEX(wClass,44)&amp;"",""))</f>
        <v>11S/Sc1</v>
      </c>
      <c r="BD113">
        <f>IF(BA113="","",IFERROR(INDEX(wKS2,44)+0,""))</f>
        <v>5</v>
      </c>
      <c r="BE113">
        <f>IF(BA113="","",IFERROR(INDEX(wTests,44)+0,0))</f>
        <v>5</v>
      </c>
      <c r="BF113">
        <f>IF(BA113="","",IFERROR(INDEX(wMean,44)+0,""))</f>
        <v>5.4</v>
      </c>
      <c r="BG113">
        <f>IF(BA113="","",IFERROR(INDEX(wVs,44)+0,""))</f>
        <v>0.4</v>
      </c>
      <c r="BH113">
        <f>IF(OR(BA113="",wLatest=""),"",IFERROR(INDEX(wData,44,MATCH(wLatest&amp;CHAR(10)&amp;"Stanine",wHdr,0))+0,""))</f>
        <v>6</v>
      </c>
      <c r="BI113" t="str">
        <f>IF(BA113="","",IF(AND(ISNUMBER(BG113),N(BE113)&gt;=WlMinTests,BG113&lt;=-WlGap),"Below KS2 starting point",IF(AND(NOT(ISNUMBER(BD113)),ISNUMBER(BF113),N(BE113)&gt;=WlMinTests,BF113&lt;=WlLowMean),"Low results, no KS2 data","")))</f>
        <v/>
      </c>
      <c r="BJ113" t="str">
        <f>IF(BI113="","",IF(BI113="Below KS2 starting point",BG113,100+BF113)+ROW()/1000000)</f>
        <v/>
      </c>
    </row>
    <row r="114">
      <c r="H114" t="str">
        <f>IFERROR(INDEX(tblY7[Class],ROWS(H$10:H114))&amp;"","")</f>
        <v>7B/Sc1</v>
      </c>
      <c r="I114" t="str">
        <f>IF(H114="","",IF(COUNTIF(H$10:H114,H114)=1,COUNTIF(H$10:H$609,"&lt;"&amp;H114)+1,""))</f>
        <v/>
      </c>
      <c r="J114" t="str">
        <f>IFERROR(INDEX(tblY8[Class],ROWS(J$10:J114))&amp;"","")</f>
        <v/>
      </c>
      <c r="K114" t="str">
        <f>IF(J114="","",IF(COUNTIF(J$10:J114,J114)=1,COUNTIF(J$10:J$609,"&lt;"&amp;J114)+1,""))</f>
        <v/>
      </c>
      <c r="L114" t="str">
        <f>IFERROR(INDEX(tblY9[Class],ROWS(L$10:L114))&amp;"","")</f>
        <v>9A/Sc1</v>
      </c>
      <c r="M114" t="str">
        <f>IF(L114="","",IF(COUNTIF(L$10:L114,L114)=1,COUNTIF(L$10:L$609,"&lt;"&amp;L114)+1,""))</f>
        <v/>
      </c>
      <c r="N114" t="str">
        <f>IFERROR(INDEX(tblY10[Class],ROWS(N$10:N114))&amp;"","")</f>
        <v>10S/Sc4</v>
      </c>
      <c r="O114" t="str">
        <f>IF(N114="","",IF(COUNTIF(N$10:N114,N114)=1,COUNTIF(N$10:N$609,"&lt;"&amp;N114)+1,""))</f>
        <v/>
      </c>
      <c r="P114" t="str">
        <f>IFERROR(INDEX(tblY11[Class],ROWS(P$10:P114))&amp;"","")</f>
        <v>11S/Sc1</v>
      </c>
      <c r="Q114" t="str">
        <f>IF(P114="","",IF(COUNTIF(P$10:P114,P114)=1,COUNTIF(P$10:P$609,"&lt;"&amp;P114)+1,""))</f>
        <v/>
      </c>
      <c r="BA114" t="str">
        <f>IFERROR(INDEX(wLast,45)&amp;"","")</f>
        <v>Lewis</v>
      </c>
      <c r="BB114" t="str">
        <f>IF(BA114="","",IFERROR(INDEX(wFirst,45)&amp;"",""))</f>
        <v>Keira</v>
      </c>
      <c r="BC114" t="str">
        <f>IF(BA114="","",IFERROR(INDEX(wClass,45)&amp;"",""))</f>
        <v>11S/Sc2</v>
      </c>
      <c r="BD114">
        <f>IF(BA114="","",IFERROR(INDEX(wKS2,45)+0,""))</f>
        <v>5</v>
      </c>
      <c r="BE114">
        <f>IF(BA114="","",IFERROR(INDEX(wTests,45)+0,0))</f>
        <v>6</v>
      </c>
      <c r="BF114">
        <f>IF(BA114="","",IFERROR(INDEX(wMean,45)+0,""))</f>
        <v>5.66666666666667</v>
      </c>
      <c r="BG114">
        <f>IF(BA114="","",IFERROR(INDEX(wVs,45)+0,""))</f>
        <v>0.666666666666667</v>
      </c>
      <c r="BH114">
        <f>IF(OR(BA114="",wLatest=""),"",IFERROR(INDEX(wData,45,MATCH(wLatest&amp;CHAR(10)&amp;"Stanine",wHdr,0))+0,""))</f>
        <v>5</v>
      </c>
      <c r="BI114" t="str">
        <f>IF(BA114="","",IF(AND(ISNUMBER(BG114),N(BE114)&gt;=WlMinTests,BG114&lt;=-WlGap),"Below KS2 starting point",IF(AND(NOT(ISNUMBER(BD114)),ISNUMBER(BF114),N(BE114)&gt;=WlMinTests,BF114&lt;=WlLowMean),"Low results, no KS2 data","")))</f>
        <v/>
      </c>
      <c r="BJ114" t="str">
        <f>IF(BI114="","",IF(BI114="Below KS2 starting point",BG114,100+BF114)+ROW()/1000000)</f>
        <v/>
      </c>
    </row>
    <row r="115">
      <c r="H115" t="str">
        <f>IFERROR(INDEX(tblY7[Class],ROWS(H$10:H115))&amp;"","")</f>
        <v>7A/Sc2</v>
      </c>
      <c r="I115" t="str">
        <f>IF(H115="","",IF(COUNTIF(H$10:H115,H115)=1,COUNTIF(H$10:H$609,"&lt;"&amp;H115)+1,""))</f>
        <v/>
      </c>
      <c r="J115" t="str">
        <f>IFERROR(INDEX(tblY8[Class],ROWS(J$10:J115))&amp;"","")</f>
        <v/>
      </c>
      <c r="K115" t="str">
        <f>IF(J115="","",IF(COUNTIF(J$10:J115,J115)=1,COUNTIF(J$10:J$609,"&lt;"&amp;J115)+1,""))</f>
        <v/>
      </c>
      <c r="L115" t="str">
        <f>IFERROR(INDEX(tblY9[Class],ROWS(L$10:L115))&amp;"","")</f>
        <v>9B/Sc2</v>
      </c>
      <c r="M115" t="str">
        <f>IF(L115="","",IF(COUNTIF(L$10:L115,L115)=1,COUNTIF(L$10:L$609,"&lt;"&amp;L115)+1,""))</f>
        <v/>
      </c>
      <c r="N115" t="str">
        <f>IFERROR(INDEX(tblY10[Class],ROWS(N$10:N115))&amp;"","")</f>
        <v>10S/Sc2</v>
      </c>
      <c r="O115" t="str">
        <f>IF(N115="","",IF(COUNTIF(N$10:N115,N115)=1,COUNTIF(N$10:N$609,"&lt;"&amp;N115)+1,""))</f>
        <v/>
      </c>
      <c r="P115" t="str">
        <f>IFERROR(INDEX(tblY11[Class],ROWS(P$10:P115))&amp;"","")</f>
        <v>11S/Sc2</v>
      </c>
      <c r="Q115" t="str">
        <f>IF(P115="","",IF(COUNTIF(P$10:P115,P115)=1,COUNTIF(P$10:P$609,"&lt;"&amp;P115)+1,""))</f>
        <v/>
      </c>
      <c r="BA115" t="str">
        <f>IFERROR(INDEX(wLast,46)&amp;"","")</f>
        <v>Lloyd</v>
      </c>
      <c r="BB115" t="str">
        <f>IF(BA115="","",IFERROR(INDEX(wFirst,46)&amp;"",""))</f>
        <v>Finley</v>
      </c>
      <c r="BC115" t="str">
        <f>IF(BA115="","",IFERROR(INDEX(wClass,46)&amp;"",""))</f>
        <v>11S/Sc2</v>
      </c>
      <c r="BD115">
        <f>IF(BA115="","",IFERROR(INDEX(wKS2,46)+0,""))</f>
        <v>7</v>
      </c>
      <c r="BE115">
        <f>IF(BA115="","",IFERROR(INDEX(wTests,46)+0,0))</f>
        <v>6</v>
      </c>
      <c r="BF115">
        <f>IF(BA115="","",IFERROR(INDEX(wMean,46)+0,""))</f>
        <v>6.83333333333333</v>
      </c>
      <c r="BG115">
        <f>IF(BA115="","",IFERROR(INDEX(wVs,46)+0,""))</f>
        <v>-0.166666666666667</v>
      </c>
      <c r="BH115">
        <f>IF(OR(BA115="",wLatest=""),"",IFERROR(INDEX(wData,46,MATCH(wLatest&amp;CHAR(10)&amp;"Stanine",wHdr,0))+0,""))</f>
        <v>7</v>
      </c>
      <c r="BI115" t="str">
        <f>IF(BA115="","",IF(AND(ISNUMBER(BG115),N(BE115)&gt;=WlMinTests,BG115&lt;=-WlGap),"Below KS2 starting point",IF(AND(NOT(ISNUMBER(BD115)),ISNUMBER(BF115),N(BE115)&gt;=WlMinTests,BF115&lt;=WlLowMean),"Low results, no KS2 data","")))</f>
        <v/>
      </c>
      <c r="BJ115" t="str">
        <f>IF(BI115="","",IF(BI115="Below KS2 starting point",BG115,100+BF115)+ROW()/1000000)</f>
        <v/>
      </c>
    </row>
    <row r="116">
      <c r="H116" t="str">
        <f>IFERROR(INDEX(tblY7[Class],ROWS(H$10:H116))&amp;"","")</f>
        <v>7B/Sc2</v>
      </c>
      <c r="I116" t="str">
        <f>IF(H116="","",IF(COUNTIF(H$10:H116,H116)=1,COUNTIF(H$10:H$609,"&lt;"&amp;H116)+1,""))</f>
        <v/>
      </c>
      <c r="J116" t="str">
        <f>IFERROR(INDEX(tblY8[Class],ROWS(J$10:J116))&amp;"","")</f>
        <v/>
      </c>
      <c r="K116" t="str">
        <f>IF(J116="","",IF(COUNTIF(J$10:J116,J116)=1,COUNTIF(J$10:J$609,"&lt;"&amp;J116)+1,""))</f>
        <v/>
      </c>
      <c r="L116" t="str">
        <f>IFERROR(INDEX(tblY9[Class],ROWS(L$10:L116))&amp;"","")</f>
        <v>9A/Sc2</v>
      </c>
      <c r="M116" t="str">
        <f>IF(L116="","",IF(COUNTIF(L$10:L116,L116)=1,COUNTIF(L$10:L$609,"&lt;"&amp;L116)+1,""))</f>
        <v/>
      </c>
      <c r="N116" t="str">
        <f>IFERROR(INDEX(tblY10[Class],ROWS(N$10:N116))&amp;"","")</f>
        <v>10S/Sc2</v>
      </c>
      <c r="O116" t="str">
        <f>IF(N116="","",IF(COUNTIF(N$10:N116,N116)=1,COUNTIF(N$10:N$609,"&lt;"&amp;N116)+1,""))</f>
        <v/>
      </c>
      <c r="P116" t="str">
        <f>IFERROR(INDEX(tblY11[Class],ROWS(P$10:P116))&amp;"","")</f>
        <v/>
      </c>
      <c r="Q116" t="str">
        <f>IF(P116="","",IF(COUNTIF(P$10:P116,P116)=1,COUNTIF(P$10:P$609,"&lt;"&amp;P116)+1,""))</f>
        <v/>
      </c>
      <c r="BA116" t="str">
        <f>IFERROR(INDEX(wLast,47)&amp;"","")</f>
        <v>Lloyd</v>
      </c>
      <c r="BB116" t="str">
        <f>IF(BA116="","",IFERROR(INDEX(wFirst,47)&amp;"",""))</f>
        <v>Tomasz</v>
      </c>
      <c r="BC116" t="str">
        <f>IF(BA116="","",IFERROR(INDEX(wClass,47)&amp;"",""))</f>
        <v>11S/Sc5</v>
      </c>
      <c r="BD116">
        <f>IF(BA116="","",IFERROR(INDEX(wKS2,47)+0,""))</f>
        <v>2</v>
      </c>
      <c r="BE116">
        <f>IF(BA116="","",IFERROR(INDEX(wTests,47)+0,0))</f>
        <v>6</v>
      </c>
      <c r="BF116">
        <f>IF(BA116="","",IFERROR(INDEX(wMean,47)+0,""))</f>
        <v>3.83333333333333</v>
      </c>
      <c r="BG116">
        <f>IF(BA116="","",IFERROR(INDEX(wVs,47)+0,""))</f>
        <v>1.83333333333333</v>
      </c>
      <c r="BH116">
        <f>IF(OR(BA116="",wLatest=""),"",IFERROR(INDEX(wData,47,MATCH(wLatest&amp;CHAR(10)&amp;"Stanine",wHdr,0))+0,""))</f>
        <v>4</v>
      </c>
      <c r="BI116" t="str">
        <f>IF(BA116="","",IF(AND(ISNUMBER(BG116),N(BE116)&gt;=WlMinTests,BG116&lt;=-WlGap),"Below KS2 starting point",IF(AND(NOT(ISNUMBER(BD116)),ISNUMBER(BF116),N(BE116)&gt;=WlMinTests,BF116&lt;=WlLowMean),"Low results, no KS2 data","")))</f>
        <v/>
      </c>
      <c r="BJ116" t="str">
        <f>IF(BI116="","",IF(BI116="Below KS2 starting point",BG116,100+BF116)+ROW()/1000000)</f>
        <v/>
      </c>
    </row>
    <row r="117">
      <c r="H117" t="str">
        <f>IFERROR(INDEX(tblY7[Class],ROWS(H$10:H117))&amp;"","")</f>
        <v>7B/Sc3</v>
      </c>
      <c r="I117" t="str">
        <f>IF(H117="","",IF(COUNTIF(H$10:H117,H117)=1,COUNTIF(H$10:H$609,"&lt;"&amp;H117)+1,""))</f>
        <v/>
      </c>
      <c r="J117" t="str">
        <f>IFERROR(INDEX(tblY8[Class],ROWS(J$10:J117))&amp;"","")</f>
        <v/>
      </c>
      <c r="K117" t="str">
        <f>IF(J117="","",IF(COUNTIF(J$10:J117,J117)=1,COUNTIF(J$10:J$609,"&lt;"&amp;J117)+1,""))</f>
        <v/>
      </c>
      <c r="L117" t="str">
        <f>IFERROR(INDEX(tblY9[Class],ROWS(L$10:L117))&amp;"","")</f>
        <v>9A/Sc1</v>
      </c>
      <c r="M117" t="str">
        <f>IF(L117="","",IF(COUNTIF(L$10:L117,L117)=1,COUNTIF(L$10:L$609,"&lt;"&amp;L117)+1,""))</f>
        <v/>
      </c>
      <c r="N117" t="str">
        <f>IFERROR(INDEX(tblY10[Class],ROWS(N$10:N117))&amp;"","")</f>
        <v>10S/Sc4</v>
      </c>
      <c r="O117" t="str">
        <f>IF(N117="","",IF(COUNTIF(N$10:N117,N117)=1,COUNTIF(N$10:N$609,"&lt;"&amp;N117)+1,""))</f>
        <v/>
      </c>
      <c r="P117" t="str">
        <f>IFERROR(INDEX(tblY11[Class],ROWS(P$10:P117))&amp;"","")</f>
        <v/>
      </c>
      <c r="Q117" t="str">
        <f>IF(P117="","",IF(COUNTIF(P$10:P117,P117)=1,COUNTIF(P$10:P$609,"&lt;"&amp;P117)+1,""))</f>
        <v/>
      </c>
      <c r="BA117" t="str">
        <f>IFERROR(INDEX(wLast,48)&amp;"","")</f>
        <v>Mistry</v>
      </c>
      <c r="BB117" t="str">
        <f>IF(BA117="","",IFERROR(INDEX(wFirst,48)&amp;"",""))</f>
        <v>Muhammad</v>
      </c>
      <c r="BC117" t="str">
        <f>IF(BA117="","",IFERROR(INDEX(wClass,48)&amp;"",""))</f>
        <v>11S/Sc3</v>
      </c>
      <c r="BD117">
        <f>IF(BA117="","",IFERROR(INDEX(wKS2,48)+0,""))</f>
        <v>4</v>
      </c>
      <c r="BE117">
        <f>IF(BA117="","",IFERROR(INDEX(wTests,48)+0,0))</f>
        <v>6</v>
      </c>
      <c r="BF117">
        <f>IF(BA117="","",IFERROR(INDEX(wMean,48)+0,""))</f>
        <v>3.83333333333333</v>
      </c>
      <c r="BG117">
        <f>IF(BA117="","",IFERROR(INDEX(wVs,48)+0,""))</f>
        <v>-0.166666666666667</v>
      </c>
      <c r="BH117">
        <f>IF(OR(BA117="",wLatest=""),"",IFERROR(INDEX(wData,48,MATCH(wLatest&amp;CHAR(10)&amp;"Stanine",wHdr,0))+0,""))</f>
        <v>4</v>
      </c>
      <c r="BI117" t="str">
        <f>IF(BA117="","",IF(AND(ISNUMBER(BG117),N(BE117)&gt;=WlMinTests,BG117&lt;=-WlGap),"Below KS2 starting point",IF(AND(NOT(ISNUMBER(BD117)),ISNUMBER(BF117),N(BE117)&gt;=WlMinTests,BF117&lt;=WlLowMean),"Low results, no KS2 data","")))</f>
        <v/>
      </c>
      <c r="BJ117" t="str">
        <f>IF(BI117="","",IF(BI117="Below KS2 starting point",BG117,100+BF117)+ROW()/1000000)</f>
        <v/>
      </c>
    </row>
    <row r="118">
      <c r="H118" t="str">
        <f>IFERROR(INDEX(tblY7[Class],ROWS(H$10:H118))&amp;"","")</f>
        <v>7B/Sc3</v>
      </c>
      <c r="I118" t="str">
        <f>IF(H118="","",IF(COUNTIF(H$10:H118,H118)=1,COUNTIF(H$10:H$609,"&lt;"&amp;H118)+1,""))</f>
        <v/>
      </c>
      <c r="J118" t="str">
        <f>IFERROR(INDEX(tblY8[Class],ROWS(J$10:J118))&amp;"","")</f>
        <v/>
      </c>
      <c r="K118" t="str">
        <f>IF(J118="","",IF(COUNTIF(J$10:J118,J118)=1,COUNTIF(J$10:J$609,"&lt;"&amp;J118)+1,""))</f>
        <v/>
      </c>
      <c r="L118" t="str">
        <f>IFERROR(INDEX(tblY9[Class],ROWS(L$10:L118))&amp;"","")</f>
        <v>9B/Sc2</v>
      </c>
      <c r="M118" t="str">
        <f>IF(L118="","",IF(COUNTIF(L$10:L118,L118)=1,COUNTIF(L$10:L$609,"&lt;"&amp;L118)+1,""))</f>
        <v/>
      </c>
      <c r="N118" t="str">
        <f>IFERROR(INDEX(tblY10[Class],ROWS(N$10:N118))&amp;"","")</f>
        <v>10S/Sc1</v>
      </c>
      <c r="O118" t="str">
        <f>IF(N118="","",IF(COUNTIF(N$10:N118,N118)=1,COUNTIF(N$10:N$609,"&lt;"&amp;N118)+1,""))</f>
        <v/>
      </c>
      <c r="P118" t="str">
        <f>IFERROR(INDEX(tblY11[Class],ROWS(P$10:P118))&amp;"","")</f>
        <v/>
      </c>
      <c r="Q118" t="str">
        <f>IF(P118="","",IF(COUNTIF(P$10:P118,P118)=1,COUNTIF(P$10:P$609,"&lt;"&amp;P118)+1,""))</f>
        <v/>
      </c>
      <c r="BA118" t="str">
        <f>IFERROR(INDEX(wLast,49)&amp;"","")</f>
        <v>Mistry</v>
      </c>
      <c r="BB118" t="str">
        <f>IF(BA118="","",IFERROR(INDEX(wFirst,49)&amp;"",""))</f>
        <v>Reuben</v>
      </c>
      <c r="BC118" t="str">
        <f>IF(BA118="","",IFERROR(INDEX(wClass,49)&amp;"",""))</f>
        <v>11S/Sc3</v>
      </c>
      <c r="BD118">
        <f>IF(BA118="","",IFERROR(INDEX(wKS2,49)+0,""))</f>
        <v>3</v>
      </c>
      <c r="BE118">
        <f>IF(BA118="","",IFERROR(INDEX(wTests,49)+0,0))</f>
        <v>6</v>
      </c>
      <c r="BF118">
        <f>IF(BA118="","",IFERROR(INDEX(wMean,49)+0,""))</f>
        <v>3.5</v>
      </c>
      <c r="BG118">
        <f>IF(BA118="","",IFERROR(INDEX(wVs,49)+0,""))</f>
        <v>0.5</v>
      </c>
      <c r="BH118">
        <f>IF(OR(BA118="",wLatest=""),"",IFERROR(INDEX(wData,49,MATCH(wLatest&amp;CHAR(10)&amp;"Stanine",wHdr,0))+0,""))</f>
        <v>3</v>
      </c>
      <c r="BI118" t="str">
        <f>IF(BA118="","",IF(AND(ISNUMBER(BG118),N(BE118)&gt;=WlMinTests,BG118&lt;=-WlGap),"Below KS2 starting point",IF(AND(NOT(ISNUMBER(BD118)),ISNUMBER(BF118),N(BE118)&gt;=WlMinTests,BF118&lt;=WlLowMean),"Low results, no KS2 data","")))</f>
        <v/>
      </c>
      <c r="BJ118" t="str">
        <f>IF(BI118="","",IF(BI118="Below KS2 starting point",BG118,100+BF118)+ROW()/1000000)</f>
        <v/>
      </c>
    </row>
    <row r="119">
      <c r="H119" t="str">
        <f>IFERROR(INDEX(tblY7[Class],ROWS(H$10:H119))&amp;"","")</f>
        <v>7B/Sc3</v>
      </c>
      <c r="I119" t="str">
        <f>IF(H119="","",IF(COUNTIF(H$10:H119,H119)=1,COUNTIF(H$10:H$609,"&lt;"&amp;H119)+1,""))</f>
        <v/>
      </c>
      <c r="J119" t="str">
        <f>IFERROR(INDEX(tblY8[Class],ROWS(J$10:J119))&amp;"","")</f>
        <v/>
      </c>
      <c r="K119" t="str">
        <f>IF(J119="","",IF(COUNTIF(J$10:J119,J119)=1,COUNTIF(J$10:J$609,"&lt;"&amp;J119)+1,""))</f>
        <v/>
      </c>
      <c r="L119" t="str">
        <f>IFERROR(INDEX(tblY9[Class],ROWS(L$10:L119))&amp;"","")</f>
        <v>9B/Sc2</v>
      </c>
      <c r="M119" t="str">
        <f>IF(L119="","",IF(COUNTIF(L$10:L119,L119)=1,COUNTIF(L$10:L$609,"&lt;"&amp;L119)+1,""))</f>
        <v/>
      </c>
      <c r="N119" t="str">
        <f>IFERROR(INDEX(tblY10[Class],ROWS(N$10:N119))&amp;"","")</f>
        <v>10S/Sc4</v>
      </c>
      <c r="O119" t="str">
        <f>IF(N119="","",IF(COUNTIF(N$10:N119,N119)=1,COUNTIF(N$10:N$609,"&lt;"&amp;N119)+1,""))</f>
        <v/>
      </c>
      <c r="P119" t="str">
        <f>IFERROR(INDEX(tblY11[Class],ROWS(P$10:P119))&amp;"","")</f>
        <v/>
      </c>
      <c r="Q119" t="str">
        <f>IF(P119="","",IF(COUNTIF(P$10:P119,P119)=1,COUNTIF(P$10:P$609,"&lt;"&amp;P119)+1,""))</f>
        <v/>
      </c>
      <c r="BA119" t="str">
        <f>IFERROR(INDEX(wLast,50)&amp;"","")</f>
        <v>Mistry</v>
      </c>
      <c r="BB119" t="str">
        <f>IF(BA119="","",IFERROR(INDEX(wFirst,50)&amp;"",""))</f>
        <v>Zofia</v>
      </c>
      <c r="BC119" t="str">
        <f>IF(BA119="","",IFERROR(INDEX(wClass,50)&amp;"",""))</f>
        <v>11S/Sc3</v>
      </c>
      <c r="BD119" t="str">
        <f>IF(BA119="","",IFERROR(INDEX(wKS2,50)+0,""))</f>
        <v/>
      </c>
      <c r="BE119">
        <f>IF(BA119="","",IFERROR(INDEX(wTests,50)+0,0))</f>
        <v>5</v>
      </c>
      <c r="BF119">
        <f>IF(BA119="","",IFERROR(INDEX(wMean,50)+0,""))</f>
        <v>5</v>
      </c>
      <c r="BG119" t="str">
        <f>IF(BA119="","",IFERROR(INDEX(wVs,50)+0,""))</f>
        <v/>
      </c>
      <c r="BH119" t="str">
        <f>IF(OR(BA119="",wLatest=""),"",IFERROR(INDEX(wData,50,MATCH(wLatest&amp;CHAR(10)&amp;"Stanine",wHdr,0))+0,""))</f>
        <v/>
      </c>
      <c r="BI119" t="str">
        <f>IF(BA119="","",IF(AND(ISNUMBER(BG119),N(BE119)&gt;=WlMinTests,BG119&lt;=-WlGap),"Below KS2 starting point",IF(AND(NOT(ISNUMBER(BD119)),ISNUMBER(BF119),N(BE119)&gt;=WlMinTests,BF119&lt;=WlLowMean),"Low results, no KS2 data","")))</f>
        <v/>
      </c>
      <c r="BJ119" t="str">
        <f>IF(BI119="","",IF(BI119="Below KS2 starting point",BG119,100+BF119)+ROW()/1000000)</f>
        <v/>
      </c>
    </row>
    <row r="120">
      <c r="H120" t="str">
        <f>IFERROR(INDEX(tblY7[Class],ROWS(H$10:H120))&amp;"","")</f>
        <v>7B/Sc1</v>
      </c>
      <c r="I120" t="str">
        <f>IF(H120="","",IF(COUNTIF(H$10:H120,H120)=1,COUNTIF(H$10:H$609,"&lt;"&amp;H120)+1,""))</f>
        <v/>
      </c>
      <c r="J120" t="str">
        <f>IFERROR(INDEX(tblY8[Class],ROWS(J$10:J120))&amp;"","")</f>
        <v/>
      </c>
      <c r="K120" t="str">
        <f>IF(J120="","",IF(COUNTIF(J$10:J120,J120)=1,COUNTIF(J$10:J$609,"&lt;"&amp;J120)+1,""))</f>
        <v/>
      </c>
      <c r="L120" t="str">
        <f>IFERROR(INDEX(tblY9[Class],ROWS(L$10:L120))&amp;"","")</f>
        <v>9B/Sc1</v>
      </c>
      <c r="M120" t="str">
        <f>IF(L120="","",IF(COUNTIF(L$10:L120,L120)=1,COUNTIF(L$10:L$609,"&lt;"&amp;L120)+1,""))</f>
        <v/>
      </c>
      <c r="N120" t="str">
        <f>IFERROR(INDEX(tblY10[Class],ROWS(N$10:N120))&amp;"","")</f>
        <v>10S/Sc1</v>
      </c>
      <c r="O120" t="str">
        <f>IF(N120="","",IF(COUNTIF(N$10:N120,N120)=1,COUNTIF(N$10:N$609,"&lt;"&amp;N120)+1,""))</f>
        <v/>
      </c>
      <c r="P120" t="str">
        <f>IFERROR(INDEX(tblY11[Class],ROWS(P$10:P120))&amp;"","")</f>
        <v/>
      </c>
      <c r="Q120" t="str">
        <f>IF(P120="","",IF(COUNTIF(P$10:P120,P120)=1,COUNTIF(P$10:P$609,"&lt;"&amp;P120)+1,""))</f>
        <v/>
      </c>
      <c r="BA120" t="str">
        <f>IFERROR(INDEX(wLast,51)&amp;"","")</f>
        <v>Morgan</v>
      </c>
      <c r="BB120" t="str">
        <f>IF(BA120="","",IFERROR(INDEX(wFirst,51)&amp;"",""))</f>
        <v>Amara</v>
      </c>
      <c r="BC120" t="str">
        <f>IF(BA120="","",IFERROR(INDEX(wClass,51)&amp;"",""))</f>
        <v>11S/Sc3</v>
      </c>
      <c r="BD120">
        <f>IF(BA120="","",IFERROR(INDEX(wKS2,51)+0,""))</f>
        <v>5</v>
      </c>
      <c r="BE120">
        <f>IF(BA120="","",IFERROR(INDEX(wTests,51)+0,0))</f>
        <v>5</v>
      </c>
      <c r="BF120">
        <f>IF(BA120="","",IFERROR(INDEX(wMean,51)+0,""))</f>
        <v>6.8</v>
      </c>
      <c r="BG120">
        <f>IF(BA120="","",IFERROR(INDEX(wVs,51)+0,""))</f>
        <v>1.8</v>
      </c>
      <c r="BH120">
        <f>IF(OR(BA120="",wLatest=""),"",IFERROR(INDEX(wData,51,MATCH(wLatest&amp;CHAR(10)&amp;"Stanine",wHdr,0))+0,""))</f>
        <v>7</v>
      </c>
      <c r="BI120" t="str">
        <f>IF(BA120="","",IF(AND(ISNUMBER(BG120),N(BE120)&gt;=WlMinTests,BG120&lt;=-WlGap),"Below KS2 starting point",IF(AND(NOT(ISNUMBER(BD120)),ISNUMBER(BF120),N(BE120)&gt;=WlMinTests,BF120&lt;=WlLowMean),"Low results, no KS2 data","")))</f>
        <v/>
      </c>
      <c r="BJ120" t="str">
        <f>IF(BI120="","",IF(BI120="Below KS2 starting point",BG120,100+BF120)+ROW()/1000000)</f>
        <v/>
      </c>
    </row>
    <row r="121">
      <c r="H121" t="str">
        <f>IFERROR(INDEX(tblY7[Class],ROWS(H$10:H121))&amp;"","")</f>
        <v>7B/Sc2</v>
      </c>
      <c r="I121" t="str">
        <f>IF(H121="","",IF(COUNTIF(H$10:H121,H121)=1,COUNTIF(H$10:H$609,"&lt;"&amp;H121)+1,""))</f>
        <v/>
      </c>
      <c r="J121" t="str">
        <f>IFERROR(INDEX(tblY8[Class],ROWS(J$10:J121))&amp;"","")</f>
        <v/>
      </c>
      <c r="K121" t="str">
        <f>IF(J121="","",IF(COUNTIF(J$10:J121,J121)=1,COUNTIF(J$10:J$609,"&lt;"&amp;J121)+1,""))</f>
        <v/>
      </c>
      <c r="L121" t="str">
        <f>IFERROR(INDEX(tblY9[Class],ROWS(L$10:L121))&amp;"","")</f>
        <v>9A/Sc2</v>
      </c>
      <c r="M121" t="str">
        <f>IF(L121="","",IF(COUNTIF(L$10:L121,L121)=1,COUNTIF(L$10:L$609,"&lt;"&amp;L121)+1,""))</f>
        <v/>
      </c>
      <c r="N121" t="str">
        <f>IFERROR(INDEX(tblY10[Class],ROWS(N$10:N121))&amp;"","")</f>
        <v>10S/Sc2</v>
      </c>
      <c r="O121" t="str">
        <f>IF(N121="","",IF(COUNTIF(N$10:N121,N121)=1,COUNTIF(N$10:N$609,"&lt;"&amp;N121)+1,""))</f>
        <v/>
      </c>
      <c r="P121" t="str">
        <f>IFERROR(INDEX(tblY11[Class],ROWS(P$10:P121))&amp;"","")</f>
        <v/>
      </c>
      <c r="Q121" t="str">
        <f>IF(P121="","",IF(COUNTIF(P$10:P121,P121)=1,COUNTIF(P$10:P$609,"&lt;"&amp;P121)+1,""))</f>
        <v/>
      </c>
      <c r="BA121" t="str">
        <f>IFERROR(INDEX(wLast,52)&amp;"","")</f>
        <v>Morgan</v>
      </c>
      <c r="BB121" t="str">
        <f>IF(BA121="","",IFERROR(INDEX(wFirst,52)&amp;"",""))</f>
        <v>Ivy</v>
      </c>
      <c r="BC121" t="str">
        <f>IF(BA121="","",IFERROR(INDEX(wClass,52)&amp;"",""))</f>
        <v>11S/Sc2</v>
      </c>
      <c r="BD121">
        <f>IF(BA121="","",IFERROR(INDEX(wKS2,52)+0,""))</f>
        <v>4</v>
      </c>
      <c r="BE121">
        <f>IF(BA121="","",IFERROR(INDEX(wTests,52)+0,0))</f>
        <v>6</v>
      </c>
      <c r="BF121">
        <f>IF(BA121="","",IFERROR(INDEX(wMean,52)+0,""))</f>
        <v>5.33333333333333</v>
      </c>
      <c r="BG121">
        <f>IF(BA121="","",IFERROR(INDEX(wVs,52)+0,""))</f>
        <v>1.33333333333333</v>
      </c>
      <c r="BH121">
        <f>IF(OR(BA121="",wLatest=""),"",IFERROR(INDEX(wData,52,MATCH(wLatest&amp;CHAR(10)&amp;"Stanine",wHdr,0))+0,""))</f>
        <v>4</v>
      </c>
      <c r="BI121" t="str">
        <f>IF(BA121="","",IF(AND(ISNUMBER(BG121),N(BE121)&gt;=WlMinTests,BG121&lt;=-WlGap),"Below KS2 starting point",IF(AND(NOT(ISNUMBER(BD121)),ISNUMBER(BF121),N(BE121)&gt;=WlMinTests,BF121&lt;=WlLowMean),"Low results, no KS2 data","")))</f>
        <v/>
      </c>
      <c r="BJ121" t="str">
        <f>IF(BI121="","",IF(BI121="Below KS2 starting point",BG121,100+BF121)+ROW()/1000000)</f>
        <v/>
      </c>
    </row>
    <row r="122">
      <c r="H122" t="str">
        <f>IFERROR(INDEX(tblY7[Class],ROWS(H$10:H122))&amp;"","")</f>
        <v>7B/Sc2</v>
      </c>
      <c r="I122" t="str">
        <f>IF(H122="","",IF(COUNTIF(H$10:H122,H122)=1,COUNTIF(H$10:H$609,"&lt;"&amp;H122)+1,""))</f>
        <v/>
      </c>
      <c r="J122" t="str">
        <f>IFERROR(INDEX(tblY8[Class],ROWS(J$10:J122))&amp;"","")</f>
        <v/>
      </c>
      <c r="K122" t="str">
        <f>IF(J122="","",IF(COUNTIF(J$10:J122,J122)=1,COUNTIF(J$10:J$609,"&lt;"&amp;J122)+1,""))</f>
        <v/>
      </c>
      <c r="L122" t="str">
        <f>IFERROR(INDEX(tblY9[Class],ROWS(L$10:L122))&amp;"","")</f>
        <v>9A/Sc1</v>
      </c>
      <c r="M122" t="str">
        <f>IF(L122="","",IF(COUNTIF(L$10:L122,L122)=1,COUNTIF(L$10:L$609,"&lt;"&amp;L122)+1,""))</f>
        <v/>
      </c>
      <c r="N122" t="str">
        <f>IFERROR(INDEX(tblY10[Class],ROWS(N$10:N122))&amp;"","")</f>
        <v>10S/Sc5</v>
      </c>
      <c r="O122" t="str">
        <f>IF(N122="","",IF(COUNTIF(N$10:N122,N122)=1,COUNTIF(N$10:N$609,"&lt;"&amp;N122)+1,""))</f>
        <v/>
      </c>
      <c r="P122" t="str">
        <f>IFERROR(INDEX(tblY11[Class],ROWS(P$10:P122))&amp;"","")</f>
        <v/>
      </c>
      <c r="Q122" t="str">
        <f>IF(P122="","",IF(COUNTIF(P$10:P122,P122)=1,COUNTIF(P$10:P$609,"&lt;"&amp;P122)+1,""))</f>
        <v/>
      </c>
      <c r="BA122" t="str">
        <f>IFERROR(INDEX(wLast,53)&amp;"","")</f>
        <v>Morgan</v>
      </c>
      <c r="BB122" t="str">
        <f>IF(BA122="","",IFERROR(INDEX(wFirst,53)&amp;"",""))</f>
        <v>Jacob</v>
      </c>
      <c r="BC122" t="str">
        <f>IF(BA122="","",IFERROR(INDEX(wClass,53)&amp;"",""))</f>
        <v>11S/Sc2</v>
      </c>
      <c r="BD122">
        <f>IF(BA122="","",IFERROR(INDEX(wKS2,53)+0,""))</f>
        <v>4</v>
      </c>
      <c r="BE122">
        <f>IF(BA122="","",IFERROR(INDEX(wTests,53)+0,0))</f>
        <v>6</v>
      </c>
      <c r="BF122">
        <f>IF(BA122="","",IFERROR(INDEX(wMean,53)+0,""))</f>
        <v>4</v>
      </c>
      <c r="BG122">
        <f>IF(BA122="","",IFERROR(INDEX(wVs,53)+0,""))</f>
        <v>0</v>
      </c>
      <c r="BH122">
        <f>IF(OR(BA122="",wLatest=""),"",IFERROR(INDEX(wData,53,MATCH(wLatest&amp;CHAR(10)&amp;"Stanine",wHdr,0))+0,""))</f>
        <v>4</v>
      </c>
      <c r="BI122" t="str">
        <f>IF(BA122="","",IF(AND(ISNUMBER(BG122),N(BE122)&gt;=WlMinTests,BG122&lt;=-WlGap),"Below KS2 starting point",IF(AND(NOT(ISNUMBER(BD122)),ISNUMBER(BF122),N(BE122)&gt;=WlMinTests,BF122&lt;=WlLowMean),"Low results, no KS2 data","")))</f>
        <v/>
      </c>
      <c r="BJ122" t="str">
        <f>IF(BI122="","",IF(BI122="Below KS2 starting point",BG122,100+BF122)+ROW()/1000000)</f>
        <v/>
      </c>
    </row>
    <row r="123">
      <c r="H123" t="str">
        <f>IFERROR(INDEX(tblY7[Class],ROWS(H$10:H123))&amp;"","")</f>
        <v>7A/Sc2</v>
      </c>
      <c r="I123" t="str">
        <f>IF(H123="","",IF(COUNTIF(H$10:H123,H123)=1,COUNTIF(H$10:H$609,"&lt;"&amp;H123)+1,""))</f>
        <v/>
      </c>
      <c r="J123" t="str">
        <f>IFERROR(INDEX(tblY8[Class],ROWS(J$10:J123))&amp;"","")</f>
        <v/>
      </c>
      <c r="K123" t="str">
        <f>IF(J123="","",IF(COUNTIF(J$10:J123,J123)=1,COUNTIF(J$10:J$609,"&lt;"&amp;J123)+1,""))</f>
        <v/>
      </c>
      <c r="L123" t="str">
        <f>IFERROR(INDEX(tblY9[Class],ROWS(L$10:L123))&amp;"","")</f>
        <v>9B/Sc1</v>
      </c>
      <c r="M123" t="str">
        <f>IF(L123="","",IF(COUNTIF(L$10:L123,L123)=1,COUNTIF(L$10:L$609,"&lt;"&amp;L123)+1,""))</f>
        <v/>
      </c>
      <c r="N123" t="str">
        <f>IFERROR(INDEX(tblY10[Class],ROWS(N$10:N123))&amp;"","")</f>
        <v>10S/Sc1</v>
      </c>
      <c r="O123" t="str">
        <f>IF(N123="","",IF(COUNTIF(N$10:N123,N123)=1,COUNTIF(N$10:N$609,"&lt;"&amp;N123)+1,""))</f>
        <v/>
      </c>
      <c r="P123" t="str">
        <f>IFERROR(INDEX(tblY11[Class],ROWS(P$10:P123))&amp;"","")</f>
        <v/>
      </c>
      <c r="Q123" t="str">
        <f>IF(P123="","",IF(COUNTIF(P$10:P123,P123)=1,COUNTIF(P$10:P$609,"&lt;"&amp;P123)+1,""))</f>
        <v/>
      </c>
      <c r="BA123" t="str">
        <f>IFERROR(INDEX(wLast,54)&amp;"","")</f>
        <v>Morgan</v>
      </c>
      <c r="BB123" t="str">
        <f>IF(BA123="","",IFERROR(INDEX(wFirst,54)&amp;"",""))</f>
        <v>Keira</v>
      </c>
      <c r="BC123" t="str">
        <f>IF(BA123="","",IFERROR(INDEX(wClass,54)&amp;"",""))</f>
        <v>11S/Sc3</v>
      </c>
      <c r="BD123">
        <f>IF(BA123="","",IFERROR(INDEX(wKS2,54)+0,""))</f>
        <v>1</v>
      </c>
      <c r="BE123">
        <f>IF(BA123="","",IFERROR(INDEX(wTests,54)+0,0))</f>
        <v>6</v>
      </c>
      <c r="BF123">
        <f>IF(BA123="","",IFERROR(INDEX(wMean,54)+0,""))</f>
        <v>4</v>
      </c>
      <c r="BG123">
        <f>IF(BA123="","",IFERROR(INDEX(wVs,54)+0,""))</f>
        <v>3</v>
      </c>
      <c r="BH123">
        <f>IF(OR(BA123="",wLatest=""),"",IFERROR(INDEX(wData,54,MATCH(wLatest&amp;CHAR(10)&amp;"Stanine",wHdr,0))+0,""))</f>
        <v>5</v>
      </c>
      <c r="BI123" t="str">
        <f>IF(BA123="","",IF(AND(ISNUMBER(BG123),N(BE123)&gt;=WlMinTests,BG123&lt;=-WlGap),"Below KS2 starting point",IF(AND(NOT(ISNUMBER(BD123)),ISNUMBER(BF123),N(BE123)&gt;=WlMinTests,BF123&lt;=WlLowMean),"Low results, no KS2 data","")))</f>
        <v/>
      </c>
      <c r="BJ123" t="str">
        <f>IF(BI123="","",IF(BI123="Below KS2 starting point",BG123,100+BF123)+ROW()/1000000)</f>
        <v/>
      </c>
    </row>
    <row r="124">
      <c r="H124" t="str">
        <f>IFERROR(INDEX(tblY7[Class],ROWS(H$10:H124))&amp;"","")</f>
        <v>7B/Sc1</v>
      </c>
      <c r="I124" t="str">
        <f>IF(H124="","",IF(COUNTIF(H$10:H124,H124)=1,COUNTIF(H$10:H$609,"&lt;"&amp;H124)+1,""))</f>
        <v/>
      </c>
      <c r="J124" t="str">
        <f>IFERROR(INDEX(tblY8[Class],ROWS(J$10:J124))&amp;"","")</f>
        <v/>
      </c>
      <c r="K124" t="str">
        <f>IF(J124="","",IF(COUNTIF(J$10:J124,J124)=1,COUNTIF(J$10:J$609,"&lt;"&amp;J124)+1,""))</f>
        <v/>
      </c>
      <c r="L124" t="str">
        <f>IFERROR(INDEX(tblY9[Class],ROWS(L$10:L124))&amp;"","")</f>
        <v>9B/Sc2</v>
      </c>
      <c r="M124" t="str">
        <f>IF(L124="","",IF(COUNTIF(L$10:L124,L124)=1,COUNTIF(L$10:L$609,"&lt;"&amp;L124)+1,""))</f>
        <v/>
      </c>
      <c r="N124" t="str">
        <f>IFERROR(INDEX(tblY10[Class],ROWS(N$10:N124))&amp;"","")</f>
        <v>10S/Sc5</v>
      </c>
      <c r="O124" t="str">
        <f>IF(N124="","",IF(COUNTIF(N$10:N124,N124)=1,COUNTIF(N$10:N$609,"&lt;"&amp;N124)+1,""))</f>
        <v/>
      </c>
      <c r="P124" t="str">
        <f>IFERROR(INDEX(tblY11[Class],ROWS(P$10:P124))&amp;"","")</f>
        <v/>
      </c>
      <c r="Q124" t="str">
        <f>IF(P124="","",IF(COUNTIF(P$10:P124,P124)=1,COUNTIF(P$10:P$609,"&lt;"&amp;P124)+1,""))</f>
        <v/>
      </c>
      <c r="BA124" t="str">
        <f>IFERROR(INDEX(wLast,55)&amp;"","")</f>
        <v>Murphy</v>
      </c>
      <c r="BB124" t="str">
        <f>IF(BA124="","",IFERROR(INDEX(wFirst,55)&amp;"",""))</f>
        <v>Chidi</v>
      </c>
      <c r="BC124" t="str">
        <f>IF(BA124="","",IFERROR(INDEX(wClass,55)&amp;"",""))</f>
        <v>11S/Sc1</v>
      </c>
      <c r="BD124">
        <f>IF(BA124="","",IFERROR(INDEX(wKS2,55)+0,""))</f>
        <v>9</v>
      </c>
      <c r="BE124">
        <f>IF(BA124="","",IFERROR(INDEX(wTests,55)+0,0))</f>
        <v>6</v>
      </c>
      <c r="BF124">
        <f>IF(BA124="","",IFERROR(INDEX(wMean,55)+0,""))</f>
        <v>8.5</v>
      </c>
      <c r="BG124">
        <f>IF(BA124="","",IFERROR(INDEX(wVs,55)+0,""))</f>
        <v>-0.5</v>
      </c>
      <c r="BH124">
        <f>IF(OR(BA124="",wLatest=""),"",IFERROR(INDEX(wData,55,MATCH(wLatest&amp;CHAR(10)&amp;"Stanine",wHdr,0))+0,""))</f>
        <v>9</v>
      </c>
      <c r="BI124" t="str">
        <f>IF(BA124="","",IF(AND(ISNUMBER(BG124),N(BE124)&gt;=WlMinTests,BG124&lt;=-WlGap),"Below KS2 starting point",IF(AND(NOT(ISNUMBER(BD124)),ISNUMBER(BF124),N(BE124)&gt;=WlMinTests,BF124&lt;=WlLowMean),"Low results, no KS2 data","")))</f>
        <v/>
      </c>
      <c r="BJ124" t="str">
        <f>IF(BI124="","",IF(BI124="Below KS2 starting point",BG124,100+BF124)+ROW()/1000000)</f>
        <v/>
      </c>
    </row>
    <row r="125">
      <c r="H125" t="str">
        <f>IFERROR(INDEX(tblY7[Class],ROWS(H$10:H125))&amp;"","")</f>
        <v>7B/Sc3</v>
      </c>
      <c r="I125" t="str">
        <f>IF(H125="","",IF(COUNTIF(H$10:H125,H125)=1,COUNTIF(H$10:H$609,"&lt;"&amp;H125)+1,""))</f>
        <v/>
      </c>
      <c r="J125" t="str">
        <f>IFERROR(INDEX(tblY8[Class],ROWS(J$10:J125))&amp;"","")</f>
        <v/>
      </c>
      <c r="K125" t="str">
        <f>IF(J125="","",IF(COUNTIF(J$10:J125,J125)=1,COUNTIF(J$10:J$609,"&lt;"&amp;J125)+1,""))</f>
        <v/>
      </c>
      <c r="L125" t="str">
        <f>IFERROR(INDEX(tblY9[Class],ROWS(L$10:L125))&amp;"","")</f>
        <v>9B/Sc1</v>
      </c>
      <c r="M125" t="str">
        <f>IF(L125="","",IF(COUNTIF(L$10:L125,L125)=1,COUNTIF(L$10:L$609,"&lt;"&amp;L125)+1,""))</f>
        <v/>
      </c>
      <c r="N125" t="str">
        <f>IFERROR(INDEX(tblY10[Class],ROWS(N$10:N125))&amp;"","")</f>
        <v>10S/Sc1</v>
      </c>
      <c r="O125" t="str">
        <f>IF(N125="","",IF(COUNTIF(N$10:N125,N125)=1,COUNTIF(N$10:N$609,"&lt;"&amp;N125)+1,""))</f>
        <v/>
      </c>
      <c r="P125" t="str">
        <f>IFERROR(INDEX(tblY11[Class],ROWS(P$10:P125))&amp;"","")</f>
        <v/>
      </c>
      <c r="Q125" t="str">
        <f>IF(P125="","",IF(COUNTIF(P$10:P125,P125)=1,COUNTIF(P$10:P$609,"&lt;"&amp;P125)+1,""))</f>
        <v/>
      </c>
      <c r="BA125" t="str">
        <f>IFERROR(INDEX(wLast,56)&amp;"","")</f>
        <v>Murphy</v>
      </c>
      <c r="BB125" t="str">
        <f>IF(BA125="","",IFERROR(INDEX(wFirst,56)&amp;"",""))</f>
        <v>Rhys</v>
      </c>
      <c r="BC125" t="str">
        <f>IF(BA125="","",IFERROR(INDEX(wClass,56)&amp;"",""))</f>
        <v>11S/Sc1</v>
      </c>
      <c r="BD125">
        <f>IF(BA125="","",IFERROR(INDEX(wKS2,56)+0,""))</f>
        <v>9</v>
      </c>
      <c r="BE125">
        <f>IF(BA125="","",IFERROR(INDEX(wTests,56)+0,0))</f>
        <v>6</v>
      </c>
      <c r="BF125">
        <f>IF(BA125="","",IFERROR(INDEX(wMean,56)+0,""))</f>
        <v>8.16666666666667</v>
      </c>
      <c r="BG125">
        <f>IF(BA125="","",IFERROR(INDEX(wVs,56)+0,""))</f>
        <v>-0.833333333333334</v>
      </c>
      <c r="BH125">
        <f>IF(OR(BA125="",wLatest=""),"",IFERROR(INDEX(wData,56,MATCH(wLatest&amp;CHAR(10)&amp;"Stanine",wHdr,0))+0,""))</f>
        <v>9</v>
      </c>
      <c r="BI125" t="str">
        <f>IF(BA125="","",IF(AND(ISNUMBER(BG125),N(BE125)&gt;=WlMinTests,BG125&lt;=-WlGap),"Below KS2 starting point",IF(AND(NOT(ISNUMBER(BD125)),ISNUMBER(BF125),N(BE125)&gt;=WlMinTests,BF125&lt;=WlLowMean),"Low results, no KS2 data","")))</f>
        <v/>
      </c>
      <c r="BJ125" t="str">
        <f>IF(BI125="","",IF(BI125="Below KS2 starting point",BG125,100+BF125)+ROW()/1000000)</f>
        <v/>
      </c>
    </row>
    <row r="126">
      <c r="H126" t="str">
        <f>IFERROR(INDEX(tblY7[Class],ROWS(H$10:H126))&amp;"","")</f>
        <v>7B/Sc3</v>
      </c>
      <c r="I126" t="str">
        <f>IF(H126="","",IF(COUNTIF(H$10:H126,H126)=1,COUNTIF(H$10:H$609,"&lt;"&amp;H126)+1,""))</f>
        <v/>
      </c>
      <c r="J126" t="str">
        <f>IFERROR(INDEX(tblY8[Class],ROWS(J$10:J126))&amp;"","")</f>
        <v/>
      </c>
      <c r="K126" t="str">
        <f>IF(J126="","",IF(COUNTIF(J$10:J126,J126)=1,COUNTIF(J$10:J$609,"&lt;"&amp;J126)+1,""))</f>
        <v/>
      </c>
      <c r="L126" t="str">
        <f>IFERROR(INDEX(tblY9[Class],ROWS(L$10:L126))&amp;"","")</f>
        <v>9A/Sc2</v>
      </c>
      <c r="M126" t="str">
        <f>IF(L126="","",IF(COUNTIF(L$10:L126,L126)=1,COUNTIF(L$10:L$609,"&lt;"&amp;L126)+1,""))</f>
        <v/>
      </c>
      <c r="N126" t="str">
        <f>IFERROR(INDEX(tblY10[Class],ROWS(N$10:N126))&amp;"","")</f>
        <v>10S/Sc5</v>
      </c>
      <c r="O126" t="str">
        <f>IF(N126="","",IF(COUNTIF(N$10:N126,N126)=1,COUNTIF(N$10:N$609,"&lt;"&amp;N126)+1,""))</f>
        <v/>
      </c>
      <c r="P126" t="str">
        <f>IFERROR(INDEX(tblY11[Class],ROWS(P$10:P126))&amp;"","")</f>
        <v/>
      </c>
      <c r="Q126" t="str">
        <f>IF(P126="","",IF(COUNTIF(P$10:P126,P126)=1,COUNTIF(P$10:P$609,"&lt;"&amp;P126)+1,""))</f>
        <v/>
      </c>
      <c r="BA126" t="str">
        <f>IFERROR(INDEX(wLast,57)&amp;"","")</f>
        <v>Murphy</v>
      </c>
      <c r="BB126" t="str">
        <f>IF(BA126="","",IFERROR(INDEX(wFirst,57)&amp;"",""))</f>
        <v>Rhys</v>
      </c>
      <c r="BC126" t="str">
        <f>IF(BA126="","",IFERROR(INDEX(wClass,57)&amp;"",""))</f>
        <v>11S/Sc1</v>
      </c>
      <c r="BD126">
        <f>IF(BA126="","",IFERROR(INDEX(wKS2,57)+0,""))</f>
        <v>8</v>
      </c>
      <c r="BE126">
        <f>IF(BA126="","",IFERROR(INDEX(wTests,57)+0,0))</f>
        <v>5</v>
      </c>
      <c r="BF126">
        <f>IF(BA126="","",IFERROR(INDEX(wMean,57)+0,""))</f>
        <v>8</v>
      </c>
      <c r="BG126">
        <f>IF(BA126="","",IFERROR(INDEX(wVs,57)+0,""))</f>
        <v>0</v>
      </c>
      <c r="BH126" t="str">
        <f>IF(OR(BA126="",wLatest=""),"",IFERROR(INDEX(wData,57,MATCH(wLatest&amp;CHAR(10)&amp;"Stanine",wHdr,0))+0,""))</f>
        <v/>
      </c>
      <c r="BI126" t="str">
        <f>IF(BA126="","",IF(AND(ISNUMBER(BG126),N(BE126)&gt;=WlMinTests,BG126&lt;=-WlGap),"Below KS2 starting point",IF(AND(NOT(ISNUMBER(BD126)),ISNUMBER(BF126),N(BE126)&gt;=WlMinTests,BF126&lt;=WlLowMean),"Low results, no KS2 data","")))</f>
        <v/>
      </c>
      <c r="BJ126" t="str">
        <f>IF(BI126="","",IF(BI126="Below KS2 starting point",BG126,100+BF126)+ROW()/1000000)</f>
        <v/>
      </c>
    </row>
    <row r="127">
      <c r="H127" t="str">
        <f>IFERROR(INDEX(tblY7[Class],ROWS(H$10:H127))&amp;"","")</f>
        <v>7A/Sc2</v>
      </c>
      <c r="I127" t="str">
        <f>IF(H127="","",IF(COUNTIF(H$10:H127,H127)=1,COUNTIF(H$10:H$609,"&lt;"&amp;H127)+1,""))</f>
        <v/>
      </c>
      <c r="J127" t="str">
        <f>IFERROR(INDEX(tblY8[Class],ROWS(J$10:J127))&amp;"","")</f>
        <v/>
      </c>
      <c r="K127" t="str">
        <f>IF(J127="","",IF(COUNTIF(J$10:J127,J127)=1,COUNTIF(J$10:J$609,"&lt;"&amp;J127)+1,""))</f>
        <v/>
      </c>
      <c r="L127" t="str">
        <f>IFERROR(INDEX(tblY9[Class],ROWS(L$10:L127))&amp;"","")</f>
        <v>9A/Sc3</v>
      </c>
      <c r="M127" t="str">
        <f>IF(L127="","",IF(COUNTIF(L$10:L127,L127)=1,COUNTIF(L$10:L$609,"&lt;"&amp;L127)+1,""))</f>
        <v/>
      </c>
      <c r="N127" t="str">
        <f>IFERROR(INDEX(tblY10[Class],ROWS(N$10:N127))&amp;"","")</f>
        <v/>
      </c>
      <c r="O127" t="str">
        <f>IF(N127="","",IF(COUNTIF(N$10:N127,N127)=1,COUNTIF(N$10:N$609,"&lt;"&amp;N127)+1,""))</f>
        <v/>
      </c>
      <c r="P127" t="str">
        <f>IFERROR(INDEX(tblY11[Class],ROWS(P$10:P127))&amp;"","")</f>
        <v/>
      </c>
      <c r="Q127" t="str">
        <f>IF(P127="","",IF(COUNTIF(P$10:P127,P127)=1,COUNTIF(P$10:P$609,"&lt;"&amp;P127)+1,""))</f>
        <v/>
      </c>
      <c r="BA127" t="str">
        <f>IFERROR(INDEX(wLast,58)&amp;"","")</f>
        <v>Murphy</v>
      </c>
      <c r="BB127" t="str">
        <f>IF(BA127="","",IFERROR(INDEX(wFirst,58)&amp;"",""))</f>
        <v>Tomasz</v>
      </c>
      <c r="BC127" t="str">
        <f>IF(BA127="","",IFERROR(INDEX(wClass,58)&amp;"",""))</f>
        <v>11S/Sc3</v>
      </c>
      <c r="BD127">
        <f>IF(BA127="","",IFERROR(INDEX(wKS2,58)+0,""))</f>
        <v>6</v>
      </c>
      <c r="BE127">
        <f>IF(BA127="","",IFERROR(INDEX(wTests,58)+0,0))</f>
        <v>6</v>
      </c>
      <c r="BF127">
        <f>IF(BA127="","",IFERROR(INDEX(wMean,58)+0,""))</f>
        <v>6.5</v>
      </c>
      <c r="BG127">
        <f>IF(BA127="","",IFERROR(INDEX(wVs,58)+0,""))</f>
        <v>0.5</v>
      </c>
      <c r="BH127">
        <f>IF(OR(BA127="",wLatest=""),"",IFERROR(INDEX(wData,58,MATCH(wLatest&amp;CHAR(10)&amp;"Stanine",wHdr,0))+0,""))</f>
        <v>7</v>
      </c>
      <c r="BI127" t="str">
        <f>IF(BA127="","",IF(AND(ISNUMBER(BG127),N(BE127)&gt;=WlMinTests,BG127&lt;=-WlGap),"Below KS2 starting point",IF(AND(NOT(ISNUMBER(BD127)),ISNUMBER(BF127),N(BE127)&gt;=WlMinTests,BF127&lt;=WlLowMean),"Low results, no KS2 data","")))</f>
        <v/>
      </c>
      <c r="BJ127" t="str">
        <f>IF(BI127="","",IF(BI127="Below KS2 starting point",BG127,100+BF127)+ROW()/1000000)</f>
        <v/>
      </c>
    </row>
    <row r="128">
      <c r="H128" t="str">
        <f>IFERROR(INDEX(tblY7[Class],ROWS(H$10:H128))&amp;"","")</f>
        <v>7A/Sc1</v>
      </c>
      <c r="I128" t="str">
        <f>IF(H128="","",IF(COUNTIF(H$10:H128,H128)=1,COUNTIF(H$10:H$609,"&lt;"&amp;H128)+1,""))</f>
        <v/>
      </c>
      <c r="J128" t="str">
        <f>IFERROR(INDEX(tblY8[Class],ROWS(J$10:J128))&amp;"","")</f>
        <v/>
      </c>
      <c r="K128" t="str">
        <f>IF(J128="","",IF(COUNTIF(J$10:J128,J128)=1,COUNTIF(J$10:J$609,"&lt;"&amp;J128)+1,""))</f>
        <v/>
      </c>
      <c r="L128" t="str">
        <f>IFERROR(INDEX(tblY9[Class],ROWS(L$10:L128))&amp;"","")</f>
        <v>9A/Sc1</v>
      </c>
      <c r="M128" t="str">
        <f>IF(L128="","",IF(COUNTIF(L$10:L128,L128)=1,COUNTIF(L$10:L$609,"&lt;"&amp;L128)+1,""))</f>
        <v/>
      </c>
      <c r="N128" t="str">
        <f>IFERROR(INDEX(tblY10[Class],ROWS(N$10:N128))&amp;"","")</f>
        <v/>
      </c>
      <c r="O128" t="str">
        <f>IF(N128="","",IF(COUNTIF(N$10:N128,N128)=1,COUNTIF(N$10:N$609,"&lt;"&amp;N128)+1,""))</f>
        <v/>
      </c>
      <c r="P128" t="str">
        <f>IFERROR(INDEX(tblY11[Class],ROWS(P$10:P128))&amp;"","")</f>
        <v/>
      </c>
      <c r="Q128" t="str">
        <f>IF(P128="","",IF(COUNTIF(P$10:P128,P128)=1,COUNTIF(P$10:P$609,"&lt;"&amp;P128)+1,""))</f>
        <v/>
      </c>
      <c r="BA128" t="str">
        <f>IFERROR(INDEX(wLast,59)&amp;"","")</f>
        <v>Nowak</v>
      </c>
      <c r="BB128" t="str">
        <f>IF(BA128="","",IFERROR(INDEX(wFirst,59)&amp;"",""))</f>
        <v>Ibrahim</v>
      </c>
      <c r="BC128" t="str">
        <f>IF(BA128="","",IFERROR(INDEX(wClass,59)&amp;"",""))</f>
        <v>11S/Sc3</v>
      </c>
      <c r="BD128">
        <f>IF(BA128="","",IFERROR(INDEX(wKS2,59)+0,""))</f>
        <v>6</v>
      </c>
      <c r="BE128">
        <f>IF(BA128="","",IFERROR(INDEX(wTests,59)+0,0))</f>
        <v>6</v>
      </c>
      <c r="BF128">
        <f>IF(BA128="","",IFERROR(INDEX(wMean,59)+0,""))</f>
        <v>4.66666666666667</v>
      </c>
      <c r="BG128">
        <f>IF(BA128="","",IFERROR(INDEX(wVs,59)+0,""))</f>
        <v>-1.33333333333333</v>
      </c>
      <c r="BH128">
        <f>IF(OR(BA128="",wLatest=""),"",IFERROR(INDEX(wData,59,MATCH(wLatest&amp;CHAR(10)&amp;"Stanine",wHdr,0))+0,""))</f>
        <v>6</v>
      </c>
      <c r="BI128" t="str">
        <f>IF(BA128="","",IF(AND(ISNUMBER(BG128),N(BE128)&gt;=WlMinTests,BG128&lt;=-WlGap),"Below KS2 starting point",IF(AND(NOT(ISNUMBER(BD128)),ISNUMBER(BF128),N(BE128)&gt;=WlMinTests,BF128&lt;=WlLowMean),"Low results, no KS2 data","")))</f>
        <v/>
      </c>
      <c r="BJ128" t="str">
        <f>IF(BI128="","",IF(BI128="Below KS2 starting point",BG128,100+BF128)+ROW()/1000000)</f>
        <v/>
      </c>
    </row>
    <row r="129">
      <c r="H129" t="str">
        <f>IFERROR(INDEX(tblY7[Class],ROWS(H$10:H129))&amp;"","")</f>
        <v>7A/Sc1</v>
      </c>
      <c r="I129" t="str">
        <f>IF(H129="","",IF(COUNTIF(H$10:H129,H129)=1,COUNTIF(H$10:H$609,"&lt;"&amp;H129)+1,""))</f>
        <v/>
      </c>
      <c r="J129" t="str">
        <f>IFERROR(INDEX(tblY8[Class],ROWS(J$10:J129))&amp;"","")</f>
        <v/>
      </c>
      <c r="K129" t="str">
        <f>IF(J129="","",IF(COUNTIF(J$10:J129,J129)=1,COUNTIF(J$10:J$609,"&lt;"&amp;J129)+1,""))</f>
        <v/>
      </c>
      <c r="L129" t="str">
        <f>IFERROR(INDEX(tblY9[Class],ROWS(L$10:L129))&amp;"","")</f>
        <v>9B/Sc1</v>
      </c>
      <c r="M129" t="str">
        <f>IF(L129="","",IF(COUNTIF(L$10:L129,L129)=1,COUNTIF(L$10:L$609,"&lt;"&amp;L129)+1,""))</f>
        <v/>
      </c>
      <c r="N129" t="str">
        <f>IFERROR(INDEX(tblY10[Class],ROWS(N$10:N129))&amp;"","")</f>
        <v/>
      </c>
      <c r="O129" t="str">
        <f>IF(N129="","",IF(COUNTIF(N$10:N129,N129)=1,COUNTIF(N$10:N$609,"&lt;"&amp;N129)+1,""))</f>
        <v/>
      </c>
      <c r="P129" t="str">
        <f>IFERROR(INDEX(tblY11[Class],ROWS(P$10:P129))&amp;"","")</f>
        <v/>
      </c>
      <c r="Q129" t="str">
        <f>IF(P129="","",IF(COUNTIF(P$10:P129,P129)=1,COUNTIF(P$10:P$609,"&lt;"&amp;P129)+1,""))</f>
        <v/>
      </c>
      <c r="BA129" t="str">
        <f>IFERROR(INDEX(wLast,60)&amp;"","")</f>
        <v>Okafor</v>
      </c>
      <c r="BB129" t="str">
        <f>IF(BA129="","",IFERROR(INDEX(wFirst,60)&amp;"",""))</f>
        <v>Ella</v>
      </c>
      <c r="BC129" t="str">
        <f>IF(BA129="","",IFERROR(INDEX(wClass,60)&amp;"",""))</f>
        <v>11S/Sc4</v>
      </c>
      <c r="BD129">
        <f>IF(BA129="","",IFERROR(INDEX(wKS2,60)+0,""))</f>
        <v>3</v>
      </c>
      <c r="BE129">
        <f>IF(BA129="","",IFERROR(INDEX(wTests,60)+0,0))</f>
        <v>5</v>
      </c>
      <c r="BF129">
        <f>IF(BA129="","",IFERROR(INDEX(wMean,60)+0,""))</f>
        <v>3</v>
      </c>
      <c r="BG129">
        <f>IF(BA129="","",IFERROR(INDEX(wVs,60)+0,""))</f>
        <v>0</v>
      </c>
      <c r="BH129">
        <f>IF(OR(BA129="",wLatest=""),"",IFERROR(INDEX(wData,60,MATCH(wLatest&amp;CHAR(10)&amp;"Stanine",wHdr,0))+0,""))</f>
        <v>3</v>
      </c>
      <c r="BI129" t="str">
        <f>IF(BA129="","",IF(AND(ISNUMBER(BG129),N(BE129)&gt;=WlMinTests,BG129&lt;=-WlGap),"Below KS2 starting point",IF(AND(NOT(ISNUMBER(BD129)),ISNUMBER(BF129),N(BE129)&gt;=WlMinTests,BF129&lt;=WlLowMean),"Low results, no KS2 data","")))</f>
        <v/>
      </c>
      <c r="BJ129" t="str">
        <f>IF(BI129="","",IF(BI129="Below KS2 starting point",BG129,100+BF129)+ROW()/1000000)</f>
        <v/>
      </c>
    </row>
    <row r="130">
      <c r="H130" t="str">
        <f>IFERROR(INDEX(tblY7[Class],ROWS(H$10:H130))&amp;"","")</f>
        <v>7B/Sc1</v>
      </c>
      <c r="I130" t="str">
        <f>IF(H130="","",IF(COUNTIF(H$10:H130,H130)=1,COUNTIF(H$10:H$609,"&lt;"&amp;H130)+1,""))</f>
        <v/>
      </c>
      <c r="J130" t="str">
        <f>IFERROR(INDEX(tblY8[Class],ROWS(J$10:J130))&amp;"","")</f>
        <v/>
      </c>
      <c r="K130" t="str">
        <f>IF(J130="","",IF(COUNTIF(J$10:J130,J130)=1,COUNTIF(J$10:J$609,"&lt;"&amp;J130)+1,""))</f>
        <v/>
      </c>
      <c r="L130" t="str">
        <f>IFERROR(INDEX(tblY9[Class],ROWS(L$10:L130))&amp;"","")</f>
        <v>9A/Sc1</v>
      </c>
      <c r="M130" t="str">
        <f>IF(L130="","",IF(COUNTIF(L$10:L130,L130)=1,COUNTIF(L$10:L$609,"&lt;"&amp;L130)+1,""))</f>
        <v/>
      </c>
      <c r="N130" t="str">
        <f>IFERROR(INDEX(tblY10[Class],ROWS(N$10:N130))&amp;"","")</f>
        <v/>
      </c>
      <c r="O130" t="str">
        <f>IF(N130="","",IF(COUNTIF(N$10:N130,N130)=1,COUNTIF(N$10:N$609,"&lt;"&amp;N130)+1,""))</f>
        <v/>
      </c>
      <c r="P130" t="str">
        <f>IFERROR(INDEX(tblY11[Class],ROWS(P$10:P130))&amp;"","")</f>
        <v/>
      </c>
      <c r="Q130" t="str">
        <f>IF(P130="","",IF(COUNTIF(P$10:P130,P130)=1,COUNTIF(P$10:P$609,"&lt;"&amp;P130)+1,""))</f>
        <v/>
      </c>
      <c r="BA130" t="str">
        <f>IFERROR(INDEX(wLast,61)&amp;"","")</f>
        <v>Okafor</v>
      </c>
      <c r="BB130" t="str">
        <f>IF(BA130="","",IFERROR(INDEX(wFirst,61)&amp;"",""))</f>
        <v>Harry</v>
      </c>
      <c r="BC130" t="str">
        <f>IF(BA130="","",IFERROR(INDEX(wClass,61)&amp;"",""))</f>
        <v>11S/Sc3</v>
      </c>
      <c r="BD130">
        <f>IF(BA130="","",IFERROR(INDEX(wKS2,61)+0,""))</f>
        <v>9</v>
      </c>
      <c r="BE130">
        <f>IF(BA130="","",IFERROR(INDEX(wTests,61)+0,0))</f>
        <v>6</v>
      </c>
      <c r="BF130">
        <f>IF(BA130="","",IFERROR(INDEX(wMean,61)+0,""))</f>
        <v>7.33333333333333</v>
      </c>
      <c r="BG130">
        <f>IF(BA130="","",IFERROR(INDEX(wVs,61)+0,""))</f>
        <v>-1.66666666666667</v>
      </c>
      <c r="BH130">
        <f>IF(OR(BA130="",wLatest=""),"",IFERROR(INDEX(wData,61,MATCH(wLatest&amp;CHAR(10)&amp;"Stanine",wHdr,0))+0,""))</f>
        <v>7</v>
      </c>
      <c r="BI130" t="str">
        <f>IF(BA130="","",IF(AND(ISNUMBER(BG130),N(BE130)&gt;=WlMinTests,BG130&lt;=-WlGap),"Below KS2 starting point",IF(AND(NOT(ISNUMBER(BD130)),ISNUMBER(BF130),N(BE130)&gt;=WlMinTests,BF130&lt;=WlLowMean),"Low results, no KS2 data","")))</f>
        <v>Below KS2 starting point</v>
      </c>
      <c r="BJ130">
        <f>IF(BI130="","",IF(BI130="Below KS2 starting point",BG130,100+BF130)+ROW()/1000000)</f>
        <v>-1.66653666666667</v>
      </c>
    </row>
    <row r="131">
      <c r="H131" t="str">
        <f>IFERROR(INDEX(tblY7[Class],ROWS(H$10:H131))&amp;"","")</f>
        <v>7B/Sc3</v>
      </c>
      <c r="I131" t="str">
        <f>IF(H131="","",IF(COUNTIF(H$10:H131,H131)=1,COUNTIF(H$10:H$609,"&lt;"&amp;H131)+1,""))</f>
        <v/>
      </c>
      <c r="J131" t="str">
        <f>IFERROR(INDEX(tblY8[Class],ROWS(J$10:J131))&amp;"","")</f>
        <v/>
      </c>
      <c r="K131" t="str">
        <f>IF(J131="","",IF(COUNTIF(J$10:J131,J131)=1,COUNTIF(J$10:J$609,"&lt;"&amp;J131)+1,""))</f>
        <v/>
      </c>
      <c r="L131" t="str">
        <f>IFERROR(INDEX(tblY9[Class],ROWS(L$10:L131))&amp;"","")</f>
        <v>9B/Sc2</v>
      </c>
      <c r="M131" t="str">
        <f>IF(L131="","",IF(COUNTIF(L$10:L131,L131)=1,COUNTIF(L$10:L$609,"&lt;"&amp;L131)+1,""))</f>
        <v/>
      </c>
      <c r="N131" t="str">
        <f>IFERROR(INDEX(tblY10[Class],ROWS(N$10:N131))&amp;"","")</f>
        <v/>
      </c>
      <c r="O131" t="str">
        <f>IF(N131="","",IF(COUNTIF(N$10:N131,N131)=1,COUNTIF(N$10:N$609,"&lt;"&amp;N131)+1,""))</f>
        <v/>
      </c>
      <c r="P131" t="str">
        <f>IFERROR(INDEX(tblY11[Class],ROWS(P$10:P131))&amp;"","")</f>
        <v/>
      </c>
      <c r="Q131" t="str">
        <f>IF(P131="","",IF(COUNTIF(P$10:P131,P131)=1,COUNTIF(P$10:P$609,"&lt;"&amp;P131)+1,""))</f>
        <v/>
      </c>
      <c r="BA131" t="str">
        <f>IFERROR(INDEX(wLast,62)&amp;"","")</f>
        <v>Okafor</v>
      </c>
      <c r="BB131" t="str">
        <f>IF(BA131="","",IFERROR(INDEX(wFirst,62)&amp;"",""))</f>
        <v>Keira</v>
      </c>
      <c r="BC131" t="str">
        <f>IF(BA131="","",IFERROR(INDEX(wClass,62)&amp;"",""))</f>
        <v>11S/Sc4</v>
      </c>
      <c r="BD131">
        <f>IF(BA131="","",IFERROR(INDEX(wKS2,62)+0,""))</f>
        <v>5</v>
      </c>
      <c r="BE131">
        <f>IF(BA131="","",IFERROR(INDEX(wTests,62)+0,0))</f>
        <v>5</v>
      </c>
      <c r="BF131">
        <f>IF(BA131="","",IFERROR(INDEX(wMean,62)+0,""))</f>
        <v>5.6</v>
      </c>
      <c r="BG131">
        <f>IF(BA131="","",IFERROR(INDEX(wVs,62)+0,""))</f>
        <v>0.6</v>
      </c>
      <c r="BH131">
        <f>IF(OR(BA131="",wLatest=""),"",IFERROR(INDEX(wData,62,MATCH(wLatest&amp;CHAR(10)&amp;"Stanine",wHdr,0))+0,""))</f>
        <v>6</v>
      </c>
      <c r="BI131" t="str">
        <f>IF(BA131="","",IF(AND(ISNUMBER(BG131),N(BE131)&gt;=WlMinTests,BG131&lt;=-WlGap),"Below KS2 starting point",IF(AND(NOT(ISNUMBER(BD131)),ISNUMBER(BF131),N(BE131)&gt;=WlMinTests,BF131&lt;=WlLowMean),"Low results, no KS2 data","")))</f>
        <v/>
      </c>
      <c r="BJ131" t="str">
        <f>IF(BI131="","",IF(BI131="Below KS2 starting point",BG131,100+BF131)+ROW()/1000000)</f>
        <v/>
      </c>
    </row>
    <row r="132">
      <c r="H132" t="str">
        <f>IFERROR(INDEX(tblY7[Class],ROWS(H$10:H132))&amp;"","")</f>
        <v>7A/Sc2</v>
      </c>
      <c r="I132" t="str">
        <f>IF(H132="","",IF(COUNTIF(H$10:H132,H132)=1,COUNTIF(H$10:H$609,"&lt;"&amp;H132)+1,""))</f>
        <v/>
      </c>
      <c r="J132" t="str">
        <f>IFERROR(INDEX(tblY8[Class],ROWS(J$10:J132))&amp;"","")</f>
        <v/>
      </c>
      <c r="K132" t="str">
        <f>IF(J132="","",IF(COUNTIF(J$10:J132,J132)=1,COUNTIF(J$10:J$609,"&lt;"&amp;J132)+1,""))</f>
        <v/>
      </c>
      <c r="L132" t="str">
        <f>IFERROR(INDEX(tblY9[Class],ROWS(L$10:L132))&amp;"","")</f>
        <v>9B/Sc2</v>
      </c>
      <c r="M132" t="str">
        <f>IF(L132="","",IF(COUNTIF(L$10:L132,L132)=1,COUNTIF(L$10:L$609,"&lt;"&amp;L132)+1,""))</f>
        <v/>
      </c>
      <c r="N132" t="str">
        <f>IFERROR(INDEX(tblY10[Class],ROWS(N$10:N132))&amp;"","")</f>
        <v/>
      </c>
      <c r="O132" t="str">
        <f>IF(N132="","",IF(COUNTIF(N$10:N132,N132)=1,COUNTIF(N$10:N$609,"&lt;"&amp;N132)+1,""))</f>
        <v/>
      </c>
      <c r="P132" t="str">
        <f>IFERROR(INDEX(tblY11[Class],ROWS(P$10:P132))&amp;"","")</f>
        <v/>
      </c>
      <c r="Q132" t="str">
        <f>IF(P132="","",IF(COUNTIF(P$10:P132,P132)=1,COUNTIF(P$10:P$609,"&lt;"&amp;P132)+1,""))</f>
        <v/>
      </c>
      <c r="BA132" t="str">
        <f>IFERROR(INDEX(wLast,63)&amp;"","")</f>
        <v>Okafor</v>
      </c>
      <c r="BB132" t="str">
        <f>IF(BA132="","",IFERROR(INDEX(wFirst,63)&amp;"",""))</f>
        <v>Lewis</v>
      </c>
      <c r="BC132" t="str">
        <f>IF(BA132="","",IFERROR(INDEX(wClass,63)&amp;"",""))</f>
        <v>11S/Sc5</v>
      </c>
      <c r="BD132">
        <f>IF(BA132="","",IFERROR(INDEX(wKS2,63)+0,""))</f>
        <v>3</v>
      </c>
      <c r="BE132">
        <f>IF(BA132="","",IFERROR(INDEX(wTests,63)+0,0))</f>
        <v>6</v>
      </c>
      <c r="BF132">
        <f>IF(BA132="","",IFERROR(INDEX(wMean,63)+0,""))</f>
        <v>2.66666666666667</v>
      </c>
      <c r="BG132">
        <f>IF(BA132="","",IFERROR(INDEX(wVs,63)+0,""))</f>
        <v>-0.333333333333334</v>
      </c>
      <c r="BH132">
        <f>IF(OR(BA132="",wLatest=""),"",IFERROR(INDEX(wData,63,MATCH(wLatest&amp;CHAR(10)&amp;"Stanine",wHdr,0))+0,""))</f>
        <v>2</v>
      </c>
      <c r="BI132" t="str">
        <f>IF(BA132="","",IF(AND(ISNUMBER(BG132),N(BE132)&gt;=WlMinTests,BG132&lt;=-WlGap),"Below KS2 starting point",IF(AND(NOT(ISNUMBER(BD132)),ISNUMBER(BF132),N(BE132)&gt;=WlMinTests,BF132&lt;=WlLowMean),"Low results, no KS2 data","")))</f>
        <v/>
      </c>
      <c r="BJ132" t="str">
        <f>IF(BI132="","",IF(BI132="Below KS2 starting point",BG132,100+BF132)+ROW()/1000000)</f>
        <v/>
      </c>
    </row>
    <row r="133">
      <c r="H133" t="str">
        <f>IFERROR(INDEX(tblY7[Class],ROWS(H$10:H133))&amp;"","")</f>
        <v>7A/Sc1</v>
      </c>
      <c r="I133" t="str">
        <f>IF(H133="","",IF(COUNTIF(H$10:H133,H133)=1,COUNTIF(H$10:H$609,"&lt;"&amp;H133)+1,""))</f>
        <v/>
      </c>
      <c r="J133" t="str">
        <f>IFERROR(INDEX(tblY8[Class],ROWS(J$10:J133))&amp;"","")</f>
        <v/>
      </c>
      <c r="K133" t="str">
        <f>IF(J133="","",IF(COUNTIF(J$10:J133,J133)=1,COUNTIF(J$10:J$609,"&lt;"&amp;J133)+1,""))</f>
        <v/>
      </c>
      <c r="L133" t="str">
        <f>IFERROR(INDEX(tblY9[Class],ROWS(L$10:L133))&amp;"","")</f>
        <v>9A/Sc2</v>
      </c>
      <c r="M133" t="str">
        <f>IF(L133="","",IF(COUNTIF(L$10:L133,L133)=1,COUNTIF(L$10:L$609,"&lt;"&amp;L133)+1,""))</f>
        <v/>
      </c>
      <c r="N133" t="str">
        <f>IFERROR(INDEX(tblY10[Class],ROWS(N$10:N133))&amp;"","")</f>
        <v/>
      </c>
      <c r="O133" t="str">
        <f>IF(N133="","",IF(COUNTIF(N$10:N133,N133)=1,COUNTIF(N$10:N$609,"&lt;"&amp;N133)+1,""))</f>
        <v/>
      </c>
      <c r="P133" t="str">
        <f>IFERROR(INDEX(tblY11[Class],ROWS(P$10:P133))&amp;"","")</f>
        <v/>
      </c>
      <c r="Q133" t="str">
        <f>IF(P133="","",IF(COUNTIF(P$10:P133,P133)=1,COUNTIF(P$10:P$609,"&lt;"&amp;P133)+1,""))</f>
        <v/>
      </c>
      <c r="BA133" t="str">
        <f>IFERROR(INDEX(wLast,64)&amp;"","")</f>
        <v>Parker</v>
      </c>
      <c r="BB133" t="str">
        <f>IF(BA133="","",IFERROR(INDEX(wFirst,64)&amp;"",""))</f>
        <v>Poppy</v>
      </c>
      <c r="BC133" t="str">
        <f>IF(BA133="","",IFERROR(INDEX(wClass,64)&amp;"",""))</f>
        <v>11S/Sc1</v>
      </c>
      <c r="BD133">
        <f>IF(BA133="","",IFERROR(INDEX(wKS2,64)+0,""))</f>
        <v>6</v>
      </c>
      <c r="BE133">
        <f>IF(BA133="","",IFERROR(INDEX(wTests,64)+0,0))</f>
        <v>5</v>
      </c>
      <c r="BF133">
        <f>IF(BA133="","",IFERROR(INDEX(wMean,64)+0,""))</f>
        <v>5</v>
      </c>
      <c r="BG133">
        <f>IF(BA133="","",IFERROR(INDEX(wVs,64)+0,""))</f>
        <v>-1</v>
      </c>
      <c r="BH133">
        <f>IF(OR(BA133="",wLatest=""),"",IFERROR(INDEX(wData,64,MATCH(wLatest&amp;CHAR(10)&amp;"Stanine",wHdr,0))+0,""))</f>
        <v>5</v>
      </c>
      <c r="BI133" t="str">
        <f>IF(BA133="","",IF(AND(ISNUMBER(BG133),N(BE133)&gt;=WlMinTests,BG133&lt;=-WlGap),"Below KS2 starting point",IF(AND(NOT(ISNUMBER(BD133)),ISNUMBER(BF133),N(BE133)&gt;=WlMinTests,BF133&lt;=WlLowMean),"Low results, no KS2 data","")))</f>
        <v/>
      </c>
      <c r="BJ133" t="str">
        <f>IF(BI133="","",IF(BI133="Below KS2 starting point",BG133,100+BF133)+ROW()/1000000)</f>
        <v/>
      </c>
    </row>
    <row r="134">
      <c r="H134" t="str">
        <f>IFERROR(INDEX(tblY7[Class],ROWS(H$10:H134))&amp;"","")</f>
        <v>7B/Sc2</v>
      </c>
      <c r="I134" t="str">
        <f>IF(H134="","",IF(COUNTIF(H$10:H134,H134)=1,COUNTIF(H$10:H$609,"&lt;"&amp;H134)+1,""))</f>
        <v/>
      </c>
      <c r="J134" t="str">
        <f>IFERROR(INDEX(tblY8[Class],ROWS(J$10:J134))&amp;"","")</f>
        <v/>
      </c>
      <c r="K134" t="str">
        <f>IF(J134="","",IF(COUNTIF(J$10:J134,J134)=1,COUNTIF(J$10:J$609,"&lt;"&amp;J134)+1,""))</f>
        <v/>
      </c>
      <c r="L134" t="str">
        <f>IFERROR(INDEX(tblY9[Class],ROWS(L$10:L134))&amp;"","")</f>
        <v>9A/Sc3</v>
      </c>
      <c r="M134" t="str">
        <f>IF(L134="","",IF(COUNTIF(L$10:L134,L134)=1,COUNTIF(L$10:L$609,"&lt;"&amp;L134)+1,""))</f>
        <v/>
      </c>
      <c r="N134" t="str">
        <f>IFERROR(INDEX(tblY10[Class],ROWS(N$10:N134))&amp;"","")</f>
        <v/>
      </c>
      <c r="O134" t="str">
        <f>IF(N134="","",IF(COUNTIF(N$10:N134,N134)=1,COUNTIF(N$10:N$609,"&lt;"&amp;N134)+1,""))</f>
        <v/>
      </c>
      <c r="P134" t="str">
        <f>IFERROR(INDEX(tblY11[Class],ROWS(P$10:P134))&amp;"","")</f>
        <v/>
      </c>
      <c r="Q134" t="str">
        <f>IF(P134="","",IF(COUNTIF(P$10:P134,P134)=1,COUNTIF(P$10:P$609,"&lt;"&amp;P134)+1,""))</f>
        <v/>
      </c>
      <c r="BA134" t="str">
        <f>IFERROR(INDEX(wLast,65)&amp;"","")</f>
        <v>Patel</v>
      </c>
      <c r="BB134" t="str">
        <f>IF(BA134="","",IFERROR(INDEX(wFirst,65)&amp;"",""))</f>
        <v>George</v>
      </c>
      <c r="BC134" t="str">
        <f>IF(BA134="","",IFERROR(INDEX(wClass,65)&amp;"",""))</f>
        <v>11S/Sc1</v>
      </c>
      <c r="BD134">
        <f>IF(BA134="","",IFERROR(INDEX(wKS2,65)+0,""))</f>
        <v>9</v>
      </c>
      <c r="BE134">
        <f>IF(BA134="","",IFERROR(INDEX(wTests,65)+0,0))</f>
        <v>6</v>
      </c>
      <c r="BF134">
        <f>IF(BA134="","",IFERROR(INDEX(wMean,65)+0,""))</f>
        <v>7.83333333333333</v>
      </c>
      <c r="BG134">
        <f>IF(BA134="","",IFERROR(INDEX(wVs,65)+0,""))</f>
        <v>-1.16666666666667</v>
      </c>
      <c r="BH134">
        <f>IF(OR(BA134="",wLatest=""),"",IFERROR(INDEX(wData,65,MATCH(wLatest&amp;CHAR(10)&amp;"Stanine",wHdr,0))+0,""))</f>
        <v>9</v>
      </c>
      <c r="BI134" t="str">
        <f>IF(BA134="","",IF(AND(ISNUMBER(BG134),N(BE134)&gt;=WlMinTests,BG134&lt;=-WlGap),"Below KS2 starting point",IF(AND(NOT(ISNUMBER(BD134)),ISNUMBER(BF134),N(BE134)&gt;=WlMinTests,BF134&lt;=WlLowMean),"Low results, no KS2 data","")))</f>
        <v/>
      </c>
      <c r="BJ134" t="str">
        <f>IF(BI134="","",IF(BI134="Below KS2 starting point",BG134,100+BF134)+ROW()/1000000)</f>
        <v/>
      </c>
    </row>
    <row r="135">
      <c r="H135" t="str">
        <f>IFERROR(INDEX(tblY7[Class],ROWS(H$10:H135))&amp;"","")</f>
        <v>7A/Sc1</v>
      </c>
      <c r="I135" t="str">
        <f>IF(H135="","",IF(COUNTIF(H$10:H135,H135)=1,COUNTIF(H$10:H$609,"&lt;"&amp;H135)+1,""))</f>
        <v/>
      </c>
      <c r="J135" t="str">
        <f>IFERROR(INDEX(tblY8[Class],ROWS(J$10:J135))&amp;"","")</f>
        <v/>
      </c>
      <c r="K135" t="str">
        <f>IF(J135="","",IF(COUNTIF(J$10:J135,J135)=1,COUNTIF(J$10:J$609,"&lt;"&amp;J135)+1,""))</f>
        <v/>
      </c>
      <c r="L135" t="str">
        <f>IFERROR(INDEX(tblY9[Class],ROWS(L$10:L135))&amp;"","")</f>
        <v/>
      </c>
      <c r="M135" t="str">
        <f>IF(L135="","",IF(COUNTIF(L$10:L135,L135)=1,COUNTIF(L$10:L$609,"&lt;"&amp;L135)+1,""))</f>
        <v/>
      </c>
      <c r="N135" t="str">
        <f>IFERROR(INDEX(tblY10[Class],ROWS(N$10:N135))&amp;"","")</f>
        <v/>
      </c>
      <c r="O135" t="str">
        <f>IF(N135="","",IF(COUNTIF(N$10:N135,N135)=1,COUNTIF(N$10:N$609,"&lt;"&amp;N135)+1,""))</f>
        <v/>
      </c>
      <c r="P135" t="str">
        <f>IFERROR(INDEX(tblY11[Class],ROWS(P$10:P135))&amp;"","")</f>
        <v/>
      </c>
      <c r="Q135" t="str">
        <f>IF(P135="","",IF(COUNTIF(P$10:P135,P135)=1,COUNTIF(P$10:P$609,"&lt;"&amp;P135)+1,""))</f>
        <v/>
      </c>
      <c r="BA135" t="str">
        <f>IFERROR(INDEX(wLast,66)&amp;"","")</f>
        <v>Patel</v>
      </c>
      <c r="BB135" t="str">
        <f>IF(BA135="","",IFERROR(INDEX(wFirst,66)&amp;"",""))</f>
        <v>Ibrahim</v>
      </c>
      <c r="BC135" t="str">
        <f>IF(BA135="","",IFERROR(INDEX(wClass,66)&amp;"",""))</f>
        <v>11S/Sc1</v>
      </c>
      <c r="BD135">
        <f>IF(BA135="","",IFERROR(INDEX(wKS2,66)+0,""))</f>
        <v>6</v>
      </c>
      <c r="BE135">
        <f>IF(BA135="","",IFERROR(INDEX(wTests,66)+0,0))</f>
        <v>6</v>
      </c>
      <c r="BF135">
        <f>IF(BA135="","",IFERROR(INDEX(wMean,66)+0,""))</f>
        <v>7.33333333333333</v>
      </c>
      <c r="BG135">
        <f>IF(BA135="","",IFERROR(INDEX(wVs,66)+0,""))</f>
        <v>1.33333333333333</v>
      </c>
      <c r="BH135">
        <f>IF(OR(BA135="",wLatest=""),"",IFERROR(INDEX(wData,66,MATCH(wLatest&amp;CHAR(10)&amp;"Stanine",wHdr,0))+0,""))</f>
        <v>8</v>
      </c>
      <c r="BI135" t="str">
        <f>IF(BA135="","",IF(AND(ISNUMBER(BG135),N(BE135)&gt;=WlMinTests,BG135&lt;=-WlGap),"Below KS2 starting point",IF(AND(NOT(ISNUMBER(BD135)),ISNUMBER(BF135),N(BE135)&gt;=WlMinTests,BF135&lt;=WlLowMean),"Low results, no KS2 data","")))</f>
        <v/>
      </c>
      <c r="BJ135" t="str">
        <f>IF(BI135="","",IF(BI135="Below KS2 starting point",BG135,100+BF135)+ROW()/1000000)</f>
        <v/>
      </c>
    </row>
    <row r="136">
      <c r="H136" t="str">
        <f>IFERROR(INDEX(tblY7[Class],ROWS(H$10:H136))&amp;"","")</f>
        <v>7A/Sc1</v>
      </c>
      <c r="I136" t="str">
        <f>IF(H136="","",IF(COUNTIF(H$10:H136,H136)=1,COUNTIF(H$10:H$609,"&lt;"&amp;H136)+1,""))</f>
        <v/>
      </c>
      <c r="J136" t="str">
        <f>IFERROR(INDEX(tblY8[Class],ROWS(J$10:J136))&amp;"","")</f>
        <v/>
      </c>
      <c r="K136" t="str">
        <f>IF(J136="","",IF(COUNTIF(J$10:J136,J136)=1,COUNTIF(J$10:J$609,"&lt;"&amp;J136)+1,""))</f>
        <v/>
      </c>
      <c r="L136" t="str">
        <f>IFERROR(INDEX(tblY9[Class],ROWS(L$10:L136))&amp;"","")</f>
        <v/>
      </c>
      <c r="M136" t="str">
        <f>IF(L136="","",IF(COUNTIF(L$10:L136,L136)=1,COUNTIF(L$10:L$609,"&lt;"&amp;L136)+1,""))</f>
        <v/>
      </c>
      <c r="N136" t="str">
        <f>IFERROR(INDEX(tblY10[Class],ROWS(N$10:N136))&amp;"","")</f>
        <v/>
      </c>
      <c r="O136" t="str">
        <f>IF(N136="","",IF(COUNTIF(N$10:N136,N136)=1,COUNTIF(N$10:N$609,"&lt;"&amp;N136)+1,""))</f>
        <v/>
      </c>
      <c r="P136" t="str">
        <f>IFERROR(INDEX(tblY11[Class],ROWS(P$10:P136))&amp;"","")</f>
        <v/>
      </c>
      <c r="Q136" t="str">
        <f>IF(P136="","",IF(COUNTIF(P$10:P136,P136)=1,COUNTIF(P$10:P$609,"&lt;"&amp;P136)+1,""))</f>
        <v/>
      </c>
      <c r="BA136" t="str">
        <f>IFERROR(INDEX(wLast,67)&amp;"","")</f>
        <v>Pearson</v>
      </c>
      <c r="BB136" t="str">
        <f>IF(BA136="","",IFERROR(INDEX(wFirst,67)&amp;"",""))</f>
        <v>Dylan</v>
      </c>
      <c r="BC136" t="str">
        <f>IF(BA136="","",IFERROR(INDEX(wClass,67)&amp;"",""))</f>
        <v>11S/Sc1</v>
      </c>
      <c r="BD136">
        <f>IF(BA136="","",IFERROR(INDEX(wKS2,67)+0,""))</f>
        <v>6</v>
      </c>
      <c r="BE136">
        <f>IF(BA136="","",IFERROR(INDEX(wTests,67)+0,0))</f>
        <v>6</v>
      </c>
      <c r="BF136">
        <f>IF(BA136="","",IFERROR(INDEX(wMean,67)+0,""))</f>
        <v>5.83333333333333</v>
      </c>
      <c r="BG136">
        <f>IF(BA136="","",IFERROR(INDEX(wVs,67)+0,""))</f>
        <v>-0.166666666666667</v>
      </c>
      <c r="BH136">
        <f>IF(OR(BA136="",wLatest=""),"",IFERROR(INDEX(wData,67,MATCH(wLatest&amp;CHAR(10)&amp;"Stanine",wHdr,0))+0,""))</f>
        <v>5</v>
      </c>
      <c r="BI136" t="str">
        <f>IF(BA136="","",IF(AND(ISNUMBER(BG136),N(BE136)&gt;=WlMinTests,BG136&lt;=-WlGap),"Below KS2 starting point",IF(AND(NOT(ISNUMBER(BD136)),ISNUMBER(BF136),N(BE136)&gt;=WlMinTests,BF136&lt;=WlLowMean),"Low results, no KS2 data","")))</f>
        <v/>
      </c>
      <c r="BJ136" t="str">
        <f>IF(BI136="","",IF(BI136="Below KS2 starting point",BG136,100+BF136)+ROW()/1000000)</f>
        <v/>
      </c>
    </row>
    <row r="137">
      <c r="H137" t="str">
        <f>IFERROR(INDEX(tblY7[Class],ROWS(H$10:H137))&amp;"","")</f>
        <v>7A/Sc1</v>
      </c>
      <c r="I137" t="str">
        <f>IF(H137="","",IF(COUNTIF(H$10:H137,H137)=1,COUNTIF(H$10:H$609,"&lt;"&amp;H137)+1,""))</f>
        <v/>
      </c>
      <c r="J137" t="str">
        <f>IFERROR(INDEX(tblY8[Class],ROWS(J$10:J137))&amp;"","")</f>
        <v/>
      </c>
      <c r="K137" t="str">
        <f>IF(J137="","",IF(COUNTIF(J$10:J137,J137)=1,COUNTIF(J$10:J$609,"&lt;"&amp;J137)+1,""))</f>
        <v/>
      </c>
      <c r="L137" t="str">
        <f>IFERROR(INDEX(tblY9[Class],ROWS(L$10:L137))&amp;"","")</f>
        <v/>
      </c>
      <c r="M137" t="str">
        <f>IF(L137="","",IF(COUNTIF(L$10:L137,L137)=1,COUNTIF(L$10:L$609,"&lt;"&amp;L137)+1,""))</f>
        <v/>
      </c>
      <c r="N137" t="str">
        <f>IFERROR(INDEX(tblY10[Class],ROWS(N$10:N137))&amp;"","")</f>
        <v/>
      </c>
      <c r="O137" t="str">
        <f>IF(N137="","",IF(COUNTIF(N$10:N137,N137)=1,COUNTIF(N$10:N$609,"&lt;"&amp;N137)+1,""))</f>
        <v/>
      </c>
      <c r="P137" t="str">
        <f>IFERROR(INDEX(tblY11[Class],ROWS(P$10:P137))&amp;"","")</f>
        <v/>
      </c>
      <c r="Q137" t="str">
        <f>IF(P137="","",IF(COUNTIF(P$10:P137,P137)=1,COUNTIF(P$10:P$609,"&lt;"&amp;P137)+1,""))</f>
        <v/>
      </c>
      <c r="BA137" t="str">
        <f>IFERROR(INDEX(wLast,68)&amp;"","")</f>
        <v>Pearson</v>
      </c>
      <c r="BB137" t="str">
        <f>IF(BA137="","",IFERROR(INDEX(wFirst,68)&amp;"",""))</f>
        <v>Oscar</v>
      </c>
      <c r="BC137" t="str">
        <f>IF(BA137="","",IFERROR(INDEX(wClass,68)&amp;"",""))</f>
        <v>11S/Sc1</v>
      </c>
      <c r="BD137">
        <f>IF(BA137="","",IFERROR(INDEX(wKS2,68)+0,""))</f>
        <v>6</v>
      </c>
      <c r="BE137">
        <f>IF(BA137="","",IFERROR(INDEX(wTests,68)+0,0))</f>
        <v>6</v>
      </c>
      <c r="BF137">
        <f>IF(BA137="","",IFERROR(INDEX(wMean,68)+0,""))</f>
        <v>6.83333333333333</v>
      </c>
      <c r="BG137">
        <f>IF(BA137="","",IFERROR(INDEX(wVs,68)+0,""))</f>
        <v>0.833333333333333</v>
      </c>
      <c r="BH137">
        <f>IF(OR(BA137="",wLatest=""),"",IFERROR(INDEX(wData,68,MATCH(wLatest&amp;CHAR(10)&amp;"Stanine",wHdr,0))+0,""))</f>
        <v>7</v>
      </c>
      <c r="BI137" t="str">
        <f>IF(BA137="","",IF(AND(ISNUMBER(BG137),N(BE137)&gt;=WlMinTests,BG137&lt;=-WlGap),"Below KS2 starting point",IF(AND(NOT(ISNUMBER(BD137)),ISNUMBER(BF137),N(BE137)&gt;=WlMinTests,BF137&lt;=WlLowMean),"Low results, no KS2 data","")))</f>
        <v/>
      </c>
      <c r="BJ137" t="str">
        <f>IF(BI137="","",IF(BI137="Below KS2 starting point",BG137,100+BF137)+ROW()/1000000)</f>
        <v/>
      </c>
    </row>
    <row r="138">
      <c r="H138" t="str">
        <f>IFERROR(INDEX(tblY7[Class],ROWS(H$10:H138))&amp;"","")</f>
        <v>7A/Sc2</v>
      </c>
      <c r="I138" t="str">
        <f>IF(H138="","",IF(COUNTIF(H$10:H138,H138)=1,COUNTIF(H$10:H$609,"&lt;"&amp;H138)+1,""))</f>
        <v/>
      </c>
      <c r="J138" t="str">
        <f>IFERROR(INDEX(tblY8[Class],ROWS(J$10:J138))&amp;"","")</f>
        <v/>
      </c>
      <c r="K138" t="str">
        <f>IF(J138="","",IF(COUNTIF(J$10:J138,J138)=1,COUNTIF(J$10:J$609,"&lt;"&amp;J138)+1,""))</f>
        <v/>
      </c>
      <c r="L138" t="str">
        <f>IFERROR(INDEX(tblY9[Class],ROWS(L$10:L138))&amp;"","")</f>
        <v/>
      </c>
      <c r="M138" t="str">
        <f>IF(L138="","",IF(COUNTIF(L$10:L138,L138)=1,COUNTIF(L$10:L$609,"&lt;"&amp;L138)+1,""))</f>
        <v/>
      </c>
      <c r="N138" t="str">
        <f>IFERROR(INDEX(tblY10[Class],ROWS(N$10:N138))&amp;"","")</f>
        <v/>
      </c>
      <c r="O138" t="str">
        <f>IF(N138="","",IF(COUNTIF(N$10:N138,N138)=1,COUNTIF(N$10:N$609,"&lt;"&amp;N138)+1,""))</f>
        <v/>
      </c>
      <c r="P138" t="str">
        <f>IFERROR(INDEX(tblY11[Class],ROWS(P$10:P138))&amp;"","")</f>
        <v/>
      </c>
      <c r="Q138" t="str">
        <f>IF(P138="","",IF(COUNTIF(P$10:P138,P138)=1,COUNTIF(P$10:P$609,"&lt;"&amp;P138)+1,""))</f>
        <v/>
      </c>
      <c r="BA138" t="str">
        <f>IFERROR(INDEX(wLast,69)&amp;"","")</f>
        <v>Pearson</v>
      </c>
      <c r="BB138" t="str">
        <f>IF(BA138="","",IFERROR(INDEX(wFirst,69)&amp;"",""))</f>
        <v>Zofia</v>
      </c>
      <c r="BC138" t="str">
        <f>IF(BA138="","",IFERROR(INDEX(wClass,69)&amp;"",""))</f>
        <v>11S/Sc1</v>
      </c>
      <c r="BD138">
        <f>IF(BA138="","",IFERROR(INDEX(wKS2,69)+0,""))</f>
        <v>7</v>
      </c>
      <c r="BE138">
        <f>IF(BA138="","",IFERROR(INDEX(wTests,69)+0,0))</f>
        <v>6</v>
      </c>
      <c r="BF138">
        <f>IF(BA138="","",IFERROR(INDEX(wMean,69)+0,""))</f>
        <v>8.16666666666667</v>
      </c>
      <c r="BG138">
        <f>IF(BA138="","",IFERROR(INDEX(wVs,69)+0,""))</f>
        <v>1.16666666666667</v>
      </c>
      <c r="BH138">
        <f>IF(OR(BA138="",wLatest=""),"",IFERROR(INDEX(wData,69,MATCH(wLatest&amp;CHAR(10)&amp;"Stanine",wHdr,0))+0,""))</f>
        <v>9</v>
      </c>
      <c r="BI138" t="str">
        <f>IF(BA138="","",IF(AND(ISNUMBER(BG138),N(BE138)&gt;=WlMinTests,BG138&lt;=-WlGap),"Below KS2 starting point",IF(AND(NOT(ISNUMBER(BD138)),ISNUMBER(BF138),N(BE138)&gt;=WlMinTests,BF138&lt;=WlLowMean),"Low results, no KS2 data","")))</f>
        <v/>
      </c>
      <c r="BJ138" t="str">
        <f>IF(BI138="","",IF(BI138="Below KS2 starting point",BG138,100+BF138)+ROW()/1000000)</f>
        <v/>
      </c>
    </row>
    <row r="139">
      <c r="H139" t="str">
        <f>IFERROR(INDEX(tblY7[Class],ROWS(H$10:H139))&amp;"","")</f>
        <v>7B/Sc2</v>
      </c>
      <c r="I139" t="str">
        <f>IF(H139="","",IF(COUNTIF(H$10:H139,H139)=1,COUNTIF(H$10:H$609,"&lt;"&amp;H139)+1,""))</f>
        <v/>
      </c>
      <c r="J139" t="str">
        <f>IFERROR(INDEX(tblY8[Class],ROWS(J$10:J139))&amp;"","")</f>
        <v/>
      </c>
      <c r="K139" t="str">
        <f>IF(J139="","",IF(COUNTIF(J$10:J139,J139)=1,COUNTIF(J$10:J$609,"&lt;"&amp;J139)+1,""))</f>
        <v/>
      </c>
      <c r="L139" t="str">
        <f>IFERROR(INDEX(tblY9[Class],ROWS(L$10:L139))&amp;"","")</f>
        <v/>
      </c>
      <c r="M139" t="str">
        <f>IF(L139="","",IF(COUNTIF(L$10:L139,L139)=1,COUNTIF(L$10:L$609,"&lt;"&amp;L139)+1,""))</f>
        <v/>
      </c>
      <c r="N139" t="str">
        <f>IFERROR(INDEX(tblY10[Class],ROWS(N$10:N139))&amp;"","")</f>
        <v/>
      </c>
      <c r="O139" t="str">
        <f>IF(N139="","",IF(COUNTIF(N$10:N139,N139)=1,COUNTIF(N$10:N$609,"&lt;"&amp;N139)+1,""))</f>
        <v/>
      </c>
      <c r="P139" t="str">
        <f>IFERROR(INDEX(tblY11[Class],ROWS(P$10:P139))&amp;"","")</f>
        <v/>
      </c>
      <c r="Q139" t="str">
        <f>IF(P139="","",IF(COUNTIF(P$10:P139,P139)=1,COUNTIF(P$10:P$609,"&lt;"&amp;P139)+1,""))</f>
        <v/>
      </c>
      <c r="BA139" t="str">
        <f>IFERROR(INDEX(wLast,70)&amp;"","")</f>
        <v>Price</v>
      </c>
      <c r="BB139" t="str">
        <f>IF(BA139="","",IFERROR(INDEX(wFirst,70)&amp;"",""))</f>
        <v>Ethan</v>
      </c>
      <c r="BC139" t="str">
        <f>IF(BA139="","",IFERROR(INDEX(wClass,70)&amp;"",""))</f>
        <v>11S/Sc1</v>
      </c>
      <c r="BD139">
        <f>IF(BA139="","",IFERROR(INDEX(wKS2,70)+0,""))</f>
        <v>8</v>
      </c>
      <c r="BE139">
        <f>IF(BA139="","",IFERROR(INDEX(wTests,70)+0,0))</f>
        <v>6</v>
      </c>
      <c r="BF139">
        <f>IF(BA139="","",IFERROR(INDEX(wMean,70)+0,""))</f>
        <v>7.66666666666667</v>
      </c>
      <c r="BG139">
        <f>IF(BA139="","",IFERROR(INDEX(wVs,70)+0,""))</f>
        <v>-0.333333333333333</v>
      </c>
      <c r="BH139">
        <f>IF(OR(BA139="",wLatest=""),"",IFERROR(INDEX(wData,70,MATCH(wLatest&amp;CHAR(10)&amp;"Stanine",wHdr,0))+0,""))</f>
        <v>8</v>
      </c>
      <c r="BI139" t="str">
        <f>IF(BA139="","",IF(AND(ISNUMBER(BG139),N(BE139)&gt;=WlMinTests,BG139&lt;=-WlGap),"Below KS2 starting point",IF(AND(NOT(ISNUMBER(BD139)),ISNUMBER(BF139),N(BE139)&gt;=WlMinTests,BF139&lt;=WlLowMean),"Low results, no KS2 data","")))</f>
        <v/>
      </c>
      <c r="BJ139" t="str">
        <f>IF(BI139="","",IF(BI139="Below KS2 starting point",BG139,100+BF139)+ROW()/1000000)</f>
        <v/>
      </c>
    </row>
    <row r="140">
      <c r="H140" t="str">
        <f>IFERROR(INDEX(tblY7[Class],ROWS(H$10:H140))&amp;"","")</f>
        <v>7B/Sc3</v>
      </c>
      <c r="I140" t="str">
        <f>IF(H140="","",IF(COUNTIF(H$10:H140,H140)=1,COUNTIF(H$10:H$609,"&lt;"&amp;H140)+1,""))</f>
        <v/>
      </c>
      <c r="J140" t="str">
        <f>IFERROR(INDEX(tblY8[Class],ROWS(J$10:J140))&amp;"","")</f>
        <v/>
      </c>
      <c r="K140" t="str">
        <f>IF(J140="","",IF(COUNTIF(J$10:J140,J140)=1,COUNTIF(J$10:J$609,"&lt;"&amp;J140)+1,""))</f>
        <v/>
      </c>
      <c r="L140" t="str">
        <f>IFERROR(INDEX(tblY9[Class],ROWS(L$10:L140))&amp;"","")</f>
        <v/>
      </c>
      <c r="M140" t="str">
        <f>IF(L140="","",IF(COUNTIF(L$10:L140,L140)=1,COUNTIF(L$10:L$609,"&lt;"&amp;L140)+1,""))</f>
        <v/>
      </c>
      <c r="N140" t="str">
        <f>IFERROR(INDEX(tblY10[Class],ROWS(N$10:N140))&amp;"","")</f>
        <v/>
      </c>
      <c r="O140" t="str">
        <f>IF(N140="","",IF(COUNTIF(N$10:N140,N140)=1,COUNTIF(N$10:N$609,"&lt;"&amp;N140)+1,""))</f>
        <v/>
      </c>
      <c r="P140" t="str">
        <f>IFERROR(INDEX(tblY11[Class],ROWS(P$10:P140))&amp;"","")</f>
        <v/>
      </c>
      <c r="Q140" t="str">
        <f>IF(P140="","",IF(COUNTIF(P$10:P140,P140)=1,COUNTIF(P$10:P$609,"&lt;"&amp;P140)+1,""))</f>
        <v/>
      </c>
      <c r="BA140" t="str">
        <f>IFERROR(INDEX(wLast,71)&amp;"","")</f>
        <v>Price</v>
      </c>
      <c r="BB140" t="str">
        <f>IF(BA140="","",IFERROR(INDEX(wFirst,71)&amp;"",""))</f>
        <v>Nia</v>
      </c>
      <c r="BC140" t="str">
        <f>IF(BA140="","",IFERROR(INDEX(wClass,71)&amp;"",""))</f>
        <v>11S/Sc5</v>
      </c>
      <c r="BD140">
        <f>IF(BA140="","",IFERROR(INDEX(wKS2,71)+0,""))</f>
        <v>2</v>
      </c>
      <c r="BE140">
        <f>IF(BA140="","",IFERROR(INDEX(wTests,71)+0,0))</f>
        <v>6</v>
      </c>
      <c r="BF140">
        <f>IF(BA140="","",IFERROR(INDEX(wMean,71)+0,""))</f>
        <v>2.33333333333333</v>
      </c>
      <c r="BG140">
        <f>IF(BA140="","",IFERROR(INDEX(wVs,71)+0,""))</f>
        <v>0.333333333333334</v>
      </c>
      <c r="BH140">
        <f>IF(OR(BA140="",wLatest=""),"",IFERROR(INDEX(wData,71,MATCH(wLatest&amp;CHAR(10)&amp;"Stanine",wHdr,0))+0,""))</f>
        <v>2</v>
      </c>
      <c r="BI140" t="str">
        <f>IF(BA140="","",IF(AND(ISNUMBER(BG140),N(BE140)&gt;=WlMinTests,BG140&lt;=-WlGap),"Below KS2 starting point",IF(AND(NOT(ISNUMBER(BD140)),ISNUMBER(BF140),N(BE140)&gt;=WlMinTests,BF140&lt;=WlLowMean),"Low results, no KS2 data","")))</f>
        <v/>
      </c>
      <c r="BJ140" t="str">
        <f>IF(BI140="","",IF(BI140="Below KS2 starting point",BG140,100+BF140)+ROW()/1000000)</f>
        <v/>
      </c>
    </row>
    <row r="141">
      <c r="H141" t="str">
        <f>IFERROR(INDEX(tblY7[Class],ROWS(H$10:H141))&amp;"","")</f>
        <v/>
      </c>
      <c r="I141" t="str">
        <f>IF(H141="","",IF(COUNTIF(H$10:H141,H141)=1,COUNTIF(H$10:H$609,"&lt;"&amp;H141)+1,""))</f>
        <v/>
      </c>
      <c r="J141" t="str">
        <f>IFERROR(INDEX(tblY8[Class],ROWS(J$10:J141))&amp;"","")</f>
        <v/>
      </c>
      <c r="K141" t="str">
        <f>IF(J141="","",IF(COUNTIF(J$10:J141,J141)=1,COUNTIF(J$10:J$609,"&lt;"&amp;J141)+1,""))</f>
        <v/>
      </c>
      <c r="L141" t="str">
        <f>IFERROR(INDEX(tblY9[Class],ROWS(L$10:L141))&amp;"","")</f>
        <v/>
      </c>
      <c r="M141" t="str">
        <f>IF(L141="","",IF(COUNTIF(L$10:L141,L141)=1,COUNTIF(L$10:L$609,"&lt;"&amp;L141)+1,""))</f>
        <v/>
      </c>
      <c r="N141" t="str">
        <f>IFERROR(INDEX(tblY10[Class],ROWS(N$10:N141))&amp;"","")</f>
        <v/>
      </c>
      <c r="O141" t="str">
        <f>IF(N141="","",IF(COUNTIF(N$10:N141,N141)=1,COUNTIF(N$10:N$609,"&lt;"&amp;N141)+1,""))</f>
        <v/>
      </c>
      <c r="P141" t="str">
        <f>IFERROR(INDEX(tblY11[Class],ROWS(P$10:P141))&amp;"","")</f>
        <v/>
      </c>
      <c r="Q141" t="str">
        <f>IF(P141="","",IF(COUNTIF(P$10:P141,P141)=1,COUNTIF(P$10:P$609,"&lt;"&amp;P141)+1,""))</f>
        <v/>
      </c>
      <c r="BA141" t="str">
        <f>IFERROR(INDEX(wLast,72)&amp;"","")</f>
        <v>Roberts</v>
      </c>
      <c r="BB141" t="str">
        <f>IF(BA141="","",IFERROR(INDEX(wFirst,72)&amp;"",""))</f>
        <v>Amelia</v>
      </c>
      <c r="BC141" t="str">
        <f>IF(BA141="","",IFERROR(INDEX(wClass,72)&amp;"",""))</f>
        <v>11S/Sc4</v>
      </c>
      <c r="BD141">
        <f>IF(BA141="","",IFERROR(INDEX(wKS2,72)+0,""))</f>
        <v>5</v>
      </c>
      <c r="BE141">
        <f>IF(BA141="","",IFERROR(INDEX(wTests,72)+0,0))</f>
        <v>6</v>
      </c>
      <c r="BF141">
        <f>IF(BA141="","",IFERROR(INDEX(wMean,72)+0,""))</f>
        <v>4.33333333333333</v>
      </c>
      <c r="BG141">
        <f>IF(BA141="","",IFERROR(INDEX(wVs,72)+0,""))</f>
        <v>-0.666666666666667</v>
      </c>
      <c r="BH141">
        <f>IF(OR(BA141="",wLatest=""),"",IFERROR(INDEX(wData,72,MATCH(wLatest&amp;CHAR(10)&amp;"Stanine",wHdr,0))+0,""))</f>
        <v>6</v>
      </c>
      <c r="BI141" t="str">
        <f>IF(BA141="","",IF(AND(ISNUMBER(BG141),N(BE141)&gt;=WlMinTests,BG141&lt;=-WlGap),"Below KS2 starting point",IF(AND(NOT(ISNUMBER(BD141)),ISNUMBER(BF141),N(BE141)&gt;=WlMinTests,BF141&lt;=WlLowMean),"Low results, no KS2 data","")))</f>
        <v/>
      </c>
      <c r="BJ141" t="str">
        <f>IF(BI141="","",IF(BI141="Below KS2 starting point",BG141,100+BF141)+ROW()/1000000)</f>
        <v/>
      </c>
    </row>
    <row r="142">
      <c r="H142" t="str">
        <f>IFERROR(INDEX(tblY7[Class],ROWS(H$10:H142))&amp;"","")</f>
        <v/>
      </c>
      <c r="I142" t="str">
        <f>IF(H142="","",IF(COUNTIF(H$10:H142,H142)=1,COUNTIF(H$10:H$609,"&lt;"&amp;H142)+1,""))</f>
        <v/>
      </c>
      <c r="J142" t="str">
        <f>IFERROR(INDEX(tblY8[Class],ROWS(J$10:J142))&amp;"","")</f>
        <v/>
      </c>
      <c r="K142" t="str">
        <f>IF(J142="","",IF(COUNTIF(J$10:J142,J142)=1,COUNTIF(J$10:J$609,"&lt;"&amp;J142)+1,""))</f>
        <v/>
      </c>
      <c r="L142" t="str">
        <f>IFERROR(INDEX(tblY9[Class],ROWS(L$10:L142))&amp;"","")</f>
        <v/>
      </c>
      <c r="M142" t="str">
        <f>IF(L142="","",IF(COUNTIF(L$10:L142,L142)=1,COUNTIF(L$10:L$609,"&lt;"&amp;L142)+1,""))</f>
        <v/>
      </c>
      <c r="N142" t="str">
        <f>IFERROR(INDEX(tblY10[Class],ROWS(N$10:N142))&amp;"","")</f>
        <v/>
      </c>
      <c r="O142" t="str">
        <f>IF(N142="","",IF(COUNTIF(N$10:N142,N142)=1,COUNTIF(N$10:N$609,"&lt;"&amp;N142)+1,""))</f>
        <v/>
      </c>
      <c r="P142" t="str">
        <f>IFERROR(INDEX(tblY11[Class],ROWS(P$10:P142))&amp;"","")</f>
        <v/>
      </c>
      <c r="Q142" t="str">
        <f>IF(P142="","",IF(COUNTIF(P$10:P142,P142)=1,COUNTIF(P$10:P$609,"&lt;"&amp;P142)+1,""))</f>
        <v/>
      </c>
      <c r="BA142" t="str">
        <f>IFERROR(INDEX(wLast,73)&amp;"","")</f>
        <v>Roberts</v>
      </c>
      <c r="BB142" t="str">
        <f>IF(BA142="","",IFERROR(INDEX(wFirst,73)&amp;"",""))</f>
        <v>Callum</v>
      </c>
      <c r="BC142" t="str">
        <f>IF(BA142="","",IFERROR(INDEX(wClass,73)&amp;"",""))</f>
        <v>11S/Sc2</v>
      </c>
      <c r="BD142">
        <f>IF(BA142="","",IFERROR(INDEX(wKS2,73)+0,""))</f>
        <v>6</v>
      </c>
      <c r="BE142">
        <f>IF(BA142="","",IFERROR(INDEX(wTests,73)+0,0))</f>
        <v>6</v>
      </c>
      <c r="BF142">
        <f>IF(BA142="","",IFERROR(INDEX(wMean,73)+0,""))</f>
        <v>6.66666666666667</v>
      </c>
      <c r="BG142">
        <f>IF(BA142="","",IFERROR(INDEX(wVs,73)+0,""))</f>
        <v>0.666666666666667</v>
      </c>
      <c r="BH142">
        <f>IF(OR(BA142="",wLatest=""),"",IFERROR(INDEX(wData,73,MATCH(wLatest&amp;CHAR(10)&amp;"Stanine",wHdr,0))+0,""))</f>
        <v>6</v>
      </c>
      <c r="BI142" t="str">
        <f>IF(BA142="","",IF(AND(ISNUMBER(BG142),N(BE142)&gt;=WlMinTests,BG142&lt;=-WlGap),"Below KS2 starting point",IF(AND(NOT(ISNUMBER(BD142)),ISNUMBER(BF142),N(BE142)&gt;=WlMinTests,BF142&lt;=WlLowMean),"Low results, no KS2 data","")))</f>
        <v/>
      </c>
      <c r="BJ142" t="str">
        <f>IF(BI142="","",IF(BI142="Below KS2 starting point",BG142,100+BF142)+ROW()/1000000)</f>
        <v/>
      </c>
    </row>
    <row r="143">
      <c r="H143" t="str">
        <f>IFERROR(INDEX(tblY7[Class],ROWS(H$10:H143))&amp;"","")</f>
        <v/>
      </c>
      <c r="I143" t="str">
        <f>IF(H143="","",IF(COUNTIF(H$10:H143,H143)=1,COUNTIF(H$10:H$609,"&lt;"&amp;H143)+1,""))</f>
        <v/>
      </c>
      <c r="J143" t="str">
        <f>IFERROR(INDEX(tblY8[Class],ROWS(J$10:J143))&amp;"","")</f>
        <v/>
      </c>
      <c r="K143" t="str">
        <f>IF(J143="","",IF(COUNTIF(J$10:J143,J143)=1,COUNTIF(J$10:J$609,"&lt;"&amp;J143)+1,""))</f>
        <v/>
      </c>
      <c r="L143" t="str">
        <f>IFERROR(INDEX(tblY9[Class],ROWS(L$10:L143))&amp;"","")</f>
        <v/>
      </c>
      <c r="M143" t="str">
        <f>IF(L143="","",IF(COUNTIF(L$10:L143,L143)=1,COUNTIF(L$10:L$609,"&lt;"&amp;L143)+1,""))</f>
        <v/>
      </c>
      <c r="N143" t="str">
        <f>IFERROR(INDEX(tblY10[Class],ROWS(N$10:N143))&amp;"","")</f>
        <v/>
      </c>
      <c r="O143" t="str">
        <f>IF(N143="","",IF(COUNTIF(N$10:N143,N143)=1,COUNTIF(N$10:N$609,"&lt;"&amp;N143)+1,""))</f>
        <v/>
      </c>
      <c r="P143" t="str">
        <f>IFERROR(INDEX(tblY11[Class],ROWS(P$10:P143))&amp;"","")</f>
        <v/>
      </c>
      <c r="Q143" t="str">
        <f>IF(P143="","",IF(COUNTIF(P$10:P143,P143)=1,COUNTIF(P$10:P$609,"&lt;"&amp;P143)+1,""))</f>
        <v/>
      </c>
      <c r="BA143" t="str">
        <f>IFERROR(INDEX(wLast,74)&amp;"","")</f>
        <v>Roberts</v>
      </c>
      <c r="BB143" t="str">
        <f>IF(BA143="","",IFERROR(INDEX(wFirst,74)&amp;"",""))</f>
        <v>Chidi</v>
      </c>
      <c r="BC143" t="str">
        <f>IF(BA143="","",IFERROR(INDEX(wClass,74)&amp;"",""))</f>
        <v>11S/Sc5</v>
      </c>
      <c r="BD143">
        <f>IF(BA143="","",IFERROR(INDEX(wKS2,74)+0,""))</f>
        <v>3</v>
      </c>
      <c r="BE143">
        <f>IF(BA143="","",IFERROR(INDEX(wTests,74)+0,0))</f>
        <v>6</v>
      </c>
      <c r="BF143">
        <f>IF(BA143="","",IFERROR(INDEX(wMean,74)+0,""))</f>
        <v>3.16666666666667</v>
      </c>
      <c r="BG143">
        <f>IF(BA143="","",IFERROR(INDEX(wVs,74)+0,""))</f>
        <v>0.166666666666667</v>
      </c>
      <c r="BH143">
        <f>IF(OR(BA143="",wLatest=""),"",IFERROR(INDEX(wData,74,MATCH(wLatest&amp;CHAR(10)&amp;"Stanine",wHdr,0))+0,""))</f>
        <v>3</v>
      </c>
      <c r="BI143" t="str">
        <f>IF(BA143="","",IF(AND(ISNUMBER(BG143),N(BE143)&gt;=WlMinTests,BG143&lt;=-WlGap),"Below KS2 starting point",IF(AND(NOT(ISNUMBER(BD143)),ISNUMBER(BF143),N(BE143)&gt;=WlMinTests,BF143&lt;=WlLowMean),"Low results, no KS2 data","")))</f>
        <v/>
      </c>
      <c r="BJ143" t="str">
        <f>IF(BI143="","",IF(BI143="Below KS2 starting point",BG143,100+BF143)+ROW()/1000000)</f>
        <v/>
      </c>
    </row>
    <row r="144">
      <c r="H144" t="str">
        <f>IFERROR(INDEX(tblY7[Class],ROWS(H$10:H144))&amp;"","")</f>
        <v/>
      </c>
      <c r="I144" t="str">
        <f>IF(H144="","",IF(COUNTIF(H$10:H144,H144)=1,COUNTIF(H$10:H$609,"&lt;"&amp;H144)+1,""))</f>
        <v/>
      </c>
      <c r="J144" t="str">
        <f>IFERROR(INDEX(tblY8[Class],ROWS(J$10:J144))&amp;"","")</f>
        <v/>
      </c>
      <c r="K144" t="str">
        <f>IF(J144="","",IF(COUNTIF(J$10:J144,J144)=1,COUNTIF(J$10:J$609,"&lt;"&amp;J144)+1,""))</f>
        <v/>
      </c>
      <c r="L144" t="str">
        <f>IFERROR(INDEX(tblY9[Class],ROWS(L$10:L144))&amp;"","")</f>
        <v/>
      </c>
      <c r="M144" t="str">
        <f>IF(L144="","",IF(COUNTIF(L$10:L144,L144)=1,COUNTIF(L$10:L$609,"&lt;"&amp;L144)+1,""))</f>
        <v/>
      </c>
      <c r="N144" t="str">
        <f>IFERROR(INDEX(tblY10[Class],ROWS(N$10:N144))&amp;"","")</f>
        <v/>
      </c>
      <c r="O144" t="str">
        <f>IF(N144="","",IF(COUNTIF(N$10:N144,N144)=1,COUNTIF(N$10:N$609,"&lt;"&amp;N144)+1,""))</f>
        <v/>
      </c>
      <c r="P144" t="str">
        <f>IFERROR(INDEX(tblY11[Class],ROWS(P$10:P144))&amp;"","")</f>
        <v/>
      </c>
      <c r="Q144" t="str">
        <f>IF(P144="","",IF(COUNTIF(P$10:P144,P144)=1,COUNTIF(P$10:P$609,"&lt;"&amp;P144)+1,""))</f>
        <v/>
      </c>
      <c r="BA144" t="str">
        <f>IFERROR(INDEX(wLast,75)&amp;"","")</f>
        <v>Roberts</v>
      </c>
      <c r="BB144" t="str">
        <f>IF(BA144="","",IFERROR(INDEX(wFirst,75)&amp;"",""))</f>
        <v>Muhammad</v>
      </c>
      <c r="BC144" t="str">
        <f>IF(BA144="","",IFERROR(INDEX(wClass,75)&amp;"",""))</f>
        <v>11S/Sc4</v>
      </c>
      <c r="BD144">
        <f>IF(BA144="","",IFERROR(INDEX(wKS2,75)+0,""))</f>
        <v>3</v>
      </c>
      <c r="BE144">
        <f>IF(BA144="","",IFERROR(INDEX(wTests,75)+0,0))</f>
        <v>6</v>
      </c>
      <c r="BF144">
        <f>IF(BA144="","",IFERROR(INDEX(wMean,75)+0,""))</f>
        <v>3.66666666666667</v>
      </c>
      <c r="BG144">
        <f>IF(BA144="","",IFERROR(INDEX(wVs,75)+0,""))</f>
        <v>0.666666666666667</v>
      </c>
      <c r="BH144">
        <f>IF(OR(BA144="",wLatest=""),"",IFERROR(INDEX(wData,75,MATCH(wLatest&amp;CHAR(10)&amp;"Stanine",wHdr,0))+0,""))</f>
        <v>3</v>
      </c>
      <c r="BI144" t="str">
        <f>IF(BA144="","",IF(AND(ISNUMBER(BG144),N(BE144)&gt;=WlMinTests,BG144&lt;=-WlGap),"Below KS2 starting point",IF(AND(NOT(ISNUMBER(BD144)),ISNUMBER(BF144),N(BE144)&gt;=WlMinTests,BF144&lt;=WlLowMean),"Low results, no KS2 data","")))</f>
        <v/>
      </c>
      <c r="BJ144" t="str">
        <f>IF(BI144="","",IF(BI144="Below KS2 starting point",BG144,100+BF144)+ROW()/1000000)</f>
        <v/>
      </c>
    </row>
    <row r="145">
      <c r="H145" t="str">
        <f>IFERROR(INDEX(tblY7[Class],ROWS(H$10:H145))&amp;"","")</f>
        <v/>
      </c>
      <c r="I145" t="str">
        <f>IF(H145="","",IF(COUNTIF(H$10:H145,H145)=1,COUNTIF(H$10:H$609,"&lt;"&amp;H145)+1,""))</f>
        <v/>
      </c>
      <c r="J145" t="str">
        <f>IFERROR(INDEX(tblY8[Class],ROWS(J$10:J145))&amp;"","")</f>
        <v/>
      </c>
      <c r="K145" t="str">
        <f>IF(J145="","",IF(COUNTIF(J$10:J145,J145)=1,COUNTIF(J$10:J$609,"&lt;"&amp;J145)+1,""))</f>
        <v/>
      </c>
      <c r="L145" t="str">
        <f>IFERROR(INDEX(tblY9[Class],ROWS(L$10:L145))&amp;"","")</f>
        <v/>
      </c>
      <c r="M145" t="str">
        <f>IF(L145="","",IF(COUNTIF(L$10:L145,L145)=1,COUNTIF(L$10:L$609,"&lt;"&amp;L145)+1,""))</f>
        <v/>
      </c>
      <c r="N145" t="str">
        <f>IFERROR(INDEX(tblY10[Class],ROWS(N$10:N145))&amp;"","")</f>
        <v/>
      </c>
      <c r="O145" t="str">
        <f>IF(N145="","",IF(COUNTIF(N$10:N145,N145)=1,COUNTIF(N$10:N$609,"&lt;"&amp;N145)+1,""))</f>
        <v/>
      </c>
      <c r="P145" t="str">
        <f>IFERROR(INDEX(tblY11[Class],ROWS(P$10:P145))&amp;"","")</f>
        <v/>
      </c>
      <c r="Q145" t="str">
        <f>IF(P145="","",IF(COUNTIF(P$10:P145,P145)=1,COUNTIF(P$10:P$609,"&lt;"&amp;P145)+1,""))</f>
        <v/>
      </c>
      <c r="BA145" t="str">
        <f>IFERROR(INDEX(wLast,76)&amp;"","")</f>
        <v>Robinson</v>
      </c>
      <c r="BB145" t="str">
        <f>IF(BA145="","",IFERROR(INDEX(wFirst,76)&amp;"",""))</f>
        <v>Freya</v>
      </c>
      <c r="BC145" t="str">
        <f>IF(BA145="","",IFERROR(INDEX(wClass,76)&amp;"",""))</f>
        <v>11S/Sc5</v>
      </c>
      <c r="BD145">
        <f>IF(BA145="","",IFERROR(INDEX(wKS2,76)+0,""))</f>
        <v>4</v>
      </c>
      <c r="BE145">
        <f>IF(BA145="","",IFERROR(INDEX(wTests,76)+0,0))</f>
        <v>6</v>
      </c>
      <c r="BF145">
        <f>IF(BA145="","",IFERROR(INDEX(wMean,76)+0,""))</f>
        <v>3.83333333333333</v>
      </c>
      <c r="BG145">
        <f>IF(BA145="","",IFERROR(INDEX(wVs,76)+0,""))</f>
        <v>-0.166666666666667</v>
      </c>
      <c r="BH145">
        <f>IF(OR(BA145="",wLatest=""),"",IFERROR(INDEX(wData,76,MATCH(wLatest&amp;CHAR(10)&amp;"Stanine",wHdr,0))+0,""))</f>
        <v>4</v>
      </c>
      <c r="BI145" t="str">
        <f>IF(BA145="","",IF(AND(ISNUMBER(BG145),N(BE145)&gt;=WlMinTests,BG145&lt;=-WlGap),"Below KS2 starting point",IF(AND(NOT(ISNUMBER(BD145)),ISNUMBER(BF145),N(BE145)&gt;=WlMinTests,BF145&lt;=WlLowMean),"Low results, no KS2 data","")))</f>
        <v/>
      </c>
      <c r="BJ145" t="str">
        <f>IF(BI145="","",IF(BI145="Below KS2 starting point",BG145,100+BF145)+ROW()/1000000)</f>
        <v/>
      </c>
    </row>
    <row r="146">
      <c r="H146" t="str">
        <f>IFERROR(INDEX(tblY7[Class],ROWS(H$10:H146))&amp;"","")</f>
        <v/>
      </c>
      <c r="I146" t="str">
        <f>IF(H146="","",IF(COUNTIF(H$10:H146,H146)=1,COUNTIF(H$10:H$609,"&lt;"&amp;H146)+1,""))</f>
        <v/>
      </c>
      <c r="J146" t="str">
        <f>IFERROR(INDEX(tblY8[Class],ROWS(J$10:J146))&amp;"","")</f>
        <v/>
      </c>
      <c r="K146" t="str">
        <f>IF(J146="","",IF(COUNTIF(J$10:J146,J146)=1,COUNTIF(J$10:J$609,"&lt;"&amp;J146)+1,""))</f>
        <v/>
      </c>
      <c r="L146" t="str">
        <f>IFERROR(INDEX(tblY9[Class],ROWS(L$10:L146))&amp;"","")</f>
        <v/>
      </c>
      <c r="M146" t="str">
        <f>IF(L146="","",IF(COUNTIF(L$10:L146,L146)=1,COUNTIF(L$10:L$609,"&lt;"&amp;L146)+1,""))</f>
        <v/>
      </c>
      <c r="N146" t="str">
        <f>IFERROR(INDEX(tblY10[Class],ROWS(N$10:N146))&amp;"","")</f>
        <v/>
      </c>
      <c r="O146" t="str">
        <f>IF(N146="","",IF(COUNTIF(N$10:N146,N146)=1,COUNTIF(N$10:N$609,"&lt;"&amp;N146)+1,""))</f>
        <v/>
      </c>
      <c r="P146" t="str">
        <f>IFERROR(INDEX(tblY11[Class],ROWS(P$10:P146))&amp;"","")</f>
        <v/>
      </c>
      <c r="Q146" t="str">
        <f>IF(P146="","",IF(COUNTIF(P$10:P146,P146)=1,COUNTIF(P$10:P$609,"&lt;"&amp;P146)+1,""))</f>
        <v/>
      </c>
      <c r="BA146" t="str">
        <f>IFERROR(INDEX(wLast,77)&amp;"","")</f>
        <v>Robinson</v>
      </c>
      <c r="BB146" t="str">
        <f>IF(BA146="","",IFERROR(INDEX(wFirst,77)&amp;"",""))</f>
        <v>Noah</v>
      </c>
      <c r="BC146" t="str">
        <f>IF(BA146="","",IFERROR(INDEX(wClass,77)&amp;"",""))</f>
        <v>11S/Sc3</v>
      </c>
      <c r="BD146">
        <f>IF(BA146="","",IFERROR(INDEX(wKS2,77)+0,""))</f>
        <v>6</v>
      </c>
      <c r="BE146">
        <f>IF(BA146="","",IFERROR(INDEX(wTests,77)+0,0))</f>
        <v>6</v>
      </c>
      <c r="BF146">
        <f>IF(BA146="","",IFERROR(INDEX(wMean,77)+0,""))</f>
        <v>5.33333333333333</v>
      </c>
      <c r="BG146">
        <f>IF(BA146="","",IFERROR(INDEX(wVs,77)+0,""))</f>
        <v>-0.666666666666667</v>
      </c>
      <c r="BH146">
        <f>IF(OR(BA146="",wLatest=""),"",IFERROR(INDEX(wData,77,MATCH(wLatest&amp;CHAR(10)&amp;"Stanine",wHdr,0))+0,""))</f>
        <v>6</v>
      </c>
      <c r="BI146" t="str">
        <f>IF(BA146="","",IF(AND(ISNUMBER(BG146),N(BE146)&gt;=WlMinTests,BG146&lt;=-WlGap),"Below KS2 starting point",IF(AND(NOT(ISNUMBER(BD146)),ISNUMBER(BF146),N(BE146)&gt;=WlMinTests,BF146&lt;=WlLowMean),"Low results, no KS2 data","")))</f>
        <v/>
      </c>
      <c r="BJ146" t="str">
        <f>IF(BI146="","",IF(BI146="Below KS2 starting point",BG146,100+BF146)+ROW()/1000000)</f>
        <v/>
      </c>
    </row>
    <row r="147">
      <c r="H147" t="str">
        <f>IFERROR(INDEX(tblY7[Class],ROWS(H$10:H147))&amp;"","")</f>
        <v/>
      </c>
      <c r="I147" t="str">
        <f>IF(H147="","",IF(COUNTIF(H$10:H147,H147)=1,COUNTIF(H$10:H$609,"&lt;"&amp;H147)+1,""))</f>
        <v/>
      </c>
      <c r="J147" t="str">
        <f>IFERROR(INDEX(tblY8[Class],ROWS(J$10:J147))&amp;"","")</f>
        <v/>
      </c>
      <c r="K147" t="str">
        <f>IF(J147="","",IF(COUNTIF(J$10:J147,J147)=1,COUNTIF(J$10:J$609,"&lt;"&amp;J147)+1,""))</f>
        <v/>
      </c>
      <c r="L147" t="str">
        <f>IFERROR(INDEX(tblY9[Class],ROWS(L$10:L147))&amp;"","")</f>
        <v/>
      </c>
      <c r="M147" t="str">
        <f>IF(L147="","",IF(COUNTIF(L$10:L147,L147)=1,COUNTIF(L$10:L$609,"&lt;"&amp;L147)+1,""))</f>
        <v/>
      </c>
      <c r="N147" t="str">
        <f>IFERROR(INDEX(tblY10[Class],ROWS(N$10:N147))&amp;"","")</f>
        <v/>
      </c>
      <c r="O147" t="str">
        <f>IF(N147="","",IF(COUNTIF(N$10:N147,N147)=1,COUNTIF(N$10:N$609,"&lt;"&amp;N147)+1,""))</f>
        <v/>
      </c>
      <c r="P147" t="str">
        <f>IFERROR(INDEX(tblY11[Class],ROWS(P$10:P147))&amp;"","")</f>
        <v/>
      </c>
      <c r="Q147" t="str">
        <f>IF(P147="","",IF(COUNTIF(P$10:P147,P147)=1,COUNTIF(P$10:P$609,"&lt;"&amp;P147)+1,""))</f>
        <v/>
      </c>
      <c r="BA147" t="str">
        <f>IFERROR(INDEX(wLast,78)&amp;"","")</f>
        <v>Shaw</v>
      </c>
      <c r="BB147" t="str">
        <f>IF(BA147="","",IFERROR(INDEX(wFirst,78)&amp;"",""))</f>
        <v>Callum</v>
      </c>
      <c r="BC147" t="str">
        <f>IF(BA147="","",IFERROR(INDEX(wClass,78)&amp;"",""))</f>
        <v>11S/Sc2</v>
      </c>
      <c r="BD147">
        <f>IF(BA147="","",IFERROR(INDEX(wKS2,78)+0,""))</f>
        <v>7</v>
      </c>
      <c r="BE147">
        <f>IF(BA147="","",IFERROR(INDEX(wTests,78)+0,0))</f>
        <v>6</v>
      </c>
      <c r="BF147">
        <f>IF(BA147="","",IFERROR(INDEX(wMean,78)+0,""))</f>
        <v>8</v>
      </c>
      <c r="BG147">
        <f>IF(BA147="","",IFERROR(INDEX(wVs,78)+0,""))</f>
        <v>1</v>
      </c>
      <c r="BH147">
        <f>IF(OR(BA147="",wLatest=""),"",IFERROR(INDEX(wData,78,MATCH(wLatest&amp;CHAR(10)&amp;"Stanine",wHdr,0))+0,""))</f>
        <v>8</v>
      </c>
      <c r="BI147" t="str">
        <f>IF(BA147="","",IF(AND(ISNUMBER(BG147),N(BE147)&gt;=WlMinTests,BG147&lt;=-WlGap),"Below KS2 starting point",IF(AND(NOT(ISNUMBER(BD147)),ISNUMBER(BF147),N(BE147)&gt;=WlMinTests,BF147&lt;=WlLowMean),"Low results, no KS2 data","")))</f>
        <v/>
      </c>
      <c r="BJ147" t="str">
        <f>IF(BI147="","",IF(BI147="Below KS2 starting point",BG147,100+BF147)+ROW()/1000000)</f>
        <v/>
      </c>
    </row>
    <row r="148">
      <c r="H148" t="str">
        <f>IFERROR(INDEX(tblY7[Class],ROWS(H$10:H148))&amp;"","")</f>
        <v/>
      </c>
      <c r="I148" t="str">
        <f>IF(H148="","",IF(COUNTIF(H$10:H148,H148)=1,COUNTIF(H$10:H$609,"&lt;"&amp;H148)+1,""))</f>
        <v/>
      </c>
      <c r="J148" t="str">
        <f>IFERROR(INDEX(tblY8[Class],ROWS(J$10:J148))&amp;"","")</f>
        <v/>
      </c>
      <c r="K148" t="str">
        <f>IF(J148="","",IF(COUNTIF(J$10:J148,J148)=1,COUNTIF(J$10:J$609,"&lt;"&amp;J148)+1,""))</f>
        <v/>
      </c>
      <c r="L148" t="str">
        <f>IFERROR(INDEX(tblY9[Class],ROWS(L$10:L148))&amp;"","")</f>
        <v/>
      </c>
      <c r="M148" t="str">
        <f>IF(L148="","",IF(COUNTIF(L$10:L148,L148)=1,COUNTIF(L$10:L$609,"&lt;"&amp;L148)+1,""))</f>
        <v/>
      </c>
      <c r="N148" t="str">
        <f>IFERROR(INDEX(tblY10[Class],ROWS(N$10:N148))&amp;"","")</f>
        <v/>
      </c>
      <c r="O148" t="str">
        <f>IF(N148="","",IF(COUNTIF(N$10:N148,N148)=1,COUNTIF(N$10:N$609,"&lt;"&amp;N148)+1,""))</f>
        <v/>
      </c>
      <c r="P148" t="str">
        <f>IFERROR(INDEX(tblY11[Class],ROWS(P$10:P148))&amp;"","")</f>
        <v/>
      </c>
      <c r="Q148" t="str">
        <f>IF(P148="","",IF(COUNTIF(P$10:P148,P148)=1,COUNTIF(P$10:P$609,"&lt;"&amp;P148)+1,""))</f>
        <v/>
      </c>
      <c r="BA148" t="str">
        <f>IFERROR(INDEX(wLast,79)&amp;"","")</f>
        <v>Shaw</v>
      </c>
      <c r="BB148" t="str">
        <f>IF(BA148="","",IFERROR(INDEX(wFirst,79)&amp;"",""))</f>
        <v>Nia</v>
      </c>
      <c r="BC148" t="str">
        <f>IF(BA148="","",IFERROR(INDEX(wClass,79)&amp;"",""))</f>
        <v>11S/Sc4</v>
      </c>
      <c r="BD148">
        <f>IF(BA148="","",IFERROR(INDEX(wKS2,79)+0,""))</f>
        <v>3</v>
      </c>
      <c r="BE148">
        <f>IF(BA148="","",IFERROR(INDEX(wTests,79)+0,0))</f>
        <v>6</v>
      </c>
      <c r="BF148">
        <f>IF(BA148="","",IFERROR(INDEX(wMean,79)+0,""))</f>
        <v>2.16666666666667</v>
      </c>
      <c r="BG148">
        <f>IF(BA148="","",IFERROR(INDEX(wVs,79)+0,""))</f>
        <v>-0.833333333333334</v>
      </c>
      <c r="BH148">
        <f>IF(OR(BA148="",wLatest=""),"",IFERROR(INDEX(wData,79,MATCH(wLatest&amp;CHAR(10)&amp;"Stanine",wHdr,0))+0,""))</f>
        <v>2</v>
      </c>
      <c r="BI148" t="str">
        <f>IF(BA148="","",IF(AND(ISNUMBER(BG148),N(BE148)&gt;=WlMinTests,BG148&lt;=-WlGap),"Below KS2 starting point",IF(AND(NOT(ISNUMBER(BD148)),ISNUMBER(BF148),N(BE148)&gt;=WlMinTests,BF148&lt;=WlLowMean),"Low results, no KS2 data","")))</f>
        <v/>
      </c>
      <c r="BJ148" t="str">
        <f>IF(BI148="","",IF(BI148="Below KS2 starting point",BG148,100+BF148)+ROW()/1000000)</f>
        <v/>
      </c>
    </row>
    <row r="149">
      <c r="H149" t="str">
        <f>IFERROR(INDEX(tblY7[Class],ROWS(H$10:H149))&amp;"","")</f>
        <v/>
      </c>
      <c r="I149" t="str">
        <f>IF(H149="","",IF(COUNTIF(H$10:H149,H149)=1,COUNTIF(H$10:H$609,"&lt;"&amp;H149)+1,""))</f>
        <v/>
      </c>
      <c r="J149" t="str">
        <f>IFERROR(INDEX(tblY8[Class],ROWS(J$10:J149))&amp;"","")</f>
        <v/>
      </c>
      <c r="K149" t="str">
        <f>IF(J149="","",IF(COUNTIF(J$10:J149,J149)=1,COUNTIF(J$10:J$609,"&lt;"&amp;J149)+1,""))</f>
        <v/>
      </c>
      <c r="L149" t="str">
        <f>IFERROR(INDEX(tblY9[Class],ROWS(L$10:L149))&amp;"","")</f>
        <v/>
      </c>
      <c r="M149" t="str">
        <f>IF(L149="","",IF(COUNTIF(L$10:L149,L149)=1,COUNTIF(L$10:L$609,"&lt;"&amp;L149)+1,""))</f>
        <v/>
      </c>
      <c r="N149" t="str">
        <f>IFERROR(INDEX(tblY10[Class],ROWS(N$10:N149))&amp;"","")</f>
        <v/>
      </c>
      <c r="O149" t="str">
        <f>IF(N149="","",IF(COUNTIF(N$10:N149,N149)=1,COUNTIF(N$10:N$609,"&lt;"&amp;N149)+1,""))</f>
        <v/>
      </c>
      <c r="P149" t="str">
        <f>IFERROR(INDEX(tblY11[Class],ROWS(P$10:P149))&amp;"","")</f>
        <v/>
      </c>
      <c r="Q149" t="str">
        <f>IF(P149="","",IF(COUNTIF(P$10:P149,P149)=1,COUNTIF(P$10:P$609,"&lt;"&amp;P149)+1,""))</f>
        <v/>
      </c>
      <c r="BA149" t="str">
        <f>IFERROR(INDEX(wLast,80)&amp;"","")</f>
        <v>Smith</v>
      </c>
      <c r="BB149" t="str">
        <f>IF(BA149="","",IFERROR(INDEX(wFirst,80)&amp;"",""))</f>
        <v>Freya</v>
      </c>
      <c r="BC149" t="str">
        <f>IF(BA149="","",IFERROR(INDEX(wClass,80)&amp;"",""))</f>
        <v>11S/Sc2</v>
      </c>
      <c r="BD149">
        <f>IF(BA149="","",IFERROR(INDEX(wKS2,80)+0,""))</f>
        <v>5</v>
      </c>
      <c r="BE149">
        <f>IF(BA149="","",IFERROR(INDEX(wTests,80)+0,0))</f>
        <v>6</v>
      </c>
      <c r="BF149">
        <f>IF(BA149="","",IFERROR(INDEX(wMean,80)+0,""))</f>
        <v>5</v>
      </c>
      <c r="BG149">
        <f>IF(BA149="","",IFERROR(INDEX(wVs,80)+0,""))</f>
        <v>0</v>
      </c>
      <c r="BH149">
        <f>IF(OR(BA149="",wLatest=""),"",IFERROR(INDEX(wData,80,MATCH(wLatest&amp;CHAR(10)&amp;"Stanine",wHdr,0))+0,""))</f>
        <v>5</v>
      </c>
      <c r="BI149" t="str">
        <f>IF(BA149="","",IF(AND(ISNUMBER(BG149),N(BE149)&gt;=WlMinTests,BG149&lt;=-WlGap),"Below KS2 starting point",IF(AND(NOT(ISNUMBER(BD149)),ISNUMBER(BF149),N(BE149)&gt;=WlMinTests,BF149&lt;=WlLowMean),"Low results, no KS2 data","")))</f>
        <v/>
      </c>
      <c r="BJ149" t="str">
        <f>IF(BI149="","",IF(BI149="Below KS2 starting point",BG149,100+BF149)+ROW()/1000000)</f>
        <v/>
      </c>
    </row>
    <row r="150">
      <c r="H150" t="str">
        <f>IFERROR(INDEX(tblY7[Class],ROWS(H$10:H150))&amp;"","")</f>
        <v/>
      </c>
      <c r="I150" t="str">
        <f>IF(H150="","",IF(COUNTIF(H$10:H150,H150)=1,COUNTIF(H$10:H$609,"&lt;"&amp;H150)+1,""))</f>
        <v/>
      </c>
      <c r="J150" t="str">
        <f>IFERROR(INDEX(tblY8[Class],ROWS(J$10:J150))&amp;"","")</f>
        <v/>
      </c>
      <c r="K150" t="str">
        <f>IF(J150="","",IF(COUNTIF(J$10:J150,J150)=1,COUNTIF(J$10:J$609,"&lt;"&amp;J150)+1,""))</f>
        <v/>
      </c>
      <c r="L150" t="str">
        <f>IFERROR(INDEX(tblY9[Class],ROWS(L$10:L150))&amp;"","")</f>
        <v/>
      </c>
      <c r="M150" t="str">
        <f>IF(L150="","",IF(COUNTIF(L$10:L150,L150)=1,COUNTIF(L$10:L$609,"&lt;"&amp;L150)+1,""))</f>
        <v/>
      </c>
      <c r="N150" t="str">
        <f>IFERROR(INDEX(tblY10[Class],ROWS(N$10:N150))&amp;"","")</f>
        <v/>
      </c>
      <c r="O150" t="str">
        <f>IF(N150="","",IF(COUNTIF(N$10:N150,N150)=1,COUNTIF(N$10:N$609,"&lt;"&amp;N150)+1,""))</f>
        <v/>
      </c>
      <c r="P150" t="str">
        <f>IFERROR(INDEX(tblY11[Class],ROWS(P$10:P150))&amp;"","")</f>
        <v/>
      </c>
      <c r="Q150" t="str">
        <f>IF(P150="","",IF(COUNTIF(P$10:P150,P150)=1,COUNTIF(P$10:P$609,"&lt;"&amp;P150)+1,""))</f>
        <v/>
      </c>
      <c r="BA150" t="str">
        <f>IFERROR(INDEX(wLast,81)&amp;"","")</f>
        <v>Smith</v>
      </c>
      <c r="BB150" t="str">
        <f>IF(BA150="","",IFERROR(INDEX(wFirst,81)&amp;"",""))</f>
        <v>Sophie</v>
      </c>
      <c r="BC150" t="str">
        <f>IF(BA150="","",IFERROR(INDEX(wClass,81)&amp;"",""))</f>
        <v>11S/Sc5</v>
      </c>
      <c r="BD150">
        <f>IF(BA150="","",IFERROR(INDEX(wKS2,81)+0,""))</f>
        <v>3</v>
      </c>
      <c r="BE150">
        <f>IF(BA150="","",IFERROR(INDEX(wTests,81)+0,0))</f>
        <v>6</v>
      </c>
      <c r="BF150">
        <f>IF(BA150="","",IFERROR(INDEX(wMean,81)+0,""))</f>
        <v>2.66666666666667</v>
      </c>
      <c r="BG150">
        <f>IF(BA150="","",IFERROR(INDEX(wVs,81)+0,""))</f>
        <v>-0.333333333333334</v>
      </c>
      <c r="BH150">
        <f>IF(OR(BA150="",wLatest=""),"",IFERROR(INDEX(wData,81,MATCH(wLatest&amp;CHAR(10)&amp;"Stanine",wHdr,0))+0,""))</f>
        <v>2</v>
      </c>
      <c r="BI150" t="str">
        <f>IF(BA150="","",IF(AND(ISNUMBER(BG150),N(BE150)&gt;=WlMinTests,BG150&lt;=-WlGap),"Below KS2 starting point",IF(AND(NOT(ISNUMBER(BD150)),ISNUMBER(BF150),N(BE150)&gt;=WlMinTests,BF150&lt;=WlLowMean),"Low results, no KS2 data","")))</f>
        <v/>
      </c>
      <c r="BJ150" t="str">
        <f>IF(BI150="","",IF(BI150="Below KS2 starting point",BG150,100+BF150)+ROW()/1000000)</f>
        <v/>
      </c>
    </row>
    <row r="151">
      <c r="H151" t="str">
        <f>IFERROR(INDEX(tblY7[Class],ROWS(H$10:H151))&amp;"","")</f>
        <v/>
      </c>
      <c r="I151" t="str">
        <f>IF(H151="","",IF(COUNTIF(H$10:H151,H151)=1,COUNTIF(H$10:H$609,"&lt;"&amp;H151)+1,""))</f>
        <v/>
      </c>
      <c r="J151" t="str">
        <f>IFERROR(INDEX(tblY8[Class],ROWS(J$10:J151))&amp;"","")</f>
        <v/>
      </c>
      <c r="K151" t="str">
        <f>IF(J151="","",IF(COUNTIF(J$10:J151,J151)=1,COUNTIF(J$10:J$609,"&lt;"&amp;J151)+1,""))</f>
        <v/>
      </c>
      <c r="L151" t="str">
        <f>IFERROR(INDEX(tblY9[Class],ROWS(L$10:L151))&amp;"","")</f>
        <v/>
      </c>
      <c r="M151" t="str">
        <f>IF(L151="","",IF(COUNTIF(L$10:L151,L151)=1,COUNTIF(L$10:L$609,"&lt;"&amp;L151)+1,""))</f>
        <v/>
      </c>
      <c r="N151" t="str">
        <f>IFERROR(INDEX(tblY10[Class],ROWS(N$10:N151))&amp;"","")</f>
        <v/>
      </c>
      <c r="O151" t="str">
        <f>IF(N151="","",IF(COUNTIF(N$10:N151,N151)=1,COUNTIF(N$10:N$609,"&lt;"&amp;N151)+1,""))</f>
        <v/>
      </c>
      <c r="P151" t="str">
        <f>IFERROR(INDEX(tblY11[Class],ROWS(P$10:P151))&amp;"","")</f>
        <v/>
      </c>
      <c r="Q151" t="str">
        <f>IF(P151="","",IF(COUNTIF(P$10:P151,P151)=1,COUNTIF(P$10:P$609,"&lt;"&amp;P151)+1,""))</f>
        <v/>
      </c>
      <c r="BA151" t="str">
        <f>IFERROR(INDEX(wLast,82)&amp;"","")</f>
        <v>Smith</v>
      </c>
      <c r="BB151" t="str">
        <f>IF(BA151="","",IFERROR(INDEX(wFirst,82)&amp;"",""))</f>
        <v>Zara</v>
      </c>
      <c r="BC151" t="str">
        <f>IF(BA151="","",IFERROR(INDEX(wClass,82)&amp;"",""))</f>
        <v>Science Support</v>
      </c>
      <c r="BD151">
        <f>IF(BA151="","",IFERROR(INDEX(wKS2,82)+0,""))</f>
        <v>3</v>
      </c>
      <c r="BE151">
        <f>IF(BA151="","",IFERROR(INDEX(wTests,82)+0,0))</f>
        <v>6</v>
      </c>
      <c r="BF151">
        <f>IF(BA151="","",IFERROR(INDEX(wMean,82)+0,""))</f>
        <v>2.16666666666667</v>
      </c>
      <c r="BG151">
        <f>IF(BA151="","",IFERROR(INDEX(wVs,82)+0,""))</f>
        <v>-0.833333333333334</v>
      </c>
      <c r="BH151">
        <f>IF(OR(BA151="",wLatest=""),"",IFERROR(INDEX(wData,82,MATCH(wLatest&amp;CHAR(10)&amp;"Stanine",wHdr,0))+0,""))</f>
        <v>2</v>
      </c>
      <c r="BI151" t="str">
        <f>IF(BA151="","",IF(AND(ISNUMBER(BG151),N(BE151)&gt;=WlMinTests,BG151&lt;=-WlGap),"Below KS2 starting point",IF(AND(NOT(ISNUMBER(BD151)),ISNUMBER(BF151),N(BE151)&gt;=WlMinTests,BF151&lt;=WlLowMean),"Low results, no KS2 data","")))</f>
        <v/>
      </c>
      <c r="BJ151" t="str">
        <f>IF(BI151="","",IF(BI151="Below KS2 starting point",BG151,100+BF151)+ROW()/1000000)</f>
        <v/>
      </c>
    </row>
    <row r="152">
      <c r="H152" t="str">
        <f>IFERROR(INDEX(tblY7[Class],ROWS(H$10:H152))&amp;"","")</f>
        <v/>
      </c>
      <c r="I152" t="str">
        <f>IF(H152="","",IF(COUNTIF(H$10:H152,H152)=1,COUNTIF(H$10:H$609,"&lt;"&amp;H152)+1,""))</f>
        <v/>
      </c>
      <c r="J152" t="str">
        <f>IFERROR(INDEX(tblY8[Class],ROWS(J$10:J152))&amp;"","")</f>
        <v/>
      </c>
      <c r="K152" t="str">
        <f>IF(J152="","",IF(COUNTIF(J$10:J152,J152)=1,COUNTIF(J$10:J$609,"&lt;"&amp;J152)+1,""))</f>
        <v/>
      </c>
      <c r="L152" t="str">
        <f>IFERROR(INDEX(tblY9[Class],ROWS(L$10:L152))&amp;"","")</f>
        <v/>
      </c>
      <c r="M152" t="str">
        <f>IF(L152="","",IF(COUNTIF(L$10:L152,L152)=1,COUNTIF(L$10:L$609,"&lt;"&amp;L152)+1,""))</f>
        <v/>
      </c>
      <c r="N152" t="str">
        <f>IFERROR(INDEX(tblY10[Class],ROWS(N$10:N152))&amp;"","")</f>
        <v/>
      </c>
      <c r="O152" t="str">
        <f>IF(N152="","",IF(COUNTIF(N$10:N152,N152)=1,COUNTIF(N$10:N$609,"&lt;"&amp;N152)+1,""))</f>
        <v/>
      </c>
      <c r="P152" t="str">
        <f>IFERROR(INDEX(tblY11[Class],ROWS(P$10:P152))&amp;"","")</f>
        <v/>
      </c>
      <c r="Q152" t="str">
        <f>IF(P152="","",IF(COUNTIF(P$10:P152,P152)=1,COUNTIF(P$10:P$609,"&lt;"&amp;P152)+1,""))</f>
        <v/>
      </c>
      <c r="BA152" t="str">
        <f>IFERROR(INDEX(wLast,83)&amp;"","")</f>
        <v>Taylor</v>
      </c>
      <c r="BB152" t="str">
        <f>IF(BA152="","",IFERROR(INDEX(wFirst,83)&amp;"",""))</f>
        <v>Arthur</v>
      </c>
      <c r="BC152" t="str">
        <f>IF(BA152="","",IFERROR(INDEX(wClass,83)&amp;"",""))</f>
        <v>11S/Sc4</v>
      </c>
      <c r="BD152">
        <f>IF(BA152="","",IFERROR(INDEX(wKS2,83)+0,""))</f>
        <v>5</v>
      </c>
      <c r="BE152">
        <f>IF(BA152="","",IFERROR(INDEX(wTests,83)+0,0))</f>
        <v>6</v>
      </c>
      <c r="BF152">
        <f>IF(BA152="","",IFERROR(INDEX(wMean,83)+0,""))</f>
        <v>5.5</v>
      </c>
      <c r="BG152">
        <f>IF(BA152="","",IFERROR(INDEX(wVs,83)+0,""))</f>
        <v>0.5</v>
      </c>
      <c r="BH152">
        <f>IF(OR(BA152="",wLatest=""),"",IFERROR(INDEX(wData,83,MATCH(wLatest&amp;CHAR(10)&amp;"Stanine",wHdr,0))+0,""))</f>
        <v>7</v>
      </c>
      <c r="BI152" t="str">
        <f>IF(BA152="","",IF(AND(ISNUMBER(BG152),N(BE152)&gt;=WlMinTests,BG152&lt;=-WlGap),"Below KS2 starting point",IF(AND(NOT(ISNUMBER(BD152)),ISNUMBER(BF152),N(BE152)&gt;=WlMinTests,BF152&lt;=WlLowMean),"Low results, no KS2 data","")))</f>
        <v/>
      </c>
      <c r="BJ152" t="str">
        <f>IF(BI152="","",IF(BI152="Below KS2 starting point",BG152,100+BF152)+ROW()/1000000)</f>
        <v/>
      </c>
    </row>
    <row r="153">
      <c r="H153" t="str">
        <f>IFERROR(INDEX(tblY7[Class],ROWS(H$10:H153))&amp;"","")</f>
        <v/>
      </c>
      <c r="I153" t="str">
        <f>IF(H153="","",IF(COUNTIF(H$10:H153,H153)=1,COUNTIF(H$10:H$609,"&lt;"&amp;H153)+1,""))</f>
        <v/>
      </c>
      <c r="J153" t="str">
        <f>IFERROR(INDEX(tblY8[Class],ROWS(J$10:J153))&amp;"","")</f>
        <v/>
      </c>
      <c r="K153" t="str">
        <f>IF(J153="","",IF(COUNTIF(J$10:J153,J153)=1,COUNTIF(J$10:J$609,"&lt;"&amp;J153)+1,""))</f>
        <v/>
      </c>
      <c r="L153" t="str">
        <f>IFERROR(INDEX(tblY9[Class],ROWS(L$10:L153))&amp;"","")</f>
        <v/>
      </c>
      <c r="M153" t="str">
        <f>IF(L153="","",IF(COUNTIF(L$10:L153,L153)=1,COUNTIF(L$10:L$609,"&lt;"&amp;L153)+1,""))</f>
        <v/>
      </c>
      <c r="N153" t="str">
        <f>IFERROR(INDEX(tblY10[Class],ROWS(N$10:N153))&amp;"","")</f>
        <v/>
      </c>
      <c r="O153" t="str">
        <f>IF(N153="","",IF(COUNTIF(N$10:N153,N153)=1,COUNTIF(N$10:N$609,"&lt;"&amp;N153)+1,""))</f>
        <v/>
      </c>
      <c r="P153" t="str">
        <f>IFERROR(INDEX(tblY11[Class],ROWS(P$10:P153))&amp;"","")</f>
        <v/>
      </c>
      <c r="Q153" t="str">
        <f>IF(P153="","",IF(COUNTIF(P$10:P153,P153)=1,COUNTIF(P$10:P$609,"&lt;"&amp;P153)+1,""))</f>
        <v/>
      </c>
      <c r="BA153" t="str">
        <f>IFERROR(INDEX(wLast,84)&amp;"","")</f>
        <v>Taylor</v>
      </c>
      <c r="BB153" t="str">
        <f>IF(BA153="","",IFERROR(INDEX(wFirst,84)&amp;"",""))</f>
        <v>Freya</v>
      </c>
      <c r="BC153" t="str">
        <f>IF(BA153="","",IFERROR(INDEX(wClass,84)&amp;"",""))</f>
        <v>11S/Sc4</v>
      </c>
      <c r="BD153">
        <f>IF(BA153="","",IFERROR(INDEX(wKS2,84)+0,""))</f>
        <v>4</v>
      </c>
      <c r="BE153">
        <f>IF(BA153="","",IFERROR(INDEX(wTests,84)+0,0))</f>
        <v>6</v>
      </c>
      <c r="BF153">
        <f>IF(BA153="","",IFERROR(INDEX(wMean,84)+0,""))</f>
        <v>3.83333333333333</v>
      </c>
      <c r="BG153">
        <f>IF(BA153="","",IFERROR(INDEX(wVs,84)+0,""))</f>
        <v>-0.166666666666667</v>
      </c>
      <c r="BH153">
        <f>IF(OR(BA153="",wLatest=""),"",IFERROR(INDEX(wData,84,MATCH(wLatest&amp;CHAR(10)&amp;"Stanine",wHdr,0))+0,""))</f>
        <v>4</v>
      </c>
      <c r="BI153" t="str">
        <f>IF(BA153="","",IF(AND(ISNUMBER(BG153),N(BE153)&gt;=WlMinTests,BG153&lt;=-WlGap),"Below KS2 starting point",IF(AND(NOT(ISNUMBER(BD153)),ISNUMBER(BF153),N(BE153)&gt;=WlMinTests,BF153&lt;=WlLowMean),"Low results, no KS2 data","")))</f>
        <v/>
      </c>
      <c r="BJ153" t="str">
        <f>IF(BI153="","",IF(BI153="Below KS2 starting point",BG153,100+BF153)+ROW()/1000000)</f>
        <v/>
      </c>
    </row>
    <row r="154">
      <c r="H154" t="str">
        <f>IFERROR(INDEX(tblY7[Class],ROWS(H$10:H154))&amp;"","")</f>
        <v/>
      </c>
      <c r="I154" t="str">
        <f>IF(H154="","",IF(COUNTIF(H$10:H154,H154)=1,COUNTIF(H$10:H$609,"&lt;"&amp;H154)+1,""))</f>
        <v/>
      </c>
      <c r="J154" t="str">
        <f>IFERROR(INDEX(tblY8[Class],ROWS(J$10:J154))&amp;"","")</f>
        <v/>
      </c>
      <c r="K154" t="str">
        <f>IF(J154="","",IF(COUNTIF(J$10:J154,J154)=1,COUNTIF(J$10:J$609,"&lt;"&amp;J154)+1,""))</f>
        <v/>
      </c>
      <c r="L154" t="str">
        <f>IFERROR(INDEX(tblY9[Class],ROWS(L$10:L154))&amp;"","")</f>
        <v/>
      </c>
      <c r="M154" t="str">
        <f>IF(L154="","",IF(COUNTIF(L$10:L154,L154)=1,COUNTIF(L$10:L$609,"&lt;"&amp;L154)+1,""))</f>
        <v/>
      </c>
      <c r="N154" t="str">
        <f>IFERROR(INDEX(tblY10[Class],ROWS(N$10:N154))&amp;"","")</f>
        <v/>
      </c>
      <c r="O154" t="str">
        <f>IF(N154="","",IF(COUNTIF(N$10:N154,N154)=1,COUNTIF(N$10:N$609,"&lt;"&amp;N154)+1,""))</f>
        <v/>
      </c>
      <c r="P154" t="str">
        <f>IFERROR(INDEX(tblY11[Class],ROWS(P$10:P154))&amp;"","")</f>
        <v/>
      </c>
      <c r="Q154" t="str">
        <f>IF(P154="","",IF(COUNTIF(P$10:P154,P154)=1,COUNTIF(P$10:P$609,"&lt;"&amp;P154)+1,""))</f>
        <v/>
      </c>
      <c r="BA154" t="str">
        <f>IFERROR(INDEX(wLast,85)&amp;"","")</f>
        <v>Taylor</v>
      </c>
      <c r="BB154" t="str">
        <f>IF(BA154="","",IFERROR(INDEX(wFirst,85)&amp;"",""))</f>
        <v>Seren</v>
      </c>
      <c r="BC154" t="str">
        <f>IF(BA154="","",IFERROR(INDEX(wClass,85)&amp;"",""))</f>
        <v>11S/Sc1</v>
      </c>
      <c r="BD154">
        <f>IF(BA154="","",IFERROR(INDEX(wKS2,85)+0,""))</f>
        <v>5</v>
      </c>
      <c r="BE154">
        <f>IF(BA154="","",IFERROR(INDEX(wTests,85)+0,0))</f>
        <v>6</v>
      </c>
      <c r="BF154">
        <f>IF(BA154="","",IFERROR(INDEX(wMean,85)+0,""))</f>
        <v>5.66666666666667</v>
      </c>
      <c r="BG154">
        <f>IF(BA154="","",IFERROR(INDEX(wVs,85)+0,""))</f>
        <v>0.666666666666667</v>
      </c>
      <c r="BH154">
        <f>IF(OR(BA154="",wLatest=""),"",IFERROR(INDEX(wData,85,MATCH(wLatest&amp;CHAR(10)&amp;"Stanine",wHdr,0))+0,""))</f>
        <v>7</v>
      </c>
      <c r="BI154" t="str">
        <f>IF(BA154="","",IF(AND(ISNUMBER(BG154),N(BE154)&gt;=WlMinTests,BG154&lt;=-WlGap),"Below KS2 starting point",IF(AND(NOT(ISNUMBER(BD154)),ISNUMBER(BF154),N(BE154)&gt;=WlMinTests,BF154&lt;=WlLowMean),"Low results, no KS2 data","")))</f>
        <v/>
      </c>
      <c r="BJ154" t="str">
        <f>IF(BI154="","",IF(BI154="Below KS2 starting point",BG154,100+BF154)+ROW()/1000000)</f>
        <v/>
      </c>
    </row>
    <row r="155">
      <c r="H155" t="str">
        <f>IFERROR(INDEX(tblY7[Class],ROWS(H$10:H155))&amp;"","")</f>
        <v/>
      </c>
      <c r="I155" t="str">
        <f>IF(H155="","",IF(COUNTIF(H$10:H155,H155)=1,COUNTIF(H$10:H$609,"&lt;"&amp;H155)+1,""))</f>
        <v/>
      </c>
      <c r="J155" t="str">
        <f>IFERROR(INDEX(tblY8[Class],ROWS(J$10:J155))&amp;"","")</f>
        <v/>
      </c>
      <c r="K155" t="str">
        <f>IF(J155="","",IF(COUNTIF(J$10:J155,J155)=1,COUNTIF(J$10:J$609,"&lt;"&amp;J155)+1,""))</f>
        <v/>
      </c>
      <c r="L155" t="str">
        <f>IFERROR(INDEX(tblY9[Class],ROWS(L$10:L155))&amp;"","")</f>
        <v/>
      </c>
      <c r="M155" t="str">
        <f>IF(L155="","",IF(COUNTIF(L$10:L155,L155)=1,COUNTIF(L$10:L$609,"&lt;"&amp;L155)+1,""))</f>
        <v/>
      </c>
      <c r="N155" t="str">
        <f>IFERROR(INDEX(tblY10[Class],ROWS(N$10:N155))&amp;"","")</f>
        <v/>
      </c>
      <c r="O155" t="str">
        <f>IF(N155="","",IF(COUNTIF(N$10:N155,N155)=1,COUNTIF(N$10:N$609,"&lt;"&amp;N155)+1,""))</f>
        <v/>
      </c>
      <c r="P155" t="str">
        <f>IFERROR(INDEX(tblY11[Class],ROWS(P$10:P155))&amp;"","")</f>
        <v/>
      </c>
      <c r="Q155" t="str">
        <f>IF(P155="","",IF(COUNTIF(P$10:P155,P155)=1,COUNTIF(P$10:P$609,"&lt;"&amp;P155)+1,""))</f>
        <v/>
      </c>
      <c r="BA155" t="str">
        <f>IFERROR(INDEX(wLast,86)&amp;"","")</f>
        <v>Thompson</v>
      </c>
      <c r="BB155" t="str">
        <f>IF(BA155="","",IFERROR(INDEX(wFirst,86)&amp;"",""))</f>
        <v>Hannah</v>
      </c>
      <c r="BC155" t="str">
        <f>IF(BA155="","",IFERROR(INDEX(wClass,86)&amp;"",""))</f>
        <v>11S/Sc5</v>
      </c>
      <c r="BD155">
        <f>IF(BA155="","",IFERROR(INDEX(wKS2,86)+0,""))</f>
        <v>2</v>
      </c>
      <c r="BE155">
        <f>IF(BA155="","",IFERROR(INDEX(wTests,86)+0,0))</f>
        <v>6</v>
      </c>
      <c r="BF155">
        <f>IF(BA155="","",IFERROR(INDEX(wMean,86)+0,""))</f>
        <v>2</v>
      </c>
      <c r="BG155">
        <f>IF(BA155="","",IFERROR(INDEX(wVs,86)+0,""))</f>
        <v>0</v>
      </c>
      <c r="BH155">
        <f>IF(OR(BA155="",wLatest=""),"",IFERROR(INDEX(wData,86,MATCH(wLatest&amp;CHAR(10)&amp;"Stanine",wHdr,0))+0,""))</f>
        <v>2</v>
      </c>
      <c r="BI155" t="str">
        <f>IF(BA155="","",IF(AND(ISNUMBER(BG155),N(BE155)&gt;=WlMinTests,BG155&lt;=-WlGap),"Below KS2 starting point",IF(AND(NOT(ISNUMBER(BD155)),ISNUMBER(BF155),N(BE155)&gt;=WlMinTests,BF155&lt;=WlLowMean),"Low results, no KS2 data","")))</f>
        <v/>
      </c>
      <c r="BJ155" t="str">
        <f>IF(BI155="","",IF(BI155="Below KS2 starting point",BG155,100+BF155)+ROW()/1000000)</f>
        <v/>
      </c>
    </row>
    <row r="156">
      <c r="H156" t="str">
        <f>IFERROR(INDEX(tblY7[Class],ROWS(H$10:H156))&amp;"","")</f>
        <v/>
      </c>
      <c r="I156" t="str">
        <f>IF(H156="","",IF(COUNTIF(H$10:H156,H156)=1,COUNTIF(H$10:H$609,"&lt;"&amp;H156)+1,""))</f>
        <v/>
      </c>
      <c r="J156" t="str">
        <f>IFERROR(INDEX(tblY8[Class],ROWS(J$10:J156))&amp;"","")</f>
        <v/>
      </c>
      <c r="K156" t="str">
        <f>IF(J156="","",IF(COUNTIF(J$10:J156,J156)=1,COUNTIF(J$10:J$609,"&lt;"&amp;J156)+1,""))</f>
        <v/>
      </c>
      <c r="L156" t="str">
        <f>IFERROR(INDEX(tblY9[Class],ROWS(L$10:L156))&amp;"","")</f>
        <v/>
      </c>
      <c r="M156" t="str">
        <f>IF(L156="","",IF(COUNTIF(L$10:L156,L156)=1,COUNTIF(L$10:L$609,"&lt;"&amp;L156)+1,""))</f>
        <v/>
      </c>
      <c r="N156" t="str">
        <f>IFERROR(INDEX(tblY10[Class],ROWS(N$10:N156))&amp;"","")</f>
        <v/>
      </c>
      <c r="O156" t="str">
        <f>IF(N156="","",IF(COUNTIF(N$10:N156,N156)=1,COUNTIF(N$10:N$609,"&lt;"&amp;N156)+1,""))</f>
        <v/>
      </c>
      <c r="P156" t="str">
        <f>IFERROR(INDEX(tblY11[Class],ROWS(P$10:P156))&amp;"","")</f>
        <v/>
      </c>
      <c r="Q156" t="str">
        <f>IF(P156="","",IF(COUNTIF(P$10:P156,P156)=1,COUNTIF(P$10:P$609,"&lt;"&amp;P156)+1,""))</f>
        <v/>
      </c>
      <c r="BA156" t="str">
        <f>IFERROR(INDEX(wLast,87)&amp;"","")</f>
        <v>Thompson</v>
      </c>
      <c r="BB156" t="str">
        <f>IF(BA156="","",IFERROR(INDEX(wFirst,87)&amp;"",""))</f>
        <v>Lily</v>
      </c>
      <c r="BC156" t="str">
        <f>IF(BA156="","",IFERROR(INDEX(wClass,87)&amp;"",""))</f>
        <v>11S/Sc2</v>
      </c>
      <c r="BD156">
        <f>IF(BA156="","",IFERROR(INDEX(wKS2,87)+0,""))</f>
        <v>5</v>
      </c>
      <c r="BE156">
        <f>IF(BA156="","",IFERROR(INDEX(wTests,87)+0,0))</f>
        <v>6</v>
      </c>
      <c r="BF156">
        <f>IF(BA156="","",IFERROR(INDEX(wMean,87)+0,""))</f>
        <v>3.83333333333333</v>
      </c>
      <c r="BG156">
        <f>IF(BA156="","",IFERROR(INDEX(wVs,87)+0,""))</f>
        <v>-1.16666666666667</v>
      </c>
      <c r="BH156">
        <f>IF(OR(BA156="",wLatest=""),"",IFERROR(INDEX(wData,87,MATCH(wLatest&amp;CHAR(10)&amp;"Stanine",wHdr,0))+0,""))</f>
        <v>4</v>
      </c>
      <c r="BI156" t="str">
        <f>IF(BA156="","",IF(AND(ISNUMBER(BG156),N(BE156)&gt;=WlMinTests,BG156&lt;=-WlGap),"Below KS2 starting point",IF(AND(NOT(ISNUMBER(BD156)),ISNUMBER(BF156),N(BE156)&gt;=WlMinTests,BF156&lt;=WlLowMean),"Low results, no KS2 data","")))</f>
        <v/>
      </c>
      <c r="BJ156" t="str">
        <f>IF(BI156="","",IF(BI156="Below KS2 starting point",BG156,100+BF156)+ROW()/1000000)</f>
        <v/>
      </c>
    </row>
    <row r="157">
      <c r="H157" t="str">
        <f>IFERROR(INDEX(tblY7[Class],ROWS(H$10:H157))&amp;"","")</f>
        <v/>
      </c>
      <c r="I157" t="str">
        <f>IF(H157="","",IF(COUNTIF(H$10:H157,H157)=1,COUNTIF(H$10:H$609,"&lt;"&amp;H157)+1,""))</f>
        <v/>
      </c>
      <c r="J157" t="str">
        <f>IFERROR(INDEX(tblY8[Class],ROWS(J$10:J157))&amp;"","")</f>
        <v/>
      </c>
      <c r="K157" t="str">
        <f>IF(J157="","",IF(COUNTIF(J$10:J157,J157)=1,COUNTIF(J$10:J$609,"&lt;"&amp;J157)+1,""))</f>
        <v/>
      </c>
      <c r="L157" t="str">
        <f>IFERROR(INDEX(tblY9[Class],ROWS(L$10:L157))&amp;"","")</f>
        <v/>
      </c>
      <c r="M157" t="str">
        <f>IF(L157="","",IF(COUNTIF(L$10:L157,L157)=1,COUNTIF(L$10:L$609,"&lt;"&amp;L157)+1,""))</f>
        <v/>
      </c>
      <c r="N157" t="str">
        <f>IFERROR(INDEX(tblY10[Class],ROWS(N$10:N157))&amp;"","")</f>
        <v/>
      </c>
      <c r="O157" t="str">
        <f>IF(N157="","",IF(COUNTIF(N$10:N157,N157)=1,COUNTIF(N$10:N$609,"&lt;"&amp;N157)+1,""))</f>
        <v/>
      </c>
      <c r="P157" t="str">
        <f>IFERROR(INDEX(tblY11[Class],ROWS(P$10:P157))&amp;"","")</f>
        <v/>
      </c>
      <c r="Q157" t="str">
        <f>IF(P157="","",IF(COUNTIF(P$10:P157,P157)=1,COUNTIF(P$10:P$609,"&lt;"&amp;P157)+1,""))</f>
        <v/>
      </c>
      <c r="BA157" t="str">
        <f>IFERROR(INDEX(wLast,88)&amp;"","")</f>
        <v>Thompson</v>
      </c>
      <c r="BB157" t="str">
        <f>IF(BA157="","",IFERROR(INDEX(wFirst,88)&amp;"",""))</f>
        <v>Maisie</v>
      </c>
      <c r="BC157" t="str">
        <f>IF(BA157="","",IFERROR(INDEX(wClass,88)&amp;"",""))</f>
        <v>11S/Sc1</v>
      </c>
      <c r="BD157">
        <f>IF(BA157="","",IFERROR(INDEX(wKS2,88)+0,""))</f>
        <v>5</v>
      </c>
      <c r="BE157">
        <f>IF(BA157="","",IFERROR(INDEX(wTests,88)+0,0))</f>
        <v>6</v>
      </c>
      <c r="BF157">
        <f>IF(BA157="","",IFERROR(INDEX(wMean,88)+0,""))</f>
        <v>6.16666666666667</v>
      </c>
      <c r="BG157">
        <f>IF(BA157="","",IFERROR(INDEX(wVs,88)+0,""))</f>
        <v>1.16666666666667</v>
      </c>
      <c r="BH157">
        <f>IF(OR(BA157="",wLatest=""),"",IFERROR(INDEX(wData,88,MATCH(wLatest&amp;CHAR(10)&amp;"Stanine",wHdr,0))+0,""))</f>
        <v>7</v>
      </c>
      <c r="BI157" t="str">
        <f>IF(BA157="","",IF(AND(ISNUMBER(BG157),N(BE157)&gt;=WlMinTests,BG157&lt;=-WlGap),"Below KS2 starting point",IF(AND(NOT(ISNUMBER(BD157)),ISNUMBER(BF157),N(BE157)&gt;=WlMinTests,BF157&lt;=WlLowMean),"Low results, no KS2 data","")))</f>
        <v/>
      </c>
      <c r="BJ157" t="str">
        <f>IF(BI157="","",IF(BI157="Below KS2 starting point",BG157,100+BF157)+ROW()/1000000)</f>
        <v/>
      </c>
    </row>
    <row r="158">
      <c r="H158" t="str">
        <f>IFERROR(INDEX(tblY7[Class],ROWS(H$10:H158))&amp;"","")</f>
        <v/>
      </c>
      <c r="I158" t="str">
        <f>IF(H158="","",IF(COUNTIF(H$10:H158,H158)=1,COUNTIF(H$10:H$609,"&lt;"&amp;H158)+1,""))</f>
        <v/>
      </c>
      <c r="J158" t="str">
        <f>IFERROR(INDEX(tblY8[Class],ROWS(J$10:J158))&amp;"","")</f>
        <v/>
      </c>
      <c r="K158" t="str">
        <f>IF(J158="","",IF(COUNTIF(J$10:J158,J158)=1,COUNTIF(J$10:J$609,"&lt;"&amp;J158)+1,""))</f>
        <v/>
      </c>
      <c r="L158" t="str">
        <f>IFERROR(INDEX(tblY9[Class],ROWS(L$10:L158))&amp;"","")</f>
        <v/>
      </c>
      <c r="M158" t="str">
        <f>IF(L158="","",IF(COUNTIF(L$10:L158,L158)=1,COUNTIF(L$10:L$609,"&lt;"&amp;L158)+1,""))</f>
        <v/>
      </c>
      <c r="N158" t="str">
        <f>IFERROR(INDEX(tblY10[Class],ROWS(N$10:N158))&amp;"","")</f>
        <v/>
      </c>
      <c r="O158" t="str">
        <f>IF(N158="","",IF(COUNTIF(N$10:N158,N158)=1,COUNTIF(N$10:N$609,"&lt;"&amp;N158)+1,""))</f>
        <v/>
      </c>
      <c r="P158" t="str">
        <f>IFERROR(INDEX(tblY11[Class],ROWS(P$10:P158))&amp;"","")</f>
        <v/>
      </c>
      <c r="Q158" t="str">
        <f>IF(P158="","",IF(COUNTIF(P$10:P158,P158)=1,COUNTIF(P$10:P$609,"&lt;"&amp;P158)+1,""))</f>
        <v/>
      </c>
      <c r="BA158" t="str">
        <f>IFERROR(INDEX(wLast,89)&amp;"","")</f>
        <v>Walker</v>
      </c>
      <c r="BB158" t="str">
        <f>IF(BA158="","",IFERROR(INDEX(wFirst,89)&amp;"",""))</f>
        <v>Jack</v>
      </c>
      <c r="BC158" t="str">
        <f>IF(BA158="","",IFERROR(INDEX(wClass,89)&amp;"",""))</f>
        <v>11S/Sc1</v>
      </c>
      <c r="BD158">
        <f>IF(BA158="","",IFERROR(INDEX(wKS2,89)+0,""))</f>
        <v>9</v>
      </c>
      <c r="BE158">
        <f>IF(BA158="","",IFERROR(INDEX(wTests,89)+0,0))</f>
        <v>6</v>
      </c>
      <c r="BF158">
        <f>IF(BA158="","",IFERROR(INDEX(wMean,89)+0,""))</f>
        <v>7.83333333333333</v>
      </c>
      <c r="BG158">
        <f>IF(BA158="","",IFERROR(INDEX(wVs,89)+0,""))</f>
        <v>-1.16666666666667</v>
      </c>
      <c r="BH158">
        <f>IF(OR(BA158="",wLatest=""),"",IFERROR(INDEX(wData,89,MATCH(wLatest&amp;CHAR(10)&amp;"Stanine",wHdr,0))+0,""))</f>
        <v>7</v>
      </c>
      <c r="BI158" t="str">
        <f>IF(BA158="","",IF(AND(ISNUMBER(BG158),N(BE158)&gt;=WlMinTests,BG158&lt;=-WlGap),"Below KS2 starting point",IF(AND(NOT(ISNUMBER(BD158)),ISNUMBER(BF158),N(BE158)&gt;=WlMinTests,BF158&lt;=WlLowMean),"Low results, no KS2 data","")))</f>
        <v/>
      </c>
      <c r="BJ158" t="str">
        <f>IF(BI158="","",IF(BI158="Below KS2 starting point",BG158,100+BF158)+ROW()/1000000)</f>
        <v/>
      </c>
    </row>
    <row r="159">
      <c r="H159" t="str">
        <f>IFERROR(INDEX(tblY7[Class],ROWS(H$10:H159))&amp;"","")</f>
        <v/>
      </c>
      <c r="I159" t="str">
        <f>IF(H159="","",IF(COUNTIF(H$10:H159,H159)=1,COUNTIF(H$10:H$609,"&lt;"&amp;H159)+1,""))</f>
        <v/>
      </c>
      <c r="J159" t="str">
        <f>IFERROR(INDEX(tblY8[Class],ROWS(J$10:J159))&amp;"","")</f>
        <v/>
      </c>
      <c r="K159" t="str">
        <f>IF(J159="","",IF(COUNTIF(J$10:J159,J159)=1,COUNTIF(J$10:J$609,"&lt;"&amp;J159)+1,""))</f>
        <v/>
      </c>
      <c r="L159" t="str">
        <f>IFERROR(INDEX(tblY9[Class],ROWS(L$10:L159))&amp;"","")</f>
        <v/>
      </c>
      <c r="M159" t="str">
        <f>IF(L159="","",IF(COUNTIF(L$10:L159,L159)=1,COUNTIF(L$10:L$609,"&lt;"&amp;L159)+1,""))</f>
        <v/>
      </c>
      <c r="N159" t="str">
        <f>IFERROR(INDEX(tblY10[Class],ROWS(N$10:N159))&amp;"","")</f>
        <v/>
      </c>
      <c r="O159" t="str">
        <f>IF(N159="","",IF(COUNTIF(N$10:N159,N159)=1,COUNTIF(N$10:N$609,"&lt;"&amp;N159)+1,""))</f>
        <v/>
      </c>
      <c r="P159" t="str">
        <f>IFERROR(INDEX(tblY11[Class],ROWS(P$10:P159))&amp;"","")</f>
        <v/>
      </c>
      <c r="Q159" t="str">
        <f>IF(P159="","",IF(COUNTIF(P$10:P159,P159)=1,COUNTIF(P$10:P$609,"&lt;"&amp;P159)+1,""))</f>
        <v/>
      </c>
      <c r="BA159" t="str">
        <f>IFERROR(INDEX(wLast,90)&amp;"","")</f>
        <v>Walker</v>
      </c>
      <c r="BB159" t="str">
        <f>IF(BA159="","",IFERROR(INDEX(wFirst,90)&amp;"",""))</f>
        <v>Jack</v>
      </c>
      <c r="BC159" t="str">
        <f>IF(BA159="","",IFERROR(INDEX(wClass,90)&amp;"",""))</f>
        <v>11S/Sc1</v>
      </c>
      <c r="BD159">
        <f>IF(BA159="","",IFERROR(INDEX(wKS2,90)+0,""))</f>
        <v>7</v>
      </c>
      <c r="BE159">
        <f>IF(BA159="","",IFERROR(INDEX(wTests,90)+0,0))</f>
        <v>5</v>
      </c>
      <c r="BF159">
        <f>IF(BA159="","",IFERROR(INDEX(wMean,90)+0,""))</f>
        <v>7.8</v>
      </c>
      <c r="BG159">
        <f>IF(BA159="","",IFERROR(INDEX(wVs,90)+0,""))</f>
        <v>0.8</v>
      </c>
      <c r="BH159">
        <f>IF(OR(BA159="",wLatest=""),"",IFERROR(INDEX(wData,90,MATCH(wLatest&amp;CHAR(10)&amp;"Stanine",wHdr,0))+0,""))</f>
        <v>8</v>
      </c>
      <c r="BI159" t="str">
        <f>IF(BA159="","",IF(AND(ISNUMBER(BG159),N(BE159)&gt;=WlMinTests,BG159&lt;=-WlGap),"Below KS2 starting point",IF(AND(NOT(ISNUMBER(BD159)),ISNUMBER(BF159),N(BE159)&gt;=WlMinTests,BF159&lt;=WlLowMean),"Low results, no KS2 data","")))</f>
        <v/>
      </c>
      <c r="BJ159" t="str">
        <f>IF(BI159="","",IF(BI159="Below KS2 starting point",BG159,100+BF159)+ROW()/1000000)</f>
        <v/>
      </c>
    </row>
    <row r="160">
      <c r="H160" t="str">
        <f>IFERROR(INDEX(tblY7[Class],ROWS(H$10:H160))&amp;"","")</f>
        <v/>
      </c>
      <c r="I160" t="str">
        <f>IF(H160="","",IF(COUNTIF(H$10:H160,H160)=1,COUNTIF(H$10:H$609,"&lt;"&amp;H160)+1,""))</f>
        <v/>
      </c>
      <c r="J160" t="str">
        <f>IFERROR(INDEX(tblY8[Class],ROWS(J$10:J160))&amp;"","")</f>
        <v/>
      </c>
      <c r="K160" t="str">
        <f>IF(J160="","",IF(COUNTIF(J$10:J160,J160)=1,COUNTIF(J$10:J$609,"&lt;"&amp;J160)+1,""))</f>
        <v/>
      </c>
      <c r="L160" t="str">
        <f>IFERROR(INDEX(tblY9[Class],ROWS(L$10:L160))&amp;"","")</f>
        <v/>
      </c>
      <c r="M160" t="str">
        <f>IF(L160="","",IF(COUNTIF(L$10:L160,L160)=1,COUNTIF(L$10:L$609,"&lt;"&amp;L160)+1,""))</f>
        <v/>
      </c>
      <c r="N160" t="str">
        <f>IFERROR(INDEX(tblY10[Class],ROWS(N$10:N160))&amp;"","")</f>
        <v/>
      </c>
      <c r="O160" t="str">
        <f>IF(N160="","",IF(COUNTIF(N$10:N160,N160)=1,COUNTIF(N$10:N$609,"&lt;"&amp;N160)+1,""))</f>
        <v/>
      </c>
      <c r="P160" t="str">
        <f>IFERROR(INDEX(tblY11[Class],ROWS(P$10:P160))&amp;"","")</f>
        <v/>
      </c>
      <c r="Q160" t="str">
        <f>IF(P160="","",IF(COUNTIF(P$10:P160,P160)=1,COUNTIF(P$10:P$609,"&lt;"&amp;P160)+1,""))</f>
        <v/>
      </c>
      <c r="BA160" t="str">
        <f>IFERROR(INDEX(wLast,91)&amp;"","")</f>
        <v>Ward</v>
      </c>
      <c r="BB160" t="str">
        <f>IF(BA160="","",IFERROR(INDEX(wFirst,91)&amp;"",""))</f>
        <v>Jack</v>
      </c>
      <c r="BC160" t="str">
        <f>IF(BA160="","",IFERROR(INDEX(wClass,91)&amp;"",""))</f>
        <v>11S/Sc3</v>
      </c>
      <c r="BD160">
        <f>IF(BA160="","",IFERROR(INDEX(wKS2,91)+0,""))</f>
        <v>6</v>
      </c>
      <c r="BE160">
        <f>IF(BA160="","",IFERROR(INDEX(wTests,91)+0,0))</f>
        <v>6</v>
      </c>
      <c r="BF160">
        <f>IF(BA160="","",IFERROR(INDEX(wMean,91)+0,""))</f>
        <v>4.33333333333333</v>
      </c>
      <c r="BG160">
        <f>IF(BA160="","",IFERROR(INDEX(wVs,91)+0,""))</f>
        <v>-1.66666666666667</v>
      </c>
      <c r="BH160">
        <f>IF(OR(BA160="",wLatest=""),"",IFERROR(INDEX(wData,91,MATCH(wLatest&amp;CHAR(10)&amp;"Stanine",wHdr,0))+0,""))</f>
        <v>4</v>
      </c>
      <c r="BI160" t="str">
        <f>IF(BA160="","",IF(AND(ISNUMBER(BG160),N(BE160)&gt;=WlMinTests,BG160&lt;=-WlGap),"Below KS2 starting point",IF(AND(NOT(ISNUMBER(BD160)),ISNUMBER(BF160),N(BE160)&gt;=WlMinTests,BF160&lt;=WlLowMean),"Low results, no KS2 data","")))</f>
        <v>Below KS2 starting point</v>
      </c>
      <c r="BJ160">
        <f>IF(BI160="","",IF(BI160="Below KS2 starting point",BG160,100+BF160)+ROW()/1000000)</f>
        <v>-1.66650666666667</v>
      </c>
    </row>
    <row r="161">
      <c r="H161" t="str">
        <f>IFERROR(INDEX(tblY7[Class],ROWS(H$10:H161))&amp;"","")</f>
        <v/>
      </c>
      <c r="I161" t="str">
        <f>IF(H161="","",IF(COUNTIF(H$10:H161,H161)=1,COUNTIF(H$10:H$609,"&lt;"&amp;H161)+1,""))</f>
        <v/>
      </c>
      <c r="J161" t="str">
        <f>IFERROR(INDEX(tblY8[Class],ROWS(J$10:J161))&amp;"","")</f>
        <v/>
      </c>
      <c r="K161" t="str">
        <f>IF(J161="","",IF(COUNTIF(J$10:J161,J161)=1,COUNTIF(J$10:J$609,"&lt;"&amp;J161)+1,""))</f>
        <v/>
      </c>
      <c r="L161" t="str">
        <f>IFERROR(INDEX(tblY9[Class],ROWS(L$10:L161))&amp;"","")</f>
        <v/>
      </c>
      <c r="M161" t="str">
        <f>IF(L161="","",IF(COUNTIF(L$10:L161,L161)=1,COUNTIF(L$10:L$609,"&lt;"&amp;L161)+1,""))</f>
        <v/>
      </c>
      <c r="N161" t="str">
        <f>IFERROR(INDEX(tblY10[Class],ROWS(N$10:N161))&amp;"","")</f>
        <v/>
      </c>
      <c r="O161" t="str">
        <f>IF(N161="","",IF(COUNTIF(N$10:N161,N161)=1,COUNTIF(N$10:N$609,"&lt;"&amp;N161)+1,""))</f>
        <v/>
      </c>
      <c r="P161" t="str">
        <f>IFERROR(INDEX(tblY11[Class],ROWS(P$10:P161))&amp;"","")</f>
        <v/>
      </c>
      <c r="Q161" t="str">
        <f>IF(P161="","",IF(COUNTIF(P$10:P161,P161)=1,COUNTIF(P$10:P$609,"&lt;"&amp;P161)+1,""))</f>
        <v/>
      </c>
      <c r="BA161" t="str">
        <f>IFERROR(INDEX(wLast,92)&amp;"","")</f>
        <v>Ward</v>
      </c>
      <c r="BB161" t="str">
        <f>IF(BA161="","",IFERROR(INDEX(wFirst,92)&amp;"",""))</f>
        <v>Maisie</v>
      </c>
      <c r="BC161" t="str">
        <f>IF(BA161="","",IFERROR(INDEX(wClass,92)&amp;"",""))</f>
        <v>11S/Sc2</v>
      </c>
      <c r="BD161">
        <f>IF(BA161="","",IFERROR(INDEX(wKS2,92)+0,""))</f>
        <v>5</v>
      </c>
      <c r="BE161">
        <f>IF(BA161="","",IFERROR(INDEX(wTests,92)+0,0))</f>
        <v>6</v>
      </c>
      <c r="BF161">
        <f>IF(BA161="","",IFERROR(INDEX(wMean,92)+0,""))</f>
        <v>5.16666666666667</v>
      </c>
      <c r="BG161">
        <f>IF(BA161="","",IFERROR(INDEX(wVs,92)+0,""))</f>
        <v>0.166666666666667</v>
      </c>
      <c r="BH161">
        <f>IF(OR(BA161="",wLatest=""),"",IFERROR(INDEX(wData,92,MATCH(wLatest&amp;CHAR(10)&amp;"Stanine",wHdr,0))+0,""))</f>
        <v>4</v>
      </c>
      <c r="BI161" t="str">
        <f>IF(BA161="","",IF(AND(ISNUMBER(BG161),N(BE161)&gt;=WlMinTests,BG161&lt;=-WlGap),"Below KS2 starting point",IF(AND(NOT(ISNUMBER(BD161)),ISNUMBER(BF161),N(BE161)&gt;=WlMinTests,BF161&lt;=WlLowMean),"Low results, no KS2 data","")))</f>
        <v/>
      </c>
      <c r="BJ161" t="str">
        <f>IF(BI161="","",IF(BI161="Below KS2 starting point",BG161,100+BF161)+ROW()/1000000)</f>
        <v/>
      </c>
    </row>
    <row r="162">
      <c r="H162" t="str">
        <f>IFERROR(INDEX(tblY7[Class],ROWS(H$10:H162))&amp;"","")</f>
        <v/>
      </c>
      <c r="I162" t="str">
        <f>IF(H162="","",IF(COUNTIF(H$10:H162,H162)=1,COUNTIF(H$10:H$609,"&lt;"&amp;H162)+1,""))</f>
        <v/>
      </c>
      <c r="J162" t="str">
        <f>IFERROR(INDEX(tblY8[Class],ROWS(J$10:J162))&amp;"","")</f>
        <v/>
      </c>
      <c r="K162" t="str">
        <f>IF(J162="","",IF(COUNTIF(J$10:J162,J162)=1,COUNTIF(J$10:J$609,"&lt;"&amp;J162)+1,""))</f>
        <v/>
      </c>
      <c r="L162" t="str">
        <f>IFERROR(INDEX(tblY9[Class],ROWS(L$10:L162))&amp;"","")</f>
        <v/>
      </c>
      <c r="M162" t="str">
        <f>IF(L162="","",IF(COUNTIF(L$10:L162,L162)=1,COUNTIF(L$10:L$609,"&lt;"&amp;L162)+1,""))</f>
        <v/>
      </c>
      <c r="N162" t="str">
        <f>IFERROR(INDEX(tblY10[Class],ROWS(N$10:N162))&amp;"","")</f>
        <v/>
      </c>
      <c r="O162" t="str">
        <f>IF(N162="","",IF(COUNTIF(N$10:N162,N162)=1,COUNTIF(N$10:N$609,"&lt;"&amp;N162)+1,""))</f>
        <v/>
      </c>
      <c r="P162" t="str">
        <f>IFERROR(INDEX(tblY11[Class],ROWS(P$10:P162))&amp;"","")</f>
        <v/>
      </c>
      <c r="Q162" t="str">
        <f>IF(P162="","",IF(COUNTIF(P$10:P162,P162)=1,COUNTIF(P$10:P$609,"&lt;"&amp;P162)+1,""))</f>
        <v/>
      </c>
      <c r="BA162" t="str">
        <f>IFERROR(INDEX(wLast,93)&amp;"","")</f>
        <v>Ward</v>
      </c>
      <c r="BB162" t="str">
        <f>IF(BA162="","",IFERROR(INDEX(wFirst,93)&amp;"",""))</f>
        <v>Rosie</v>
      </c>
      <c r="BC162" t="str">
        <f>IF(BA162="","",IFERROR(INDEX(wClass,93)&amp;"",""))</f>
        <v>11S/Sc4</v>
      </c>
      <c r="BD162">
        <f>IF(BA162="","",IFERROR(INDEX(wKS2,93)+0,""))</f>
        <v>6</v>
      </c>
      <c r="BE162">
        <f>IF(BA162="","",IFERROR(INDEX(wTests,93)+0,0))</f>
        <v>6</v>
      </c>
      <c r="BF162">
        <f>IF(BA162="","",IFERROR(INDEX(wMean,93)+0,""))</f>
        <v>3.33333333333333</v>
      </c>
      <c r="BG162">
        <f>IF(BA162="","",IFERROR(INDEX(wVs,93)+0,""))</f>
        <v>-2.66666666666667</v>
      </c>
      <c r="BH162">
        <f>IF(OR(BA162="",wLatest=""),"",IFERROR(INDEX(wData,93,MATCH(wLatest&amp;CHAR(10)&amp;"Stanine",wHdr,0))+0,""))</f>
        <v>4</v>
      </c>
      <c r="BI162" t="str">
        <f>IF(BA162="","",IF(AND(ISNUMBER(BG162),N(BE162)&gt;=WlMinTests,BG162&lt;=-WlGap),"Below KS2 starting point",IF(AND(NOT(ISNUMBER(BD162)),ISNUMBER(BF162),N(BE162)&gt;=WlMinTests,BF162&lt;=WlLowMean),"Low results, no KS2 data","")))</f>
        <v>Below KS2 starting point</v>
      </c>
      <c r="BJ162">
        <f>IF(BI162="","",IF(BI162="Below KS2 starting point",BG162,100+BF162)+ROW()/1000000)</f>
        <v>-2.66650466666667</v>
      </c>
    </row>
    <row r="163">
      <c r="H163" t="str">
        <f>IFERROR(INDEX(tblY7[Class],ROWS(H$10:H163))&amp;"","")</f>
        <v/>
      </c>
      <c r="I163" t="str">
        <f>IF(H163="","",IF(COUNTIF(H$10:H163,H163)=1,COUNTIF(H$10:H$609,"&lt;"&amp;H163)+1,""))</f>
        <v/>
      </c>
      <c r="J163" t="str">
        <f>IFERROR(INDEX(tblY8[Class],ROWS(J$10:J163))&amp;"","")</f>
        <v/>
      </c>
      <c r="K163" t="str">
        <f>IF(J163="","",IF(COUNTIF(J$10:J163,J163)=1,COUNTIF(J$10:J$609,"&lt;"&amp;J163)+1,""))</f>
        <v/>
      </c>
      <c r="L163" t="str">
        <f>IFERROR(INDEX(tblY9[Class],ROWS(L$10:L163))&amp;"","")</f>
        <v/>
      </c>
      <c r="M163" t="str">
        <f>IF(L163="","",IF(COUNTIF(L$10:L163,L163)=1,COUNTIF(L$10:L$609,"&lt;"&amp;L163)+1,""))</f>
        <v/>
      </c>
      <c r="N163" t="str">
        <f>IFERROR(INDEX(tblY10[Class],ROWS(N$10:N163))&amp;"","")</f>
        <v/>
      </c>
      <c r="O163" t="str">
        <f>IF(N163="","",IF(COUNTIF(N$10:N163,N163)=1,COUNTIF(N$10:N$609,"&lt;"&amp;N163)+1,""))</f>
        <v/>
      </c>
      <c r="P163" t="str">
        <f>IFERROR(INDEX(tblY11[Class],ROWS(P$10:P163))&amp;"","")</f>
        <v/>
      </c>
      <c r="Q163" t="str">
        <f>IF(P163="","",IF(COUNTIF(P$10:P163,P163)=1,COUNTIF(P$10:P$609,"&lt;"&amp;P163)+1,""))</f>
        <v/>
      </c>
      <c r="BA163" t="str">
        <f>IFERROR(INDEX(wLast,94)&amp;"","")</f>
        <v>Williams</v>
      </c>
      <c r="BB163" t="str">
        <f>IF(BA163="","",IFERROR(INDEX(wFirst,94)&amp;"",""))</f>
        <v>Ella</v>
      </c>
      <c r="BC163" t="str">
        <f>IF(BA163="","",IFERROR(INDEX(wClass,94)&amp;"",""))</f>
        <v>11S/Sc3</v>
      </c>
      <c r="BD163">
        <f>IF(BA163="","",IFERROR(INDEX(wKS2,94)+0,""))</f>
        <v>2</v>
      </c>
      <c r="BE163">
        <f>IF(BA163="","",IFERROR(INDEX(wTests,94)+0,0))</f>
        <v>6</v>
      </c>
      <c r="BF163">
        <f>IF(BA163="","",IFERROR(INDEX(wMean,94)+0,""))</f>
        <v>2.33333333333333</v>
      </c>
      <c r="BG163">
        <f>IF(BA163="","",IFERROR(INDEX(wVs,94)+0,""))</f>
        <v>0.333333333333334</v>
      </c>
      <c r="BH163">
        <f>IF(OR(BA163="",wLatest=""),"",IFERROR(INDEX(wData,94,MATCH(wLatest&amp;CHAR(10)&amp;"Stanine",wHdr,0))+0,""))</f>
        <v>2</v>
      </c>
      <c r="BI163" t="str">
        <f>IF(BA163="","",IF(AND(ISNUMBER(BG163),N(BE163)&gt;=WlMinTests,BG163&lt;=-WlGap),"Below KS2 starting point",IF(AND(NOT(ISNUMBER(BD163)),ISNUMBER(BF163),N(BE163)&gt;=WlMinTests,BF163&lt;=WlLowMean),"Low results, no KS2 data","")))</f>
        <v/>
      </c>
      <c r="BJ163" t="str">
        <f>IF(BI163="","",IF(BI163="Below KS2 starting point",BG163,100+BF163)+ROW()/1000000)</f>
        <v/>
      </c>
    </row>
    <row r="164">
      <c r="H164" t="str">
        <f>IFERROR(INDEX(tblY7[Class],ROWS(H$10:H164))&amp;"","")</f>
        <v/>
      </c>
      <c r="I164" t="str">
        <f>IF(H164="","",IF(COUNTIF(H$10:H164,H164)=1,COUNTIF(H$10:H$609,"&lt;"&amp;H164)+1,""))</f>
        <v/>
      </c>
      <c r="J164" t="str">
        <f>IFERROR(INDEX(tblY8[Class],ROWS(J$10:J164))&amp;"","")</f>
        <v/>
      </c>
      <c r="K164" t="str">
        <f>IF(J164="","",IF(COUNTIF(J$10:J164,J164)=1,COUNTIF(J$10:J$609,"&lt;"&amp;J164)+1,""))</f>
        <v/>
      </c>
      <c r="L164" t="str">
        <f>IFERROR(INDEX(tblY9[Class],ROWS(L$10:L164))&amp;"","")</f>
        <v/>
      </c>
      <c r="M164" t="str">
        <f>IF(L164="","",IF(COUNTIF(L$10:L164,L164)=1,COUNTIF(L$10:L$609,"&lt;"&amp;L164)+1,""))</f>
        <v/>
      </c>
      <c r="N164" t="str">
        <f>IFERROR(INDEX(tblY10[Class],ROWS(N$10:N164))&amp;"","")</f>
        <v/>
      </c>
      <c r="O164" t="str">
        <f>IF(N164="","",IF(COUNTIF(N$10:N164,N164)=1,COUNTIF(N$10:N$609,"&lt;"&amp;N164)+1,""))</f>
        <v/>
      </c>
      <c r="P164" t="str">
        <f>IFERROR(INDEX(tblY11[Class],ROWS(P$10:P164))&amp;"","")</f>
        <v/>
      </c>
      <c r="Q164" t="str">
        <f>IF(P164="","",IF(COUNTIF(P$10:P164,P164)=1,COUNTIF(P$10:P$609,"&lt;"&amp;P164)+1,""))</f>
        <v/>
      </c>
      <c r="BA164" t="str">
        <f>IFERROR(INDEX(wLast,95)&amp;"","")</f>
        <v>Williams</v>
      </c>
      <c r="BB164" t="str">
        <f>IF(BA164="","",IFERROR(INDEX(wFirst,95)&amp;"",""))</f>
        <v>Maya</v>
      </c>
      <c r="BC164" t="str">
        <f>IF(BA164="","",IFERROR(INDEX(wClass,95)&amp;"",""))</f>
        <v>11S/Sc2</v>
      </c>
      <c r="BD164">
        <f>IF(BA164="","",IFERROR(INDEX(wKS2,95)+0,""))</f>
        <v>5</v>
      </c>
      <c r="BE164">
        <f>IF(BA164="","",IFERROR(INDEX(wTests,95)+0,0))</f>
        <v>5</v>
      </c>
      <c r="BF164">
        <f>IF(BA164="","",IFERROR(INDEX(wMean,95)+0,""))</f>
        <v>4</v>
      </c>
      <c r="BG164">
        <f>IF(BA164="","",IFERROR(INDEX(wVs,95)+0,""))</f>
        <v>-1</v>
      </c>
      <c r="BH164">
        <f>IF(OR(BA164="",wLatest=""),"",IFERROR(INDEX(wData,95,MATCH(wLatest&amp;CHAR(10)&amp;"Stanine",wHdr,0))+0,""))</f>
        <v>4</v>
      </c>
      <c r="BI164" t="str">
        <f>IF(BA164="","",IF(AND(ISNUMBER(BG164),N(BE164)&gt;=WlMinTests,BG164&lt;=-WlGap),"Below KS2 starting point",IF(AND(NOT(ISNUMBER(BD164)),ISNUMBER(BF164),N(BE164)&gt;=WlMinTests,BF164&lt;=WlLowMean),"Low results, no KS2 data","")))</f>
        <v/>
      </c>
      <c r="BJ164" t="str">
        <f>IF(BI164="","",IF(BI164="Below KS2 starting point",BG164,100+BF164)+ROW()/1000000)</f>
        <v/>
      </c>
    </row>
    <row r="165">
      <c r="H165" t="str">
        <f>IFERROR(INDEX(tblY7[Class],ROWS(H$10:H165))&amp;"","")</f>
        <v/>
      </c>
      <c r="I165" t="str">
        <f>IF(H165="","",IF(COUNTIF(H$10:H165,H165)=1,COUNTIF(H$10:H$609,"&lt;"&amp;H165)+1,""))</f>
        <v/>
      </c>
      <c r="J165" t="str">
        <f>IFERROR(INDEX(tblY8[Class],ROWS(J$10:J165))&amp;"","")</f>
        <v/>
      </c>
      <c r="K165" t="str">
        <f>IF(J165="","",IF(COUNTIF(J$10:J165,J165)=1,COUNTIF(J$10:J$609,"&lt;"&amp;J165)+1,""))</f>
        <v/>
      </c>
      <c r="L165" t="str">
        <f>IFERROR(INDEX(tblY9[Class],ROWS(L$10:L165))&amp;"","")</f>
        <v/>
      </c>
      <c r="M165" t="str">
        <f>IF(L165="","",IF(COUNTIF(L$10:L165,L165)=1,COUNTIF(L$10:L$609,"&lt;"&amp;L165)+1,""))</f>
        <v/>
      </c>
      <c r="N165" t="str">
        <f>IFERROR(INDEX(tblY10[Class],ROWS(N$10:N165))&amp;"","")</f>
        <v/>
      </c>
      <c r="O165" t="str">
        <f>IF(N165="","",IF(COUNTIF(N$10:N165,N165)=1,COUNTIF(N$10:N$609,"&lt;"&amp;N165)+1,""))</f>
        <v/>
      </c>
      <c r="P165" t="str">
        <f>IFERROR(INDEX(tblY11[Class],ROWS(P$10:P165))&amp;"","")</f>
        <v/>
      </c>
      <c r="Q165" t="str">
        <f>IF(P165="","",IF(COUNTIF(P$10:P165,P165)=1,COUNTIF(P$10:P$609,"&lt;"&amp;P165)+1,""))</f>
        <v/>
      </c>
      <c r="BA165" t="str">
        <f>IFERROR(INDEX(wLast,96)&amp;"","")</f>
        <v>Williams</v>
      </c>
      <c r="BB165" t="str">
        <f>IF(BA165="","",IFERROR(INDEX(wFirst,96)&amp;"",""))</f>
        <v>Seren</v>
      </c>
      <c r="BC165" t="str">
        <f>IF(BA165="","",IFERROR(INDEX(wClass,96)&amp;"",""))</f>
        <v>11S/Sc1</v>
      </c>
      <c r="BD165">
        <f>IF(BA165="","",IFERROR(INDEX(wKS2,96)+0,""))</f>
        <v>5</v>
      </c>
      <c r="BE165">
        <f>IF(BA165="","",IFERROR(INDEX(wTests,96)+0,0))</f>
        <v>6</v>
      </c>
      <c r="BF165">
        <f>IF(BA165="","",IFERROR(INDEX(wMean,96)+0,""))</f>
        <v>5.5</v>
      </c>
      <c r="BG165">
        <f>IF(BA165="","",IFERROR(INDEX(wVs,96)+0,""))</f>
        <v>0.5</v>
      </c>
      <c r="BH165">
        <f>IF(OR(BA165="",wLatest=""),"",IFERROR(INDEX(wData,96,MATCH(wLatest&amp;CHAR(10)&amp;"Stanine",wHdr,0))+0,""))</f>
        <v>6</v>
      </c>
      <c r="BI165" t="str">
        <f>IF(BA165="","",IF(AND(ISNUMBER(BG165),N(BE165)&gt;=WlMinTests,BG165&lt;=-WlGap),"Below KS2 starting point",IF(AND(NOT(ISNUMBER(BD165)),ISNUMBER(BF165),N(BE165)&gt;=WlMinTests,BF165&lt;=WlLowMean),"Low results, no KS2 data","")))</f>
        <v/>
      </c>
      <c r="BJ165" t="str">
        <f>IF(BI165="","",IF(BI165="Below KS2 starting point",BG165,100+BF165)+ROW()/1000000)</f>
        <v/>
      </c>
    </row>
    <row r="166">
      <c r="H166" t="str">
        <f>IFERROR(INDEX(tblY7[Class],ROWS(H$10:H166))&amp;"","")</f>
        <v/>
      </c>
      <c r="I166" t="str">
        <f>IF(H166="","",IF(COUNTIF(H$10:H166,H166)=1,COUNTIF(H$10:H$609,"&lt;"&amp;H166)+1,""))</f>
        <v/>
      </c>
      <c r="J166" t="str">
        <f>IFERROR(INDEX(tblY8[Class],ROWS(J$10:J166))&amp;"","")</f>
        <v/>
      </c>
      <c r="K166" t="str">
        <f>IF(J166="","",IF(COUNTIF(J$10:J166,J166)=1,COUNTIF(J$10:J$609,"&lt;"&amp;J166)+1,""))</f>
        <v/>
      </c>
      <c r="L166" t="str">
        <f>IFERROR(INDEX(tblY9[Class],ROWS(L$10:L166))&amp;"","")</f>
        <v/>
      </c>
      <c r="M166" t="str">
        <f>IF(L166="","",IF(COUNTIF(L$10:L166,L166)=1,COUNTIF(L$10:L$609,"&lt;"&amp;L166)+1,""))</f>
        <v/>
      </c>
      <c r="N166" t="str">
        <f>IFERROR(INDEX(tblY10[Class],ROWS(N$10:N166))&amp;"","")</f>
        <v/>
      </c>
      <c r="O166" t="str">
        <f>IF(N166="","",IF(COUNTIF(N$10:N166,N166)=1,COUNTIF(N$10:N$609,"&lt;"&amp;N166)+1,""))</f>
        <v/>
      </c>
      <c r="P166" t="str">
        <f>IFERROR(INDEX(tblY11[Class],ROWS(P$10:P166))&amp;"","")</f>
        <v/>
      </c>
      <c r="Q166" t="str">
        <f>IF(P166="","",IF(COUNTIF(P$10:P166,P166)=1,COUNTIF(P$10:P$609,"&lt;"&amp;P166)+1,""))</f>
        <v/>
      </c>
      <c r="BA166" t="str">
        <f>IFERROR(INDEX(wLast,97)&amp;"","")</f>
        <v>Wilson</v>
      </c>
      <c r="BB166" t="str">
        <f>IF(BA166="","",IFERROR(INDEX(wFirst,97)&amp;"",""))</f>
        <v>Grace</v>
      </c>
      <c r="BC166" t="str">
        <f>IF(BA166="","",IFERROR(INDEX(wClass,97)&amp;"",""))</f>
        <v>11S/Sc3</v>
      </c>
      <c r="BD166">
        <f>IF(BA166="","",IFERROR(INDEX(wKS2,97)+0,""))</f>
        <v>6</v>
      </c>
      <c r="BE166">
        <f>IF(BA166="","",IFERROR(INDEX(wTests,97)+0,0))</f>
        <v>6</v>
      </c>
      <c r="BF166">
        <f>IF(BA166="","",IFERROR(INDEX(wMean,97)+0,""))</f>
        <v>7.33333333333333</v>
      </c>
      <c r="BG166">
        <f>IF(BA166="","",IFERROR(INDEX(wVs,97)+0,""))</f>
        <v>1.33333333333333</v>
      </c>
      <c r="BH166">
        <f>IF(OR(BA166="",wLatest=""),"",IFERROR(INDEX(wData,97,MATCH(wLatest&amp;CHAR(10)&amp;"Stanine",wHdr,0))+0,""))</f>
        <v>7</v>
      </c>
      <c r="BI166" t="str">
        <f>IF(BA166="","",IF(AND(ISNUMBER(BG166),N(BE166)&gt;=WlMinTests,BG166&lt;=-WlGap),"Below KS2 starting point",IF(AND(NOT(ISNUMBER(BD166)),ISNUMBER(BF166),N(BE166)&gt;=WlMinTests,BF166&lt;=WlLowMean),"Low results, no KS2 data","")))</f>
        <v/>
      </c>
      <c r="BJ166" t="str">
        <f>IF(BI166="","",IF(BI166="Below KS2 starting point",BG166,100+BF166)+ROW()/1000000)</f>
        <v/>
      </c>
    </row>
    <row r="167">
      <c r="H167" t="str">
        <f>IFERROR(INDEX(tblY7[Class],ROWS(H$10:H167))&amp;"","")</f>
        <v/>
      </c>
      <c r="I167" t="str">
        <f>IF(H167="","",IF(COUNTIF(H$10:H167,H167)=1,COUNTIF(H$10:H$609,"&lt;"&amp;H167)+1,""))</f>
        <v/>
      </c>
      <c r="J167" t="str">
        <f>IFERROR(INDEX(tblY8[Class],ROWS(J$10:J167))&amp;"","")</f>
        <v/>
      </c>
      <c r="K167" t="str">
        <f>IF(J167="","",IF(COUNTIF(J$10:J167,J167)=1,COUNTIF(J$10:J$609,"&lt;"&amp;J167)+1,""))</f>
        <v/>
      </c>
      <c r="L167" t="str">
        <f>IFERROR(INDEX(tblY9[Class],ROWS(L$10:L167))&amp;"","")</f>
        <v/>
      </c>
      <c r="M167" t="str">
        <f>IF(L167="","",IF(COUNTIF(L$10:L167,L167)=1,COUNTIF(L$10:L$609,"&lt;"&amp;L167)+1,""))</f>
        <v/>
      </c>
      <c r="N167" t="str">
        <f>IFERROR(INDEX(tblY10[Class],ROWS(N$10:N167))&amp;"","")</f>
        <v/>
      </c>
      <c r="O167" t="str">
        <f>IF(N167="","",IF(COUNTIF(N$10:N167,N167)=1,COUNTIF(N$10:N$609,"&lt;"&amp;N167)+1,""))</f>
        <v/>
      </c>
      <c r="P167" t="str">
        <f>IFERROR(INDEX(tblY11[Class],ROWS(P$10:P167))&amp;"","")</f>
        <v/>
      </c>
      <c r="Q167" t="str">
        <f>IF(P167="","",IF(COUNTIF(P$10:P167,P167)=1,COUNTIF(P$10:P$609,"&lt;"&amp;P167)+1,""))</f>
        <v/>
      </c>
      <c r="BA167" t="str">
        <f>IFERROR(INDEX(wLast,98)&amp;"","")</f>
        <v>Wilson</v>
      </c>
      <c r="BB167" t="str">
        <f>IF(BA167="","",IFERROR(INDEX(wFirst,98)&amp;"",""))</f>
        <v>Ibrahim</v>
      </c>
      <c r="BC167" t="str">
        <f>IF(BA167="","",IFERROR(INDEX(wClass,98)&amp;"",""))</f>
        <v>11S/Sc4</v>
      </c>
      <c r="BD167">
        <f>IF(BA167="","",IFERROR(INDEX(wKS2,98)+0,""))</f>
        <v>3</v>
      </c>
      <c r="BE167">
        <f>IF(BA167="","",IFERROR(INDEX(wTests,98)+0,0))</f>
        <v>6</v>
      </c>
      <c r="BF167">
        <f>IF(BA167="","",IFERROR(INDEX(wMean,98)+0,""))</f>
        <v>3.5</v>
      </c>
      <c r="BG167">
        <f>IF(BA167="","",IFERROR(INDEX(wVs,98)+0,""))</f>
        <v>0.5</v>
      </c>
      <c r="BH167">
        <f>IF(OR(BA167="",wLatest=""),"",IFERROR(INDEX(wData,98,MATCH(wLatest&amp;CHAR(10)&amp;"Stanine",wHdr,0))+0,""))</f>
        <v>4</v>
      </c>
      <c r="BI167" t="str">
        <f>IF(BA167="","",IF(AND(ISNUMBER(BG167),N(BE167)&gt;=WlMinTests,BG167&lt;=-WlGap),"Below KS2 starting point",IF(AND(NOT(ISNUMBER(BD167)),ISNUMBER(BF167),N(BE167)&gt;=WlMinTests,BF167&lt;=WlLowMean),"Low results, no KS2 data","")))</f>
        <v/>
      </c>
      <c r="BJ167" t="str">
        <f>IF(BI167="","",IF(BI167="Below KS2 starting point",BG167,100+BF167)+ROW()/1000000)</f>
        <v/>
      </c>
    </row>
    <row r="168">
      <c r="H168" t="str">
        <f>IFERROR(INDEX(tblY7[Class],ROWS(H$10:H168))&amp;"","")</f>
        <v/>
      </c>
      <c r="I168" t="str">
        <f>IF(H168="","",IF(COUNTIF(H$10:H168,H168)=1,COUNTIF(H$10:H$609,"&lt;"&amp;H168)+1,""))</f>
        <v/>
      </c>
      <c r="J168" t="str">
        <f>IFERROR(INDEX(tblY8[Class],ROWS(J$10:J168))&amp;"","")</f>
        <v/>
      </c>
      <c r="K168" t="str">
        <f>IF(J168="","",IF(COUNTIF(J$10:J168,J168)=1,COUNTIF(J$10:J$609,"&lt;"&amp;J168)+1,""))</f>
        <v/>
      </c>
      <c r="L168" t="str">
        <f>IFERROR(INDEX(tblY9[Class],ROWS(L$10:L168))&amp;"","")</f>
        <v/>
      </c>
      <c r="M168" t="str">
        <f>IF(L168="","",IF(COUNTIF(L$10:L168,L168)=1,COUNTIF(L$10:L$609,"&lt;"&amp;L168)+1,""))</f>
        <v/>
      </c>
      <c r="N168" t="str">
        <f>IFERROR(INDEX(tblY10[Class],ROWS(N$10:N168))&amp;"","")</f>
        <v/>
      </c>
      <c r="O168" t="str">
        <f>IF(N168="","",IF(COUNTIF(N$10:N168,N168)=1,COUNTIF(N$10:N$609,"&lt;"&amp;N168)+1,""))</f>
        <v/>
      </c>
      <c r="P168" t="str">
        <f>IFERROR(INDEX(tblY11[Class],ROWS(P$10:P168))&amp;"","")</f>
        <v/>
      </c>
      <c r="Q168" t="str">
        <f>IF(P168="","",IF(COUNTIF(P$10:P168,P168)=1,COUNTIF(P$10:P$609,"&lt;"&amp;P168)+1,""))</f>
        <v/>
      </c>
      <c r="BA168" t="str">
        <f>IFERROR(INDEX(wLast,99)&amp;"","")</f>
        <v>Wilson</v>
      </c>
      <c r="BB168" t="str">
        <f>IF(BA168="","",IFERROR(INDEX(wFirst,99)&amp;"",""))</f>
        <v>Layla</v>
      </c>
      <c r="BC168" t="str">
        <f>IF(BA168="","",IFERROR(INDEX(wClass,99)&amp;"",""))</f>
        <v>11S/Sc5</v>
      </c>
      <c r="BD168">
        <f>IF(BA168="","",IFERROR(INDEX(wKS2,99)+0,""))</f>
        <v>4</v>
      </c>
      <c r="BE168">
        <f>IF(BA168="","",IFERROR(INDEX(wTests,99)+0,0))</f>
        <v>6</v>
      </c>
      <c r="BF168">
        <f>IF(BA168="","",IFERROR(INDEX(wMean,99)+0,""))</f>
        <v>3.16666666666667</v>
      </c>
      <c r="BG168">
        <f>IF(BA168="","",IFERROR(INDEX(wVs,99)+0,""))</f>
        <v>-0.833333333333334</v>
      </c>
      <c r="BH168">
        <f>IF(OR(BA168="",wLatest=""),"",IFERROR(INDEX(wData,99,MATCH(wLatest&amp;CHAR(10)&amp;"Stanine",wHdr,0))+0,""))</f>
        <v>3</v>
      </c>
      <c r="BI168" t="str">
        <f>IF(BA168="","",IF(AND(ISNUMBER(BG168),N(BE168)&gt;=WlMinTests,BG168&lt;=-WlGap),"Below KS2 starting point",IF(AND(NOT(ISNUMBER(BD168)),ISNUMBER(BF168),N(BE168)&gt;=WlMinTests,BF168&lt;=WlLowMean),"Low results, no KS2 data","")))</f>
        <v/>
      </c>
      <c r="BJ168" t="str">
        <f>IF(BI168="","",IF(BI168="Below KS2 starting point",BG168,100+BF168)+ROW()/1000000)</f>
        <v/>
      </c>
    </row>
    <row r="169">
      <c r="H169" t="str">
        <f>IFERROR(INDEX(tblY7[Class],ROWS(H$10:H169))&amp;"","")</f>
        <v/>
      </c>
      <c r="I169" t="str">
        <f>IF(H169="","",IF(COUNTIF(H$10:H169,H169)=1,COUNTIF(H$10:H$609,"&lt;"&amp;H169)+1,""))</f>
        <v/>
      </c>
      <c r="J169" t="str">
        <f>IFERROR(INDEX(tblY8[Class],ROWS(J$10:J169))&amp;"","")</f>
        <v/>
      </c>
      <c r="K169" t="str">
        <f>IF(J169="","",IF(COUNTIF(J$10:J169,J169)=1,COUNTIF(J$10:J$609,"&lt;"&amp;J169)+1,""))</f>
        <v/>
      </c>
      <c r="L169" t="str">
        <f>IFERROR(INDEX(tblY9[Class],ROWS(L$10:L169))&amp;"","")</f>
        <v/>
      </c>
      <c r="M169" t="str">
        <f>IF(L169="","",IF(COUNTIF(L$10:L169,L169)=1,COUNTIF(L$10:L$609,"&lt;"&amp;L169)+1,""))</f>
        <v/>
      </c>
      <c r="N169" t="str">
        <f>IFERROR(INDEX(tblY10[Class],ROWS(N$10:N169))&amp;"","")</f>
        <v/>
      </c>
      <c r="O169" t="str">
        <f>IF(N169="","",IF(COUNTIF(N$10:N169,N169)=1,COUNTIF(N$10:N$609,"&lt;"&amp;N169)+1,""))</f>
        <v/>
      </c>
      <c r="P169" t="str">
        <f>IFERROR(INDEX(tblY11[Class],ROWS(P$10:P169))&amp;"","")</f>
        <v/>
      </c>
      <c r="Q169" t="str">
        <f>IF(P169="","",IF(COUNTIF(P$10:P169,P169)=1,COUNTIF(P$10:P$609,"&lt;"&amp;P169)+1,""))</f>
        <v/>
      </c>
      <c r="BA169" t="str">
        <f>IFERROR(INDEX(wLast,100)&amp;"","")</f>
        <v>Wood</v>
      </c>
      <c r="BB169" t="str">
        <f>IF(BA169="","",IFERROR(INDEX(wFirst,100)&amp;"",""))</f>
        <v>Amelia</v>
      </c>
      <c r="BC169" t="str">
        <f>IF(BA169="","",IFERROR(INDEX(wClass,100)&amp;"",""))</f>
        <v>11S/Sc2</v>
      </c>
      <c r="BD169">
        <f>IF(BA169="","",IFERROR(INDEX(wKS2,100)+0,""))</f>
        <v>6</v>
      </c>
      <c r="BE169">
        <f>IF(BA169="","",IFERROR(INDEX(wTests,100)+0,0))</f>
        <v>6</v>
      </c>
      <c r="BF169">
        <f>IF(BA169="","",IFERROR(INDEX(wMean,100)+0,""))</f>
        <v>6.16666666666667</v>
      </c>
      <c r="BG169">
        <f>IF(BA169="","",IFERROR(INDEX(wVs,100)+0,""))</f>
        <v>0.166666666666667</v>
      </c>
      <c r="BH169">
        <f>IF(OR(BA169="",wLatest=""),"",IFERROR(INDEX(wData,100,MATCH(wLatest&amp;CHAR(10)&amp;"Stanine",wHdr,0))+0,""))</f>
        <v>6</v>
      </c>
      <c r="BI169" t="str">
        <f>IF(BA169="","",IF(AND(ISNUMBER(BG169),N(BE169)&gt;=WlMinTests,BG169&lt;=-WlGap),"Below KS2 starting point",IF(AND(NOT(ISNUMBER(BD169)),ISNUMBER(BF169),N(BE169)&gt;=WlMinTests,BF169&lt;=WlLowMean),"Low results, no KS2 data","")))</f>
        <v/>
      </c>
      <c r="BJ169" t="str">
        <f>IF(BI169="","",IF(BI169="Below KS2 starting point",BG169,100+BF169)+ROW()/1000000)</f>
        <v/>
      </c>
    </row>
    <row r="170">
      <c r="H170" t="str">
        <f>IFERROR(INDEX(tblY7[Class],ROWS(H$10:H170))&amp;"","")</f>
        <v/>
      </c>
      <c r="I170" t="str">
        <f>IF(H170="","",IF(COUNTIF(H$10:H170,H170)=1,COUNTIF(H$10:H$609,"&lt;"&amp;H170)+1,""))</f>
        <v/>
      </c>
      <c r="J170" t="str">
        <f>IFERROR(INDEX(tblY8[Class],ROWS(J$10:J170))&amp;"","")</f>
        <v/>
      </c>
      <c r="K170" t="str">
        <f>IF(J170="","",IF(COUNTIF(J$10:J170,J170)=1,COUNTIF(J$10:J$609,"&lt;"&amp;J170)+1,""))</f>
        <v/>
      </c>
      <c r="L170" t="str">
        <f>IFERROR(INDEX(tblY9[Class],ROWS(L$10:L170))&amp;"","")</f>
        <v/>
      </c>
      <c r="M170" t="str">
        <f>IF(L170="","",IF(COUNTIF(L$10:L170,L170)=1,COUNTIF(L$10:L$609,"&lt;"&amp;L170)+1,""))</f>
        <v/>
      </c>
      <c r="N170" t="str">
        <f>IFERROR(INDEX(tblY10[Class],ROWS(N$10:N170))&amp;"","")</f>
        <v/>
      </c>
      <c r="O170" t="str">
        <f>IF(N170="","",IF(COUNTIF(N$10:N170,N170)=1,COUNTIF(N$10:N$609,"&lt;"&amp;N170)+1,""))</f>
        <v/>
      </c>
      <c r="P170" t="str">
        <f>IFERROR(INDEX(tblY11[Class],ROWS(P$10:P170))&amp;"","")</f>
        <v/>
      </c>
      <c r="Q170" t="str">
        <f>IF(P170="","",IF(COUNTIF(P$10:P170,P170)=1,COUNTIF(P$10:P$609,"&lt;"&amp;P170)+1,""))</f>
        <v/>
      </c>
      <c r="BA170" t="str">
        <f>IFERROR(INDEX(wLast,101)&amp;"","")</f>
        <v>Wood</v>
      </c>
      <c r="BB170" t="str">
        <f>IF(BA170="","",IFERROR(INDEX(wFirst,101)&amp;"",""))</f>
        <v>Evie</v>
      </c>
      <c r="BC170" t="str">
        <f>IF(BA170="","",IFERROR(INDEX(wClass,101)&amp;"",""))</f>
        <v>11S/Sc4</v>
      </c>
      <c r="BD170">
        <f>IF(BA170="","",IFERROR(INDEX(wKS2,101)+0,""))</f>
        <v>3</v>
      </c>
      <c r="BE170">
        <f>IF(BA170="","",IFERROR(INDEX(wTests,101)+0,0))</f>
        <v>6</v>
      </c>
      <c r="BF170">
        <f>IF(BA170="","",IFERROR(INDEX(wMean,101)+0,""))</f>
        <v>3.33333333333333</v>
      </c>
      <c r="BG170">
        <f>IF(BA170="","",IFERROR(INDEX(wVs,101)+0,""))</f>
        <v>0.333333333333334</v>
      </c>
      <c r="BH170">
        <f>IF(OR(BA170="",wLatest=""),"",IFERROR(INDEX(wData,101,MATCH(wLatest&amp;CHAR(10)&amp;"Stanine",wHdr,0))+0,""))</f>
        <v>3</v>
      </c>
      <c r="BI170" t="str">
        <f>IF(BA170="","",IF(AND(ISNUMBER(BG170),N(BE170)&gt;=WlMinTests,BG170&lt;=-WlGap),"Below KS2 starting point",IF(AND(NOT(ISNUMBER(BD170)),ISNUMBER(BF170),N(BE170)&gt;=WlMinTests,BF170&lt;=WlLowMean),"Low results, no KS2 data","")))</f>
        <v/>
      </c>
      <c r="BJ170" t="str">
        <f>IF(BI170="","",IF(BI170="Below KS2 starting point",BG170,100+BF170)+ROW()/1000000)</f>
        <v/>
      </c>
    </row>
    <row r="171">
      <c r="H171" t="str">
        <f>IFERROR(INDEX(tblY7[Class],ROWS(H$10:H171))&amp;"","")</f>
        <v/>
      </c>
      <c r="I171" t="str">
        <f>IF(H171="","",IF(COUNTIF(H$10:H171,H171)=1,COUNTIF(H$10:H$609,"&lt;"&amp;H171)+1,""))</f>
        <v/>
      </c>
      <c r="J171" t="str">
        <f>IFERROR(INDEX(tblY8[Class],ROWS(J$10:J171))&amp;"","")</f>
        <v/>
      </c>
      <c r="K171" t="str">
        <f>IF(J171="","",IF(COUNTIF(J$10:J171,J171)=1,COUNTIF(J$10:J$609,"&lt;"&amp;J171)+1,""))</f>
        <v/>
      </c>
      <c r="L171" t="str">
        <f>IFERROR(INDEX(tblY9[Class],ROWS(L$10:L171))&amp;"","")</f>
        <v/>
      </c>
      <c r="M171" t="str">
        <f>IF(L171="","",IF(COUNTIF(L$10:L171,L171)=1,COUNTIF(L$10:L$609,"&lt;"&amp;L171)+1,""))</f>
        <v/>
      </c>
      <c r="N171" t="str">
        <f>IFERROR(INDEX(tblY10[Class],ROWS(N$10:N171))&amp;"","")</f>
        <v/>
      </c>
      <c r="O171" t="str">
        <f>IF(N171="","",IF(COUNTIF(N$10:N171,N171)=1,COUNTIF(N$10:N$609,"&lt;"&amp;N171)+1,""))</f>
        <v/>
      </c>
      <c r="P171" t="str">
        <f>IFERROR(INDEX(tblY11[Class],ROWS(P$10:P171))&amp;"","")</f>
        <v/>
      </c>
      <c r="Q171" t="str">
        <f>IF(P171="","",IF(COUNTIF(P$10:P171,P171)=1,COUNTIF(P$10:P$609,"&lt;"&amp;P171)+1,""))</f>
        <v/>
      </c>
      <c r="BA171" t="str">
        <f>IFERROR(INDEX(wLast,102)&amp;"","")</f>
        <v>Wood</v>
      </c>
      <c r="BB171" t="str">
        <f>IF(BA171="","",IFERROR(INDEX(wFirst,102)&amp;"",""))</f>
        <v>Freya</v>
      </c>
      <c r="BC171" t="str">
        <f>IF(BA171="","",IFERROR(INDEX(wClass,102)&amp;"",""))</f>
        <v>11S/Sc3</v>
      </c>
      <c r="BD171">
        <f>IF(BA171="","",IFERROR(INDEX(wKS2,102)+0,""))</f>
        <v>4</v>
      </c>
      <c r="BE171">
        <f>IF(BA171="","",IFERROR(INDEX(wTests,102)+0,0))</f>
        <v>6</v>
      </c>
      <c r="BF171">
        <f>IF(BA171="","",IFERROR(INDEX(wMean,102)+0,""))</f>
        <v>3.16666666666667</v>
      </c>
      <c r="BG171">
        <f>IF(BA171="","",IFERROR(INDEX(wVs,102)+0,""))</f>
        <v>-0.833333333333334</v>
      </c>
      <c r="BH171">
        <f>IF(OR(BA171="",wLatest=""),"",IFERROR(INDEX(wData,102,MATCH(wLatest&amp;CHAR(10)&amp;"Stanine",wHdr,0))+0,""))</f>
        <v>3</v>
      </c>
      <c r="BI171" t="str">
        <f>IF(BA171="","",IF(AND(ISNUMBER(BG171),N(BE171)&gt;=WlMinTests,BG171&lt;=-WlGap),"Below KS2 starting point",IF(AND(NOT(ISNUMBER(BD171)),ISNUMBER(BF171),N(BE171)&gt;=WlMinTests,BF171&lt;=WlLowMean),"Low results, no KS2 data","")))</f>
        <v/>
      </c>
      <c r="BJ171" t="str">
        <f>IF(BI171="","",IF(BI171="Below KS2 starting point",BG171,100+BF171)+ROW()/1000000)</f>
        <v/>
      </c>
    </row>
    <row r="172">
      <c r="H172" t="str">
        <f>IFERROR(INDEX(tblY7[Class],ROWS(H$10:H172))&amp;"","")</f>
        <v/>
      </c>
      <c r="I172" t="str">
        <f>IF(H172="","",IF(COUNTIF(H$10:H172,H172)=1,COUNTIF(H$10:H$609,"&lt;"&amp;H172)+1,""))</f>
        <v/>
      </c>
      <c r="J172" t="str">
        <f>IFERROR(INDEX(tblY8[Class],ROWS(J$10:J172))&amp;"","")</f>
        <v/>
      </c>
      <c r="K172" t="str">
        <f>IF(J172="","",IF(COUNTIF(J$10:J172,J172)=1,COUNTIF(J$10:J$609,"&lt;"&amp;J172)+1,""))</f>
        <v/>
      </c>
      <c r="L172" t="str">
        <f>IFERROR(INDEX(tblY9[Class],ROWS(L$10:L172))&amp;"","")</f>
        <v/>
      </c>
      <c r="M172" t="str">
        <f>IF(L172="","",IF(COUNTIF(L$10:L172,L172)=1,COUNTIF(L$10:L$609,"&lt;"&amp;L172)+1,""))</f>
        <v/>
      </c>
      <c r="N172" t="str">
        <f>IFERROR(INDEX(tblY10[Class],ROWS(N$10:N172))&amp;"","")</f>
        <v/>
      </c>
      <c r="O172" t="str">
        <f>IF(N172="","",IF(COUNTIF(N$10:N172,N172)=1,COUNTIF(N$10:N$609,"&lt;"&amp;N172)+1,""))</f>
        <v/>
      </c>
      <c r="P172" t="str">
        <f>IFERROR(INDEX(tblY11[Class],ROWS(P$10:P172))&amp;"","")</f>
        <v/>
      </c>
      <c r="Q172" t="str">
        <f>IF(P172="","",IF(COUNTIF(P$10:P172,P172)=1,COUNTIF(P$10:P$609,"&lt;"&amp;P172)+1,""))</f>
        <v/>
      </c>
      <c r="BA172" t="str">
        <f>IFERROR(INDEX(wLast,103)&amp;"","")</f>
        <v>Wood</v>
      </c>
      <c r="BB172" t="str">
        <f>IF(BA172="","",IFERROR(INDEX(wFirst,103)&amp;"",""))</f>
        <v>Ibrahim</v>
      </c>
      <c r="BC172" t="str">
        <f>IF(BA172="","",IFERROR(INDEX(wClass,103)&amp;"",""))</f>
        <v>11S/Sc2</v>
      </c>
      <c r="BD172">
        <f>IF(BA172="","",IFERROR(INDEX(wKS2,103)+0,""))</f>
        <v>6</v>
      </c>
      <c r="BE172">
        <f>IF(BA172="","",IFERROR(INDEX(wTests,103)+0,0))</f>
        <v>6</v>
      </c>
      <c r="BF172">
        <f>IF(BA172="","",IFERROR(INDEX(wMean,103)+0,""))</f>
        <v>7</v>
      </c>
      <c r="BG172">
        <f>IF(BA172="","",IFERROR(INDEX(wVs,103)+0,""))</f>
        <v>1</v>
      </c>
      <c r="BH172">
        <f>IF(OR(BA172="",wLatest=""),"",IFERROR(INDEX(wData,103,MATCH(wLatest&amp;CHAR(10)&amp;"Stanine",wHdr,0))+0,""))</f>
        <v>6</v>
      </c>
      <c r="BI172" t="str">
        <f>IF(BA172="","",IF(AND(ISNUMBER(BG172),N(BE172)&gt;=WlMinTests,BG172&lt;=-WlGap),"Below KS2 starting point",IF(AND(NOT(ISNUMBER(BD172)),ISNUMBER(BF172),N(BE172)&gt;=WlMinTests,BF172&lt;=WlLowMean),"Low results, no KS2 data","")))</f>
        <v/>
      </c>
      <c r="BJ172" t="str">
        <f>IF(BI172="","",IF(BI172="Below KS2 starting point",BG172,100+BF172)+ROW()/1000000)</f>
        <v/>
      </c>
    </row>
    <row r="173">
      <c r="H173" t="str">
        <f>IFERROR(INDEX(tblY7[Class],ROWS(H$10:H173))&amp;"","")</f>
        <v/>
      </c>
      <c r="I173" t="str">
        <f>IF(H173="","",IF(COUNTIF(H$10:H173,H173)=1,COUNTIF(H$10:H$609,"&lt;"&amp;H173)+1,""))</f>
        <v/>
      </c>
      <c r="J173" t="str">
        <f>IFERROR(INDEX(tblY8[Class],ROWS(J$10:J173))&amp;"","")</f>
        <v/>
      </c>
      <c r="K173" t="str">
        <f>IF(J173="","",IF(COUNTIF(J$10:J173,J173)=1,COUNTIF(J$10:J$609,"&lt;"&amp;J173)+1,""))</f>
        <v/>
      </c>
      <c r="L173" t="str">
        <f>IFERROR(INDEX(tblY9[Class],ROWS(L$10:L173))&amp;"","")</f>
        <v/>
      </c>
      <c r="M173" t="str">
        <f>IF(L173="","",IF(COUNTIF(L$10:L173,L173)=1,COUNTIF(L$10:L$609,"&lt;"&amp;L173)+1,""))</f>
        <v/>
      </c>
      <c r="N173" t="str">
        <f>IFERROR(INDEX(tblY10[Class],ROWS(N$10:N173))&amp;"","")</f>
        <v/>
      </c>
      <c r="O173" t="str">
        <f>IF(N173="","",IF(COUNTIF(N$10:N173,N173)=1,COUNTIF(N$10:N$609,"&lt;"&amp;N173)+1,""))</f>
        <v/>
      </c>
      <c r="P173" t="str">
        <f>IFERROR(INDEX(tblY11[Class],ROWS(P$10:P173))&amp;"","")</f>
        <v/>
      </c>
      <c r="Q173" t="str">
        <f>IF(P173="","",IF(COUNTIF(P$10:P173,P173)=1,COUNTIF(P$10:P$609,"&lt;"&amp;P173)+1,""))</f>
        <v/>
      </c>
      <c r="BA173" t="str">
        <f>IFERROR(INDEX(wLast,104)&amp;"","")</f>
        <v>Wright</v>
      </c>
      <c r="BB173" t="str">
        <f>IF(BA173="","",IFERROR(INDEX(wFirst,104)&amp;"",""))</f>
        <v>George</v>
      </c>
      <c r="BC173" t="str">
        <f>IF(BA173="","",IFERROR(INDEX(wClass,104)&amp;"",""))</f>
        <v>11S/Sc3</v>
      </c>
      <c r="BD173">
        <f>IF(BA173="","",IFERROR(INDEX(wKS2,104)+0,""))</f>
        <v>4</v>
      </c>
      <c r="BE173">
        <f>IF(BA173="","",IFERROR(INDEX(wTests,104)+0,0))</f>
        <v>5</v>
      </c>
      <c r="BF173">
        <f>IF(BA173="","",IFERROR(INDEX(wMean,104)+0,""))</f>
        <v>4.2</v>
      </c>
      <c r="BG173">
        <f>IF(BA173="","",IFERROR(INDEX(wVs,104)+0,""))</f>
        <v>0.2</v>
      </c>
      <c r="BH173" t="str">
        <f>IF(OR(BA173="",wLatest=""),"",IFERROR(INDEX(wData,104,MATCH(wLatest&amp;CHAR(10)&amp;"Stanine",wHdr,0))+0,""))</f>
        <v/>
      </c>
      <c r="BI173" t="str">
        <f>IF(BA173="","",IF(AND(ISNUMBER(BG173),N(BE173)&gt;=WlMinTests,BG173&lt;=-WlGap),"Below KS2 starting point",IF(AND(NOT(ISNUMBER(BD173)),ISNUMBER(BF173),N(BE173)&gt;=WlMinTests,BF173&lt;=WlLowMean),"Low results, no KS2 data","")))</f>
        <v/>
      </c>
      <c r="BJ173" t="str">
        <f>IF(BI173="","",IF(BI173="Below KS2 starting point",BG173,100+BF173)+ROW()/1000000)</f>
        <v/>
      </c>
    </row>
    <row r="174">
      <c r="H174" t="str">
        <f>IFERROR(INDEX(tblY7[Class],ROWS(H$10:H174))&amp;"","")</f>
        <v/>
      </c>
      <c r="I174" t="str">
        <f>IF(H174="","",IF(COUNTIF(H$10:H174,H174)=1,COUNTIF(H$10:H$609,"&lt;"&amp;H174)+1,""))</f>
        <v/>
      </c>
      <c r="J174" t="str">
        <f>IFERROR(INDEX(tblY8[Class],ROWS(J$10:J174))&amp;"","")</f>
        <v/>
      </c>
      <c r="K174" t="str">
        <f>IF(J174="","",IF(COUNTIF(J$10:J174,J174)=1,COUNTIF(J$10:J$609,"&lt;"&amp;J174)+1,""))</f>
        <v/>
      </c>
      <c r="L174" t="str">
        <f>IFERROR(INDEX(tblY9[Class],ROWS(L$10:L174))&amp;"","")</f>
        <v/>
      </c>
      <c r="M174" t="str">
        <f>IF(L174="","",IF(COUNTIF(L$10:L174,L174)=1,COUNTIF(L$10:L$609,"&lt;"&amp;L174)+1,""))</f>
        <v/>
      </c>
      <c r="N174" t="str">
        <f>IFERROR(INDEX(tblY10[Class],ROWS(N$10:N174))&amp;"","")</f>
        <v/>
      </c>
      <c r="O174" t="str">
        <f>IF(N174="","",IF(COUNTIF(N$10:N174,N174)=1,COUNTIF(N$10:N$609,"&lt;"&amp;N174)+1,""))</f>
        <v/>
      </c>
      <c r="P174" t="str">
        <f>IFERROR(INDEX(tblY11[Class],ROWS(P$10:P174))&amp;"","")</f>
        <v/>
      </c>
      <c r="Q174" t="str">
        <f>IF(P174="","",IF(COUNTIF(P$10:P174,P174)=1,COUNTIF(P$10:P$609,"&lt;"&amp;P174)+1,""))</f>
        <v/>
      </c>
      <c r="BA174" t="str">
        <f>IFERROR(INDEX(wLast,105)&amp;"","")</f>
        <v>Wright</v>
      </c>
      <c r="BB174" t="str">
        <f>IF(BA174="","",IFERROR(INDEX(wFirst,105)&amp;"",""))</f>
        <v>Ivy</v>
      </c>
      <c r="BC174" t="str">
        <f>IF(BA174="","",IFERROR(INDEX(wClass,105)&amp;"",""))</f>
        <v>11S/Sc1</v>
      </c>
      <c r="BD174">
        <f>IF(BA174="","",IFERROR(INDEX(wKS2,105)+0,""))</f>
        <v>6</v>
      </c>
      <c r="BE174">
        <f>IF(BA174="","",IFERROR(INDEX(wTests,105)+0,0))</f>
        <v>6</v>
      </c>
      <c r="BF174">
        <f>IF(BA174="","",IFERROR(INDEX(wMean,105)+0,""))</f>
        <v>6</v>
      </c>
      <c r="BG174">
        <f>IF(BA174="","",IFERROR(INDEX(wVs,105)+0,""))</f>
        <v>0</v>
      </c>
      <c r="BH174">
        <f>IF(OR(BA174="",wLatest=""),"",IFERROR(INDEX(wData,105,MATCH(wLatest&amp;CHAR(10)&amp;"Stanine",wHdr,0))+0,""))</f>
        <v>5</v>
      </c>
      <c r="BI174" t="str">
        <f>IF(BA174="","",IF(AND(ISNUMBER(BG174),N(BE174)&gt;=WlMinTests,BG174&lt;=-WlGap),"Below KS2 starting point",IF(AND(NOT(ISNUMBER(BD174)),ISNUMBER(BF174),N(BE174)&gt;=WlMinTests,BF174&lt;=WlLowMean),"Low results, no KS2 data","")))</f>
        <v/>
      </c>
      <c r="BJ174" t="str">
        <f>IF(BI174="","",IF(BI174="Below KS2 starting point",BG174,100+BF174)+ROW()/1000000)</f>
        <v/>
      </c>
    </row>
    <row r="175">
      <c r="H175" t="str">
        <f>IFERROR(INDEX(tblY7[Class],ROWS(H$10:H175))&amp;"","")</f>
        <v/>
      </c>
      <c r="I175" t="str">
        <f>IF(H175="","",IF(COUNTIF(H$10:H175,H175)=1,COUNTIF(H$10:H$609,"&lt;"&amp;H175)+1,""))</f>
        <v/>
      </c>
      <c r="J175" t="str">
        <f>IFERROR(INDEX(tblY8[Class],ROWS(J$10:J175))&amp;"","")</f>
        <v/>
      </c>
      <c r="K175" t="str">
        <f>IF(J175="","",IF(COUNTIF(J$10:J175,J175)=1,COUNTIF(J$10:J$609,"&lt;"&amp;J175)+1,""))</f>
        <v/>
      </c>
      <c r="L175" t="str">
        <f>IFERROR(INDEX(tblY9[Class],ROWS(L$10:L175))&amp;"","")</f>
        <v/>
      </c>
      <c r="M175" t="str">
        <f>IF(L175="","",IF(COUNTIF(L$10:L175,L175)=1,COUNTIF(L$10:L$609,"&lt;"&amp;L175)+1,""))</f>
        <v/>
      </c>
      <c r="N175" t="str">
        <f>IFERROR(INDEX(tblY10[Class],ROWS(N$10:N175))&amp;"","")</f>
        <v/>
      </c>
      <c r="O175" t="str">
        <f>IF(N175="","",IF(COUNTIF(N$10:N175,N175)=1,COUNTIF(N$10:N$609,"&lt;"&amp;N175)+1,""))</f>
        <v/>
      </c>
      <c r="P175" t="str">
        <f>IFERROR(INDEX(tblY11[Class],ROWS(P$10:P175))&amp;"","")</f>
        <v/>
      </c>
      <c r="Q175" t="str">
        <f>IF(P175="","",IF(COUNTIF(P$10:P175,P175)=1,COUNTIF(P$10:P$609,"&lt;"&amp;P175)+1,""))</f>
        <v/>
      </c>
      <c r="BA175" t="str">
        <f>IFERROR(INDEX(wLast,106)&amp;"","")</f>
        <v>Wright</v>
      </c>
      <c r="BB175" t="str">
        <f>IF(BA175="","",IFERROR(INDEX(wFirst,106)&amp;"",""))</f>
        <v>Oscar</v>
      </c>
      <c r="BC175" t="str">
        <f>IF(BA175="","",IFERROR(INDEX(wClass,106)&amp;"",""))</f>
        <v>11S/Sc2</v>
      </c>
      <c r="BD175">
        <f>IF(BA175="","",IFERROR(INDEX(wKS2,106)+0,""))</f>
        <v>6</v>
      </c>
      <c r="BE175">
        <f>IF(BA175="","",IFERROR(INDEX(wTests,106)+0,0))</f>
        <v>6</v>
      </c>
      <c r="BF175">
        <f>IF(BA175="","",IFERROR(INDEX(wMean,106)+0,""))</f>
        <v>5.66666666666667</v>
      </c>
      <c r="BG175">
        <f>IF(BA175="","",IFERROR(INDEX(wVs,106)+0,""))</f>
        <v>-0.333333333333333</v>
      </c>
      <c r="BH175">
        <f>IF(OR(BA175="",wLatest=""),"",IFERROR(INDEX(wData,106,MATCH(wLatest&amp;CHAR(10)&amp;"Stanine",wHdr,0))+0,""))</f>
        <v>6</v>
      </c>
      <c r="BI175" t="str">
        <f>IF(BA175="","",IF(AND(ISNUMBER(BG175),N(BE175)&gt;=WlMinTests,BG175&lt;=-WlGap),"Below KS2 starting point",IF(AND(NOT(ISNUMBER(BD175)),ISNUMBER(BF175),N(BE175)&gt;=WlMinTests,BF175&lt;=WlLowMean),"Low results, no KS2 data","")))</f>
        <v/>
      </c>
      <c r="BJ175" t="str">
        <f>IF(BI175="","",IF(BI175="Below KS2 starting point",BG175,100+BF175)+ROW()/1000000)</f>
        <v/>
      </c>
    </row>
    <row r="176">
      <c r="H176" t="str">
        <f>IFERROR(INDEX(tblY7[Class],ROWS(H$10:H176))&amp;"","")</f>
        <v/>
      </c>
      <c r="I176" t="str">
        <f>IF(H176="","",IF(COUNTIF(H$10:H176,H176)=1,COUNTIF(H$10:H$609,"&lt;"&amp;H176)+1,""))</f>
        <v/>
      </c>
      <c r="J176" t="str">
        <f>IFERROR(INDEX(tblY8[Class],ROWS(J$10:J176))&amp;"","")</f>
        <v/>
      </c>
      <c r="K176" t="str">
        <f>IF(J176="","",IF(COUNTIF(J$10:J176,J176)=1,COUNTIF(J$10:J$609,"&lt;"&amp;J176)+1,""))</f>
        <v/>
      </c>
      <c r="L176" t="str">
        <f>IFERROR(INDEX(tblY9[Class],ROWS(L$10:L176))&amp;"","")</f>
        <v/>
      </c>
      <c r="M176" t="str">
        <f>IF(L176="","",IF(COUNTIF(L$10:L176,L176)=1,COUNTIF(L$10:L$609,"&lt;"&amp;L176)+1,""))</f>
        <v/>
      </c>
      <c r="N176" t="str">
        <f>IFERROR(INDEX(tblY10[Class],ROWS(N$10:N176))&amp;"","")</f>
        <v/>
      </c>
      <c r="O176" t="str">
        <f>IF(N176="","",IF(COUNTIF(N$10:N176,N176)=1,COUNTIF(N$10:N$609,"&lt;"&amp;N176)+1,""))</f>
        <v/>
      </c>
      <c r="P176" t="str">
        <f>IFERROR(INDEX(tblY11[Class],ROWS(P$10:P176))&amp;"","")</f>
        <v/>
      </c>
      <c r="Q176" t="str">
        <f>IF(P176="","",IF(COUNTIF(P$10:P176,P176)=1,COUNTIF(P$10:P$609,"&lt;"&amp;P176)+1,""))</f>
        <v/>
      </c>
      <c r="BA176" t="str">
        <f>IFERROR(INDEX(wLast,107)&amp;"","")</f>
        <v/>
      </c>
      <c r="BB176" t="str">
        <f>IF(BA176="","",IFERROR(INDEX(wFirst,107)&amp;"",""))</f>
        <v/>
      </c>
      <c r="BC176" t="str">
        <f>IF(BA176="","",IFERROR(INDEX(wClass,107)&amp;"",""))</f>
        <v/>
      </c>
      <c r="BD176" t="str">
        <f>IF(BA176="","",IFERROR(INDEX(wKS2,107)+0,""))</f>
        <v/>
      </c>
      <c r="BE176" t="str">
        <f>IF(BA176="","",IFERROR(INDEX(wTests,107)+0,0))</f>
        <v/>
      </c>
      <c r="BF176" t="str">
        <f>IF(BA176="","",IFERROR(INDEX(wMean,107)+0,""))</f>
        <v/>
      </c>
      <c r="BG176" t="str">
        <f>IF(BA176="","",IFERROR(INDEX(wVs,107)+0,""))</f>
        <v/>
      </c>
      <c r="BH176" t="str">
        <f>IF(OR(BA176="",wLatest=""),"",IFERROR(INDEX(wData,107,MATCH(wLatest&amp;CHAR(10)&amp;"Stanine",wHdr,0))+0,""))</f>
        <v/>
      </c>
      <c r="BI176" t="str">
        <f>IF(BA176="","",IF(AND(ISNUMBER(BG176),N(BE176)&gt;=WlMinTests,BG176&lt;=-WlGap),"Below KS2 starting point",IF(AND(NOT(ISNUMBER(BD176)),ISNUMBER(BF176),N(BE176)&gt;=WlMinTests,BF176&lt;=WlLowMean),"Low results, no KS2 data","")))</f>
        <v/>
      </c>
      <c r="BJ176" t="str">
        <f>IF(BI176="","",IF(BI176="Below KS2 starting point",BG176,100+BF176)+ROW()/1000000)</f>
        <v/>
      </c>
    </row>
    <row r="177">
      <c r="H177" t="str">
        <f>IFERROR(INDEX(tblY7[Class],ROWS(H$10:H177))&amp;"","")</f>
        <v/>
      </c>
      <c r="I177" t="str">
        <f>IF(H177="","",IF(COUNTIF(H$10:H177,H177)=1,COUNTIF(H$10:H$609,"&lt;"&amp;H177)+1,""))</f>
        <v/>
      </c>
      <c r="J177" t="str">
        <f>IFERROR(INDEX(tblY8[Class],ROWS(J$10:J177))&amp;"","")</f>
        <v/>
      </c>
      <c r="K177" t="str">
        <f>IF(J177="","",IF(COUNTIF(J$10:J177,J177)=1,COUNTIF(J$10:J$609,"&lt;"&amp;J177)+1,""))</f>
        <v/>
      </c>
      <c r="L177" t="str">
        <f>IFERROR(INDEX(tblY9[Class],ROWS(L$10:L177))&amp;"","")</f>
        <v/>
      </c>
      <c r="M177" t="str">
        <f>IF(L177="","",IF(COUNTIF(L$10:L177,L177)=1,COUNTIF(L$10:L$609,"&lt;"&amp;L177)+1,""))</f>
        <v/>
      </c>
      <c r="N177" t="str">
        <f>IFERROR(INDEX(tblY10[Class],ROWS(N$10:N177))&amp;"","")</f>
        <v/>
      </c>
      <c r="O177" t="str">
        <f>IF(N177="","",IF(COUNTIF(N$10:N177,N177)=1,COUNTIF(N$10:N$609,"&lt;"&amp;N177)+1,""))</f>
        <v/>
      </c>
      <c r="P177" t="str">
        <f>IFERROR(INDEX(tblY11[Class],ROWS(P$10:P177))&amp;"","")</f>
        <v/>
      </c>
      <c r="Q177" t="str">
        <f>IF(P177="","",IF(COUNTIF(P$10:P177,P177)=1,COUNTIF(P$10:P$609,"&lt;"&amp;P177)+1,""))</f>
        <v/>
      </c>
      <c r="BA177" t="str">
        <f>IFERROR(INDEX(wLast,108)&amp;"","")</f>
        <v/>
      </c>
      <c r="BB177" t="str">
        <f>IF(BA177="","",IFERROR(INDEX(wFirst,108)&amp;"",""))</f>
        <v/>
      </c>
      <c r="BC177" t="str">
        <f>IF(BA177="","",IFERROR(INDEX(wClass,108)&amp;"",""))</f>
        <v/>
      </c>
      <c r="BD177" t="str">
        <f>IF(BA177="","",IFERROR(INDEX(wKS2,108)+0,""))</f>
        <v/>
      </c>
      <c r="BE177" t="str">
        <f>IF(BA177="","",IFERROR(INDEX(wTests,108)+0,0))</f>
        <v/>
      </c>
      <c r="BF177" t="str">
        <f>IF(BA177="","",IFERROR(INDEX(wMean,108)+0,""))</f>
        <v/>
      </c>
      <c r="BG177" t="str">
        <f>IF(BA177="","",IFERROR(INDEX(wVs,108)+0,""))</f>
        <v/>
      </c>
      <c r="BH177" t="str">
        <f>IF(OR(BA177="",wLatest=""),"",IFERROR(INDEX(wData,108,MATCH(wLatest&amp;CHAR(10)&amp;"Stanine",wHdr,0))+0,""))</f>
        <v/>
      </c>
      <c r="BI177" t="str">
        <f>IF(BA177="","",IF(AND(ISNUMBER(BG177),N(BE177)&gt;=WlMinTests,BG177&lt;=-WlGap),"Below KS2 starting point",IF(AND(NOT(ISNUMBER(BD177)),ISNUMBER(BF177),N(BE177)&gt;=WlMinTests,BF177&lt;=WlLowMean),"Low results, no KS2 data","")))</f>
        <v/>
      </c>
      <c r="BJ177" t="str">
        <f>IF(BI177="","",IF(BI177="Below KS2 starting point",BG177,100+BF177)+ROW()/1000000)</f>
        <v/>
      </c>
    </row>
    <row r="178">
      <c r="H178" t="str">
        <f>IFERROR(INDEX(tblY7[Class],ROWS(H$10:H178))&amp;"","")</f>
        <v/>
      </c>
      <c r="I178" t="str">
        <f>IF(H178="","",IF(COUNTIF(H$10:H178,H178)=1,COUNTIF(H$10:H$609,"&lt;"&amp;H178)+1,""))</f>
        <v/>
      </c>
      <c r="J178" t="str">
        <f>IFERROR(INDEX(tblY8[Class],ROWS(J$10:J178))&amp;"","")</f>
        <v/>
      </c>
      <c r="K178" t="str">
        <f>IF(J178="","",IF(COUNTIF(J$10:J178,J178)=1,COUNTIF(J$10:J$609,"&lt;"&amp;J178)+1,""))</f>
        <v/>
      </c>
      <c r="L178" t="str">
        <f>IFERROR(INDEX(tblY9[Class],ROWS(L$10:L178))&amp;"","")</f>
        <v/>
      </c>
      <c r="M178" t="str">
        <f>IF(L178="","",IF(COUNTIF(L$10:L178,L178)=1,COUNTIF(L$10:L$609,"&lt;"&amp;L178)+1,""))</f>
        <v/>
      </c>
      <c r="N178" t="str">
        <f>IFERROR(INDEX(tblY10[Class],ROWS(N$10:N178))&amp;"","")</f>
        <v/>
      </c>
      <c r="O178" t="str">
        <f>IF(N178="","",IF(COUNTIF(N$10:N178,N178)=1,COUNTIF(N$10:N$609,"&lt;"&amp;N178)+1,""))</f>
        <v/>
      </c>
      <c r="P178" t="str">
        <f>IFERROR(INDEX(tblY11[Class],ROWS(P$10:P178))&amp;"","")</f>
        <v/>
      </c>
      <c r="Q178" t="str">
        <f>IF(P178="","",IF(COUNTIF(P$10:P178,P178)=1,COUNTIF(P$10:P$609,"&lt;"&amp;P178)+1,""))</f>
        <v/>
      </c>
      <c r="BA178" t="str">
        <f>IFERROR(INDEX(wLast,109)&amp;"","")</f>
        <v/>
      </c>
      <c r="BB178" t="str">
        <f>IF(BA178="","",IFERROR(INDEX(wFirst,109)&amp;"",""))</f>
        <v/>
      </c>
      <c r="BC178" t="str">
        <f>IF(BA178="","",IFERROR(INDEX(wClass,109)&amp;"",""))</f>
        <v/>
      </c>
      <c r="BD178" t="str">
        <f>IF(BA178="","",IFERROR(INDEX(wKS2,109)+0,""))</f>
        <v/>
      </c>
      <c r="BE178" t="str">
        <f>IF(BA178="","",IFERROR(INDEX(wTests,109)+0,0))</f>
        <v/>
      </c>
      <c r="BF178" t="str">
        <f>IF(BA178="","",IFERROR(INDEX(wMean,109)+0,""))</f>
        <v/>
      </c>
      <c r="BG178" t="str">
        <f>IF(BA178="","",IFERROR(INDEX(wVs,109)+0,""))</f>
        <v/>
      </c>
      <c r="BH178" t="str">
        <f>IF(OR(BA178="",wLatest=""),"",IFERROR(INDEX(wData,109,MATCH(wLatest&amp;CHAR(10)&amp;"Stanine",wHdr,0))+0,""))</f>
        <v/>
      </c>
      <c r="BI178" t="str">
        <f>IF(BA178="","",IF(AND(ISNUMBER(BG178),N(BE178)&gt;=WlMinTests,BG178&lt;=-WlGap),"Below KS2 starting point",IF(AND(NOT(ISNUMBER(BD178)),ISNUMBER(BF178),N(BE178)&gt;=WlMinTests,BF178&lt;=WlLowMean),"Low results, no KS2 data","")))</f>
        <v/>
      </c>
      <c r="BJ178" t="str">
        <f>IF(BI178="","",IF(BI178="Below KS2 starting point",BG178,100+BF178)+ROW()/1000000)</f>
        <v/>
      </c>
    </row>
    <row r="179">
      <c r="H179" t="str">
        <f>IFERROR(INDEX(tblY7[Class],ROWS(H$10:H179))&amp;"","")</f>
        <v/>
      </c>
      <c r="I179" t="str">
        <f>IF(H179="","",IF(COUNTIF(H$10:H179,H179)=1,COUNTIF(H$10:H$609,"&lt;"&amp;H179)+1,""))</f>
        <v/>
      </c>
      <c r="J179" t="str">
        <f>IFERROR(INDEX(tblY8[Class],ROWS(J$10:J179))&amp;"","")</f>
        <v/>
      </c>
      <c r="K179" t="str">
        <f>IF(J179="","",IF(COUNTIF(J$10:J179,J179)=1,COUNTIF(J$10:J$609,"&lt;"&amp;J179)+1,""))</f>
        <v/>
      </c>
      <c r="L179" t="str">
        <f>IFERROR(INDEX(tblY9[Class],ROWS(L$10:L179))&amp;"","")</f>
        <v/>
      </c>
      <c r="M179" t="str">
        <f>IF(L179="","",IF(COUNTIF(L$10:L179,L179)=1,COUNTIF(L$10:L$609,"&lt;"&amp;L179)+1,""))</f>
        <v/>
      </c>
      <c r="N179" t="str">
        <f>IFERROR(INDEX(tblY10[Class],ROWS(N$10:N179))&amp;"","")</f>
        <v/>
      </c>
      <c r="O179" t="str">
        <f>IF(N179="","",IF(COUNTIF(N$10:N179,N179)=1,COUNTIF(N$10:N$609,"&lt;"&amp;N179)+1,""))</f>
        <v/>
      </c>
      <c r="P179" t="str">
        <f>IFERROR(INDEX(tblY11[Class],ROWS(P$10:P179))&amp;"","")</f>
        <v/>
      </c>
      <c r="Q179" t="str">
        <f>IF(P179="","",IF(COUNTIF(P$10:P179,P179)=1,COUNTIF(P$10:P$609,"&lt;"&amp;P179)+1,""))</f>
        <v/>
      </c>
      <c r="BA179" t="str">
        <f>IFERROR(INDEX(wLast,110)&amp;"","")</f>
        <v/>
      </c>
      <c r="BB179" t="str">
        <f>IF(BA179="","",IFERROR(INDEX(wFirst,110)&amp;"",""))</f>
        <v/>
      </c>
      <c r="BC179" t="str">
        <f>IF(BA179="","",IFERROR(INDEX(wClass,110)&amp;"",""))</f>
        <v/>
      </c>
      <c r="BD179" t="str">
        <f>IF(BA179="","",IFERROR(INDEX(wKS2,110)+0,""))</f>
        <v/>
      </c>
      <c r="BE179" t="str">
        <f>IF(BA179="","",IFERROR(INDEX(wTests,110)+0,0))</f>
        <v/>
      </c>
      <c r="BF179" t="str">
        <f>IF(BA179="","",IFERROR(INDEX(wMean,110)+0,""))</f>
        <v/>
      </c>
      <c r="BG179" t="str">
        <f>IF(BA179="","",IFERROR(INDEX(wVs,110)+0,""))</f>
        <v/>
      </c>
      <c r="BH179" t="str">
        <f>IF(OR(BA179="",wLatest=""),"",IFERROR(INDEX(wData,110,MATCH(wLatest&amp;CHAR(10)&amp;"Stanine",wHdr,0))+0,""))</f>
        <v/>
      </c>
      <c r="BI179" t="str">
        <f>IF(BA179="","",IF(AND(ISNUMBER(BG179),N(BE179)&gt;=WlMinTests,BG179&lt;=-WlGap),"Below KS2 starting point",IF(AND(NOT(ISNUMBER(BD179)),ISNUMBER(BF179),N(BE179)&gt;=WlMinTests,BF179&lt;=WlLowMean),"Low results, no KS2 data","")))</f>
        <v/>
      </c>
      <c r="BJ179" t="str">
        <f>IF(BI179="","",IF(BI179="Below KS2 starting point",BG179,100+BF179)+ROW()/1000000)</f>
        <v/>
      </c>
    </row>
    <row r="180">
      <c r="H180" t="str">
        <f>IFERROR(INDEX(tblY7[Class],ROWS(H$10:H180))&amp;"","")</f>
        <v/>
      </c>
      <c r="I180" t="str">
        <f>IF(H180="","",IF(COUNTIF(H$10:H180,H180)=1,COUNTIF(H$10:H$609,"&lt;"&amp;H180)+1,""))</f>
        <v/>
      </c>
      <c r="J180" t="str">
        <f>IFERROR(INDEX(tblY8[Class],ROWS(J$10:J180))&amp;"","")</f>
        <v/>
      </c>
      <c r="K180" t="str">
        <f>IF(J180="","",IF(COUNTIF(J$10:J180,J180)=1,COUNTIF(J$10:J$609,"&lt;"&amp;J180)+1,""))</f>
        <v/>
      </c>
      <c r="L180" t="str">
        <f>IFERROR(INDEX(tblY9[Class],ROWS(L$10:L180))&amp;"","")</f>
        <v/>
      </c>
      <c r="M180" t="str">
        <f>IF(L180="","",IF(COUNTIF(L$10:L180,L180)=1,COUNTIF(L$10:L$609,"&lt;"&amp;L180)+1,""))</f>
        <v/>
      </c>
      <c r="N180" t="str">
        <f>IFERROR(INDEX(tblY10[Class],ROWS(N$10:N180))&amp;"","")</f>
        <v/>
      </c>
      <c r="O180" t="str">
        <f>IF(N180="","",IF(COUNTIF(N$10:N180,N180)=1,COUNTIF(N$10:N$609,"&lt;"&amp;N180)+1,""))</f>
        <v/>
      </c>
      <c r="P180" t="str">
        <f>IFERROR(INDEX(tblY11[Class],ROWS(P$10:P180))&amp;"","")</f>
        <v/>
      </c>
      <c r="Q180" t="str">
        <f>IF(P180="","",IF(COUNTIF(P$10:P180,P180)=1,COUNTIF(P$10:P$609,"&lt;"&amp;P180)+1,""))</f>
        <v/>
      </c>
      <c r="BA180" t="str">
        <f>IFERROR(INDEX(wLast,111)&amp;"","")</f>
        <v/>
      </c>
      <c r="BB180" t="str">
        <f>IF(BA180="","",IFERROR(INDEX(wFirst,111)&amp;"",""))</f>
        <v/>
      </c>
      <c r="BC180" t="str">
        <f>IF(BA180="","",IFERROR(INDEX(wClass,111)&amp;"",""))</f>
        <v/>
      </c>
      <c r="BD180" t="str">
        <f>IF(BA180="","",IFERROR(INDEX(wKS2,111)+0,""))</f>
        <v/>
      </c>
      <c r="BE180" t="str">
        <f>IF(BA180="","",IFERROR(INDEX(wTests,111)+0,0))</f>
        <v/>
      </c>
      <c r="BF180" t="str">
        <f>IF(BA180="","",IFERROR(INDEX(wMean,111)+0,""))</f>
        <v/>
      </c>
      <c r="BG180" t="str">
        <f>IF(BA180="","",IFERROR(INDEX(wVs,111)+0,""))</f>
        <v/>
      </c>
      <c r="BH180" t="str">
        <f>IF(OR(BA180="",wLatest=""),"",IFERROR(INDEX(wData,111,MATCH(wLatest&amp;CHAR(10)&amp;"Stanine",wHdr,0))+0,""))</f>
        <v/>
      </c>
      <c r="BI180" t="str">
        <f>IF(BA180="","",IF(AND(ISNUMBER(BG180),N(BE180)&gt;=WlMinTests,BG180&lt;=-WlGap),"Below KS2 starting point",IF(AND(NOT(ISNUMBER(BD180)),ISNUMBER(BF180),N(BE180)&gt;=WlMinTests,BF180&lt;=WlLowMean),"Low results, no KS2 data","")))</f>
        <v/>
      </c>
      <c r="BJ180" t="str">
        <f>IF(BI180="","",IF(BI180="Below KS2 starting point",BG180,100+BF180)+ROW()/1000000)</f>
        <v/>
      </c>
    </row>
    <row r="181">
      <c r="H181" t="str">
        <f>IFERROR(INDEX(tblY7[Class],ROWS(H$10:H181))&amp;"","")</f>
        <v/>
      </c>
      <c r="I181" t="str">
        <f>IF(H181="","",IF(COUNTIF(H$10:H181,H181)=1,COUNTIF(H$10:H$609,"&lt;"&amp;H181)+1,""))</f>
        <v/>
      </c>
      <c r="J181" t="str">
        <f>IFERROR(INDEX(tblY8[Class],ROWS(J$10:J181))&amp;"","")</f>
        <v/>
      </c>
      <c r="K181" t="str">
        <f>IF(J181="","",IF(COUNTIF(J$10:J181,J181)=1,COUNTIF(J$10:J$609,"&lt;"&amp;J181)+1,""))</f>
        <v/>
      </c>
      <c r="L181" t="str">
        <f>IFERROR(INDEX(tblY9[Class],ROWS(L$10:L181))&amp;"","")</f>
        <v/>
      </c>
      <c r="M181" t="str">
        <f>IF(L181="","",IF(COUNTIF(L$10:L181,L181)=1,COUNTIF(L$10:L$609,"&lt;"&amp;L181)+1,""))</f>
        <v/>
      </c>
      <c r="N181" t="str">
        <f>IFERROR(INDEX(tblY10[Class],ROWS(N$10:N181))&amp;"","")</f>
        <v/>
      </c>
      <c r="O181" t="str">
        <f>IF(N181="","",IF(COUNTIF(N$10:N181,N181)=1,COUNTIF(N$10:N$609,"&lt;"&amp;N181)+1,""))</f>
        <v/>
      </c>
      <c r="P181" t="str">
        <f>IFERROR(INDEX(tblY11[Class],ROWS(P$10:P181))&amp;"","")</f>
        <v/>
      </c>
      <c r="Q181" t="str">
        <f>IF(P181="","",IF(COUNTIF(P$10:P181,P181)=1,COUNTIF(P$10:P$609,"&lt;"&amp;P181)+1,""))</f>
        <v/>
      </c>
      <c r="BA181" t="str">
        <f>IFERROR(INDEX(wLast,112)&amp;"","")</f>
        <v/>
      </c>
      <c r="BB181" t="str">
        <f>IF(BA181="","",IFERROR(INDEX(wFirst,112)&amp;"",""))</f>
        <v/>
      </c>
      <c r="BC181" t="str">
        <f>IF(BA181="","",IFERROR(INDEX(wClass,112)&amp;"",""))</f>
        <v/>
      </c>
      <c r="BD181" t="str">
        <f>IF(BA181="","",IFERROR(INDEX(wKS2,112)+0,""))</f>
        <v/>
      </c>
      <c r="BE181" t="str">
        <f>IF(BA181="","",IFERROR(INDEX(wTests,112)+0,0))</f>
        <v/>
      </c>
      <c r="BF181" t="str">
        <f>IF(BA181="","",IFERROR(INDEX(wMean,112)+0,""))</f>
        <v/>
      </c>
      <c r="BG181" t="str">
        <f>IF(BA181="","",IFERROR(INDEX(wVs,112)+0,""))</f>
        <v/>
      </c>
      <c r="BH181" t="str">
        <f>IF(OR(BA181="",wLatest=""),"",IFERROR(INDEX(wData,112,MATCH(wLatest&amp;CHAR(10)&amp;"Stanine",wHdr,0))+0,""))</f>
        <v/>
      </c>
      <c r="BI181" t="str">
        <f>IF(BA181="","",IF(AND(ISNUMBER(BG181),N(BE181)&gt;=WlMinTests,BG181&lt;=-WlGap),"Below KS2 starting point",IF(AND(NOT(ISNUMBER(BD181)),ISNUMBER(BF181),N(BE181)&gt;=WlMinTests,BF181&lt;=WlLowMean),"Low results, no KS2 data","")))</f>
        <v/>
      </c>
      <c r="BJ181" t="str">
        <f>IF(BI181="","",IF(BI181="Below KS2 starting point",BG181,100+BF181)+ROW()/1000000)</f>
        <v/>
      </c>
    </row>
    <row r="182">
      <c r="H182" t="str">
        <f>IFERROR(INDEX(tblY7[Class],ROWS(H$10:H182))&amp;"","")</f>
        <v/>
      </c>
      <c r="I182" t="str">
        <f>IF(H182="","",IF(COUNTIF(H$10:H182,H182)=1,COUNTIF(H$10:H$609,"&lt;"&amp;H182)+1,""))</f>
        <v/>
      </c>
      <c r="J182" t="str">
        <f>IFERROR(INDEX(tblY8[Class],ROWS(J$10:J182))&amp;"","")</f>
        <v/>
      </c>
      <c r="K182" t="str">
        <f>IF(J182="","",IF(COUNTIF(J$10:J182,J182)=1,COUNTIF(J$10:J$609,"&lt;"&amp;J182)+1,""))</f>
        <v/>
      </c>
      <c r="L182" t="str">
        <f>IFERROR(INDEX(tblY9[Class],ROWS(L$10:L182))&amp;"","")</f>
        <v/>
      </c>
      <c r="M182" t="str">
        <f>IF(L182="","",IF(COUNTIF(L$10:L182,L182)=1,COUNTIF(L$10:L$609,"&lt;"&amp;L182)+1,""))</f>
        <v/>
      </c>
      <c r="N182" t="str">
        <f>IFERROR(INDEX(tblY10[Class],ROWS(N$10:N182))&amp;"","")</f>
        <v/>
      </c>
      <c r="O182" t="str">
        <f>IF(N182="","",IF(COUNTIF(N$10:N182,N182)=1,COUNTIF(N$10:N$609,"&lt;"&amp;N182)+1,""))</f>
        <v/>
      </c>
      <c r="P182" t="str">
        <f>IFERROR(INDEX(tblY11[Class],ROWS(P$10:P182))&amp;"","")</f>
        <v/>
      </c>
      <c r="Q182" t="str">
        <f>IF(P182="","",IF(COUNTIF(P$10:P182,P182)=1,COUNTIF(P$10:P$609,"&lt;"&amp;P182)+1,""))</f>
        <v/>
      </c>
      <c r="BA182" t="str">
        <f>IFERROR(INDEX(wLast,113)&amp;"","")</f>
        <v/>
      </c>
      <c r="BB182" t="str">
        <f>IF(BA182="","",IFERROR(INDEX(wFirst,113)&amp;"",""))</f>
        <v/>
      </c>
      <c r="BC182" t="str">
        <f>IF(BA182="","",IFERROR(INDEX(wClass,113)&amp;"",""))</f>
        <v/>
      </c>
      <c r="BD182" t="str">
        <f>IF(BA182="","",IFERROR(INDEX(wKS2,113)+0,""))</f>
        <v/>
      </c>
      <c r="BE182" t="str">
        <f>IF(BA182="","",IFERROR(INDEX(wTests,113)+0,0))</f>
        <v/>
      </c>
      <c r="BF182" t="str">
        <f>IF(BA182="","",IFERROR(INDEX(wMean,113)+0,""))</f>
        <v/>
      </c>
      <c r="BG182" t="str">
        <f>IF(BA182="","",IFERROR(INDEX(wVs,113)+0,""))</f>
        <v/>
      </c>
      <c r="BH182" t="str">
        <f>IF(OR(BA182="",wLatest=""),"",IFERROR(INDEX(wData,113,MATCH(wLatest&amp;CHAR(10)&amp;"Stanine",wHdr,0))+0,""))</f>
        <v/>
      </c>
      <c r="BI182" t="str">
        <f>IF(BA182="","",IF(AND(ISNUMBER(BG182),N(BE182)&gt;=WlMinTests,BG182&lt;=-WlGap),"Below KS2 starting point",IF(AND(NOT(ISNUMBER(BD182)),ISNUMBER(BF182),N(BE182)&gt;=WlMinTests,BF182&lt;=WlLowMean),"Low results, no KS2 data","")))</f>
        <v/>
      </c>
      <c r="BJ182" t="str">
        <f>IF(BI182="","",IF(BI182="Below KS2 starting point",BG182,100+BF182)+ROW()/1000000)</f>
        <v/>
      </c>
    </row>
    <row r="183">
      <c r="H183" t="str">
        <f>IFERROR(INDEX(tblY7[Class],ROWS(H$10:H183))&amp;"","")</f>
        <v/>
      </c>
      <c r="I183" t="str">
        <f>IF(H183="","",IF(COUNTIF(H$10:H183,H183)=1,COUNTIF(H$10:H$609,"&lt;"&amp;H183)+1,""))</f>
        <v/>
      </c>
      <c r="J183" t="str">
        <f>IFERROR(INDEX(tblY8[Class],ROWS(J$10:J183))&amp;"","")</f>
        <v/>
      </c>
      <c r="K183" t="str">
        <f>IF(J183="","",IF(COUNTIF(J$10:J183,J183)=1,COUNTIF(J$10:J$609,"&lt;"&amp;J183)+1,""))</f>
        <v/>
      </c>
      <c r="L183" t="str">
        <f>IFERROR(INDEX(tblY9[Class],ROWS(L$10:L183))&amp;"","")</f>
        <v/>
      </c>
      <c r="M183" t="str">
        <f>IF(L183="","",IF(COUNTIF(L$10:L183,L183)=1,COUNTIF(L$10:L$609,"&lt;"&amp;L183)+1,""))</f>
        <v/>
      </c>
      <c r="N183" t="str">
        <f>IFERROR(INDEX(tblY10[Class],ROWS(N$10:N183))&amp;"","")</f>
        <v/>
      </c>
      <c r="O183" t="str">
        <f>IF(N183="","",IF(COUNTIF(N$10:N183,N183)=1,COUNTIF(N$10:N$609,"&lt;"&amp;N183)+1,""))</f>
        <v/>
      </c>
      <c r="P183" t="str">
        <f>IFERROR(INDEX(tblY11[Class],ROWS(P$10:P183))&amp;"","")</f>
        <v/>
      </c>
      <c r="Q183" t="str">
        <f>IF(P183="","",IF(COUNTIF(P$10:P183,P183)=1,COUNTIF(P$10:P$609,"&lt;"&amp;P183)+1,""))</f>
        <v/>
      </c>
      <c r="BA183" t="str">
        <f>IFERROR(INDEX(wLast,114)&amp;"","")</f>
        <v/>
      </c>
      <c r="BB183" t="str">
        <f>IF(BA183="","",IFERROR(INDEX(wFirst,114)&amp;"",""))</f>
        <v/>
      </c>
      <c r="BC183" t="str">
        <f>IF(BA183="","",IFERROR(INDEX(wClass,114)&amp;"",""))</f>
        <v/>
      </c>
      <c r="BD183" t="str">
        <f>IF(BA183="","",IFERROR(INDEX(wKS2,114)+0,""))</f>
        <v/>
      </c>
      <c r="BE183" t="str">
        <f>IF(BA183="","",IFERROR(INDEX(wTests,114)+0,0))</f>
        <v/>
      </c>
      <c r="BF183" t="str">
        <f>IF(BA183="","",IFERROR(INDEX(wMean,114)+0,""))</f>
        <v/>
      </c>
      <c r="BG183" t="str">
        <f>IF(BA183="","",IFERROR(INDEX(wVs,114)+0,""))</f>
        <v/>
      </c>
      <c r="BH183" t="str">
        <f>IF(OR(BA183="",wLatest=""),"",IFERROR(INDEX(wData,114,MATCH(wLatest&amp;CHAR(10)&amp;"Stanine",wHdr,0))+0,""))</f>
        <v/>
      </c>
      <c r="BI183" t="str">
        <f>IF(BA183="","",IF(AND(ISNUMBER(BG183),N(BE183)&gt;=WlMinTests,BG183&lt;=-WlGap),"Below KS2 starting point",IF(AND(NOT(ISNUMBER(BD183)),ISNUMBER(BF183),N(BE183)&gt;=WlMinTests,BF183&lt;=WlLowMean),"Low results, no KS2 data","")))</f>
        <v/>
      </c>
      <c r="BJ183" t="str">
        <f>IF(BI183="","",IF(BI183="Below KS2 starting point",BG183,100+BF183)+ROW()/1000000)</f>
        <v/>
      </c>
    </row>
    <row r="184">
      <c r="H184" t="str">
        <f>IFERROR(INDEX(tblY7[Class],ROWS(H$10:H184))&amp;"","")</f>
        <v/>
      </c>
      <c r="I184" t="str">
        <f>IF(H184="","",IF(COUNTIF(H$10:H184,H184)=1,COUNTIF(H$10:H$609,"&lt;"&amp;H184)+1,""))</f>
        <v/>
      </c>
      <c r="J184" t="str">
        <f>IFERROR(INDEX(tblY8[Class],ROWS(J$10:J184))&amp;"","")</f>
        <v/>
      </c>
      <c r="K184" t="str">
        <f>IF(J184="","",IF(COUNTIF(J$10:J184,J184)=1,COUNTIF(J$10:J$609,"&lt;"&amp;J184)+1,""))</f>
        <v/>
      </c>
      <c r="L184" t="str">
        <f>IFERROR(INDEX(tblY9[Class],ROWS(L$10:L184))&amp;"","")</f>
        <v/>
      </c>
      <c r="M184" t="str">
        <f>IF(L184="","",IF(COUNTIF(L$10:L184,L184)=1,COUNTIF(L$10:L$609,"&lt;"&amp;L184)+1,""))</f>
        <v/>
      </c>
      <c r="N184" t="str">
        <f>IFERROR(INDEX(tblY10[Class],ROWS(N$10:N184))&amp;"","")</f>
        <v/>
      </c>
      <c r="O184" t="str">
        <f>IF(N184="","",IF(COUNTIF(N$10:N184,N184)=1,COUNTIF(N$10:N$609,"&lt;"&amp;N184)+1,""))</f>
        <v/>
      </c>
      <c r="P184" t="str">
        <f>IFERROR(INDEX(tblY11[Class],ROWS(P$10:P184))&amp;"","")</f>
        <v/>
      </c>
      <c r="Q184" t="str">
        <f>IF(P184="","",IF(COUNTIF(P$10:P184,P184)=1,COUNTIF(P$10:P$609,"&lt;"&amp;P184)+1,""))</f>
        <v/>
      </c>
      <c r="BA184" t="str">
        <f>IFERROR(INDEX(wLast,115)&amp;"","")</f>
        <v/>
      </c>
      <c r="BB184" t="str">
        <f>IF(BA184="","",IFERROR(INDEX(wFirst,115)&amp;"",""))</f>
        <v/>
      </c>
      <c r="BC184" t="str">
        <f>IF(BA184="","",IFERROR(INDEX(wClass,115)&amp;"",""))</f>
        <v/>
      </c>
      <c r="BD184" t="str">
        <f>IF(BA184="","",IFERROR(INDEX(wKS2,115)+0,""))</f>
        <v/>
      </c>
      <c r="BE184" t="str">
        <f>IF(BA184="","",IFERROR(INDEX(wTests,115)+0,0))</f>
        <v/>
      </c>
      <c r="BF184" t="str">
        <f>IF(BA184="","",IFERROR(INDEX(wMean,115)+0,""))</f>
        <v/>
      </c>
      <c r="BG184" t="str">
        <f>IF(BA184="","",IFERROR(INDEX(wVs,115)+0,""))</f>
        <v/>
      </c>
      <c r="BH184" t="str">
        <f>IF(OR(BA184="",wLatest=""),"",IFERROR(INDEX(wData,115,MATCH(wLatest&amp;CHAR(10)&amp;"Stanine",wHdr,0))+0,""))</f>
        <v/>
      </c>
      <c r="BI184" t="str">
        <f>IF(BA184="","",IF(AND(ISNUMBER(BG184),N(BE184)&gt;=WlMinTests,BG184&lt;=-WlGap),"Below KS2 starting point",IF(AND(NOT(ISNUMBER(BD184)),ISNUMBER(BF184),N(BE184)&gt;=WlMinTests,BF184&lt;=WlLowMean),"Low results, no KS2 data","")))</f>
        <v/>
      </c>
      <c r="BJ184" t="str">
        <f>IF(BI184="","",IF(BI184="Below KS2 starting point",BG184,100+BF184)+ROW()/1000000)</f>
        <v/>
      </c>
    </row>
    <row r="185">
      <c r="H185" t="str">
        <f>IFERROR(INDEX(tblY7[Class],ROWS(H$10:H185))&amp;"","")</f>
        <v/>
      </c>
      <c r="I185" t="str">
        <f>IF(H185="","",IF(COUNTIF(H$10:H185,H185)=1,COUNTIF(H$10:H$609,"&lt;"&amp;H185)+1,""))</f>
        <v/>
      </c>
      <c r="J185" t="str">
        <f>IFERROR(INDEX(tblY8[Class],ROWS(J$10:J185))&amp;"","")</f>
        <v/>
      </c>
      <c r="K185" t="str">
        <f>IF(J185="","",IF(COUNTIF(J$10:J185,J185)=1,COUNTIF(J$10:J$609,"&lt;"&amp;J185)+1,""))</f>
        <v/>
      </c>
      <c r="L185" t="str">
        <f>IFERROR(INDEX(tblY9[Class],ROWS(L$10:L185))&amp;"","")</f>
        <v/>
      </c>
      <c r="M185" t="str">
        <f>IF(L185="","",IF(COUNTIF(L$10:L185,L185)=1,COUNTIF(L$10:L$609,"&lt;"&amp;L185)+1,""))</f>
        <v/>
      </c>
      <c r="N185" t="str">
        <f>IFERROR(INDEX(tblY10[Class],ROWS(N$10:N185))&amp;"","")</f>
        <v/>
      </c>
      <c r="O185" t="str">
        <f>IF(N185="","",IF(COUNTIF(N$10:N185,N185)=1,COUNTIF(N$10:N$609,"&lt;"&amp;N185)+1,""))</f>
        <v/>
      </c>
      <c r="P185" t="str">
        <f>IFERROR(INDEX(tblY11[Class],ROWS(P$10:P185))&amp;"","")</f>
        <v/>
      </c>
      <c r="Q185" t="str">
        <f>IF(P185="","",IF(COUNTIF(P$10:P185,P185)=1,COUNTIF(P$10:P$609,"&lt;"&amp;P185)+1,""))</f>
        <v/>
      </c>
      <c r="BA185" t="str">
        <f>IFERROR(INDEX(wLast,116)&amp;"","")</f>
        <v/>
      </c>
      <c r="BB185" t="str">
        <f>IF(BA185="","",IFERROR(INDEX(wFirst,116)&amp;"",""))</f>
        <v/>
      </c>
      <c r="BC185" t="str">
        <f>IF(BA185="","",IFERROR(INDEX(wClass,116)&amp;"",""))</f>
        <v/>
      </c>
      <c r="BD185" t="str">
        <f>IF(BA185="","",IFERROR(INDEX(wKS2,116)+0,""))</f>
        <v/>
      </c>
      <c r="BE185" t="str">
        <f>IF(BA185="","",IFERROR(INDEX(wTests,116)+0,0))</f>
        <v/>
      </c>
      <c r="BF185" t="str">
        <f>IF(BA185="","",IFERROR(INDEX(wMean,116)+0,""))</f>
        <v/>
      </c>
      <c r="BG185" t="str">
        <f>IF(BA185="","",IFERROR(INDEX(wVs,116)+0,""))</f>
        <v/>
      </c>
      <c r="BH185" t="str">
        <f>IF(OR(BA185="",wLatest=""),"",IFERROR(INDEX(wData,116,MATCH(wLatest&amp;CHAR(10)&amp;"Stanine",wHdr,0))+0,""))</f>
        <v/>
      </c>
      <c r="BI185" t="str">
        <f>IF(BA185="","",IF(AND(ISNUMBER(BG185),N(BE185)&gt;=WlMinTests,BG185&lt;=-WlGap),"Below KS2 starting point",IF(AND(NOT(ISNUMBER(BD185)),ISNUMBER(BF185),N(BE185)&gt;=WlMinTests,BF185&lt;=WlLowMean),"Low results, no KS2 data","")))</f>
        <v/>
      </c>
      <c r="BJ185" t="str">
        <f>IF(BI185="","",IF(BI185="Below KS2 starting point",BG185,100+BF185)+ROW()/1000000)</f>
        <v/>
      </c>
    </row>
    <row r="186">
      <c r="H186" t="str">
        <f>IFERROR(INDEX(tblY7[Class],ROWS(H$10:H186))&amp;"","")</f>
        <v/>
      </c>
      <c r="I186" t="str">
        <f>IF(H186="","",IF(COUNTIF(H$10:H186,H186)=1,COUNTIF(H$10:H$609,"&lt;"&amp;H186)+1,""))</f>
        <v/>
      </c>
      <c r="J186" t="str">
        <f>IFERROR(INDEX(tblY8[Class],ROWS(J$10:J186))&amp;"","")</f>
        <v/>
      </c>
      <c r="K186" t="str">
        <f>IF(J186="","",IF(COUNTIF(J$10:J186,J186)=1,COUNTIF(J$10:J$609,"&lt;"&amp;J186)+1,""))</f>
        <v/>
      </c>
      <c r="L186" t="str">
        <f>IFERROR(INDEX(tblY9[Class],ROWS(L$10:L186))&amp;"","")</f>
        <v/>
      </c>
      <c r="M186" t="str">
        <f>IF(L186="","",IF(COUNTIF(L$10:L186,L186)=1,COUNTIF(L$10:L$609,"&lt;"&amp;L186)+1,""))</f>
        <v/>
      </c>
      <c r="N186" t="str">
        <f>IFERROR(INDEX(tblY10[Class],ROWS(N$10:N186))&amp;"","")</f>
        <v/>
      </c>
      <c r="O186" t="str">
        <f>IF(N186="","",IF(COUNTIF(N$10:N186,N186)=1,COUNTIF(N$10:N$609,"&lt;"&amp;N186)+1,""))</f>
        <v/>
      </c>
      <c r="P186" t="str">
        <f>IFERROR(INDEX(tblY11[Class],ROWS(P$10:P186))&amp;"","")</f>
        <v/>
      </c>
      <c r="Q186" t="str">
        <f>IF(P186="","",IF(COUNTIF(P$10:P186,P186)=1,COUNTIF(P$10:P$609,"&lt;"&amp;P186)+1,""))</f>
        <v/>
      </c>
      <c r="BA186" t="str">
        <f>IFERROR(INDEX(wLast,117)&amp;"","")</f>
        <v/>
      </c>
      <c r="BB186" t="str">
        <f>IF(BA186="","",IFERROR(INDEX(wFirst,117)&amp;"",""))</f>
        <v/>
      </c>
      <c r="BC186" t="str">
        <f>IF(BA186="","",IFERROR(INDEX(wClass,117)&amp;"",""))</f>
        <v/>
      </c>
      <c r="BD186" t="str">
        <f>IF(BA186="","",IFERROR(INDEX(wKS2,117)+0,""))</f>
        <v/>
      </c>
      <c r="BE186" t="str">
        <f>IF(BA186="","",IFERROR(INDEX(wTests,117)+0,0))</f>
        <v/>
      </c>
      <c r="BF186" t="str">
        <f>IF(BA186="","",IFERROR(INDEX(wMean,117)+0,""))</f>
        <v/>
      </c>
      <c r="BG186" t="str">
        <f>IF(BA186="","",IFERROR(INDEX(wVs,117)+0,""))</f>
        <v/>
      </c>
      <c r="BH186" t="str">
        <f>IF(OR(BA186="",wLatest=""),"",IFERROR(INDEX(wData,117,MATCH(wLatest&amp;CHAR(10)&amp;"Stanine",wHdr,0))+0,""))</f>
        <v/>
      </c>
      <c r="BI186" t="str">
        <f>IF(BA186="","",IF(AND(ISNUMBER(BG186),N(BE186)&gt;=WlMinTests,BG186&lt;=-WlGap),"Below KS2 starting point",IF(AND(NOT(ISNUMBER(BD186)),ISNUMBER(BF186),N(BE186)&gt;=WlMinTests,BF186&lt;=WlLowMean),"Low results, no KS2 data","")))</f>
        <v/>
      </c>
      <c r="BJ186" t="str">
        <f>IF(BI186="","",IF(BI186="Below KS2 starting point",BG186,100+BF186)+ROW()/1000000)</f>
        <v/>
      </c>
    </row>
    <row r="187">
      <c r="H187" t="str">
        <f>IFERROR(INDEX(tblY7[Class],ROWS(H$10:H187))&amp;"","")</f>
        <v/>
      </c>
      <c r="I187" t="str">
        <f>IF(H187="","",IF(COUNTIF(H$10:H187,H187)=1,COUNTIF(H$10:H$609,"&lt;"&amp;H187)+1,""))</f>
        <v/>
      </c>
      <c r="J187" t="str">
        <f>IFERROR(INDEX(tblY8[Class],ROWS(J$10:J187))&amp;"","")</f>
        <v/>
      </c>
      <c r="K187" t="str">
        <f>IF(J187="","",IF(COUNTIF(J$10:J187,J187)=1,COUNTIF(J$10:J$609,"&lt;"&amp;J187)+1,""))</f>
        <v/>
      </c>
      <c r="L187" t="str">
        <f>IFERROR(INDEX(tblY9[Class],ROWS(L$10:L187))&amp;"","")</f>
        <v/>
      </c>
      <c r="M187" t="str">
        <f>IF(L187="","",IF(COUNTIF(L$10:L187,L187)=1,COUNTIF(L$10:L$609,"&lt;"&amp;L187)+1,""))</f>
        <v/>
      </c>
      <c r="N187" t="str">
        <f>IFERROR(INDEX(tblY10[Class],ROWS(N$10:N187))&amp;"","")</f>
        <v/>
      </c>
      <c r="O187" t="str">
        <f>IF(N187="","",IF(COUNTIF(N$10:N187,N187)=1,COUNTIF(N$10:N$609,"&lt;"&amp;N187)+1,""))</f>
        <v/>
      </c>
      <c r="P187" t="str">
        <f>IFERROR(INDEX(tblY11[Class],ROWS(P$10:P187))&amp;"","")</f>
        <v/>
      </c>
      <c r="Q187" t="str">
        <f>IF(P187="","",IF(COUNTIF(P$10:P187,P187)=1,COUNTIF(P$10:P$609,"&lt;"&amp;P187)+1,""))</f>
        <v/>
      </c>
      <c r="BA187" t="str">
        <f>IFERROR(INDEX(wLast,118)&amp;"","")</f>
        <v/>
      </c>
      <c r="BB187" t="str">
        <f>IF(BA187="","",IFERROR(INDEX(wFirst,118)&amp;"",""))</f>
        <v/>
      </c>
      <c r="BC187" t="str">
        <f>IF(BA187="","",IFERROR(INDEX(wClass,118)&amp;"",""))</f>
        <v/>
      </c>
      <c r="BD187" t="str">
        <f>IF(BA187="","",IFERROR(INDEX(wKS2,118)+0,""))</f>
        <v/>
      </c>
      <c r="BE187" t="str">
        <f>IF(BA187="","",IFERROR(INDEX(wTests,118)+0,0))</f>
        <v/>
      </c>
      <c r="BF187" t="str">
        <f>IF(BA187="","",IFERROR(INDEX(wMean,118)+0,""))</f>
        <v/>
      </c>
      <c r="BG187" t="str">
        <f>IF(BA187="","",IFERROR(INDEX(wVs,118)+0,""))</f>
        <v/>
      </c>
      <c r="BH187" t="str">
        <f>IF(OR(BA187="",wLatest=""),"",IFERROR(INDEX(wData,118,MATCH(wLatest&amp;CHAR(10)&amp;"Stanine",wHdr,0))+0,""))</f>
        <v/>
      </c>
      <c r="BI187" t="str">
        <f>IF(BA187="","",IF(AND(ISNUMBER(BG187),N(BE187)&gt;=WlMinTests,BG187&lt;=-WlGap),"Below KS2 starting point",IF(AND(NOT(ISNUMBER(BD187)),ISNUMBER(BF187),N(BE187)&gt;=WlMinTests,BF187&lt;=WlLowMean),"Low results, no KS2 data","")))</f>
        <v/>
      </c>
      <c r="BJ187" t="str">
        <f>IF(BI187="","",IF(BI187="Below KS2 starting point",BG187,100+BF187)+ROW()/1000000)</f>
        <v/>
      </c>
    </row>
    <row r="188">
      <c r="H188" t="str">
        <f>IFERROR(INDEX(tblY7[Class],ROWS(H$10:H188))&amp;"","")</f>
        <v/>
      </c>
      <c r="I188" t="str">
        <f>IF(H188="","",IF(COUNTIF(H$10:H188,H188)=1,COUNTIF(H$10:H$609,"&lt;"&amp;H188)+1,""))</f>
        <v/>
      </c>
      <c r="J188" t="str">
        <f>IFERROR(INDEX(tblY8[Class],ROWS(J$10:J188))&amp;"","")</f>
        <v/>
      </c>
      <c r="K188" t="str">
        <f>IF(J188="","",IF(COUNTIF(J$10:J188,J188)=1,COUNTIF(J$10:J$609,"&lt;"&amp;J188)+1,""))</f>
        <v/>
      </c>
      <c r="L188" t="str">
        <f>IFERROR(INDEX(tblY9[Class],ROWS(L$10:L188))&amp;"","")</f>
        <v/>
      </c>
      <c r="M188" t="str">
        <f>IF(L188="","",IF(COUNTIF(L$10:L188,L188)=1,COUNTIF(L$10:L$609,"&lt;"&amp;L188)+1,""))</f>
        <v/>
      </c>
      <c r="N188" t="str">
        <f>IFERROR(INDEX(tblY10[Class],ROWS(N$10:N188))&amp;"","")</f>
        <v/>
      </c>
      <c r="O188" t="str">
        <f>IF(N188="","",IF(COUNTIF(N$10:N188,N188)=1,COUNTIF(N$10:N$609,"&lt;"&amp;N188)+1,""))</f>
        <v/>
      </c>
      <c r="P188" t="str">
        <f>IFERROR(INDEX(tblY11[Class],ROWS(P$10:P188))&amp;"","")</f>
        <v/>
      </c>
      <c r="Q188" t="str">
        <f>IF(P188="","",IF(COUNTIF(P$10:P188,P188)=1,COUNTIF(P$10:P$609,"&lt;"&amp;P188)+1,""))</f>
        <v/>
      </c>
      <c r="BA188" t="str">
        <f>IFERROR(INDEX(wLast,119)&amp;"","")</f>
        <v/>
      </c>
      <c r="BB188" t="str">
        <f>IF(BA188="","",IFERROR(INDEX(wFirst,119)&amp;"",""))</f>
        <v/>
      </c>
      <c r="BC188" t="str">
        <f>IF(BA188="","",IFERROR(INDEX(wClass,119)&amp;"",""))</f>
        <v/>
      </c>
      <c r="BD188" t="str">
        <f>IF(BA188="","",IFERROR(INDEX(wKS2,119)+0,""))</f>
        <v/>
      </c>
      <c r="BE188" t="str">
        <f>IF(BA188="","",IFERROR(INDEX(wTests,119)+0,0))</f>
        <v/>
      </c>
      <c r="BF188" t="str">
        <f>IF(BA188="","",IFERROR(INDEX(wMean,119)+0,""))</f>
        <v/>
      </c>
      <c r="BG188" t="str">
        <f>IF(BA188="","",IFERROR(INDEX(wVs,119)+0,""))</f>
        <v/>
      </c>
      <c r="BH188" t="str">
        <f>IF(OR(BA188="",wLatest=""),"",IFERROR(INDEX(wData,119,MATCH(wLatest&amp;CHAR(10)&amp;"Stanine",wHdr,0))+0,""))</f>
        <v/>
      </c>
      <c r="BI188" t="str">
        <f>IF(BA188="","",IF(AND(ISNUMBER(BG188),N(BE188)&gt;=WlMinTests,BG188&lt;=-WlGap),"Below KS2 starting point",IF(AND(NOT(ISNUMBER(BD188)),ISNUMBER(BF188),N(BE188)&gt;=WlMinTests,BF188&lt;=WlLowMean),"Low results, no KS2 data","")))</f>
        <v/>
      </c>
      <c r="BJ188" t="str">
        <f>IF(BI188="","",IF(BI188="Below KS2 starting point",BG188,100+BF188)+ROW()/1000000)</f>
        <v/>
      </c>
    </row>
    <row r="189">
      <c r="H189" t="str">
        <f>IFERROR(INDEX(tblY7[Class],ROWS(H$10:H189))&amp;"","")</f>
        <v/>
      </c>
      <c r="I189" t="str">
        <f>IF(H189="","",IF(COUNTIF(H$10:H189,H189)=1,COUNTIF(H$10:H$609,"&lt;"&amp;H189)+1,""))</f>
        <v/>
      </c>
      <c r="J189" t="str">
        <f>IFERROR(INDEX(tblY8[Class],ROWS(J$10:J189))&amp;"","")</f>
        <v/>
      </c>
      <c r="K189" t="str">
        <f>IF(J189="","",IF(COUNTIF(J$10:J189,J189)=1,COUNTIF(J$10:J$609,"&lt;"&amp;J189)+1,""))</f>
        <v/>
      </c>
      <c r="L189" t="str">
        <f>IFERROR(INDEX(tblY9[Class],ROWS(L$10:L189))&amp;"","")</f>
        <v/>
      </c>
      <c r="M189" t="str">
        <f>IF(L189="","",IF(COUNTIF(L$10:L189,L189)=1,COUNTIF(L$10:L$609,"&lt;"&amp;L189)+1,""))</f>
        <v/>
      </c>
      <c r="N189" t="str">
        <f>IFERROR(INDEX(tblY10[Class],ROWS(N$10:N189))&amp;"","")</f>
        <v/>
      </c>
      <c r="O189" t="str">
        <f>IF(N189="","",IF(COUNTIF(N$10:N189,N189)=1,COUNTIF(N$10:N$609,"&lt;"&amp;N189)+1,""))</f>
        <v/>
      </c>
      <c r="P189" t="str">
        <f>IFERROR(INDEX(tblY11[Class],ROWS(P$10:P189))&amp;"","")</f>
        <v/>
      </c>
      <c r="Q189" t="str">
        <f>IF(P189="","",IF(COUNTIF(P$10:P189,P189)=1,COUNTIF(P$10:P$609,"&lt;"&amp;P189)+1,""))</f>
        <v/>
      </c>
      <c r="BA189" t="str">
        <f>IFERROR(INDEX(wLast,120)&amp;"","")</f>
        <v/>
      </c>
      <c r="BB189" t="str">
        <f>IF(BA189="","",IFERROR(INDEX(wFirst,120)&amp;"",""))</f>
        <v/>
      </c>
      <c r="BC189" t="str">
        <f>IF(BA189="","",IFERROR(INDEX(wClass,120)&amp;"",""))</f>
        <v/>
      </c>
      <c r="BD189" t="str">
        <f>IF(BA189="","",IFERROR(INDEX(wKS2,120)+0,""))</f>
        <v/>
      </c>
      <c r="BE189" t="str">
        <f>IF(BA189="","",IFERROR(INDEX(wTests,120)+0,0))</f>
        <v/>
      </c>
      <c r="BF189" t="str">
        <f>IF(BA189="","",IFERROR(INDEX(wMean,120)+0,""))</f>
        <v/>
      </c>
      <c r="BG189" t="str">
        <f>IF(BA189="","",IFERROR(INDEX(wVs,120)+0,""))</f>
        <v/>
      </c>
      <c r="BH189" t="str">
        <f>IF(OR(BA189="",wLatest=""),"",IFERROR(INDEX(wData,120,MATCH(wLatest&amp;CHAR(10)&amp;"Stanine",wHdr,0))+0,""))</f>
        <v/>
      </c>
      <c r="BI189" t="str">
        <f>IF(BA189="","",IF(AND(ISNUMBER(BG189),N(BE189)&gt;=WlMinTests,BG189&lt;=-WlGap),"Below KS2 starting point",IF(AND(NOT(ISNUMBER(BD189)),ISNUMBER(BF189),N(BE189)&gt;=WlMinTests,BF189&lt;=WlLowMean),"Low results, no KS2 data","")))</f>
        <v/>
      </c>
      <c r="BJ189" t="str">
        <f>IF(BI189="","",IF(BI189="Below KS2 starting point",BG189,100+BF189)+ROW()/1000000)</f>
        <v/>
      </c>
    </row>
    <row r="190">
      <c r="H190" t="str">
        <f>IFERROR(INDEX(tblY7[Class],ROWS(H$10:H190))&amp;"","")</f>
        <v/>
      </c>
      <c r="I190" t="str">
        <f>IF(H190="","",IF(COUNTIF(H$10:H190,H190)=1,COUNTIF(H$10:H$609,"&lt;"&amp;H190)+1,""))</f>
        <v/>
      </c>
      <c r="J190" t="str">
        <f>IFERROR(INDEX(tblY8[Class],ROWS(J$10:J190))&amp;"","")</f>
        <v/>
      </c>
      <c r="K190" t="str">
        <f>IF(J190="","",IF(COUNTIF(J$10:J190,J190)=1,COUNTIF(J$10:J$609,"&lt;"&amp;J190)+1,""))</f>
        <v/>
      </c>
      <c r="L190" t="str">
        <f>IFERROR(INDEX(tblY9[Class],ROWS(L$10:L190))&amp;"","")</f>
        <v/>
      </c>
      <c r="M190" t="str">
        <f>IF(L190="","",IF(COUNTIF(L$10:L190,L190)=1,COUNTIF(L$10:L$609,"&lt;"&amp;L190)+1,""))</f>
        <v/>
      </c>
      <c r="N190" t="str">
        <f>IFERROR(INDEX(tblY10[Class],ROWS(N$10:N190))&amp;"","")</f>
        <v/>
      </c>
      <c r="O190" t="str">
        <f>IF(N190="","",IF(COUNTIF(N$10:N190,N190)=1,COUNTIF(N$10:N$609,"&lt;"&amp;N190)+1,""))</f>
        <v/>
      </c>
      <c r="P190" t="str">
        <f>IFERROR(INDEX(tblY11[Class],ROWS(P$10:P190))&amp;"","")</f>
        <v/>
      </c>
      <c r="Q190" t="str">
        <f>IF(P190="","",IF(COUNTIF(P$10:P190,P190)=1,COUNTIF(P$10:P$609,"&lt;"&amp;P190)+1,""))</f>
        <v/>
      </c>
      <c r="BA190" t="str">
        <f>IFERROR(INDEX(wLast,121)&amp;"","")</f>
        <v/>
      </c>
      <c r="BB190" t="str">
        <f>IF(BA190="","",IFERROR(INDEX(wFirst,121)&amp;"",""))</f>
        <v/>
      </c>
      <c r="BC190" t="str">
        <f>IF(BA190="","",IFERROR(INDEX(wClass,121)&amp;"",""))</f>
        <v/>
      </c>
      <c r="BD190" t="str">
        <f>IF(BA190="","",IFERROR(INDEX(wKS2,121)+0,""))</f>
        <v/>
      </c>
      <c r="BE190" t="str">
        <f>IF(BA190="","",IFERROR(INDEX(wTests,121)+0,0))</f>
        <v/>
      </c>
      <c r="BF190" t="str">
        <f>IF(BA190="","",IFERROR(INDEX(wMean,121)+0,""))</f>
        <v/>
      </c>
      <c r="BG190" t="str">
        <f>IF(BA190="","",IFERROR(INDEX(wVs,121)+0,""))</f>
        <v/>
      </c>
      <c r="BH190" t="str">
        <f>IF(OR(BA190="",wLatest=""),"",IFERROR(INDEX(wData,121,MATCH(wLatest&amp;CHAR(10)&amp;"Stanine",wHdr,0))+0,""))</f>
        <v/>
      </c>
      <c r="BI190" t="str">
        <f>IF(BA190="","",IF(AND(ISNUMBER(BG190),N(BE190)&gt;=WlMinTests,BG190&lt;=-WlGap),"Below KS2 starting point",IF(AND(NOT(ISNUMBER(BD190)),ISNUMBER(BF190),N(BE190)&gt;=WlMinTests,BF190&lt;=WlLowMean),"Low results, no KS2 data","")))</f>
        <v/>
      </c>
      <c r="BJ190" t="str">
        <f>IF(BI190="","",IF(BI190="Below KS2 starting point",BG190,100+BF190)+ROW()/1000000)</f>
        <v/>
      </c>
    </row>
    <row r="191">
      <c r="H191" t="str">
        <f>IFERROR(INDEX(tblY7[Class],ROWS(H$10:H191))&amp;"","")</f>
        <v/>
      </c>
      <c r="I191" t="str">
        <f>IF(H191="","",IF(COUNTIF(H$10:H191,H191)=1,COUNTIF(H$10:H$609,"&lt;"&amp;H191)+1,""))</f>
        <v/>
      </c>
      <c r="J191" t="str">
        <f>IFERROR(INDEX(tblY8[Class],ROWS(J$10:J191))&amp;"","")</f>
        <v/>
      </c>
      <c r="K191" t="str">
        <f>IF(J191="","",IF(COUNTIF(J$10:J191,J191)=1,COUNTIF(J$10:J$609,"&lt;"&amp;J191)+1,""))</f>
        <v/>
      </c>
      <c r="L191" t="str">
        <f>IFERROR(INDEX(tblY9[Class],ROWS(L$10:L191))&amp;"","")</f>
        <v/>
      </c>
      <c r="M191" t="str">
        <f>IF(L191="","",IF(COUNTIF(L$10:L191,L191)=1,COUNTIF(L$10:L$609,"&lt;"&amp;L191)+1,""))</f>
        <v/>
      </c>
      <c r="N191" t="str">
        <f>IFERROR(INDEX(tblY10[Class],ROWS(N$10:N191))&amp;"","")</f>
        <v/>
      </c>
      <c r="O191" t="str">
        <f>IF(N191="","",IF(COUNTIF(N$10:N191,N191)=1,COUNTIF(N$10:N$609,"&lt;"&amp;N191)+1,""))</f>
        <v/>
      </c>
      <c r="P191" t="str">
        <f>IFERROR(INDEX(tblY11[Class],ROWS(P$10:P191))&amp;"","")</f>
        <v/>
      </c>
      <c r="Q191" t="str">
        <f>IF(P191="","",IF(COUNTIF(P$10:P191,P191)=1,COUNTIF(P$10:P$609,"&lt;"&amp;P191)+1,""))</f>
        <v/>
      </c>
      <c r="BA191" t="str">
        <f>IFERROR(INDEX(wLast,122)&amp;"","")</f>
        <v/>
      </c>
      <c r="BB191" t="str">
        <f>IF(BA191="","",IFERROR(INDEX(wFirst,122)&amp;"",""))</f>
        <v/>
      </c>
      <c r="BC191" t="str">
        <f>IF(BA191="","",IFERROR(INDEX(wClass,122)&amp;"",""))</f>
        <v/>
      </c>
      <c r="BD191" t="str">
        <f>IF(BA191="","",IFERROR(INDEX(wKS2,122)+0,""))</f>
        <v/>
      </c>
      <c r="BE191" t="str">
        <f>IF(BA191="","",IFERROR(INDEX(wTests,122)+0,0))</f>
        <v/>
      </c>
      <c r="BF191" t="str">
        <f>IF(BA191="","",IFERROR(INDEX(wMean,122)+0,""))</f>
        <v/>
      </c>
      <c r="BG191" t="str">
        <f>IF(BA191="","",IFERROR(INDEX(wVs,122)+0,""))</f>
        <v/>
      </c>
      <c r="BH191" t="str">
        <f>IF(OR(BA191="",wLatest=""),"",IFERROR(INDEX(wData,122,MATCH(wLatest&amp;CHAR(10)&amp;"Stanine",wHdr,0))+0,""))</f>
        <v/>
      </c>
      <c r="BI191" t="str">
        <f>IF(BA191="","",IF(AND(ISNUMBER(BG191),N(BE191)&gt;=WlMinTests,BG191&lt;=-WlGap),"Below KS2 starting point",IF(AND(NOT(ISNUMBER(BD191)),ISNUMBER(BF191),N(BE191)&gt;=WlMinTests,BF191&lt;=WlLowMean),"Low results, no KS2 data","")))</f>
        <v/>
      </c>
      <c r="BJ191" t="str">
        <f>IF(BI191="","",IF(BI191="Below KS2 starting point",BG191,100+BF191)+ROW()/1000000)</f>
        <v/>
      </c>
    </row>
    <row r="192">
      <c r="H192" t="str">
        <f>IFERROR(INDEX(tblY7[Class],ROWS(H$10:H192))&amp;"","")</f>
        <v/>
      </c>
      <c r="I192" t="str">
        <f>IF(H192="","",IF(COUNTIF(H$10:H192,H192)=1,COUNTIF(H$10:H$609,"&lt;"&amp;H192)+1,""))</f>
        <v/>
      </c>
      <c r="J192" t="str">
        <f>IFERROR(INDEX(tblY8[Class],ROWS(J$10:J192))&amp;"","")</f>
        <v/>
      </c>
      <c r="K192" t="str">
        <f>IF(J192="","",IF(COUNTIF(J$10:J192,J192)=1,COUNTIF(J$10:J$609,"&lt;"&amp;J192)+1,""))</f>
        <v/>
      </c>
      <c r="L192" t="str">
        <f>IFERROR(INDEX(tblY9[Class],ROWS(L$10:L192))&amp;"","")</f>
        <v/>
      </c>
      <c r="M192" t="str">
        <f>IF(L192="","",IF(COUNTIF(L$10:L192,L192)=1,COUNTIF(L$10:L$609,"&lt;"&amp;L192)+1,""))</f>
        <v/>
      </c>
      <c r="N192" t="str">
        <f>IFERROR(INDEX(tblY10[Class],ROWS(N$10:N192))&amp;"","")</f>
        <v/>
      </c>
      <c r="O192" t="str">
        <f>IF(N192="","",IF(COUNTIF(N$10:N192,N192)=1,COUNTIF(N$10:N$609,"&lt;"&amp;N192)+1,""))</f>
        <v/>
      </c>
      <c r="P192" t="str">
        <f>IFERROR(INDEX(tblY11[Class],ROWS(P$10:P192))&amp;"","")</f>
        <v/>
      </c>
      <c r="Q192" t="str">
        <f>IF(P192="","",IF(COUNTIF(P$10:P192,P192)=1,COUNTIF(P$10:P$609,"&lt;"&amp;P192)+1,""))</f>
        <v/>
      </c>
      <c r="BA192" t="str">
        <f>IFERROR(INDEX(wLast,123)&amp;"","")</f>
        <v/>
      </c>
      <c r="BB192" t="str">
        <f>IF(BA192="","",IFERROR(INDEX(wFirst,123)&amp;"",""))</f>
        <v/>
      </c>
      <c r="BC192" t="str">
        <f>IF(BA192="","",IFERROR(INDEX(wClass,123)&amp;"",""))</f>
        <v/>
      </c>
      <c r="BD192" t="str">
        <f>IF(BA192="","",IFERROR(INDEX(wKS2,123)+0,""))</f>
        <v/>
      </c>
      <c r="BE192" t="str">
        <f>IF(BA192="","",IFERROR(INDEX(wTests,123)+0,0))</f>
        <v/>
      </c>
      <c r="BF192" t="str">
        <f>IF(BA192="","",IFERROR(INDEX(wMean,123)+0,""))</f>
        <v/>
      </c>
      <c r="BG192" t="str">
        <f>IF(BA192="","",IFERROR(INDEX(wVs,123)+0,""))</f>
        <v/>
      </c>
      <c r="BH192" t="str">
        <f>IF(OR(BA192="",wLatest=""),"",IFERROR(INDEX(wData,123,MATCH(wLatest&amp;CHAR(10)&amp;"Stanine",wHdr,0))+0,""))</f>
        <v/>
      </c>
      <c r="BI192" t="str">
        <f>IF(BA192="","",IF(AND(ISNUMBER(BG192),N(BE192)&gt;=WlMinTests,BG192&lt;=-WlGap),"Below KS2 starting point",IF(AND(NOT(ISNUMBER(BD192)),ISNUMBER(BF192),N(BE192)&gt;=WlMinTests,BF192&lt;=WlLowMean),"Low results, no KS2 data","")))</f>
        <v/>
      </c>
      <c r="BJ192" t="str">
        <f>IF(BI192="","",IF(BI192="Below KS2 starting point",BG192,100+BF192)+ROW()/1000000)</f>
        <v/>
      </c>
    </row>
    <row r="193">
      <c r="H193" t="str">
        <f>IFERROR(INDEX(tblY7[Class],ROWS(H$10:H193))&amp;"","")</f>
        <v/>
      </c>
      <c r="I193" t="str">
        <f>IF(H193="","",IF(COUNTIF(H$10:H193,H193)=1,COUNTIF(H$10:H$609,"&lt;"&amp;H193)+1,""))</f>
        <v/>
      </c>
      <c r="J193" t="str">
        <f>IFERROR(INDEX(tblY8[Class],ROWS(J$10:J193))&amp;"","")</f>
        <v/>
      </c>
      <c r="K193" t="str">
        <f>IF(J193="","",IF(COUNTIF(J$10:J193,J193)=1,COUNTIF(J$10:J$609,"&lt;"&amp;J193)+1,""))</f>
        <v/>
      </c>
      <c r="L193" t="str">
        <f>IFERROR(INDEX(tblY9[Class],ROWS(L$10:L193))&amp;"","")</f>
        <v/>
      </c>
      <c r="M193" t="str">
        <f>IF(L193="","",IF(COUNTIF(L$10:L193,L193)=1,COUNTIF(L$10:L$609,"&lt;"&amp;L193)+1,""))</f>
        <v/>
      </c>
      <c r="N193" t="str">
        <f>IFERROR(INDEX(tblY10[Class],ROWS(N$10:N193))&amp;"","")</f>
        <v/>
      </c>
      <c r="O193" t="str">
        <f>IF(N193="","",IF(COUNTIF(N$10:N193,N193)=1,COUNTIF(N$10:N$609,"&lt;"&amp;N193)+1,""))</f>
        <v/>
      </c>
      <c r="P193" t="str">
        <f>IFERROR(INDEX(tblY11[Class],ROWS(P$10:P193))&amp;"","")</f>
        <v/>
      </c>
      <c r="Q193" t="str">
        <f>IF(P193="","",IF(COUNTIF(P$10:P193,P193)=1,COUNTIF(P$10:P$609,"&lt;"&amp;P193)+1,""))</f>
        <v/>
      </c>
      <c r="BA193" t="str">
        <f>IFERROR(INDEX(wLast,124)&amp;"","")</f>
        <v/>
      </c>
      <c r="BB193" t="str">
        <f>IF(BA193="","",IFERROR(INDEX(wFirst,124)&amp;"",""))</f>
        <v/>
      </c>
      <c r="BC193" t="str">
        <f>IF(BA193="","",IFERROR(INDEX(wClass,124)&amp;"",""))</f>
        <v/>
      </c>
      <c r="BD193" t="str">
        <f>IF(BA193="","",IFERROR(INDEX(wKS2,124)+0,""))</f>
        <v/>
      </c>
      <c r="BE193" t="str">
        <f>IF(BA193="","",IFERROR(INDEX(wTests,124)+0,0))</f>
        <v/>
      </c>
      <c r="BF193" t="str">
        <f>IF(BA193="","",IFERROR(INDEX(wMean,124)+0,""))</f>
        <v/>
      </c>
      <c r="BG193" t="str">
        <f>IF(BA193="","",IFERROR(INDEX(wVs,124)+0,""))</f>
        <v/>
      </c>
      <c r="BH193" t="str">
        <f>IF(OR(BA193="",wLatest=""),"",IFERROR(INDEX(wData,124,MATCH(wLatest&amp;CHAR(10)&amp;"Stanine",wHdr,0))+0,""))</f>
        <v/>
      </c>
      <c r="BI193" t="str">
        <f>IF(BA193="","",IF(AND(ISNUMBER(BG193),N(BE193)&gt;=WlMinTests,BG193&lt;=-WlGap),"Below KS2 starting point",IF(AND(NOT(ISNUMBER(BD193)),ISNUMBER(BF193),N(BE193)&gt;=WlMinTests,BF193&lt;=WlLowMean),"Low results, no KS2 data","")))</f>
        <v/>
      </c>
      <c r="BJ193" t="str">
        <f>IF(BI193="","",IF(BI193="Below KS2 starting point",BG193,100+BF193)+ROW()/1000000)</f>
        <v/>
      </c>
    </row>
    <row r="194">
      <c r="H194" t="str">
        <f>IFERROR(INDEX(tblY7[Class],ROWS(H$10:H194))&amp;"","")</f>
        <v/>
      </c>
      <c r="I194" t="str">
        <f>IF(H194="","",IF(COUNTIF(H$10:H194,H194)=1,COUNTIF(H$10:H$609,"&lt;"&amp;H194)+1,""))</f>
        <v/>
      </c>
      <c r="J194" t="str">
        <f>IFERROR(INDEX(tblY8[Class],ROWS(J$10:J194))&amp;"","")</f>
        <v/>
      </c>
      <c r="K194" t="str">
        <f>IF(J194="","",IF(COUNTIF(J$10:J194,J194)=1,COUNTIF(J$10:J$609,"&lt;"&amp;J194)+1,""))</f>
        <v/>
      </c>
      <c r="L194" t="str">
        <f>IFERROR(INDEX(tblY9[Class],ROWS(L$10:L194))&amp;"","")</f>
        <v/>
      </c>
      <c r="M194" t="str">
        <f>IF(L194="","",IF(COUNTIF(L$10:L194,L194)=1,COUNTIF(L$10:L$609,"&lt;"&amp;L194)+1,""))</f>
        <v/>
      </c>
      <c r="N194" t="str">
        <f>IFERROR(INDEX(tblY10[Class],ROWS(N$10:N194))&amp;"","")</f>
        <v/>
      </c>
      <c r="O194" t="str">
        <f>IF(N194="","",IF(COUNTIF(N$10:N194,N194)=1,COUNTIF(N$10:N$609,"&lt;"&amp;N194)+1,""))</f>
        <v/>
      </c>
      <c r="P194" t="str">
        <f>IFERROR(INDEX(tblY11[Class],ROWS(P$10:P194))&amp;"","")</f>
        <v/>
      </c>
      <c r="Q194" t="str">
        <f>IF(P194="","",IF(COUNTIF(P$10:P194,P194)=1,COUNTIF(P$10:P$609,"&lt;"&amp;P194)+1,""))</f>
        <v/>
      </c>
      <c r="BA194" t="str">
        <f>IFERROR(INDEX(wLast,125)&amp;"","")</f>
        <v/>
      </c>
      <c r="BB194" t="str">
        <f>IF(BA194="","",IFERROR(INDEX(wFirst,125)&amp;"",""))</f>
        <v/>
      </c>
      <c r="BC194" t="str">
        <f>IF(BA194="","",IFERROR(INDEX(wClass,125)&amp;"",""))</f>
        <v/>
      </c>
      <c r="BD194" t="str">
        <f>IF(BA194="","",IFERROR(INDEX(wKS2,125)+0,""))</f>
        <v/>
      </c>
      <c r="BE194" t="str">
        <f>IF(BA194="","",IFERROR(INDEX(wTests,125)+0,0))</f>
        <v/>
      </c>
      <c r="BF194" t="str">
        <f>IF(BA194="","",IFERROR(INDEX(wMean,125)+0,""))</f>
        <v/>
      </c>
      <c r="BG194" t="str">
        <f>IF(BA194="","",IFERROR(INDEX(wVs,125)+0,""))</f>
        <v/>
      </c>
      <c r="BH194" t="str">
        <f>IF(OR(BA194="",wLatest=""),"",IFERROR(INDEX(wData,125,MATCH(wLatest&amp;CHAR(10)&amp;"Stanine",wHdr,0))+0,""))</f>
        <v/>
      </c>
      <c r="BI194" t="str">
        <f>IF(BA194="","",IF(AND(ISNUMBER(BG194),N(BE194)&gt;=WlMinTests,BG194&lt;=-WlGap),"Below KS2 starting point",IF(AND(NOT(ISNUMBER(BD194)),ISNUMBER(BF194),N(BE194)&gt;=WlMinTests,BF194&lt;=WlLowMean),"Low results, no KS2 data","")))</f>
        <v/>
      </c>
      <c r="BJ194" t="str">
        <f>IF(BI194="","",IF(BI194="Below KS2 starting point",BG194,100+BF194)+ROW()/1000000)</f>
        <v/>
      </c>
    </row>
    <row r="195">
      <c r="H195" t="str">
        <f>IFERROR(INDEX(tblY7[Class],ROWS(H$10:H195))&amp;"","")</f>
        <v/>
      </c>
      <c r="I195" t="str">
        <f>IF(H195="","",IF(COUNTIF(H$10:H195,H195)=1,COUNTIF(H$10:H$609,"&lt;"&amp;H195)+1,""))</f>
        <v/>
      </c>
      <c r="J195" t="str">
        <f>IFERROR(INDEX(tblY8[Class],ROWS(J$10:J195))&amp;"","")</f>
        <v/>
      </c>
      <c r="K195" t="str">
        <f>IF(J195="","",IF(COUNTIF(J$10:J195,J195)=1,COUNTIF(J$10:J$609,"&lt;"&amp;J195)+1,""))</f>
        <v/>
      </c>
      <c r="L195" t="str">
        <f>IFERROR(INDEX(tblY9[Class],ROWS(L$10:L195))&amp;"","")</f>
        <v/>
      </c>
      <c r="M195" t="str">
        <f>IF(L195="","",IF(COUNTIF(L$10:L195,L195)=1,COUNTIF(L$10:L$609,"&lt;"&amp;L195)+1,""))</f>
        <v/>
      </c>
      <c r="N195" t="str">
        <f>IFERROR(INDEX(tblY10[Class],ROWS(N$10:N195))&amp;"","")</f>
        <v/>
      </c>
      <c r="O195" t="str">
        <f>IF(N195="","",IF(COUNTIF(N$10:N195,N195)=1,COUNTIF(N$10:N$609,"&lt;"&amp;N195)+1,""))</f>
        <v/>
      </c>
      <c r="P195" t="str">
        <f>IFERROR(INDEX(tblY11[Class],ROWS(P$10:P195))&amp;"","")</f>
        <v/>
      </c>
      <c r="Q195" t="str">
        <f>IF(P195="","",IF(COUNTIF(P$10:P195,P195)=1,COUNTIF(P$10:P$609,"&lt;"&amp;P195)+1,""))</f>
        <v/>
      </c>
      <c r="BA195" t="str">
        <f>IFERROR(INDEX(wLast,126)&amp;"","")</f>
        <v/>
      </c>
      <c r="BB195" t="str">
        <f>IF(BA195="","",IFERROR(INDEX(wFirst,126)&amp;"",""))</f>
        <v/>
      </c>
      <c r="BC195" t="str">
        <f>IF(BA195="","",IFERROR(INDEX(wClass,126)&amp;"",""))</f>
        <v/>
      </c>
      <c r="BD195" t="str">
        <f>IF(BA195="","",IFERROR(INDEX(wKS2,126)+0,""))</f>
        <v/>
      </c>
      <c r="BE195" t="str">
        <f>IF(BA195="","",IFERROR(INDEX(wTests,126)+0,0))</f>
        <v/>
      </c>
      <c r="BF195" t="str">
        <f>IF(BA195="","",IFERROR(INDEX(wMean,126)+0,""))</f>
        <v/>
      </c>
      <c r="BG195" t="str">
        <f>IF(BA195="","",IFERROR(INDEX(wVs,126)+0,""))</f>
        <v/>
      </c>
      <c r="BH195" t="str">
        <f>IF(OR(BA195="",wLatest=""),"",IFERROR(INDEX(wData,126,MATCH(wLatest&amp;CHAR(10)&amp;"Stanine",wHdr,0))+0,""))</f>
        <v/>
      </c>
      <c r="BI195" t="str">
        <f>IF(BA195="","",IF(AND(ISNUMBER(BG195),N(BE195)&gt;=WlMinTests,BG195&lt;=-WlGap),"Below KS2 starting point",IF(AND(NOT(ISNUMBER(BD195)),ISNUMBER(BF195),N(BE195)&gt;=WlMinTests,BF195&lt;=WlLowMean),"Low results, no KS2 data","")))</f>
        <v/>
      </c>
      <c r="BJ195" t="str">
        <f>IF(BI195="","",IF(BI195="Below KS2 starting point",BG195,100+BF195)+ROW()/1000000)</f>
        <v/>
      </c>
    </row>
    <row r="196">
      <c r="H196" t="str">
        <f>IFERROR(INDEX(tblY7[Class],ROWS(H$10:H196))&amp;"","")</f>
        <v/>
      </c>
      <c r="I196" t="str">
        <f>IF(H196="","",IF(COUNTIF(H$10:H196,H196)=1,COUNTIF(H$10:H$609,"&lt;"&amp;H196)+1,""))</f>
        <v/>
      </c>
      <c r="J196" t="str">
        <f>IFERROR(INDEX(tblY8[Class],ROWS(J$10:J196))&amp;"","")</f>
        <v/>
      </c>
      <c r="K196" t="str">
        <f>IF(J196="","",IF(COUNTIF(J$10:J196,J196)=1,COUNTIF(J$10:J$609,"&lt;"&amp;J196)+1,""))</f>
        <v/>
      </c>
      <c r="L196" t="str">
        <f>IFERROR(INDEX(tblY9[Class],ROWS(L$10:L196))&amp;"","")</f>
        <v/>
      </c>
      <c r="M196" t="str">
        <f>IF(L196="","",IF(COUNTIF(L$10:L196,L196)=1,COUNTIF(L$10:L$609,"&lt;"&amp;L196)+1,""))</f>
        <v/>
      </c>
      <c r="N196" t="str">
        <f>IFERROR(INDEX(tblY10[Class],ROWS(N$10:N196))&amp;"","")</f>
        <v/>
      </c>
      <c r="O196" t="str">
        <f>IF(N196="","",IF(COUNTIF(N$10:N196,N196)=1,COUNTIF(N$10:N$609,"&lt;"&amp;N196)+1,""))</f>
        <v/>
      </c>
      <c r="P196" t="str">
        <f>IFERROR(INDEX(tblY11[Class],ROWS(P$10:P196))&amp;"","")</f>
        <v/>
      </c>
      <c r="Q196" t="str">
        <f>IF(P196="","",IF(COUNTIF(P$10:P196,P196)=1,COUNTIF(P$10:P$609,"&lt;"&amp;P196)+1,""))</f>
        <v/>
      </c>
      <c r="BA196" t="str">
        <f>IFERROR(INDEX(wLast,127)&amp;"","")</f>
        <v/>
      </c>
      <c r="BB196" t="str">
        <f>IF(BA196="","",IFERROR(INDEX(wFirst,127)&amp;"",""))</f>
        <v/>
      </c>
      <c r="BC196" t="str">
        <f>IF(BA196="","",IFERROR(INDEX(wClass,127)&amp;"",""))</f>
        <v/>
      </c>
      <c r="BD196" t="str">
        <f>IF(BA196="","",IFERROR(INDEX(wKS2,127)+0,""))</f>
        <v/>
      </c>
      <c r="BE196" t="str">
        <f>IF(BA196="","",IFERROR(INDEX(wTests,127)+0,0))</f>
        <v/>
      </c>
      <c r="BF196" t="str">
        <f>IF(BA196="","",IFERROR(INDEX(wMean,127)+0,""))</f>
        <v/>
      </c>
      <c r="BG196" t="str">
        <f>IF(BA196="","",IFERROR(INDEX(wVs,127)+0,""))</f>
        <v/>
      </c>
      <c r="BH196" t="str">
        <f>IF(OR(BA196="",wLatest=""),"",IFERROR(INDEX(wData,127,MATCH(wLatest&amp;CHAR(10)&amp;"Stanine",wHdr,0))+0,""))</f>
        <v/>
      </c>
      <c r="BI196" t="str">
        <f>IF(BA196="","",IF(AND(ISNUMBER(BG196),N(BE196)&gt;=WlMinTests,BG196&lt;=-WlGap),"Below KS2 starting point",IF(AND(NOT(ISNUMBER(BD196)),ISNUMBER(BF196),N(BE196)&gt;=WlMinTests,BF196&lt;=WlLowMean),"Low results, no KS2 data","")))</f>
        <v/>
      </c>
      <c r="BJ196" t="str">
        <f>IF(BI196="","",IF(BI196="Below KS2 starting point",BG196,100+BF196)+ROW()/1000000)</f>
        <v/>
      </c>
    </row>
    <row r="197">
      <c r="H197" t="str">
        <f>IFERROR(INDEX(tblY7[Class],ROWS(H$10:H197))&amp;"","")</f>
        <v/>
      </c>
      <c r="I197" t="str">
        <f>IF(H197="","",IF(COUNTIF(H$10:H197,H197)=1,COUNTIF(H$10:H$609,"&lt;"&amp;H197)+1,""))</f>
        <v/>
      </c>
      <c r="J197" t="str">
        <f>IFERROR(INDEX(tblY8[Class],ROWS(J$10:J197))&amp;"","")</f>
        <v/>
      </c>
      <c r="K197" t="str">
        <f>IF(J197="","",IF(COUNTIF(J$10:J197,J197)=1,COUNTIF(J$10:J$609,"&lt;"&amp;J197)+1,""))</f>
        <v/>
      </c>
      <c r="L197" t="str">
        <f>IFERROR(INDEX(tblY9[Class],ROWS(L$10:L197))&amp;"","")</f>
        <v/>
      </c>
      <c r="M197" t="str">
        <f>IF(L197="","",IF(COUNTIF(L$10:L197,L197)=1,COUNTIF(L$10:L$609,"&lt;"&amp;L197)+1,""))</f>
        <v/>
      </c>
      <c r="N197" t="str">
        <f>IFERROR(INDEX(tblY10[Class],ROWS(N$10:N197))&amp;"","")</f>
        <v/>
      </c>
      <c r="O197" t="str">
        <f>IF(N197="","",IF(COUNTIF(N$10:N197,N197)=1,COUNTIF(N$10:N$609,"&lt;"&amp;N197)+1,""))</f>
        <v/>
      </c>
      <c r="P197" t="str">
        <f>IFERROR(INDEX(tblY11[Class],ROWS(P$10:P197))&amp;"","")</f>
        <v/>
      </c>
      <c r="Q197" t="str">
        <f>IF(P197="","",IF(COUNTIF(P$10:P197,P197)=1,COUNTIF(P$10:P$609,"&lt;"&amp;P197)+1,""))</f>
        <v/>
      </c>
      <c r="BA197" t="str">
        <f>IFERROR(INDEX(wLast,128)&amp;"","")</f>
        <v/>
      </c>
      <c r="BB197" t="str">
        <f>IF(BA197="","",IFERROR(INDEX(wFirst,128)&amp;"",""))</f>
        <v/>
      </c>
      <c r="BC197" t="str">
        <f>IF(BA197="","",IFERROR(INDEX(wClass,128)&amp;"",""))</f>
        <v/>
      </c>
      <c r="BD197" t="str">
        <f>IF(BA197="","",IFERROR(INDEX(wKS2,128)+0,""))</f>
        <v/>
      </c>
      <c r="BE197" t="str">
        <f>IF(BA197="","",IFERROR(INDEX(wTests,128)+0,0))</f>
        <v/>
      </c>
      <c r="BF197" t="str">
        <f>IF(BA197="","",IFERROR(INDEX(wMean,128)+0,""))</f>
        <v/>
      </c>
      <c r="BG197" t="str">
        <f>IF(BA197="","",IFERROR(INDEX(wVs,128)+0,""))</f>
        <v/>
      </c>
      <c r="BH197" t="str">
        <f>IF(OR(BA197="",wLatest=""),"",IFERROR(INDEX(wData,128,MATCH(wLatest&amp;CHAR(10)&amp;"Stanine",wHdr,0))+0,""))</f>
        <v/>
      </c>
      <c r="BI197" t="str">
        <f>IF(BA197="","",IF(AND(ISNUMBER(BG197),N(BE197)&gt;=WlMinTests,BG197&lt;=-WlGap),"Below KS2 starting point",IF(AND(NOT(ISNUMBER(BD197)),ISNUMBER(BF197),N(BE197)&gt;=WlMinTests,BF197&lt;=WlLowMean),"Low results, no KS2 data","")))</f>
        <v/>
      </c>
      <c r="BJ197" t="str">
        <f>IF(BI197="","",IF(BI197="Below KS2 starting point",BG197,100+BF197)+ROW()/1000000)</f>
        <v/>
      </c>
    </row>
    <row r="198">
      <c r="H198" t="str">
        <f>IFERROR(INDEX(tblY7[Class],ROWS(H$10:H198))&amp;"","")</f>
        <v/>
      </c>
      <c r="I198" t="str">
        <f>IF(H198="","",IF(COUNTIF(H$10:H198,H198)=1,COUNTIF(H$10:H$609,"&lt;"&amp;H198)+1,""))</f>
        <v/>
      </c>
      <c r="J198" t="str">
        <f>IFERROR(INDEX(tblY8[Class],ROWS(J$10:J198))&amp;"","")</f>
        <v/>
      </c>
      <c r="K198" t="str">
        <f>IF(J198="","",IF(COUNTIF(J$10:J198,J198)=1,COUNTIF(J$10:J$609,"&lt;"&amp;J198)+1,""))</f>
        <v/>
      </c>
      <c r="L198" t="str">
        <f>IFERROR(INDEX(tblY9[Class],ROWS(L$10:L198))&amp;"","")</f>
        <v/>
      </c>
      <c r="M198" t="str">
        <f>IF(L198="","",IF(COUNTIF(L$10:L198,L198)=1,COUNTIF(L$10:L$609,"&lt;"&amp;L198)+1,""))</f>
        <v/>
      </c>
      <c r="N198" t="str">
        <f>IFERROR(INDEX(tblY10[Class],ROWS(N$10:N198))&amp;"","")</f>
        <v/>
      </c>
      <c r="O198" t="str">
        <f>IF(N198="","",IF(COUNTIF(N$10:N198,N198)=1,COUNTIF(N$10:N$609,"&lt;"&amp;N198)+1,""))</f>
        <v/>
      </c>
      <c r="P198" t="str">
        <f>IFERROR(INDEX(tblY11[Class],ROWS(P$10:P198))&amp;"","")</f>
        <v/>
      </c>
      <c r="Q198" t="str">
        <f>IF(P198="","",IF(COUNTIF(P$10:P198,P198)=1,COUNTIF(P$10:P$609,"&lt;"&amp;P198)+1,""))</f>
        <v/>
      </c>
      <c r="BA198" t="str">
        <f>IFERROR(INDEX(wLast,129)&amp;"","")</f>
        <v/>
      </c>
      <c r="BB198" t="str">
        <f>IF(BA198="","",IFERROR(INDEX(wFirst,129)&amp;"",""))</f>
        <v/>
      </c>
      <c r="BC198" t="str">
        <f>IF(BA198="","",IFERROR(INDEX(wClass,129)&amp;"",""))</f>
        <v/>
      </c>
      <c r="BD198" t="str">
        <f>IF(BA198="","",IFERROR(INDEX(wKS2,129)+0,""))</f>
        <v/>
      </c>
      <c r="BE198" t="str">
        <f>IF(BA198="","",IFERROR(INDEX(wTests,129)+0,0))</f>
        <v/>
      </c>
      <c r="BF198" t="str">
        <f>IF(BA198="","",IFERROR(INDEX(wMean,129)+0,""))</f>
        <v/>
      </c>
      <c r="BG198" t="str">
        <f>IF(BA198="","",IFERROR(INDEX(wVs,129)+0,""))</f>
        <v/>
      </c>
      <c r="BH198" t="str">
        <f>IF(OR(BA198="",wLatest=""),"",IFERROR(INDEX(wData,129,MATCH(wLatest&amp;CHAR(10)&amp;"Stanine",wHdr,0))+0,""))</f>
        <v/>
      </c>
      <c r="BI198" t="str">
        <f>IF(BA198="","",IF(AND(ISNUMBER(BG198),N(BE198)&gt;=WlMinTests,BG198&lt;=-WlGap),"Below KS2 starting point",IF(AND(NOT(ISNUMBER(BD198)),ISNUMBER(BF198),N(BE198)&gt;=WlMinTests,BF198&lt;=WlLowMean),"Low results, no KS2 data","")))</f>
        <v/>
      </c>
      <c r="BJ198" t="str">
        <f>IF(BI198="","",IF(BI198="Below KS2 starting point",BG198,100+BF198)+ROW()/1000000)</f>
        <v/>
      </c>
    </row>
    <row r="199">
      <c r="H199" t="str">
        <f>IFERROR(INDEX(tblY7[Class],ROWS(H$10:H199))&amp;"","")</f>
        <v/>
      </c>
      <c r="I199" t="str">
        <f>IF(H199="","",IF(COUNTIF(H$10:H199,H199)=1,COUNTIF(H$10:H$609,"&lt;"&amp;H199)+1,""))</f>
        <v/>
      </c>
      <c r="J199" t="str">
        <f>IFERROR(INDEX(tblY8[Class],ROWS(J$10:J199))&amp;"","")</f>
        <v/>
      </c>
      <c r="K199" t="str">
        <f>IF(J199="","",IF(COUNTIF(J$10:J199,J199)=1,COUNTIF(J$10:J$609,"&lt;"&amp;J199)+1,""))</f>
        <v/>
      </c>
      <c r="L199" t="str">
        <f>IFERROR(INDEX(tblY9[Class],ROWS(L$10:L199))&amp;"","")</f>
        <v/>
      </c>
      <c r="M199" t="str">
        <f>IF(L199="","",IF(COUNTIF(L$10:L199,L199)=1,COUNTIF(L$10:L$609,"&lt;"&amp;L199)+1,""))</f>
        <v/>
      </c>
      <c r="N199" t="str">
        <f>IFERROR(INDEX(tblY10[Class],ROWS(N$10:N199))&amp;"","")</f>
        <v/>
      </c>
      <c r="O199" t="str">
        <f>IF(N199="","",IF(COUNTIF(N$10:N199,N199)=1,COUNTIF(N$10:N$609,"&lt;"&amp;N199)+1,""))</f>
        <v/>
      </c>
      <c r="P199" t="str">
        <f>IFERROR(INDEX(tblY11[Class],ROWS(P$10:P199))&amp;"","")</f>
        <v/>
      </c>
      <c r="Q199" t="str">
        <f>IF(P199="","",IF(COUNTIF(P$10:P199,P199)=1,COUNTIF(P$10:P$609,"&lt;"&amp;P199)+1,""))</f>
        <v/>
      </c>
      <c r="BA199" t="str">
        <f>IFERROR(INDEX(wLast,130)&amp;"","")</f>
        <v/>
      </c>
      <c r="BB199" t="str">
        <f>IF(BA199="","",IFERROR(INDEX(wFirst,130)&amp;"",""))</f>
        <v/>
      </c>
      <c r="BC199" t="str">
        <f>IF(BA199="","",IFERROR(INDEX(wClass,130)&amp;"",""))</f>
        <v/>
      </c>
      <c r="BD199" t="str">
        <f>IF(BA199="","",IFERROR(INDEX(wKS2,130)+0,""))</f>
        <v/>
      </c>
      <c r="BE199" t="str">
        <f>IF(BA199="","",IFERROR(INDEX(wTests,130)+0,0))</f>
        <v/>
      </c>
      <c r="BF199" t="str">
        <f>IF(BA199="","",IFERROR(INDEX(wMean,130)+0,""))</f>
        <v/>
      </c>
      <c r="BG199" t="str">
        <f>IF(BA199="","",IFERROR(INDEX(wVs,130)+0,""))</f>
        <v/>
      </c>
      <c r="BH199" t="str">
        <f>IF(OR(BA199="",wLatest=""),"",IFERROR(INDEX(wData,130,MATCH(wLatest&amp;CHAR(10)&amp;"Stanine",wHdr,0))+0,""))</f>
        <v/>
      </c>
      <c r="BI199" t="str">
        <f>IF(BA199="","",IF(AND(ISNUMBER(BG199),N(BE199)&gt;=WlMinTests,BG199&lt;=-WlGap),"Below KS2 starting point",IF(AND(NOT(ISNUMBER(BD199)),ISNUMBER(BF199),N(BE199)&gt;=WlMinTests,BF199&lt;=WlLowMean),"Low results, no KS2 data","")))</f>
        <v/>
      </c>
      <c r="BJ199" t="str">
        <f>IF(BI199="","",IF(BI199="Below KS2 starting point",BG199,100+BF199)+ROW()/1000000)</f>
        <v/>
      </c>
    </row>
    <row r="200">
      <c r="H200" t="str">
        <f>IFERROR(INDEX(tblY7[Class],ROWS(H$10:H200))&amp;"","")</f>
        <v/>
      </c>
      <c r="I200" t="str">
        <f>IF(H200="","",IF(COUNTIF(H$10:H200,H200)=1,COUNTIF(H$10:H$609,"&lt;"&amp;H200)+1,""))</f>
        <v/>
      </c>
      <c r="J200" t="str">
        <f>IFERROR(INDEX(tblY8[Class],ROWS(J$10:J200))&amp;"","")</f>
        <v/>
      </c>
      <c r="K200" t="str">
        <f>IF(J200="","",IF(COUNTIF(J$10:J200,J200)=1,COUNTIF(J$10:J$609,"&lt;"&amp;J200)+1,""))</f>
        <v/>
      </c>
      <c r="L200" t="str">
        <f>IFERROR(INDEX(tblY9[Class],ROWS(L$10:L200))&amp;"","")</f>
        <v/>
      </c>
      <c r="M200" t="str">
        <f>IF(L200="","",IF(COUNTIF(L$10:L200,L200)=1,COUNTIF(L$10:L$609,"&lt;"&amp;L200)+1,""))</f>
        <v/>
      </c>
      <c r="N200" t="str">
        <f>IFERROR(INDEX(tblY10[Class],ROWS(N$10:N200))&amp;"","")</f>
        <v/>
      </c>
      <c r="O200" t="str">
        <f>IF(N200="","",IF(COUNTIF(N$10:N200,N200)=1,COUNTIF(N$10:N$609,"&lt;"&amp;N200)+1,""))</f>
        <v/>
      </c>
      <c r="P200" t="str">
        <f>IFERROR(INDEX(tblY11[Class],ROWS(P$10:P200))&amp;"","")</f>
        <v/>
      </c>
      <c r="Q200" t="str">
        <f>IF(P200="","",IF(COUNTIF(P$10:P200,P200)=1,COUNTIF(P$10:P$609,"&lt;"&amp;P200)+1,""))</f>
        <v/>
      </c>
      <c r="BA200" t="str">
        <f>IFERROR(INDEX(wLast,131)&amp;"","")</f>
        <v/>
      </c>
      <c r="BB200" t="str">
        <f>IF(BA200="","",IFERROR(INDEX(wFirst,131)&amp;"",""))</f>
        <v/>
      </c>
      <c r="BC200" t="str">
        <f>IF(BA200="","",IFERROR(INDEX(wClass,131)&amp;"",""))</f>
        <v/>
      </c>
      <c r="BD200" t="str">
        <f>IF(BA200="","",IFERROR(INDEX(wKS2,131)+0,""))</f>
        <v/>
      </c>
      <c r="BE200" t="str">
        <f>IF(BA200="","",IFERROR(INDEX(wTests,131)+0,0))</f>
        <v/>
      </c>
      <c r="BF200" t="str">
        <f>IF(BA200="","",IFERROR(INDEX(wMean,131)+0,""))</f>
        <v/>
      </c>
      <c r="BG200" t="str">
        <f>IF(BA200="","",IFERROR(INDEX(wVs,131)+0,""))</f>
        <v/>
      </c>
      <c r="BH200" t="str">
        <f>IF(OR(BA200="",wLatest=""),"",IFERROR(INDEX(wData,131,MATCH(wLatest&amp;CHAR(10)&amp;"Stanine",wHdr,0))+0,""))</f>
        <v/>
      </c>
      <c r="BI200" t="str">
        <f>IF(BA200="","",IF(AND(ISNUMBER(BG200),N(BE200)&gt;=WlMinTests,BG200&lt;=-WlGap),"Below KS2 starting point",IF(AND(NOT(ISNUMBER(BD200)),ISNUMBER(BF200),N(BE200)&gt;=WlMinTests,BF200&lt;=WlLowMean),"Low results, no KS2 data","")))</f>
        <v/>
      </c>
      <c r="BJ200" t="str">
        <f>IF(BI200="","",IF(BI200="Below KS2 starting point",BG200,100+BF200)+ROW()/1000000)</f>
        <v/>
      </c>
    </row>
    <row r="201">
      <c r="H201" t="str">
        <f>IFERROR(INDEX(tblY7[Class],ROWS(H$10:H201))&amp;"","")</f>
        <v/>
      </c>
      <c r="I201" t="str">
        <f>IF(H201="","",IF(COUNTIF(H$10:H201,H201)=1,COUNTIF(H$10:H$609,"&lt;"&amp;H201)+1,""))</f>
        <v/>
      </c>
      <c r="J201" t="str">
        <f>IFERROR(INDEX(tblY8[Class],ROWS(J$10:J201))&amp;"","")</f>
        <v/>
      </c>
      <c r="K201" t="str">
        <f>IF(J201="","",IF(COUNTIF(J$10:J201,J201)=1,COUNTIF(J$10:J$609,"&lt;"&amp;J201)+1,""))</f>
        <v/>
      </c>
      <c r="L201" t="str">
        <f>IFERROR(INDEX(tblY9[Class],ROWS(L$10:L201))&amp;"","")</f>
        <v/>
      </c>
      <c r="M201" t="str">
        <f>IF(L201="","",IF(COUNTIF(L$10:L201,L201)=1,COUNTIF(L$10:L$609,"&lt;"&amp;L201)+1,""))</f>
        <v/>
      </c>
      <c r="N201" t="str">
        <f>IFERROR(INDEX(tblY10[Class],ROWS(N$10:N201))&amp;"","")</f>
        <v/>
      </c>
      <c r="O201" t="str">
        <f>IF(N201="","",IF(COUNTIF(N$10:N201,N201)=1,COUNTIF(N$10:N$609,"&lt;"&amp;N201)+1,""))</f>
        <v/>
      </c>
      <c r="P201" t="str">
        <f>IFERROR(INDEX(tblY11[Class],ROWS(P$10:P201))&amp;"","")</f>
        <v/>
      </c>
      <c r="Q201" t="str">
        <f>IF(P201="","",IF(COUNTIF(P$10:P201,P201)=1,COUNTIF(P$10:P$609,"&lt;"&amp;P201)+1,""))</f>
        <v/>
      </c>
      <c r="BA201" t="str">
        <f>IFERROR(INDEX(wLast,132)&amp;"","")</f>
        <v/>
      </c>
      <c r="BB201" t="str">
        <f>IF(BA201="","",IFERROR(INDEX(wFirst,132)&amp;"",""))</f>
        <v/>
      </c>
      <c r="BC201" t="str">
        <f>IF(BA201="","",IFERROR(INDEX(wClass,132)&amp;"",""))</f>
        <v/>
      </c>
      <c r="BD201" t="str">
        <f>IF(BA201="","",IFERROR(INDEX(wKS2,132)+0,""))</f>
        <v/>
      </c>
      <c r="BE201" t="str">
        <f>IF(BA201="","",IFERROR(INDEX(wTests,132)+0,0))</f>
        <v/>
      </c>
      <c r="BF201" t="str">
        <f>IF(BA201="","",IFERROR(INDEX(wMean,132)+0,""))</f>
        <v/>
      </c>
      <c r="BG201" t="str">
        <f>IF(BA201="","",IFERROR(INDEX(wVs,132)+0,""))</f>
        <v/>
      </c>
      <c r="BH201" t="str">
        <f>IF(OR(BA201="",wLatest=""),"",IFERROR(INDEX(wData,132,MATCH(wLatest&amp;CHAR(10)&amp;"Stanine",wHdr,0))+0,""))</f>
        <v/>
      </c>
      <c r="BI201" t="str">
        <f>IF(BA201="","",IF(AND(ISNUMBER(BG201),N(BE201)&gt;=WlMinTests,BG201&lt;=-WlGap),"Below KS2 starting point",IF(AND(NOT(ISNUMBER(BD201)),ISNUMBER(BF201),N(BE201)&gt;=WlMinTests,BF201&lt;=WlLowMean),"Low results, no KS2 data","")))</f>
        <v/>
      </c>
      <c r="BJ201" t="str">
        <f>IF(BI201="","",IF(BI201="Below KS2 starting point",BG201,100+BF201)+ROW()/1000000)</f>
        <v/>
      </c>
    </row>
    <row r="202">
      <c r="H202" t="str">
        <f>IFERROR(INDEX(tblY7[Class],ROWS(H$10:H202))&amp;"","")</f>
        <v/>
      </c>
      <c r="I202" t="str">
        <f>IF(H202="","",IF(COUNTIF(H$10:H202,H202)=1,COUNTIF(H$10:H$609,"&lt;"&amp;H202)+1,""))</f>
        <v/>
      </c>
      <c r="J202" t="str">
        <f>IFERROR(INDEX(tblY8[Class],ROWS(J$10:J202))&amp;"","")</f>
        <v/>
      </c>
      <c r="K202" t="str">
        <f>IF(J202="","",IF(COUNTIF(J$10:J202,J202)=1,COUNTIF(J$10:J$609,"&lt;"&amp;J202)+1,""))</f>
        <v/>
      </c>
      <c r="L202" t="str">
        <f>IFERROR(INDEX(tblY9[Class],ROWS(L$10:L202))&amp;"","")</f>
        <v/>
      </c>
      <c r="M202" t="str">
        <f>IF(L202="","",IF(COUNTIF(L$10:L202,L202)=1,COUNTIF(L$10:L$609,"&lt;"&amp;L202)+1,""))</f>
        <v/>
      </c>
      <c r="N202" t="str">
        <f>IFERROR(INDEX(tblY10[Class],ROWS(N$10:N202))&amp;"","")</f>
        <v/>
      </c>
      <c r="O202" t="str">
        <f>IF(N202="","",IF(COUNTIF(N$10:N202,N202)=1,COUNTIF(N$10:N$609,"&lt;"&amp;N202)+1,""))</f>
        <v/>
      </c>
      <c r="P202" t="str">
        <f>IFERROR(INDEX(tblY11[Class],ROWS(P$10:P202))&amp;"","")</f>
        <v/>
      </c>
      <c r="Q202" t="str">
        <f>IF(P202="","",IF(COUNTIF(P$10:P202,P202)=1,COUNTIF(P$10:P$609,"&lt;"&amp;P202)+1,""))</f>
        <v/>
      </c>
      <c r="BA202" t="str">
        <f>IFERROR(INDEX(wLast,133)&amp;"","")</f>
        <v/>
      </c>
      <c r="BB202" t="str">
        <f>IF(BA202="","",IFERROR(INDEX(wFirst,133)&amp;"",""))</f>
        <v/>
      </c>
      <c r="BC202" t="str">
        <f>IF(BA202="","",IFERROR(INDEX(wClass,133)&amp;"",""))</f>
        <v/>
      </c>
      <c r="BD202" t="str">
        <f>IF(BA202="","",IFERROR(INDEX(wKS2,133)+0,""))</f>
        <v/>
      </c>
      <c r="BE202" t="str">
        <f>IF(BA202="","",IFERROR(INDEX(wTests,133)+0,0))</f>
        <v/>
      </c>
      <c r="BF202" t="str">
        <f>IF(BA202="","",IFERROR(INDEX(wMean,133)+0,""))</f>
        <v/>
      </c>
      <c r="BG202" t="str">
        <f>IF(BA202="","",IFERROR(INDEX(wVs,133)+0,""))</f>
        <v/>
      </c>
      <c r="BH202" t="str">
        <f>IF(OR(BA202="",wLatest=""),"",IFERROR(INDEX(wData,133,MATCH(wLatest&amp;CHAR(10)&amp;"Stanine",wHdr,0))+0,""))</f>
        <v/>
      </c>
      <c r="BI202" t="str">
        <f>IF(BA202="","",IF(AND(ISNUMBER(BG202),N(BE202)&gt;=WlMinTests,BG202&lt;=-WlGap),"Below KS2 starting point",IF(AND(NOT(ISNUMBER(BD202)),ISNUMBER(BF202),N(BE202)&gt;=WlMinTests,BF202&lt;=WlLowMean),"Low results, no KS2 data","")))</f>
        <v/>
      </c>
      <c r="BJ202" t="str">
        <f>IF(BI202="","",IF(BI202="Below KS2 starting point",BG202,100+BF202)+ROW()/1000000)</f>
        <v/>
      </c>
    </row>
    <row r="203">
      <c r="H203" t="str">
        <f>IFERROR(INDEX(tblY7[Class],ROWS(H$10:H203))&amp;"","")</f>
        <v/>
      </c>
      <c r="I203" t="str">
        <f>IF(H203="","",IF(COUNTIF(H$10:H203,H203)=1,COUNTIF(H$10:H$609,"&lt;"&amp;H203)+1,""))</f>
        <v/>
      </c>
      <c r="J203" t="str">
        <f>IFERROR(INDEX(tblY8[Class],ROWS(J$10:J203))&amp;"","")</f>
        <v/>
      </c>
      <c r="K203" t="str">
        <f>IF(J203="","",IF(COUNTIF(J$10:J203,J203)=1,COUNTIF(J$10:J$609,"&lt;"&amp;J203)+1,""))</f>
        <v/>
      </c>
      <c r="L203" t="str">
        <f>IFERROR(INDEX(tblY9[Class],ROWS(L$10:L203))&amp;"","")</f>
        <v/>
      </c>
      <c r="M203" t="str">
        <f>IF(L203="","",IF(COUNTIF(L$10:L203,L203)=1,COUNTIF(L$10:L$609,"&lt;"&amp;L203)+1,""))</f>
        <v/>
      </c>
      <c r="N203" t="str">
        <f>IFERROR(INDEX(tblY10[Class],ROWS(N$10:N203))&amp;"","")</f>
        <v/>
      </c>
      <c r="O203" t="str">
        <f>IF(N203="","",IF(COUNTIF(N$10:N203,N203)=1,COUNTIF(N$10:N$609,"&lt;"&amp;N203)+1,""))</f>
        <v/>
      </c>
      <c r="P203" t="str">
        <f>IFERROR(INDEX(tblY11[Class],ROWS(P$10:P203))&amp;"","")</f>
        <v/>
      </c>
      <c r="Q203" t="str">
        <f>IF(P203="","",IF(COUNTIF(P$10:P203,P203)=1,COUNTIF(P$10:P$609,"&lt;"&amp;P203)+1,""))</f>
        <v/>
      </c>
      <c r="BA203" t="str">
        <f>IFERROR(INDEX(wLast,134)&amp;"","")</f>
        <v/>
      </c>
      <c r="BB203" t="str">
        <f>IF(BA203="","",IFERROR(INDEX(wFirst,134)&amp;"",""))</f>
        <v/>
      </c>
      <c r="BC203" t="str">
        <f>IF(BA203="","",IFERROR(INDEX(wClass,134)&amp;"",""))</f>
        <v/>
      </c>
      <c r="BD203" t="str">
        <f>IF(BA203="","",IFERROR(INDEX(wKS2,134)+0,""))</f>
        <v/>
      </c>
      <c r="BE203" t="str">
        <f>IF(BA203="","",IFERROR(INDEX(wTests,134)+0,0))</f>
        <v/>
      </c>
      <c r="BF203" t="str">
        <f>IF(BA203="","",IFERROR(INDEX(wMean,134)+0,""))</f>
        <v/>
      </c>
      <c r="BG203" t="str">
        <f>IF(BA203="","",IFERROR(INDEX(wVs,134)+0,""))</f>
        <v/>
      </c>
      <c r="BH203" t="str">
        <f>IF(OR(BA203="",wLatest=""),"",IFERROR(INDEX(wData,134,MATCH(wLatest&amp;CHAR(10)&amp;"Stanine",wHdr,0))+0,""))</f>
        <v/>
      </c>
      <c r="BI203" t="str">
        <f>IF(BA203="","",IF(AND(ISNUMBER(BG203),N(BE203)&gt;=WlMinTests,BG203&lt;=-WlGap),"Below KS2 starting point",IF(AND(NOT(ISNUMBER(BD203)),ISNUMBER(BF203),N(BE203)&gt;=WlMinTests,BF203&lt;=WlLowMean),"Low results, no KS2 data","")))</f>
        <v/>
      </c>
      <c r="BJ203" t="str">
        <f>IF(BI203="","",IF(BI203="Below KS2 starting point",BG203,100+BF203)+ROW()/1000000)</f>
        <v/>
      </c>
    </row>
    <row r="204">
      <c r="H204" t="str">
        <f>IFERROR(INDEX(tblY7[Class],ROWS(H$10:H204))&amp;"","")</f>
        <v/>
      </c>
      <c r="I204" t="str">
        <f>IF(H204="","",IF(COUNTIF(H$10:H204,H204)=1,COUNTIF(H$10:H$609,"&lt;"&amp;H204)+1,""))</f>
        <v/>
      </c>
      <c r="J204" t="str">
        <f>IFERROR(INDEX(tblY8[Class],ROWS(J$10:J204))&amp;"","")</f>
        <v/>
      </c>
      <c r="K204" t="str">
        <f>IF(J204="","",IF(COUNTIF(J$10:J204,J204)=1,COUNTIF(J$10:J$609,"&lt;"&amp;J204)+1,""))</f>
        <v/>
      </c>
      <c r="L204" t="str">
        <f>IFERROR(INDEX(tblY9[Class],ROWS(L$10:L204))&amp;"","")</f>
        <v/>
      </c>
      <c r="M204" t="str">
        <f>IF(L204="","",IF(COUNTIF(L$10:L204,L204)=1,COUNTIF(L$10:L$609,"&lt;"&amp;L204)+1,""))</f>
        <v/>
      </c>
      <c r="N204" t="str">
        <f>IFERROR(INDEX(tblY10[Class],ROWS(N$10:N204))&amp;"","")</f>
        <v/>
      </c>
      <c r="O204" t="str">
        <f>IF(N204="","",IF(COUNTIF(N$10:N204,N204)=1,COUNTIF(N$10:N$609,"&lt;"&amp;N204)+1,""))</f>
        <v/>
      </c>
      <c r="P204" t="str">
        <f>IFERROR(INDEX(tblY11[Class],ROWS(P$10:P204))&amp;"","")</f>
        <v/>
      </c>
      <c r="Q204" t="str">
        <f>IF(P204="","",IF(COUNTIF(P$10:P204,P204)=1,COUNTIF(P$10:P$609,"&lt;"&amp;P204)+1,""))</f>
        <v/>
      </c>
      <c r="BA204" t="str">
        <f>IFERROR(INDEX(wLast,135)&amp;"","")</f>
        <v/>
      </c>
      <c r="BB204" t="str">
        <f>IF(BA204="","",IFERROR(INDEX(wFirst,135)&amp;"",""))</f>
        <v/>
      </c>
      <c r="BC204" t="str">
        <f>IF(BA204="","",IFERROR(INDEX(wClass,135)&amp;"",""))</f>
        <v/>
      </c>
      <c r="BD204" t="str">
        <f>IF(BA204="","",IFERROR(INDEX(wKS2,135)+0,""))</f>
        <v/>
      </c>
      <c r="BE204" t="str">
        <f>IF(BA204="","",IFERROR(INDEX(wTests,135)+0,0))</f>
        <v/>
      </c>
      <c r="BF204" t="str">
        <f>IF(BA204="","",IFERROR(INDEX(wMean,135)+0,""))</f>
        <v/>
      </c>
      <c r="BG204" t="str">
        <f>IF(BA204="","",IFERROR(INDEX(wVs,135)+0,""))</f>
        <v/>
      </c>
      <c r="BH204" t="str">
        <f>IF(OR(BA204="",wLatest=""),"",IFERROR(INDEX(wData,135,MATCH(wLatest&amp;CHAR(10)&amp;"Stanine",wHdr,0))+0,""))</f>
        <v/>
      </c>
      <c r="BI204" t="str">
        <f>IF(BA204="","",IF(AND(ISNUMBER(BG204),N(BE204)&gt;=WlMinTests,BG204&lt;=-WlGap),"Below KS2 starting point",IF(AND(NOT(ISNUMBER(BD204)),ISNUMBER(BF204),N(BE204)&gt;=WlMinTests,BF204&lt;=WlLowMean),"Low results, no KS2 data","")))</f>
        <v/>
      </c>
      <c r="BJ204" t="str">
        <f>IF(BI204="","",IF(BI204="Below KS2 starting point",BG204,100+BF204)+ROW()/1000000)</f>
        <v/>
      </c>
    </row>
    <row r="205">
      <c r="H205" t="str">
        <f>IFERROR(INDEX(tblY7[Class],ROWS(H$10:H205))&amp;"","")</f>
        <v/>
      </c>
      <c r="I205" t="str">
        <f>IF(H205="","",IF(COUNTIF(H$10:H205,H205)=1,COUNTIF(H$10:H$609,"&lt;"&amp;H205)+1,""))</f>
        <v/>
      </c>
      <c r="J205" t="str">
        <f>IFERROR(INDEX(tblY8[Class],ROWS(J$10:J205))&amp;"","")</f>
        <v/>
      </c>
      <c r="K205" t="str">
        <f>IF(J205="","",IF(COUNTIF(J$10:J205,J205)=1,COUNTIF(J$10:J$609,"&lt;"&amp;J205)+1,""))</f>
        <v/>
      </c>
      <c r="L205" t="str">
        <f>IFERROR(INDEX(tblY9[Class],ROWS(L$10:L205))&amp;"","")</f>
        <v/>
      </c>
      <c r="M205" t="str">
        <f>IF(L205="","",IF(COUNTIF(L$10:L205,L205)=1,COUNTIF(L$10:L$609,"&lt;"&amp;L205)+1,""))</f>
        <v/>
      </c>
      <c r="N205" t="str">
        <f>IFERROR(INDEX(tblY10[Class],ROWS(N$10:N205))&amp;"","")</f>
        <v/>
      </c>
      <c r="O205" t="str">
        <f>IF(N205="","",IF(COUNTIF(N$10:N205,N205)=1,COUNTIF(N$10:N$609,"&lt;"&amp;N205)+1,""))</f>
        <v/>
      </c>
      <c r="P205" t="str">
        <f>IFERROR(INDEX(tblY11[Class],ROWS(P$10:P205))&amp;"","")</f>
        <v/>
      </c>
      <c r="Q205" t="str">
        <f>IF(P205="","",IF(COUNTIF(P$10:P205,P205)=1,COUNTIF(P$10:P$609,"&lt;"&amp;P205)+1,""))</f>
        <v/>
      </c>
      <c r="BA205" t="str">
        <f>IFERROR(INDEX(wLast,136)&amp;"","")</f>
        <v/>
      </c>
      <c r="BB205" t="str">
        <f>IF(BA205="","",IFERROR(INDEX(wFirst,136)&amp;"",""))</f>
        <v/>
      </c>
      <c r="BC205" t="str">
        <f>IF(BA205="","",IFERROR(INDEX(wClass,136)&amp;"",""))</f>
        <v/>
      </c>
      <c r="BD205" t="str">
        <f>IF(BA205="","",IFERROR(INDEX(wKS2,136)+0,""))</f>
        <v/>
      </c>
      <c r="BE205" t="str">
        <f>IF(BA205="","",IFERROR(INDEX(wTests,136)+0,0))</f>
        <v/>
      </c>
      <c r="BF205" t="str">
        <f>IF(BA205="","",IFERROR(INDEX(wMean,136)+0,""))</f>
        <v/>
      </c>
      <c r="BG205" t="str">
        <f>IF(BA205="","",IFERROR(INDEX(wVs,136)+0,""))</f>
        <v/>
      </c>
      <c r="BH205" t="str">
        <f>IF(OR(BA205="",wLatest=""),"",IFERROR(INDEX(wData,136,MATCH(wLatest&amp;CHAR(10)&amp;"Stanine",wHdr,0))+0,""))</f>
        <v/>
      </c>
      <c r="BI205" t="str">
        <f>IF(BA205="","",IF(AND(ISNUMBER(BG205),N(BE205)&gt;=WlMinTests,BG205&lt;=-WlGap),"Below KS2 starting point",IF(AND(NOT(ISNUMBER(BD205)),ISNUMBER(BF205),N(BE205)&gt;=WlMinTests,BF205&lt;=WlLowMean),"Low results, no KS2 data","")))</f>
        <v/>
      </c>
      <c r="BJ205" t="str">
        <f>IF(BI205="","",IF(BI205="Below KS2 starting point",BG205,100+BF205)+ROW()/1000000)</f>
        <v/>
      </c>
    </row>
    <row r="206">
      <c r="H206" t="str">
        <f>IFERROR(INDEX(tblY7[Class],ROWS(H$10:H206))&amp;"","")</f>
        <v/>
      </c>
      <c r="I206" t="str">
        <f>IF(H206="","",IF(COUNTIF(H$10:H206,H206)=1,COUNTIF(H$10:H$609,"&lt;"&amp;H206)+1,""))</f>
        <v/>
      </c>
      <c r="J206" t="str">
        <f>IFERROR(INDEX(tblY8[Class],ROWS(J$10:J206))&amp;"","")</f>
        <v/>
      </c>
      <c r="K206" t="str">
        <f>IF(J206="","",IF(COUNTIF(J$10:J206,J206)=1,COUNTIF(J$10:J$609,"&lt;"&amp;J206)+1,""))</f>
        <v/>
      </c>
      <c r="L206" t="str">
        <f>IFERROR(INDEX(tblY9[Class],ROWS(L$10:L206))&amp;"","")</f>
        <v/>
      </c>
      <c r="M206" t="str">
        <f>IF(L206="","",IF(COUNTIF(L$10:L206,L206)=1,COUNTIF(L$10:L$609,"&lt;"&amp;L206)+1,""))</f>
        <v/>
      </c>
      <c r="N206" t="str">
        <f>IFERROR(INDEX(tblY10[Class],ROWS(N$10:N206))&amp;"","")</f>
        <v/>
      </c>
      <c r="O206" t="str">
        <f>IF(N206="","",IF(COUNTIF(N$10:N206,N206)=1,COUNTIF(N$10:N$609,"&lt;"&amp;N206)+1,""))</f>
        <v/>
      </c>
      <c r="P206" t="str">
        <f>IFERROR(INDEX(tblY11[Class],ROWS(P$10:P206))&amp;"","")</f>
        <v/>
      </c>
      <c r="Q206" t="str">
        <f>IF(P206="","",IF(COUNTIF(P$10:P206,P206)=1,COUNTIF(P$10:P$609,"&lt;"&amp;P206)+1,""))</f>
        <v/>
      </c>
      <c r="BA206" t="str">
        <f>IFERROR(INDEX(wLast,137)&amp;"","")</f>
        <v/>
      </c>
      <c r="BB206" t="str">
        <f>IF(BA206="","",IFERROR(INDEX(wFirst,137)&amp;"",""))</f>
        <v/>
      </c>
      <c r="BC206" t="str">
        <f>IF(BA206="","",IFERROR(INDEX(wClass,137)&amp;"",""))</f>
        <v/>
      </c>
      <c r="BD206" t="str">
        <f>IF(BA206="","",IFERROR(INDEX(wKS2,137)+0,""))</f>
        <v/>
      </c>
      <c r="BE206" t="str">
        <f>IF(BA206="","",IFERROR(INDEX(wTests,137)+0,0))</f>
        <v/>
      </c>
      <c r="BF206" t="str">
        <f>IF(BA206="","",IFERROR(INDEX(wMean,137)+0,""))</f>
        <v/>
      </c>
      <c r="BG206" t="str">
        <f>IF(BA206="","",IFERROR(INDEX(wVs,137)+0,""))</f>
        <v/>
      </c>
      <c r="BH206" t="str">
        <f>IF(OR(BA206="",wLatest=""),"",IFERROR(INDEX(wData,137,MATCH(wLatest&amp;CHAR(10)&amp;"Stanine",wHdr,0))+0,""))</f>
        <v/>
      </c>
      <c r="BI206" t="str">
        <f>IF(BA206="","",IF(AND(ISNUMBER(BG206),N(BE206)&gt;=WlMinTests,BG206&lt;=-WlGap),"Below KS2 starting point",IF(AND(NOT(ISNUMBER(BD206)),ISNUMBER(BF206),N(BE206)&gt;=WlMinTests,BF206&lt;=WlLowMean),"Low results, no KS2 data","")))</f>
        <v/>
      </c>
      <c r="BJ206" t="str">
        <f>IF(BI206="","",IF(BI206="Below KS2 starting point",BG206,100+BF206)+ROW()/1000000)</f>
        <v/>
      </c>
    </row>
    <row r="207">
      <c r="H207" t="str">
        <f>IFERROR(INDEX(tblY7[Class],ROWS(H$10:H207))&amp;"","")</f>
        <v/>
      </c>
      <c r="I207" t="str">
        <f>IF(H207="","",IF(COUNTIF(H$10:H207,H207)=1,COUNTIF(H$10:H$609,"&lt;"&amp;H207)+1,""))</f>
        <v/>
      </c>
      <c r="J207" t="str">
        <f>IFERROR(INDEX(tblY8[Class],ROWS(J$10:J207))&amp;"","")</f>
        <v/>
      </c>
      <c r="K207" t="str">
        <f>IF(J207="","",IF(COUNTIF(J$10:J207,J207)=1,COUNTIF(J$10:J$609,"&lt;"&amp;J207)+1,""))</f>
        <v/>
      </c>
      <c r="L207" t="str">
        <f>IFERROR(INDEX(tblY9[Class],ROWS(L$10:L207))&amp;"","")</f>
        <v/>
      </c>
      <c r="M207" t="str">
        <f>IF(L207="","",IF(COUNTIF(L$10:L207,L207)=1,COUNTIF(L$10:L$609,"&lt;"&amp;L207)+1,""))</f>
        <v/>
      </c>
      <c r="N207" t="str">
        <f>IFERROR(INDEX(tblY10[Class],ROWS(N$10:N207))&amp;"","")</f>
        <v/>
      </c>
      <c r="O207" t="str">
        <f>IF(N207="","",IF(COUNTIF(N$10:N207,N207)=1,COUNTIF(N$10:N$609,"&lt;"&amp;N207)+1,""))</f>
        <v/>
      </c>
      <c r="P207" t="str">
        <f>IFERROR(INDEX(tblY11[Class],ROWS(P$10:P207))&amp;"","")</f>
        <v/>
      </c>
      <c r="Q207" t="str">
        <f>IF(P207="","",IF(COUNTIF(P$10:P207,P207)=1,COUNTIF(P$10:P$609,"&lt;"&amp;P207)+1,""))</f>
        <v/>
      </c>
      <c r="BA207" t="str">
        <f>IFERROR(INDEX(wLast,138)&amp;"","")</f>
        <v/>
      </c>
      <c r="BB207" t="str">
        <f>IF(BA207="","",IFERROR(INDEX(wFirst,138)&amp;"",""))</f>
        <v/>
      </c>
      <c r="BC207" t="str">
        <f>IF(BA207="","",IFERROR(INDEX(wClass,138)&amp;"",""))</f>
        <v/>
      </c>
      <c r="BD207" t="str">
        <f>IF(BA207="","",IFERROR(INDEX(wKS2,138)+0,""))</f>
        <v/>
      </c>
      <c r="BE207" t="str">
        <f>IF(BA207="","",IFERROR(INDEX(wTests,138)+0,0))</f>
        <v/>
      </c>
      <c r="BF207" t="str">
        <f>IF(BA207="","",IFERROR(INDEX(wMean,138)+0,""))</f>
        <v/>
      </c>
      <c r="BG207" t="str">
        <f>IF(BA207="","",IFERROR(INDEX(wVs,138)+0,""))</f>
        <v/>
      </c>
      <c r="BH207" t="str">
        <f>IF(OR(BA207="",wLatest=""),"",IFERROR(INDEX(wData,138,MATCH(wLatest&amp;CHAR(10)&amp;"Stanine",wHdr,0))+0,""))</f>
        <v/>
      </c>
      <c r="BI207" t="str">
        <f>IF(BA207="","",IF(AND(ISNUMBER(BG207),N(BE207)&gt;=WlMinTests,BG207&lt;=-WlGap),"Below KS2 starting point",IF(AND(NOT(ISNUMBER(BD207)),ISNUMBER(BF207),N(BE207)&gt;=WlMinTests,BF207&lt;=WlLowMean),"Low results, no KS2 data","")))</f>
        <v/>
      </c>
      <c r="BJ207" t="str">
        <f>IF(BI207="","",IF(BI207="Below KS2 starting point",BG207,100+BF207)+ROW()/1000000)</f>
        <v/>
      </c>
    </row>
    <row r="208">
      <c r="H208" t="str">
        <f>IFERROR(INDEX(tblY7[Class],ROWS(H$10:H208))&amp;"","")</f>
        <v/>
      </c>
      <c r="I208" t="str">
        <f>IF(H208="","",IF(COUNTIF(H$10:H208,H208)=1,COUNTIF(H$10:H$609,"&lt;"&amp;H208)+1,""))</f>
        <v/>
      </c>
      <c r="J208" t="str">
        <f>IFERROR(INDEX(tblY8[Class],ROWS(J$10:J208))&amp;"","")</f>
        <v/>
      </c>
      <c r="K208" t="str">
        <f>IF(J208="","",IF(COUNTIF(J$10:J208,J208)=1,COUNTIF(J$10:J$609,"&lt;"&amp;J208)+1,""))</f>
        <v/>
      </c>
      <c r="L208" t="str">
        <f>IFERROR(INDEX(tblY9[Class],ROWS(L$10:L208))&amp;"","")</f>
        <v/>
      </c>
      <c r="M208" t="str">
        <f>IF(L208="","",IF(COUNTIF(L$10:L208,L208)=1,COUNTIF(L$10:L$609,"&lt;"&amp;L208)+1,""))</f>
        <v/>
      </c>
      <c r="N208" t="str">
        <f>IFERROR(INDEX(tblY10[Class],ROWS(N$10:N208))&amp;"","")</f>
        <v/>
      </c>
      <c r="O208" t="str">
        <f>IF(N208="","",IF(COUNTIF(N$10:N208,N208)=1,COUNTIF(N$10:N$609,"&lt;"&amp;N208)+1,""))</f>
        <v/>
      </c>
      <c r="P208" t="str">
        <f>IFERROR(INDEX(tblY11[Class],ROWS(P$10:P208))&amp;"","")</f>
        <v/>
      </c>
      <c r="Q208" t="str">
        <f>IF(P208="","",IF(COUNTIF(P$10:P208,P208)=1,COUNTIF(P$10:P$609,"&lt;"&amp;P208)+1,""))</f>
        <v/>
      </c>
      <c r="BA208" t="str">
        <f>IFERROR(INDEX(wLast,139)&amp;"","")</f>
        <v/>
      </c>
      <c r="BB208" t="str">
        <f>IF(BA208="","",IFERROR(INDEX(wFirst,139)&amp;"",""))</f>
        <v/>
      </c>
      <c r="BC208" t="str">
        <f>IF(BA208="","",IFERROR(INDEX(wClass,139)&amp;"",""))</f>
        <v/>
      </c>
      <c r="BD208" t="str">
        <f>IF(BA208="","",IFERROR(INDEX(wKS2,139)+0,""))</f>
        <v/>
      </c>
      <c r="BE208" t="str">
        <f>IF(BA208="","",IFERROR(INDEX(wTests,139)+0,0))</f>
        <v/>
      </c>
      <c r="BF208" t="str">
        <f>IF(BA208="","",IFERROR(INDEX(wMean,139)+0,""))</f>
        <v/>
      </c>
      <c r="BG208" t="str">
        <f>IF(BA208="","",IFERROR(INDEX(wVs,139)+0,""))</f>
        <v/>
      </c>
      <c r="BH208" t="str">
        <f>IF(OR(BA208="",wLatest=""),"",IFERROR(INDEX(wData,139,MATCH(wLatest&amp;CHAR(10)&amp;"Stanine",wHdr,0))+0,""))</f>
        <v/>
      </c>
      <c r="BI208" t="str">
        <f>IF(BA208="","",IF(AND(ISNUMBER(BG208),N(BE208)&gt;=WlMinTests,BG208&lt;=-WlGap),"Below KS2 starting point",IF(AND(NOT(ISNUMBER(BD208)),ISNUMBER(BF208),N(BE208)&gt;=WlMinTests,BF208&lt;=WlLowMean),"Low results, no KS2 data","")))</f>
        <v/>
      </c>
      <c r="BJ208" t="str">
        <f>IF(BI208="","",IF(BI208="Below KS2 starting point",BG208,100+BF208)+ROW()/1000000)</f>
        <v/>
      </c>
    </row>
    <row r="209">
      <c r="H209" t="str">
        <f>IFERROR(INDEX(tblY7[Class],ROWS(H$10:H209))&amp;"","")</f>
        <v/>
      </c>
      <c r="I209" t="str">
        <f>IF(H209="","",IF(COUNTIF(H$10:H209,H209)=1,COUNTIF(H$10:H$609,"&lt;"&amp;H209)+1,""))</f>
        <v/>
      </c>
      <c r="J209" t="str">
        <f>IFERROR(INDEX(tblY8[Class],ROWS(J$10:J209))&amp;"","")</f>
        <v/>
      </c>
      <c r="K209" t="str">
        <f>IF(J209="","",IF(COUNTIF(J$10:J209,J209)=1,COUNTIF(J$10:J$609,"&lt;"&amp;J209)+1,""))</f>
        <v/>
      </c>
      <c r="L209" t="str">
        <f>IFERROR(INDEX(tblY9[Class],ROWS(L$10:L209))&amp;"","")</f>
        <v/>
      </c>
      <c r="M209" t="str">
        <f>IF(L209="","",IF(COUNTIF(L$10:L209,L209)=1,COUNTIF(L$10:L$609,"&lt;"&amp;L209)+1,""))</f>
        <v/>
      </c>
      <c r="N209" t="str">
        <f>IFERROR(INDEX(tblY10[Class],ROWS(N$10:N209))&amp;"","")</f>
        <v/>
      </c>
      <c r="O209" t="str">
        <f>IF(N209="","",IF(COUNTIF(N$10:N209,N209)=1,COUNTIF(N$10:N$609,"&lt;"&amp;N209)+1,""))</f>
        <v/>
      </c>
      <c r="P209" t="str">
        <f>IFERROR(INDEX(tblY11[Class],ROWS(P$10:P209))&amp;"","")</f>
        <v/>
      </c>
      <c r="Q209" t="str">
        <f>IF(P209="","",IF(COUNTIF(P$10:P209,P209)=1,COUNTIF(P$10:P$609,"&lt;"&amp;P209)+1,""))</f>
        <v/>
      </c>
      <c r="BA209" t="str">
        <f>IFERROR(INDEX(wLast,140)&amp;"","")</f>
        <v/>
      </c>
      <c r="BB209" t="str">
        <f>IF(BA209="","",IFERROR(INDEX(wFirst,140)&amp;"",""))</f>
        <v/>
      </c>
      <c r="BC209" t="str">
        <f>IF(BA209="","",IFERROR(INDEX(wClass,140)&amp;"",""))</f>
        <v/>
      </c>
      <c r="BD209" t="str">
        <f>IF(BA209="","",IFERROR(INDEX(wKS2,140)+0,""))</f>
        <v/>
      </c>
      <c r="BE209" t="str">
        <f>IF(BA209="","",IFERROR(INDEX(wTests,140)+0,0))</f>
        <v/>
      </c>
      <c r="BF209" t="str">
        <f>IF(BA209="","",IFERROR(INDEX(wMean,140)+0,""))</f>
        <v/>
      </c>
      <c r="BG209" t="str">
        <f>IF(BA209="","",IFERROR(INDEX(wVs,140)+0,""))</f>
        <v/>
      </c>
      <c r="BH209" t="str">
        <f>IF(OR(BA209="",wLatest=""),"",IFERROR(INDEX(wData,140,MATCH(wLatest&amp;CHAR(10)&amp;"Stanine",wHdr,0))+0,""))</f>
        <v/>
      </c>
      <c r="BI209" t="str">
        <f>IF(BA209="","",IF(AND(ISNUMBER(BG209),N(BE209)&gt;=WlMinTests,BG209&lt;=-WlGap),"Below KS2 starting point",IF(AND(NOT(ISNUMBER(BD209)),ISNUMBER(BF209),N(BE209)&gt;=WlMinTests,BF209&lt;=WlLowMean),"Low results, no KS2 data","")))</f>
        <v/>
      </c>
      <c r="BJ209" t="str">
        <f>IF(BI209="","",IF(BI209="Below KS2 starting point",BG209,100+BF209)+ROW()/1000000)</f>
        <v/>
      </c>
    </row>
    <row r="210">
      <c r="H210" t="str">
        <f>IFERROR(INDEX(tblY7[Class],ROWS(H$10:H210))&amp;"","")</f>
        <v/>
      </c>
      <c r="I210" t="str">
        <f>IF(H210="","",IF(COUNTIF(H$10:H210,H210)=1,COUNTIF(H$10:H$609,"&lt;"&amp;H210)+1,""))</f>
        <v/>
      </c>
      <c r="J210" t="str">
        <f>IFERROR(INDEX(tblY8[Class],ROWS(J$10:J210))&amp;"","")</f>
        <v/>
      </c>
      <c r="K210" t="str">
        <f>IF(J210="","",IF(COUNTIF(J$10:J210,J210)=1,COUNTIF(J$10:J$609,"&lt;"&amp;J210)+1,""))</f>
        <v/>
      </c>
      <c r="L210" t="str">
        <f>IFERROR(INDEX(tblY9[Class],ROWS(L$10:L210))&amp;"","")</f>
        <v/>
      </c>
      <c r="M210" t="str">
        <f>IF(L210="","",IF(COUNTIF(L$10:L210,L210)=1,COUNTIF(L$10:L$609,"&lt;"&amp;L210)+1,""))</f>
        <v/>
      </c>
      <c r="N210" t="str">
        <f>IFERROR(INDEX(tblY10[Class],ROWS(N$10:N210))&amp;"","")</f>
        <v/>
      </c>
      <c r="O210" t="str">
        <f>IF(N210="","",IF(COUNTIF(N$10:N210,N210)=1,COUNTIF(N$10:N$609,"&lt;"&amp;N210)+1,""))</f>
        <v/>
      </c>
      <c r="P210" t="str">
        <f>IFERROR(INDEX(tblY11[Class],ROWS(P$10:P210))&amp;"","")</f>
        <v/>
      </c>
      <c r="Q210" t="str">
        <f>IF(P210="","",IF(COUNTIF(P$10:P210,P210)=1,COUNTIF(P$10:P$609,"&lt;"&amp;P210)+1,""))</f>
        <v/>
      </c>
      <c r="BA210" t="str">
        <f>IFERROR(INDEX(wLast,141)&amp;"","")</f>
        <v/>
      </c>
      <c r="BB210" t="str">
        <f>IF(BA210="","",IFERROR(INDEX(wFirst,141)&amp;"",""))</f>
        <v/>
      </c>
      <c r="BC210" t="str">
        <f>IF(BA210="","",IFERROR(INDEX(wClass,141)&amp;"",""))</f>
        <v/>
      </c>
      <c r="BD210" t="str">
        <f>IF(BA210="","",IFERROR(INDEX(wKS2,141)+0,""))</f>
        <v/>
      </c>
      <c r="BE210" t="str">
        <f>IF(BA210="","",IFERROR(INDEX(wTests,141)+0,0))</f>
        <v/>
      </c>
      <c r="BF210" t="str">
        <f>IF(BA210="","",IFERROR(INDEX(wMean,141)+0,""))</f>
        <v/>
      </c>
      <c r="BG210" t="str">
        <f>IF(BA210="","",IFERROR(INDEX(wVs,141)+0,""))</f>
        <v/>
      </c>
      <c r="BH210" t="str">
        <f>IF(OR(BA210="",wLatest=""),"",IFERROR(INDEX(wData,141,MATCH(wLatest&amp;CHAR(10)&amp;"Stanine",wHdr,0))+0,""))</f>
        <v/>
      </c>
      <c r="BI210" t="str">
        <f>IF(BA210="","",IF(AND(ISNUMBER(BG210),N(BE210)&gt;=WlMinTests,BG210&lt;=-WlGap),"Below KS2 starting point",IF(AND(NOT(ISNUMBER(BD210)),ISNUMBER(BF210),N(BE210)&gt;=WlMinTests,BF210&lt;=WlLowMean),"Low results, no KS2 data","")))</f>
        <v/>
      </c>
      <c r="BJ210" t="str">
        <f>IF(BI210="","",IF(BI210="Below KS2 starting point",BG210,100+BF210)+ROW()/1000000)</f>
        <v/>
      </c>
    </row>
    <row r="211">
      <c r="H211" t="str">
        <f>IFERROR(INDEX(tblY7[Class],ROWS(H$10:H211))&amp;"","")</f>
        <v/>
      </c>
      <c r="I211" t="str">
        <f>IF(H211="","",IF(COUNTIF(H$10:H211,H211)=1,COUNTIF(H$10:H$609,"&lt;"&amp;H211)+1,""))</f>
        <v/>
      </c>
      <c r="J211" t="str">
        <f>IFERROR(INDEX(tblY8[Class],ROWS(J$10:J211))&amp;"","")</f>
        <v/>
      </c>
      <c r="K211" t="str">
        <f>IF(J211="","",IF(COUNTIF(J$10:J211,J211)=1,COUNTIF(J$10:J$609,"&lt;"&amp;J211)+1,""))</f>
        <v/>
      </c>
      <c r="L211" t="str">
        <f>IFERROR(INDEX(tblY9[Class],ROWS(L$10:L211))&amp;"","")</f>
        <v/>
      </c>
      <c r="M211" t="str">
        <f>IF(L211="","",IF(COUNTIF(L$10:L211,L211)=1,COUNTIF(L$10:L$609,"&lt;"&amp;L211)+1,""))</f>
        <v/>
      </c>
      <c r="N211" t="str">
        <f>IFERROR(INDEX(tblY10[Class],ROWS(N$10:N211))&amp;"","")</f>
        <v/>
      </c>
      <c r="O211" t="str">
        <f>IF(N211="","",IF(COUNTIF(N$10:N211,N211)=1,COUNTIF(N$10:N$609,"&lt;"&amp;N211)+1,""))</f>
        <v/>
      </c>
      <c r="P211" t="str">
        <f>IFERROR(INDEX(tblY11[Class],ROWS(P$10:P211))&amp;"","")</f>
        <v/>
      </c>
      <c r="Q211" t="str">
        <f>IF(P211="","",IF(COUNTIF(P$10:P211,P211)=1,COUNTIF(P$10:P$609,"&lt;"&amp;P211)+1,""))</f>
        <v/>
      </c>
      <c r="BA211" t="str">
        <f>IFERROR(INDEX(wLast,142)&amp;"","")</f>
        <v/>
      </c>
      <c r="BB211" t="str">
        <f>IF(BA211="","",IFERROR(INDEX(wFirst,142)&amp;"",""))</f>
        <v/>
      </c>
      <c r="BC211" t="str">
        <f>IF(BA211="","",IFERROR(INDEX(wClass,142)&amp;"",""))</f>
        <v/>
      </c>
      <c r="BD211" t="str">
        <f>IF(BA211="","",IFERROR(INDEX(wKS2,142)+0,""))</f>
        <v/>
      </c>
      <c r="BE211" t="str">
        <f>IF(BA211="","",IFERROR(INDEX(wTests,142)+0,0))</f>
        <v/>
      </c>
      <c r="BF211" t="str">
        <f>IF(BA211="","",IFERROR(INDEX(wMean,142)+0,""))</f>
        <v/>
      </c>
      <c r="BG211" t="str">
        <f>IF(BA211="","",IFERROR(INDEX(wVs,142)+0,""))</f>
        <v/>
      </c>
      <c r="BH211" t="str">
        <f>IF(OR(BA211="",wLatest=""),"",IFERROR(INDEX(wData,142,MATCH(wLatest&amp;CHAR(10)&amp;"Stanine",wHdr,0))+0,""))</f>
        <v/>
      </c>
      <c r="BI211" t="str">
        <f>IF(BA211="","",IF(AND(ISNUMBER(BG211),N(BE211)&gt;=WlMinTests,BG211&lt;=-WlGap),"Below KS2 starting point",IF(AND(NOT(ISNUMBER(BD211)),ISNUMBER(BF211),N(BE211)&gt;=WlMinTests,BF211&lt;=WlLowMean),"Low results, no KS2 data","")))</f>
        <v/>
      </c>
      <c r="BJ211" t="str">
        <f>IF(BI211="","",IF(BI211="Below KS2 starting point",BG211,100+BF211)+ROW()/1000000)</f>
        <v/>
      </c>
    </row>
    <row r="212">
      <c r="H212" t="str">
        <f>IFERROR(INDEX(tblY7[Class],ROWS(H$10:H212))&amp;"","")</f>
        <v/>
      </c>
      <c r="I212" t="str">
        <f>IF(H212="","",IF(COUNTIF(H$10:H212,H212)=1,COUNTIF(H$10:H$609,"&lt;"&amp;H212)+1,""))</f>
        <v/>
      </c>
      <c r="J212" t="str">
        <f>IFERROR(INDEX(tblY8[Class],ROWS(J$10:J212))&amp;"","")</f>
        <v/>
      </c>
      <c r="K212" t="str">
        <f>IF(J212="","",IF(COUNTIF(J$10:J212,J212)=1,COUNTIF(J$10:J$609,"&lt;"&amp;J212)+1,""))</f>
        <v/>
      </c>
      <c r="L212" t="str">
        <f>IFERROR(INDEX(tblY9[Class],ROWS(L$10:L212))&amp;"","")</f>
        <v/>
      </c>
      <c r="M212" t="str">
        <f>IF(L212="","",IF(COUNTIF(L$10:L212,L212)=1,COUNTIF(L$10:L$609,"&lt;"&amp;L212)+1,""))</f>
        <v/>
      </c>
      <c r="N212" t="str">
        <f>IFERROR(INDEX(tblY10[Class],ROWS(N$10:N212))&amp;"","")</f>
        <v/>
      </c>
      <c r="O212" t="str">
        <f>IF(N212="","",IF(COUNTIF(N$10:N212,N212)=1,COUNTIF(N$10:N$609,"&lt;"&amp;N212)+1,""))</f>
        <v/>
      </c>
      <c r="P212" t="str">
        <f>IFERROR(INDEX(tblY11[Class],ROWS(P$10:P212))&amp;"","")</f>
        <v/>
      </c>
      <c r="Q212" t="str">
        <f>IF(P212="","",IF(COUNTIF(P$10:P212,P212)=1,COUNTIF(P$10:P$609,"&lt;"&amp;P212)+1,""))</f>
        <v/>
      </c>
      <c r="BA212" t="str">
        <f>IFERROR(INDEX(wLast,143)&amp;"","")</f>
        <v/>
      </c>
      <c r="BB212" t="str">
        <f>IF(BA212="","",IFERROR(INDEX(wFirst,143)&amp;"",""))</f>
        <v/>
      </c>
      <c r="BC212" t="str">
        <f>IF(BA212="","",IFERROR(INDEX(wClass,143)&amp;"",""))</f>
        <v/>
      </c>
      <c r="BD212" t="str">
        <f>IF(BA212="","",IFERROR(INDEX(wKS2,143)+0,""))</f>
        <v/>
      </c>
      <c r="BE212" t="str">
        <f>IF(BA212="","",IFERROR(INDEX(wTests,143)+0,0))</f>
        <v/>
      </c>
      <c r="BF212" t="str">
        <f>IF(BA212="","",IFERROR(INDEX(wMean,143)+0,""))</f>
        <v/>
      </c>
      <c r="BG212" t="str">
        <f>IF(BA212="","",IFERROR(INDEX(wVs,143)+0,""))</f>
        <v/>
      </c>
      <c r="BH212" t="str">
        <f>IF(OR(BA212="",wLatest=""),"",IFERROR(INDEX(wData,143,MATCH(wLatest&amp;CHAR(10)&amp;"Stanine",wHdr,0))+0,""))</f>
        <v/>
      </c>
      <c r="BI212" t="str">
        <f>IF(BA212="","",IF(AND(ISNUMBER(BG212),N(BE212)&gt;=WlMinTests,BG212&lt;=-WlGap),"Below KS2 starting point",IF(AND(NOT(ISNUMBER(BD212)),ISNUMBER(BF212),N(BE212)&gt;=WlMinTests,BF212&lt;=WlLowMean),"Low results, no KS2 data","")))</f>
        <v/>
      </c>
      <c r="BJ212" t="str">
        <f>IF(BI212="","",IF(BI212="Below KS2 starting point",BG212,100+BF212)+ROW()/1000000)</f>
        <v/>
      </c>
    </row>
    <row r="213">
      <c r="H213" t="str">
        <f>IFERROR(INDEX(tblY7[Class],ROWS(H$10:H213))&amp;"","")</f>
        <v/>
      </c>
      <c r="I213" t="str">
        <f>IF(H213="","",IF(COUNTIF(H$10:H213,H213)=1,COUNTIF(H$10:H$609,"&lt;"&amp;H213)+1,""))</f>
        <v/>
      </c>
      <c r="J213" t="str">
        <f>IFERROR(INDEX(tblY8[Class],ROWS(J$10:J213))&amp;"","")</f>
        <v/>
      </c>
      <c r="K213" t="str">
        <f>IF(J213="","",IF(COUNTIF(J$10:J213,J213)=1,COUNTIF(J$10:J$609,"&lt;"&amp;J213)+1,""))</f>
        <v/>
      </c>
      <c r="L213" t="str">
        <f>IFERROR(INDEX(tblY9[Class],ROWS(L$10:L213))&amp;"","")</f>
        <v/>
      </c>
      <c r="M213" t="str">
        <f>IF(L213="","",IF(COUNTIF(L$10:L213,L213)=1,COUNTIF(L$10:L$609,"&lt;"&amp;L213)+1,""))</f>
        <v/>
      </c>
      <c r="N213" t="str">
        <f>IFERROR(INDEX(tblY10[Class],ROWS(N$10:N213))&amp;"","")</f>
        <v/>
      </c>
      <c r="O213" t="str">
        <f>IF(N213="","",IF(COUNTIF(N$10:N213,N213)=1,COUNTIF(N$10:N$609,"&lt;"&amp;N213)+1,""))</f>
        <v/>
      </c>
      <c r="P213" t="str">
        <f>IFERROR(INDEX(tblY11[Class],ROWS(P$10:P213))&amp;"","")</f>
        <v/>
      </c>
      <c r="Q213" t="str">
        <f>IF(P213="","",IF(COUNTIF(P$10:P213,P213)=1,COUNTIF(P$10:P$609,"&lt;"&amp;P213)+1,""))</f>
        <v/>
      </c>
      <c r="BA213" t="str">
        <f>IFERROR(INDEX(wLast,144)&amp;"","")</f>
        <v/>
      </c>
      <c r="BB213" t="str">
        <f>IF(BA213="","",IFERROR(INDEX(wFirst,144)&amp;"",""))</f>
        <v/>
      </c>
      <c r="BC213" t="str">
        <f>IF(BA213="","",IFERROR(INDEX(wClass,144)&amp;"",""))</f>
        <v/>
      </c>
      <c r="BD213" t="str">
        <f>IF(BA213="","",IFERROR(INDEX(wKS2,144)+0,""))</f>
        <v/>
      </c>
      <c r="BE213" t="str">
        <f>IF(BA213="","",IFERROR(INDEX(wTests,144)+0,0))</f>
        <v/>
      </c>
      <c r="BF213" t="str">
        <f>IF(BA213="","",IFERROR(INDEX(wMean,144)+0,""))</f>
        <v/>
      </c>
      <c r="BG213" t="str">
        <f>IF(BA213="","",IFERROR(INDEX(wVs,144)+0,""))</f>
        <v/>
      </c>
      <c r="BH213" t="str">
        <f>IF(OR(BA213="",wLatest=""),"",IFERROR(INDEX(wData,144,MATCH(wLatest&amp;CHAR(10)&amp;"Stanine",wHdr,0))+0,""))</f>
        <v/>
      </c>
      <c r="BI213" t="str">
        <f>IF(BA213="","",IF(AND(ISNUMBER(BG213),N(BE213)&gt;=WlMinTests,BG213&lt;=-WlGap),"Below KS2 starting point",IF(AND(NOT(ISNUMBER(BD213)),ISNUMBER(BF213),N(BE213)&gt;=WlMinTests,BF213&lt;=WlLowMean),"Low results, no KS2 data","")))</f>
        <v/>
      </c>
      <c r="BJ213" t="str">
        <f>IF(BI213="","",IF(BI213="Below KS2 starting point",BG213,100+BF213)+ROW()/1000000)</f>
        <v/>
      </c>
    </row>
    <row r="214">
      <c r="H214" t="str">
        <f>IFERROR(INDEX(tblY7[Class],ROWS(H$10:H214))&amp;"","")</f>
        <v/>
      </c>
      <c r="I214" t="str">
        <f>IF(H214="","",IF(COUNTIF(H$10:H214,H214)=1,COUNTIF(H$10:H$609,"&lt;"&amp;H214)+1,""))</f>
        <v/>
      </c>
      <c r="J214" t="str">
        <f>IFERROR(INDEX(tblY8[Class],ROWS(J$10:J214))&amp;"","")</f>
        <v/>
      </c>
      <c r="K214" t="str">
        <f>IF(J214="","",IF(COUNTIF(J$10:J214,J214)=1,COUNTIF(J$10:J$609,"&lt;"&amp;J214)+1,""))</f>
        <v/>
      </c>
      <c r="L214" t="str">
        <f>IFERROR(INDEX(tblY9[Class],ROWS(L$10:L214))&amp;"","")</f>
        <v/>
      </c>
      <c r="M214" t="str">
        <f>IF(L214="","",IF(COUNTIF(L$10:L214,L214)=1,COUNTIF(L$10:L$609,"&lt;"&amp;L214)+1,""))</f>
        <v/>
      </c>
      <c r="N214" t="str">
        <f>IFERROR(INDEX(tblY10[Class],ROWS(N$10:N214))&amp;"","")</f>
        <v/>
      </c>
      <c r="O214" t="str">
        <f>IF(N214="","",IF(COUNTIF(N$10:N214,N214)=1,COUNTIF(N$10:N$609,"&lt;"&amp;N214)+1,""))</f>
        <v/>
      </c>
      <c r="P214" t="str">
        <f>IFERROR(INDEX(tblY11[Class],ROWS(P$10:P214))&amp;"","")</f>
        <v/>
      </c>
      <c r="Q214" t="str">
        <f>IF(P214="","",IF(COUNTIF(P$10:P214,P214)=1,COUNTIF(P$10:P$609,"&lt;"&amp;P214)+1,""))</f>
        <v/>
      </c>
      <c r="BA214" t="str">
        <f>IFERROR(INDEX(wLast,145)&amp;"","")</f>
        <v/>
      </c>
      <c r="BB214" t="str">
        <f>IF(BA214="","",IFERROR(INDEX(wFirst,145)&amp;"",""))</f>
        <v/>
      </c>
      <c r="BC214" t="str">
        <f>IF(BA214="","",IFERROR(INDEX(wClass,145)&amp;"",""))</f>
        <v/>
      </c>
      <c r="BD214" t="str">
        <f>IF(BA214="","",IFERROR(INDEX(wKS2,145)+0,""))</f>
        <v/>
      </c>
      <c r="BE214" t="str">
        <f>IF(BA214="","",IFERROR(INDEX(wTests,145)+0,0))</f>
        <v/>
      </c>
      <c r="BF214" t="str">
        <f>IF(BA214="","",IFERROR(INDEX(wMean,145)+0,""))</f>
        <v/>
      </c>
      <c r="BG214" t="str">
        <f>IF(BA214="","",IFERROR(INDEX(wVs,145)+0,""))</f>
        <v/>
      </c>
      <c r="BH214" t="str">
        <f>IF(OR(BA214="",wLatest=""),"",IFERROR(INDEX(wData,145,MATCH(wLatest&amp;CHAR(10)&amp;"Stanine",wHdr,0))+0,""))</f>
        <v/>
      </c>
      <c r="BI214" t="str">
        <f>IF(BA214="","",IF(AND(ISNUMBER(BG214),N(BE214)&gt;=WlMinTests,BG214&lt;=-WlGap),"Below KS2 starting point",IF(AND(NOT(ISNUMBER(BD214)),ISNUMBER(BF214),N(BE214)&gt;=WlMinTests,BF214&lt;=WlLowMean),"Low results, no KS2 data","")))</f>
        <v/>
      </c>
      <c r="BJ214" t="str">
        <f>IF(BI214="","",IF(BI214="Below KS2 starting point",BG214,100+BF214)+ROW()/1000000)</f>
        <v/>
      </c>
    </row>
    <row r="215">
      <c r="H215" t="str">
        <f>IFERROR(INDEX(tblY7[Class],ROWS(H$10:H215))&amp;"","")</f>
        <v/>
      </c>
      <c r="I215" t="str">
        <f>IF(H215="","",IF(COUNTIF(H$10:H215,H215)=1,COUNTIF(H$10:H$609,"&lt;"&amp;H215)+1,""))</f>
        <v/>
      </c>
      <c r="J215" t="str">
        <f>IFERROR(INDEX(tblY8[Class],ROWS(J$10:J215))&amp;"","")</f>
        <v/>
      </c>
      <c r="K215" t="str">
        <f>IF(J215="","",IF(COUNTIF(J$10:J215,J215)=1,COUNTIF(J$10:J$609,"&lt;"&amp;J215)+1,""))</f>
        <v/>
      </c>
      <c r="L215" t="str">
        <f>IFERROR(INDEX(tblY9[Class],ROWS(L$10:L215))&amp;"","")</f>
        <v/>
      </c>
      <c r="M215" t="str">
        <f>IF(L215="","",IF(COUNTIF(L$10:L215,L215)=1,COUNTIF(L$10:L$609,"&lt;"&amp;L215)+1,""))</f>
        <v/>
      </c>
      <c r="N215" t="str">
        <f>IFERROR(INDEX(tblY10[Class],ROWS(N$10:N215))&amp;"","")</f>
        <v/>
      </c>
      <c r="O215" t="str">
        <f>IF(N215="","",IF(COUNTIF(N$10:N215,N215)=1,COUNTIF(N$10:N$609,"&lt;"&amp;N215)+1,""))</f>
        <v/>
      </c>
      <c r="P215" t="str">
        <f>IFERROR(INDEX(tblY11[Class],ROWS(P$10:P215))&amp;"","")</f>
        <v/>
      </c>
      <c r="Q215" t="str">
        <f>IF(P215="","",IF(COUNTIF(P$10:P215,P215)=1,COUNTIF(P$10:P$609,"&lt;"&amp;P215)+1,""))</f>
        <v/>
      </c>
      <c r="BA215" t="str">
        <f>IFERROR(INDEX(wLast,146)&amp;"","")</f>
        <v/>
      </c>
      <c r="BB215" t="str">
        <f>IF(BA215="","",IFERROR(INDEX(wFirst,146)&amp;"",""))</f>
        <v/>
      </c>
      <c r="BC215" t="str">
        <f>IF(BA215="","",IFERROR(INDEX(wClass,146)&amp;"",""))</f>
        <v/>
      </c>
      <c r="BD215" t="str">
        <f>IF(BA215="","",IFERROR(INDEX(wKS2,146)+0,""))</f>
        <v/>
      </c>
      <c r="BE215" t="str">
        <f>IF(BA215="","",IFERROR(INDEX(wTests,146)+0,0))</f>
        <v/>
      </c>
      <c r="BF215" t="str">
        <f>IF(BA215="","",IFERROR(INDEX(wMean,146)+0,""))</f>
        <v/>
      </c>
      <c r="BG215" t="str">
        <f>IF(BA215="","",IFERROR(INDEX(wVs,146)+0,""))</f>
        <v/>
      </c>
      <c r="BH215" t="str">
        <f>IF(OR(BA215="",wLatest=""),"",IFERROR(INDEX(wData,146,MATCH(wLatest&amp;CHAR(10)&amp;"Stanine",wHdr,0))+0,""))</f>
        <v/>
      </c>
      <c r="BI215" t="str">
        <f>IF(BA215="","",IF(AND(ISNUMBER(BG215),N(BE215)&gt;=WlMinTests,BG215&lt;=-WlGap),"Below KS2 starting point",IF(AND(NOT(ISNUMBER(BD215)),ISNUMBER(BF215),N(BE215)&gt;=WlMinTests,BF215&lt;=WlLowMean),"Low results, no KS2 data","")))</f>
        <v/>
      </c>
      <c r="BJ215" t="str">
        <f>IF(BI215="","",IF(BI215="Below KS2 starting point",BG215,100+BF215)+ROW()/1000000)</f>
        <v/>
      </c>
    </row>
    <row r="216">
      <c r="H216" t="str">
        <f>IFERROR(INDEX(tblY7[Class],ROWS(H$10:H216))&amp;"","")</f>
        <v/>
      </c>
      <c r="I216" t="str">
        <f>IF(H216="","",IF(COUNTIF(H$10:H216,H216)=1,COUNTIF(H$10:H$609,"&lt;"&amp;H216)+1,""))</f>
        <v/>
      </c>
      <c r="J216" t="str">
        <f>IFERROR(INDEX(tblY8[Class],ROWS(J$10:J216))&amp;"","")</f>
        <v/>
      </c>
      <c r="K216" t="str">
        <f>IF(J216="","",IF(COUNTIF(J$10:J216,J216)=1,COUNTIF(J$10:J$609,"&lt;"&amp;J216)+1,""))</f>
        <v/>
      </c>
      <c r="L216" t="str">
        <f>IFERROR(INDEX(tblY9[Class],ROWS(L$10:L216))&amp;"","")</f>
        <v/>
      </c>
      <c r="M216" t="str">
        <f>IF(L216="","",IF(COUNTIF(L$10:L216,L216)=1,COUNTIF(L$10:L$609,"&lt;"&amp;L216)+1,""))</f>
        <v/>
      </c>
      <c r="N216" t="str">
        <f>IFERROR(INDEX(tblY10[Class],ROWS(N$10:N216))&amp;"","")</f>
        <v/>
      </c>
      <c r="O216" t="str">
        <f>IF(N216="","",IF(COUNTIF(N$10:N216,N216)=1,COUNTIF(N$10:N$609,"&lt;"&amp;N216)+1,""))</f>
        <v/>
      </c>
      <c r="P216" t="str">
        <f>IFERROR(INDEX(tblY11[Class],ROWS(P$10:P216))&amp;"","")</f>
        <v/>
      </c>
      <c r="Q216" t="str">
        <f>IF(P216="","",IF(COUNTIF(P$10:P216,P216)=1,COUNTIF(P$10:P$609,"&lt;"&amp;P216)+1,""))</f>
        <v/>
      </c>
      <c r="BA216" t="str">
        <f>IFERROR(INDEX(wLast,147)&amp;"","")</f>
        <v/>
      </c>
      <c r="BB216" t="str">
        <f>IF(BA216="","",IFERROR(INDEX(wFirst,147)&amp;"",""))</f>
        <v/>
      </c>
      <c r="BC216" t="str">
        <f>IF(BA216="","",IFERROR(INDEX(wClass,147)&amp;"",""))</f>
        <v/>
      </c>
      <c r="BD216" t="str">
        <f>IF(BA216="","",IFERROR(INDEX(wKS2,147)+0,""))</f>
        <v/>
      </c>
      <c r="BE216" t="str">
        <f>IF(BA216="","",IFERROR(INDEX(wTests,147)+0,0))</f>
        <v/>
      </c>
      <c r="BF216" t="str">
        <f>IF(BA216="","",IFERROR(INDEX(wMean,147)+0,""))</f>
        <v/>
      </c>
      <c r="BG216" t="str">
        <f>IF(BA216="","",IFERROR(INDEX(wVs,147)+0,""))</f>
        <v/>
      </c>
      <c r="BH216" t="str">
        <f>IF(OR(BA216="",wLatest=""),"",IFERROR(INDEX(wData,147,MATCH(wLatest&amp;CHAR(10)&amp;"Stanine",wHdr,0))+0,""))</f>
        <v/>
      </c>
      <c r="BI216" t="str">
        <f>IF(BA216="","",IF(AND(ISNUMBER(BG216),N(BE216)&gt;=WlMinTests,BG216&lt;=-WlGap),"Below KS2 starting point",IF(AND(NOT(ISNUMBER(BD216)),ISNUMBER(BF216),N(BE216)&gt;=WlMinTests,BF216&lt;=WlLowMean),"Low results, no KS2 data","")))</f>
        <v/>
      </c>
      <c r="BJ216" t="str">
        <f>IF(BI216="","",IF(BI216="Below KS2 starting point",BG216,100+BF216)+ROW()/1000000)</f>
        <v/>
      </c>
    </row>
    <row r="217">
      <c r="H217" t="str">
        <f>IFERROR(INDEX(tblY7[Class],ROWS(H$10:H217))&amp;"","")</f>
        <v/>
      </c>
      <c r="I217" t="str">
        <f>IF(H217="","",IF(COUNTIF(H$10:H217,H217)=1,COUNTIF(H$10:H$609,"&lt;"&amp;H217)+1,""))</f>
        <v/>
      </c>
      <c r="J217" t="str">
        <f>IFERROR(INDEX(tblY8[Class],ROWS(J$10:J217))&amp;"","")</f>
        <v/>
      </c>
      <c r="K217" t="str">
        <f>IF(J217="","",IF(COUNTIF(J$10:J217,J217)=1,COUNTIF(J$10:J$609,"&lt;"&amp;J217)+1,""))</f>
        <v/>
      </c>
      <c r="L217" t="str">
        <f>IFERROR(INDEX(tblY9[Class],ROWS(L$10:L217))&amp;"","")</f>
        <v/>
      </c>
      <c r="M217" t="str">
        <f>IF(L217="","",IF(COUNTIF(L$10:L217,L217)=1,COUNTIF(L$10:L$609,"&lt;"&amp;L217)+1,""))</f>
        <v/>
      </c>
      <c r="N217" t="str">
        <f>IFERROR(INDEX(tblY10[Class],ROWS(N$10:N217))&amp;"","")</f>
        <v/>
      </c>
      <c r="O217" t="str">
        <f>IF(N217="","",IF(COUNTIF(N$10:N217,N217)=1,COUNTIF(N$10:N$609,"&lt;"&amp;N217)+1,""))</f>
        <v/>
      </c>
      <c r="P217" t="str">
        <f>IFERROR(INDEX(tblY11[Class],ROWS(P$10:P217))&amp;"","")</f>
        <v/>
      </c>
      <c r="Q217" t="str">
        <f>IF(P217="","",IF(COUNTIF(P$10:P217,P217)=1,COUNTIF(P$10:P$609,"&lt;"&amp;P217)+1,""))</f>
        <v/>
      </c>
      <c r="BA217" t="str">
        <f>IFERROR(INDEX(wLast,148)&amp;"","")</f>
        <v/>
      </c>
      <c r="BB217" t="str">
        <f>IF(BA217="","",IFERROR(INDEX(wFirst,148)&amp;"",""))</f>
        <v/>
      </c>
      <c r="BC217" t="str">
        <f>IF(BA217="","",IFERROR(INDEX(wClass,148)&amp;"",""))</f>
        <v/>
      </c>
      <c r="BD217" t="str">
        <f>IF(BA217="","",IFERROR(INDEX(wKS2,148)+0,""))</f>
        <v/>
      </c>
      <c r="BE217" t="str">
        <f>IF(BA217="","",IFERROR(INDEX(wTests,148)+0,0))</f>
        <v/>
      </c>
      <c r="BF217" t="str">
        <f>IF(BA217="","",IFERROR(INDEX(wMean,148)+0,""))</f>
        <v/>
      </c>
      <c r="BG217" t="str">
        <f>IF(BA217="","",IFERROR(INDEX(wVs,148)+0,""))</f>
        <v/>
      </c>
      <c r="BH217" t="str">
        <f>IF(OR(BA217="",wLatest=""),"",IFERROR(INDEX(wData,148,MATCH(wLatest&amp;CHAR(10)&amp;"Stanine",wHdr,0))+0,""))</f>
        <v/>
      </c>
      <c r="BI217" t="str">
        <f>IF(BA217="","",IF(AND(ISNUMBER(BG217),N(BE217)&gt;=WlMinTests,BG217&lt;=-WlGap),"Below KS2 starting point",IF(AND(NOT(ISNUMBER(BD217)),ISNUMBER(BF217),N(BE217)&gt;=WlMinTests,BF217&lt;=WlLowMean),"Low results, no KS2 data","")))</f>
        <v/>
      </c>
      <c r="BJ217" t="str">
        <f>IF(BI217="","",IF(BI217="Below KS2 starting point",BG217,100+BF217)+ROW()/1000000)</f>
        <v/>
      </c>
    </row>
    <row r="218">
      <c r="H218" t="str">
        <f>IFERROR(INDEX(tblY7[Class],ROWS(H$10:H218))&amp;"","")</f>
        <v/>
      </c>
      <c r="I218" t="str">
        <f>IF(H218="","",IF(COUNTIF(H$10:H218,H218)=1,COUNTIF(H$10:H$609,"&lt;"&amp;H218)+1,""))</f>
        <v/>
      </c>
      <c r="J218" t="str">
        <f>IFERROR(INDEX(tblY8[Class],ROWS(J$10:J218))&amp;"","")</f>
        <v/>
      </c>
      <c r="K218" t="str">
        <f>IF(J218="","",IF(COUNTIF(J$10:J218,J218)=1,COUNTIF(J$10:J$609,"&lt;"&amp;J218)+1,""))</f>
        <v/>
      </c>
      <c r="L218" t="str">
        <f>IFERROR(INDEX(tblY9[Class],ROWS(L$10:L218))&amp;"","")</f>
        <v/>
      </c>
      <c r="M218" t="str">
        <f>IF(L218="","",IF(COUNTIF(L$10:L218,L218)=1,COUNTIF(L$10:L$609,"&lt;"&amp;L218)+1,""))</f>
        <v/>
      </c>
      <c r="N218" t="str">
        <f>IFERROR(INDEX(tblY10[Class],ROWS(N$10:N218))&amp;"","")</f>
        <v/>
      </c>
      <c r="O218" t="str">
        <f>IF(N218="","",IF(COUNTIF(N$10:N218,N218)=1,COUNTIF(N$10:N$609,"&lt;"&amp;N218)+1,""))</f>
        <v/>
      </c>
      <c r="P218" t="str">
        <f>IFERROR(INDEX(tblY11[Class],ROWS(P$10:P218))&amp;"","")</f>
        <v/>
      </c>
      <c r="Q218" t="str">
        <f>IF(P218="","",IF(COUNTIF(P$10:P218,P218)=1,COUNTIF(P$10:P$609,"&lt;"&amp;P218)+1,""))</f>
        <v/>
      </c>
      <c r="BA218" t="str">
        <f>IFERROR(INDEX(wLast,149)&amp;"","")</f>
        <v/>
      </c>
      <c r="BB218" t="str">
        <f>IF(BA218="","",IFERROR(INDEX(wFirst,149)&amp;"",""))</f>
        <v/>
      </c>
      <c r="BC218" t="str">
        <f>IF(BA218="","",IFERROR(INDEX(wClass,149)&amp;"",""))</f>
        <v/>
      </c>
      <c r="BD218" t="str">
        <f>IF(BA218="","",IFERROR(INDEX(wKS2,149)+0,""))</f>
        <v/>
      </c>
      <c r="BE218" t="str">
        <f>IF(BA218="","",IFERROR(INDEX(wTests,149)+0,0))</f>
        <v/>
      </c>
      <c r="BF218" t="str">
        <f>IF(BA218="","",IFERROR(INDEX(wMean,149)+0,""))</f>
        <v/>
      </c>
      <c r="BG218" t="str">
        <f>IF(BA218="","",IFERROR(INDEX(wVs,149)+0,""))</f>
        <v/>
      </c>
      <c r="BH218" t="str">
        <f>IF(OR(BA218="",wLatest=""),"",IFERROR(INDEX(wData,149,MATCH(wLatest&amp;CHAR(10)&amp;"Stanine",wHdr,0))+0,""))</f>
        <v/>
      </c>
      <c r="BI218" t="str">
        <f>IF(BA218="","",IF(AND(ISNUMBER(BG218),N(BE218)&gt;=WlMinTests,BG218&lt;=-WlGap),"Below KS2 starting point",IF(AND(NOT(ISNUMBER(BD218)),ISNUMBER(BF218),N(BE218)&gt;=WlMinTests,BF218&lt;=WlLowMean),"Low results, no KS2 data","")))</f>
        <v/>
      </c>
      <c r="BJ218" t="str">
        <f>IF(BI218="","",IF(BI218="Below KS2 starting point",BG218,100+BF218)+ROW()/1000000)</f>
        <v/>
      </c>
    </row>
    <row r="219">
      <c r="H219" t="str">
        <f>IFERROR(INDEX(tblY7[Class],ROWS(H$10:H219))&amp;"","")</f>
        <v/>
      </c>
      <c r="I219" t="str">
        <f>IF(H219="","",IF(COUNTIF(H$10:H219,H219)=1,COUNTIF(H$10:H$609,"&lt;"&amp;H219)+1,""))</f>
        <v/>
      </c>
      <c r="J219" t="str">
        <f>IFERROR(INDEX(tblY8[Class],ROWS(J$10:J219))&amp;"","")</f>
        <v/>
      </c>
      <c r="K219" t="str">
        <f>IF(J219="","",IF(COUNTIF(J$10:J219,J219)=1,COUNTIF(J$10:J$609,"&lt;"&amp;J219)+1,""))</f>
        <v/>
      </c>
      <c r="L219" t="str">
        <f>IFERROR(INDEX(tblY9[Class],ROWS(L$10:L219))&amp;"","")</f>
        <v/>
      </c>
      <c r="M219" t="str">
        <f>IF(L219="","",IF(COUNTIF(L$10:L219,L219)=1,COUNTIF(L$10:L$609,"&lt;"&amp;L219)+1,""))</f>
        <v/>
      </c>
      <c r="N219" t="str">
        <f>IFERROR(INDEX(tblY10[Class],ROWS(N$10:N219))&amp;"","")</f>
        <v/>
      </c>
      <c r="O219" t="str">
        <f>IF(N219="","",IF(COUNTIF(N$10:N219,N219)=1,COUNTIF(N$10:N$609,"&lt;"&amp;N219)+1,""))</f>
        <v/>
      </c>
      <c r="P219" t="str">
        <f>IFERROR(INDEX(tblY11[Class],ROWS(P$10:P219))&amp;"","")</f>
        <v/>
      </c>
      <c r="Q219" t="str">
        <f>IF(P219="","",IF(COUNTIF(P$10:P219,P219)=1,COUNTIF(P$10:P$609,"&lt;"&amp;P219)+1,""))</f>
        <v/>
      </c>
      <c r="BA219" t="str">
        <f>IFERROR(INDEX(wLast,150)&amp;"","")</f>
        <v/>
      </c>
      <c r="BB219" t="str">
        <f>IF(BA219="","",IFERROR(INDEX(wFirst,150)&amp;"",""))</f>
        <v/>
      </c>
      <c r="BC219" t="str">
        <f>IF(BA219="","",IFERROR(INDEX(wClass,150)&amp;"",""))</f>
        <v/>
      </c>
      <c r="BD219" t="str">
        <f>IF(BA219="","",IFERROR(INDEX(wKS2,150)+0,""))</f>
        <v/>
      </c>
      <c r="BE219" t="str">
        <f>IF(BA219="","",IFERROR(INDEX(wTests,150)+0,0))</f>
        <v/>
      </c>
      <c r="BF219" t="str">
        <f>IF(BA219="","",IFERROR(INDEX(wMean,150)+0,""))</f>
        <v/>
      </c>
      <c r="BG219" t="str">
        <f>IF(BA219="","",IFERROR(INDEX(wVs,150)+0,""))</f>
        <v/>
      </c>
      <c r="BH219" t="str">
        <f>IF(OR(BA219="",wLatest=""),"",IFERROR(INDEX(wData,150,MATCH(wLatest&amp;CHAR(10)&amp;"Stanine",wHdr,0))+0,""))</f>
        <v/>
      </c>
      <c r="BI219" t="str">
        <f>IF(BA219="","",IF(AND(ISNUMBER(BG219),N(BE219)&gt;=WlMinTests,BG219&lt;=-WlGap),"Below KS2 starting point",IF(AND(NOT(ISNUMBER(BD219)),ISNUMBER(BF219),N(BE219)&gt;=WlMinTests,BF219&lt;=WlLowMean),"Low results, no KS2 data","")))</f>
        <v/>
      </c>
      <c r="BJ219" t="str">
        <f>IF(BI219="","",IF(BI219="Below KS2 starting point",BG219,100+BF219)+ROW()/1000000)</f>
        <v/>
      </c>
    </row>
    <row r="220">
      <c r="H220" t="str">
        <f>IFERROR(INDEX(tblY7[Class],ROWS(H$10:H220))&amp;"","")</f>
        <v/>
      </c>
      <c r="I220" t="str">
        <f>IF(H220="","",IF(COUNTIF(H$10:H220,H220)=1,COUNTIF(H$10:H$609,"&lt;"&amp;H220)+1,""))</f>
        <v/>
      </c>
      <c r="J220" t="str">
        <f>IFERROR(INDEX(tblY8[Class],ROWS(J$10:J220))&amp;"","")</f>
        <v/>
      </c>
      <c r="K220" t="str">
        <f>IF(J220="","",IF(COUNTIF(J$10:J220,J220)=1,COUNTIF(J$10:J$609,"&lt;"&amp;J220)+1,""))</f>
        <v/>
      </c>
      <c r="L220" t="str">
        <f>IFERROR(INDEX(tblY9[Class],ROWS(L$10:L220))&amp;"","")</f>
        <v/>
      </c>
      <c r="M220" t="str">
        <f>IF(L220="","",IF(COUNTIF(L$10:L220,L220)=1,COUNTIF(L$10:L$609,"&lt;"&amp;L220)+1,""))</f>
        <v/>
      </c>
      <c r="N220" t="str">
        <f>IFERROR(INDEX(tblY10[Class],ROWS(N$10:N220))&amp;"","")</f>
        <v/>
      </c>
      <c r="O220" t="str">
        <f>IF(N220="","",IF(COUNTIF(N$10:N220,N220)=1,COUNTIF(N$10:N$609,"&lt;"&amp;N220)+1,""))</f>
        <v/>
      </c>
      <c r="P220" t="str">
        <f>IFERROR(INDEX(tblY11[Class],ROWS(P$10:P220))&amp;"","")</f>
        <v/>
      </c>
      <c r="Q220" t="str">
        <f>IF(P220="","",IF(COUNTIF(P$10:P220,P220)=1,COUNTIF(P$10:P$609,"&lt;"&amp;P220)+1,""))</f>
        <v/>
      </c>
      <c r="BA220" t="str">
        <f>IFERROR(INDEX(wLast,151)&amp;"","")</f>
        <v/>
      </c>
      <c r="BB220" t="str">
        <f>IF(BA220="","",IFERROR(INDEX(wFirst,151)&amp;"",""))</f>
        <v/>
      </c>
      <c r="BC220" t="str">
        <f>IF(BA220="","",IFERROR(INDEX(wClass,151)&amp;"",""))</f>
        <v/>
      </c>
      <c r="BD220" t="str">
        <f>IF(BA220="","",IFERROR(INDEX(wKS2,151)+0,""))</f>
        <v/>
      </c>
      <c r="BE220" t="str">
        <f>IF(BA220="","",IFERROR(INDEX(wTests,151)+0,0))</f>
        <v/>
      </c>
      <c r="BF220" t="str">
        <f>IF(BA220="","",IFERROR(INDEX(wMean,151)+0,""))</f>
        <v/>
      </c>
      <c r="BG220" t="str">
        <f>IF(BA220="","",IFERROR(INDEX(wVs,151)+0,""))</f>
        <v/>
      </c>
      <c r="BH220" t="str">
        <f>IF(OR(BA220="",wLatest=""),"",IFERROR(INDEX(wData,151,MATCH(wLatest&amp;CHAR(10)&amp;"Stanine",wHdr,0))+0,""))</f>
        <v/>
      </c>
      <c r="BI220" t="str">
        <f>IF(BA220="","",IF(AND(ISNUMBER(BG220),N(BE220)&gt;=WlMinTests,BG220&lt;=-WlGap),"Below KS2 starting point",IF(AND(NOT(ISNUMBER(BD220)),ISNUMBER(BF220),N(BE220)&gt;=WlMinTests,BF220&lt;=WlLowMean),"Low results, no KS2 data","")))</f>
        <v/>
      </c>
      <c r="BJ220" t="str">
        <f>IF(BI220="","",IF(BI220="Below KS2 starting point",BG220,100+BF220)+ROW()/1000000)</f>
        <v/>
      </c>
    </row>
    <row r="221">
      <c r="H221" t="str">
        <f>IFERROR(INDEX(tblY7[Class],ROWS(H$10:H221))&amp;"","")</f>
        <v/>
      </c>
      <c r="I221" t="str">
        <f>IF(H221="","",IF(COUNTIF(H$10:H221,H221)=1,COUNTIF(H$10:H$609,"&lt;"&amp;H221)+1,""))</f>
        <v/>
      </c>
      <c r="J221" t="str">
        <f>IFERROR(INDEX(tblY8[Class],ROWS(J$10:J221))&amp;"","")</f>
        <v/>
      </c>
      <c r="K221" t="str">
        <f>IF(J221="","",IF(COUNTIF(J$10:J221,J221)=1,COUNTIF(J$10:J$609,"&lt;"&amp;J221)+1,""))</f>
        <v/>
      </c>
      <c r="L221" t="str">
        <f>IFERROR(INDEX(tblY9[Class],ROWS(L$10:L221))&amp;"","")</f>
        <v/>
      </c>
      <c r="M221" t="str">
        <f>IF(L221="","",IF(COUNTIF(L$10:L221,L221)=1,COUNTIF(L$10:L$609,"&lt;"&amp;L221)+1,""))</f>
        <v/>
      </c>
      <c r="N221" t="str">
        <f>IFERROR(INDEX(tblY10[Class],ROWS(N$10:N221))&amp;"","")</f>
        <v/>
      </c>
      <c r="O221" t="str">
        <f>IF(N221="","",IF(COUNTIF(N$10:N221,N221)=1,COUNTIF(N$10:N$609,"&lt;"&amp;N221)+1,""))</f>
        <v/>
      </c>
      <c r="P221" t="str">
        <f>IFERROR(INDEX(tblY11[Class],ROWS(P$10:P221))&amp;"","")</f>
        <v/>
      </c>
      <c r="Q221" t="str">
        <f>IF(P221="","",IF(COUNTIF(P$10:P221,P221)=1,COUNTIF(P$10:P$609,"&lt;"&amp;P221)+1,""))</f>
        <v/>
      </c>
      <c r="BA221" t="str">
        <f>IFERROR(INDEX(wLast,152)&amp;"","")</f>
        <v/>
      </c>
      <c r="BB221" t="str">
        <f>IF(BA221="","",IFERROR(INDEX(wFirst,152)&amp;"",""))</f>
        <v/>
      </c>
      <c r="BC221" t="str">
        <f>IF(BA221="","",IFERROR(INDEX(wClass,152)&amp;"",""))</f>
        <v/>
      </c>
      <c r="BD221" t="str">
        <f>IF(BA221="","",IFERROR(INDEX(wKS2,152)+0,""))</f>
        <v/>
      </c>
      <c r="BE221" t="str">
        <f>IF(BA221="","",IFERROR(INDEX(wTests,152)+0,0))</f>
        <v/>
      </c>
      <c r="BF221" t="str">
        <f>IF(BA221="","",IFERROR(INDEX(wMean,152)+0,""))</f>
        <v/>
      </c>
      <c r="BG221" t="str">
        <f>IF(BA221="","",IFERROR(INDEX(wVs,152)+0,""))</f>
        <v/>
      </c>
      <c r="BH221" t="str">
        <f>IF(OR(BA221="",wLatest=""),"",IFERROR(INDEX(wData,152,MATCH(wLatest&amp;CHAR(10)&amp;"Stanine",wHdr,0))+0,""))</f>
        <v/>
      </c>
      <c r="BI221" t="str">
        <f>IF(BA221="","",IF(AND(ISNUMBER(BG221),N(BE221)&gt;=WlMinTests,BG221&lt;=-WlGap),"Below KS2 starting point",IF(AND(NOT(ISNUMBER(BD221)),ISNUMBER(BF221),N(BE221)&gt;=WlMinTests,BF221&lt;=WlLowMean),"Low results, no KS2 data","")))</f>
        <v/>
      </c>
      <c r="BJ221" t="str">
        <f>IF(BI221="","",IF(BI221="Below KS2 starting point",BG221,100+BF221)+ROW()/1000000)</f>
        <v/>
      </c>
    </row>
    <row r="222">
      <c r="H222" t="str">
        <f>IFERROR(INDEX(tblY7[Class],ROWS(H$10:H222))&amp;"","")</f>
        <v/>
      </c>
      <c r="I222" t="str">
        <f>IF(H222="","",IF(COUNTIF(H$10:H222,H222)=1,COUNTIF(H$10:H$609,"&lt;"&amp;H222)+1,""))</f>
        <v/>
      </c>
      <c r="J222" t="str">
        <f>IFERROR(INDEX(tblY8[Class],ROWS(J$10:J222))&amp;"","")</f>
        <v/>
      </c>
      <c r="K222" t="str">
        <f>IF(J222="","",IF(COUNTIF(J$10:J222,J222)=1,COUNTIF(J$10:J$609,"&lt;"&amp;J222)+1,""))</f>
        <v/>
      </c>
      <c r="L222" t="str">
        <f>IFERROR(INDEX(tblY9[Class],ROWS(L$10:L222))&amp;"","")</f>
        <v/>
      </c>
      <c r="M222" t="str">
        <f>IF(L222="","",IF(COUNTIF(L$10:L222,L222)=1,COUNTIF(L$10:L$609,"&lt;"&amp;L222)+1,""))</f>
        <v/>
      </c>
      <c r="N222" t="str">
        <f>IFERROR(INDEX(tblY10[Class],ROWS(N$10:N222))&amp;"","")</f>
        <v/>
      </c>
      <c r="O222" t="str">
        <f>IF(N222="","",IF(COUNTIF(N$10:N222,N222)=1,COUNTIF(N$10:N$609,"&lt;"&amp;N222)+1,""))</f>
        <v/>
      </c>
      <c r="P222" t="str">
        <f>IFERROR(INDEX(tblY11[Class],ROWS(P$10:P222))&amp;"","")</f>
        <v/>
      </c>
      <c r="Q222" t="str">
        <f>IF(P222="","",IF(COUNTIF(P$10:P222,P222)=1,COUNTIF(P$10:P$609,"&lt;"&amp;P222)+1,""))</f>
        <v/>
      </c>
      <c r="BA222" t="str">
        <f>IFERROR(INDEX(wLast,153)&amp;"","")</f>
        <v/>
      </c>
      <c r="BB222" t="str">
        <f>IF(BA222="","",IFERROR(INDEX(wFirst,153)&amp;"",""))</f>
        <v/>
      </c>
      <c r="BC222" t="str">
        <f>IF(BA222="","",IFERROR(INDEX(wClass,153)&amp;"",""))</f>
        <v/>
      </c>
      <c r="BD222" t="str">
        <f>IF(BA222="","",IFERROR(INDEX(wKS2,153)+0,""))</f>
        <v/>
      </c>
      <c r="BE222" t="str">
        <f>IF(BA222="","",IFERROR(INDEX(wTests,153)+0,0))</f>
        <v/>
      </c>
      <c r="BF222" t="str">
        <f>IF(BA222="","",IFERROR(INDEX(wMean,153)+0,""))</f>
        <v/>
      </c>
      <c r="BG222" t="str">
        <f>IF(BA222="","",IFERROR(INDEX(wVs,153)+0,""))</f>
        <v/>
      </c>
      <c r="BH222" t="str">
        <f>IF(OR(BA222="",wLatest=""),"",IFERROR(INDEX(wData,153,MATCH(wLatest&amp;CHAR(10)&amp;"Stanine",wHdr,0))+0,""))</f>
        <v/>
      </c>
      <c r="BI222" t="str">
        <f>IF(BA222="","",IF(AND(ISNUMBER(BG222),N(BE222)&gt;=WlMinTests,BG222&lt;=-WlGap),"Below KS2 starting point",IF(AND(NOT(ISNUMBER(BD222)),ISNUMBER(BF222),N(BE222)&gt;=WlMinTests,BF222&lt;=WlLowMean),"Low results, no KS2 data","")))</f>
        <v/>
      </c>
      <c r="BJ222" t="str">
        <f>IF(BI222="","",IF(BI222="Below KS2 starting point",BG222,100+BF222)+ROW()/1000000)</f>
        <v/>
      </c>
    </row>
    <row r="223">
      <c r="H223" t="str">
        <f>IFERROR(INDEX(tblY7[Class],ROWS(H$10:H223))&amp;"","")</f>
        <v/>
      </c>
      <c r="I223" t="str">
        <f>IF(H223="","",IF(COUNTIF(H$10:H223,H223)=1,COUNTIF(H$10:H$609,"&lt;"&amp;H223)+1,""))</f>
        <v/>
      </c>
      <c r="J223" t="str">
        <f>IFERROR(INDEX(tblY8[Class],ROWS(J$10:J223))&amp;"","")</f>
        <v/>
      </c>
      <c r="K223" t="str">
        <f>IF(J223="","",IF(COUNTIF(J$10:J223,J223)=1,COUNTIF(J$10:J$609,"&lt;"&amp;J223)+1,""))</f>
        <v/>
      </c>
      <c r="L223" t="str">
        <f>IFERROR(INDEX(tblY9[Class],ROWS(L$10:L223))&amp;"","")</f>
        <v/>
      </c>
      <c r="M223" t="str">
        <f>IF(L223="","",IF(COUNTIF(L$10:L223,L223)=1,COUNTIF(L$10:L$609,"&lt;"&amp;L223)+1,""))</f>
        <v/>
      </c>
      <c r="N223" t="str">
        <f>IFERROR(INDEX(tblY10[Class],ROWS(N$10:N223))&amp;"","")</f>
        <v/>
      </c>
      <c r="O223" t="str">
        <f>IF(N223="","",IF(COUNTIF(N$10:N223,N223)=1,COUNTIF(N$10:N$609,"&lt;"&amp;N223)+1,""))</f>
        <v/>
      </c>
      <c r="P223" t="str">
        <f>IFERROR(INDEX(tblY11[Class],ROWS(P$10:P223))&amp;"","")</f>
        <v/>
      </c>
      <c r="Q223" t="str">
        <f>IF(P223="","",IF(COUNTIF(P$10:P223,P223)=1,COUNTIF(P$10:P$609,"&lt;"&amp;P223)+1,""))</f>
        <v/>
      </c>
      <c r="BA223" t="str">
        <f>IFERROR(INDEX(wLast,154)&amp;"","")</f>
        <v/>
      </c>
      <c r="BB223" t="str">
        <f>IF(BA223="","",IFERROR(INDEX(wFirst,154)&amp;"",""))</f>
        <v/>
      </c>
      <c r="BC223" t="str">
        <f>IF(BA223="","",IFERROR(INDEX(wClass,154)&amp;"",""))</f>
        <v/>
      </c>
      <c r="BD223" t="str">
        <f>IF(BA223="","",IFERROR(INDEX(wKS2,154)+0,""))</f>
        <v/>
      </c>
      <c r="BE223" t="str">
        <f>IF(BA223="","",IFERROR(INDEX(wTests,154)+0,0))</f>
        <v/>
      </c>
      <c r="BF223" t="str">
        <f>IF(BA223="","",IFERROR(INDEX(wMean,154)+0,""))</f>
        <v/>
      </c>
      <c r="BG223" t="str">
        <f>IF(BA223="","",IFERROR(INDEX(wVs,154)+0,""))</f>
        <v/>
      </c>
      <c r="BH223" t="str">
        <f>IF(OR(BA223="",wLatest=""),"",IFERROR(INDEX(wData,154,MATCH(wLatest&amp;CHAR(10)&amp;"Stanine",wHdr,0))+0,""))</f>
        <v/>
      </c>
      <c r="BI223" t="str">
        <f>IF(BA223="","",IF(AND(ISNUMBER(BG223),N(BE223)&gt;=WlMinTests,BG223&lt;=-WlGap),"Below KS2 starting point",IF(AND(NOT(ISNUMBER(BD223)),ISNUMBER(BF223),N(BE223)&gt;=WlMinTests,BF223&lt;=WlLowMean),"Low results, no KS2 data","")))</f>
        <v/>
      </c>
      <c r="BJ223" t="str">
        <f>IF(BI223="","",IF(BI223="Below KS2 starting point",BG223,100+BF223)+ROW()/1000000)</f>
        <v/>
      </c>
    </row>
    <row r="224">
      <c r="H224" t="str">
        <f>IFERROR(INDEX(tblY7[Class],ROWS(H$10:H224))&amp;"","")</f>
        <v/>
      </c>
      <c r="I224" t="str">
        <f>IF(H224="","",IF(COUNTIF(H$10:H224,H224)=1,COUNTIF(H$10:H$609,"&lt;"&amp;H224)+1,""))</f>
        <v/>
      </c>
      <c r="J224" t="str">
        <f>IFERROR(INDEX(tblY8[Class],ROWS(J$10:J224))&amp;"","")</f>
        <v/>
      </c>
      <c r="K224" t="str">
        <f>IF(J224="","",IF(COUNTIF(J$10:J224,J224)=1,COUNTIF(J$10:J$609,"&lt;"&amp;J224)+1,""))</f>
        <v/>
      </c>
      <c r="L224" t="str">
        <f>IFERROR(INDEX(tblY9[Class],ROWS(L$10:L224))&amp;"","")</f>
        <v/>
      </c>
      <c r="M224" t="str">
        <f>IF(L224="","",IF(COUNTIF(L$10:L224,L224)=1,COUNTIF(L$10:L$609,"&lt;"&amp;L224)+1,""))</f>
        <v/>
      </c>
      <c r="N224" t="str">
        <f>IFERROR(INDEX(tblY10[Class],ROWS(N$10:N224))&amp;"","")</f>
        <v/>
      </c>
      <c r="O224" t="str">
        <f>IF(N224="","",IF(COUNTIF(N$10:N224,N224)=1,COUNTIF(N$10:N$609,"&lt;"&amp;N224)+1,""))</f>
        <v/>
      </c>
      <c r="P224" t="str">
        <f>IFERROR(INDEX(tblY11[Class],ROWS(P$10:P224))&amp;"","")</f>
        <v/>
      </c>
      <c r="Q224" t="str">
        <f>IF(P224="","",IF(COUNTIF(P$10:P224,P224)=1,COUNTIF(P$10:P$609,"&lt;"&amp;P224)+1,""))</f>
        <v/>
      </c>
      <c r="BA224" t="str">
        <f>IFERROR(INDEX(wLast,155)&amp;"","")</f>
        <v/>
      </c>
      <c r="BB224" t="str">
        <f>IF(BA224="","",IFERROR(INDEX(wFirst,155)&amp;"",""))</f>
        <v/>
      </c>
      <c r="BC224" t="str">
        <f>IF(BA224="","",IFERROR(INDEX(wClass,155)&amp;"",""))</f>
        <v/>
      </c>
      <c r="BD224" t="str">
        <f>IF(BA224="","",IFERROR(INDEX(wKS2,155)+0,""))</f>
        <v/>
      </c>
      <c r="BE224" t="str">
        <f>IF(BA224="","",IFERROR(INDEX(wTests,155)+0,0))</f>
        <v/>
      </c>
      <c r="BF224" t="str">
        <f>IF(BA224="","",IFERROR(INDEX(wMean,155)+0,""))</f>
        <v/>
      </c>
      <c r="BG224" t="str">
        <f>IF(BA224="","",IFERROR(INDEX(wVs,155)+0,""))</f>
        <v/>
      </c>
      <c r="BH224" t="str">
        <f>IF(OR(BA224="",wLatest=""),"",IFERROR(INDEX(wData,155,MATCH(wLatest&amp;CHAR(10)&amp;"Stanine",wHdr,0))+0,""))</f>
        <v/>
      </c>
      <c r="BI224" t="str">
        <f>IF(BA224="","",IF(AND(ISNUMBER(BG224),N(BE224)&gt;=WlMinTests,BG224&lt;=-WlGap),"Below KS2 starting point",IF(AND(NOT(ISNUMBER(BD224)),ISNUMBER(BF224),N(BE224)&gt;=WlMinTests,BF224&lt;=WlLowMean),"Low results, no KS2 data","")))</f>
        <v/>
      </c>
      <c r="BJ224" t="str">
        <f>IF(BI224="","",IF(BI224="Below KS2 starting point",BG224,100+BF224)+ROW()/1000000)</f>
        <v/>
      </c>
    </row>
    <row r="225">
      <c r="H225" t="str">
        <f>IFERROR(INDEX(tblY7[Class],ROWS(H$10:H225))&amp;"","")</f>
        <v/>
      </c>
      <c r="I225" t="str">
        <f>IF(H225="","",IF(COUNTIF(H$10:H225,H225)=1,COUNTIF(H$10:H$609,"&lt;"&amp;H225)+1,""))</f>
        <v/>
      </c>
      <c r="J225" t="str">
        <f>IFERROR(INDEX(tblY8[Class],ROWS(J$10:J225))&amp;"","")</f>
        <v/>
      </c>
      <c r="K225" t="str">
        <f>IF(J225="","",IF(COUNTIF(J$10:J225,J225)=1,COUNTIF(J$10:J$609,"&lt;"&amp;J225)+1,""))</f>
        <v/>
      </c>
      <c r="L225" t="str">
        <f>IFERROR(INDEX(tblY9[Class],ROWS(L$10:L225))&amp;"","")</f>
        <v/>
      </c>
      <c r="M225" t="str">
        <f>IF(L225="","",IF(COUNTIF(L$10:L225,L225)=1,COUNTIF(L$10:L$609,"&lt;"&amp;L225)+1,""))</f>
        <v/>
      </c>
      <c r="N225" t="str">
        <f>IFERROR(INDEX(tblY10[Class],ROWS(N$10:N225))&amp;"","")</f>
        <v/>
      </c>
      <c r="O225" t="str">
        <f>IF(N225="","",IF(COUNTIF(N$10:N225,N225)=1,COUNTIF(N$10:N$609,"&lt;"&amp;N225)+1,""))</f>
        <v/>
      </c>
      <c r="P225" t="str">
        <f>IFERROR(INDEX(tblY11[Class],ROWS(P$10:P225))&amp;"","")</f>
        <v/>
      </c>
      <c r="Q225" t="str">
        <f>IF(P225="","",IF(COUNTIF(P$10:P225,P225)=1,COUNTIF(P$10:P$609,"&lt;"&amp;P225)+1,""))</f>
        <v/>
      </c>
      <c r="BA225" t="str">
        <f>IFERROR(INDEX(wLast,156)&amp;"","")</f>
        <v/>
      </c>
      <c r="BB225" t="str">
        <f>IF(BA225="","",IFERROR(INDEX(wFirst,156)&amp;"",""))</f>
        <v/>
      </c>
      <c r="BC225" t="str">
        <f>IF(BA225="","",IFERROR(INDEX(wClass,156)&amp;"",""))</f>
        <v/>
      </c>
      <c r="BD225" t="str">
        <f>IF(BA225="","",IFERROR(INDEX(wKS2,156)+0,""))</f>
        <v/>
      </c>
      <c r="BE225" t="str">
        <f>IF(BA225="","",IFERROR(INDEX(wTests,156)+0,0))</f>
        <v/>
      </c>
      <c r="BF225" t="str">
        <f>IF(BA225="","",IFERROR(INDEX(wMean,156)+0,""))</f>
        <v/>
      </c>
      <c r="BG225" t="str">
        <f>IF(BA225="","",IFERROR(INDEX(wVs,156)+0,""))</f>
        <v/>
      </c>
      <c r="BH225" t="str">
        <f>IF(OR(BA225="",wLatest=""),"",IFERROR(INDEX(wData,156,MATCH(wLatest&amp;CHAR(10)&amp;"Stanine",wHdr,0))+0,""))</f>
        <v/>
      </c>
      <c r="BI225" t="str">
        <f>IF(BA225="","",IF(AND(ISNUMBER(BG225),N(BE225)&gt;=WlMinTests,BG225&lt;=-WlGap),"Below KS2 starting point",IF(AND(NOT(ISNUMBER(BD225)),ISNUMBER(BF225),N(BE225)&gt;=WlMinTests,BF225&lt;=WlLowMean),"Low results, no KS2 data","")))</f>
        <v/>
      </c>
      <c r="BJ225" t="str">
        <f>IF(BI225="","",IF(BI225="Below KS2 starting point",BG225,100+BF225)+ROW()/1000000)</f>
        <v/>
      </c>
    </row>
    <row r="226">
      <c r="H226" t="str">
        <f>IFERROR(INDEX(tblY7[Class],ROWS(H$10:H226))&amp;"","")</f>
        <v/>
      </c>
      <c r="I226" t="str">
        <f>IF(H226="","",IF(COUNTIF(H$10:H226,H226)=1,COUNTIF(H$10:H$609,"&lt;"&amp;H226)+1,""))</f>
        <v/>
      </c>
      <c r="J226" t="str">
        <f>IFERROR(INDEX(tblY8[Class],ROWS(J$10:J226))&amp;"","")</f>
        <v/>
      </c>
      <c r="K226" t="str">
        <f>IF(J226="","",IF(COUNTIF(J$10:J226,J226)=1,COUNTIF(J$10:J$609,"&lt;"&amp;J226)+1,""))</f>
        <v/>
      </c>
      <c r="L226" t="str">
        <f>IFERROR(INDEX(tblY9[Class],ROWS(L$10:L226))&amp;"","")</f>
        <v/>
      </c>
      <c r="M226" t="str">
        <f>IF(L226="","",IF(COUNTIF(L$10:L226,L226)=1,COUNTIF(L$10:L$609,"&lt;"&amp;L226)+1,""))</f>
        <v/>
      </c>
      <c r="N226" t="str">
        <f>IFERROR(INDEX(tblY10[Class],ROWS(N$10:N226))&amp;"","")</f>
        <v/>
      </c>
      <c r="O226" t="str">
        <f>IF(N226="","",IF(COUNTIF(N$10:N226,N226)=1,COUNTIF(N$10:N$609,"&lt;"&amp;N226)+1,""))</f>
        <v/>
      </c>
      <c r="P226" t="str">
        <f>IFERROR(INDEX(tblY11[Class],ROWS(P$10:P226))&amp;"","")</f>
        <v/>
      </c>
      <c r="Q226" t="str">
        <f>IF(P226="","",IF(COUNTIF(P$10:P226,P226)=1,COUNTIF(P$10:P$609,"&lt;"&amp;P226)+1,""))</f>
        <v/>
      </c>
      <c r="BA226" t="str">
        <f>IFERROR(INDEX(wLast,157)&amp;"","")</f>
        <v/>
      </c>
      <c r="BB226" t="str">
        <f>IF(BA226="","",IFERROR(INDEX(wFirst,157)&amp;"",""))</f>
        <v/>
      </c>
      <c r="BC226" t="str">
        <f>IF(BA226="","",IFERROR(INDEX(wClass,157)&amp;"",""))</f>
        <v/>
      </c>
      <c r="BD226" t="str">
        <f>IF(BA226="","",IFERROR(INDEX(wKS2,157)+0,""))</f>
        <v/>
      </c>
      <c r="BE226" t="str">
        <f>IF(BA226="","",IFERROR(INDEX(wTests,157)+0,0))</f>
        <v/>
      </c>
      <c r="BF226" t="str">
        <f>IF(BA226="","",IFERROR(INDEX(wMean,157)+0,""))</f>
        <v/>
      </c>
      <c r="BG226" t="str">
        <f>IF(BA226="","",IFERROR(INDEX(wVs,157)+0,""))</f>
        <v/>
      </c>
      <c r="BH226" t="str">
        <f>IF(OR(BA226="",wLatest=""),"",IFERROR(INDEX(wData,157,MATCH(wLatest&amp;CHAR(10)&amp;"Stanine",wHdr,0))+0,""))</f>
        <v/>
      </c>
      <c r="BI226" t="str">
        <f>IF(BA226="","",IF(AND(ISNUMBER(BG226),N(BE226)&gt;=WlMinTests,BG226&lt;=-WlGap),"Below KS2 starting point",IF(AND(NOT(ISNUMBER(BD226)),ISNUMBER(BF226),N(BE226)&gt;=WlMinTests,BF226&lt;=WlLowMean),"Low results, no KS2 data","")))</f>
        <v/>
      </c>
      <c r="BJ226" t="str">
        <f>IF(BI226="","",IF(BI226="Below KS2 starting point",BG226,100+BF226)+ROW()/1000000)</f>
        <v/>
      </c>
    </row>
    <row r="227">
      <c r="H227" t="str">
        <f>IFERROR(INDEX(tblY7[Class],ROWS(H$10:H227))&amp;"","")</f>
        <v/>
      </c>
      <c r="I227" t="str">
        <f>IF(H227="","",IF(COUNTIF(H$10:H227,H227)=1,COUNTIF(H$10:H$609,"&lt;"&amp;H227)+1,""))</f>
        <v/>
      </c>
      <c r="J227" t="str">
        <f>IFERROR(INDEX(tblY8[Class],ROWS(J$10:J227))&amp;"","")</f>
        <v/>
      </c>
      <c r="K227" t="str">
        <f>IF(J227="","",IF(COUNTIF(J$10:J227,J227)=1,COUNTIF(J$10:J$609,"&lt;"&amp;J227)+1,""))</f>
        <v/>
      </c>
      <c r="L227" t="str">
        <f>IFERROR(INDEX(tblY9[Class],ROWS(L$10:L227))&amp;"","")</f>
        <v/>
      </c>
      <c r="M227" t="str">
        <f>IF(L227="","",IF(COUNTIF(L$10:L227,L227)=1,COUNTIF(L$10:L$609,"&lt;"&amp;L227)+1,""))</f>
        <v/>
      </c>
      <c r="N227" t="str">
        <f>IFERROR(INDEX(tblY10[Class],ROWS(N$10:N227))&amp;"","")</f>
        <v/>
      </c>
      <c r="O227" t="str">
        <f>IF(N227="","",IF(COUNTIF(N$10:N227,N227)=1,COUNTIF(N$10:N$609,"&lt;"&amp;N227)+1,""))</f>
        <v/>
      </c>
      <c r="P227" t="str">
        <f>IFERROR(INDEX(tblY11[Class],ROWS(P$10:P227))&amp;"","")</f>
        <v/>
      </c>
      <c r="Q227" t="str">
        <f>IF(P227="","",IF(COUNTIF(P$10:P227,P227)=1,COUNTIF(P$10:P$609,"&lt;"&amp;P227)+1,""))</f>
        <v/>
      </c>
      <c r="BA227" t="str">
        <f>IFERROR(INDEX(wLast,158)&amp;"","")</f>
        <v/>
      </c>
      <c r="BB227" t="str">
        <f>IF(BA227="","",IFERROR(INDEX(wFirst,158)&amp;"",""))</f>
        <v/>
      </c>
      <c r="BC227" t="str">
        <f>IF(BA227="","",IFERROR(INDEX(wClass,158)&amp;"",""))</f>
        <v/>
      </c>
      <c r="BD227" t="str">
        <f>IF(BA227="","",IFERROR(INDEX(wKS2,158)+0,""))</f>
        <v/>
      </c>
      <c r="BE227" t="str">
        <f>IF(BA227="","",IFERROR(INDEX(wTests,158)+0,0))</f>
        <v/>
      </c>
      <c r="BF227" t="str">
        <f>IF(BA227="","",IFERROR(INDEX(wMean,158)+0,""))</f>
        <v/>
      </c>
      <c r="BG227" t="str">
        <f>IF(BA227="","",IFERROR(INDEX(wVs,158)+0,""))</f>
        <v/>
      </c>
      <c r="BH227" t="str">
        <f>IF(OR(BA227="",wLatest=""),"",IFERROR(INDEX(wData,158,MATCH(wLatest&amp;CHAR(10)&amp;"Stanine",wHdr,0))+0,""))</f>
        <v/>
      </c>
      <c r="BI227" t="str">
        <f>IF(BA227="","",IF(AND(ISNUMBER(BG227),N(BE227)&gt;=WlMinTests,BG227&lt;=-WlGap),"Below KS2 starting point",IF(AND(NOT(ISNUMBER(BD227)),ISNUMBER(BF227),N(BE227)&gt;=WlMinTests,BF227&lt;=WlLowMean),"Low results, no KS2 data","")))</f>
        <v/>
      </c>
      <c r="BJ227" t="str">
        <f>IF(BI227="","",IF(BI227="Below KS2 starting point",BG227,100+BF227)+ROW()/1000000)</f>
        <v/>
      </c>
    </row>
    <row r="228">
      <c r="H228" t="str">
        <f>IFERROR(INDEX(tblY7[Class],ROWS(H$10:H228))&amp;"","")</f>
        <v/>
      </c>
      <c r="I228" t="str">
        <f>IF(H228="","",IF(COUNTIF(H$10:H228,H228)=1,COUNTIF(H$10:H$609,"&lt;"&amp;H228)+1,""))</f>
        <v/>
      </c>
      <c r="J228" t="str">
        <f>IFERROR(INDEX(tblY8[Class],ROWS(J$10:J228))&amp;"","")</f>
        <v/>
      </c>
      <c r="K228" t="str">
        <f>IF(J228="","",IF(COUNTIF(J$10:J228,J228)=1,COUNTIF(J$10:J$609,"&lt;"&amp;J228)+1,""))</f>
        <v/>
      </c>
      <c r="L228" t="str">
        <f>IFERROR(INDEX(tblY9[Class],ROWS(L$10:L228))&amp;"","")</f>
        <v/>
      </c>
      <c r="M228" t="str">
        <f>IF(L228="","",IF(COUNTIF(L$10:L228,L228)=1,COUNTIF(L$10:L$609,"&lt;"&amp;L228)+1,""))</f>
        <v/>
      </c>
      <c r="N228" t="str">
        <f>IFERROR(INDEX(tblY10[Class],ROWS(N$10:N228))&amp;"","")</f>
        <v/>
      </c>
      <c r="O228" t="str">
        <f>IF(N228="","",IF(COUNTIF(N$10:N228,N228)=1,COUNTIF(N$10:N$609,"&lt;"&amp;N228)+1,""))</f>
        <v/>
      </c>
      <c r="P228" t="str">
        <f>IFERROR(INDEX(tblY11[Class],ROWS(P$10:P228))&amp;"","")</f>
        <v/>
      </c>
      <c r="Q228" t="str">
        <f>IF(P228="","",IF(COUNTIF(P$10:P228,P228)=1,COUNTIF(P$10:P$609,"&lt;"&amp;P228)+1,""))</f>
        <v/>
      </c>
      <c r="BA228" t="str">
        <f>IFERROR(INDEX(wLast,159)&amp;"","")</f>
        <v/>
      </c>
      <c r="BB228" t="str">
        <f>IF(BA228="","",IFERROR(INDEX(wFirst,159)&amp;"",""))</f>
        <v/>
      </c>
      <c r="BC228" t="str">
        <f>IF(BA228="","",IFERROR(INDEX(wClass,159)&amp;"",""))</f>
        <v/>
      </c>
      <c r="BD228" t="str">
        <f>IF(BA228="","",IFERROR(INDEX(wKS2,159)+0,""))</f>
        <v/>
      </c>
      <c r="BE228" t="str">
        <f>IF(BA228="","",IFERROR(INDEX(wTests,159)+0,0))</f>
        <v/>
      </c>
      <c r="BF228" t="str">
        <f>IF(BA228="","",IFERROR(INDEX(wMean,159)+0,""))</f>
        <v/>
      </c>
      <c r="BG228" t="str">
        <f>IF(BA228="","",IFERROR(INDEX(wVs,159)+0,""))</f>
        <v/>
      </c>
      <c r="BH228" t="str">
        <f>IF(OR(BA228="",wLatest=""),"",IFERROR(INDEX(wData,159,MATCH(wLatest&amp;CHAR(10)&amp;"Stanine",wHdr,0))+0,""))</f>
        <v/>
      </c>
      <c r="BI228" t="str">
        <f>IF(BA228="","",IF(AND(ISNUMBER(BG228),N(BE228)&gt;=WlMinTests,BG228&lt;=-WlGap),"Below KS2 starting point",IF(AND(NOT(ISNUMBER(BD228)),ISNUMBER(BF228),N(BE228)&gt;=WlMinTests,BF228&lt;=WlLowMean),"Low results, no KS2 data","")))</f>
        <v/>
      </c>
      <c r="BJ228" t="str">
        <f>IF(BI228="","",IF(BI228="Below KS2 starting point",BG228,100+BF228)+ROW()/1000000)</f>
        <v/>
      </c>
    </row>
    <row r="229">
      <c r="H229" t="str">
        <f>IFERROR(INDEX(tblY7[Class],ROWS(H$10:H229))&amp;"","")</f>
        <v/>
      </c>
      <c r="I229" t="str">
        <f>IF(H229="","",IF(COUNTIF(H$10:H229,H229)=1,COUNTIF(H$10:H$609,"&lt;"&amp;H229)+1,""))</f>
        <v/>
      </c>
      <c r="J229" t="str">
        <f>IFERROR(INDEX(tblY8[Class],ROWS(J$10:J229))&amp;"","")</f>
        <v/>
      </c>
      <c r="K229" t="str">
        <f>IF(J229="","",IF(COUNTIF(J$10:J229,J229)=1,COUNTIF(J$10:J$609,"&lt;"&amp;J229)+1,""))</f>
        <v/>
      </c>
      <c r="L229" t="str">
        <f>IFERROR(INDEX(tblY9[Class],ROWS(L$10:L229))&amp;"","")</f>
        <v/>
      </c>
      <c r="M229" t="str">
        <f>IF(L229="","",IF(COUNTIF(L$10:L229,L229)=1,COUNTIF(L$10:L$609,"&lt;"&amp;L229)+1,""))</f>
        <v/>
      </c>
      <c r="N229" t="str">
        <f>IFERROR(INDEX(tblY10[Class],ROWS(N$10:N229))&amp;"","")</f>
        <v/>
      </c>
      <c r="O229" t="str">
        <f>IF(N229="","",IF(COUNTIF(N$10:N229,N229)=1,COUNTIF(N$10:N$609,"&lt;"&amp;N229)+1,""))</f>
        <v/>
      </c>
      <c r="P229" t="str">
        <f>IFERROR(INDEX(tblY11[Class],ROWS(P$10:P229))&amp;"","")</f>
        <v/>
      </c>
      <c r="Q229" t="str">
        <f>IF(P229="","",IF(COUNTIF(P$10:P229,P229)=1,COUNTIF(P$10:P$609,"&lt;"&amp;P229)+1,""))</f>
        <v/>
      </c>
      <c r="BA229" t="str">
        <f>IFERROR(INDEX(wLast,160)&amp;"","")</f>
        <v/>
      </c>
      <c r="BB229" t="str">
        <f>IF(BA229="","",IFERROR(INDEX(wFirst,160)&amp;"",""))</f>
        <v/>
      </c>
      <c r="BC229" t="str">
        <f>IF(BA229="","",IFERROR(INDEX(wClass,160)&amp;"",""))</f>
        <v/>
      </c>
      <c r="BD229" t="str">
        <f>IF(BA229="","",IFERROR(INDEX(wKS2,160)+0,""))</f>
        <v/>
      </c>
      <c r="BE229" t="str">
        <f>IF(BA229="","",IFERROR(INDEX(wTests,160)+0,0))</f>
        <v/>
      </c>
      <c r="BF229" t="str">
        <f>IF(BA229="","",IFERROR(INDEX(wMean,160)+0,""))</f>
        <v/>
      </c>
      <c r="BG229" t="str">
        <f>IF(BA229="","",IFERROR(INDEX(wVs,160)+0,""))</f>
        <v/>
      </c>
      <c r="BH229" t="str">
        <f>IF(OR(BA229="",wLatest=""),"",IFERROR(INDEX(wData,160,MATCH(wLatest&amp;CHAR(10)&amp;"Stanine",wHdr,0))+0,""))</f>
        <v/>
      </c>
      <c r="BI229" t="str">
        <f>IF(BA229="","",IF(AND(ISNUMBER(BG229),N(BE229)&gt;=WlMinTests,BG229&lt;=-WlGap),"Below KS2 starting point",IF(AND(NOT(ISNUMBER(BD229)),ISNUMBER(BF229),N(BE229)&gt;=WlMinTests,BF229&lt;=WlLowMean),"Low results, no KS2 data","")))</f>
        <v/>
      </c>
      <c r="BJ229" t="str">
        <f>IF(BI229="","",IF(BI229="Below KS2 starting point",BG229,100+BF229)+ROW()/1000000)</f>
        <v/>
      </c>
    </row>
    <row r="230">
      <c r="H230" t="str">
        <f>IFERROR(INDEX(tblY7[Class],ROWS(H$10:H230))&amp;"","")</f>
        <v/>
      </c>
      <c r="I230" t="str">
        <f>IF(H230="","",IF(COUNTIF(H$10:H230,H230)=1,COUNTIF(H$10:H$609,"&lt;"&amp;H230)+1,""))</f>
        <v/>
      </c>
      <c r="J230" t="str">
        <f>IFERROR(INDEX(tblY8[Class],ROWS(J$10:J230))&amp;"","")</f>
        <v/>
      </c>
      <c r="K230" t="str">
        <f>IF(J230="","",IF(COUNTIF(J$10:J230,J230)=1,COUNTIF(J$10:J$609,"&lt;"&amp;J230)+1,""))</f>
        <v/>
      </c>
      <c r="L230" t="str">
        <f>IFERROR(INDEX(tblY9[Class],ROWS(L$10:L230))&amp;"","")</f>
        <v/>
      </c>
      <c r="M230" t="str">
        <f>IF(L230="","",IF(COUNTIF(L$10:L230,L230)=1,COUNTIF(L$10:L$609,"&lt;"&amp;L230)+1,""))</f>
        <v/>
      </c>
      <c r="N230" t="str">
        <f>IFERROR(INDEX(tblY10[Class],ROWS(N$10:N230))&amp;"","")</f>
        <v/>
      </c>
      <c r="O230" t="str">
        <f>IF(N230="","",IF(COUNTIF(N$10:N230,N230)=1,COUNTIF(N$10:N$609,"&lt;"&amp;N230)+1,""))</f>
        <v/>
      </c>
      <c r="P230" t="str">
        <f>IFERROR(INDEX(tblY11[Class],ROWS(P$10:P230))&amp;"","")</f>
        <v/>
      </c>
      <c r="Q230" t="str">
        <f>IF(P230="","",IF(COUNTIF(P$10:P230,P230)=1,COUNTIF(P$10:P$609,"&lt;"&amp;P230)+1,""))</f>
        <v/>
      </c>
      <c r="BA230" t="str">
        <f>IFERROR(INDEX(wLast,161)&amp;"","")</f>
        <v/>
      </c>
      <c r="BB230" t="str">
        <f>IF(BA230="","",IFERROR(INDEX(wFirst,161)&amp;"",""))</f>
        <v/>
      </c>
      <c r="BC230" t="str">
        <f>IF(BA230="","",IFERROR(INDEX(wClass,161)&amp;"",""))</f>
        <v/>
      </c>
      <c r="BD230" t="str">
        <f>IF(BA230="","",IFERROR(INDEX(wKS2,161)+0,""))</f>
        <v/>
      </c>
      <c r="BE230" t="str">
        <f>IF(BA230="","",IFERROR(INDEX(wTests,161)+0,0))</f>
        <v/>
      </c>
      <c r="BF230" t="str">
        <f>IF(BA230="","",IFERROR(INDEX(wMean,161)+0,""))</f>
        <v/>
      </c>
      <c r="BG230" t="str">
        <f>IF(BA230="","",IFERROR(INDEX(wVs,161)+0,""))</f>
        <v/>
      </c>
      <c r="BH230" t="str">
        <f>IF(OR(BA230="",wLatest=""),"",IFERROR(INDEX(wData,161,MATCH(wLatest&amp;CHAR(10)&amp;"Stanine",wHdr,0))+0,""))</f>
        <v/>
      </c>
      <c r="BI230" t="str">
        <f>IF(BA230="","",IF(AND(ISNUMBER(BG230),N(BE230)&gt;=WlMinTests,BG230&lt;=-WlGap),"Below KS2 starting point",IF(AND(NOT(ISNUMBER(BD230)),ISNUMBER(BF230),N(BE230)&gt;=WlMinTests,BF230&lt;=WlLowMean),"Low results, no KS2 data","")))</f>
        <v/>
      </c>
      <c r="BJ230" t="str">
        <f>IF(BI230="","",IF(BI230="Below KS2 starting point",BG230,100+BF230)+ROW()/1000000)</f>
        <v/>
      </c>
    </row>
    <row r="231">
      <c r="H231" t="str">
        <f>IFERROR(INDEX(tblY7[Class],ROWS(H$10:H231))&amp;"","")</f>
        <v/>
      </c>
      <c r="I231" t="str">
        <f>IF(H231="","",IF(COUNTIF(H$10:H231,H231)=1,COUNTIF(H$10:H$609,"&lt;"&amp;H231)+1,""))</f>
        <v/>
      </c>
      <c r="J231" t="str">
        <f>IFERROR(INDEX(tblY8[Class],ROWS(J$10:J231))&amp;"","")</f>
        <v/>
      </c>
      <c r="K231" t="str">
        <f>IF(J231="","",IF(COUNTIF(J$10:J231,J231)=1,COUNTIF(J$10:J$609,"&lt;"&amp;J231)+1,""))</f>
        <v/>
      </c>
      <c r="L231" t="str">
        <f>IFERROR(INDEX(tblY9[Class],ROWS(L$10:L231))&amp;"","")</f>
        <v/>
      </c>
      <c r="M231" t="str">
        <f>IF(L231="","",IF(COUNTIF(L$10:L231,L231)=1,COUNTIF(L$10:L$609,"&lt;"&amp;L231)+1,""))</f>
        <v/>
      </c>
      <c r="N231" t="str">
        <f>IFERROR(INDEX(tblY10[Class],ROWS(N$10:N231))&amp;"","")</f>
        <v/>
      </c>
      <c r="O231" t="str">
        <f>IF(N231="","",IF(COUNTIF(N$10:N231,N231)=1,COUNTIF(N$10:N$609,"&lt;"&amp;N231)+1,""))</f>
        <v/>
      </c>
      <c r="P231" t="str">
        <f>IFERROR(INDEX(tblY11[Class],ROWS(P$10:P231))&amp;"","")</f>
        <v/>
      </c>
      <c r="Q231" t="str">
        <f>IF(P231="","",IF(COUNTIF(P$10:P231,P231)=1,COUNTIF(P$10:P$609,"&lt;"&amp;P231)+1,""))</f>
        <v/>
      </c>
      <c r="BA231" t="str">
        <f>IFERROR(INDEX(wLast,162)&amp;"","")</f>
        <v/>
      </c>
      <c r="BB231" t="str">
        <f>IF(BA231="","",IFERROR(INDEX(wFirst,162)&amp;"",""))</f>
        <v/>
      </c>
      <c r="BC231" t="str">
        <f>IF(BA231="","",IFERROR(INDEX(wClass,162)&amp;"",""))</f>
        <v/>
      </c>
      <c r="BD231" t="str">
        <f>IF(BA231="","",IFERROR(INDEX(wKS2,162)+0,""))</f>
        <v/>
      </c>
      <c r="BE231" t="str">
        <f>IF(BA231="","",IFERROR(INDEX(wTests,162)+0,0))</f>
        <v/>
      </c>
      <c r="BF231" t="str">
        <f>IF(BA231="","",IFERROR(INDEX(wMean,162)+0,""))</f>
        <v/>
      </c>
      <c r="BG231" t="str">
        <f>IF(BA231="","",IFERROR(INDEX(wVs,162)+0,""))</f>
        <v/>
      </c>
      <c r="BH231" t="str">
        <f>IF(OR(BA231="",wLatest=""),"",IFERROR(INDEX(wData,162,MATCH(wLatest&amp;CHAR(10)&amp;"Stanine",wHdr,0))+0,""))</f>
        <v/>
      </c>
      <c r="BI231" t="str">
        <f>IF(BA231="","",IF(AND(ISNUMBER(BG231),N(BE231)&gt;=WlMinTests,BG231&lt;=-WlGap),"Below KS2 starting point",IF(AND(NOT(ISNUMBER(BD231)),ISNUMBER(BF231),N(BE231)&gt;=WlMinTests,BF231&lt;=WlLowMean),"Low results, no KS2 data","")))</f>
        <v/>
      </c>
      <c r="BJ231" t="str">
        <f>IF(BI231="","",IF(BI231="Below KS2 starting point",BG231,100+BF231)+ROW()/1000000)</f>
        <v/>
      </c>
    </row>
    <row r="232">
      <c r="H232" t="str">
        <f>IFERROR(INDEX(tblY7[Class],ROWS(H$10:H232))&amp;"","")</f>
        <v/>
      </c>
      <c r="I232" t="str">
        <f>IF(H232="","",IF(COUNTIF(H$10:H232,H232)=1,COUNTIF(H$10:H$609,"&lt;"&amp;H232)+1,""))</f>
        <v/>
      </c>
      <c r="J232" t="str">
        <f>IFERROR(INDEX(tblY8[Class],ROWS(J$10:J232))&amp;"","")</f>
        <v/>
      </c>
      <c r="K232" t="str">
        <f>IF(J232="","",IF(COUNTIF(J$10:J232,J232)=1,COUNTIF(J$10:J$609,"&lt;"&amp;J232)+1,""))</f>
        <v/>
      </c>
      <c r="L232" t="str">
        <f>IFERROR(INDEX(tblY9[Class],ROWS(L$10:L232))&amp;"","")</f>
        <v/>
      </c>
      <c r="M232" t="str">
        <f>IF(L232="","",IF(COUNTIF(L$10:L232,L232)=1,COUNTIF(L$10:L$609,"&lt;"&amp;L232)+1,""))</f>
        <v/>
      </c>
      <c r="N232" t="str">
        <f>IFERROR(INDEX(tblY10[Class],ROWS(N$10:N232))&amp;"","")</f>
        <v/>
      </c>
      <c r="O232" t="str">
        <f>IF(N232="","",IF(COUNTIF(N$10:N232,N232)=1,COUNTIF(N$10:N$609,"&lt;"&amp;N232)+1,""))</f>
        <v/>
      </c>
      <c r="P232" t="str">
        <f>IFERROR(INDEX(tblY11[Class],ROWS(P$10:P232))&amp;"","")</f>
        <v/>
      </c>
      <c r="Q232" t="str">
        <f>IF(P232="","",IF(COUNTIF(P$10:P232,P232)=1,COUNTIF(P$10:P$609,"&lt;"&amp;P232)+1,""))</f>
        <v/>
      </c>
      <c r="BA232" t="str">
        <f>IFERROR(INDEX(wLast,163)&amp;"","")</f>
        <v/>
      </c>
      <c r="BB232" t="str">
        <f>IF(BA232="","",IFERROR(INDEX(wFirst,163)&amp;"",""))</f>
        <v/>
      </c>
      <c r="BC232" t="str">
        <f>IF(BA232="","",IFERROR(INDEX(wClass,163)&amp;"",""))</f>
        <v/>
      </c>
      <c r="BD232" t="str">
        <f>IF(BA232="","",IFERROR(INDEX(wKS2,163)+0,""))</f>
        <v/>
      </c>
      <c r="BE232" t="str">
        <f>IF(BA232="","",IFERROR(INDEX(wTests,163)+0,0))</f>
        <v/>
      </c>
      <c r="BF232" t="str">
        <f>IF(BA232="","",IFERROR(INDEX(wMean,163)+0,""))</f>
        <v/>
      </c>
      <c r="BG232" t="str">
        <f>IF(BA232="","",IFERROR(INDEX(wVs,163)+0,""))</f>
        <v/>
      </c>
      <c r="BH232" t="str">
        <f>IF(OR(BA232="",wLatest=""),"",IFERROR(INDEX(wData,163,MATCH(wLatest&amp;CHAR(10)&amp;"Stanine",wHdr,0))+0,""))</f>
        <v/>
      </c>
      <c r="BI232" t="str">
        <f>IF(BA232="","",IF(AND(ISNUMBER(BG232),N(BE232)&gt;=WlMinTests,BG232&lt;=-WlGap),"Below KS2 starting point",IF(AND(NOT(ISNUMBER(BD232)),ISNUMBER(BF232),N(BE232)&gt;=WlMinTests,BF232&lt;=WlLowMean),"Low results, no KS2 data","")))</f>
        <v/>
      </c>
      <c r="BJ232" t="str">
        <f>IF(BI232="","",IF(BI232="Below KS2 starting point",BG232,100+BF232)+ROW()/1000000)</f>
        <v/>
      </c>
    </row>
    <row r="233">
      <c r="H233" t="str">
        <f>IFERROR(INDEX(tblY7[Class],ROWS(H$10:H233))&amp;"","")</f>
        <v/>
      </c>
      <c r="I233" t="str">
        <f>IF(H233="","",IF(COUNTIF(H$10:H233,H233)=1,COUNTIF(H$10:H$609,"&lt;"&amp;H233)+1,""))</f>
        <v/>
      </c>
      <c r="J233" t="str">
        <f>IFERROR(INDEX(tblY8[Class],ROWS(J$10:J233))&amp;"","")</f>
        <v/>
      </c>
      <c r="K233" t="str">
        <f>IF(J233="","",IF(COUNTIF(J$10:J233,J233)=1,COUNTIF(J$10:J$609,"&lt;"&amp;J233)+1,""))</f>
        <v/>
      </c>
      <c r="L233" t="str">
        <f>IFERROR(INDEX(tblY9[Class],ROWS(L$10:L233))&amp;"","")</f>
        <v/>
      </c>
      <c r="M233" t="str">
        <f>IF(L233="","",IF(COUNTIF(L$10:L233,L233)=1,COUNTIF(L$10:L$609,"&lt;"&amp;L233)+1,""))</f>
        <v/>
      </c>
      <c r="N233" t="str">
        <f>IFERROR(INDEX(tblY10[Class],ROWS(N$10:N233))&amp;"","")</f>
        <v/>
      </c>
      <c r="O233" t="str">
        <f>IF(N233="","",IF(COUNTIF(N$10:N233,N233)=1,COUNTIF(N$10:N$609,"&lt;"&amp;N233)+1,""))</f>
        <v/>
      </c>
      <c r="P233" t="str">
        <f>IFERROR(INDEX(tblY11[Class],ROWS(P$10:P233))&amp;"","")</f>
        <v/>
      </c>
      <c r="Q233" t="str">
        <f>IF(P233="","",IF(COUNTIF(P$10:P233,P233)=1,COUNTIF(P$10:P$609,"&lt;"&amp;P233)+1,""))</f>
        <v/>
      </c>
      <c r="BA233" t="str">
        <f>IFERROR(INDEX(wLast,164)&amp;"","")</f>
        <v/>
      </c>
      <c r="BB233" t="str">
        <f>IF(BA233="","",IFERROR(INDEX(wFirst,164)&amp;"",""))</f>
        <v/>
      </c>
      <c r="BC233" t="str">
        <f>IF(BA233="","",IFERROR(INDEX(wClass,164)&amp;"",""))</f>
        <v/>
      </c>
      <c r="BD233" t="str">
        <f>IF(BA233="","",IFERROR(INDEX(wKS2,164)+0,""))</f>
        <v/>
      </c>
      <c r="BE233" t="str">
        <f>IF(BA233="","",IFERROR(INDEX(wTests,164)+0,0))</f>
        <v/>
      </c>
      <c r="BF233" t="str">
        <f>IF(BA233="","",IFERROR(INDEX(wMean,164)+0,""))</f>
        <v/>
      </c>
      <c r="BG233" t="str">
        <f>IF(BA233="","",IFERROR(INDEX(wVs,164)+0,""))</f>
        <v/>
      </c>
      <c r="BH233" t="str">
        <f>IF(OR(BA233="",wLatest=""),"",IFERROR(INDEX(wData,164,MATCH(wLatest&amp;CHAR(10)&amp;"Stanine",wHdr,0))+0,""))</f>
        <v/>
      </c>
      <c r="BI233" t="str">
        <f>IF(BA233="","",IF(AND(ISNUMBER(BG233),N(BE233)&gt;=WlMinTests,BG233&lt;=-WlGap),"Below KS2 starting point",IF(AND(NOT(ISNUMBER(BD233)),ISNUMBER(BF233),N(BE233)&gt;=WlMinTests,BF233&lt;=WlLowMean),"Low results, no KS2 data","")))</f>
        <v/>
      </c>
      <c r="BJ233" t="str">
        <f>IF(BI233="","",IF(BI233="Below KS2 starting point",BG233,100+BF233)+ROW()/1000000)</f>
        <v/>
      </c>
    </row>
    <row r="234">
      <c r="H234" t="str">
        <f>IFERROR(INDEX(tblY7[Class],ROWS(H$10:H234))&amp;"","")</f>
        <v/>
      </c>
      <c r="I234" t="str">
        <f>IF(H234="","",IF(COUNTIF(H$10:H234,H234)=1,COUNTIF(H$10:H$609,"&lt;"&amp;H234)+1,""))</f>
        <v/>
      </c>
      <c r="J234" t="str">
        <f>IFERROR(INDEX(tblY8[Class],ROWS(J$10:J234))&amp;"","")</f>
        <v/>
      </c>
      <c r="K234" t="str">
        <f>IF(J234="","",IF(COUNTIF(J$10:J234,J234)=1,COUNTIF(J$10:J$609,"&lt;"&amp;J234)+1,""))</f>
        <v/>
      </c>
      <c r="L234" t="str">
        <f>IFERROR(INDEX(tblY9[Class],ROWS(L$10:L234))&amp;"","")</f>
        <v/>
      </c>
      <c r="M234" t="str">
        <f>IF(L234="","",IF(COUNTIF(L$10:L234,L234)=1,COUNTIF(L$10:L$609,"&lt;"&amp;L234)+1,""))</f>
        <v/>
      </c>
      <c r="N234" t="str">
        <f>IFERROR(INDEX(tblY10[Class],ROWS(N$10:N234))&amp;"","")</f>
        <v/>
      </c>
      <c r="O234" t="str">
        <f>IF(N234="","",IF(COUNTIF(N$10:N234,N234)=1,COUNTIF(N$10:N$609,"&lt;"&amp;N234)+1,""))</f>
        <v/>
      </c>
      <c r="P234" t="str">
        <f>IFERROR(INDEX(tblY11[Class],ROWS(P$10:P234))&amp;"","")</f>
        <v/>
      </c>
      <c r="Q234" t="str">
        <f>IF(P234="","",IF(COUNTIF(P$10:P234,P234)=1,COUNTIF(P$10:P$609,"&lt;"&amp;P234)+1,""))</f>
        <v/>
      </c>
      <c r="BA234" t="str">
        <f>IFERROR(INDEX(wLast,165)&amp;"","")</f>
        <v/>
      </c>
      <c r="BB234" t="str">
        <f>IF(BA234="","",IFERROR(INDEX(wFirst,165)&amp;"",""))</f>
        <v/>
      </c>
      <c r="BC234" t="str">
        <f>IF(BA234="","",IFERROR(INDEX(wClass,165)&amp;"",""))</f>
        <v/>
      </c>
      <c r="BD234" t="str">
        <f>IF(BA234="","",IFERROR(INDEX(wKS2,165)+0,""))</f>
        <v/>
      </c>
      <c r="BE234" t="str">
        <f>IF(BA234="","",IFERROR(INDEX(wTests,165)+0,0))</f>
        <v/>
      </c>
      <c r="BF234" t="str">
        <f>IF(BA234="","",IFERROR(INDEX(wMean,165)+0,""))</f>
        <v/>
      </c>
      <c r="BG234" t="str">
        <f>IF(BA234="","",IFERROR(INDEX(wVs,165)+0,""))</f>
        <v/>
      </c>
      <c r="BH234" t="str">
        <f>IF(OR(BA234="",wLatest=""),"",IFERROR(INDEX(wData,165,MATCH(wLatest&amp;CHAR(10)&amp;"Stanine",wHdr,0))+0,""))</f>
        <v/>
      </c>
      <c r="BI234" t="str">
        <f>IF(BA234="","",IF(AND(ISNUMBER(BG234),N(BE234)&gt;=WlMinTests,BG234&lt;=-WlGap),"Below KS2 starting point",IF(AND(NOT(ISNUMBER(BD234)),ISNUMBER(BF234),N(BE234)&gt;=WlMinTests,BF234&lt;=WlLowMean),"Low results, no KS2 data","")))</f>
        <v/>
      </c>
      <c r="BJ234" t="str">
        <f>IF(BI234="","",IF(BI234="Below KS2 starting point",BG234,100+BF234)+ROW()/1000000)</f>
        <v/>
      </c>
    </row>
    <row r="235">
      <c r="H235" t="str">
        <f>IFERROR(INDEX(tblY7[Class],ROWS(H$10:H235))&amp;"","")</f>
        <v/>
      </c>
      <c r="I235" t="str">
        <f>IF(H235="","",IF(COUNTIF(H$10:H235,H235)=1,COUNTIF(H$10:H$609,"&lt;"&amp;H235)+1,""))</f>
        <v/>
      </c>
      <c r="J235" t="str">
        <f>IFERROR(INDEX(tblY8[Class],ROWS(J$10:J235))&amp;"","")</f>
        <v/>
      </c>
      <c r="K235" t="str">
        <f>IF(J235="","",IF(COUNTIF(J$10:J235,J235)=1,COUNTIF(J$10:J$609,"&lt;"&amp;J235)+1,""))</f>
        <v/>
      </c>
      <c r="L235" t="str">
        <f>IFERROR(INDEX(tblY9[Class],ROWS(L$10:L235))&amp;"","")</f>
        <v/>
      </c>
      <c r="M235" t="str">
        <f>IF(L235="","",IF(COUNTIF(L$10:L235,L235)=1,COUNTIF(L$10:L$609,"&lt;"&amp;L235)+1,""))</f>
        <v/>
      </c>
      <c r="N235" t="str">
        <f>IFERROR(INDEX(tblY10[Class],ROWS(N$10:N235))&amp;"","")</f>
        <v/>
      </c>
      <c r="O235" t="str">
        <f>IF(N235="","",IF(COUNTIF(N$10:N235,N235)=1,COUNTIF(N$10:N$609,"&lt;"&amp;N235)+1,""))</f>
        <v/>
      </c>
      <c r="P235" t="str">
        <f>IFERROR(INDEX(tblY11[Class],ROWS(P$10:P235))&amp;"","")</f>
        <v/>
      </c>
      <c r="Q235" t="str">
        <f>IF(P235="","",IF(COUNTIF(P$10:P235,P235)=1,COUNTIF(P$10:P$609,"&lt;"&amp;P235)+1,""))</f>
        <v/>
      </c>
      <c r="BA235" t="str">
        <f>IFERROR(INDEX(wLast,166)&amp;"","")</f>
        <v/>
      </c>
      <c r="BB235" t="str">
        <f>IF(BA235="","",IFERROR(INDEX(wFirst,166)&amp;"",""))</f>
        <v/>
      </c>
      <c r="BC235" t="str">
        <f>IF(BA235="","",IFERROR(INDEX(wClass,166)&amp;"",""))</f>
        <v/>
      </c>
      <c r="BD235" t="str">
        <f>IF(BA235="","",IFERROR(INDEX(wKS2,166)+0,""))</f>
        <v/>
      </c>
      <c r="BE235" t="str">
        <f>IF(BA235="","",IFERROR(INDEX(wTests,166)+0,0))</f>
        <v/>
      </c>
      <c r="BF235" t="str">
        <f>IF(BA235="","",IFERROR(INDEX(wMean,166)+0,""))</f>
        <v/>
      </c>
      <c r="BG235" t="str">
        <f>IF(BA235="","",IFERROR(INDEX(wVs,166)+0,""))</f>
        <v/>
      </c>
      <c r="BH235" t="str">
        <f>IF(OR(BA235="",wLatest=""),"",IFERROR(INDEX(wData,166,MATCH(wLatest&amp;CHAR(10)&amp;"Stanine",wHdr,0))+0,""))</f>
        <v/>
      </c>
      <c r="BI235" t="str">
        <f>IF(BA235="","",IF(AND(ISNUMBER(BG235),N(BE235)&gt;=WlMinTests,BG235&lt;=-WlGap),"Below KS2 starting point",IF(AND(NOT(ISNUMBER(BD235)),ISNUMBER(BF235),N(BE235)&gt;=WlMinTests,BF235&lt;=WlLowMean),"Low results, no KS2 data","")))</f>
        <v/>
      </c>
      <c r="BJ235" t="str">
        <f>IF(BI235="","",IF(BI235="Below KS2 starting point",BG235,100+BF235)+ROW()/1000000)</f>
        <v/>
      </c>
    </row>
    <row r="236">
      <c r="H236" t="str">
        <f>IFERROR(INDEX(tblY7[Class],ROWS(H$10:H236))&amp;"","")</f>
        <v/>
      </c>
      <c r="I236" t="str">
        <f>IF(H236="","",IF(COUNTIF(H$10:H236,H236)=1,COUNTIF(H$10:H$609,"&lt;"&amp;H236)+1,""))</f>
        <v/>
      </c>
      <c r="J236" t="str">
        <f>IFERROR(INDEX(tblY8[Class],ROWS(J$10:J236))&amp;"","")</f>
        <v/>
      </c>
      <c r="K236" t="str">
        <f>IF(J236="","",IF(COUNTIF(J$10:J236,J236)=1,COUNTIF(J$10:J$609,"&lt;"&amp;J236)+1,""))</f>
        <v/>
      </c>
      <c r="L236" t="str">
        <f>IFERROR(INDEX(tblY9[Class],ROWS(L$10:L236))&amp;"","")</f>
        <v/>
      </c>
      <c r="M236" t="str">
        <f>IF(L236="","",IF(COUNTIF(L$10:L236,L236)=1,COUNTIF(L$10:L$609,"&lt;"&amp;L236)+1,""))</f>
        <v/>
      </c>
      <c r="N236" t="str">
        <f>IFERROR(INDEX(tblY10[Class],ROWS(N$10:N236))&amp;"","")</f>
        <v/>
      </c>
      <c r="O236" t="str">
        <f>IF(N236="","",IF(COUNTIF(N$10:N236,N236)=1,COUNTIF(N$10:N$609,"&lt;"&amp;N236)+1,""))</f>
        <v/>
      </c>
      <c r="P236" t="str">
        <f>IFERROR(INDEX(tblY11[Class],ROWS(P$10:P236))&amp;"","")</f>
        <v/>
      </c>
      <c r="Q236" t="str">
        <f>IF(P236="","",IF(COUNTIF(P$10:P236,P236)=1,COUNTIF(P$10:P$609,"&lt;"&amp;P236)+1,""))</f>
        <v/>
      </c>
      <c r="BA236" t="str">
        <f>IFERROR(INDEX(wLast,167)&amp;"","")</f>
        <v/>
      </c>
      <c r="BB236" t="str">
        <f>IF(BA236="","",IFERROR(INDEX(wFirst,167)&amp;"",""))</f>
        <v/>
      </c>
      <c r="BC236" t="str">
        <f>IF(BA236="","",IFERROR(INDEX(wClass,167)&amp;"",""))</f>
        <v/>
      </c>
      <c r="BD236" t="str">
        <f>IF(BA236="","",IFERROR(INDEX(wKS2,167)+0,""))</f>
        <v/>
      </c>
      <c r="BE236" t="str">
        <f>IF(BA236="","",IFERROR(INDEX(wTests,167)+0,0))</f>
        <v/>
      </c>
      <c r="BF236" t="str">
        <f>IF(BA236="","",IFERROR(INDEX(wMean,167)+0,""))</f>
        <v/>
      </c>
      <c r="BG236" t="str">
        <f>IF(BA236="","",IFERROR(INDEX(wVs,167)+0,""))</f>
        <v/>
      </c>
      <c r="BH236" t="str">
        <f>IF(OR(BA236="",wLatest=""),"",IFERROR(INDEX(wData,167,MATCH(wLatest&amp;CHAR(10)&amp;"Stanine",wHdr,0))+0,""))</f>
        <v/>
      </c>
      <c r="BI236" t="str">
        <f>IF(BA236="","",IF(AND(ISNUMBER(BG236),N(BE236)&gt;=WlMinTests,BG236&lt;=-WlGap),"Below KS2 starting point",IF(AND(NOT(ISNUMBER(BD236)),ISNUMBER(BF236),N(BE236)&gt;=WlMinTests,BF236&lt;=WlLowMean),"Low results, no KS2 data","")))</f>
        <v/>
      </c>
      <c r="BJ236" t="str">
        <f>IF(BI236="","",IF(BI236="Below KS2 starting point",BG236,100+BF236)+ROW()/1000000)</f>
        <v/>
      </c>
    </row>
    <row r="237">
      <c r="H237" t="str">
        <f>IFERROR(INDEX(tblY7[Class],ROWS(H$10:H237))&amp;"","")</f>
        <v/>
      </c>
      <c r="I237" t="str">
        <f>IF(H237="","",IF(COUNTIF(H$10:H237,H237)=1,COUNTIF(H$10:H$609,"&lt;"&amp;H237)+1,""))</f>
        <v/>
      </c>
      <c r="J237" t="str">
        <f>IFERROR(INDEX(tblY8[Class],ROWS(J$10:J237))&amp;"","")</f>
        <v/>
      </c>
      <c r="K237" t="str">
        <f>IF(J237="","",IF(COUNTIF(J$10:J237,J237)=1,COUNTIF(J$10:J$609,"&lt;"&amp;J237)+1,""))</f>
        <v/>
      </c>
      <c r="L237" t="str">
        <f>IFERROR(INDEX(tblY9[Class],ROWS(L$10:L237))&amp;"","")</f>
        <v/>
      </c>
      <c r="M237" t="str">
        <f>IF(L237="","",IF(COUNTIF(L$10:L237,L237)=1,COUNTIF(L$10:L$609,"&lt;"&amp;L237)+1,""))</f>
        <v/>
      </c>
      <c r="N237" t="str">
        <f>IFERROR(INDEX(tblY10[Class],ROWS(N$10:N237))&amp;"","")</f>
        <v/>
      </c>
      <c r="O237" t="str">
        <f>IF(N237="","",IF(COUNTIF(N$10:N237,N237)=1,COUNTIF(N$10:N$609,"&lt;"&amp;N237)+1,""))</f>
        <v/>
      </c>
      <c r="P237" t="str">
        <f>IFERROR(INDEX(tblY11[Class],ROWS(P$10:P237))&amp;"","")</f>
        <v/>
      </c>
      <c r="Q237" t="str">
        <f>IF(P237="","",IF(COUNTIF(P$10:P237,P237)=1,COUNTIF(P$10:P$609,"&lt;"&amp;P237)+1,""))</f>
        <v/>
      </c>
      <c r="BA237" t="str">
        <f>IFERROR(INDEX(wLast,168)&amp;"","")</f>
        <v/>
      </c>
      <c r="BB237" t="str">
        <f>IF(BA237="","",IFERROR(INDEX(wFirst,168)&amp;"",""))</f>
        <v/>
      </c>
      <c r="BC237" t="str">
        <f>IF(BA237="","",IFERROR(INDEX(wClass,168)&amp;"",""))</f>
        <v/>
      </c>
      <c r="BD237" t="str">
        <f>IF(BA237="","",IFERROR(INDEX(wKS2,168)+0,""))</f>
        <v/>
      </c>
      <c r="BE237" t="str">
        <f>IF(BA237="","",IFERROR(INDEX(wTests,168)+0,0))</f>
        <v/>
      </c>
      <c r="BF237" t="str">
        <f>IF(BA237="","",IFERROR(INDEX(wMean,168)+0,""))</f>
        <v/>
      </c>
      <c r="BG237" t="str">
        <f>IF(BA237="","",IFERROR(INDEX(wVs,168)+0,""))</f>
        <v/>
      </c>
      <c r="BH237" t="str">
        <f>IF(OR(BA237="",wLatest=""),"",IFERROR(INDEX(wData,168,MATCH(wLatest&amp;CHAR(10)&amp;"Stanine",wHdr,0))+0,""))</f>
        <v/>
      </c>
      <c r="BI237" t="str">
        <f>IF(BA237="","",IF(AND(ISNUMBER(BG237),N(BE237)&gt;=WlMinTests,BG237&lt;=-WlGap),"Below KS2 starting point",IF(AND(NOT(ISNUMBER(BD237)),ISNUMBER(BF237),N(BE237)&gt;=WlMinTests,BF237&lt;=WlLowMean),"Low results, no KS2 data","")))</f>
        <v/>
      </c>
      <c r="BJ237" t="str">
        <f>IF(BI237="","",IF(BI237="Below KS2 starting point",BG237,100+BF237)+ROW()/1000000)</f>
        <v/>
      </c>
    </row>
    <row r="238">
      <c r="H238" t="str">
        <f>IFERROR(INDEX(tblY7[Class],ROWS(H$10:H238))&amp;"","")</f>
        <v/>
      </c>
      <c r="I238" t="str">
        <f>IF(H238="","",IF(COUNTIF(H$10:H238,H238)=1,COUNTIF(H$10:H$609,"&lt;"&amp;H238)+1,""))</f>
        <v/>
      </c>
      <c r="J238" t="str">
        <f>IFERROR(INDEX(tblY8[Class],ROWS(J$10:J238))&amp;"","")</f>
        <v/>
      </c>
      <c r="K238" t="str">
        <f>IF(J238="","",IF(COUNTIF(J$10:J238,J238)=1,COUNTIF(J$10:J$609,"&lt;"&amp;J238)+1,""))</f>
        <v/>
      </c>
      <c r="L238" t="str">
        <f>IFERROR(INDEX(tblY9[Class],ROWS(L$10:L238))&amp;"","")</f>
        <v/>
      </c>
      <c r="M238" t="str">
        <f>IF(L238="","",IF(COUNTIF(L$10:L238,L238)=1,COUNTIF(L$10:L$609,"&lt;"&amp;L238)+1,""))</f>
        <v/>
      </c>
      <c r="N238" t="str">
        <f>IFERROR(INDEX(tblY10[Class],ROWS(N$10:N238))&amp;"","")</f>
        <v/>
      </c>
      <c r="O238" t="str">
        <f>IF(N238="","",IF(COUNTIF(N$10:N238,N238)=1,COUNTIF(N$10:N$609,"&lt;"&amp;N238)+1,""))</f>
        <v/>
      </c>
      <c r="P238" t="str">
        <f>IFERROR(INDEX(tblY11[Class],ROWS(P$10:P238))&amp;"","")</f>
        <v/>
      </c>
      <c r="Q238" t="str">
        <f>IF(P238="","",IF(COUNTIF(P$10:P238,P238)=1,COUNTIF(P$10:P$609,"&lt;"&amp;P238)+1,""))</f>
        <v/>
      </c>
      <c r="BA238" t="str">
        <f>IFERROR(INDEX(wLast,169)&amp;"","")</f>
        <v/>
      </c>
      <c r="BB238" t="str">
        <f>IF(BA238="","",IFERROR(INDEX(wFirst,169)&amp;"",""))</f>
        <v/>
      </c>
      <c r="BC238" t="str">
        <f>IF(BA238="","",IFERROR(INDEX(wClass,169)&amp;"",""))</f>
        <v/>
      </c>
      <c r="BD238" t="str">
        <f>IF(BA238="","",IFERROR(INDEX(wKS2,169)+0,""))</f>
        <v/>
      </c>
      <c r="BE238" t="str">
        <f>IF(BA238="","",IFERROR(INDEX(wTests,169)+0,0))</f>
        <v/>
      </c>
      <c r="BF238" t="str">
        <f>IF(BA238="","",IFERROR(INDEX(wMean,169)+0,""))</f>
        <v/>
      </c>
      <c r="BG238" t="str">
        <f>IF(BA238="","",IFERROR(INDEX(wVs,169)+0,""))</f>
        <v/>
      </c>
      <c r="BH238" t="str">
        <f>IF(OR(BA238="",wLatest=""),"",IFERROR(INDEX(wData,169,MATCH(wLatest&amp;CHAR(10)&amp;"Stanine",wHdr,0))+0,""))</f>
        <v/>
      </c>
      <c r="BI238" t="str">
        <f>IF(BA238="","",IF(AND(ISNUMBER(BG238),N(BE238)&gt;=WlMinTests,BG238&lt;=-WlGap),"Below KS2 starting point",IF(AND(NOT(ISNUMBER(BD238)),ISNUMBER(BF238),N(BE238)&gt;=WlMinTests,BF238&lt;=WlLowMean),"Low results, no KS2 data","")))</f>
        <v/>
      </c>
      <c r="BJ238" t="str">
        <f>IF(BI238="","",IF(BI238="Below KS2 starting point",BG238,100+BF238)+ROW()/1000000)</f>
        <v/>
      </c>
    </row>
    <row r="239">
      <c r="H239" t="str">
        <f>IFERROR(INDEX(tblY7[Class],ROWS(H$10:H239))&amp;"","")</f>
        <v/>
      </c>
      <c r="I239" t="str">
        <f>IF(H239="","",IF(COUNTIF(H$10:H239,H239)=1,COUNTIF(H$10:H$609,"&lt;"&amp;H239)+1,""))</f>
        <v/>
      </c>
      <c r="J239" t="str">
        <f>IFERROR(INDEX(tblY8[Class],ROWS(J$10:J239))&amp;"","")</f>
        <v/>
      </c>
      <c r="K239" t="str">
        <f>IF(J239="","",IF(COUNTIF(J$10:J239,J239)=1,COUNTIF(J$10:J$609,"&lt;"&amp;J239)+1,""))</f>
        <v/>
      </c>
      <c r="L239" t="str">
        <f>IFERROR(INDEX(tblY9[Class],ROWS(L$10:L239))&amp;"","")</f>
        <v/>
      </c>
      <c r="M239" t="str">
        <f>IF(L239="","",IF(COUNTIF(L$10:L239,L239)=1,COUNTIF(L$10:L$609,"&lt;"&amp;L239)+1,""))</f>
        <v/>
      </c>
      <c r="N239" t="str">
        <f>IFERROR(INDEX(tblY10[Class],ROWS(N$10:N239))&amp;"","")</f>
        <v/>
      </c>
      <c r="O239" t="str">
        <f>IF(N239="","",IF(COUNTIF(N$10:N239,N239)=1,COUNTIF(N$10:N$609,"&lt;"&amp;N239)+1,""))</f>
        <v/>
      </c>
      <c r="P239" t="str">
        <f>IFERROR(INDEX(tblY11[Class],ROWS(P$10:P239))&amp;"","")</f>
        <v/>
      </c>
      <c r="Q239" t="str">
        <f>IF(P239="","",IF(COUNTIF(P$10:P239,P239)=1,COUNTIF(P$10:P$609,"&lt;"&amp;P239)+1,""))</f>
        <v/>
      </c>
      <c r="BA239" t="str">
        <f>IFERROR(INDEX(wLast,170)&amp;"","")</f>
        <v/>
      </c>
      <c r="BB239" t="str">
        <f>IF(BA239="","",IFERROR(INDEX(wFirst,170)&amp;"",""))</f>
        <v/>
      </c>
      <c r="BC239" t="str">
        <f>IF(BA239="","",IFERROR(INDEX(wClass,170)&amp;"",""))</f>
        <v/>
      </c>
      <c r="BD239" t="str">
        <f>IF(BA239="","",IFERROR(INDEX(wKS2,170)+0,""))</f>
        <v/>
      </c>
      <c r="BE239" t="str">
        <f>IF(BA239="","",IFERROR(INDEX(wTests,170)+0,0))</f>
        <v/>
      </c>
      <c r="BF239" t="str">
        <f>IF(BA239="","",IFERROR(INDEX(wMean,170)+0,""))</f>
        <v/>
      </c>
      <c r="BG239" t="str">
        <f>IF(BA239="","",IFERROR(INDEX(wVs,170)+0,""))</f>
        <v/>
      </c>
      <c r="BH239" t="str">
        <f>IF(OR(BA239="",wLatest=""),"",IFERROR(INDEX(wData,170,MATCH(wLatest&amp;CHAR(10)&amp;"Stanine",wHdr,0))+0,""))</f>
        <v/>
      </c>
      <c r="BI239" t="str">
        <f>IF(BA239="","",IF(AND(ISNUMBER(BG239),N(BE239)&gt;=WlMinTests,BG239&lt;=-WlGap),"Below KS2 starting point",IF(AND(NOT(ISNUMBER(BD239)),ISNUMBER(BF239),N(BE239)&gt;=WlMinTests,BF239&lt;=WlLowMean),"Low results, no KS2 data","")))</f>
        <v/>
      </c>
      <c r="BJ239" t="str">
        <f>IF(BI239="","",IF(BI239="Below KS2 starting point",BG239,100+BF239)+ROW()/1000000)</f>
        <v/>
      </c>
    </row>
    <row r="240">
      <c r="H240" t="str">
        <f>IFERROR(INDEX(tblY7[Class],ROWS(H$10:H240))&amp;"","")</f>
        <v/>
      </c>
      <c r="I240" t="str">
        <f>IF(H240="","",IF(COUNTIF(H$10:H240,H240)=1,COUNTIF(H$10:H$609,"&lt;"&amp;H240)+1,""))</f>
        <v/>
      </c>
      <c r="J240" t="str">
        <f>IFERROR(INDEX(tblY8[Class],ROWS(J$10:J240))&amp;"","")</f>
        <v/>
      </c>
      <c r="K240" t="str">
        <f>IF(J240="","",IF(COUNTIF(J$10:J240,J240)=1,COUNTIF(J$10:J$609,"&lt;"&amp;J240)+1,""))</f>
        <v/>
      </c>
      <c r="L240" t="str">
        <f>IFERROR(INDEX(tblY9[Class],ROWS(L$10:L240))&amp;"","")</f>
        <v/>
      </c>
      <c r="M240" t="str">
        <f>IF(L240="","",IF(COUNTIF(L$10:L240,L240)=1,COUNTIF(L$10:L$609,"&lt;"&amp;L240)+1,""))</f>
        <v/>
      </c>
      <c r="N240" t="str">
        <f>IFERROR(INDEX(tblY10[Class],ROWS(N$10:N240))&amp;"","")</f>
        <v/>
      </c>
      <c r="O240" t="str">
        <f>IF(N240="","",IF(COUNTIF(N$10:N240,N240)=1,COUNTIF(N$10:N$609,"&lt;"&amp;N240)+1,""))</f>
        <v/>
      </c>
      <c r="P240" t="str">
        <f>IFERROR(INDEX(tblY11[Class],ROWS(P$10:P240))&amp;"","")</f>
        <v/>
      </c>
      <c r="Q240" t="str">
        <f>IF(P240="","",IF(COUNTIF(P$10:P240,P240)=1,COUNTIF(P$10:P$609,"&lt;"&amp;P240)+1,""))</f>
        <v/>
      </c>
      <c r="BA240" t="str">
        <f>IFERROR(INDEX(wLast,171)&amp;"","")</f>
        <v/>
      </c>
      <c r="BB240" t="str">
        <f>IF(BA240="","",IFERROR(INDEX(wFirst,171)&amp;"",""))</f>
        <v/>
      </c>
      <c r="BC240" t="str">
        <f>IF(BA240="","",IFERROR(INDEX(wClass,171)&amp;"",""))</f>
        <v/>
      </c>
      <c r="BD240" t="str">
        <f>IF(BA240="","",IFERROR(INDEX(wKS2,171)+0,""))</f>
        <v/>
      </c>
      <c r="BE240" t="str">
        <f>IF(BA240="","",IFERROR(INDEX(wTests,171)+0,0))</f>
        <v/>
      </c>
      <c r="BF240" t="str">
        <f>IF(BA240="","",IFERROR(INDEX(wMean,171)+0,""))</f>
        <v/>
      </c>
      <c r="BG240" t="str">
        <f>IF(BA240="","",IFERROR(INDEX(wVs,171)+0,""))</f>
        <v/>
      </c>
      <c r="BH240" t="str">
        <f>IF(OR(BA240="",wLatest=""),"",IFERROR(INDEX(wData,171,MATCH(wLatest&amp;CHAR(10)&amp;"Stanine",wHdr,0))+0,""))</f>
        <v/>
      </c>
      <c r="BI240" t="str">
        <f>IF(BA240="","",IF(AND(ISNUMBER(BG240),N(BE240)&gt;=WlMinTests,BG240&lt;=-WlGap),"Below KS2 starting point",IF(AND(NOT(ISNUMBER(BD240)),ISNUMBER(BF240),N(BE240)&gt;=WlMinTests,BF240&lt;=WlLowMean),"Low results, no KS2 data","")))</f>
        <v/>
      </c>
      <c r="BJ240" t="str">
        <f>IF(BI240="","",IF(BI240="Below KS2 starting point",BG240,100+BF240)+ROW()/1000000)</f>
        <v/>
      </c>
    </row>
    <row r="241">
      <c r="H241" t="str">
        <f>IFERROR(INDEX(tblY7[Class],ROWS(H$10:H241))&amp;"","")</f>
        <v/>
      </c>
      <c r="I241" t="str">
        <f>IF(H241="","",IF(COUNTIF(H$10:H241,H241)=1,COUNTIF(H$10:H$609,"&lt;"&amp;H241)+1,""))</f>
        <v/>
      </c>
      <c r="J241" t="str">
        <f>IFERROR(INDEX(tblY8[Class],ROWS(J$10:J241))&amp;"","")</f>
        <v/>
      </c>
      <c r="K241" t="str">
        <f>IF(J241="","",IF(COUNTIF(J$10:J241,J241)=1,COUNTIF(J$10:J$609,"&lt;"&amp;J241)+1,""))</f>
        <v/>
      </c>
      <c r="L241" t="str">
        <f>IFERROR(INDEX(tblY9[Class],ROWS(L$10:L241))&amp;"","")</f>
        <v/>
      </c>
      <c r="M241" t="str">
        <f>IF(L241="","",IF(COUNTIF(L$10:L241,L241)=1,COUNTIF(L$10:L$609,"&lt;"&amp;L241)+1,""))</f>
        <v/>
      </c>
      <c r="N241" t="str">
        <f>IFERROR(INDEX(tblY10[Class],ROWS(N$10:N241))&amp;"","")</f>
        <v/>
      </c>
      <c r="O241" t="str">
        <f>IF(N241="","",IF(COUNTIF(N$10:N241,N241)=1,COUNTIF(N$10:N$609,"&lt;"&amp;N241)+1,""))</f>
        <v/>
      </c>
      <c r="P241" t="str">
        <f>IFERROR(INDEX(tblY11[Class],ROWS(P$10:P241))&amp;"","")</f>
        <v/>
      </c>
      <c r="Q241" t="str">
        <f>IF(P241="","",IF(COUNTIF(P$10:P241,P241)=1,COUNTIF(P$10:P$609,"&lt;"&amp;P241)+1,""))</f>
        <v/>
      </c>
      <c r="BA241" t="str">
        <f>IFERROR(INDEX(wLast,172)&amp;"","")</f>
        <v/>
      </c>
      <c r="BB241" t="str">
        <f>IF(BA241="","",IFERROR(INDEX(wFirst,172)&amp;"",""))</f>
        <v/>
      </c>
      <c r="BC241" t="str">
        <f>IF(BA241="","",IFERROR(INDEX(wClass,172)&amp;"",""))</f>
        <v/>
      </c>
      <c r="BD241" t="str">
        <f>IF(BA241="","",IFERROR(INDEX(wKS2,172)+0,""))</f>
        <v/>
      </c>
      <c r="BE241" t="str">
        <f>IF(BA241="","",IFERROR(INDEX(wTests,172)+0,0))</f>
        <v/>
      </c>
      <c r="BF241" t="str">
        <f>IF(BA241="","",IFERROR(INDEX(wMean,172)+0,""))</f>
        <v/>
      </c>
      <c r="BG241" t="str">
        <f>IF(BA241="","",IFERROR(INDEX(wVs,172)+0,""))</f>
        <v/>
      </c>
      <c r="BH241" t="str">
        <f>IF(OR(BA241="",wLatest=""),"",IFERROR(INDEX(wData,172,MATCH(wLatest&amp;CHAR(10)&amp;"Stanine",wHdr,0))+0,""))</f>
        <v/>
      </c>
      <c r="BI241" t="str">
        <f>IF(BA241="","",IF(AND(ISNUMBER(BG241),N(BE241)&gt;=WlMinTests,BG241&lt;=-WlGap),"Below KS2 starting point",IF(AND(NOT(ISNUMBER(BD241)),ISNUMBER(BF241),N(BE241)&gt;=WlMinTests,BF241&lt;=WlLowMean),"Low results, no KS2 data","")))</f>
        <v/>
      </c>
      <c r="BJ241" t="str">
        <f>IF(BI241="","",IF(BI241="Below KS2 starting point",BG241,100+BF241)+ROW()/1000000)</f>
        <v/>
      </c>
    </row>
    <row r="242">
      <c r="H242" t="str">
        <f>IFERROR(INDEX(tblY7[Class],ROWS(H$10:H242))&amp;"","")</f>
        <v/>
      </c>
      <c r="I242" t="str">
        <f>IF(H242="","",IF(COUNTIF(H$10:H242,H242)=1,COUNTIF(H$10:H$609,"&lt;"&amp;H242)+1,""))</f>
        <v/>
      </c>
      <c r="J242" t="str">
        <f>IFERROR(INDEX(tblY8[Class],ROWS(J$10:J242))&amp;"","")</f>
        <v/>
      </c>
      <c r="K242" t="str">
        <f>IF(J242="","",IF(COUNTIF(J$10:J242,J242)=1,COUNTIF(J$10:J$609,"&lt;"&amp;J242)+1,""))</f>
        <v/>
      </c>
      <c r="L242" t="str">
        <f>IFERROR(INDEX(tblY9[Class],ROWS(L$10:L242))&amp;"","")</f>
        <v/>
      </c>
      <c r="M242" t="str">
        <f>IF(L242="","",IF(COUNTIF(L$10:L242,L242)=1,COUNTIF(L$10:L$609,"&lt;"&amp;L242)+1,""))</f>
        <v/>
      </c>
      <c r="N242" t="str">
        <f>IFERROR(INDEX(tblY10[Class],ROWS(N$10:N242))&amp;"","")</f>
        <v/>
      </c>
      <c r="O242" t="str">
        <f>IF(N242="","",IF(COUNTIF(N$10:N242,N242)=1,COUNTIF(N$10:N$609,"&lt;"&amp;N242)+1,""))</f>
        <v/>
      </c>
      <c r="P242" t="str">
        <f>IFERROR(INDEX(tblY11[Class],ROWS(P$10:P242))&amp;"","")</f>
        <v/>
      </c>
      <c r="Q242" t="str">
        <f>IF(P242="","",IF(COUNTIF(P$10:P242,P242)=1,COUNTIF(P$10:P$609,"&lt;"&amp;P242)+1,""))</f>
        <v/>
      </c>
      <c r="BA242" t="str">
        <f>IFERROR(INDEX(wLast,173)&amp;"","")</f>
        <v/>
      </c>
      <c r="BB242" t="str">
        <f>IF(BA242="","",IFERROR(INDEX(wFirst,173)&amp;"",""))</f>
        <v/>
      </c>
      <c r="BC242" t="str">
        <f>IF(BA242="","",IFERROR(INDEX(wClass,173)&amp;"",""))</f>
        <v/>
      </c>
      <c r="BD242" t="str">
        <f>IF(BA242="","",IFERROR(INDEX(wKS2,173)+0,""))</f>
        <v/>
      </c>
      <c r="BE242" t="str">
        <f>IF(BA242="","",IFERROR(INDEX(wTests,173)+0,0))</f>
        <v/>
      </c>
      <c r="BF242" t="str">
        <f>IF(BA242="","",IFERROR(INDEX(wMean,173)+0,""))</f>
        <v/>
      </c>
      <c r="BG242" t="str">
        <f>IF(BA242="","",IFERROR(INDEX(wVs,173)+0,""))</f>
        <v/>
      </c>
      <c r="BH242" t="str">
        <f>IF(OR(BA242="",wLatest=""),"",IFERROR(INDEX(wData,173,MATCH(wLatest&amp;CHAR(10)&amp;"Stanine",wHdr,0))+0,""))</f>
        <v/>
      </c>
      <c r="BI242" t="str">
        <f>IF(BA242="","",IF(AND(ISNUMBER(BG242),N(BE242)&gt;=WlMinTests,BG242&lt;=-WlGap),"Below KS2 starting point",IF(AND(NOT(ISNUMBER(BD242)),ISNUMBER(BF242),N(BE242)&gt;=WlMinTests,BF242&lt;=WlLowMean),"Low results, no KS2 data","")))</f>
        <v/>
      </c>
      <c r="BJ242" t="str">
        <f>IF(BI242="","",IF(BI242="Below KS2 starting point",BG242,100+BF242)+ROW()/1000000)</f>
        <v/>
      </c>
    </row>
    <row r="243">
      <c r="H243" t="str">
        <f>IFERROR(INDEX(tblY7[Class],ROWS(H$10:H243))&amp;"","")</f>
        <v/>
      </c>
      <c r="I243" t="str">
        <f>IF(H243="","",IF(COUNTIF(H$10:H243,H243)=1,COUNTIF(H$10:H$609,"&lt;"&amp;H243)+1,""))</f>
        <v/>
      </c>
      <c r="J243" t="str">
        <f>IFERROR(INDEX(tblY8[Class],ROWS(J$10:J243))&amp;"","")</f>
        <v/>
      </c>
      <c r="K243" t="str">
        <f>IF(J243="","",IF(COUNTIF(J$10:J243,J243)=1,COUNTIF(J$10:J$609,"&lt;"&amp;J243)+1,""))</f>
        <v/>
      </c>
      <c r="L243" t="str">
        <f>IFERROR(INDEX(tblY9[Class],ROWS(L$10:L243))&amp;"","")</f>
        <v/>
      </c>
      <c r="M243" t="str">
        <f>IF(L243="","",IF(COUNTIF(L$10:L243,L243)=1,COUNTIF(L$10:L$609,"&lt;"&amp;L243)+1,""))</f>
        <v/>
      </c>
      <c r="N243" t="str">
        <f>IFERROR(INDEX(tblY10[Class],ROWS(N$10:N243))&amp;"","")</f>
        <v/>
      </c>
      <c r="O243" t="str">
        <f>IF(N243="","",IF(COUNTIF(N$10:N243,N243)=1,COUNTIF(N$10:N$609,"&lt;"&amp;N243)+1,""))</f>
        <v/>
      </c>
      <c r="P243" t="str">
        <f>IFERROR(INDEX(tblY11[Class],ROWS(P$10:P243))&amp;"","")</f>
        <v/>
      </c>
      <c r="Q243" t="str">
        <f>IF(P243="","",IF(COUNTIF(P$10:P243,P243)=1,COUNTIF(P$10:P$609,"&lt;"&amp;P243)+1,""))</f>
        <v/>
      </c>
      <c r="BA243" t="str">
        <f>IFERROR(INDEX(wLast,174)&amp;"","")</f>
        <v/>
      </c>
      <c r="BB243" t="str">
        <f>IF(BA243="","",IFERROR(INDEX(wFirst,174)&amp;"",""))</f>
        <v/>
      </c>
      <c r="BC243" t="str">
        <f>IF(BA243="","",IFERROR(INDEX(wClass,174)&amp;"",""))</f>
        <v/>
      </c>
      <c r="BD243" t="str">
        <f>IF(BA243="","",IFERROR(INDEX(wKS2,174)+0,""))</f>
        <v/>
      </c>
      <c r="BE243" t="str">
        <f>IF(BA243="","",IFERROR(INDEX(wTests,174)+0,0))</f>
        <v/>
      </c>
      <c r="BF243" t="str">
        <f>IF(BA243="","",IFERROR(INDEX(wMean,174)+0,""))</f>
        <v/>
      </c>
      <c r="BG243" t="str">
        <f>IF(BA243="","",IFERROR(INDEX(wVs,174)+0,""))</f>
        <v/>
      </c>
      <c r="BH243" t="str">
        <f>IF(OR(BA243="",wLatest=""),"",IFERROR(INDEX(wData,174,MATCH(wLatest&amp;CHAR(10)&amp;"Stanine",wHdr,0))+0,""))</f>
        <v/>
      </c>
      <c r="BI243" t="str">
        <f>IF(BA243="","",IF(AND(ISNUMBER(BG243),N(BE243)&gt;=WlMinTests,BG243&lt;=-WlGap),"Below KS2 starting point",IF(AND(NOT(ISNUMBER(BD243)),ISNUMBER(BF243),N(BE243)&gt;=WlMinTests,BF243&lt;=WlLowMean),"Low results, no KS2 data","")))</f>
        <v/>
      </c>
      <c r="BJ243" t="str">
        <f>IF(BI243="","",IF(BI243="Below KS2 starting point",BG243,100+BF243)+ROW()/1000000)</f>
        <v/>
      </c>
    </row>
    <row r="244">
      <c r="H244" t="str">
        <f>IFERROR(INDEX(tblY7[Class],ROWS(H$10:H244))&amp;"","")</f>
        <v/>
      </c>
      <c r="I244" t="str">
        <f>IF(H244="","",IF(COUNTIF(H$10:H244,H244)=1,COUNTIF(H$10:H$609,"&lt;"&amp;H244)+1,""))</f>
        <v/>
      </c>
      <c r="J244" t="str">
        <f>IFERROR(INDEX(tblY8[Class],ROWS(J$10:J244))&amp;"","")</f>
        <v/>
      </c>
      <c r="K244" t="str">
        <f>IF(J244="","",IF(COUNTIF(J$10:J244,J244)=1,COUNTIF(J$10:J$609,"&lt;"&amp;J244)+1,""))</f>
        <v/>
      </c>
      <c r="L244" t="str">
        <f>IFERROR(INDEX(tblY9[Class],ROWS(L$10:L244))&amp;"","")</f>
        <v/>
      </c>
      <c r="M244" t="str">
        <f>IF(L244="","",IF(COUNTIF(L$10:L244,L244)=1,COUNTIF(L$10:L$609,"&lt;"&amp;L244)+1,""))</f>
        <v/>
      </c>
      <c r="N244" t="str">
        <f>IFERROR(INDEX(tblY10[Class],ROWS(N$10:N244))&amp;"","")</f>
        <v/>
      </c>
      <c r="O244" t="str">
        <f>IF(N244="","",IF(COUNTIF(N$10:N244,N244)=1,COUNTIF(N$10:N$609,"&lt;"&amp;N244)+1,""))</f>
        <v/>
      </c>
      <c r="P244" t="str">
        <f>IFERROR(INDEX(tblY11[Class],ROWS(P$10:P244))&amp;"","")</f>
        <v/>
      </c>
      <c r="Q244" t="str">
        <f>IF(P244="","",IF(COUNTIF(P$10:P244,P244)=1,COUNTIF(P$10:P$609,"&lt;"&amp;P244)+1,""))</f>
        <v/>
      </c>
      <c r="BA244" t="str">
        <f>IFERROR(INDEX(wLast,175)&amp;"","")</f>
        <v/>
      </c>
      <c r="BB244" t="str">
        <f>IF(BA244="","",IFERROR(INDEX(wFirst,175)&amp;"",""))</f>
        <v/>
      </c>
      <c r="BC244" t="str">
        <f>IF(BA244="","",IFERROR(INDEX(wClass,175)&amp;"",""))</f>
        <v/>
      </c>
      <c r="BD244" t="str">
        <f>IF(BA244="","",IFERROR(INDEX(wKS2,175)+0,""))</f>
        <v/>
      </c>
      <c r="BE244" t="str">
        <f>IF(BA244="","",IFERROR(INDEX(wTests,175)+0,0))</f>
        <v/>
      </c>
      <c r="BF244" t="str">
        <f>IF(BA244="","",IFERROR(INDEX(wMean,175)+0,""))</f>
        <v/>
      </c>
      <c r="BG244" t="str">
        <f>IF(BA244="","",IFERROR(INDEX(wVs,175)+0,""))</f>
        <v/>
      </c>
      <c r="BH244" t="str">
        <f>IF(OR(BA244="",wLatest=""),"",IFERROR(INDEX(wData,175,MATCH(wLatest&amp;CHAR(10)&amp;"Stanine",wHdr,0))+0,""))</f>
        <v/>
      </c>
      <c r="BI244" t="str">
        <f>IF(BA244="","",IF(AND(ISNUMBER(BG244),N(BE244)&gt;=WlMinTests,BG244&lt;=-WlGap),"Below KS2 starting point",IF(AND(NOT(ISNUMBER(BD244)),ISNUMBER(BF244),N(BE244)&gt;=WlMinTests,BF244&lt;=WlLowMean),"Low results, no KS2 data","")))</f>
        <v/>
      </c>
      <c r="BJ244" t="str">
        <f>IF(BI244="","",IF(BI244="Below KS2 starting point",BG244,100+BF244)+ROW()/1000000)</f>
        <v/>
      </c>
    </row>
    <row r="245">
      <c r="H245" t="str">
        <f>IFERROR(INDEX(tblY7[Class],ROWS(H$10:H245))&amp;"","")</f>
        <v/>
      </c>
      <c r="I245" t="str">
        <f>IF(H245="","",IF(COUNTIF(H$10:H245,H245)=1,COUNTIF(H$10:H$609,"&lt;"&amp;H245)+1,""))</f>
        <v/>
      </c>
      <c r="J245" t="str">
        <f>IFERROR(INDEX(tblY8[Class],ROWS(J$10:J245))&amp;"","")</f>
        <v/>
      </c>
      <c r="K245" t="str">
        <f>IF(J245="","",IF(COUNTIF(J$10:J245,J245)=1,COUNTIF(J$10:J$609,"&lt;"&amp;J245)+1,""))</f>
        <v/>
      </c>
      <c r="L245" t="str">
        <f>IFERROR(INDEX(tblY9[Class],ROWS(L$10:L245))&amp;"","")</f>
        <v/>
      </c>
      <c r="M245" t="str">
        <f>IF(L245="","",IF(COUNTIF(L$10:L245,L245)=1,COUNTIF(L$10:L$609,"&lt;"&amp;L245)+1,""))</f>
        <v/>
      </c>
      <c r="N245" t="str">
        <f>IFERROR(INDEX(tblY10[Class],ROWS(N$10:N245))&amp;"","")</f>
        <v/>
      </c>
      <c r="O245" t="str">
        <f>IF(N245="","",IF(COUNTIF(N$10:N245,N245)=1,COUNTIF(N$10:N$609,"&lt;"&amp;N245)+1,""))</f>
        <v/>
      </c>
      <c r="P245" t="str">
        <f>IFERROR(INDEX(tblY11[Class],ROWS(P$10:P245))&amp;"","")</f>
        <v/>
      </c>
      <c r="Q245" t="str">
        <f>IF(P245="","",IF(COUNTIF(P$10:P245,P245)=1,COUNTIF(P$10:P$609,"&lt;"&amp;P245)+1,""))</f>
        <v/>
      </c>
      <c r="BA245" t="str">
        <f>IFERROR(INDEX(wLast,176)&amp;"","")</f>
        <v/>
      </c>
      <c r="BB245" t="str">
        <f>IF(BA245="","",IFERROR(INDEX(wFirst,176)&amp;"",""))</f>
        <v/>
      </c>
      <c r="BC245" t="str">
        <f>IF(BA245="","",IFERROR(INDEX(wClass,176)&amp;"",""))</f>
        <v/>
      </c>
      <c r="BD245" t="str">
        <f>IF(BA245="","",IFERROR(INDEX(wKS2,176)+0,""))</f>
        <v/>
      </c>
      <c r="BE245" t="str">
        <f>IF(BA245="","",IFERROR(INDEX(wTests,176)+0,0))</f>
        <v/>
      </c>
      <c r="BF245" t="str">
        <f>IF(BA245="","",IFERROR(INDEX(wMean,176)+0,""))</f>
        <v/>
      </c>
      <c r="BG245" t="str">
        <f>IF(BA245="","",IFERROR(INDEX(wVs,176)+0,""))</f>
        <v/>
      </c>
      <c r="BH245" t="str">
        <f>IF(OR(BA245="",wLatest=""),"",IFERROR(INDEX(wData,176,MATCH(wLatest&amp;CHAR(10)&amp;"Stanine",wHdr,0))+0,""))</f>
        <v/>
      </c>
      <c r="BI245" t="str">
        <f>IF(BA245="","",IF(AND(ISNUMBER(BG245),N(BE245)&gt;=WlMinTests,BG245&lt;=-WlGap),"Below KS2 starting point",IF(AND(NOT(ISNUMBER(BD245)),ISNUMBER(BF245),N(BE245)&gt;=WlMinTests,BF245&lt;=WlLowMean),"Low results, no KS2 data","")))</f>
        <v/>
      </c>
      <c r="BJ245" t="str">
        <f>IF(BI245="","",IF(BI245="Below KS2 starting point",BG245,100+BF245)+ROW()/1000000)</f>
        <v/>
      </c>
    </row>
    <row r="246">
      <c r="H246" t="str">
        <f>IFERROR(INDEX(tblY7[Class],ROWS(H$10:H246))&amp;"","")</f>
        <v/>
      </c>
      <c r="I246" t="str">
        <f>IF(H246="","",IF(COUNTIF(H$10:H246,H246)=1,COUNTIF(H$10:H$609,"&lt;"&amp;H246)+1,""))</f>
        <v/>
      </c>
      <c r="J246" t="str">
        <f>IFERROR(INDEX(tblY8[Class],ROWS(J$10:J246))&amp;"","")</f>
        <v/>
      </c>
      <c r="K246" t="str">
        <f>IF(J246="","",IF(COUNTIF(J$10:J246,J246)=1,COUNTIF(J$10:J$609,"&lt;"&amp;J246)+1,""))</f>
        <v/>
      </c>
      <c r="L246" t="str">
        <f>IFERROR(INDEX(tblY9[Class],ROWS(L$10:L246))&amp;"","")</f>
        <v/>
      </c>
      <c r="M246" t="str">
        <f>IF(L246="","",IF(COUNTIF(L$10:L246,L246)=1,COUNTIF(L$10:L$609,"&lt;"&amp;L246)+1,""))</f>
        <v/>
      </c>
      <c r="N246" t="str">
        <f>IFERROR(INDEX(tblY10[Class],ROWS(N$10:N246))&amp;"","")</f>
        <v/>
      </c>
      <c r="O246" t="str">
        <f>IF(N246="","",IF(COUNTIF(N$10:N246,N246)=1,COUNTIF(N$10:N$609,"&lt;"&amp;N246)+1,""))</f>
        <v/>
      </c>
      <c r="P246" t="str">
        <f>IFERROR(INDEX(tblY11[Class],ROWS(P$10:P246))&amp;"","")</f>
        <v/>
      </c>
      <c r="Q246" t="str">
        <f>IF(P246="","",IF(COUNTIF(P$10:P246,P246)=1,COUNTIF(P$10:P$609,"&lt;"&amp;P246)+1,""))</f>
        <v/>
      </c>
      <c r="BA246" t="str">
        <f>IFERROR(INDEX(wLast,177)&amp;"","")</f>
        <v/>
      </c>
      <c r="BB246" t="str">
        <f>IF(BA246="","",IFERROR(INDEX(wFirst,177)&amp;"",""))</f>
        <v/>
      </c>
      <c r="BC246" t="str">
        <f>IF(BA246="","",IFERROR(INDEX(wClass,177)&amp;"",""))</f>
        <v/>
      </c>
      <c r="BD246" t="str">
        <f>IF(BA246="","",IFERROR(INDEX(wKS2,177)+0,""))</f>
        <v/>
      </c>
      <c r="BE246" t="str">
        <f>IF(BA246="","",IFERROR(INDEX(wTests,177)+0,0))</f>
        <v/>
      </c>
      <c r="BF246" t="str">
        <f>IF(BA246="","",IFERROR(INDEX(wMean,177)+0,""))</f>
        <v/>
      </c>
      <c r="BG246" t="str">
        <f>IF(BA246="","",IFERROR(INDEX(wVs,177)+0,""))</f>
        <v/>
      </c>
      <c r="BH246" t="str">
        <f>IF(OR(BA246="",wLatest=""),"",IFERROR(INDEX(wData,177,MATCH(wLatest&amp;CHAR(10)&amp;"Stanine",wHdr,0))+0,""))</f>
        <v/>
      </c>
      <c r="BI246" t="str">
        <f>IF(BA246="","",IF(AND(ISNUMBER(BG246),N(BE246)&gt;=WlMinTests,BG246&lt;=-WlGap),"Below KS2 starting point",IF(AND(NOT(ISNUMBER(BD246)),ISNUMBER(BF246),N(BE246)&gt;=WlMinTests,BF246&lt;=WlLowMean),"Low results, no KS2 data","")))</f>
        <v/>
      </c>
      <c r="BJ246" t="str">
        <f>IF(BI246="","",IF(BI246="Below KS2 starting point",BG246,100+BF246)+ROW()/1000000)</f>
        <v/>
      </c>
    </row>
    <row r="247">
      <c r="H247" t="str">
        <f>IFERROR(INDEX(tblY7[Class],ROWS(H$10:H247))&amp;"","")</f>
        <v/>
      </c>
      <c r="I247" t="str">
        <f>IF(H247="","",IF(COUNTIF(H$10:H247,H247)=1,COUNTIF(H$10:H$609,"&lt;"&amp;H247)+1,""))</f>
        <v/>
      </c>
      <c r="J247" t="str">
        <f>IFERROR(INDEX(tblY8[Class],ROWS(J$10:J247))&amp;"","")</f>
        <v/>
      </c>
      <c r="K247" t="str">
        <f>IF(J247="","",IF(COUNTIF(J$10:J247,J247)=1,COUNTIF(J$10:J$609,"&lt;"&amp;J247)+1,""))</f>
        <v/>
      </c>
      <c r="L247" t="str">
        <f>IFERROR(INDEX(tblY9[Class],ROWS(L$10:L247))&amp;"","")</f>
        <v/>
      </c>
      <c r="M247" t="str">
        <f>IF(L247="","",IF(COUNTIF(L$10:L247,L247)=1,COUNTIF(L$10:L$609,"&lt;"&amp;L247)+1,""))</f>
        <v/>
      </c>
      <c r="N247" t="str">
        <f>IFERROR(INDEX(tblY10[Class],ROWS(N$10:N247))&amp;"","")</f>
        <v/>
      </c>
      <c r="O247" t="str">
        <f>IF(N247="","",IF(COUNTIF(N$10:N247,N247)=1,COUNTIF(N$10:N$609,"&lt;"&amp;N247)+1,""))</f>
        <v/>
      </c>
      <c r="P247" t="str">
        <f>IFERROR(INDEX(tblY11[Class],ROWS(P$10:P247))&amp;"","")</f>
        <v/>
      </c>
      <c r="Q247" t="str">
        <f>IF(P247="","",IF(COUNTIF(P$10:P247,P247)=1,COUNTIF(P$10:P$609,"&lt;"&amp;P247)+1,""))</f>
        <v/>
      </c>
      <c r="BA247" t="str">
        <f>IFERROR(INDEX(wLast,178)&amp;"","")</f>
        <v/>
      </c>
      <c r="BB247" t="str">
        <f>IF(BA247="","",IFERROR(INDEX(wFirst,178)&amp;"",""))</f>
        <v/>
      </c>
      <c r="BC247" t="str">
        <f>IF(BA247="","",IFERROR(INDEX(wClass,178)&amp;"",""))</f>
        <v/>
      </c>
      <c r="BD247" t="str">
        <f>IF(BA247="","",IFERROR(INDEX(wKS2,178)+0,""))</f>
        <v/>
      </c>
      <c r="BE247" t="str">
        <f>IF(BA247="","",IFERROR(INDEX(wTests,178)+0,0))</f>
        <v/>
      </c>
      <c r="BF247" t="str">
        <f>IF(BA247="","",IFERROR(INDEX(wMean,178)+0,""))</f>
        <v/>
      </c>
      <c r="BG247" t="str">
        <f>IF(BA247="","",IFERROR(INDEX(wVs,178)+0,""))</f>
        <v/>
      </c>
      <c r="BH247" t="str">
        <f>IF(OR(BA247="",wLatest=""),"",IFERROR(INDEX(wData,178,MATCH(wLatest&amp;CHAR(10)&amp;"Stanine",wHdr,0))+0,""))</f>
        <v/>
      </c>
      <c r="BI247" t="str">
        <f>IF(BA247="","",IF(AND(ISNUMBER(BG247),N(BE247)&gt;=WlMinTests,BG247&lt;=-WlGap),"Below KS2 starting point",IF(AND(NOT(ISNUMBER(BD247)),ISNUMBER(BF247),N(BE247)&gt;=WlMinTests,BF247&lt;=WlLowMean),"Low results, no KS2 data","")))</f>
        <v/>
      </c>
      <c r="BJ247" t="str">
        <f>IF(BI247="","",IF(BI247="Below KS2 starting point",BG247,100+BF247)+ROW()/1000000)</f>
        <v/>
      </c>
    </row>
    <row r="248">
      <c r="H248" t="str">
        <f>IFERROR(INDEX(tblY7[Class],ROWS(H$10:H248))&amp;"","")</f>
        <v/>
      </c>
      <c r="I248" t="str">
        <f>IF(H248="","",IF(COUNTIF(H$10:H248,H248)=1,COUNTIF(H$10:H$609,"&lt;"&amp;H248)+1,""))</f>
        <v/>
      </c>
      <c r="J248" t="str">
        <f>IFERROR(INDEX(tblY8[Class],ROWS(J$10:J248))&amp;"","")</f>
        <v/>
      </c>
      <c r="K248" t="str">
        <f>IF(J248="","",IF(COUNTIF(J$10:J248,J248)=1,COUNTIF(J$10:J$609,"&lt;"&amp;J248)+1,""))</f>
        <v/>
      </c>
      <c r="L248" t="str">
        <f>IFERROR(INDEX(tblY9[Class],ROWS(L$10:L248))&amp;"","")</f>
        <v/>
      </c>
      <c r="M248" t="str">
        <f>IF(L248="","",IF(COUNTIF(L$10:L248,L248)=1,COUNTIF(L$10:L$609,"&lt;"&amp;L248)+1,""))</f>
        <v/>
      </c>
      <c r="N248" t="str">
        <f>IFERROR(INDEX(tblY10[Class],ROWS(N$10:N248))&amp;"","")</f>
        <v/>
      </c>
      <c r="O248" t="str">
        <f>IF(N248="","",IF(COUNTIF(N$10:N248,N248)=1,COUNTIF(N$10:N$609,"&lt;"&amp;N248)+1,""))</f>
        <v/>
      </c>
      <c r="P248" t="str">
        <f>IFERROR(INDEX(tblY11[Class],ROWS(P$10:P248))&amp;"","")</f>
        <v/>
      </c>
      <c r="Q248" t="str">
        <f>IF(P248="","",IF(COUNTIF(P$10:P248,P248)=1,COUNTIF(P$10:P$609,"&lt;"&amp;P248)+1,""))</f>
        <v/>
      </c>
      <c r="BA248" t="str">
        <f>IFERROR(INDEX(wLast,179)&amp;"","")</f>
        <v/>
      </c>
      <c r="BB248" t="str">
        <f>IF(BA248="","",IFERROR(INDEX(wFirst,179)&amp;"",""))</f>
        <v/>
      </c>
      <c r="BC248" t="str">
        <f>IF(BA248="","",IFERROR(INDEX(wClass,179)&amp;"",""))</f>
        <v/>
      </c>
      <c r="BD248" t="str">
        <f>IF(BA248="","",IFERROR(INDEX(wKS2,179)+0,""))</f>
        <v/>
      </c>
      <c r="BE248" t="str">
        <f>IF(BA248="","",IFERROR(INDEX(wTests,179)+0,0))</f>
        <v/>
      </c>
      <c r="BF248" t="str">
        <f>IF(BA248="","",IFERROR(INDEX(wMean,179)+0,""))</f>
        <v/>
      </c>
      <c r="BG248" t="str">
        <f>IF(BA248="","",IFERROR(INDEX(wVs,179)+0,""))</f>
        <v/>
      </c>
      <c r="BH248" t="str">
        <f>IF(OR(BA248="",wLatest=""),"",IFERROR(INDEX(wData,179,MATCH(wLatest&amp;CHAR(10)&amp;"Stanine",wHdr,0))+0,""))</f>
        <v/>
      </c>
      <c r="BI248" t="str">
        <f>IF(BA248="","",IF(AND(ISNUMBER(BG248),N(BE248)&gt;=WlMinTests,BG248&lt;=-WlGap),"Below KS2 starting point",IF(AND(NOT(ISNUMBER(BD248)),ISNUMBER(BF248),N(BE248)&gt;=WlMinTests,BF248&lt;=WlLowMean),"Low results, no KS2 data","")))</f>
        <v/>
      </c>
      <c r="BJ248" t="str">
        <f>IF(BI248="","",IF(BI248="Below KS2 starting point",BG248,100+BF248)+ROW()/1000000)</f>
        <v/>
      </c>
    </row>
    <row r="249">
      <c r="H249" t="str">
        <f>IFERROR(INDEX(tblY7[Class],ROWS(H$10:H249))&amp;"","")</f>
        <v/>
      </c>
      <c r="I249" t="str">
        <f>IF(H249="","",IF(COUNTIF(H$10:H249,H249)=1,COUNTIF(H$10:H$609,"&lt;"&amp;H249)+1,""))</f>
        <v/>
      </c>
      <c r="J249" t="str">
        <f>IFERROR(INDEX(tblY8[Class],ROWS(J$10:J249))&amp;"","")</f>
        <v/>
      </c>
      <c r="K249" t="str">
        <f>IF(J249="","",IF(COUNTIF(J$10:J249,J249)=1,COUNTIF(J$10:J$609,"&lt;"&amp;J249)+1,""))</f>
        <v/>
      </c>
      <c r="L249" t="str">
        <f>IFERROR(INDEX(tblY9[Class],ROWS(L$10:L249))&amp;"","")</f>
        <v/>
      </c>
      <c r="M249" t="str">
        <f>IF(L249="","",IF(COUNTIF(L$10:L249,L249)=1,COUNTIF(L$10:L$609,"&lt;"&amp;L249)+1,""))</f>
        <v/>
      </c>
      <c r="N249" t="str">
        <f>IFERROR(INDEX(tblY10[Class],ROWS(N$10:N249))&amp;"","")</f>
        <v/>
      </c>
      <c r="O249" t="str">
        <f>IF(N249="","",IF(COUNTIF(N$10:N249,N249)=1,COUNTIF(N$10:N$609,"&lt;"&amp;N249)+1,""))</f>
        <v/>
      </c>
      <c r="P249" t="str">
        <f>IFERROR(INDEX(tblY11[Class],ROWS(P$10:P249))&amp;"","")</f>
        <v/>
      </c>
      <c r="Q249" t="str">
        <f>IF(P249="","",IF(COUNTIF(P$10:P249,P249)=1,COUNTIF(P$10:P$609,"&lt;"&amp;P249)+1,""))</f>
        <v/>
      </c>
      <c r="BA249" t="str">
        <f>IFERROR(INDEX(wLast,180)&amp;"","")</f>
        <v/>
      </c>
      <c r="BB249" t="str">
        <f>IF(BA249="","",IFERROR(INDEX(wFirst,180)&amp;"",""))</f>
        <v/>
      </c>
      <c r="BC249" t="str">
        <f>IF(BA249="","",IFERROR(INDEX(wClass,180)&amp;"",""))</f>
        <v/>
      </c>
      <c r="BD249" t="str">
        <f>IF(BA249="","",IFERROR(INDEX(wKS2,180)+0,""))</f>
        <v/>
      </c>
      <c r="BE249" t="str">
        <f>IF(BA249="","",IFERROR(INDEX(wTests,180)+0,0))</f>
        <v/>
      </c>
      <c r="BF249" t="str">
        <f>IF(BA249="","",IFERROR(INDEX(wMean,180)+0,""))</f>
        <v/>
      </c>
      <c r="BG249" t="str">
        <f>IF(BA249="","",IFERROR(INDEX(wVs,180)+0,""))</f>
        <v/>
      </c>
      <c r="BH249" t="str">
        <f>IF(OR(BA249="",wLatest=""),"",IFERROR(INDEX(wData,180,MATCH(wLatest&amp;CHAR(10)&amp;"Stanine",wHdr,0))+0,""))</f>
        <v/>
      </c>
      <c r="BI249" t="str">
        <f>IF(BA249="","",IF(AND(ISNUMBER(BG249),N(BE249)&gt;=WlMinTests,BG249&lt;=-WlGap),"Below KS2 starting point",IF(AND(NOT(ISNUMBER(BD249)),ISNUMBER(BF249),N(BE249)&gt;=WlMinTests,BF249&lt;=WlLowMean),"Low results, no KS2 data","")))</f>
        <v/>
      </c>
      <c r="BJ249" t="str">
        <f>IF(BI249="","",IF(BI249="Below KS2 starting point",BG249,100+BF249)+ROW()/1000000)</f>
        <v/>
      </c>
    </row>
    <row r="250">
      <c r="H250" t="str">
        <f>IFERROR(INDEX(tblY7[Class],ROWS(H$10:H250))&amp;"","")</f>
        <v/>
      </c>
      <c r="I250" t="str">
        <f>IF(H250="","",IF(COUNTIF(H$10:H250,H250)=1,COUNTIF(H$10:H$609,"&lt;"&amp;H250)+1,""))</f>
        <v/>
      </c>
      <c r="J250" t="str">
        <f>IFERROR(INDEX(tblY8[Class],ROWS(J$10:J250))&amp;"","")</f>
        <v/>
      </c>
      <c r="K250" t="str">
        <f>IF(J250="","",IF(COUNTIF(J$10:J250,J250)=1,COUNTIF(J$10:J$609,"&lt;"&amp;J250)+1,""))</f>
        <v/>
      </c>
      <c r="L250" t="str">
        <f>IFERROR(INDEX(tblY9[Class],ROWS(L$10:L250))&amp;"","")</f>
        <v/>
      </c>
      <c r="M250" t="str">
        <f>IF(L250="","",IF(COUNTIF(L$10:L250,L250)=1,COUNTIF(L$10:L$609,"&lt;"&amp;L250)+1,""))</f>
        <v/>
      </c>
      <c r="N250" t="str">
        <f>IFERROR(INDEX(tblY10[Class],ROWS(N$10:N250))&amp;"","")</f>
        <v/>
      </c>
      <c r="O250" t="str">
        <f>IF(N250="","",IF(COUNTIF(N$10:N250,N250)=1,COUNTIF(N$10:N$609,"&lt;"&amp;N250)+1,""))</f>
        <v/>
      </c>
      <c r="P250" t="str">
        <f>IFERROR(INDEX(tblY11[Class],ROWS(P$10:P250))&amp;"","")</f>
        <v/>
      </c>
      <c r="Q250" t="str">
        <f>IF(P250="","",IF(COUNTIF(P$10:P250,P250)=1,COUNTIF(P$10:P$609,"&lt;"&amp;P250)+1,""))</f>
        <v/>
      </c>
      <c r="BA250" t="str">
        <f>IFERROR(INDEX(wLast,181)&amp;"","")</f>
        <v/>
      </c>
      <c r="BB250" t="str">
        <f>IF(BA250="","",IFERROR(INDEX(wFirst,181)&amp;"",""))</f>
        <v/>
      </c>
      <c r="BC250" t="str">
        <f>IF(BA250="","",IFERROR(INDEX(wClass,181)&amp;"",""))</f>
        <v/>
      </c>
      <c r="BD250" t="str">
        <f>IF(BA250="","",IFERROR(INDEX(wKS2,181)+0,""))</f>
        <v/>
      </c>
      <c r="BE250" t="str">
        <f>IF(BA250="","",IFERROR(INDEX(wTests,181)+0,0))</f>
        <v/>
      </c>
      <c r="BF250" t="str">
        <f>IF(BA250="","",IFERROR(INDEX(wMean,181)+0,""))</f>
        <v/>
      </c>
      <c r="BG250" t="str">
        <f>IF(BA250="","",IFERROR(INDEX(wVs,181)+0,""))</f>
        <v/>
      </c>
      <c r="BH250" t="str">
        <f>IF(OR(BA250="",wLatest=""),"",IFERROR(INDEX(wData,181,MATCH(wLatest&amp;CHAR(10)&amp;"Stanine",wHdr,0))+0,""))</f>
        <v/>
      </c>
      <c r="BI250" t="str">
        <f>IF(BA250="","",IF(AND(ISNUMBER(BG250),N(BE250)&gt;=WlMinTests,BG250&lt;=-WlGap),"Below KS2 starting point",IF(AND(NOT(ISNUMBER(BD250)),ISNUMBER(BF250),N(BE250)&gt;=WlMinTests,BF250&lt;=WlLowMean),"Low results, no KS2 data","")))</f>
        <v/>
      </c>
      <c r="BJ250" t="str">
        <f>IF(BI250="","",IF(BI250="Below KS2 starting point",BG250,100+BF250)+ROW()/1000000)</f>
        <v/>
      </c>
    </row>
    <row r="251">
      <c r="H251" t="str">
        <f>IFERROR(INDEX(tblY7[Class],ROWS(H$10:H251))&amp;"","")</f>
        <v/>
      </c>
      <c r="I251" t="str">
        <f>IF(H251="","",IF(COUNTIF(H$10:H251,H251)=1,COUNTIF(H$10:H$609,"&lt;"&amp;H251)+1,""))</f>
        <v/>
      </c>
      <c r="J251" t="str">
        <f>IFERROR(INDEX(tblY8[Class],ROWS(J$10:J251))&amp;"","")</f>
        <v/>
      </c>
      <c r="K251" t="str">
        <f>IF(J251="","",IF(COUNTIF(J$10:J251,J251)=1,COUNTIF(J$10:J$609,"&lt;"&amp;J251)+1,""))</f>
        <v/>
      </c>
      <c r="L251" t="str">
        <f>IFERROR(INDEX(tblY9[Class],ROWS(L$10:L251))&amp;"","")</f>
        <v/>
      </c>
      <c r="M251" t="str">
        <f>IF(L251="","",IF(COUNTIF(L$10:L251,L251)=1,COUNTIF(L$10:L$609,"&lt;"&amp;L251)+1,""))</f>
        <v/>
      </c>
      <c r="N251" t="str">
        <f>IFERROR(INDEX(tblY10[Class],ROWS(N$10:N251))&amp;"","")</f>
        <v/>
      </c>
      <c r="O251" t="str">
        <f>IF(N251="","",IF(COUNTIF(N$10:N251,N251)=1,COUNTIF(N$10:N$609,"&lt;"&amp;N251)+1,""))</f>
        <v/>
      </c>
      <c r="P251" t="str">
        <f>IFERROR(INDEX(tblY11[Class],ROWS(P$10:P251))&amp;"","")</f>
        <v/>
      </c>
      <c r="Q251" t="str">
        <f>IF(P251="","",IF(COUNTIF(P$10:P251,P251)=1,COUNTIF(P$10:P$609,"&lt;"&amp;P251)+1,""))</f>
        <v/>
      </c>
      <c r="BA251" t="str">
        <f>IFERROR(INDEX(wLast,182)&amp;"","")</f>
        <v/>
      </c>
      <c r="BB251" t="str">
        <f>IF(BA251="","",IFERROR(INDEX(wFirst,182)&amp;"",""))</f>
        <v/>
      </c>
      <c r="BC251" t="str">
        <f>IF(BA251="","",IFERROR(INDEX(wClass,182)&amp;"",""))</f>
        <v/>
      </c>
      <c r="BD251" t="str">
        <f>IF(BA251="","",IFERROR(INDEX(wKS2,182)+0,""))</f>
        <v/>
      </c>
      <c r="BE251" t="str">
        <f>IF(BA251="","",IFERROR(INDEX(wTests,182)+0,0))</f>
        <v/>
      </c>
      <c r="BF251" t="str">
        <f>IF(BA251="","",IFERROR(INDEX(wMean,182)+0,""))</f>
        <v/>
      </c>
      <c r="BG251" t="str">
        <f>IF(BA251="","",IFERROR(INDEX(wVs,182)+0,""))</f>
        <v/>
      </c>
      <c r="BH251" t="str">
        <f>IF(OR(BA251="",wLatest=""),"",IFERROR(INDEX(wData,182,MATCH(wLatest&amp;CHAR(10)&amp;"Stanine",wHdr,0))+0,""))</f>
        <v/>
      </c>
      <c r="BI251" t="str">
        <f>IF(BA251="","",IF(AND(ISNUMBER(BG251),N(BE251)&gt;=WlMinTests,BG251&lt;=-WlGap),"Below KS2 starting point",IF(AND(NOT(ISNUMBER(BD251)),ISNUMBER(BF251),N(BE251)&gt;=WlMinTests,BF251&lt;=WlLowMean),"Low results, no KS2 data","")))</f>
        <v/>
      </c>
      <c r="BJ251" t="str">
        <f>IF(BI251="","",IF(BI251="Below KS2 starting point",BG251,100+BF251)+ROW()/1000000)</f>
        <v/>
      </c>
    </row>
    <row r="252">
      <c r="H252" t="str">
        <f>IFERROR(INDEX(tblY7[Class],ROWS(H$10:H252))&amp;"","")</f>
        <v/>
      </c>
      <c r="I252" t="str">
        <f>IF(H252="","",IF(COUNTIF(H$10:H252,H252)=1,COUNTIF(H$10:H$609,"&lt;"&amp;H252)+1,""))</f>
        <v/>
      </c>
      <c r="J252" t="str">
        <f>IFERROR(INDEX(tblY8[Class],ROWS(J$10:J252))&amp;"","")</f>
        <v/>
      </c>
      <c r="K252" t="str">
        <f>IF(J252="","",IF(COUNTIF(J$10:J252,J252)=1,COUNTIF(J$10:J$609,"&lt;"&amp;J252)+1,""))</f>
        <v/>
      </c>
      <c r="L252" t="str">
        <f>IFERROR(INDEX(tblY9[Class],ROWS(L$10:L252))&amp;"","")</f>
        <v/>
      </c>
      <c r="M252" t="str">
        <f>IF(L252="","",IF(COUNTIF(L$10:L252,L252)=1,COUNTIF(L$10:L$609,"&lt;"&amp;L252)+1,""))</f>
        <v/>
      </c>
      <c r="N252" t="str">
        <f>IFERROR(INDEX(tblY10[Class],ROWS(N$10:N252))&amp;"","")</f>
        <v/>
      </c>
      <c r="O252" t="str">
        <f>IF(N252="","",IF(COUNTIF(N$10:N252,N252)=1,COUNTIF(N$10:N$609,"&lt;"&amp;N252)+1,""))</f>
        <v/>
      </c>
      <c r="P252" t="str">
        <f>IFERROR(INDEX(tblY11[Class],ROWS(P$10:P252))&amp;"","")</f>
        <v/>
      </c>
      <c r="Q252" t="str">
        <f>IF(P252="","",IF(COUNTIF(P$10:P252,P252)=1,COUNTIF(P$10:P$609,"&lt;"&amp;P252)+1,""))</f>
        <v/>
      </c>
      <c r="BA252" t="str">
        <f>IFERROR(INDEX(wLast,183)&amp;"","")</f>
        <v/>
      </c>
      <c r="BB252" t="str">
        <f>IF(BA252="","",IFERROR(INDEX(wFirst,183)&amp;"",""))</f>
        <v/>
      </c>
      <c r="BC252" t="str">
        <f>IF(BA252="","",IFERROR(INDEX(wClass,183)&amp;"",""))</f>
        <v/>
      </c>
      <c r="BD252" t="str">
        <f>IF(BA252="","",IFERROR(INDEX(wKS2,183)+0,""))</f>
        <v/>
      </c>
      <c r="BE252" t="str">
        <f>IF(BA252="","",IFERROR(INDEX(wTests,183)+0,0))</f>
        <v/>
      </c>
      <c r="BF252" t="str">
        <f>IF(BA252="","",IFERROR(INDEX(wMean,183)+0,""))</f>
        <v/>
      </c>
      <c r="BG252" t="str">
        <f>IF(BA252="","",IFERROR(INDEX(wVs,183)+0,""))</f>
        <v/>
      </c>
      <c r="BH252" t="str">
        <f>IF(OR(BA252="",wLatest=""),"",IFERROR(INDEX(wData,183,MATCH(wLatest&amp;CHAR(10)&amp;"Stanine",wHdr,0))+0,""))</f>
        <v/>
      </c>
      <c r="BI252" t="str">
        <f>IF(BA252="","",IF(AND(ISNUMBER(BG252),N(BE252)&gt;=WlMinTests,BG252&lt;=-WlGap),"Below KS2 starting point",IF(AND(NOT(ISNUMBER(BD252)),ISNUMBER(BF252),N(BE252)&gt;=WlMinTests,BF252&lt;=WlLowMean),"Low results, no KS2 data","")))</f>
        <v/>
      </c>
      <c r="BJ252" t="str">
        <f>IF(BI252="","",IF(BI252="Below KS2 starting point",BG252,100+BF252)+ROW()/1000000)</f>
        <v/>
      </c>
    </row>
    <row r="253">
      <c r="H253" t="str">
        <f>IFERROR(INDEX(tblY7[Class],ROWS(H$10:H253))&amp;"","")</f>
        <v/>
      </c>
      <c r="I253" t="str">
        <f>IF(H253="","",IF(COUNTIF(H$10:H253,H253)=1,COUNTIF(H$10:H$609,"&lt;"&amp;H253)+1,""))</f>
        <v/>
      </c>
      <c r="J253" t="str">
        <f>IFERROR(INDEX(tblY8[Class],ROWS(J$10:J253))&amp;"","")</f>
        <v/>
      </c>
      <c r="K253" t="str">
        <f>IF(J253="","",IF(COUNTIF(J$10:J253,J253)=1,COUNTIF(J$10:J$609,"&lt;"&amp;J253)+1,""))</f>
        <v/>
      </c>
      <c r="L253" t="str">
        <f>IFERROR(INDEX(tblY9[Class],ROWS(L$10:L253))&amp;"","")</f>
        <v/>
      </c>
      <c r="M253" t="str">
        <f>IF(L253="","",IF(COUNTIF(L$10:L253,L253)=1,COUNTIF(L$10:L$609,"&lt;"&amp;L253)+1,""))</f>
        <v/>
      </c>
      <c r="N253" t="str">
        <f>IFERROR(INDEX(tblY10[Class],ROWS(N$10:N253))&amp;"","")</f>
        <v/>
      </c>
      <c r="O253" t="str">
        <f>IF(N253="","",IF(COUNTIF(N$10:N253,N253)=1,COUNTIF(N$10:N$609,"&lt;"&amp;N253)+1,""))</f>
        <v/>
      </c>
      <c r="P253" t="str">
        <f>IFERROR(INDEX(tblY11[Class],ROWS(P$10:P253))&amp;"","")</f>
        <v/>
      </c>
      <c r="Q253" t="str">
        <f>IF(P253="","",IF(COUNTIF(P$10:P253,P253)=1,COUNTIF(P$10:P$609,"&lt;"&amp;P253)+1,""))</f>
        <v/>
      </c>
      <c r="BA253" t="str">
        <f>IFERROR(INDEX(wLast,184)&amp;"","")</f>
        <v/>
      </c>
      <c r="BB253" t="str">
        <f>IF(BA253="","",IFERROR(INDEX(wFirst,184)&amp;"",""))</f>
        <v/>
      </c>
      <c r="BC253" t="str">
        <f>IF(BA253="","",IFERROR(INDEX(wClass,184)&amp;"",""))</f>
        <v/>
      </c>
      <c r="BD253" t="str">
        <f>IF(BA253="","",IFERROR(INDEX(wKS2,184)+0,""))</f>
        <v/>
      </c>
      <c r="BE253" t="str">
        <f>IF(BA253="","",IFERROR(INDEX(wTests,184)+0,0))</f>
        <v/>
      </c>
      <c r="BF253" t="str">
        <f>IF(BA253="","",IFERROR(INDEX(wMean,184)+0,""))</f>
        <v/>
      </c>
      <c r="BG253" t="str">
        <f>IF(BA253="","",IFERROR(INDEX(wVs,184)+0,""))</f>
        <v/>
      </c>
      <c r="BH253" t="str">
        <f>IF(OR(BA253="",wLatest=""),"",IFERROR(INDEX(wData,184,MATCH(wLatest&amp;CHAR(10)&amp;"Stanine",wHdr,0))+0,""))</f>
        <v/>
      </c>
      <c r="BI253" t="str">
        <f>IF(BA253="","",IF(AND(ISNUMBER(BG253),N(BE253)&gt;=WlMinTests,BG253&lt;=-WlGap),"Below KS2 starting point",IF(AND(NOT(ISNUMBER(BD253)),ISNUMBER(BF253),N(BE253)&gt;=WlMinTests,BF253&lt;=WlLowMean),"Low results, no KS2 data","")))</f>
        <v/>
      </c>
      <c r="BJ253" t="str">
        <f>IF(BI253="","",IF(BI253="Below KS2 starting point",BG253,100+BF253)+ROW()/1000000)</f>
        <v/>
      </c>
    </row>
    <row r="254">
      <c r="H254" t="str">
        <f>IFERROR(INDEX(tblY7[Class],ROWS(H$10:H254))&amp;"","")</f>
        <v/>
      </c>
      <c r="I254" t="str">
        <f>IF(H254="","",IF(COUNTIF(H$10:H254,H254)=1,COUNTIF(H$10:H$609,"&lt;"&amp;H254)+1,""))</f>
        <v/>
      </c>
      <c r="J254" t="str">
        <f>IFERROR(INDEX(tblY8[Class],ROWS(J$10:J254))&amp;"","")</f>
        <v/>
      </c>
      <c r="K254" t="str">
        <f>IF(J254="","",IF(COUNTIF(J$10:J254,J254)=1,COUNTIF(J$10:J$609,"&lt;"&amp;J254)+1,""))</f>
        <v/>
      </c>
      <c r="L254" t="str">
        <f>IFERROR(INDEX(tblY9[Class],ROWS(L$10:L254))&amp;"","")</f>
        <v/>
      </c>
      <c r="M254" t="str">
        <f>IF(L254="","",IF(COUNTIF(L$10:L254,L254)=1,COUNTIF(L$10:L$609,"&lt;"&amp;L254)+1,""))</f>
        <v/>
      </c>
      <c r="N254" t="str">
        <f>IFERROR(INDEX(tblY10[Class],ROWS(N$10:N254))&amp;"","")</f>
        <v/>
      </c>
      <c r="O254" t="str">
        <f>IF(N254="","",IF(COUNTIF(N$10:N254,N254)=1,COUNTIF(N$10:N$609,"&lt;"&amp;N254)+1,""))</f>
        <v/>
      </c>
      <c r="P254" t="str">
        <f>IFERROR(INDEX(tblY11[Class],ROWS(P$10:P254))&amp;"","")</f>
        <v/>
      </c>
      <c r="Q254" t="str">
        <f>IF(P254="","",IF(COUNTIF(P$10:P254,P254)=1,COUNTIF(P$10:P$609,"&lt;"&amp;P254)+1,""))</f>
        <v/>
      </c>
      <c r="BA254" t="str">
        <f>IFERROR(INDEX(wLast,185)&amp;"","")</f>
        <v/>
      </c>
      <c r="BB254" t="str">
        <f>IF(BA254="","",IFERROR(INDEX(wFirst,185)&amp;"",""))</f>
        <v/>
      </c>
      <c r="BC254" t="str">
        <f>IF(BA254="","",IFERROR(INDEX(wClass,185)&amp;"",""))</f>
        <v/>
      </c>
      <c r="BD254" t="str">
        <f>IF(BA254="","",IFERROR(INDEX(wKS2,185)+0,""))</f>
        <v/>
      </c>
      <c r="BE254" t="str">
        <f>IF(BA254="","",IFERROR(INDEX(wTests,185)+0,0))</f>
        <v/>
      </c>
      <c r="BF254" t="str">
        <f>IF(BA254="","",IFERROR(INDEX(wMean,185)+0,""))</f>
        <v/>
      </c>
      <c r="BG254" t="str">
        <f>IF(BA254="","",IFERROR(INDEX(wVs,185)+0,""))</f>
        <v/>
      </c>
      <c r="BH254" t="str">
        <f>IF(OR(BA254="",wLatest=""),"",IFERROR(INDEX(wData,185,MATCH(wLatest&amp;CHAR(10)&amp;"Stanine",wHdr,0))+0,""))</f>
        <v/>
      </c>
      <c r="BI254" t="str">
        <f>IF(BA254="","",IF(AND(ISNUMBER(BG254),N(BE254)&gt;=WlMinTests,BG254&lt;=-WlGap),"Below KS2 starting point",IF(AND(NOT(ISNUMBER(BD254)),ISNUMBER(BF254),N(BE254)&gt;=WlMinTests,BF254&lt;=WlLowMean),"Low results, no KS2 data","")))</f>
        <v/>
      </c>
      <c r="BJ254" t="str">
        <f>IF(BI254="","",IF(BI254="Below KS2 starting point",BG254,100+BF254)+ROW()/1000000)</f>
        <v/>
      </c>
    </row>
    <row r="255">
      <c r="H255" t="str">
        <f>IFERROR(INDEX(tblY7[Class],ROWS(H$10:H255))&amp;"","")</f>
        <v/>
      </c>
      <c r="I255" t="str">
        <f>IF(H255="","",IF(COUNTIF(H$10:H255,H255)=1,COUNTIF(H$10:H$609,"&lt;"&amp;H255)+1,""))</f>
        <v/>
      </c>
      <c r="J255" t="str">
        <f>IFERROR(INDEX(tblY8[Class],ROWS(J$10:J255))&amp;"","")</f>
        <v/>
      </c>
      <c r="K255" t="str">
        <f>IF(J255="","",IF(COUNTIF(J$10:J255,J255)=1,COUNTIF(J$10:J$609,"&lt;"&amp;J255)+1,""))</f>
        <v/>
      </c>
      <c r="L255" t="str">
        <f>IFERROR(INDEX(tblY9[Class],ROWS(L$10:L255))&amp;"","")</f>
        <v/>
      </c>
      <c r="M255" t="str">
        <f>IF(L255="","",IF(COUNTIF(L$10:L255,L255)=1,COUNTIF(L$10:L$609,"&lt;"&amp;L255)+1,""))</f>
        <v/>
      </c>
      <c r="N255" t="str">
        <f>IFERROR(INDEX(tblY10[Class],ROWS(N$10:N255))&amp;"","")</f>
        <v/>
      </c>
      <c r="O255" t="str">
        <f>IF(N255="","",IF(COUNTIF(N$10:N255,N255)=1,COUNTIF(N$10:N$609,"&lt;"&amp;N255)+1,""))</f>
        <v/>
      </c>
      <c r="P255" t="str">
        <f>IFERROR(INDEX(tblY11[Class],ROWS(P$10:P255))&amp;"","")</f>
        <v/>
      </c>
      <c r="Q255" t="str">
        <f>IF(P255="","",IF(COUNTIF(P$10:P255,P255)=1,COUNTIF(P$10:P$609,"&lt;"&amp;P255)+1,""))</f>
        <v/>
      </c>
      <c r="BA255" t="str">
        <f>IFERROR(INDEX(wLast,186)&amp;"","")</f>
        <v/>
      </c>
      <c r="BB255" t="str">
        <f>IF(BA255="","",IFERROR(INDEX(wFirst,186)&amp;"",""))</f>
        <v/>
      </c>
      <c r="BC255" t="str">
        <f>IF(BA255="","",IFERROR(INDEX(wClass,186)&amp;"",""))</f>
        <v/>
      </c>
      <c r="BD255" t="str">
        <f>IF(BA255="","",IFERROR(INDEX(wKS2,186)+0,""))</f>
        <v/>
      </c>
      <c r="BE255" t="str">
        <f>IF(BA255="","",IFERROR(INDEX(wTests,186)+0,0))</f>
        <v/>
      </c>
      <c r="BF255" t="str">
        <f>IF(BA255="","",IFERROR(INDEX(wMean,186)+0,""))</f>
        <v/>
      </c>
      <c r="BG255" t="str">
        <f>IF(BA255="","",IFERROR(INDEX(wVs,186)+0,""))</f>
        <v/>
      </c>
      <c r="BH255" t="str">
        <f>IF(OR(BA255="",wLatest=""),"",IFERROR(INDEX(wData,186,MATCH(wLatest&amp;CHAR(10)&amp;"Stanine",wHdr,0))+0,""))</f>
        <v/>
      </c>
      <c r="BI255" t="str">
        <f>IF(BA255="","",IF(AND(ISNUMBER(BG255),N(BE255)&gt;=WlMinTests,BG255&lt;=-WlGap),"Below KS2 starting point",IF(AND(NOT(ISNUMBER(BD255)),ISNUMBER(BF255),N(BE255)&gt;=WlMinTests,BF255&lt;=WlLowMean),"Low results, no KS2 data","")))</f>
        <v/>
      </c>
      <c r="BJ255" t="str">
        <f>IF(BI255="","",IF(BI255="Below KS2 starting point",BG255,100+BF255)+ROW()/1000000)</f>
        <v/>
      </c>
    </row>
    <row r="256">
      <c r="H256" t="str">
        <f>IFERROR(INDEX(tblY7[Class],ROWS(H$10:H256))&amp;"","")</f>
        <v/>
      </c>
      <c r="I256" t="str">
        <f>IF(H256="","",IF(COUNTIF(H$10:H256,H256)=1,COUNTIF(H$10:H$609,"&lt;"&amp;H256)+1,""))</f>
        <v/>
      </c>
      <c r="J256" t="str">
        <f>IFERROR(INDEX(tblY8[Class],ROWS(J$10:J256))&amp;"","")</f>
        <v/>
      </c>
      <c r="K256" t="str">
        <f>IF(J256="","",IF(COUNTIF(J$10:J256,J256)=1,COUNTIF(J$10:J$609,"&lt;"&amp;J256)+1,""))</f>
        <v/>
      </c>
      <c r="L256" t="str">
        <f>IFERROR(INDEX(tblY9[Class],ROWS(L$10:L256))&amp;"","")</f>
        <v/>
      </c>
      <c r="M256" t="str">
        <f>IF(L256="","",IF(COUNTIF(L$10:L256,L256)=1,COUNTIF(L$10:L$609,"&lt;"&amp;L256)+1,""))</f>
        <v/>
      </c>
      <c r="N256" t="str">
        <f>IFERROR(INDEX(tblY10[Class],ROWS(N$10:N256))&amp;"","")</f>
        <v/>
      </c>
      <c r="O256" t="str">
        <f>IF(N256="","",IF(COUNTIF(N$10:N256,N256)=1,COUNTIF(N$10:N$609,"&lt;"&amp;N256)+1,""))</f>
        <v/>
      </c>
      <c r="P256" t="str">
        <f>IFERROR(INDEX(tblY11[Class],ROWS(P$10:P256))&amp;"","")</f>
        <v/>
      </c>
      <c r="Q256" t="str">
        <f>IF(P256="","",IF(COUNTIF(P$10:P256,P256)=1,COUNTIF(P$10:P$609,"&lt;"&amp;P256)+1,""))</f>
        <v/>
      </c>
      <c r="BA256" t="str">
        <f>IFERROR(INDEX(wLast,187)&amp;"","")</f>
        <v/>
      </c>
      <c r="BB256" t="str">
        <f>IF(BA256="","",IFERROR(INDEX(wFirst,187)&amp;"",""))</f>
        <v/>
      </c>
      <c r="BC256" t="str">
        <f>IF(BA256="","",IFERROR(INDEX(wClass,187)&amp;"",""))</f>
        <v/>
      </c>
      <c r="BD256" t="str">
        <f>IF(BA256="","",IFERROR(INDEX(wKS2,187)+0,""))</f>
        <v/>
      </c>
      <c r="BE256" t="str">
        <f>IF(BA256="","",IFERROR(INDEX(wTests,187)+0,0))</f>
        <v/>
      </c>
      <c r="BF256" t="str">
        <f>IF(BA256="","",IFERROR(INDEX(wMean,187)+0,""))</f>
        <v/>
      </c>
      <c r="BG256" t="str">
        <f>IF(BA256="","",IFERROR(INDEX(wVs,187)+0,""))</f>
        <v/>
      </c>
      <c r="BH256" t="str">
        <f>IF(OR(BA256="",wLatest=""),"",IFERROR(INDEX(wData,187,MATCH(wLatest&amp;CHAR(10)&amp;"Stanine",wHdr,0))+0,""))</f>
        <v/>
      </c>
      <c r="BI256" t="str">
        <f>IF(BA256="","",IF(AND(ISNUMBER(BG256),N(BE256)&gt;=WlMinTests,BG256&lt;=-WlGap),"Below KS2 starting point",IF(AND(NOT(ISNUMBER(BD256)),ISNUMBER(BF256),N(BE256)&gt;=WlMinTests,BF256&lt;=WlLowMean),"Low results, no KS2 data","")))</f>
        <v/>
      </c>
      <c r="BJ256" t="str">
        <f>IF(BI256="","",IF(BI256="Below KS2 starting point",BG256,100+BF256)+ROW()/1000000)</f>
        <v/>
      </c>
    </row>
    <row r="257">
      <c r="H257" t="str">
        <f>IFERROR(INDEX(tblY7[Class],ROWS(H$10:H257))&amp;"","")</f>
        <v/>
      </c>
      <c r="I257" t="str">
        <f>IF(H257="","",IF(COUNTIF(H$10:H257,H257)=1,COUNTIF(H$10:H$609,"&lt;"&amp;H257)+1,""))</f>
        <v/>
      </c>
      <c r="J257" t="str">
        <f>IFERROR(INDEX(tblY8[Class],ROWS(J$10:J257))&amp;"","")</f>
        <v/>
      </c>
      <c r="K257" t="str">
        <f>IF(J257="","",IF(COUNTIF(J$10:J257,J257)=1,COUNTIF(J$10:J$609,"&lt;"&amp;J257)+1,""))</f>
        <v/>
      </c>
      <c r="L257" t="str">
        <f>IFERROR(INDEX(tblY9[Class],ROWS(L$10:L257))&amp;"","")</f>
        <v/>
      </c>
      <c r="M257" t="str">
        <f>IF(L257="","",IF(COUNTIF(L$10:L257,L257)=1,COUNTIF(L$10:L$609,"&lt;"&amp;L257)+1,""))</f>
        <v/>
      </c>
      <c r="N257" t="str">
        <f>IFERROR(INDEX(tblY10[Class],ROWS(N$10:N257))&amp;"","")</f>
        <v/>
      </c>
      <c r="O257" t="str">
        <f>IF(N257="","",IF(COUNTIF(N$10:N257,N257)=1,COUNTIF(N$10:N$609,"&lt;"&amp;N257)+1,""))</f>
        <v/>
      </c>
      <c r="P257" t="str">
        <f>IFERROR(INDEX(tblY11[Class],ROWS(P$10:P257))&amp;"","")</f>
        <v/>
      </c>
      <c r="Q257" t="str">
        <f>IF(P257="","",IF(COUNTIF(P$10:P257,P257)=1,COUNTIF(P$10:P$609,"&lt;"&amp;P257)+1,""))</f>
        <v/>
      </c>
      <c r="BA257" t="str">
        <f>IFERROR(INDEX(wLast,188)&amp;"","")</f>
        <v/>
      </c>
      <c r="BB257" t="str">
        <f>IF(BA257="","",IFERROR(INDEX(wFirst,188)&amp;"",""))</f>
        <v/>
      </c>
      <c r="BC257" t="str">
        <f>IF(BA257="","",IFERROR(INDEX(wClass,188)&amp;"",""))</f>
        <v/>
      </c>
      <c r="BD257" t="str">
        <f>IF(BA257="","",IFERROR(INDEX(wKS2,188)+0,""))</f>
        <v/>
      </c>
      <c r="BE257" t="str">
        <f>IF(BA257="","",IFERROR(INDEX(wTests,188)+0,0))</f>
        <v/>
      </c>
      <c r="BF257" t="str">
        <f>IF(BA257="","",IFERROR(INDEX(wMean,188)+0,""))</f>
        <v/>
      </c>
      <c r="BG257" t="str">
        <f>IF(BA257="","",IFERROR(INDEX(wVs,188)+0,""))</f>
        <v/>
      </c>
      <c r="BH257" t="str">
        <f>IF(OR(BA257="",wLatest=""),"",IFERROR(INDEX(wData,188,MATCH(wLatest&amp;CHAR(10)&amp;"Stanine",wHdr,0))+0,""))</f>
        <v/>
      </c>
      <c r="BI257" t="str">
        <f>IF(BA257="","",IF(AND(ISNUMBER(BG257),N(BE257)&gt;=WlMinTests,BG257&lt;=-WlGap),"Below KS2 starting point",IF(AND(NOT(ISNUMBER(BD257)),ISNUMBER(BF257),N(BE257)&gt;=WlMinTests,BF257&lt;=WlLowMean),"Low results, no KS2 data","")))</f>
        <v/>
      </c>
      <c r="BJ257" t="str">
        <f>IF(BI257="","",IF(BI257="Below KS2 starting point",BG257,100+BF257)+ROW()/1000000)</f>
        <v/>
      </c>
    </row>
    <row r="258">
      <c r="H258" t="str">
        <f>IFERROR(INDEX(tblY7[Class],ROWS(H$10:H258))&amp;"","")</f>
        <v/>
      </c>
      <c r="I258" t="str">
        <f>IF(H258="","",IF(COUNTIF(H$10:H258,H258)=1,COUNTIF(H$10:H$609,"&lt;"&amp;H258)+1,""))</f>
        <v/>
      </c>
      <c r="J258" t="str">
        <f>IFERROR(INDEX(tblY8[Class],ROWS(J$10:J258))&amp;"","")</f>
        <v/>
      </c>
      <c r="K258" t="str">
        <f>IF(J258="","",IF(COUNTIF(J$10:J258,J258)=1,COUNTIF(J$10:J$609,"&lt;"&amp;J258)+1,""))</f>
        <v/>
      </c>
      <c r="L258" t="str">
        <f>IFERROR(INDEX(tblY9[Class],ROWS(L$10:L258))&amp;"","")</f>
        <v/>
      </c>
      <c r="M258" t="str">
        <f>IF(L258="","",IF(COUNTIF(L$10:L258,L258)=1,COUNTIF(L$10:L$609,"&lt;"&amp;L258)+1,""))</f>
        <v/>
      </c>
      <c r="N258" t="str">
        <f>IFERROR(INDEX(tblY10[Class],ROWS(N$10:N258))&amp;"","")</f>
        <v/>
      </c>
      <c r="O258" t="str">
        <f>IF(N258="","",IF(COUNTIF(N$10:N258,N258)=1,COUNTIF(N$10:N$609,"&lt;"&amp;N258)+1,""))</f>
        <v/>
      </c>
      <c r="P258" t="str">
        <f>IFERROR(INDEX(tblY11[Class],ROWS(P$10:P258))&amp;"","")</f>
        <v/>
      </c>
      <c r="Q258" t="str">
        <f>IF(P258="","",IF(COUNTIF(P$10:P258,P258)=1,COUNTIF(P$10:P$609,"&lt;"&amp;P258)+1,""))</f>
        <v/>
      </c>
      <c r="BA258" t="str">
        <f>IFERROR(INDEX(wLast,189)&amp;"","")</f>
        <v/>
      </c>
      <c r="BB258" t="str">
        <f>IF(BA258="","",IFERROR(INDEX(wFirst,189)&amp;"",""))</f>
        <v/>
      </c>
      <c r="BC258" t="str">
        <f>IF(BA258="","",IFERROR(INDEX(wClass,189)&amp;"",""))</f>
        <v/>
      </c>
      <c r="BD258" t="str">
        <f>IF(BA258="","",IFERROR(INDEX(wKS2,189)+0,""))</f>
        <v/>
      </c>
      <c r="BE258" t="str">
        <f>IF(BA258="","",IFERROR(INDEX(wTests,189)+0,0))</f>
        <v/>
      </c>
      <c r="BF258" t="str">
        <f>IF(BA258="","",IFERROR(INDEX(wMean,189)+0,""))</f>
        <v/>
      </c>
      <c r="BG258" t="str">
        <f>IF(BA258="","",IFERROR(INDEX(wVs,189)+0,""))</f>
        <v/>
      </c>
      <c r="BH258" t="str">
        <f>IF(OR(BA258="",wLatest=""),"",IFERROR(INDEX(wData,189,MATCH(wLatest&amp;CHAR(10)&amp;"Stanine",wHdr,0))+0,""))</f>
        <v/>
      </c>
      <c r="BI258" t="str">
        <f>IF(BA258="","",IF(AND(ISNUMBER(BG258),N(BE258)&gt;=WlMinTests,BG258&lt;=-WlGap),"Below KS2 starting point",IF(AND(NOT(ISNUMBER(BD258)),ISNUMBER(BF258),N(BE258)&gt;=WlMinTests,BF258&lt;=WlLowMean),"Low results, no KS2 data","")))</f>
        <v/>
      </c>
      <c r="BJ258" t="str">
        <f>IF(BI258="","",IF(BI258="Below KS2 starting point",BG258,100+BF258)+ROW()/1000000)</f>
        <v/>
      </c>
    </row>
    <row r="259">
      <c r="H259" t="str">
        <f>IFERROR(INDEX(tblY7[Class],ROWS(H$10:H259))&amp;"","")</f>
        <v/>
      </c>
      <c r="I259" t="str">
        <f>IF(H259="","",IF(COUNTIF(H$10:H259,H259)=1,COUNTIF(H$10:H$609,"&lt;"&amp;H259)+1,""))</f>
        <v/>
      </c>
      <c r="J259" t="str">
        <f>IFERROR(INDEX(tblY8[Class],ROWS(J$10:J259))&amp;"","")</f>
        <v/>
      </c>
      <c r="K259" t="str">
        <f>IF(J259="","",IF(COUNTIF(J$10:J259,J259)=1,COUNTIF(J$10:J$609,"&lt;"&amp;J259)+1,""))</f>
        <v/>
      </c>
      <c r="L259" t="str">
        <f>IFERROR(INDEX(tblY9[Class],ROWS(L$10:L259))&amp;"","")</f>
        <v/>
      </c>
      <c r="M259" t="str">
        <f>IF(L259="","",IF(COUNTIF(L$10:L259,L259)=1,COUNTIF(L$10:L$609,"&lt;"&amp;L259)+1,""))</f>
        <v/>
      </c>
      <c r="N259" t="str">
        <f>IFERROR(INDEX(tblY10[Class],ROWS(N$10:N259))&amp;"","")</f>
        <v/>
      </c>
      <c r="O259" t="str">
        <f>IF(N259="","",IF(COUNTIF(N$10:N259,N259)=1,COUNTIF(N$10:N$609,"&lt;"&amp;N259)+1,""))</f>
        <v/>
      </c>
      <c r="P259" t="str">
        <f>IFERROR(INDEX(tblY11[Class],ROWS(P$10:P259))&amp;"","")</f>
        <v/>
      </c>
      <c r="Q259" t="str">
        <f>IF(P259="","",IF(COUNTIF(P$10:P259,P259)=1,COUNTIF(P$10:P$609,"&lt;"&amp;P259)+1,""))</f>
        <v/>
      </c>
      <c r="BA259" t="str">
        <f>IFERROR(INDEX(wLast,190)&amp;"","")</f>
        <v/>
      </c>
      <c r="BB259" t="str">
        <f>IF(BA259="","",IFERROR(INDEX(wFirst,190)&amp;"",""))</f>
        <v/>
      </c>
      <c r="BC259" t="str">
        <f>IF(BA259="","",IFERROR(INDEX(wClass,190)&amp;"",""))</f>
        <v/>
      </c>
      <c r="BD259" t="str">
        <f>IF(BA259="","",IFERROR(INDEX(wKS2,190)+0,""))</f>
        <v/>
      </c>
      <c r="BE259" t="str">
        <f>IF(BA259="","",IFERROR(INDEX(wTests,190)+0,0))</f>
        <v/>
      </c>
      <c r="BF259" t="str">
        <f>IF(BA259="","",IFERROR(INDEX(wMean,190)+0,""))</f>
        <v/>
      </c>
      <c r="BG259" t="str">
        <f>IF(BA259="","",IFERROR(INDEX(wVs,190)+0,""))</f>
        <v/>
      </c>
      <c r="BH259" t="str">
        <f>IF(OR(BA259="",wLatest=""),"",IFERROR(INDEX(wData,190,MATCH(wLatest&amp;CHAR(10)&amp;"Stanine",wHdr,0))+0,""))</f>
        <v/>
      </c>
      <c r="BI259" t="str">
        <f>IF(BA259="","",IF(AND(ISNUMBER(BG259),N(BE259)&gt;=WlMinTests,BG259&lt;=-WlGap),"Below KS2 starting point",IF(AND(NOT(ISNUMBER(BD259)),ISNUMBER(BF259),N(BE259)&gt;=WlMinTests,BF259&lt;=WlLowMean),"Low results, no KS2 data","")))</f>
        <v/>
      </c>
      <c r="BJ259" t="str">
        <f>IF(BI259="","",IF(BI259="Below KS2 starting point",BG259,100+BF259)+ROW()/1000000)</f>
        <v/>
      </c>
    </row>
    <row r="260">
      <c r="H260" t="str">
        <f>IFERROR(INDEX(tblY7[Class],ROWS(H$10:H260))&amp;"","")</f>
        <v/>
      </c>
      <c r="I260" t="str">
        <f>IF(H260="","",IF(COUNTIF(H$10:H260,H260)=1,COUNTIF(H$10:H$609,"&lt;"&amp;H260)+1,""))</f>
        <v/>
      </c>
      <c r="J260" t="str">
        <f>IFERROR(INDEX(tblY8[Class],ROWS(J$10:J260))&amp;"","")</f>
        <v/>
      </c>
      <c r="K260" t="str">
        <f>IF(J260="","",IF(COUNTIF(J$10:J260,J260)=1,COUNTIF(J$10:J$609,"&lt;"&amp;J260)+1,""))</f>
        <v/>
      </c>
      <c r="L260" t="str">
        <f>IFERROR(INDEX(tblY9[Class],ROWS(L$10:L260))&amp;"","")</f>
        <v/>
      </c>
      <c r="M260" t="str">
        <f>IF(L260="","",IF(COUNTIF(L$10:L260,L260)=1,COUNTIF(L$10:L$609,"&lt;"&amp;L260)+1,""))</f>
        <v/>
      </c>
      <c r="N260" t="str">
        <f>IFERROR(INDEX(tblY10[Class],ROWS(N$10:N260))&amp;"","")</f>
        <v/>
      </c>
      <c r="O260" t="str">
        <f>IF(N260="","",IF(COUNTIF(N$10:N260,N260)=1,COUNTIF(N$10:N$609,"&lt;"&amp;N260)+1,""))</f>
        <v/>
      </c>
      <c r="P260" t="str">
        <f>IFERROR(INDEX(tblY11[Class],ROWS(P$10:P260))&amp;"","")</f>
        <v/>
      </c>
      <c r="Q260" t="str">
        <f>IF(P260="","",IF(COUNTIF(P$10:P260,P260)=1,COUNTIF(P$10:P$609,"&lt;"&amp;P260)+1,""))</f>
        <v/>
      </c>
      <c r="BA260" t="str">
        <f>IFERROR(INDEX(wLast,191)&amp;"","")</f>
        <v/>
      </c>
      <c r="BB260" t="str">
        <f>IF(BA260="","",IFERROR(INDEX(wFirst,191)&amp;"",""))</f>
        <v/>
      </c>
      <c r="BC260" t="str">
        <f>IF(BA260="","",IFERROR(INDEX(wClass,191)&amp;"",""))</f>
        <v/>
      </c>
      <c r="BD260" t="str">
        <f>IF(BA260="","",IFERROR(INDEX(wKS2,191)+0,""))</f>
        <v/>
      </c>
      <c r="BE260" t="str">
        <f>IF(BA260="","",IFERROR(INDEX(wTests,191)+0,0))</f>
        <v/>
      </c>
      <c r="BF260" t="str">
        <f>IF(BA260="","",IFERROR(INDEX(wMean,191)+0,""))</f>
        <v/>
      </c>
      <c r="BG260" t="str">
        <f>IF(BA260="","",IFERROR(INDEX(wVs,191)+0,""))</f>
        <v/>
      </c>
      <c r="BH260" t="str">
        <f>IF(OR(BA260="",wLatest=""),"",IFERROR(INDEX(wData,191,MATCH(wLatest&amp;CHAR(10)&amp;"Stanine",wHdr,0))+0,""))</f>
        <v/>
      </c>
      <c r="BI260" t="str">
        <f>IF(BA260="","",IF(AND(ISNUMBER(BG260),N(BE260)&gt;=WlMinTests,BG260&lt;=-WlGap),"Below KS2 starting point",IF(AND(NOT(ISNUMBER(BD260)),ISNUMBER(BF260),N(BE260)&gt;=WlMinTests,BF260&lt;=WlLowMean),"Low results, no KS2 data","")))</f>
        <v/>
      </c>
      <c r="BJ260" t="str">
        <f>IF(BI260="","",IF(BI260="Below KS2 starting point",BG260,100+BF260)+ROW()/1000000)</f>
        <v/>
      </c>
    </row>
    <row r="261">
      <c r="H261" t="str">
        <f>IFERROR(INDEX(tblY7[Class],ROWS(H$10:H261))&amp;"","")</f>
        <v/>
      </c>
      <c r="I261" t="str">
        <f>IF(H261="","",IF(COUNTIF(H$10:H261,H261)=1,COUNTIF(H$10:H$609,"&lt;"&amp;H261)+1,""))</f>
        <v/>
      </c>
      <c r="J261" t="str">
        <f>IFERROR(INDEX(tblY8[Class],ROWS(J$10:J261))&amp;"","")</f>
        <v/>
      </c>
      <c r="K261" t="str">
        <f>IF(J261="","",IF(COUNTIF(J$10:J261,J261)=1,COUNTIF(J$10:J$609,"&lt;"&amp;J261)+1,""))</f>
        <v/>
      </c>
      <c r="L261" t="str">
        <f>IFERROR(INDEX(tblY9[Class],ROWS(L$10:L261))&amp;"","")</f>
        <v/>
      </c>
      <c r="M261" t="str">
        <f>IF(L261="","",IF(COUNTIF(L$10:L261,L261)=1,COUNTIF(L$10:L$609,"&lt;"&amp;L261)+1,""))</f>
        <v/>
      </c>
      <c r="N261" t="str">
        <f>IFERROR(INDEX(tblY10[Class],ROWS(N$10:N261))&amp;"","")</f>
        <v/>
      </c>
      <c r="O261" t="str">
        <f>IF(N261="","",IF(COUNTIF(N$10:N261,N261)=1,COUNTIF(N$10:N$609,"&lt;"&amp;N261)+1,""))</f>
        <v/>
      </c>
      <c r="P261" t="str">
        <f>IFERROR(INDEX(tblY11[Class],ROWS(P$10:P261))&amp;"","")</f>
        <v/>
      </c>
      <c r="Q261" t="str">
        <f>IF(P261="","",IF(COUNTIF(P$10:P261,P261)=1,COUNTIF(P$10:P$609,"&lt;"&amp;P261)+1,""))</f>
        <v/>
      </c>
      <c r="BA261" t="str">
        <f>IFERROR(INDEX(wLast,192)&amp;"","")</f>
        <v/>
      </c>
      <c r="BB261" t="str">
        <f>IF(BA261="","",IFERROR(INDEX(wFirst,192)&amp;"",""))</f>
        <v/>
      </c>
      <c r="BC261" t="str">
        <f>IF(BA261="","",IFERROR(INDEX(wClass,192)&amp;"",""))</f>
        <v/>
      </c>
      <c r="BD261" t="str">
        <f>IF(BA261="","",IFERROR(INDEX(wKS2,192)+0,""))</f>
        <v/>
      </c>
      <c r="BE261" t="str">
        <f>IF(BA261="","",IFERROR(INDEX(wTests,192)+0,0))</f>
        <v/>
      </c>
      <c r="BF261" t="str">
        <f>IF(BA261="","",IFERROR(INDEX(wMean,192)+0,""))</f>
        <v/>
      </c>
      <c r="BG261" t="str">
        <f>IF(BA261="","",IFERROR(INDEX(wVs,192)+0,""))</f>
        <v/>
      </c>
      <c r="BH261" t="str">
        <f>IF(OR(BA261="",wLatest=""),"",IFERROR(INDEX(wData,192,MATCH(wLatest&amp;CHAR(10)&amp;"Stanine",wHdr,0))+0,""))</f>
        <v/>
      </c>
      <c r="BI261" t="str">
        <f>IF(BA261="","",IF(AND(ISNUMBER(BG261),N(BE261)&gt;=WlMinTests,BG261&lt;=-WlGap),"Below KS2 starting point",IF(AND(NOT(ISNUMBER(BD261)),ISNUMBER(BF261),N(BE261)&gt;=WlMinTests,BF261&lt;=WlLowMean),"Low results, no KS2 data","")))</f>
        <v/>
      </c>
      <c r="BJ261" t="str">
        <f>IF(BI261="","",IF(BI261="Below KS2 starting point",BG261,100+BF261)+ROW()/1000000)</f>
        <v/>
      </c>
    </row>
    <row r="262">
      <c r="H262" t="str">
        <f>IFERROR(INDEX(tblY7[Class],ROWS(H$10:H262))&amp;"","")</f>
        <v/>
      </c>
      <c r="I262" t="str">
        <f>IF(H262="","",IF(COUNTIF(H$10:H262,H262)=1,COUNTIF(H$10:H$609,"&lt;"&amp;H262)+1,""))</f>
        <v/>
      </c>
      <c r="J262" t="str">
        <f>IFERROR(INDEX(tblY8[Class],ROWS(J$10:J262))&amp;"","")</f>
        <v/>
      </c>
      <c r="K262" t="str">
        <f>IF(J262="","",IF(COUNTIF(J$10:J262,J262)=1,COUNTIF(J$10:J$609,"&lt;"&amp;J262)+1,""))</f>
        <v/>
      </c>
      <c r="L262" t="str">
        <f>IFERROR(INDEX(tblY9[Class],ROWS(L$10:L262))&amp;"","")</f>
        <v/>
      </c>
      <c r="M262" t="str">
        <f>IF(L262="","",IF(COUNTIF(L$10:L262,L262)=1,COUNTIF(L$10:L$609,"&lt;"&amp;L262)+1,""))</f>
        <v/>
      </c>
      <c r="N262" t="str">
        <f>IFERROR(INDEX(tblY10[Class],ROWS(N$10:N262))&amp;"","")</f>
        <v/>
      </c>
      <c r="O262" t="str">
        <f>IF(N262="","",IF(COUNTIF(N$10:N262,N262)=1,COUNTIF(N$10:N$609,"&lt;"&amp;N262)+1,""))</f>
        <v/>
      </c>
      <c r="P262" t="str">
        <f>IFERROR(INDEX(tblY11[Class],ROWS(P$10:P262))&amp;"","")</f>
        <v/>
      </c>
      <c r="Q262" t="str">
        <f>IF(P262="","",IF(COUNTIF(P$10:P262,P262)=1,COUNTIF(P$10:P$609,"&lt;"&amp;P262)+1,""))</f>
        <v/>
      </c>
      <c r="BA262" t="str">
        <f>IFERROR(INDEX(wLast,193)&amp;"","")</f>
        <v/>
      </c>
      <c r="BB262" t="str">
        <f>IF(BA262="","",IFERROR(INDEX(wFirst,193)&amp;"",""))</f>
        <v/>
      </c>
      <c r="BC262" t="str">
        <f>IF(BA262="","",IFERROR(INDEX(wClass,193)&amp;"",""))</f>
        <v/>
      </c>
      <c r="BD262" t="str">
        <f>IF(BA262="","",IFERROR(INDEX(wKS2,193)+0,""))</f>
        <v/>
      </c>
      <c r="BE262" t="str">
        <f>IF(BA262="","",IFERROR(INDEX(wTests,193)+0,0))</f>
        <v/>
      </c>
      <c r="BF262" t="str">
        <f>IF(BA262="","",IFERROR(INDEX(wMean,193)+0,""))</f>
        <v/>
      </c>
      <c r="BG262" t="str">
        <f>IF(BA262="","",IFERROR(INDEX(wVs,193)+0,""))</f>
        <v/>
      </c>
      <c r="BH262" t="str">
        <f>IF(OR(BA262="",wLatest=""),"",IFERROR(INDEX(wData,193,MATCH(wLatest&amp;CHAR(10)&amp;"Stanine",wHdr,0))+0,""))</f>
        <v/>
      </c>
      <c r="BI262" t="str">
        <f>IF(BA262="","",IF(AND(ISNUMBER(BG262),N(BE262)&gt;=WlMinTests,BG262&lt;=-WlGap),"Below KS2 starting point",IF(AND(NOT(ISNUMBER(BD262)),ISNUMBER(BF262),N(BE262)&gt;=WlMinTests,BF262&lt;=WlLowMean),"Low results, no KS2 data","")))</f>
        <v/>
      </c>
      <c r="BJ262" t="str">
        <f>IF(BI262="","",IF(BI262="Below KS2 starting point",BG262,100+BF262)+ROW()/1000000)</f>
        <v/>
      </c>
    </row>
    <row r="263">
      <c r="H263" t="str">
        <f>IFERROR(INDEX(tblY7[Class],ROWS(H$10:H263))&amp;"","")</f>
        <v/>
      </c>
      <c r="I263" t="str">
        <f>IF(H263="","",IF(COUNTIF(H$10:H263,H263)=1,COUNTIF(H$10:H$609,"&lt;"&amp;H263)+1,""))</f>
        <v/>
      </c>
      <c r="J263" t="str">
        <f>IFERROR(INDEX(tblY8[Class],ROWS(J$10:J263))&amp;"","")</f>
        <v/>
      </c>
      <c r="K263" t="str">
        <f>IF(J263="","",IF(COUNTIF(J$10:J263,J263)=1,COUNTIF(J$10:J$609,"&lt;"&amp;J263)+1,""))</f>
        <v/>
      </c>
      <c r="L263" t="str">
        <f>IFERROR(INDEX(tblY9[Class],ROWS(L$10:L263))&amp;"","")</f>
        <v/>
      </c>
      <c r="M263" t="str">
        <f>IF(L263="","",IF(COUNTIF(L$10:L263,L263)=1,COUNTIF(L$10:L$609,"&lt;"&amp;L263)+1,""))</f>
        <v/>
      </c>
      <c r="N263" t="str">
        <f>IFERROR(INDEX(tblY10[Class],ROWS(N$10:N263))&amp;"","")</f>
        <v/>
      </c>
      <c r="O263" t="str">
        <f>IF(N263="","",IF(COUNTIF(N$10:N263,N263)=1,COUNTIF(N$10:N$609,"&lt;"&amp;N263)+1,""))</f>
        <v/>
      </c>
      <c r="P263" t="str">
        <f>IFERROR(INDEX(tblY11[Class],ROWS(P$10:P263))&amp;"","")</f>
        <v/>
      </c>
      <c r="Q263" t="str">
        <f>IF(P263="","",IF(COUNTIF(P$10:P263,P263)=1,COUNTIF(P$10:P$609,"&lt;"&amp;P263)+1,""))</f>
        <v/>
      </c>
      <c r="BA263" t="str">
        <f>IFERROR(INDEX(wLast,194)&amp;"","")</f>
        <v/>
      </c>
      <c r="BB263" t="str">
        <f>IF(BA263="","",IFERROR(INDEX(wFirst,194)&amp;"",""))</f>
        <v/>
      </c>
      <c r="BC263" t="str">
        <f>IF(BA263="","",IFERROR(INDEX(wClass,194)&amp;"",""))</f>
        <v/>
      </c>
      <c r="BD263" t="str">
        <f>IF(BA263="","",IFERROR(INDEX(wKS2,194)+0,""))</f>
        <v/>
      </c>
      <c r="BE263" t="str">
        <f>IF(BA263="","",IFERROR(INDEX(wTests,194)+0,0))</f>
        <v/>
      </c>
      <c r="BF263" t="str">
        <f>IF(BA263="","",IFERROR(INDEX(wMean,194)+0,""))</f>
        <v/>
      </c>
      <c r="BG263" t="str">
        <f>IF(BA263="","",IFERROR(INDEX(wVs,194)+0,""))</f>
        <v/>
      </c>
      <c r="BH263" t="str">
        <f>IF(OR(BA263="",wLatest=""),"",IFERROR(INDEX(wData,194,MATCH(wLatest&amp;CHAR(10)&amp;"Stanine",wHdr,0))+0,""))</f>
        <v/>
      </c>
      <c r="BI263" t="str">
        <f>IF(BA263="","",IF(AND(ISNUMBER(BG263),N(BE263)&gt;=WlMinTests,BG263&lt;=-WlGap),"Below KS2 starting point",IF(AND(NOT(ISNUMBER(BD263)),ISNUMBER(BF263),N(BE263)&gt;=WlMinTests,BF263&lt;=WlLowMean),"Low results, no KS2 data","")))</f>
        <v/>
      </c>
      <c r="BJ263" t="str">
        <f>IF(BI263="","",IF(BI263="Below KS2 starting point",BG263,100+BF263)+ROW()/1000000)</f>
        <v/>
      </c>
    </row>
    <row r="264">
      <c r="H264" t="str">
        <f>IFERROR(INDEX(tblY7[Class],ROWS(H$10:H264))&amp;"","")</f>
        <v/>
      </c>
      <c r="I264" t="str">
        <f>IF(H264="","",IF(COUNTIF(H$10:H264,H264)=1,COUNTIF(H$10:H$609,"&lt;"&amp;H264)+1,""))</f>
        <v/>
      </c>
      <c r="J264" t="str">
        <f>IFERROR(INDEX(tblY8[Class],ROWS(J$10:J264))&amp;"","")</f>
        <v/>
      </c>
      <c r="K264" t="str">
        <f>IF(J264="","",IF(COUNTIF(J$10:J264,J264)=1,COUNTIF(J$10:J$609,"&lt;"&amp;J264)+1,""))</f>
        <v/>
      </c>
      <c r="L264" t="str">
        <f>IFERROR(INDEX(tblY9[Class],ROWS(L$10:L264))&amp;"","")</f>
        <v/>
      </c>
      <c r="M264" t="str">
        <f>IF(L264="","",IF(COUNTIF(L$10:L264,L264)=1,COUNTIF(L$10:L$609,"&lt;"&amp;L264)+1,""))</f>
        <v/>
      </c>
      <c r="N264" t="str">
        <f>IFERROR(INDEX(tblY10[Class],ROWS(N$10:N264))&amp;"","")</f>
        <v/>
      </c>
      <c r="O264" t="str">
        <f>IF(N264="","",IF(COUNTIF(N$10:N264,N264)=1,COUNTIF(N$10:N$609,"&lt;"&amp;N264)+1,""))</f>
        <v/>
      </c>
      <c r="P264" t="str">
        <f>IFERROR(INDEX(tblY11[Class],ROWS(P$10:P264))&amp;"","")</f>
        <v/>
      </c>
      <c r="Q264" t="str">
        <f>IF(P264="","",IF(COUNTIF(P$10:P264,P264)=1,COUNTIF(P$10:P$609,"&lt;"&amp;P264)+1,""))</f>
        <v/>
      </c>
      <c r="BA264" t="str">
        <f>IFERROR(INDEX(wLast,195)&amp;"","")</f>
        <v/>
      </c>
      <c r="BB264" t="str">
        <f>IF(BA264="","",IFERROR(INDEX(wFirst,195)&amp;"",""))</f>
        <v/>
      </c>
      <c r="BC264" t="str">
        <f>IF(BA264="","",IFERROR(INDEX(wClass,195)&amp;"",""))</f>
        <v/>
      </c>
      <c r="BD264" t="str">
        <f>IF(BA264="","",IFERROR(INDEX(wKS2,195)+0,""))</f>
        <v/>
      </c>
      <c r="BE264" t="str">
        <f>IF(BA264="","",IFERROR(INDEX(wTests,195)+0,0))</f>
        <v/>
      </c>
      <c r="BF264" t="str">
        <f>IF(BA264="","",IFERROR(INDEX(wMean,195)+0,""))</f>
        <v/>
      </c>
      <c r="BG264" t="str">
        <f>IF(BA264="","",IFERROR(INDEX(wVs,195)+0,""))</f>
        <v/>
      </c>
      <c r="BH264" t="str">
        <f>IF(OR(BA264="",wLatest=""),"",IFERROR(INDEX(wData,195,MATCH(wLatest&amp;CHAR(10)&amp;"Stanine",wHdr,0))+0,""))</f>
        <v/>
      </c>
      <c r="BI264" t="str">
        <f>IF(BA264="","",IF(AND(ISNUMBER(BG264),N(BE264)&gt;=WlMinTests,BG264&lt;=-WlGap),"Below KS2 starting point",IF(AND(NOT(ISNUMBER(BD264)),ISNUMBER(BF264),N(BE264)&gt;=WlMinTests,BF264&lt;=WlLowMean),"Low results, no KS2 data","")))</f>
        <v/>
      </c>
      <c r="BJ264" t="str">
        <f>IF(BI264="","",IF(BI264="Below KS2 starting point",BG264,100+BF264)+ROW()/1000000)</f>
        <v/>
      </c>
    </row>
    <row r="265">
      <c r="H265" t="str">
        <f>IFERROR(INDEX(tblY7[Class],ROWS(H$10:H265))&amp;"","")</f>
        <v/>
      </c>
      <c r="I265" t="str">
        <f>IF(H265="","",IF(COUNTIF(H$10:H265,H265)=1,COUNTIF(H$10:H$609,"&lt;"&amp;H265)+1,""))</f>
        <v/>
      </c>
      <c r="J265" t="str">
        <f>IFERROR(INDEX(tblY8[Class],ROWS(J$10:J265))&amp;"","")</f>
        <v/>
      </c>
      <c r="K265" t="str">
        <f>IF(J265="","",IF(COUNTIF(J$10:J265,J265)=1,COUNTIF(J$10:J$609,"&lt;"&amp;J265)+1,""))</f>
        <v/>
      </c>
      <c r="L265" t="str">
        <f>IFERROR(INDEX(tblY9[Class],ROWS(L$10:L265))&amp;"","")</f>
        <v/>
      </c>
      <c r="M265" t="str">
        <f>IF(L265="","",IF(COUNTIF(L$10:L265,L265)=1,COUNTIF(L$10:L$609,"&lt;"&amp;L265)+1,""))</f>
        <v/>
      </c>
      <c r="N265" t="str">
        <f>IFERROR(INDEX(tblY10[Class],ROWS(N$10:N265))&amp;"","")</f>
        <v/>
      </c>
      <c r="O265" t="str">
        <f>IF(N265="","",IF(COUNTIF(N$10:N265,N265)=1,COUNTIF(N$10:N$609,"&lt;"&amp;N265)+1,""))</f>
        <v/>
      </c>
      <c r="P265" t="str">
        <f>IFERROR(INDEX(tblY11[Class],ROWS(P$10:P265))&amp;"","")</f>
        <v/>
      </c>
      <c r="Q265" t="str">
        <f>IF(P265="","",IF(COUNTIF(P$10:P265,P265)=1,COUNTIF(P$10:P$609,"&lt;"&amp;P265)+1,""))</f>
        <v/>
      </c>
      <c r="BA265" t="str">
        <f>IFERROR(INDEX(wLast,196)&amp;"","")</f>
        <v/>
      </c>
      <c r="BB265" t="str">
        <f>IF(BA265="","",IFERROR(INDEX(wFirst,196)&amp;"",""))</f>
        <v/>
      </c>
      <c r="BC265" t="str">
        <f>IF(BA265="","",IFERROR(INDEX(wClass,196)&amp;"",""))</f>
        <v/>
      </c>
      <c r="BD265" t="str">
        <f>IF(BA265="","",IFERROR(INDEX(wKS2,196)+0,""))</f>
        <v/>
      </c>
      <c r="BE265" t="str">
        <f>IF(BA265="","",IFERROR(INDEX(wTests,196)+0,0))</f>
        <v/>
      </c>
      <c r="BF265" t="str">
        <f>IF(BA265="","",IFERROR(INDEX(wMean,196)+0,""))</f>
        <v/>
      </c>
      <c r="BG265" t="str">
        <f>IF(BA265="","",IFERROR(INDEX(wVs,196)+0,""))</f>
        <v/>
      </c>
      <c r="BH265" t="str">
        <f>IF(OR(BA265="",wLatest=""),"",IFERROR(INDEX(wData,196,MATCH(wLatest&amp;CHAR(10)&amp;"Stanine",wHdr,0))+0,""))</f>
        <v/>
      </c>
      <c r="BI265" t="str">
        <f>IF(BA265="","",IF(AND(ISNUMBER(BG265),N(BE265)&gt;=WlMinTests,BG265&lt;=-WlGap),"Below KS2 starting point",IF(AND(NOT(ISNUMBER(BD265)),ISNUMBER(BF265),N(BE265)&gt;=WlMinTests,BF265&lt;=WlLowMean),"Low results, no KS2 data","")))</f>
        <v/>
      </c>
      <c r="BJ265" t="str">
        <f>IF(BI265="","",IF(BI265="Below KS2 starting point",BG265,100+BF265)+ROW()/1000000)</f>
        <v/>
      </c>
    </row>
    <row r="266">
      <c r="H266" t="str">
        <f>IFERROR(INDEX(tblY7[Class],ROWS(H$10:H266))&amp;"","")</f>
        <v/>
      </c>
      <c r="I266" t="str">
        <f>IF(H266="","",IF(COUNTIF(H$10:H266,H266)=1,COUNTIF(H$10:H$609,"&lt;"&amp;H266)+1,""))</f>
        <v/>
      </c>
      <c r="J266" t="str">
        <f>IFERROR(INDEX(tblY8[Class],ROWS(J$10:J266))&amp;"","")</f>
        <v/>
      </c>
      <c r="K266" t="str">
        <f>IF(J266="","",IF(COUNTIF(J$10:J266,J266)=1,COUNTIF(J$10:J$609,"&lt;"&amp;J266)+1,""))</f>
        <v/>
      </c>
      <c r="L266" t="str">
        <f>IFERROR(INDEX(tblY9[Class],ROWS(L$10:L266))&amp;"","")</f>
        <v/>
      </c>
      <c r="M266" t="str">
        <f>IF(L266="","",IF(COUNTIF(L$10:L266,L266)=1,COUNTIF(L$10:L$609,"&lt;"&amp;L266)+1,""))</f>
        <v/>
      </c>
      <c r="N266" t="str">
        <f>IFERROR(INDEX(tblY10[Class],ROWS(N$10:N266))&amp;"","")</f>
        <v/>
      </c>
      <c r="O266" t="str">
        <f>IF(N266="","",IF(COUNTIF(N$10:N266,N266)=1,COUNTIF(N$10:N$609,"&lt;"&amp;N266)+1,""))</f>
        <v/>
      </c>
      <c r="P266" t="str">
        <f>IFERROR(INDEX(tblY11[Class],ROWS(P$10:P266))&amp;"","")</f>
        <v/>
      </c>
      <c r="Q266" t="str">
        <f>IF(P266="","",IF(COUNTIF(P$10:P266,P266)=1,COUNTIF(P$10:P$609,"&lt;"&amp;P266)+1,""))</f>
        <v/>
      </c>
      <c r="BA266" t="str">
        <f>IFERROR(INDEX(wLast,197)&amp;"","")</f>
        <v/>
      </c>
      <c r="BB266" t="str">
        <f>IF(BA266="","",IFERROR(INDEX(wFirst,197)&amp;"",""))</f>
        <v/>
      </c>
      <c r="BC266" t="str">
        <f>IF(BA266="","",IFERROR(INDEX(wClass,197)&amp;"",""))</f>
        <v/>
      </c>
      <c r="BD266" t="str">
        <f>IF(BA266="","",IFERROR(INDEX(wKS2,197)+0,""))</f>
        <v/>
      </c>
      <c r="BE266" t="str">
        <f>IF(BA266="","",IFERROR(INDEX(wTests,197)+0,0))</f>
        <v/>
      </c>
      <c r="BF266" t="str">
        <f>IF(BA266="","",IFERROR(INDEX(wMean,197)+0,""))</f>
        <v/>
      </c>
      <c r="BG266" t="str">
        <f>IF(BA266="","",IFERROR(INDEX(wVs,197)+0,""))</f>
        <v/>
      </c>
      <c r="BH266" t="str">
        <f>IF(OR(BA266="",wLatest=""),"",IFERROR(INDEX(wData,197,MATCH(wLatest&amp;CHAR(10)&amp;"Stanine",wHdr,0))+0,""))</f>
        <v/>
      </c>
      <c r="BI266" t="str">
        <f>IF(BA266="","",IF(AND(ISNUMBER(BG266),N(BE266)&gt;=WlMinTests,BG266&lt;=-WlGap),"Below KS2 starting point",IF(AND(NOT(ISNUMBER(BD266)),ISNUMBER(BF266),N(BE266)&gt;=WlMinTests,BF266&lt;=WlLowMean),"Low results, no KS2 data","")))</f>
        <v/>
      </c>
      <c r="BJ266" t="str">
        <f>IF(BI266="","",IF(BI266="Below KS2 starting point",BG266,100+BF266)+ROW()/1000000)</f>
        <v/>
      </c>
    </row>
    <row r="267">
      <c r="H267" t="str">
        <f>IFERROR(INDEX(tblY7[Class],ROWS(H$10:H267))&amp;"","")</f>
        <v/>
      </c>
      <c r="I267" t="str">
        <f>IF(H267="","",IF(COUNTIF(H$10:H267,H267)=1,COUNTIF(H$10:H$609,"&lt;"&amp;H267)+1,""))</f>
        <v/>
      </c>
      <c r="J267" t="str">
        <f>IFERROR(INDEX(tblY8[Class],ROWS(J$10:J267))&amp;"","")</f>
        <v/>
      </c>
      <c r="K267" t="str">
        <f>IF(J267="","",IF(COUNTIF(J$10:J267,J267)=1,COUNTIF(J$10:J$609,"&lt;"&amp;J267)+1,""))</f>
        <v/>
      </c>
      <c r="L267" t="str">
        <f>IFERROR(INDEX(tblY9[Class],ROWS(L$10:L267))&amp;"","")</f>
        <v/>
      </c>
      <c r="M267" t="str">
        <f>IF(L267="","",IF(COUNTIF(L$10:L267,L267)=1,COUNTIF(L$10:L$609,"&lt;"&amp;L267)+1,""))</f>
        <v/>
      </c>
      <c r="N267" t="str">
        <f>IFERROR(INDEX(tblY10[Class],ROWS(N$10:N267))&amp;"","")</f>
        <v/>
      </c>
      <c r="O267" t="str">
        <f>IF(N267="","",IF(COUNTIF(N$10:N267,N267)=1,COUNTIF(N$10:N$609,"&lt;"&amp;N267)+1,""))</f>
        <v/>
      </c>
      <c r="P267" t="str">
        <f>IFERROR(INDEX(tblY11[Class],ROWS(P$10:P267))&amp;"","")</f>
        <v/>
      </c>
      <c r="Q267" t="str">
        <f>IF(P267="","",IF(COUNTIF(P$10:P267,P267)=1,COUNTIF(P$10:P$609,"&lt;"&amp;P267)+1,""))</f>
        <v/>
      </c>
      <c r="BA267" t="str">
        <f>IFERROR(INDEX(wLast,198)&amp;"","")</f>
        <v/>
      </c>
      <c r="BB267" t="str">
        <f>IF(BA267="","",IFERROR(INDEX(wFirst,198)&amp;"",""))</f>
        <v/>
      </c>
      <c r="BC267" t="str">
        <f>IF(BA267="","",IFERROR(INDEX(wClass,198)&amp;"",""))</f>
        <v/>
      </c>
      <c r="BD267" t="str">
        <f>IF(BA267="","",IFERROR(INDEX(wKS2,198)+0,""))</f>
        <v/>
      </c>
      <c r="BE267" t="str">
        <f>IF(BA267="","",IFERROR(INDEX(wTests,198)+0,0))</f>
        <v/>
      </c>
      <c r="BF267" t="str">
        <f>IF(BA267="","",IFERROR(INDEX(wMean,198)+0,""))</f>
        <v/>
      </c>
      <c r="BG267" t="str">
        <f>IF(BA267="","",IFERROR(INDEX(wVs,198)+0,""))</f>
        <v/>
      </c>
      <c r="BH267" t="str">
        <f>IF(OR(BA267="",wLatest=""),"",IFERROR(INDEX(wData,198,MATCH(wLatest&amp;CHAR(10)&amp;"Stanine",wHdr,0))+0,""))</f>
        <v/>
      </c>
      <c r="BI267" t="str">
        <f>IF(BA267="","",IF(AND(ISNUMBER(BG267),N(BE267)&gt;=WlMinTests,BG267&lt;=-WlGap),"Below KS2 starting point",IF(AND(NOT(ISNUMBER(BD267)),ISNUMBER(BF267),N(BE267)&gt;=WlMinTests,BF267&lt;=WlLowMean),"Low results, no KS2 data","")))</f>
        <v/>
      </c>
      <c r="BJ267" t="str">
        <f>IF(BI267="","",IF(BI267="Below KS2 starting point",BG267,100+BF267)+ROW()/1000000)</f>
        <v/>
      </c>
    </row>
    <row r="268">
      <c r="H268" t="str">
        <f>IFERROR(INDEX(tblY7[Class],ROWS(H$10:H268))&amp;"","")</f>
        <v/>
      </c>
      <c r="I268" t="str">
        <f>IF(H268="","",IF(COUNTIF(H$10:H268,H268)=1,COUNTIF(H$10:H$609,"&lt;"&amp;H268)+1,""))</f>
        <v/>
      </c>
      <c r="J268" t="str">
        <f>IFERROR(INDEX(tblY8[Class],ROWS(J$10:J268))&amp;"","")</f>
        <v/>
      </c>
      <c r="K268" t="str">
        <f>IF(J268="","",IF(COUNTIF(J$10:J268,J268)=1,COUNTIF(J$10:J$609,"&lt;"&amp;J268)+1,""))</f>
        <v/>
      </c>
      <c r="L268" t="str">
        <f>IFERROR(INDEX(tblY9[Class],ROWS(L$10:L268))&amp;"","")</f>
        <v/>
      </c>
      <c r="M268" t="str">
        <f>IF(L268="","",IF(COUNTIF(L$10:L268,L268)=1,COUNTIF(L$10:L$609,"&lt;"&amp;L268)+1,""))</f>
        <v/>
      </c>
      <c r="N268" t="str">
        <f>IFERROR(INDEX(tblY10[Class],ROWS(N$10:N268))&amp;"","")</f>
        <v/>
      </c>
      <c r="O268" t="str">
        <f>IF(N268="","",IF(COUNTIF(N$10:N268,N268)=1,COUNTIF(N$10:N$609,"&lt;"&amp;N268)+1,""))</f>
        <v/>
      </c>
      <c r="P268" t="str">
        <f>IFERROR(INDEX(tblY11[Class],ROWS(P$10:P268))&amp;"","")</f>
        <v/>
      </c>
      <c r="Q268" t="str">
        <f>IF(P268="","",IF(COUNTIF(P$10:P268,P268)=1,COUNTIF(P$10:P$609,"&lt;"&amp;P268)+1,""))</f>
        <v/>
      </c>
      <c r="BA268" t="str">
        <f>IFERROR(INDEX(wLast,199)&amp;"","")</f>
        <v/>
      </c>
      <c r="BB268" t="str">
        <f>IF(BA268="","",IFERROR(INDEX(wFirst,199)&amp;"",""))</f>
        <v/>
      </c>
      <c r="BC268" t="str">
        <f>IF(BA268="","",IFERROR(INDEX(wClass,199)&amp;"",""))</f>
        <v/>
      </c>
      <c r="BD268" t="str">
        <f>IF(BA268="","",IFERROR(INDEX(wKS2,199)+0,""))</f>
        <v/>
      </c>
      <c r="BE268" t="str">
        <f>IF(BA268="","",IFERROR(INDEX(wTests,199)+0,0))</f>
        <v/>
      </c>
      <c r="BF268" t="str">
        <f>IF(BA268="","",IFERROR(INDEX(wMean,199)+0,""))</f>
        <v/>
      </c>
      <c r="BG268" t="str">
        <f>IF(BA268="","",IFERROR(INDEX(wVs,199)+0,""))</f>
        <v/>
      </c>
      <c r="BH268" t="str">
        <f>IF(OR(BA268="",wLatest=""),"",IFERROR(INDEX(wData,199,MATCH(wLatest&amp;CHAR(10)&amp;"Stanine",wHdr,0))+0,""))</f>
        <v/>
      </c>
      <c r="BI268" t="str">
        <f>IF(BA268="","",IF(AND(ISNUMBER(BG268),N(BE268)&gt;=WlMinTests,BG268&lt;=-WlGap),"Below KS2 starting point",IF(AND(NOT(ISNUMBER(BD268)),ISNUMBER(BF268),N(BE268)&gt;=WlMinTests,BF268&lt;=WlLowMean),"Low results, no KS2 data","")))</f>
        <v/>
      </c>
      <c r="BJ268" t="str">
        <f>IF(BI268="","",IF(BI268="Below KS2 starting point",BG268,100+BF268)+ROW()/1000000)</f>
        <v/>
      </c>
    </row>
    <row r="269">
      <c r="H269" t="str">
        <f>IFERROR(INDEX(tblY7[Class],ROWS(H$10:H269))&amp;"","")</f>
        <v/>
      </c>
      <c r="I269" t="str">
        <f>IF(H269="","",IF(COUNTIF(H$10:H269,H269)=1,COUNTIF(H$10:H$609,"&lt;"&amp;H269)+1,""))</f>
        <v/>
      </c>
      <c r="J269" t="str">
        <f>IFERROR(INDEX(tblY8[Class],ROWS(J$10:J269))&amp;"","")</f>
        <v/>
      </c>
      <c r="K269" t="str">
        <f>IF(J269="","",IF(COUNTIF(J$10:J269,J269)=1,COUNTIF(J$10:J$609,"&lt;"&amp;J269)+1,""))</f>
        <v/>
      </c>
      <c r="L269" t="str">
        <f>IFERROR(INDEX(tblY9[Class],ROWS(L$10:L269))&amp;"","")</f>
        <v/>
      </c>
      <c r="M269" t="str">
        <f>IF(L269="","",IF(COUNTIF(L$10:L269,L269)=1,COUNTIF(L$10:L$609,"&lt;"&amp;L269)+1,""))</f>
        <v/>
      </c>
      <c r="N269" t="str">
        <f>IFERROR(INDEX(tblY10[Class],ROWS(N$10:N269))&amp;"","")</f>
        <v/>
      </c>
      <c r="O269" t="str">
        <f>IF(N269="","",IF(COUNTIF(N$10:N269,N269)=1,COUNTIF(N$10:N$609,"&lt;"&amp;N269)+1,""))</f>
        <v/>
      </c>
      <c r="P269" t="str">
        <f>IFERROR(INDEX(tblY11[Class],ROWS(P$10:P269))&amp;"","")</f>
        <v/>
      </c>
      <c r="Q269" t="str">
        <f>IF(P269="","",IF(COUNTIF(P$10:P269,P269)=1,COUNTIF(P$10:P$609,"&lt;"&amp;P269)+1,""))</f>
        <v/>
      </c>
      <c r="BA269" t="str">
        <f>IFERROR(INDEX(wLast,200)&amp;"","")</f>
        <v/>
      </c>
      <c r="BB269" t="str">
        <f>IF(BA269="","",IFERROR(INDEX(wFirst,200)&amp;"",""))</f>
        <v/>
      </c>
      <c r="BC269" t="str">
        <f>IF(BA269="","",IFERROR(INDEX(wClass,200)&amp;"",""))</f>
        <v/>
      </c>
      <c r="BD269" t="str">
        <f>IF(BA269="","",IFERROR(INDEX(wKS2,200)+0,""))</f>
        <v/>
      </c>
      <c r="BE269" t="str">
        <f>IF(BA269="","",IFERROR(INDEX(wTests,200)+0,0))</f>
        <v/>
      </c>
      <c r="BF269" t="str">
        <f>IF(BA269="","",IFERROR(INDEX(wMean,200)+0,""))</f>
        <v/>
      </c>
      <c r="BG269" t="str">
        <f>IF(BA269="","",IFERROR(INDEX(wVs,200)+0,""))</f>
        <v/>
      </c>
      <c r="BH269" t="str">
        <f>IF(OR(BA269="",wLatest=""),"",IFERROR(INDEX(wData,200,MATCH(wLatest&amp;CHAR(10)&amp;"Stanine",wHdr,0))+0,""))</f>
        <v/>
      </c>
      <c r="BI269" t="str">
        <f>IF(BA269="","",IF(AND(ISNUMBER(BG269),N(BE269)&gt;=WlMinTests,BG269&lt;=-WlGap),"Below KS2 starting point",IF(AND(NOT(ISNUMBER(BD269)),ISNUMBER(BF269),N(BE269)&gt;=WlMinTests,BF269&lt;=WlLowMean),"Low results, no KS2 data","")))</f>
        <v/>
      </c>
      <c r="BJ269" t="str">
        <f>IF(BI269="","",IF(BI269="Below KS2 starting point",BG269,100+BF269)+ROW()/1000000)</f>
        <v/>
      </c>
    </row>
    <row r="270">
      <c r="H270" t="str">
        <f>IFERROR(INDEX(tblY7[Class],ROWS(H$10:H270))&amp;"","")</f>
        <v/>
      </c>
      <c r="I270" t="str">
        <f>IF(H270="","",IF(COUNTIF(H$10:H270,H270)=1,COUNTIF(H$10:H$609,"&lt;"&amp;H270)+1,""))</f>
        <v/>
      </c>
      <c r="J270" t="str">
        <f>IFERROR(INDEX(tblY8[Class],ROWS(J$10:J270))&amp;"","")</f>
        <v/>
      </c>
      <c r="K270" t="str">
        <f>IF(J270="","",IF(COUNTIF(J$10:J270,J270)=1,COUNTIF(J$10:J$609,"&lt;"&amp;J270)+1,""))</f>
        <v/>
      </c>
      <c r="L270" t="str">
        <f>IFERROR(INDEX(tblY9[Class],ROWS(L$10:L270))&amp;"","")</f>
        <v/>
      </c>
      <c r="M270" t="str">
        <f>IF(L270="","",IF(COUNTIF(L$10:L270,L270)=1,COUNTIF(L$10:L$609,"&lt;"&amp;L270)+1,""))</f>
        <v/>
      </c>
      <c r="N270" t="str">
        <f>IFERROR(INDEX(tblY10[Class],ROWS(N$10:N270))&amp;"","")</f>
        <v/>
      </c>
      <c r="O270" t="str">
        <f>IF(N270="","",IF(COUNTIF(N$10:N270,N270)=1,COUNTIF(N$10:N$609,"&lt;"&amp;N270)+1,""))</f>
        <v/>
      </c>
      <c r="P270" t="str">
        <f>IFERROR(INDEX(tblY11[Class],ROWS(P$10:P270))&amp;"","")</f>
        <v/>
      </c>
      <c r="Q270" t="str">
        <f>IF(P270="","",IF(COUNTIF(P$10:P270,P270)=1,COUNTIF(P$10:P$609,"&lt;"&amp;P270)+1,""))</f>
        <v/>
      </c>
      <c r="BA270" t="str">
        <f>IFERROR(INDEX(wLast,201)&amp;"","")</f>
        <v/>
      </c>
      <c r="BB270" t="str">
        <f>IF(BA270="","",IFERROR(INDEX(wFirst,201)&amp;"",""))</f>
        <v/>
      </c>
      <c r="BC270" t="str">
        <f>IF(BA270="","",IFERROR(INDEX(wClass,201)&amp;"",""))</f>
        <v/>
      </c>
      <c r="BD270" t="str">
        <f>IF(BA270="","",IFERROR(INDEX(wKS2,201)+0,""))</f>
        <v/>
      </c>
      <c r="BE270" t="str">
        <f>IF(BA270="","",IFERROR(INDEX(wTests,201)+0,0))</f>
        <v/>
      </c>
      <c r="BF270" t="str">
        <f>IF(BA270="","",IFERROR(INDEX(wMean,201)+0,""))</f>
        <v/>
      </c>
      <c r="BG270" t="str">
        <f>IF(BA270="","",IFERROR(INDEX(wVs,201)+0,""))</f>
        <v/>
      </c>
      <c r="BH270" t="str">
        <f>IF(OR(BA270="",wLatest=""),"",IFERROR(INDEX(wData,201,MATCH(wLatest&amp;CHAR(10)&amp;"Stanine",wHdr,0))+0,""))</f>
        <v/>
      </c>
      <c r="BI270" t="str">
        <f>IF(BA270="","",IF(AND(ISNUMBER(BG270),N(BE270)&gt;=WlMinTests,BG270&lt;=-WlGap),"Below KS2 starting point",IF(AND(NOT(ISNUMBER(BD270)),ISNUMBER(BF270),N(BE270)&gt;=WlMinTests,BF270&lt;=WlLowMean),"Low results, no KS2 data","")))</f>
        <v/>
      </c>
      <c r="BJ270" t="str">
        <f>IF(BI270="","",IF(BI270="Below KS2 starting point",BG270,100+BF270)+ROW()/1000000)</f>
        <v/>
      </c>
    </row>
    <row r="271">
      <c r="H271" t="str">
        <f>IFERROR(INDEX(tblY7[Class],ROWS(H$10:H271))&amp;"","")</f>
        <v/>
      </c>
      <c r="I271" t="str">
        <f>IF(H271="","",IF(COUNTIF(H$10:H271,H271)=1,COUNTIF(H$10:H$609,"&lt;"&amp;H271)+1,""))</f>
        <v/>
      </c>
      <c r="J271" t="str">
        <f>IFERROR(INDEX(tblY8[Class],ROWS(J$10:J271))&amp;"","")</f>
        <v/>
      </c>
      <c r="K271" t="str">
        <f>IF(J271="","",IF(COUNTIF(J$10:J271,J271)=1,COUNTIF(J$10:J$609,"&lt;"&amp;J271)+1,""))</f>
        <v/>
      </c>
      <c r="L271" t="str">
        <f>IFERROR(INDEX(tblY9[Class],ROWS(L$10:L271))&amp;"","")</f>
        <v/>
      </c>
      <c r="M271" t="str">
        <f>IF(L271="","",IF(COUNTIF(L$10:L271,L271)=1,COUNTIF(L$10:L$609,"&lt;"&amp;L271)+1,""))</f>
        <v/>
      </c>
      <c r="N271" t="str">
        <f>IFERROR(INDEX(tblY10[Class],ROWS(N$10:N271))&amp;"","")</f>
        <v/>
      </c>
      <c r="O271" t="str">
        <f>IF(N271="","",IF(COUNTIF(N$10:N271,N271)=1,COUNTIF(N$10:N$609,"&lt;"&amp;N271)+1,""))</f>
        <v/>
      </c>
      <c r="P271" t="str">
        <f>IFERROR(INDEX(tblY11[Class],ROWS(P$10:P271))&amp;"","")</f>
        <v/>
      </c>
      <c r="Q271" t="str">
        <f>IF(P271="","",IF(COUNTIF(P$10:P271,P271)=1,COUNTIF(P$10:P$609,"&lt;"&amp;P271)+1,""))</f>
        <v/>
      </c>
      <c r="BA271" t="str">
        <f>IFERROR(INDEX(wLast,202)&amp;"","")</f>
        <v/>
      </c>
      <c r="BB271" t="str">
        <f>IF(BA271="","",IFERROR(INDEX(wFirst,202)&amp;"",""))</f>
        <v/>
      </c>
      <c r="BC271" t="str">
        <f>IF(BA271="","",IFERROR(INDEX(wClass,202)&amp;"",""))</f>
        <v/>
      </c>
      <c r="BD271" t="str">
        <f>IF(BA271="","",IFERROR(INDEX(wKS2,202)+0,""))</f>
        <v/>
      </c>
      <c r="BE271" t="str">
        <f>IF(BA271="","",IFERROR(INDEX(wTests,202)+0,0))</f>
        <v/>
      </c>
      <c r="BF271" t="str">
        <f>IF(BA271="","",IFERROR(INDEX(wMean,202)+0,""))</f>
        <v/>
      </c>
      <c r="BG271" t="str">
        <f>IF(BA271="","",IFERROR(INDEX(wVs,202)+0,""))</f>
        <v/>
      </c>
      <c r="BH271" t="str">
        <f>IF(OR(BA271="",wLatest=""),"",IFERROR(INDEX(wData,202,MATCH(wLatest&amp;CHAR(10)&amp;"Stanine",wHdr,0))+0,""))</f>
        <v/>
      </c>
      <c r="BI271" t="str">
        <f>IF(BA271="","",IF(AND(ISNUMBER(BG271),N(BE271)&gt;=WlMinTests,BG271&lt;=-WlGap),"Below KS2 starting point",IF(AND(NOT(ISNUMBER(BD271)),ISNUMBER(BF271),N(BE271)&gt;=WlMinTests,BF271&lt;=WlLowMean),"Low results, no KS2 data","")))</f>
        <v/>
      </c>
      <c r="BJ271" t="str">
        <f>IF(BI271="","",IF(BI271="Below KS2 starting point",BG271,100+BF271)+ROW()/1000000)</f>
        <v/>
      </c>
    </row>
    <row r="272">
      <c r="H272" t="str">
        <f>IFERROR(INDEX(tblY7[Class],ROWS(H$10:H272))&amp;"","")</f>
        <v/>
      </c>
      <c r="I272" t="str">
        <f>IF(H272="","",IF(COUNTIF(H$10:H272,H272)=1,COUNTIF(H$10:H$609,"&lt;"&amp;H272)+1,""))</f>
        <v/>
      </c>
      <c r="J272" t="str">
        <f>IFERROR(INDEX(tblY8[Class],ROWS(J$10:J272))&amp;"","")</f>
        <v/>
      </c>
      <c r="K272" t="str">
        <f>IF(J272="","",IF(COUNTIF(J$10:J272,J272)=1,COUNTIF(J$10:J$609,"&lt;"&amp;J272)+1,""))</f>
        <v/>
      </c>
      <c r="L272" t="str">
        <f>IFERROR(INDEX(tblY9[Class],ROWS(L$10:L272))&amp;"","")</f>
        <v/>
      </c>
      <c r="M272" t="str">
        <f>IF(L272="","",IF(COUNTIF(L$10:L272,L272)=1,COUNTIF(L$10:L$609,"&lt;"&amp;L272)+1,""))</f>
        <v/>
      </c>
      <c r="N272" t="str">
        <f>IFERROR(INDEX(tblY10[Class],ROWS(N$10:N272))&amp;"","")</f>
        <v/>
      </c>
      <c r="O272" t="str">
        <f>IF(N272="","",IF(COUNTIF(N$10:N272,N272)=1,COUNTIF(N$10:N$609,"&lt;"&amp;N272)+1,""))</f>
        <v/>
      </c>
      <c r="P272" t="str">
        <f>IFERROR(INDEX(tblY11[Class],ROWS(P$10:P272))&amp;"","")</f>
        <v/>
      </c>
      <c r="Q272" t="str">
        <f>IF(P272="","",IF(COUNTIF(P$10:P272,P272)=1,COUNTIF(P$10:P$609,"&lt;"&amp;P272)+1,""))</f>
        <v/>
      </c>
      <c r="BA272" t="str">
        <f>IFERROR(INDEX(wLast,203)&amp;"","")</f>
        <v/>
      </c>
      <c r="BB272" t="str">
        <f>IF(BA272="","",IFERROR(INDEX(wFirst,203)&amp;"",""))</f>
        <v/>
      </c>
      <c r="BC272" t="str">
        <f>IF(BA272="","",IFERROR(INDEX(wClass,203)&amp;"",""))</f>
        <v/>
      </c>
      <c r="BD272" t="str">
        <f>IF(BA272="","",IFERROR(INDEX(wKS2,203)+0,""))</f>
        <v/>
      </c>
      <c r="BE272" t="str">
        <f>IF(BA272="","",IFERROR(INDEX(wTests,203)+0,0))</f>
        <v/>
      </c>
      <c r="BF272" t="str">
        <f>IF(BA272="","",IFERROR(INDEX(wMean,203)+0,""))</f>
        <v/>
      </c>
      <c r="BG272" t="str">
        <f>IF(BA272="","",IFERROR(INDEX(wVs,203)+0,""))</f>
        <v/>
      </c>
      <c r="BH272" t="str">
        <f>IF(OR(BA272="",wLatest=""),"",IFERROR(INDEX(wData,203,MATCH(wLatest&amp;CHAR(10)&amp;"Stanine",wHdr,0))+0,""))</f>
        <v/>
      </c>
      <c r="BI272" t="str">
        <f>IF(BA272="","",IF(AND(ISNUMBER(BG272),N(BE272)&gt;=WlMinTests,BG272&lt;=-WlGap),"Below KS2 starting point",IF(AND(NOT(ISNUMBER(BD272)),ISNUMBER(BF272),N(BE272)&gt;=WlMinTests,BF272&lt;=WlLowMean),"Low results, no KS2 data","")))</f>
        <v/>
      </c>
      <c r="BJ272" t="str">
        <f>IF(BI272="","",IF(BI272="Below KS2 starting point",BG272,100+BF272)+ROW()/1000000)</f>
        <v/>
      </c>
    </row>
    <row r="273">
      <c r="H273" t="str">
        <f>IFERROR(INDEX(tblY7[Class],ROWS(H$10:H273))&amp;"","")</f>
        <v/>
      </c>
      <c r="I273" t="str">
        <f>IF(H273="","",IF(COUNTIF(H$10:H273,H273)=1,COUNTIF(H$10:H$609,"&lt;"&amp;H273)+1,""))</f>
        <v/>
      </c>
      <c r="J273" t="str">
        <f>IFERROR(INDEX(tblY8[Class],ROWS(J$10:J273))&amp;"","")</f>
        <v/>
      </c>
      <c r="K273" t="str">
        <f>IF(J273="","",IF(COUNTIF(J$10:J273,J273)=1,COUNTIF(J$10:J$609,"&lt;"&amp;J273)+1,""))</f>
        <v/>
      </c>
      <c r="L273" t="str">
        <f>IFERROR(INDEX(tblY9[Class],ROWS(L$10:L273))&amp;"","")</f>
        <v/>
      </c>
      <c r="M273" t="str">
        <f>IF(L273="","",IF(COUNTIF(L$10:L273,L273)=1,COUNTIF(L$10:L$609,"&lt;"&amp;L273)+1,""))</f>
        <v/>
      </c>
      <c r="N273" t="str">
        <f>IFERROR(INDEX(tblY10[Class],ROWS(N$10:N273))&amp;"","")</f>
        <v/>
      </c>
      <c r="O273" t="str">
        <f>IF(N273="","",IF(COUNTIF(N$10:N273,N273)=1,COUNTIF(N$10:N$609,"&lt;"&amp;N273)+1,""))</f>
        <v/>
      </c>
      <c r="P273" t="str">
        <f>IFERROR(INDEX(tblY11[Class],ROWS(P$10:P273))&amp;"","")</f>
        <v/>
      </c>
      <c r="Q273" t="str">
        <f>IF(P273="","",IF(COUNTIF(P$10:P273,P273)=1,COUNTIF(P$10:P$609,"&lt;"&amp;P273)+1,""))</f>
        <v/>
      </c>
      <c r="BA273" t="str">
        <f>IFERROR(INDEX(wLast,204)&amp;"","")</f>
        <v/>
      </c>
      <c r="BB273" t="str">
        <f>IF(BA273="","",IFERROR(INDEX(wFirst,204)&amp;"",""))</f>
        <v/>
      </c>
      <c r="BC273" t="str">
        <f>IF(BA273="","",IFERROR(INDEX(wClass,204)&amp;"",""))</f>
        <v/>
      </c>
      <c r="BD273" t="str">
        <f>IF(BA273="","",IFERROR(INDEX(wKS2,204)+0,""))</f>
        <v/>
      </c>
      <c r="BE273" t="str">
        <f>IF(BA273="","",IFERROR(INDEX(wTests,204)+0,0))</f>
        <v/>
      </c>
      <c r="BF273" t="str">
        <f>IF(BA273="","",IFERROR(INDEX(wMean,204)+0,""))</f>
        <v/>
      </c>
      <c r="BG273" t="str">
        <f>IF(BA273="","",IFERROR(INDEX(wVs,204)+0,""))</f>
        <v/>
      </c>
      <c r="BH273" t="str">
        <f>IF(OR(BA273="",wLatest=""),"",IFERROR(INDEX(wData,204,MATCH(wLatest&amp;CHAR(10)&amp;"Stanine",wHdr,0))+0,""))</f>
        <v/>
      </c>
      <c r="BI273" t="str">
        <f>IF(BA273="","",IF(AND(ISNUMBER(BG273),N(BE273)&gt;=WlMinTests,BG273&lt;=-WlGap),"Below KS2 starting point",IF(AND(NOT(ISNUMBER(BD273)),ISNUMBER(BF273),N(BE273)&gt;=WlMinTests,BF273&lt;=WlLowMean),"Low results, no KS2 data","")))</f>
        <v/>
      </c>
      <c r="BJ273" t="str">
        <f>IF(BI273="","",IF(BI273="Below KS2 starting point",BG273,100+BF273)+ROW()/1000000)</f>
        <v/>
      </c>
    </row>
    <row r="274">
      <c r="H274" t="str">
        <f>IFERROR(INDEX(tblY7[Class],ROWS(H$10:H274))&amp;"","")</f>
        <v/>
      </c>
      <c r="I274" t="str">
        <f>IF(H274="","",IF(COUNTIF(H$10:H274,H274)=1,COUNTIF(H$10:H$609,"&lt;"&amp;H274)+1,""))</f>
        <v/>
      </c>
      <c r="J274" t="str">
        <f>IFERROR(INDEX(tblY8[Class],ROWS(J$10:J274))&amp;"","")</f>
        <v/>
      </c>
      <c r="K274" t="str">
        <f>IF(J274="","",IF(COUNTIF(J$10:J274,J274)=1,COUNTIF(J$10:J$609,"&lt;"&amp;J274)+1,""))</f>
        <v/>
      </c>
      <c r="L274" t="str">
        <f>IFERROR(INDEX(tblY9[Class],ROWS(L$10:L274))&amp;"","")</f>
        <v/>
      </c>
      <c r="M274" t="str">
        <f>IF(L274="","",IF(COUNTIF(L$10:L274,L274)=1,COUNTIF(L$10:L$609,"&lt;"&amp;L274)+1,""))</f>
        <v/>
      </c>
      <c r="N274" t="str">
        <f>IFERROR(INDEX(tblY10[Class],ROWS(N$10:N274))&amp;"","")</f>
        <v/>
      </c>
      <c r="O274" t="str">
        <f>IF(N274="","",IF(COUNTIF(N$10:N274,N274)=1,COUNTIF(N$10:N$609,"&lt;"&amp;N274)+1,""))</f>
        <v/>
      </c>
      <c r="P274" t="str">
        <f>IFERROR(INDEX(tblY11[Class],ROWS(P$10:P274))&amp;"","")</f>
        <v/>
      </c>
      <c r="Q274" t="str">
        <f>IF(P274="","",IF(COUNTIF(P$10:P274,P274)=1,COUNTIF(P$10:P$609,"&lt;"&amp;P274)+1,""))</f>
        <v/>
      </c>
      <c r="BA274" t="str">
        <f>IFERROR(INDEX(wLast,205)&amp;"","")</f>
        <v/>
      </c>
      <c r="BB274" t="str">
        <f>IF(BA274="","",IFERROR(INDEX(wFirst,205)&amp;"",""))</f>
        <v/>
      </c>
      <c r="BC274" t="str">
        <f>IF(BA274="","",IFERROR(INDEX(wClass,205)&amp;"",""))</f>
        <v/>
      </c>
      <c r="BD274" t="str">
        <f>IF(BA274="","",IFERROR(INDEX(wKS2,205)+0,""))</f>
        <v/>
      </c>
      <c r="BE274" t="str">
        <f>IF(BA274="","",IFERROR(INDEX(wTests,205)+0,0))</f>
        <v/>
      </c>
      <c r="BF274" t="str">
        <f>IF(BA274="","",IFERROR(INDEX(wMean,205)+0,""))</f>
        <v/>
      </c>
      <c r="BG274" t="str">
        <f>IF(BA274="","",IFERROR(INDEX(wVs,205)+0,""))</f>
        <v/>
      </c>
      <c r="BH274" t="str">
        <f>IF(OR(BA274="",wLatest=""),"",IFERROR(INDEX(wData,205,MATCH(wLatest&amp;CHAR(10)&amp;"Stanine",wHdr,0))+0,""))</f>
        <v/>
      </c>
      <c r="BI274" t="str">
        <f>IF(BA274="","",IF(AND(ISNUMBER(BG274),N(BE274)&gt;=WlMinTests,BG274&lt;=-WlGap),"Below KS2 starting point",IF(AND(NOT(ISNUMBER(BD274)),ISNUMBER(BF274),N(BE274)&gt;=WlMinTests,BF274&lt;=WlLowMean),"Low results, no KS2 data","")))</f>
        <v/>
      </c>
      <c r="BJ274" t="str">
        <f>IF(BI274="","",IF(BI274="Below KS2 starting point",BG274,100+BF274)+ROW()/1000000)</f>
        <v/>
      </c>
    </row>
    <row r="275">
      <c r="H275" t="str">
        <f>IFERROR(INDEX(tblY7[Class],ROWS(H$10:H275))&amp;"","")</f>
        <v/>
      </c>
      <c r="I275" t="str">
        <f>IF(H275="","",IF(COUNTIF(H$10:H275,H275)=1,COUNTIF(H$10:H$609,"&lt;"&amp;H275)+1,""))</f>
        <v/>
      </c>
      <c r="J275" t="str">
        <f>IFERROR(INDEX(tblY8[Class],ROWS(J$10:J275))&amp;"","")</f>
        <v/>
      </c>
      <c r="K275" t="str">
        <f>IF(J275="","",IF(COUNTIF(J$10:J275,J275)=1,COUNTIF(J$10:J$609,"&lt;"&amp;J275)+1,""))</f>
        <v/>
      </c>
      <c r="L275" t="str">
        <f>IFERROR(INDEX(tblY9[Class],ROWS(L$10:L275))&amp;"","")</f>
        <v/>
      </c>
      <c r="M275" t="str">
        <f>IF(L275="","",IF(COUNTIF(L$10:L275,L275)=1,COUNTIF(L$10:L$609,"&lt;"&amp;L275)+1,""))</f>
        <v/>
      </c>
      <c r="N275" t="str">
        <f>IFERROR(INDEX(tblY10[Class],ROWS(N$10:N275))&amp;"","")</f>
        <v/>
      </c>
      <c r="O275" t="str">
        <f>IF(N275="","",IF(COUNTIF(N$10:N275,N275)=1,COUNTIF(N$10:N$609,"&lt;"&amp;N275)+1,""))</f>
        <v/>
      </c>
      <c r="P275" t="str">
        <f>IFERROR(INDEX(tblY11[Class],ROWS(P$10:P275))&amp;"","")</f>
        <v/>
      </c>
      <c r="Q275" t="str">
        <f>IF(P275="","",IF(COUNTIF(P$10:P275,P275)=1,COUNTIF(P$10:P$609,"&lt;"&amp;P275)+1,""))</f>
        <v/>
      </c>
      <c r="BA275" t="str">
        <f>IFERROR(INDEX(wLast,206)&amp;"","")</f>
        <v/>
      </c>
      <c r="BB275" t="str">
        <f>IF(BA275="","",IFERROR(INDEX(wFirst,206)&amp;"",""))</f>
        <v/>
      </c>
      <c r="BC275" t="str">
        <f>IF(BA275="","",IFERROR(INDEX(wClass,206)&amp;"",""))</f>
        <v/>
      </c>
      <c r="BD275" t="str">
        <f>IF(BA275="","",IFERROR(INDEX(wKS2,206)+0,""))</f>
        <v/>
      </c>
      <c r="BE275" t="str">
        <f>IF(BA275="","",IFERROR(INDEX(wTests,206)+0,0))</f>
        <v/>
      </c>
      <c r="BF275" t="str">
        <f>IF(BA275="","",IFERROR(INDEX(wMean,206)+0,""))</f>
        <v/>
      </c>
      <c r="BG275" t="str">
        <f>IF(BA275="","",IFERROR(INDEX(wVs,206)+0,""))</f>
        <v/>
      </c>
      <c r="BH275" t="str">
        <f>IF(OR(BA275="",wLatest=""),"",IFERROR(INDEX(wData,206,MATCH(wLatest&amp;CHAR(10)&amp;"Stanine",wHdr,0))+0,""))</f>
        <v/>
      </c>
      <c r="BI275" t="str">
        <f>IF(BA275="","",IF(AND(ISNUMBER(BG275),N(BE275)&gt;=WlMinTests,BG275&lt;=-WlGap),"Below KS2 starting point",IF(AND(NOT(ISNUMBER(BD275)),ISNUMBER(BF275),N(BE275)&gt;=WlMinTests,BF275&lt;=WlLowMean),"Low results, no KS2 data","")))</f>
        <v/>
      </c>
      <c r="BJ275" t="str">
        <f>IF(BI275="","",IF(BI275="Below KS2 starting point",BG275,100+BF275)+ROW()/1000000)</f>
        <v/>
      </c>
    </row>
    <row r="276">
      <c r="H276" t="str">
        <f>IFERROR(INDEX(tblY7[Class],ROWS(H$10:H276))&amp;"","")</f>
        <v/>
      </c>
      <c r="I276" t="str">
        <f>IF(H276="","",IF(COUNTIF(H$10:H276,H276)=1,COUNTIF(H$10:H$609,"&lt;"&amp;H276)+1,""))</f>
        <v/>
      </c>
      <c r="J276" t="str">
        <f>IFERROR(INDEX(tblY8[Class],ROWS(J$10:J276))&amp;"","")</f>
        <v/>
      </c>
      <c r="K276" t="str">
        <f>IF(J276="","",IF(COUNTIF(J$10:J276,J276)=1,COUNTIF(J$10:J$609,"&lt;"&amp;J276)+1,""))</f>
        <v/>
      </c>
      <c r="L276" t="str">
        <f>IFERROR(INDEX(tblY9[Class],ROWS(L$10:L276))&amp;"","")</f>
        <v/>
      </c>
      <c r="M276" t="str">
        <f>IF(L276="","",IF(COUNTIF(L$10:L276,L276)=1,COUNTIF(L$10:L$609,"&lt;"&amp;L276)+1,""))</f>
        <v/>
      </c>
      <c r="N276" t="str">
        <f>IFERROR(INDEX(tblY10[Class],ROWS(N$10:N276))&amp;"","")</f>
        <v/>
      </c>
      <c r="O276" t="str">
        <f>IF(N276="","",IF(COUNTIF(N$10:N276,N276)=1,COUNTIF(N$10:N$609,"&lt;"&amp;N276)+1,""))</f>
        <v/>
      </c>
      <c r="P276" t="str">
        <f>IFERROR(INDEX(tblY11[Class],ROWS(P$10:P276))&amp;"","")</f>
        <v/>
      </c>
      <c r="Q276" t="str">
        <f>IF(P276="","",IF(COUNTIF(P$10:P276,P276)=1,COUNTIF(P$10:P$609,"&lt;"&amp;P276)+1,""))</f>
        <v/>
      </c>
      <c r="BA276" t="str">
        <f>IFERROR(INDEX(wLast,207)&amp;"","")</f>
        <v/>
      </c>
      <c r="BB276" t="str">
        <f>IF(BA276="","",IFERROR(INDEX(wFirst,207)&amp;"",""))</f>
        <v/>
      </c>
      <c r="BC276" t="str">
        <f>IF(BA276="","",IFERROR(INDEX(wClass,207)&amp;"",""))</f>
        <v/>
      </c>
      <c r="BD276" t="str">
        <f>IF(BA276="","",IFERROR(INDEX(wKS2,207)+0,""))</f>
        <v/>
      </c>
      <c r="BE276" t="str">
        <f>IF(BA276="","",IFERROR(INDEX(wTests,207)+0,0))</f>
        <v/>
      </c>
      <c r="BF276" t="str">
        <f>IF(BA276="","",IFERROR(INDEX(wMean,207)+0,""))</f>
        <v/>
      </c>
      <c r="BG276" t="str">
        <f>IF(BA276="","",IFERROR(INDEX(wVs,207)+0,""))</f>
        <v/>
      </c>
      <c r="BH276" t="str">
        <f>IF(OR(BA276="",wLatest=""),"",IFERROR(INDEX(wData,207,MATCH(wLatest&amp;CHAR(10)&amp;"Stanine",wHdr,0))+0,""))</f>
        <v/>
      </c>
      <c r="BI276" t="str">
        <f>IF(BA276="","",IF(AND(ISNUMBER(BG276),N(BE276)&gt;=WlMinTests,BG276&lt;=-WlGap),"Below KS2 starting point",IF(AND(NOT(ISNUMBER(BD276)),ISNUMBER(BF276),N(BE276)&gt;=WlMinTests,BF276&lt;=WlLowMean),"Low results, no KS2 data","")))</f>
        <v/>
      </c>
      <c r="BJ276" t="str">
        <f>IF(BI276="","",IF(BI276="Below KS2 starting point",BG276,100+BF276)+ROW()/1000000)</f>
        <v/>
      </c>
    </row>
    <row r="277">
      <c r="H277" t="str">
        <f>IFERROR(INDEX(tblY7[Class],ROWS(H$10:H277))&amp;"","")</f>
        <v/>
      </c>
      <c r="I277" t="str">
        <f>IF(H277="","",IF(COUNTIF(H$10:H277,H277)=1,COUNTIF(H$10:H$609,"&lt;"&amp;H277)+1,""))</f>
        <v/>
      </c>
      <c r="J277" t="str">
        <f>IFERROR(INDEX(tblY8[Class],ROWS(J$10:J277))&amp;"","")</f>
        <v/>
      </c>
      <c r="K277" t="str">
        <f>IF(J277="","",IF(COUNTIF(J$10:J277,J277)=1,COUNTIF(J$10:J$609,"&lt;"&amp;J277)+1,""))</f>
        <v/>
      </c>
      <c r="L277" t="str">
        <f>IFERROR(INDEX(tblY9[Class],ROWS(L$10:L277))&amp;"","")</f>
        <v/>
      </c>
      <c r="M277" t="str">
        <f>IF(L277="","",IF(COUNTIF(L$10:L277,L277)=1,COUNTIF(L$10:L$609,"&lt;"&amp;L277)+1,""))</f>
        <v/>
      </c>
      <c r="N277" t="str">
        <f>IFERROR(INDEX(tblY10[Class],ROWS(N$10:N277))&amp;"","")</f>
        <v/>
      </c>
      <c r="O277" t="str">
        <f>IF(N277="","",IF(COUNTIF(N$10:N277,N277)=1,COUNTIF(N$10:N$609,"&lt;"&amp;N277)+1,""))</f>
        <v/>
      </c>
      <c r="P277" t="str">
        <f>IFERROR(INDEX(tblY11[Class],ROWS(P$10:P277))&amp;"","")</f>
        <v/>
      </c>
      <c r="Q277" t="str">
        <f>IF(P277="","",IF(COUNTIF(P$10:P277,P277)=1,COUNTIF(P$10:P$609,"&lt;"&amp;P277)+1,""))</f>
        <v/>
      </c>
      <c r="BA277" t="str">
        <f>IFERROR(INDEX(wLast,208)&amp;"","")</f>
        <v/>
      </c>
      <c r="BB277" t="str">
        <f>IF(BA277="","",IFERROR(INDEX(wFirst,208)&amp;"",""))</f>
        <v/>
      </c>
      <c r="BC277" t="str">
        <f>IF(BA277="","",IFERROR(INDEX(wClass,208)&amp;"",""))</f>
        <v/>
      </c>
      <c r="BD277" t="str">
        <f>IF(BA277="","",IFERROR(INDEX(wKS2,208)+0,""))</f>
        <v/>
      </c>
      <c r="BE277" t="str">
        <f>IF(BA277="","",IFERROR(INDEX(wTests,208)+0,0))</f>
        <v/>
      </c>
      <c r="BF277" t="str">
        <f>IF(BA277="","",IFERROR(INDEX(wMean,208)+0,""))</f>
        <v/>
      </c>
      <c r="BG277" t="str">
        <f>IF(BA277="","",IFERROR(INDEX(wVs,208)+0,""))</f>
        <v/>
      </c>
      <c r="BH277" t="str">
        <f>IF(OR(BA277="",wLatest=""),"",IFERROR(INDEX(wData,208,MATCH(wLatest&amp;CHAR(10)&amp;"Stanine",wHdr,0))+0,""))</f>
        <v/>
      </c>
      <c r="BI277" t="str">
        <f>IF(BA277="","",IF(AND(ISNUMBER(BG277),N(BE277)&gt;=WlMinTests,BG277&lt;=-WlGap),"Below KS2 starting point",IF(AND(NOT(ISNUMBER(BD277)),ISNUMBER(BF277),N(BE277)&gt;=WlMinTests,BF277&lt;=WlLowMean),"Low results, no KS2 data","")))</f>
        <v/>
      </c>
      <c r="BJ277" t="str">
        <f>IF(BI277="","",IF(BI277="Below KS2 starting point",BG277,100+BF277)+ROW()/1000000)</f>
        <v/>
      </c>
    </row>
    <row r="278">
      <c r="H278" t="str">
        <f>IFERROR(INDEX(tblY7[Class],ROWS(H$10:H278))&amp;"","")</f>
        <v/>
      </c>
      <c r="I278" t="str">
        <f>IF(H278="","",IF(COUNTIF(H$10:H278,H278)=1,COUNTIF(H$10:H$609,"&lt;"&amp;H278)+1,""))</f>
        <v/>
      </c>
      <c r="J278" t="str">
        <f>IFERROR(INDEX(tblY8[Class],ROWS(J$10:J278))&amp;"","")</f>
        <v/>
      </c>
      <c r="K278" t="str">
        <f>IF(J278="","",IF(COUNTIF(J$10:J278,J278)=1,COUNTIF(J$10:J$609,"&lt;"&amp;J278)+1,""))</f>
        <v/>
      </c>
      <c r="L278" t="str">
        <f>IFERROR(INDEX(tblY9[Class],ROWS(L$10:L278))&amp;"","")</f>
        <v/>
      </c>
      <c r="M278" t="str">
        <f>IF(L278="","",IF(COUNTIF(L$10:L278,L278)=1,COUNTIF(L$10:L$609,"&lt;"&amp;L278)+1,""))</f>
        <v/>
      </c>
      <c r="N278" t="str">
        <f>IFERROR(INDEX(tblY10[Class],ROWS(N$10:N278))&amp;"","")</f>
        <v/>
      </c>
      <c r="O278" t="str">
        <f>IF(N278="","",IF(COUNTIF(N$10:N278,N278)=1,COUNTIF(N$10:N$609,"&lt;"&amp;N278)+1,""))</f>
        <v/>
      </c>
      <c r="P278" t="str">
        <f>IFERROR(INDEX(tblY11[Class],ROWS(P$10:P278))&amp;"","")</f>
        <v/>
      </c>
      <c r="Q278" t="str">
        <f>IF(P278="","",IF(COUNTIF(P$10:P278,P278)=1,COUNTIF(P$10:P$609,"&lt;"&amp;P278)+1,""))</f>
        <v/>
      </c>
      <c r="BA278" t="str">
        <f>IFERROR(INDEX(wLast,209)&amp;"","")</f>
        <v/>
      </c>
      <c r="BB278" t="str">
        <f>IF(BA278="","",IFERROR(INDEX(wFirst,209)&amp;"",""))</f>
        <v/>
      </c>
      <c r="BC278" t="str">
        <f>IF(BA278="","",IFERROR(INDEX(wClass,209)&amp;"",""))</f>
        <v/>
      </c>
      <c r="BD278" t="str">
        <f>IF(BA278="","",IFERROR(INDEX(wKS2,209)+0,""))</f>
        <v/>
      </c>
      <c r="BE278" t="str">
        <f>IF(BA278="","",IFERROR(INDEX(wTests,209)+0,0))</f>
        <v/>
      </c>
      <c r="BF278" t="str">
        <f>IF(BA278="","",IFERROR(INDEX(wMean,209)+0,""))</f>
        <v/>
      </c>
      <c r="BG278" t="str">
        <f>IF(BA278="","",IFERROR(INDEX(wVs,209)+0,""))</f>
        <v/>
      </c>
      <c r="BH278" t="str">
        <f>IF(OR(BA278="",wLatest=""),"",IFERROR(INDEX(wData,209,MATCH(wLatest&amp;CHAR(10)&amp;"Stanine",wHdr,0))+0,""))</f>
        <v/>
      </c>
      <c r="BI278" t="str">
        <f>IF(BA278="","",IF(AND(ISNUMBER(BG278),N(BE278)&gt;=WlMinTests,BG278&lt;=-WlGap),"Below KS2 starting point",IF(AND(NOT(ISNUMBER(BD278)),ISNUMBER(BF278),N(BE278)&gt;=WlMinTests,BF278&lt;=WlLowMean),"Low results, no KS2 data","")))</f>
        <v/>
      </c>
      <c r="BJ278" t="str">
        <f>IF(BI278="","",IF(BI278="Below KS2 starting point",BG278,100+BF278)+ROW()/1000000)</f>
        <v/>
      </c>
    </row>
    <row r="279">
      <c r="H279" t="str">
        <f>IFERROR(INDEX(tblY7[Class],ROWS(H$10:H279))&amp;"","")</f>
        <v/>
      </c>
      <c r="I279" t="str">
        <f>IF(H279="","",IF(COUNTIF(H$10:H279,H279)=1,COUNTIF(H$10:H$609,"&lt;"&amp;H279)+1,""))</f>
        <v/>
      </c>
      <c r="J279" t="str">
        <f>IFERROR(INDEX(tblY8[Class],ROWS(J$10:J279))&amp;"","")</f>
        <v/>
      </c>
      <c r="K279" t="str">
        <f>IF(J279="","",IF(COUNTIF(J$10:J279,J279)=1,COUNTIF(J$10:J$609,"&lt;"&amp;J279)+1,""))</f>
        <v/>
      </c>
      <c r="L279" t="str">
        <f>IFERROR(INDEX(tblY9[Class],ROWS(L$10:L279))&amp;"","")</f>
        <v/>
      </c>
      <c r="M279" t="str">
        <f>IF(L279="","",IF(COUNTIF(L$10:L279,L279)=1,COUNTIF(L$10:L$609,"&lt;"&amp;L279)+1,""))</f>
        <v/>
      </c>
      <c r="N279" t="str">
        <f>IFERROR(INDEX(tblY10[Class],ROWS(N$10:N279))&amp;"","")</f>
        <v/>
      </c>
      <c r="O279" t="str">
        <f>IF(N279="","",IF(COUNTIF(N$10:N279,N279)=1,COUNTIF(N$10:N$609,"&lt;"&amp;N279)+1,""))</f>
        <v/>
      </c>
      <c r="P279" t="str">
        <f>IFERROR(INDEX(tblY11[Class],ROWS(P$10:P279))&amp;"","")</f>
        <v/>
      </c>
      <c r="Q279" t="str">
        <f>IF(P279="","",IF(COUNTIF(P$10:P279,P279)=1,COUNTIF(P$10:P$609,"&lt;"&amp;P279)+1,""))</f>
        <v/>
      </c>
      <c r="BA279" t="str">
        <f>IFERROR(INDEX(wLast,210)&amp;"","")</f>
        <v/>
      </c>
      <c r="BB279" t="str">
        <f>IF(BA279="","",IFERROR(INDEX(wFirst,210)&amp;"",""))</f>
        <v/>
      </c>
      <c r="BC279" t="str">
        <f>IF(BA279="","",IFERROR(INDEX(wClass,210)&amp;"",""))</f>
        <v/>
      </c>
      <c r="BD279" t="str">
        <f>IF(BA279="","",IFERROR(INDEX(wKS2,210)+0,""))</f>
        <v/>
      </c>
      <c r="BE279" t="str">
        <f>IF(BA279="","",IFERROR(INDEX(wTests,210)+0,0))</f>
        <v/>
      </c>
      <c r="BF279" t="str">
        <f>IF(BA279="","",IFERROR(INDEX(wMean,210)+0,""))</f>
        <v/>
      </c>
      <c r="BG279" t="str">
        <f>IF(BA279="","",IFERROR(INDEX(wVs,210)+0,""))</f>
        <v/>
      </c>
      <c r="BH279" t="str">
        <f>IF(OR(BA279="",wLatest=""),"",IFERROR(INDEX(wData,210,MATCH(wLatest&amp;CHAR(10)&amp;"Stanine",wHdr,0))+0,""))</f>
        <v/>
      </c>
      <c r="BI279" t="str">
        <f>IF(BA279="","",IF(AND(ISNUMBER(BG279),N(BE279)&gt;=WlMinTests,BG279&lt;=-WlGap),"Below KS2 starting point",IF(AND(NOT(ISNUMBER(BD279)),ISNUMBER(BF279),N(BE279)&gt;=WlMinTests,BF279&lt;=WlLowMean),"Low results, no KS2 data","")))</f>
        <v/>
      </c>
      <c r="BJ279" t="str">
        <f>IF(BI279="","",IF(BI279="Below KS2 starting point",BG279,100+BF279)+ROW()/1000000)</f>
        <v/>
      </c>
    </row>
    <row r="280">
      <c r="H280" t="str">
        <f>IFERROR(INDEX(tblY7[Class],ROWS(H$10:H280))&amp;"","")</f>
        <v/>
      </c>
      <c r="I280" t="str">
        <f>IF(H280="","",IF(COUNTIF(H$10:H280,H280)=1,COUNTIF(H$10:H$609,"&lt;"&amp;H280)+1,""))</f>
        <v/>
      </c>
      <c r="J280" t="str">
        <f>IFERROR(INDEX(tblY8[Class],ROWS(J$10:J280))&amp;"","")</f>
        <v/>
      </c>
      <c r="K280" t="str">
        <f>IF(J280="","",IF(COUNTIF(J$10:J280,J280)=1,COUNTIF(J$10:J$609,"&lt;"&amp;J280)+1,""))</f>
        <v/>
      </c>
      <c r="L280" t="str">
        <f>IFERROR(INDEX(tblY9[Class],ROWS(L$10:L280))&amp;"","")</f>
        <v/>
      </c>
      <c r="M280" t="str">
        <f>IF(L280="","",IF(COUNTIF(L$10:L280,L280)=1,COUNTIF(L$10:L$609,"&lt;"&amp;L280)+1,""))</f>
        <v/>
      </c>
      <c r="N280" t="str">
        <f>IFERROR(INDEX(tblY10[Class],ROWS(N$10:N280))&amp;"","")</f>
        <v/>
      </c>
      <c r="O280" t="str">
        <f>IF(N280="","",IF(COUNTIF(N$10:N280,N280)=1,COUNTIF(N$10:N$609,"&lt;"&amp;N280)+1,""))</f>
        <v/>
      </c>
      <c r="P280" t="str">
        <f>IFERROR(INDEX(tblY11[Class],ROWS(P$10:P280))&amp;"","")</f>
        <v/>
      </c>
      <c r="Q280" t="str">
        <f>IF(P280="","",IF(COUNTIF(P$10:P280,P280)=1,COUNTIF(P$10:P$609,"&lt;"&amp;P280)+1,""))</f>
        <v/>
      </c>
      <c r="BA280" t="str">
        <f>IFERROR(INDEX(wLast,211)&amp;"","")</f>
        <v/>
      </c>
      <c r="BB280" t="str">
        <f>IF(BA280="","",IFERROR(INDEX(wFirst,211)&amp;"",""))</f>
        <v/>
      </c>
      <c r="BC280" t="str">
        <f>IF(BA280="","",IFERROR(INDEX(wClass,211)&amp;"",""))</f>
        <v/>
      </c>
      <c r="BD280" t="str">
        <f>IF(BA280="","",IFERROR(INDEX(wKS2,211)+0,""))</f>
        <v/>
      </c>
      <c r="BE280" t="str">
        <f>IF(BA280="","",IFERROR(INDEX(wTests,211)+0,0))</f>
        <v/>
      </c>
      <c r="BF280" t="str">
        <f>IF(BA280="","",IFERROR(INDEX(wMean,211)+0,""))</f>
        <v/>
      </c>
      <c r="BG280" t="str">
        <f>IF(BA280="","",IFERROR(INDEX(wVs,211)+0,""))</f>
        <v/>
      </c>
      <c r="BH280" t="str">
        <f>IF(OR(BA280="",wLatest=""),"",IFERROR(INDEX(wData,211,MATCH(wLatest&amp;CHAR(10)&amp;"Stanine",wHdr,0))+0,""))</f>
        <v/>
      </c>
      <c r="BI280" t="str">
        <f>IF(BA280="","",IF(AND(ISNUMBER(BG280),N(BE280)&gt;=WlMinTests,BG280&lt;=-WlGap),"Below KS2 starting point",IF(AND(NOT(ISNUMBER(BD280)),ISNUMBER(BF280),N(BE280)&gt;=WlMinTests,BF280&lt;=WlLowMean),"Low results, no KS2 data","")))</f>
        <v/>
      </c>
      <c r="BJ280" t="str">
        <f>IF(BI280="","",IF(BI280="Below KS2 starting point",BG280,100+BF280)+ROW()/1000000)</f>
        <v/>
      </c>
    </row>
    <row r="281">
      <c r="H281" t="str">
        <f>IFERROR(INDEX(tblY7[Class],ROWS(H$10:H281))&amp;"","")</f>
        <v/>
      </c>
      <c r="I281" t="str">
        <f>IF(H281="","",IF(COUNTIF(H$10:H281,H281)=1,COUNTIF(H$10:H$609,"&lt;"&amp;H281)+1,""))</f>
        <v/>
      </c>
      <c r="J281" t="str">
        <f>IFERROR(INDEX(tblY8[Class],ROWS(J$10:J281))&amp;"","")</f>
        <v/>
      </c>
      <c r="K281" t="str">
        <f>IF(J281="","",IF(COUNTIF(J$10:J281,J281)=1,COUNTIF(J$10:J$609,"&lt;"&amp;J281)+1,""))</f>
        <v/>
      </c>
      <c r="L281" t="str">
        <f>IFERROR(INDEX(tblY9[Class],ROWS(L$10:L281))&amp;"","")</f>
        <v/>
      </c>
      <c r="M281" t="str">
        <f>IF(L281="","",IF(COUNTIF(L$10:L281,L281)=1,COUNTIF(L$10:L$609,"&lt;"&amp;L281)+1,""))</f>
        <v/>
      </c>
      <c r="N281" t="str">
        <f>IFERROR(INDEX(tblY10[Class],ROWS(N$10:N281))&amp;"","")</f>
        <v/>
      </c>
      <c r="O281" t="str">
        <f>IF(N281="","",IF(COUNTIF(N$10:N281,N281)=1,COUNTIF(N$10:N$609,"&lt;"&amp;N281)+1,""))</f>
        <v/>
      </c>
      <c r="P281" t="str">
        <f>IFERROR(INDEX(tblY11[Class],ROWS(P$10:P281))&amp;"","")</f>
        <v/>
      </c>
      <c r="Q281" t="str">
        <f>IF(P281="","",IF(COUNTIF(P$10:P281,P281)=1,COUNTIF(P$10:P$609,"&lt;"&amp;P281)+1,""))</f>
        <v/>
      </c>
      <c r="BA281" t="str">
        <f>IFERROR(INDEX(wLast,212)&amp;"","")</f>
        <v/>
      </c>
      <c r="BB281" t="str">
        <f>IF(BA281="","",IFERROR(INDEX(wFirst,212)&amp;"",""))</f>
        <v/>
      </c>
      <c r="BC281" t="str">
        <f>IF(BA281="","",IFERROR(INDEX(wClass,212)&amp;"",""))</f>
        <v/>
      </c>
      <c r="BD281" t="str">
        <f>IF(BA281="","",IFERROR(INDEX(wKS2,212)+0,""))</f>
        <v/>
      </c>
      <c r="BE281" t="str">
        <f>IF(BA281="","",IFERROR(INDEX(wTests,212)+0,0))</f>
        <v/>
      </c>
      <c r="BF281" t="str">
        <f>IF(BA281="","",IFERROR(INDEX(wMean,212)+0,""))</f>
        <v/>
      </c>
      <c r="BG281" t="str">
        <f>IF(BA281="","",IFERROR(INDEX(wVs,212)+0,""))</f>
        <v/>
      </c>
      <c r="BH281" t="str">
        <f>IF(OR(BA281="",wLatest=""),"",IFERROR(INDEX(wData,212,MATCH(wLatest&amp;CHAR(10)&amp;"Stanine",wHdr,0))+0,""))</f>
        <v/>
      </c>
      <c r="BI281" t="str">
        <f>IF(BA281="","",IF(AND(ISNUMBER(BG281),N(BE281)&gt;=WlMinTests,BG281&lt;=-WlGap),"Below KS2 starting point",IF(AND(NOT(ISNUMBER(BD281)),ISNUMBER(BF281),N(BE281)&gt;=WlMinTests,BF281&lt;=WlLowMean),"Low results, no KS2 data","")))</f>
        <v/>
      </c>
      <c r="BJ281" t="str">
        <f>IF(BI281="","",IF(BI281="Below KS2 starting point",BG281,100+BF281)+ROW()/1000000)</f>
        <v/>
      </c>
    </row>
    <row r="282">
      <c r="H282" t="str">
        <f>IFERROR(INDEX(tblY7[Class],ROWS(H$10:H282))&amp;"","")</f>
        <v/>
      </c>
      <c r="I282" t="str">
        <f>IF(H282="","",IF(COUNTIF(H$10:H282,H282)=1,COUNTIF(H$10:H$609,"&lt;"&amp;H282)+1,""))</f>
        <v/>
      </c>
      <c r="J282" t="str">
        <f>IFERROR(INDEX(tblY8[Class],ROWS(J$10:J282))&amp;"","")</f>
        <v/>
      </c>
      <c r="K282" t="str">
        <f>IF(J282="","",IF(COUNTIF(J$10:J282,J282)=1,COUNTIF(J$10:J$609,"&lt;"&amp;J282)+1,""))</f>
        <v/>
      </c>
      <c r="L282" t="str">
        <f>IFERROR(INDEX(tblY9[Class],ROWS(L$10:L282))&amp;"","")</f>
        <v/>
      </c>
      <c r="M282" t="str">
        <f>IF(L282="","",IF(COUNTIF(L$10:L282,L282)=1,COUNTIF(L$10:L$609,"&lt;"&amp;L282)+1,""))</f>
        <v/>
      </c>
      <c r="N282" t="str">
        <f>IFERROR(INDEX(tblY10[Class],ROWS(N$10:N282))&amp;"","")</f>
        <v/>
      </c>
      <c r="O282" t="str">
        <f>IF(N282="","",IF(COUNTIF(N$10:N282,N282)=1,COUNTIF(N$10:N$609,"&lt;"&amp;N282)+1,""))</f>
        <v/>
      </c>
      <c r="P282" t="str">
        <f>IFERROR(INDEX(tblY11[Class],ROWS(P$10:P282))&amp;"","")</f>
        <v/>
      </c>
      <c r="Q282" t="str">
        <f>IF(P282="","",IF(COUNTIF(P$10:P282,P282)=1,COUNTIF(P$10:P$609,"&lt;"&amp;P282)+1,""))</f>
        <v/>
      </c>
      <c r="BA282" t="str">
        <f>IFERROR(INDEX(wLast,213)&amp;"","")</f>
        <v/>
      </c>
      <c r="BB282" t="str">
        <f>IF(BA282="","",IFERROR(INDEX(wFirst,213)&amp;"",""))</f>
        <v/>
      </c>
      <c r="BC282" t="str">
        <f>IF(BA282="","",IFERROR(INDEX(wClass,213)&amp;"",""))</f>
        <v/>
      </c>
      <c r="BD282" t="str">
        <f>IF(BA282="","",IFERROR(INDEX(wKS2,213)+0,""))</f>
        <v/>
      </c>
      <c r="BE282" t="str">
        <f>IF(BA282="","",IFERROR(INDEX(wTests,213)+0,0))</f>
        <v/>
      </c>
      <c r="BF282" t="str">
        <f>IF(BA282="","",IFERROR(INDEX(wMean,213)+0,""))</f>
        <v/>
      </c>
      <c r="BG282" t="str">
        <f>IF(BA282="","",IFERROR(INDEX(wVs,213)+0,""))</f>
        <v/>
      </c>
      <c r="BH282" t="str">
        <f>IF(OR(BA282="",wLatest=""),"",IFERROR(INDEX(wData,213,MATCH(wLatest&amp;CHAR(10)&amp;"Stanine",wHdr,0))+0,""))</f>
        <v/>
      </c>
      <c r="BI282" t="str">
        <f>IF(BA282="","",IF(AND(ISNUMBER(BG282),N(BE282)&gt;=WlMinTests,BG282&lt;=-WlGap),"Below KS2 starting point",IF(AND(NOT(ISNUMBER(BD282)),ISNUMBER(BF282),N(BE282)&gt;=WlMinTests,BF282&lt;=WlLowMean),"Low results, no KS2 data","")))</f>
        <v/>
      </c>
      <c r="BJ282" t="str">
        <f>IF(BI282="","",IF(BI282="Below KS2 starting point",BG282,100+BF282)+ROW()/1000000)</f>
        <v/>
      </c>
    </row>
    <row r="283">
      <c r="H283" t="str">
        <f>IFERROR(INDEX(tblY7[Class],ROWS(H$10:H283))&amp;"","")</f>
        <v/>
      </c>
      <c r="I283" t="str">
        <f>IF(H283="","",IF(COUNTIF(H$10:H283,H283)=1,COUNTIF(H$10:H$609,"&lt;"&amp;H283)+1,""))</f>
        <v/>
      </c>
      <c r="J283" t="str">
        <f>IFERROR(INDEX(tblY8[Class],ROWS(J$10:J283))&amp;"","")</f>
        <v/>
      </c>
      <c r="K283" t="str">
        <f>IF(J283="","",IF(COUNTIF(J$10:J283,J283)=1,COUNTIF(J$10:J$609,"&lt;"&amp;J283)+1,""))</f>
        <v/>
      </c>
      <c r="L283" t="str">
        <f>IFERROR(INDEX(tblY9[Class],ROWS(L$10:L283))&amp;"","")</f>
        <v/>
      </c>
      <c r="M283" t="str">
        <f>IF(L283="","",IF(COUNTIF(L$10:L283,L283)=1,COUNTIF(L$10:L$609,"&lt;"&amp;L283)+1,""))</f>
        <v/>
      </c>
      <c r="N283" t="str">
        <f>IFERROR(INDEX(tblY10[Class],ROWS(N$10:N283))&amp;"","")</f>
        <v/>
      </c>
      <c r="O283" t="str">
        <f>IF(N283="","",IF(COUNTIF(N$10:N283,N283)=1,COUNTIF(N$10:N$609,"&lt;"&amp;N283)+1,""))</f>
        <v/>
      </c>
      <c r="P283" t="str">
        <f>IFERROR(INDEX(tblY11[Class],ROWS(P$10:P283))&amp;"","")</f>
        <v/>
      </c>
      <c r="Q283" t="str">
        <f>IF(P283="","",IF(COUNTIF(P$10:P283,P283)=1,COUNTIF(P$10:P$609,"&lt;"&amp;P283)+1,""))</f>
        <v/>
      </c>
      <c r="BA283" t="str">
        <f>IFERROR(INDEX(wLast,214)&amp;"","")</f>
        <v/>
      </c>
      <c r="BB283" t="str">
        <f>IF(BA283="","",IFERROR(INDEX(wFirst,214)&amp;"",""))</f>
        <v/>
      </c>
      <c r="BC283" t="str">
        <f>IF(BA283="","",IFERROR(INDEX(wClass,214)&amp;"",""))</f>
        <v/>
      </c>
      <c r="BD283" t="str">
        <f>IF(BA283="","",IFERROR(INDEX(wKS2,214)+0,""))</f>
        <v/>
      </c>
      <c r="BE283" t="str">
        <f>IF(BA283="","",IFERROR(INDEX(wTests,214)+0,0))</f>
        <v/>
      </c>
      <c r="BF283" t="str">
        <f>IF(BA283="","",IFERROR(INDEX(wMean,214)+0,""))</f>
        <v/>
      </c>
      <c r="BG283" t="str">
        <f>IF(BA283="","",IFERROR(INDEX(wVs,214)+0,""))</f>
        <v/>
      </c>
      <c r="BH283" t="str">
        <f>IF(OR(BA283="",wLatest=""),"",IFERROR(INDEX(wData,214,MATCH(wLatest&amp;CHAR(10)&amp;"Stanine",wHdr,0))+0,""))</f>
        <v/>
      </c>
      <c r="BI283" t="str">
        <f>IF(BA283="","",IF(AND(ISNUMBER(BG283),N(BE283)&gt;=WlMinTests,BG283&lt;=-WlGap),"Below KS2 starting point",IF(AND(NOT(ISNUMBER(BD283)),ISNUMBER(BF283),N(BE283)&gt;=WlMinTests,BF283&lt;=WlLowMean),"Low results, no KS2 data","")))</f>
        <v/>
      </c>
      <c r="BJ283" t="str">
        <f>IF(BI283="","",IF(BI283="Below KS2 starting point",BG283,100+BF283)+ROW()/1000000)</f>
        <v/>
      </c>
    </row>
    <row r="284">
      <c r="H284" t="str">
        <f>IFERROR(INDEX(tblY7[Class],ROWS(H$10:H284))&amp;"","")</f>
        <v/>
      </c>
      <c r="I284" t="str">
        <f>IF(H284="","",IF(COUNTIF(H$10:H284,H284)=1,COUNTIF(H$10:H$609,"&lt;"&amp;H284)+1,""))</f>
        <v/>
      </c>
      <c r="J284" t="str">
        <f>IFERROR(INDEX(tblY8[Class],ROWS(J$10:J284))&amp;"","")</f>
        <v/>
      </c>
      <c r="K284" t="str">
        <f>IF(J284="","",IF(COUNTIF(J$10:J284,J284)=1,COUNTIF(J$10:J$609,"&lt;"&amp;J284)+1,""))</f>
        <v/>
      </c>
      <c r="L284" t="str">
        <f>IFERROR(INDEX(tblY9[Class],ROWS(L$10:L284))&amp;"","")</f>
        <v/>
      </c>
      <c r="M284" t="str">
        <f>IF(L284="","",IF(COUNTIF(L$10:L284,L284)=1,COUNTIF(L$10:L$609,"&lt;"&amp;L284)+1,""))</f>
        <v/>
      </c>
      <c r="N284" t="str">
        <f>IFERROR(INDEX(tblY10[Class],ROWS(N$10:N284))&amp;"","")</f>
        <v/>
      </c>
      <c r="O284" t="str">
        <f>IF(N284="","",IF(COUNTIF(N$10:N284,N284)=1,COUNTIF(N$10:N$609,"&lt;"&amp;N284)+1,""))</f>
        <v/>
      </c>
      <c r="P284" t="str">
        <f>IFERROR(INDEX(tblY11[Class],ROWS(P$10:P284))&amp;"","")</f>
        <v/>
      </c>
      <c r="Q284" t="str">
        <f>IF(P284="","",IF(COUNTIF(P$10:P284,P284)=1,COUNTIF(P$10:P$609,"&lt;"&amp;P284)+1,""))</f>
        <v/>
      </c>
      <c r="BA284" t="str">
        <f>IFERROR(INDEX(wLast,215)&amp;"","")</f>
        <v/>
      </c>
      <c r="BB284" t="str">
        <f>IF(BA284="","",IFERROR(INDEX(wFirst,215)&amp;"",""))</f>
        <v/>
      </c>
      <c r="BC284" t="str">
        <f>IF(BA284="","",IFERROR(INDEX(wClass,215)&amp;"",""))</f>
        <v/>
      </c>
      <c r="BD284" t="str">
        <f>IF(BA284="","",IFERROR(INDEX(wKS2,215)+0,""))</f>
        <v/>
      </c>
      <c r="BE284" t="str">
        <f>IF(BA284="","",IFERROR(INDEX(wTests,215)+0,0))</f>
        <v/>
      </c>
      <c r="BF284" t="str">
        <f>IF(BA284="","",IFERROR(INDEX(wMean,215)+0,""))</f>
        <v/>
      </c>
      <c r="BG284" t="str">
        <f>IF(BA284="","",IFERROR(INDEX(wVs,215)+0,""))</f>
        <v/>
      </c>
      <c r="BH284" t="str">
        <f>IF(OR(BA284="",wLatest=""),"",IFERROR(INDEX(wData,215,MATCH(wLatest&amp;CHAR(10)&amp;"Stanine",wHdr,0))+0,""))</f>
        <v/>
      </c>
      <c r="BI284" t="str">
        <f>IF(BA284="","",IF(AND(ISNUMBER(BG284),N(BE284)&gt;=WlMinTests,BG284&lt;=-WlGap),"Below KS2 starting point",IF(AND(NOT(ISNUMBER(BD284)),ISNUMBER(BF284),N(BE284)&gt;=WlMinTests,BF284&lt;=WlLowMean),"Low results, no KS2 data","")))</f>
        <v/>
      </c>
      <c r="BJ284" t="str">
        <f>IF(BI284="","",IF(BI284="Below KS2 starting point",BG284,100+BF284)+ROW()/1000000)</f>
        <v/>
      </c>
    </row>
    <row r="285">
      <c r="H285" t="str">
        <f>IFERROR(INDEX(tblY7[Class],ROWS(H$10:H285))&amp;"","")</f>
        <v/>
      </c>
      <c r="I285" t="str">
        <f>IF(H285="","",IF(COUNTIF(H$10:H285,H285)=1,COUNTIF(H$10:H$609,"&lt;"&amp;H285)+1,""))</f>
        <v/>
      </c>
      <c r="J285" t="str">
        <f>IFERROR(INDEX(tblY8[Class],ROWS(J$10:J285))&amp;"","")</f>
        <v/>
      </c>
      <c r="K285" t="str">
        <f>IF(J285="","",IF(COUNTIF(J$10:J285,J285)=1,COUNTIF(J$10:J$609,"&lt;"&amp;J285)+1,""))</f>
        <v/>
      </c>
      <c r="L285" t="str">
        <f>IFERROR(INDEX(tblY9[Class],ROWS(L$10:L285))&amp;"","")</f>
        <v/>
      </c>
      <c r="M285" t="str">
        <f>IF(L285="","",IF(COUNTIF(L$10:L285,L285)=1,COUNTIF(L$10:L$609,"&lt;"&amp;L285)+1,""))</f>
        <v/>
      </c>
      <c r="N285" t="str">
        <f>IFERROR(INDEX(tblY10[Class],ROWS(N$10:N285))&amp;"","")</f>
        <v/>
      </c>
      <c r="O285" t="str">
        <f>IF(N285="","",IF(COUNTIF(N$10:N285,N285)=1,COUNTIF(N$10:N$609,"&lt;"&amp;N285)+1,""))</f>
        <v/>
      </c>
      <c r="P285" t="str">
        <f>IFERROR(INDEX(tblY11[Class],ROWS(P$10:P285))&amp;"","")</f>
        <v/>
      </c>
      <c r="Q285" t="str">
        <f>IF(P285="","",IF(COUNTIF(P$10:P285,P285)=1,COUNTIF(P$10:P$609,"&lt;"&amp;P285)+1,""))</f>
        <v/>
      </c>
      <c r="BA285" t="str">
        <f>IFERROR(INDEX(wLast,216)&amp;"","")</f>
        <v/>
      </c>
      <c r="BB285" t="str">
        <f>IF(BA285="","",IFERROR(INDEX(wFirst,216)&amp;"",""))</f>
        <v/>
      </c>
      <c r="BC285" t="str">
        <f>IF(BA285="","",IFERROR(INDEX(wClass,216)&amp;"",""))</f>
        <v/>
      </c>
      <c r="BD285" t="str">
        <f>IF(BA285="","",IFERROR(INDEX(wKS2,216)+0,""))</f>
        <v/>
      </c>
      <c r="BE285" t="str">
        <f>IF(BA285="","",IFERROR(INDEX(wTests,216)+0,0))</f>
        <v/>
      </c>
      <c r="BF285" t="str">
        <f>IF(BA285="","",IFERROR(INDEX(wMean,216)+0,""))</f>
        <v/>
      </c>
      <c r="BG285" t="str">
        <f>IF(BA285="","",IFERROR(INDEX(wVs,216)+0,""))</f>
        <v/>
      </c>
      <c r="BH285" t="str">
        <f>IF(OR(BA285="",wLatest=""),"",IFERROR(INDEX(wData,216,MATCH(wLatest&amp;CHAR(10)&amp;"Stanine",wHdr,0))+0,""))</f>
        <v/>
      </c>
      <c r="BI285" t="str">
        <f>IF(BA285="","",IF(AND(ISNUMBER(BG285),N(BE285)&gt;=WlMinTests,BG285&lt;=-WlGap),"Below KS2 starting point",IF(AND(NOT(ISNUMBER(BD285)),ISNUMBER(BF285),N(BE285)&gt;=WlMinTests,BF285&lt;=WlLowMean),"Low results, no KS2 data","")))</f>
        <v/>
      </c>
      <c r="BJ285" t="str">
        <f>IF(BI285="","",IF(BI285="Below KS2 starting point",BG285,100+BF285)+ROW()/1000000)</f>
        <v/>
      </c>
    </row>
    <row r="286">
      <c r="H286" t="str">
        <f>IFERROR(INDEX(tblY7[Class],ROWS(H$10:H286))&amp;"","")</f>
        <v/>
      </c>
      <c r="I286" t="str">
        <f>IF(H286="","",IF(COUNTIF(H$10:H286,H286)=1,COUNTIF(H$10:H$609,"&lt;"&amp;H286)+1,""))</f>
        <v/>
      </c>
      <c r="J286" t="str">
        <f>IFERROR(INDEX(tblY8[Class],ROWS(J$10:J286))&amp;"","")</f>
        <v/>
      </c>
      <c r="K286" t="str">
        <f>IF(J286="","",IF(COUNTIF(J$10:J286,J286)=1,COUNTIF(J$10:J$609,"&lt;"&amp;J286)+1,""))</f>
        <v/>
      </c>
      <c r="L286" t="str">
        <f>IFERROR(INDEX(tblY9[Class],ROWS(L$10:L286))&amp;"","")</f>
        <v/>
      </c>
      <c r="M286" t="str">
        <f>IF(L286="","",IF(COUNTIF(L$10:L286,L286)=1,COUNTIF(L$10:L$609,"&lt;"&amp;L286)+1,""))</f>
        <v/>
      </c>
      <c r="N286" t="str">
        <f>IFERROR(INDEX(tblY10[Class],ROWS(N$10:N286))&amp;"","")</f>
        <v/>
      </c>
      <c r="O286" t="str">
        <f>IF(N286="","",IF(COUNTIF(N$10:N286,N286)=1,COUNTIF(N$10:N$609,"&lt;"&amp;N286)+1,""))</f>
        <v/>
      </c>
      <c r="P286" t="str">
        <f>IFERROR(INDEX(tblY11[Class],ROWS(P$10:P286))&amp;"","")</f>
        <v/>
      </c>
      <c r="Q286" t="str">
        <f>IF(P286="","",IF(COUNTIF(P$10:P286,P286)=1,COUNTIF(P$10:P$609,"&lt;"&amp;P286)+1,""))</f>
        <v/>
      </c>
      <c r="BA286" t="str">
        <f>IFERROR(INDEX(wLast,217)&amp;"","")</f>
        <v/>
      </c>
      <c r="BB286" t="str">
        <f>IF(BA286="","",IFERROR(INDEX(wFirst,217)&amp;"",""))</f>
        <v/>
      </c>
      <c r="BC286" t="str">
        <f>IF(BA286="","",IFERROR(INDEX(wClass,217)&amp;"",""))</f>
        <v/>
      </c>
      <c r="BD286" t="str">
        <f>IF(BA286="","",IFERROR(INDEX(wKS2,217)+0,""))</f>
        <v/>
      </c>
      <c r="BE286" t="str">
        <f>IF(BA286="","",IFERROR(INDEX(wTests,217)+0,0))</f>
        <v/>
      </c>
      <c r="BF286" t="str">
        <f>IF(BA286="","",IFERROR(INDEX(wMean,217)+0,""))</f>
        <v/>
      </c>
      <c r="BG286" t="str">
        <f>IF(BA286="","",IFERROR(INDEX(wVs,217)+0,""))</f>
        <v/>
      </c>
      <c r="BH286" t="str">
        <f>IF(OR(BA286="",wLatest=""),"",IFERROR(INDEX(wData,217,MATCH(wLatest&amp;CHAR(10)&amp;"Stanine",wHdr,0))+0,""))</f>
        <v/>
      </c>
      <c r="BI286" t="str">
        <f>IF(BA286="","",IF(AND(ISNUMBER(BG286),N(BE286)&gt;=WlMinTests,BG286&lt;=-WlGap),"Below KS2 starting point",IF(AND(NOT(ISNUMBER(BD286)),ISNUMBER(BF286),N(BE286)&gt;=WlMinTests,BF286&lt;=WlLowMean),"Low results, no KS2 data","")))</f>
        <v/>
      </c>
      <c r="BJ286" t="str">
        <f>IF(BI286="","",IF(BI286="Below KS2 starting point",BG286,100+BF286)+ROW()/1000000)</f>
        <v/>
      </c>
    </row>
    <row r="287">
      <c r="H287" t="str">
        <f>IFERROR(INDEX(tblY7[Class],ROWS(H$10:H287))&amp;"","")</f>
        <v/>
      </c>
      <c r="I287" t="str">
        <f>IF(H287="","",IF(COUNTIF(H$10:H287,H287)=1,COUNTIF(H$10:H$609,"&lt;"&amp;H287)+1,""))</f>
        <v/>
      </c>
      <c r="J287" t="str">
        <f>IFERROR(INDEX(tblY8[Class],ROWS(J$10:J287))&amp;"","")</f>
        <v/>
      </c>
      <c r="K287" t="str">
        <f>IF(J287="","",IF(COUNTIF(J$10:J287,J287)=1,COUNTIF(J$10:J$609,"&lt;"&amp;J287)+1,""))</f>
        <v/>
      </c>
      <c r="L287" t="str">
        <f>IFERROR(INDEX(tblY9[Class],ROWS(L$10:L287))&amp;"","")</f>
        <v/>
      </c>
      <c r="M287" t="str">
        <f>IF(L287="","",IF(COUNTIF(L$10:L287,L287)=1,COUNTIF(L$10:L$609,"&lt;"&amp;L287)+1,""))</f>
        <v/>
      </c>
      <c r="N287" t="str">
        <f>IFERROR(INDEX(tblY10[Class],ROWS(N$10:N287))&amp;"","")</f>
        <v/>
      </c>
      <c r="O287" t="str">
        <f>IF(N287="","",IF(COUNTIF(N$10:N287,N287)=1,COUNTIF(N$10:N$609,"&lt;"&amp;N287)+1,""))</f>
        <v/>
      </c>
      <c r="P287" t="str">
        <f>IFERROR(INDEX(tblY11[Class],ROWS(P$10:P287))&amp;"","")</f>
        <v/>
      </c>
      <c r="Q287" t="str">
        <f>IF(P287="","",IF(COUNTIF(P$10:P287,P287)=1,COUNTIF(P$10:P$609,"&lt;"&amp;P287)+1,""))</f>
        <v/>
      </c>
      <c r="BA287" t="str">
        <f>IFERROR(INDEX(wLast,218)&amp;"","")</f>
        <v/>
      </c>
      <c r="BB287" t="str">
        <f>IF(BA287="","",IFERROR(INDEX(wFirst,218)&amp;"",""))</f>
        <v/>
      </c>
      <c r="BC287" t="str">
        <f>IF(BA287="","",IFERROR(INDEX(wClass,218)&amp;"",""))</f>
        <v/>
      </c>
      <c r="BD287" t="str">
        <f>IF(BA287="","",IFERROR(INDEX(wKS2,218)+0,""))</f>
        <v/>
      </c>
      <c r="BE287" t="str">
        <f>IF(BA287="","",IFERROR(INDEX(wTests,218)+0,0))</f>
        <v/>
      </c>
      <c r="BF287" t="str">
        <f>IF(BA287="","",IFERROR(INDEX(wMean,218)+0,""))</f>
        <v/>
      </c>
      <c r="BG287" t="str">
        <f>IF(BA287="","",IFERROR(INDEX(wVs,218)+0,""))</f>
        <v/>
      </c>
      <c r="BH287" t="str">
        <f>IF(OR(BA287="",wLatest=""),"",IFERROR(INDEX(wData,218,MATCH(wLatest&amp;CHAR(10)&amp;"Stanine",wHdr,0))+0,""))</f>
        <v/>
      </c>
      <c r="BI287" t="str">
        <f>IF(BA287="","",IF(AND(ISNUMBER(BG287),N(BE287)&gt;=WlMinTests,BG287&lt;=-WlGap),"Below KS2 starting point",IF(AND(NOT(ISNUMBER(BD287)),ISNUMBER(BF287),N(BE287)&gt;=WlMinTests,BF287&lt;=WlLowMean),"Low results, no KS2 data","")))</f>
        <v/>
      </c>
      <c r="BJ287" t="str">
        <f>IF(BI287="","",IF(BI287="Below KS2 starting point",BG287,100+BF287)+ROW()/1000000)</f>
        <v/>
      </c>
    </row>
    <row r="288">
      <c r="H288" t="str">
        <f>IFERROR(INDEX(tblY7[Class],ROWS(H$10:H288))&amp;"","")</f>
        <v/>
      </c>
      <c r="I288" t="str">
        <f>IF(H288="","",IF(COUNTIF(H$10:H288,H288)=1,COUNTIF(H$10:H$609,"&lt;"&amp;H288)+1,""))</f>
        <v/>
      </c>
      <c r="J288" t="str">
        <f>IFERROR(INDEX(tblY8[Class],ROWS(J$10:J288))&amp;"","")</f>
        <v/>
      </c>
      <c r="K288" t="str">
        <f>IF(J288="","",IF(COUNTIF(J$10:J288,J288)=1,COUNTIF(J$10:J$609,"&lt;"&amp;J288)+1,""))</f>
        <v/>
      </c>
      <c r="L288" t="str">
        <f>IFERROR(INDEX(tblY9[Class],ROWS(L$10:L288))&amp;"","")</f>
        <v/>
      </c>
      <c r="M288" t="str">
        <f>IF(L288="","",IF(COUNTIF(L$10:L288,L288)=1,COUNTIF(L$10:L$609,"&lt;"&amp;L288)+1,""))</f>
        <v/>
      </c>
      <c r="N288" t="str">
        <f>IFERROR(INDEX(tblY10[Class],ROWS(N$10:N288))&amp;"","")</f>
        <v/>
      </c>
      <c r="O288" t="str">
        <f>IF(N288="","",IF(COUNTIF(N$10:N288,N288)=1,COUNTIF(N$10:N$609,"&lt;"&amp;N288)+1,""))</f>
        <v/>
      </c>
      <c r="P288" t="str">
        <f>IFERROR(INDEX(tblY11[Class],ROWS(P$10:P288))&amp;"","")</f>
        <v/>
      </c>
      <c r="Q288" t="str">
        <f>IF(P288="","",IF(COUNTIF(P$10:P288,P288)=1,COUNTIF(P$10:P$609,"&lt;"&amp;P288)+1,""))</f>
        <v/>
      </c>
      <c r="BA288" t="str">
        <f>IFERROR(INDEX(wLast,219)&amp;"","")</f>
        <v/>
      </c>
      <c r="BB288" t="str">
        <f>IF(BA288="","",IFERROR(INDEX(wFirst,219)&amp;"",""))</f>
        <v/>
      </c>
      <c r="BC288" t="str">
        <f>IF(BA288="","",IFERROR(INDEX(wClass,219)&amp;"",""))</f>
        <v/>
      </c>
      <c r="BD288" t="str">
        <f>IF(BA288="","",IFERROR(INDEX(wKS2,219)+0,""))</f>
        <v/>
      </c>
      <c r="BE288" t="str">
        <f>IF(BA288="","",IFERROR(INDEX(wTests,219)+0,0))</f>
        <v/>
      </c>
      <c r="BF288" t="str">
        <f>IF(BA288="","",IFERROR(INDEX(wMean,219)+0,""))</f>
        <v/>
      </c>
      <c r="BG288" t="str">
        <f>IF(BA288="","",IFERROR(INDEX(wVs,219)+0,""))</f>
        <v/>
      </c>
      <c r="BH288" t="str">
        <f>IF(OR(BA288="",wLatest=""),"",IFERROR(INDEX(wData,219,MATCH(wLatest&amp;CHAR(10)&amp;"Stanine",wHdr,0))+0,""))</f>
        <v/>
      </c>
      <c r="BI288" t="str">
        <f>IF(BA288="","",IF(AND(ISNUMBER(BG288),N(BE288)&gt;=WlMinTests,BG288&lt;=-WlGap),"Below KS2 starting point",IF(AND(NOT(ISNUMBER(BD288)),ISNUMBER(BF288),N(BE288)&gt;=WlMinTests,BF288&lt;=WlLowMean),"Low results, no KS2 data","")))</f>
        <v/>
      </c>
      <c r="BJ288" t="str">
        <f>IF(BI288="","",IF(BI288="Below KS2 starting point",BG288,100+BF288)+ROW()/1000000)</f>
        <v/>
      </c>
    </row>
    <row r="289">
      <c r="H289" t="str">
        <f>IFERROR(INDEX(tblY7[Class],ROWS(H$10:H289))&amp;"","")</f>
        <v/>
      </c>
      <c r="I289" t="str">
        <f>IF(H289="","",IF(COUNTIF(H$10:H289,H289)=1,COUNTIF(H$10:H$609,"&lt;"&amp;H289)+1,""))</f>
        <v/>
      </c>
      <c r="J289" t="str">
        <f>IFERROR(INDEX(tblY8[Class],ROWS(J$10:J289))&amp;"","")</f>
        <v/>
      </c>
      <c r="K289" t="str">
        <f>IF(J289="","",IF(COUNTIF(J$10:J289,J289)=1,COUNTIF(J$10:J$609,"&lt;"&amp;J289)+1,""))</f>
        <v/>
      </c>
      <c r="L289" t="str">
        <f>IFERROR(INDEX(tblY9[Class],ROWS(L$10:L289))&amp;"","")</f>
        <v/>
      </c>
      <c r="M289" t="str">
        <f>IF(L289="","",IF(COUNTIF(L$10:L289,L289)=1,COUNTIF(L$10:L$609,"&lt;"&amp;L289)+1,""))</f>
        <v/>
      </c>
      <c r="N289" t="str">
        <f>IFERROR(INDEX(tblY10[Class],ROWS(N$10:N289))&amp;"","")</f>
        <v/>
      </c>
      <c r="O289" t="str">
        <f>IF(N289="","",IF(COUNTIF(N$10:N289,N289)=1,COUNTIF(N$10:N$609,"&lt;"&amp;N289)+1,""))</f>
        <v/>
      </c>
      <c r="P289" t="str">
        <f>IFERROR(INDEX(tblY11[Class],ROWS(P$10:P289))&amp;"","")</f>
        <v/>
      </c>
      <c r="Q289" t="str">
        <f>IF(P289="","",IF(COUNTIF(P$10:P289,P289)=1,COUNTIF(P$10:P$609,"&lt;"&amp;P289)+1,""))</f>
        <v/>
      </c>
      <c r="BA289" t="str">
        <f>IFERROR(INDEX(wLast,220)&amp;"","")</f>
        <v/>
      </c>
      <c r="BB289" t="str">
        <f>IF(BA289="","",IFERROR(INDEX(wFirst,220)&amp;"",""))</f>
        <v/>
      </c>
      <c r="BC289" t="str">
        <f>IF(BA289="","",IFERROR(INDEX(wClass,220)&amp;"",""))</f>
        <v/>
      </c>
      <c r="BD289" t="str">
        <f>IF(BA289="","",IFERROR(INDEX(wKS2,220)+0,""))</f>
        <v/>
      </c>
      <c r="BE289" t="str">
        <f>IF(BA289="","",IFERROR(INDEX(wTests,220)+0,0))</f>
        <v/>
      </c>
      <c r="BF289" t="str">
        <f>IF(BA289="","",IFERROR(INDEX(wMean,220)+0,""))</f>
        <v/>
      </c>
      <c r="BG289" t="str">
        <f>IF(BA289="","",IFERROR(INDEX(wVs,220)+0,""))</f>
        <v/>
      </c>
      <c r="BH289" t="str">
        <f>IF(OR(BA289="",wLatest=""),"",IFERROR(INDEX(wData,220,MATCH(wLatest&amp;CHAR(10)&amp;"Stanine",wHdr,0))+0,""))</f>
        <v/>
      </c>
      <c r="BI289" t="str">
        <f>IF(BA289="","",IF(AND(ISNUMBER(BG289),N(BE289)&gt;=WlMinTests,BG289&lt;=-WlGap),"Below KS2 starting point",IF(AND(NOT(ISNUMBER(BD289)),ISNUMBER(BF289),N(BE289)&gt;=WlMinTests,BF289&lt;=WlLowMean),"Low results, no KS2 data","")))</f>
        <v/>
      </c>
      <c r="BJ289" t="str">
        <f>IF(BI289="","",IF(BI289="Below KS2 starting point",BG289,100+BF289)+ROW()/1000000)</f>
        <v/>
      </c>
    </row>
    <row r="290">
      <c r="H290" t="str">
        <f>IFERROR(INDEX(tblY7[Class],ROWS(H$10:H290))&amp;"","")</f>
        <v/>
      </c>
      <c r="I290" t="str">
        <f>IF(H290="","",IF(COUNTIF(H$10:H290,H290)=1,COUNTIF(H$10:H$609,"&lt;"&amp;H290)+1,""))</f>
        <v/>
      </c>
      <c r="J290" t="str">
        <f>IFERROR(INDEX(tblY8[Class],ROWS(J$10:J290))&amp;"","")</f>
        <v/>
      </c>
      <c r="K290" t="str">
        <f>IF(J290="","",IF(COUNTIF(J$10:J290,J290)=1,COUNTIF(J$10:J$609,"&lt;"&amp;J290)+1,""))</f>
        <v/>
      </c>
      <c r="L290" t="str">
        <f>IFERROR(INDEX(tblY9[Class],ROWS(L$10:L290))&amp;"","")</f>
        <v/>
      </c>
      <c r="M290" t="str">
        <f>IF(L290="","",IF(COUNTIF(L$10:L290,L290)=1,COUNTIF(L$10:L$609,"&lt;"&amp;L290)+1,""))</f>
        <v/>
      </c>
      <c r="N290" t="str">
        <f>IFERROR(INDEX(tblY10[Class],ROWS(N$10:N290))&amp;"","")</f>
        <v/>
      </c>
      <c r="O290" t="str">
        <f>IF(N290="","",IF(COUNTIF(N$10:N290,N290)=1,COUNTIF(N$10:N$609,"&lt;"&amp;N290)+1,""))</f>
        <v/>
      </c>
      <c r="P290" t="str">
        <f>IFERROR(INDEX(tblY11[Class],ROWS(P$10:P290))&amp;"","")</f>
        <v/>
      </c>
      <c r="Q290" t="str">
        <f>IF(P290="","",IF(COUNTIF(P$10:P290,P290)=1,COUNTIF(P$10:P$609,"&lt;"&amp;P290)+1,""))</f>
        <v/>
      </c>
      <c r="BA290" t="str">
        <f>IFERROR(INDEX(wLast,221)&amp;"","")</f>
        <v/>
      </c>
      <c r="BB290" t="str">
        <f>IF(BA290="","",IFERROR(INDEX(wFirst,221)&amp;"",""))</f>
        <v/>
      </c>
      <c r="BC290" t="str">
        <f>IF(BA290="","",IFERROR(INDEX(wClass,221)&amp;"",""))</f>
        <v/>
      </c>
      <c r="BD290" t="str">
        <f>IF(BA290="","",IFERROR(INDEX(wKS2,221)+0,""))</f>
        <v/>
      </c>
      <c r="BE290" t="str">
        <f>IF(BA290="","",IFERROR(INDEX(wTests,221)+0,0))</f>
        <v/>
      </c>
      <c r="BF290" t="str">
        <f>IF(BA290="","",IFERROR(INDEX(wMean,221)+0,""))</f>
        <v/>
      </c>
      <c r="BG290" t="str">
        <f>IF(BA290="","",IFERROR(INDEX(wVs,221)+0,""))</f>
        <v/>
      </c>
      <c r="BH290" t="str">
        <f>IF(OR(BA290="",wLatest=""),"",IFERROR(INDEX(wData,221,MATCH(wLatest&amp;CHAR(10)&amp;"Stanine",wHdr,0))+0,""))</f>
        <v/>
      </c>
      <c r="BI290" t="str">
        <f>IF(BA290="","",IF(AND(ISNUMBER(BG290),N(BE290)&gt;=WlMinTests,BG290&lt;=-WlGap),"Below KS2 starting point",IF(AND(NOT(ISNUMBER(BD290)),ISNUMBER(BF290),N(BE290)&gt;=WlMinTests,BF290&lt;=WlLowMean),"Low results, no KS2 data","")))</f>
        <v/>
      </c>
      <c r="BJ290" t="str">
        <f>IF(BI290="","",IF(BI290="Below KS2 starting point",BG290,100+BF290)+ROW()/1000000)</f>
        <v/>
      </c>
    </row>
    <row r="291">
      <c r="H291" t="str">
        <f>IFERROR(INDEX(tblY7[Class],ROWS(H$10:H291))&amp;"","")</f>
        <v/>
      </c>
      <c r="I291" t="str">
        <f>IF(H291="","",IF(COUNTIF(H$10:H291,H291)=1,COUNTIF(H$10:H$609,"&lt;"&amp;H291)+1,""))</f>
        <v/>
      </c>
      <c r="J291" t="str">
        <f>IFERROR(INDEX(tblY8[Class],ROWS(J$10:J291))&amp;"","")</f>
        <v/>
      </c>
      <c r="K291" t="str">
        <f>IF(J291="","",IF(COUNTIF(J$10:J291,J291)=1,COUNTIF(J$10:J$609,"&lt;"&amp;J291)+1,""))</f>
        <v/>
      </c>
      <c r="L291" t="str">
        <f>IFERROR(INDEX(tblY9[Class],ROWS(L$10:L291))&amp;"","")</f>
        <v/>
      </c>
      <c r="M291" t="str">
        <f>IF(L291="","",IF(COUNTIF(L$10:L291,L291)=1,COUNTIF(L$10:L$609,"&lt;"&amp;L291)+1,""))</f>
        <v/>
      </c>
      <c r="N291" t="str">
        <f>IFERROR(INDEX(tblY10[Class],ROWS(N$10:N291))&amp;"","")</f>
        <v/>
      </c>
      <c r="O291" t="str">
        <f>IF(N291="","",IF(COUNTIF(N$10:N291,N291)=1,COUNTIF(N$10:N$609,"&lt;"&amp;N291)+1,""))</f>
        <v/>
      </c>
      <c r="P291" t="str">
        <f>IFERROR(INDEX(tblY11[Class],ROWS(P$10:P291))&amp;"","")</f>
        <v/>
      </c>
      <c r="Q291" t="str">
        <f>IF(P291="","",IF(COUNTIF(P$10:P291,P291)=1,COUNTIF(P$10:P$609,"&lt;"&amp;P291)+1,""))</f>
        <v/>
      </c>
      <c r="BA291" t="str">
        <f>IFERROR(INDEX(wLast,222)&amp;"","")</f>
        <v/>
      </c>
      <c r="BB291" t="str">
        <f>IF(BA291="","",IFERROR(INDEX(wFirst,222)&amp;"",""))</f>
        <v/>
      </c>
      <c r="BC291" t="str">
        <f>IF(BA291="","",IFERROR(INDEX(wClass,222)&amp;"",""))</f>
        <v/>
      </c>
      <c r="BD291" t="str">
        <f>IF(BA291="","",IFERROR(INDEX(wKS2,222)+0,""))</f>
        <v/>
      </c>
      <c r="BE291" t="str">
        <f>IF(BA291="","",IFERROR(INDEX(wTests,222)+0,0))</f>
        <v/>
      </c>
      <c r="BF291" t="str">
        <f>IF(BA291="","",IFERROR(INDEX(wMean,222)+0,""))</f>
        <v/>
      </c>
      <c r="BG291" t="str">
        <f>IF(BA291="","",IFERROR(INDEX(wVs,222)+0,""))</f>
        <v/>
      </c>
      <c r="BH291" t="str">
        <f>IF(OR(BA291="",wLatest=""),"",IFERROR(INDEX(wData,222,MATCH(wLatest&amp;CHAR(10)&amp;"Stanine",wHdr,0))+0,""))</f>
        <v/>
      </c>
      <c r="BI291" t="str">
        <f>IF(BA291="","",IF(AND(ISNUMBER(BG291),N(BE291)&gt;=WlMinTests,BG291&lt;=-WlGap),"Below KS2 starting point",IF(AND(NOT(ISNUMBER(BD291)),ISNUMBER(BF291),N(BE291)&gt;=WlMinTests,BF291&lt;=WlLowMean),"Low results, no KS2 data","")))</f>
        <v/>
      </c>
      <c r="BJ291" t="str">
        <f>IF(BI291="","",IF(BI291="Below KS2 starting point",BG291,100+BF291)+ROW()/1000000)</f>
        <v/>
      </c>
    </row>
    <row r="292">
      <c r="H292" t="str">
        <f>IFERROR(INDEX(tblY7[Class],ROWS(H$10:H292))&amp;"","")</f>
        <v/>
      </c>
      <c r="I292" t="str">
        <f>IF(H292="","",IF(COUNTIF(H$10:H292,H292)=1,COUNTIF(H$10:H$609,"&lt;"&amp;H292)+1,""))</f>
        <v/>
      </c>
      <c r="J292" t="str">
        <f>IFERROR(INDEX(tblY8[Class],ROWS(J$10:J292))&amp;"","")</f>
        <v/>
      </c>
      <c r="K292" t="str">
        <f>IF(J292="","",IF(COUNTIF(J$10:J292,J292)=1,COUNTIF(J$10:J$609,"&lt;"&amp;J292)+1,""))</f>
        <v/>
      </c>
      <c r="L292" t="str">
        <f>IFERROR(INDEX(tblY9[Class],ROWS(L$10:L292))&amp;"","")</f>
        <v/>
      </c>
      <c r="M292" t="str">
        <f>IF(L292="","",IF(COUNTIF(L$10:L292,L292)=1,COUNTIF(L$10:L$609,"&lt;"&amp;L292)+1,""))</f>
        <v/>
      </c>
      <c r="N292" t="str">
        <f>IFERROR(INDEX(tblY10[Class],ROWS(N$10:N292))&amp;"","")</f>
        <v/>
      </c>
      <c r="O292" t="str">
        <f>IF(N292="","",IF(COUNTIF(N$10:N292,N292)=1,COUNTIF(N$10:N$609,"&lt;"&amp;N292)+1,""))</f>
        <v/>
      </c>
      <c r="P292" t="str">
        <f>IFERROR(INDEX(tblY11[Class],ROWS(P$10:P292))&amp;"","")</f>
        <v/>
      </c>
      <c r="Q292" t="str">
        <f>IF(P292="","",IF(COUNTIF(P$10:P292,P292)=1,COUNTIF(P$10:P$609,"&lt;"&amp;P292)+1,""))</f>
        <v/>
      </c>
      <c r="BA292" t="str">
        <f>IFERROR(INDEX(wLast,223)&amp;"","")</f>
        <v/>
      </c>
      <c r="BB292" t="str">
        <f>IF(BA292="","",IFERROR(INDEX(wFirst,223)&amp;"",""))</f>
        <v/>
      </c>
      <c r="BC292" t="str">
        <f>IF(BA292="","",IFERROR(INDEX(wClass,223)&amp;"",""))</f>
        <v/>
      </c>
      <c r="BD292" t="str">
        <f>IF(BA292="","",IFERROR(INDEX(wKS2,223)+0,""))</f>
        <v/>
      </c>
      <c r="BE292" t="str">
        <f>IF(BA292="","",IFERROR(INDEX(wTests,223)+0,0))</f>
        <v/>
      </c>
      <c r="BF292" t="str">
        <f>IF(BA292="","",IFERROR(INDEX(wMean,223)+0,""))</f>
        <v/>
      </c>
      <c r="BG292" t="str">
        <f>IF(BA292="","",IFERROR(INDEX(wVs,223)+0,""))</f>
        <v/>
      </c>
      <c r="BH292" t="str">
        <f>IF(OR(BA292="",wLatest=""),"",IFERROR(INDEX(wData,223,MATCH(wLatest&amp;CHAR(10)&amp;"Stanine",wHdr,0))+0,""))</f>
        <v/>
      </c>
      <c r="BI292" t="str">
        <f>IF(BA292="","",IF(AND(ISNUMBER(BG292),N(BE292)&gt;=WlMinTests,BG292&lt;=-WlGap),"Below KS2 starting point",IF(AND(NOT(ISNUMBER(BD292)),ISNUMBER(BF292),N(BE292)&gt;=WlMinTests,BF292&lt;=WlLowMean),"Low results, no KS2 data","")))</f>
        <v/>
      </c>
      <c r="BJ292" t="str">
        <f>IF(BI292="","",IF(BI292="Below KS2 starting point",BG292,100+BF292)+ROW()/1000000)</f>
        <v/>
      </c>
    </row>
    <row r="293">
      <c r="H293" t="str">
        <f>IFERROR(INDEX(tblY7[Class],ROWS(H$10:H293))&amp;"","")</f>
        <v/>
      </c>
      <c r="I293" t="str">
        <f>IF(H293="","",IF(COUNTIF(H$10:H293,H293)=1,COUNTIF(H$10:H$609,"&lt;"&amp;H293)+1,""))</f>
        <v/>
      </c>
      <c r="J293" t="str">
        <f>IFERROR(INDEX(tblY8[Class],ROWS(J$10:J293))&amp;"","")</f>
        <v/>
      </c>
      <c r="K293" t="str">
        <f>IF(J293="","",IF(COUNTIF(J$10:J293,J293)=1,COUNTIF(J$10:J$609,"&lt;"&amp;J293)+1,""))</f>
        <v/>
      </c>
      <c r="L293" t="str">
        <f>IFERROR(INDEX(tblY9[Class],ROWS(L$10:L293))&amp;"","")</f>
        <v/>
      </c>
      <c r="M293" t="str">
        <f>IF(L293="","",IF(COUNTIF(L$10:L293,L293)=1,COUNTIF(L$10:L$609,"&lt;"&amp;L293)+1,""))</f>
        <v/>
      </c>
      <c r="N293" t="str">
        <f>IFERROR(INDEX(tblY10[Class],ROWS(N$10:N293))&amp;"","")</f>
        <v/>
      </c>
      <c r="O293" t="str">
        <f>IF(N293="","",IF(COUNTIF(N$10:N293,N293)=1,COUNTIF(N$10:N$609,"&lt;"&amp;N293)+1,""))</f>
        <v/>
      </c>
      <c r="P293" t="str">
        <f>IFERROR(INDEX(tblY11[Class],ROWS(P$10:P293))&amp;"","")</f>
        <v/>
      </c>
      <c r="Q293" t="str">
        <f>IF(P293="","",IF(COUNTIF(P$10:P293,P293)=1,COUNTIF(P$10:P$609,"&lt;"&amp;P293)+1,""))</f>
        <v/>
      </c>
      <c r="BA293" t="str">
        <f>IFERROR(INDEX(wLast,224)&amp;"","")</f>
        <v/>
      </c>
      <c r="BB293" t="str">
        <f>IF(BA293="","",IFERROR(INDEX(wFirst,224)&amp;"",""))</f>
        <v/>
      </c>
      <c r="BC293" t="str">
        <f>IF(BA293="","",IFERROR(INDEX(wClass,224)&amp;"",""))</f>
        <v/>
      </c>
      <c r="BD293" t="str">
        <f>IF(BA293="","",IFERROR(INDEX(wKS2,224)+0,""))</f>
        <v/>
      </c>
      <c r="BE293" t="str">
        <f>IF(BA293="","",IFERROR(INDEX(wTests,224)+0,0))</f>
        <v/>
      </c>
      <c r="BF293" t="str">
        <f>IF(BA293="","",IFERROR(INDEX(wMean,224)+0,""))</f>
        <v/>
      </c>
      <c r="BG293" t="str">
        <f>IF(BA293="","",IFERROR(INDEX(wVs,224)+0,""))</f>
        <v/>
      </c>
      <c r="BH293" t="str">
        <f>IF(OR(BA293="",wLatest=""),"",IFERROR(INDEX(wData,224,MATCH(wLatest&amp;CHAR(10)&amp;"Stanine",wHdr,0))+0,""))</f>
        <v/>
      </c>
      <c r="BI293" t="str">
        <f>IF(BA293="","",IF(AND(ISNUMBER(BG293),N(BE293)&gt;=WlMinTests,BG293&lt;=-WlGap),"Below KS2 starting point",IF(AND(NOT(ISNUMBER(BD293)),ISNUMBER(BF293),N(BE293)&gt;=WlMinTests,BF293&lt;=WlLowMean),"Low results, no KS2 data","")))</f>
        <v/>
      </c>
      <c r="BJ293" t="str">
        <f>IF(BI293="","",IF(BI293="Below KS2 starting point",BG293,100+BF293)+ROW()/1000000)</f>
        <v/>
      </c>
    </row>
    <row r="294">
      <c r="H294" t="str">
        <f>IFERROR(INDEX(tblY7[Class],ROWS(H$10:H294))&amp;"","")</f>
        <v/>
      </c>
      <c r="I294" t="str">
        <f>IF(H294="","",IF(COUNTIF(H$10:H294,H294)=1,COUNTIF(H$10:H$609,"&lt;"&amp;H294)+1,""))</f>
        <v/>
      </c>
      <c r="J294" t="str">
        <f>IFERROR(INDEX(tblY8[Class],ROWS(J$10:J294))&amp;"","")</f>
        <v/>
      </c>
      <c r="K294" t="str">
        <f>IF(J294="","",IF(COUNTIF(J$10:J294,J294)=1,COUNTIF(J$10:J$609,"&lt;"&amp;J294)+1,""))</f>
        <v/>
      </c>
      <c r="L294" t="str">
        <f>IFERROR(INDEX(tblY9[Class],ROWS(L$10:L294))&amp;"","")</f>
        <v/>
      </c>
      <c r="M294" t="str">
        <f>IF(L294="","",IF(COUNTIF(L$10:L294,L294)=1,COUNTIF(L$10:L$609,"&lt;"&amp;L294)+1,""))</f>
        <v/>
      </c>
      <c r="N294" t="str">
        <f>IFERROR(INDEX(tblY10[Class],ROWS(N$10:N294))&amp;"","")</f>
        <v/>
      </c>
      <c r="O294" t="str">
        <f>IF(N294="","",IF(COUNTIF(N$10:N294,N294)=1,COUNTIF(N$10:N$609,"&lt;"&amp;N294)+1,""))</f>
        <v/>
      </c>
      <c r="P294" t="str">
        <f>IFERROR(INDEX(tblY11[Class],ROWS(P$10:P294))&amp;"","")</f>
        <v/>
      </c>
      <c r="Q294" t="str">
        <f>IF(P294="","",IF(COUNTIF(P$10:P294,P294)=1,COUNTIF(P$10:P$609,"&lt;"&amp;P294)+1,""))</f>
        <v/>
      </c>
      <c r="BA294" t="str">
        <f>IFERROR(INDEX(wLast,225)&amp;"","")</f>
        <v/>
      </c>
      <c r="BB294" t="str">
        <f>IF(BA294="","",IFERROR(INDEX(wFirst,225)&amp;"",""))</f>
        <v/>
      </c>
      <c r="BC294" t="str">
        <f>IF(BA294="","",IFERROR(INDEX(wClass,225)&amp;"",""))</f>
        <v/>
      </c>
      <c r="BD294" t="str">
        <f>IF(BA294="","",IFERROR(INDEX(wKS2,225)+0,""))</f>
        <v/>
      </c>
      <c r="BE294" t="str">
        <f>IF(BA294="","",IFERROR(INDEX(wTests,225)+0,0))</f>
        <v/>
      </c>
      <c r="BF294" t="str">
        <f>IF(BA294="","",IFERROR(INDEX(wMean,225)+0,""))</f>
        <v/>
      </c>
      <c r="BG294" t="str">
        <f>IF(BA294="","",IFERROR(INDEX(wVs,225)+0,""))</f>
        <v/>
      </c>
      <c r="BH294" t="str">
        <f>IF(OR(BA294="",wLatest=""),"",IFERROR(INDEX(wData,225,MATCH(wLatest&amp;CHAR(10)&amp;"Stanine",wHdr,0))+0,""))</f>
        <v/>
      </c>
      <c r="BI294" t="str">
        <f>IF(BA294="","",IF(AND(ISNUMBER(BG294),N(BE294)&gt;=WlMinTests,BG294&lt;=-WlGap),"Below KS2 starting point",IF(AND(NOT(ISNUMBER(BD294)),ISNUMBER(BF294),N(BE294)&gt;=WlMinTests,BF294&lt;=WlLowMean),"Low results, no KS2 data","")))</f>
        <v/>
      </c>
      <c r="BJ294" t="str">
        <f>IF(BI294="","",IF(BI294="Below KS2 starting point",BG294,100+BF294)+ROW()/1000000)</f>
        <v/>
      </c>
    </row>
    <row r="295">
      <c r="H295" t="str">
        <f>IFERROR(INDEX(tblY7[Class],ROWS(H$10:H295))&amp;"","")</f>
        <v/>
      </c>
      <c r="I295" t="str">
        <f>IF(H295="","",IF(COUNTIF(H$10:H295,H295)=1,COUNTIF(H$10:H$609,"&lt;"&amp;H295)+1,""))</f>
        <v/>
      </c>
      <c r="J295" t="str">
        <f>IFERROR(INDEX(tblY8[Class],ROWS(J$10:J295))&amp;"","")</f>
        <v/>
      </c>
      <c r="K295" t="str">
        <f>IF(J295="","",IF(COUNTIF(J$10:J295,J295)=1,COUNTIF(J$10:J$609,"&lt;"&amp;J295)+1,""))</f>
        <v/>
      </c>
      <c r="L295" t="str">
        <f>IFERROR(INDEX(tblY9[Class],ROWS(L$10:L295))&amp;"","")</f>
        <v/>
      </c>
      <c r="M295" t="str">
        <f>IF(L295="","",IF(COUNTIF(L$10:L295,L295)=1,COUNTIF(L$10:L$609,"&lt;"&amp;L295)+1,""))</f>
        <v/>
      </c>
      <c r="N295" t="str">
        <f>IFERROR(INDEX(tblY10[Class],ROWS(N$10:N295))&amp;"","")</f>
        <v/>
      </c>
      <c r="O295" t="str">
        <f>IF(N295="","",IF(COUNTIF(N$10:N295,N295)=1,COUNTIF(N$10:N$609,"&lt;"&amp;N295)+1,""))</f>
        <v/>
      </c>
      <c r="P295" t="str">
        <f>IFERROR(INDEX(tblY11[Class],ROWS(P$10:P295))&amp;"","")</f>
        <v/>
      </c>
      <c r="Q295" t="str">
        <f>IF(P295="","",IF(COUNTIF(P$10:P295,P295)=1,COUNTIF(P$10:P$609,"&lt;"&amp;P295)+1,""))</f>
        <v/>
      </c>
      <c r="BA295" t="str">
        <f>IFERROR(INDEX(wLast,226)&amp;"","")</f>
        <v/>
      </c>
      <c r="BB295" t="str">
        <f>IF(BA295="","",IFERROR(INDEX(wFirst,226)&amp;"",""))</f>
        <v/>
      </c>
      <c r="BC295" t="str">
        <f>IF(BA295="","",IFERROR(INDEX(wClass,226)&amp;"",""))</f>
        <v/>
      </c>
      <c r="BD295" t="str">
        <f>IF(BA295="","",IFERROR(INDEX(wKS2,226)+0,""))</f>
        <v/>
      </c>
      <c r="BE295" t="str">
        <f>IF(BA295="","",IFERROR(INDEX(wTests,226)+0,0))</f>
        <v/>
      </c>
      <c r="BF295" t="str">
        <f>IF(BA295="","",IFERROR(INDEX(wMean,226)+0,""))</f>
        <v/>
      </c>
      <c r="BG295" t="str">
        <f>IF(BA295="","",IFERROR(INDEX(wVs,226)+0,""))</f>
        <v/>
      </c>
      <c r="BH295" t="str">
        <f>IF(OR(BA295="",wLatest=""),"",IFERROR(INDEX(wData,226,MATCH(wLatest&amp;CHAR(10)&amp;"Stanine",wHdr,0))+0,""))</f>
        <v/>
      </c>
      <c r="BI295" t="str">
        <f>IF(BA295="","",IF(AND(ISNUMBER(BG295),N(BE295)&gt;=WlMinTests,BG295&lt;=-WlGap),"Below KS2 starting point",IF(AND(NOT(ISNUMBER(BD295)),ISNUMBER(BF295),N(BE295)&gt;=WlMinTests,BF295&lt;=WlLowMean),"Low results, no KS2 data","")))</f>
        <v/>
      </c>
      <c r="BJ295" t="str">
        <f>IF(BI295="","",IF(BI295="Below KS2 starting point",BG295,100+BF295)+ROW()/1000000)</f>
        <v/>
      </c>
    </row>
    <row r="296">
      <c r="H296" t="str">
        <f>IFERROR(INDEX(tblY7[Class],ROWS(H$10:H296))&amp;"","")</f>
        <v/>
      </c>
      <c r="I296" t="str">
        <f>IF(H296="","",IF(COUNTIF(H$10:H296,H296)=1,COUNTIF(H$10:H$609,"&lt;"&amp;H296)+1,""))</f>
        <v/>
      </c>
      <c r="J296" t="str">
        <f>IFERROR(INDEX(tblY8[Class],ROWS(J$10:J296))&amp;"","")</f>
        <v/>
      </c>
      <c r="K296" t="str">
        <f>IF(J296="","",IF(COUNTIF(J$10:J296,J296)=1,COUNTIF(J$10:J$609,"&lt;"&amp;J296)+1,""))</f>
        <v/>
      </c>
      <c r="L296" t="str">
        <f>IFERROR(INDEX(tblY9[Class],ROWS(L$10:L296))&amp;"","")</f>
        <v/>
      </c>
      <c r="M296" t="str">
        <f>IF(L296="","",IF(COUNTIF(L$10:L296,L296)=1,COUNTIF(L$10:L$609,"&lt;"&amp;L296)+1,""))</f>
        <v/>
      </c>
      <c r="N296" t="str">
        <f>IFERROR(INDEX(tblY10[Class],ROWS(N$10:N296))&amp;"","")</f>
        <v/>
      </c>
      <c r="O296" t="str">
        <f>IF(N296="","",IF(COUNTIF(N$10:N296,N296)=1,COUNTIF(N$10:N$609,"&lt;"&amp;N296)+1,""))</f>
        <v/>
      </c>
      <c r="P296" t="str">
        <f>IFERROR(INDEX(tblY11[Class],ROWS(P$10:P296))&amp;"","")</f>
        <v/>
      </c>
      <c r="Q296" t="str">
        <f>IF(P296="","",IF(COUNTIF(P$10:P296,P296)=1,COUNTIF(P$10:P$609,"&lt;"&amp;P296)+1,""))</f>
        <v/>
      </c>
      <c r="BA296" t="str">
        <f>IFERROR(INDEX(wLast,227)&amp;"","")</f>
        <v/>
      </c>
      <c r="BB296" t="str">
        <f>IF(BA296="","",IFERROR(INDEX(wFirst,227)&amp;"",""))</f>
        <v/>
      </c>
      <c r="BC296" t="str">
        <f>IF(BA296="","",IFERROR(INDEX(wClass,227)&amp;"",""))</f>
        <v/>
      </c>
      <c r="BD296" t="str">
        <f>IF(BA296="","",IFERROR(INDEX(wKS2,227)+0,""))</f>
        <v/>
      </c>
      <c r="BE296" t="str">
        <f>IF(BA296="","",IFERROR(INDEX(wTests,227)+0,0))</f>
        <v/>
      </c>
      <c r="BF296" t="str">
        <f>IF(BA296="","",IFERROR(INDEX(wMean,227)+0,""))</f>
        <v/>
      </c>
      <c r="BG296" t="str">
        <f>IF(BA296="","",IFERROR(INDEX(wVs,227)+0,""))</f>
        <v/>
      </c>
      <c r="BH296" t="str">
        <f>IF(OR(BA296="",wLatest=""),"",IFERROR(INDEX(wData,227,MATCH(wLatest&amp;CHAR(10)&amp;"Stanine",wHdr,0))+0,""))</f>
        <v/>
      </c>
      <c r="BI296" t="str">
        <f>IF(BA296="","",IF(AND(ISNUMBER(BG296),N(BE296)&gt;=WlMinTests,BG296&lt;=-WlGap),"Below KS2 starting point",IF(AND(NOT(ISNUMBER(BD296)),ISNUMBER(BF296),N(BE296)&gt;=WlMinTests,BF296&lt;=WlLowMean),"Low results, no KS2 data","")))</f>
        <v/>
      </c>
      <c r="BJ296" t="str">
        <f>IF(BI296="","",IF(BI296="Below KS2 starting point",BG296,100+BF296)+ROW()/1000000)</f>
        <v/>
      </c>
    </row>
    <row r="297">
      <c r="H297" t="str">
        <f>IFERROR(INDEX(tblY7[Class],ROWS(H$10:H297))&amp;"","")</f>
        <v/>
      </c>
      <c r="I297" t="str">
        <f>IF(H297="","",IF(COUNTIF(H$10:H297,H297)=1,COUNTIF(H$10:H$609,"&lt;"&amp;H297)+1,""))</f>
        <v/>
      </c>
      <c r="J297" t="str">
        <f>IFERROR(INDEX(tblY8[Class],ROWS(J$10:J297))&amp;"","")</f>
        <v/>
      </c>
      <c r="K297" t="str">
        <f>IF(J297="","",IF(COUNTIF(J$10:J297,J297)=1,COUNTIF(J$10:J$609,"&lt;"&amp;J297)+1,""))</f>
        <v/>
      </c>
      <c r="L297" t="str">
        <f>IFERROR(INDEX(tblY9[Class],ROWS(L$10:L297))&amp;"","")</f>
        <v/>
      </c>
      <c r="M297" t="str">
        <f>IF(L297="","",IF(COUNTIF(L$10:L297,L297)=1,COUNTIF(L$10:L$609,"&lt;"&amp;L297)+1,""))</f>
        <v/>
      </c>
      <c r="N297" t="str">
        <f>IFERROR(INDEX(tblY10[Class],ROWS(N$10:N297))&amp;"","")</f>
        <v/>
      </c>
      <c r="O297" t="str">
        <f>IF(N297="","",IF(COUNTIF(N$10:N297,N297)=1,COUNTIF(N$10:N$609,"&lt;"&amp;N297)+1,""))</f>
        <v/>
      </c>
      <c r="P297" t="str">
        <f>IFERROR(INDEX(tblY11[Class],ROWS(P$10:P297))&amp;"","")</f>
        <v/>
      </c>
      <c r="Q297" t="str">
        <f>IF(P297="","",IF(COUNTIF(P$10:P297,P297)=1,COUNTIF(P$10:P$609,"&lt;"&amp;P297)+1,""))</f>
        <v/>
      </c>
      <c r="BA297" t="str">
        <f>IFERROR(INDEX(wLast,228)&amp;"","")</f>
        <v/>
      </c>
      <c r="BB297" t="str">
        <f>IF(BA297="","",IFERROR(INDEX(wFirst,228)&amp;"",""))</f>
        <v/>
      </c>
      <c r="BC297" t="str">
        <f>IF(BA297="","",IFERROR(INDEX(wClass,228)&amp;"",""))</f>
        <v/>
      </c>
      <c r="BD297" t="str">
        <f>IF(BA297="","",IFERROR(INDEX(wKS2,228)+0,""))</f>
        <v/>
      </c>
      <c r="BE297" t="str">
        <f>IF(BA297="","",IFERROR(INDEX(wTests,228)+0,0))</f>
        <v/>
      </c>
      <c r="BF297" t="str">
        <f>IF(BA297="","",IFERROR(INDEX(wMean,228)+0,""))</f>
        <v/>
      </c>
      <c r="BG297" t="str">
        <f>IF(BA297="","",IFERROR(INDEX(wVs,228)+0,""))</f>
        <v/>
      </c>
      <c r="BH297" t="str">
        <f>IF(OR(BA297="",wLatest=""),"",IFERROR(INDEX(wData,228,MATCH(wLatest&amp;CHAR(10)&amp;"Stanine",wHdr,0))+0,""))</f>
        <v/>
      </c>
      <c r="BI297" t="str">
        <f>IF(BA297="","",IF(AND(ISNUMBER(BG297),N(BE297)&gt;=WlMinTests,BG297&lt;=-WlGap),"Below KS2 starting point",IF(AND(NOT(ISNUMBER(BD297)),ISNUMBER(BF297),N(BE297)&gt;=WlMinTests,BF297&lt;=WlLowMean),"Low results, no KS2 data","")))</f>
        <v/>
      </c>
      <c r="BJ297" t="str">
        <f>IF(BI297="","",IF(BI297="Below KS2 starting point",BG297,100+BF297)+ROW()/1000000)</f>
        <v/>
      </c>
    </row>
    <row r="298">
      <c r="H298" t="str">
        <f>IFERROR(INDEX(tblY7[Class],ROWS(H$10:H298))&amp;"","")</f>
        <v/>
      </c>
      <c r="I298" t="str">
        <f>IF(H298="","",IF(COUNTIF(H$10:H298,H298)=1,COUNTIF(H$10:H$609,"&lt;"&amp;H298)+1,""))</f>
        <v/>
      </c>
      <c r="J298" t="str">
        <f>IFERROR(INDEX(tblY8[Class],ROWS(J$10:J298))&amp;"","")</f>
        <v/>
      </c>
      <c r="K298" t="str">
        <f>IF(J298="","",IF(COUNTIF(J$10:J298,J298)=1,COUNTIF(J$10:J$609,"&lt;"&amp;J298)+1,""))</f>
        <v/>
      </c>
      <c r="L298" t="str">
        <f>IFERROR(INDEX(tblY9[Class],ROWS(L$10:L298))&amp;"","")</f>
        <v/>
      </c>
      <c r="M298" t="str">
        <f>IF(L298="","",IF(COUNTIF(L$10:L298,L298)=1,COUNTIF(L$10:L$609,"&lt;"&amp;L298)+1,""))</f>
        <v/>
      </c>
      <c r="N298" t="str">
        <f>IFERROR(INDEX(tblY10[Class],ROWS(N$10:N298))&amp;"","")</f>
        <v/>
      </c>
      <c r="O298" t="str">
        <f>IF(N298="","",IF(COUNTIF(N$10:N298,N298)=1,COUNTIF(N$10:N$609,"&lt;"&amp;N298)+1,""))</f>
        <v/>
      </c>
      <c r="P298" t="str">
        <f>IFERROR(INDEX(tblY11[Class],ROWS(P$10:P298))&amp;"","")</f>
        <v/>
      </c>
      <c r="Q298" t="str">
        <f>IF(P298="","",IF(COUNTIF(P$10:P298,P298)=1,COUNTIF(P$10:P$609,"&lt;"&amp;P298)+1,""))</f>
        <v/>
      </c>
      <c r="BA298" t="str">
        <f>IFERROR(INDEX(wLast,229)&amp;"","")</f>
        <v/>
      </c>
      <c r="BB298" t="str">
        <f>IF(BA298="","",IFERROR(INDEX(wFirst,229)&amp;"",""))</f>
        <v/>
      </c>
      <c r="BC298" t="str">
        <f>IF(BA298="","",IFERROR(INDEX(wClass,229)&amp;"",""))</f>
        <v/>
      </c>
      <c r="BD298" t="str">
        <f>IF(BA298="","",IFERROR(INDEX(wKS2,229)+0,""))</f>
        <v/>
      </c>
      <c r="BE298" t="str">
        <f>IF(BA298="","",IFERROR(INDEX(wTests,229)+0,0))</f>
        <v/>
      </c>
      <c r="BF298" t="str">
        <f>IF(BA298="","",IFERROR(INDEX(wMean,229)+0,""))</f>
        <v/>
      </c>
      <c r="BG298" t="str">
        <f>IF(BA298="","",IFERROR(INDEX(wVs,229)+0,""))</f>
        <v/>
      </c>
      <c r="BH298" t="str">
        <f>IF(OR(BA298="",wLatest=""),"",IFERROR(INDEX(wData,229,MATCH(wLatest&amp;CHAR(10)&amp;"Stanine",wHdr,0))+0,""))</f>
        <v/>
      </c>
      <c r="BI298" t="str">
        <f>IF(BA298="","",IF(AND(ISNUMBER(BG298),N(BE298)&gt;=WlMinTests,BG298&lt;=-WlGap),"Below KS2 starting point",IF(AND(NOT(ISNUMBER(BD298)),ISNUMBER(BF298),N(BE298)&gt;=WlMinTests,BF298&lt;=WlLowMean),"Low results, no KS2 data","")))</f>
        <v/>
      </c>
      <c r="BJ298" t="str">
        <f>IF(BI298="","",IF(BI298="Below KS2 starting point",BG298,100+BF298)+ROW()/1000000)</f>
        <v/>
      </c>
    </row>
    <row r="299">
      <c r="H299" t="str">
        <f>IFERROR(INDEX(tblY7[Class],ROWS(H$10:H299))&amp;"","")</f>
        <v/>
      </c>
      <c r="I299" t="str">
        <f>IF(H299="","",IF(COUNTIF(H$10:H299,H299)=1,COUNTIF(H$10:H$609,"&lt;"&amp;H299)+1,""))</f>
        <v/>
      </c>
      <c r="J299" t="str">
        <f>IFERROR(INDEX(tblY8[Class],ROWS(J$10:J299))&amp;"","")</f>
        <v/>
      </c>
      <c r="K299" t="str">
        <f>IF(J299="","",IF(COUNTIF(J$10:J299,J299)=1,COUNTIF(J$10:J$609,"&lt;"&amp;J299)+1,""))</f>
        <v/>
      </c>
      <c r="L299" t="str">
        <f>IFERROR(INDEX(tblY9[Class],ROWS(L$10:L299))&amp;"","")</f>
        <v/>
      </c>
      <c r="M299" t="str">
        <f>IF(L299="","",IF(COUNTIF(L$10:L299,L299)=1,COUNTIF(L$10:L$609,"&lt;"&amp;L299)+1,""))</f>
        <v/>
      </c>
      <c r="N299" t="str">
        <f>IFERROR(INDEX(tblY10[Class],ROWS(N$10:N299))&amp;"","")</f>
        <v/>
      </c>
      <c r="O299" t="str">
        <f>IF(N299="","",IF(COUNTIF(N$10:N299,N299)=1,COUNTIF(N$10:N$609,"&lt;"&amp;N299)+1,""))</f>
        <v/>
      </c>
      <c r="P299" t="str">
        <f>IFERROR(INDEX(tblY11[Class],ROWS(P$10:P299))&amp;"","")</f>
        <v/>
      </c>
      <c r="Q299" t="str">
        <f>IF(P299="","",IF(COUNTIF(P$10:P299,P299)=1,COUNTIF(P$10:P$609,"&lt;"&amp;P299)+1,""))</f>
        <v/>
      </c>
      <c r="BA299" t="str">
        <f>IFERROR(INDEX(wLast,230)&amp;"","")</f>
        <v/>
      </c>
      <c r="BB299" t="str">
        <f>IF(BA299="","",IFERROR(INDEX(wFirst,230)&amp;"",""))</f>
        <v/>
      </c>
      <c r="BC299" t="str">
        <f>IF(BA299="","",IFERROR(INDEX(wClass,230)&amp;"",""))</f>
        <v/>
      </c>
      <c r="BD299" t="str">
        <f>IF(BA299="","",IFERROR(INDEX(wKS2,230)+0,""))</f>
        <v/>
      </c>
      <c r="BE299" t="str">
        <f>IF(BA299="","",IFERROR(INDEX(wTests,230)+0,0))</f>
        <v/>
      </c>
      <c r="BF299" t="str">
        <f>IF(BA299="","",IFERROR(INDEX(wMean,230)+0,""))</f>
        <v/>
      </c>
      <c r="BG299" t="str">
        <f>IF(BA299="","",IFERROR(INDEX(wVs,230)+0,""))</f>
        <v/>
      </c>
      <c r="BH299" t="str">
        <f>IF(OR(BA299="",wLatest=""),"",IFERROR(INDEX(wData,230,MATCH(wLatest&amp;CHAR(10)&amp;"Stanine",wHdr,0))+0,""))</f>
        <v/>
      </c>
      <c r="BI299" t="str">
        <f>IF(BA299="","",IF(AND(ISNUMBER(BG299),N(BE299)&gt;=WlMinTests,BG299&lt;=-WlGap),"Below KS2 starting point",IF(AND(NOT(ISNUMBER(BD299)),ISNUMBER(BF299),N(BE299)&gt;=WlMinTests,BF299&lt;=WlLowMean),"Low results, no KS2 data","")))</f>
        <v/>
      </c>
      <c r="BJ299" t="str">
        <f>IF(BI299="","",IF(BI299="Below KS2 starting point",BG299,100+BF299)+ROW()/1000000)</f>
        <v/>
      </c>
    </row>
    <row r="300">
      <c r="H300" t="str">
        <f>IFERROR(INDEX(tblY7[Class],ROWS(H$10:H300))&amp;"","")</f>
        <v/>
      </c>
      <c r="I300" t="str">
        <f>IF(H300="","",IF(COUNTIF(H$10:H300,H300)=1,COUNTIF(H$10:H$609,"&lt;"&amp;H300)+1,""))</f>
        <v/>
      </c>
      <c r="J300" t="str">
        <f>IFERROR(INDEX(tblY8[Class],ROWS(J$10:J300))&amp;"","")</f>
        <v/>
      </c>
      <c r="K300" t="str">
        <f>IF(J300="","",IF(COUNTIF(J$10:J300,J300)=1,COUNTIF(J$10:J$609,"&lt;"&amp;J300)+1,""))</f>
        <v/>
      </c>
      <c r="L300" t="str">
        <f>IFERROR(INDEX(tblY9[Class],ROWS(L$10:L300))&amp;"","")</f>
        <v/>
      </c>
      <c r="M300" t="str">
        <f>IF(L300="","",IF(COUNTIF(L$10:L300,L300)=1,COUNTIF(L$10:L$609,"&lt;"&amp;L300)+1,""))</f>
        <v/>
      </c>
      <c r="N300" t="str">
        <f>IFERROR(INDEX(tblY10[Class],ROWS(N$10:N300))&amp;"","")</f>
        <v/>
      </c>
      <c r="O300" t="str">
        <f>IF(N300="","",IF(COUNTIF(N$10:N300,N300)=1,COUNTIF(N$10:N$609,"&lt;"&amp;N300)+1,""))</f>
        <v/>
      </c>
      <c r="P300" t="str">
        <f>IFERROR(INDEX(tblY11[Class],ROWS(P$10:P300))&amp;"","")</f>
        <v/>
      </c>
      <c r="Q300" t="str">
        <f>IF(P300="","",IF(COUNTIF(P$10:P300,P300)=1,COUNTIF(P$10:P$609,"&lt;"&amp;P300)+1,""))</f>
        <v/>
      </c>
      <c r="BA300" t="str">
        <f>IFERROR(INDEX(wLast,231)&amp;"","")</f>
        <v/>
      </c>
      <c r="BB300" t="str">
        <f>IF(BA300="","",IFERROR(INDEX(wFirst,231)&amp;"",""))</f>
        <v/>
      </c>
      <c r="BC300" t="str">
        <f>IF(BA300="","",IFERROR(INDEX(wClass,231)&amp;"",""))</f>
        <v/>
      </c>
      <c r="BD300" t="str">
        <f>IF(BA300="","",IFERROR(INDEX(wKS2,231)+0,""))</f>
        <v/>
      </c>
      <c r="BE300" t="str">
        <f>IF(BA300="","",IFERROR(INDEX(wTests,231)+0,0))</f>
        <v/>
      </c>
      <c r="BF300" t="str">
        <f>IF(BA300="","",IFERROR(INDEX(wMean,231)+0,""))</f>
        <v/>
      </c>
      <c r="BG300" t="str">
        <f>IF(BA300="","",IFERROR(INDEX(wVs,231)+0,""))</f>
        <v/>
      </c>
      <c r="BH300" t="str">
        <f>IF(OR(BA300="",wLatest=""),"",IFERROR(INDEX(wData,231,MATCH(wLatest&amp;CHAR(10)&amp;"Stanine",wHdr,0))+0,""))</f>
        <v/>
      </c>
      <c r="BI300" t="str">
        <f>IF(BA300="","",IF(AND(ISNUMBER(BG300),N(BE300)&gt;=WlMinTests,BG300&lt;=-WlGap),"Below KS2 starting point",IF(AND(NOT(ISNUMBER(BD300)),ISNUMBER(BF300),N(BE300)&gt;=WlMinTests,BF300&lt;=WlLowMean),"Low results, no KS2 data","")))</f>
        <v/>
      </c>
      <c r="BJ300" t="str">
        <f>IF(BI300="","",IF(BI300="Below KS2 starting point",BG300,100+BF300)+ROW()/1000000)</f>
        <v/>
      </c>
    </row>
    <row r="301">
      <c r="H301" t="str">
        <f>IFERROR(INDEX(tblY7[Class],ROWS(H$10:H301))&amp;"","")</f>
        <v/>
      </c>
      <c r="I301" t="str">
        <f>IF(H301="","",IF(COUNTIF(H$10:H301,H301)=1,COUNTIF(H$10:H$609,"&lt;"&amp;H301)+1,""))</f>
        <v/>
      </c>
      <c r="J301" t="str">
        <f>IFERROR(INDEX(tblY8[Class],ROWS(J$10:J301))&amp;"","")</f>
        <v/>
      </c>
      <c r="K301" t="str">
        <f>IF(J301="","",IF(COUNTIF(J$10:J301,J301)=1,COUNTIF(J$10:J$609,"&lt;"&amp;J301)+1,""))</f>
        <v/>
      </c>
      <c r="L301" t="str">
        <f>IFERROR(INDEX(tblY9[Class],ROWS(L$10:L301))&amp;"","")</f>
        <v/>
      </c>
      <c r="M301" t="str">
        <f>IF(L301="","",IF(COUNTIF(L$10:L301,L301)=1,COUNTIF(L$10:L$609,"&lt;"&amp;L301)+1,""))</f>
        <v/>
      </c>
      <c r="N301" t="str">
        <f>IFERROR(INDEX(tblY10[Class],ROWS(N$10:N301))&amp;"","")</f>
        <v/>
      </c>
      <c r="O301" t="str">
        <f>IF(N301="","",IF(COUNTIF(N$10:N301,N301)=1,COUNTIF(N$10:N$609,"&lt;"&amp;N301)+1,""))</f>
        <v/>
      </c>
      <c r="P301" t="str">
        <f>IFERROR(INDEX(tblY11[Class],ROWS(P$10:P301))&amp;"","")</f>
        <v/>
      </c>
      <c r="Q301" t="str">
        <f>IF(P301="","",IF(COUNTIF(P$10:P301,P301)=1,COUNTIF(P$10:P$609,"&lt;"&amp;P301)+1,""))</f>
        <v/>
      </c>
      <c r="BA301" t="str">
        <f>IFERROR(INDEX(wLast,232)&amp;"","")</f>
        <v/>
      </c>
      <c r="BB301" t="str">
        <f>IF(BA301="","",IFERROR(INDEX(wFirst,232)&amp;"",""))</f>
        <v/>
      </c>
      <c r="BC301" t="str">
        <f>IF(BA301="","",IFERROR(INDEX(wClass,232)&amp;"",""))</f>
        <v/>
      </c>
      <c r="BD301" t="str">
        <f>IF(BA301="","",IFERROR(INDEX(wKS2,232)+0,""))</f>
        <v/>
      </c>
      <c r="BE301" t="str">
        <f>IF(BA301="","",IFERROR(INDEX(wTests,232)+0,0))</f>
        <v/>
      </c>
      <c r="BF301" t="str">
        <f>IF(BA301="","",IFERROR(INDEX(wMean,232)+0,""))</f>
        <v/>
      </c>
      <c r="BG301" t="str">
        <f>IF(BA301="","",IFERROR(INDEX(wVs,232)+0,""))</f>
        <v/>
      </c>
      <c r="BH301" t="str">
        <f>IF(OR(BA301="",wLatest=""),"",IFERROR(INDEX(wData,232,MATCH(wLatest&amp;CHAR(10)&amp;"Stanine",wHdr,0))+0,""))</f>
        <v/>
      </c>
      <c r="BI301" t="str">
        <f>IF(BA301="","",IF(AND(ISNUMBER(BG301),N(BE301)&gt;=WlMinTests,BG301&lt;=-WlGap),"Below KS2 starting point",IF(AND(NOT(ISNUMBER(BD301)),ISNUMBER(BF301),N(BE301)&gt;=WlMinTests,BF301&lt;=WlLowMean),"Low results, no KS2 data","")))</f>
        <v/>
      </c>
      <c r="BJ301" t="str">
        <f>IF(BI301="","",IF(BI301="Below KS2 starting point",BG301,100+BF301)+ROW()/1000000)</f>
        <v/>
      </c>
    </row>
    <row r="302">
      <c r="H302" t="str">
        <f>IFERROR(INDEX(tblY7[Class],ROWS(H$10:H302))&amp;"","")</f>
        <v/>
      </c>
      <c r="I302" t="str">
        <f>IF(H302="","",IF(COUNTIF(H$10:H302,H302)=1,COUNTIF(H$10:H$609,"&lt;"&amp;H302)+1,""))</f>
        <v/>
      </c>
      <c r="J302" t="str">
        <f>IFERROR(INDEX(tblY8[Class],ROWS(J$10:J302))&amp;"","")</f>
        <v/>
      </c>
      <c r="K302" t="str">
        <f>IF(J302="","",IF(COUNTIF(J$10:J302,J302)=1,COUNTIF(J$10:J$609,"&lt;"&amp;J302)+1,""))</f>
        <v/>
      </c>
      <c r="L302" t="str">
        <f>IFERROR(INDEX(tblY9[Class],ROWS(L$10:L302))&amp;"","")</f>
        <v/>
      </c>
      <c r="M302" t="str">
        <f>IF(L302="","",IF(COUNTIF(L$10:L302,L302)=1,COUNTIF(L$10:L$609,"&lt;"&amp;L302)+1,""))</f>
        <v/>
      </c>
      <c r="N302" t="str">
        <f>IFERROR(INDEX(tblY10[Class],ROWS(N$10:N302))&amp;"","")</f>
        <v/>
      </c>
      <c r="O302" t="str">
        <f>IF(N302="","",IF(COUNTIF(N$10:N302,N302)=1,COUNTIF(N$10:N$609,"&lt;"&amp;N302)+1,""))</f>
        <v/>
      </c>
      <c r="P302" t="str">
        <f>IFERROR(INDEX(tblY11[Class],ROWS(P$10:P302))&amp;"","")</f>
        <v/>
      </c>
      <c r="Q302" t="str">
        <f>IF(P302="","",IF(COUNTIF(P$10:P302,P302)=1,COUNTIF(P$10:P$609,"&lt;"&amp;P302)+1,""))</f>
        <v/>
      </c>
      <c r="BA302" t="str">
        <f>IFERROR(INDEX(wLast,233)&amp;"","")</f>
        <v/>
      </c>
      <c r="BB302" t="str">
        <f>IF(BA302="","",IFERROR(INDEX(wFirst,233)&amp;"",""))</f>
        <v/>
      </c>
      <c r="BC302" t="str">
        <f>IF(BA302="","",IFERROR(INDEX(wClass,233)&amp;"",""))</f>
        <v/>
      </c>
      <c r="BD302" t="str">
        <f>IF(BA302="","",IFERROR(INDEX(wKS2,233)+0,""))</f>
        <v/>
      </c>
      <c r="BE302" t="str">
        <f>IF(BA302="","",IFERROR(INDEX(wTests,233)+0,0))</f>
        <v/>
      </c>
      <c r="BF302" t="str">
        <f>IF(BA302="","",IFERROR(INDEX(wMean,233)+0,""))</f>
        <v/>
      </c>
      <c r="BG302" t="str">
        <f>IF(BA302="","",IFERROR(INDEX(wVs,233)+0,""))</f>
        <v/>
      </c>
      <c r="BH302" t="str">
        <f>IF(OR(BA302="",wLatest=""),"",IFERROR(INDEX(wData,233,MATCH(wLatest&amp;CHAR(10)&amp;"Stanine",wHdr,0))+0,""))</f>
        <v/>
      </c>
      <c r="BI302" t="str">
        <f>IF(BA302="","",IF(AND(ISNUMBER(BG302),N(BE302)&gt;=WlMinTests,BG302&lt;=-WlGap),"Below KS2 starting point",IF(AND(NOT(ISNUMBER(BD302)),ISNUMBER(BF302),N(BE302)&gt;=WlMinTests,BF302&lt;=WlLowMean),"Low results, no KS2 data","")))</f>
        <v/>
      </c>
      <c r="BJ302" t="str">
        <f>IF(BI302="","",IF(BI302="Below KS2 starting point",BG302,100+BF302)+ROW()/1000000)</f>
        <v/>
      </c>
    </row>
    <row r="303">
      <c r="H303" t="str">
        <f>IFERROR(INDEX(tblY7[Class],ROWS(H$10:H303))&amp;"","")</f>
        <v/>
      </c>
      <c r="I303" t="str">
        <f>IF(H303="","",IF(COUNTIF(H$10:H303,H303)=1,COUNTIF(H$10:H$609,"&lt;"&amp;H303)+1,""))</f>
        <v/>
      </c>
      <c r="J303" t="str">
        <f>IFERROR(INDEX(tblY8[Class],ROWS(J$10:J303))&amp;"","")</f>
        <v/>
      </c>
      <c r="K303" t="str">
        <f>IF(J303="","",IF(COUNTIF(J$10:J303,J303)=1,COUNTIF(J$10:J$609,"&lt;"&amp;J303)+1,""))</f>
        <v/>
      </c>
      <c r="L303" t="str">
        <f>IFERROR(INDEX(tblY9[Class],ROWS(L$10:L303))&amp;"","")</f>
        <v/>
      </c>
      <c r="M303" t="str">
        <f>IF(L303="","",IF(COUNTIF(L$10:L303,L303)=1,COUNTIF(L$10:L$609,"&lt;"&amp;L303)+1,""))</f>
        <v/>
      </c>
      <c r="N303" t="str">
        <f>IFERROR(INDEX(tblY10[Class],ROWS(N$10:N303))&amp;"","")</f>
        <v/>
      </c>
      <c r="O303" t="str">
        <f>IF(N303="","",IF(COUNTIF(N$10:N303,N303)=1,COUNTIF(N$10:N$609,"&lt;"&amp;N303)+1,""))</f>
        <v/>
      </c>
      <c r="P303" t="str">
        <f>IFERROR(INDEX(tblY11[Class],ROWS(P$10:P303))&amp;"","")</f>
        <v/>
      </c>
      <c r="Q303" t="str">
        <f>IF(P303="","",IF(COUNTIF(P$10:P303,P303)=1,COUNTIF(P$10:P$609,"&lt;"&amp;P303)+1,""))</f>
        <v/>
      </c>
      <c r="BA303" t="str">
        <f>IFERROR(INDEX(wLast,234)&amp;"","")</f>
        <v/>
      </c>
      <c r="BB303" t="str">
        <f>IF(BA303="","",IFERROR(INDEX(wFirst,234)&amp;"",""))</f>
        <v/>
      </c>
      <c r="BC303" t="str">
        <f>IF(BA303="","",IFERROR(INDEX(wClass,234)&amp;"",""))</f>
        <v/>
      </c>
      <c r="BD303" t="str">
        <f>IF(BA303="","",IFERROR(INDEX(wKS2,234)+0,""))</f>
        <v/>
      </c>
      <c r="BE303" t="str">
        <f>IF(BA303="","",IFERROR(INDEX(wTests,234)+0,0))</f>
        <v/>
      </c>
      <c r="BF303" t="str">
        <f>IF(BA303="","",IFERROR(INDEX(wMean,234)+0,""))</f>
        <v/>
      </c>
      <c r="BG303" t="str">
        <f>IF(BA303="","",IFERROR(INDEX(wVs,234)+0,""))</f>
        <v/>
      </c>
      <c r="BH303" t="str">
        <f>IF(OR(BA303="",wLatest=""),"",IFERROR(INDEX(wData,234,MATCH(wLatest&amp;CHAR(10)&amp;"Stanine",wHdr,0))+0,""))</f>
        <v/>
      </c>
      <c r="BI303" t="str">
        <f>IF(BA303="","",IF(AND(ISNUMBER(BG303),N(BE303)&gt;=WlMinTests,BG303&lt;=-WlGap),"Below KS2 starting point",IF(AND(NOT(ISNUMBER(BD303)),ISNUMBER(BF303),N(BE303)&gt;=WlMinTests,BF303&lt;=WlLowMean),"Low results, no KS2 data","")))</f>
        <v/>
      </c>
      <c r="BJ303" t="str">
        <f>IF(BI303="","",IF(BI303="Below KS2 starting point",BG303,100+BF303)+ROW()/1000000)</f>
        <v/>
      </c>
    </row>
    <row r="304">
      <c r="H304" t="str">
        <f>IFERROR(INDEX(tblY7[Class],ROWS(H$10:H304))&amp;"","")</f>
        <v/>
      </c>
      <c r="I304" t="str">
        <f>IF(H304="","",IF(COUNTIF(H$10:H304,H304)=1,COUNTIF(H$10:H$609,"&lt;"&amp;H304)+1,""))</f>
        <v/>
      </c>
      <c r="J304" t="str">
        <f>IFERROR(INDEX(tblY8[Class],ROWS(J$10:J304))&amp;"","")</f>
        <v/>
      </c>
      <c r="K304" t="str">
        <f>IF(J304="","",IF(COUNTIF(J$10:J304,J304)=1,COUNTIF(J$10:J$609,"&lt;"&amp;J304)+1,""))</f>
        <v/>
      </c>
      <c r="L304" t="str">
        <f>IFERROR(INDEX(tblY9[Class],ROWS(L$10:L304))&amp;"","")</f>
        <v/>
      </c>
      <c r="M304" t="str">
        <f>IF(L304="","",IF(COUNTIF(L$10:L304,L304)=1,COUNTIF(L$10:L$609,"&lt;"&amp;L304)+1,""))</f>
        <v/>
      </c>
      <c r="N304" t="str">
        <f>IFERROR(INDEX(tblY10[Class],ROWS(N$10:N304))&amp;"","")</f>
        <v/>
      </c>
      <c r="O304" t="str">
        <f>IF(N304="","",IF(COUNTIF(N$10:N304,N304)=1,COUNTIF(N$10:N$609,"&lt;"&amp;N304)+1,""))</f>
        <v/>
      </c>
      <c r="P304" t="str">
        <f>IFERROR(INDEX(tblY11[Class],ROWS(P$10:P304))&amp;"","")</f>
        <v/>
      </c>
      <c r="Q304" t="str">
        <f>IF(P304="","",IF(COUNTIF(P$10:P304,P304)=1,COUNTIF(P$10:P$609,"&lt;"&amp;P304)+1,""))</f>
        <v/>
      </c>
      <c r="BA304" t="str">
        <f>IFERROR(INDEX(wLast,235)&amp;"","")</f>
        <v/>
      </c>
      <c r="BB304" t="str">
        <f>IF(BA304="","",IFERROR(INDEX(wFirst,235)&amp;"",""))</f>
        <v/>
      </c>
      <c r="BC304" t="str">
        <f>IF(BA304="","",IFERROR(INDEX(wClass,235)&amp;"",""))</f>
        <v/>
      </c>
      <c r="BD304" t="str">
        <f>IF(BA304="","",IFERROR(INDEX(wKS2,235)+0,""))</f>
        <v/>
      </c>
      <c r="BE304" t="str">
        <f>IF(BA304="","",IFERROR(INDEX(wTests,235)+0,0))</f>
        <v/>
      </c>
      <c r="BF304" t="str">
        <f>IF(BA304="","",IFERROR(INDEX(wMean,235)+0,""))</f>
        <v/>
      </c>
      <c r="BG304" t="str">
        <f>IF(BA304="","",IFERROR(INDEX(wVs,235)+0,""))</f>
        <v/>
      </c>
      <c r="BH304" t="str">
        <f>IF(OR(BA304="",wLatest=""),"",IFERROR(INDEX(wData,235,MATCH(wLatest&amp;CHAR(10)&amp;"Stanine",wHdr,0))+0,""))</f>
        <v/>
      </c>
      <c r="BI304" t="str">
        <f>IF(BA304="","",IF(AND(ISNUMBER(BG304),N(BE304)&gt;=WlMinTests,BG304&lt;=-WlGap),"Below KS2 starting point",IF(AND(NOT(ISNUMBER(BD304)),ISNUMBER(BF304),N(BE304)&gt;=WlMinTests,BF304&lt;=WlLowMean),"Low results, no KS2 data","")))</f>
        <v/>
      </c>
      <c r="BJ304" t="str">
        <f>IF(BI304="","",IF(BI304="Below KS2 starting point",BG304,100+BF304)+ROW()/1000000)</f>
        <v/>
      </c>
    </row>
    <row r="305">
      <c r="H305" t="str">
        <f>IFERROR(INDEX(tblY7[Class],ROWS(H$10:H305))&amp;"","")</f>
        <v/>
      </c>
      <c r="I305" t="str">
        <f>IF(H305="","",IF(COUNTIF(H$10:H305,H305)=1,COUNTIF(H$10:H$609,"&lt;"&amp;H305)+1,""))</f>
        <v/>
      </c>
      <c r="J305" t="str">
        <f>IFERROR(INDEX(tblY8[Class],ROWS(J$10:J305))&amp;"","")</f>
        <v/>
      </c>
      <c r="K305" t="str">
        <f>IF(J305="","",IF(COUNTIF(J$10:J305,J305)=1,COUNTIF(J$10:J$609,"&lt;"&amp;J305)+1,""))</f>
        <v/>
      </c>
      <c r="L305" t="str">
        <f>IFERROR(INDEX(tblY9[Class],ROWS(L$10:L305))&amp;"","")</f>
        <v/>
      </c>
      <c r="M305" t="str">
        <f>IF(L305="","",IF(COUNTIF(L$10:L305,L305)=1,COUNTIF(L$10:L$609,"&lt;"&amp;L305)+1,""))</f>
        <v/>
      </c>
      <c r="N305" t="str">
        <f>IFERROR(INDEX(tblY10[Class],ROWS(N$10:N305))&amp;"","")</f>
        <v/>
      </c>
      <c r="O305" t="str">
        <f>IF(N305="","",IF(COUNTIF(N$10:N305,N305)=1,COUNTIF(N$10:N$609,"&lt;"&amp;N305)+1,""))</f>
        <v/>
      </c>
      <c r="P305" t="str">
        <f>IFERROR(INDEX(tblY11[Class],ROWS(P$10:P305))&amp;"","")</f>
        <v/>
      </c>
      <c r="Q305" t="str">
        <f>IF(P305="","",IF(COUNTIF(P$10:P305,P305)=1,COUNTIF(P$10:P$609,"&lt;"&amp;P305)+1,""))</f>
        <v/>
      </c>
      <c r="BA305" t="str">
        <f>IFERROR(INDEX(wLast,236)&amp;"","")</f>
        <v/>
      </c>
      <c r="BB305" t="str">
        <f>IF(BA305="","",IFERROR(INDEX(wFirst,236)&amp;"",""))</f>
        <v/>
      </c>
      <c r="BC305" t="str">
        <f>IF(BA305="","",IFERROR(INDEX(wClass,236)&amp;"",""))</f>
        <v/>
      </c>
      <c r="BD305" t="str">
        <f>IF(BA305="","",IFERROR(INDEX(wKS2,236)+0,""))</f>
        <v/>
      </c>
      <c r="BE305" t="str">
        <f>IF(BA305="","",IFERROR(INDEX(wTests,236)+0,0))</f>
        <v/>
      </c>
      <c r="BF305" t="str">
        <f>IF(BA305="","",IFERROR(INDEX(wMean,236)+0,""))</f>
        <v/>
      </c>
      <c r="BG305" t="str">
        <f>IF(BA305="","",IFERROR(INDEX(wVs,236)+0,""))</f>
        <v/>
      </c>
      <c r="BH305" t="str">
        <f>IF(OR(BA305="",wLatest=""),"",IFERROR(INDEX(wData,236,MATCH(wLatest&amp;CHAR(10)&amp;"Stanine",wHdr,0))+0,""))</f>
        <v/>
      </c>
      <c r="BI305" t="str">
        <f>IF(BA305="","",IF(AND(ISNUMBER(BG305),N(BE305)&gt;=WlMinTests,BG305&lt;=-WlGap),"Below KS2 starting point",IF(AND(NOT(ISNUMBER(BD305)),ISNUMBER(BF305),N(BE305)&gt;=WlMinTests,BF305&lt;=WlLowMean),"Low results, no KS2 data","")))</f>
        <v/>
      </c>
      <c r="BJ305" t="str">
        <f>IF(BI305="","",IF(BI305="Below KS2 starting point",BG305,100+BF305)+ROW()/1000000)</f>
        <v/>
      </c>
    </row>
    <row r="306">
      <c r="H306" t="str">
        <f>IFERROR(INDEX(tblY7[Class],ROWS(H$10:H306))&amp;"","")</f>
        <v/>
      </c>
      <c r="I306" t="str">
        <f>IF(H306="","",IF(COUNTIF(H$10:H306,H306)=1,COUNTIF(H$10:H$609,"&lt;"&amp;H306)+1,""))</f>
        <v/>
      </c>
      <c r="J306" t="str">
        <f>IFERROR(INDEX(tblY8[Class],ROWS(J$10:J306))&amp;"","")</f>
        <v/>
      </c>
      <c r="K306" t="str">
        <f>IF(J306="","",IF(COUNTIF(J$10:J306,J306)=1,COUNTIF(J$10:J$609,"&lt;"&amp;J306)+1,""))</f>
        <v/>
      </c>
      <c r="L306" t="str">
        <f>IFERROR(INDEX(tblY9[Class],ROWS(L$10:L306))&amp;"","")</f>
        <v/>
      </c>
      <c r="M306" t="str">
        <f>IF(L306="","",IF(COUNTIF(L$10:L306,L306)=1,COUNTIF(L$10:L$609,"&lt;"&amp;L306)+1,""))</f>
        <v/>
      </c>
      <c r="N306" t="str">
        <f>IFERROR(INDEX(tblY10[Class],ROWS(N$10:N306))&amp;"","")</f>
        <v/>
      </c>
      <c r="O306" t="str">
        <f>IF(N306="","",IF(COUNTIF(N$10:N306,N306)=1,COUNTIF(N$10:N$609,"&lt;"&amp;N306)+1,""))</f>
        <v/>
      </c>
      <c r="P306" t="str">
        <f>IFERROR(INDEX(tblY11[Class],ROWS(P$10:P306))&amp;"","")</f>
        <v/>
      </c>
      <c r="Q306" t="str">
        <f>IF(P306="","",IF(COUNTIF(P$10:P306,P306)=1,COUNTIF(P$10:P$609,"&lt;"&amp;P306)+1,""))</f>
        <v/>
      </c>
      <c r="BA306" t="str">
        <f>IFERROR(INDEX(wLast,237)&amp;"","")</f>
        <v/>
      </c>
      <c r="BB306" t="str">
        <f>IF(BA306="","",IFERROR(INDEX(wFirst,237)&amp;"",""))</f>
        <v/>
      </c>
      <c r="BC306" t="str">
        <f>IF(BA306="","",IFERROR(INDEX(wClass,237)&amp;"",""))</f>
        <v/>
      </c>
      <c r="BD306" t="str">
        <f>IF(BA306="","",IFERROR(INDEX(wKS2,237)+0,""))</f>
        <v/>
      </c>
      <c r="BE306" t="str">
        <f>IF(BA306="","",IFERROR(INDEX(wTests,237)+0,0))</f>
        <v/>
      </c>
      <c r="BF306" t="str">
        <f>IF(BA306="","",IFERROR(INDEX(wMean,237)+0,""))</f>
        <v/>
      </c>
      <c r="BG306" t="str">
        <f>IF(BA306="","",IFERROR(INDEX(wVs,237)+0,""))</f>
        <v/>
      </c>
      <c r="BH306" t="str">
        <f>IF(OR(BA306="",wLatest=""),"",IFERROR(INDEX(wData,237,MATCH(wLatest&amp;CHAR(10)&amp;"Stanine",wHdr,0))+0,""))</f>
        <v/>
      </c>
      <c r="BI306" t="str">
        <f>IF(BA306="","",IF(AND(ISNUMBER(BG306),N(BE306)&gt;=WlMinTests,BG306&lt;=-WlGap),"Below KS2 starting point",IF(AND(NOT(ISNUMBER(BD306)),ISNUMBER(BF306),N(BE306)&gt;=WlMinTests,BF306&lt;=WlLowMean),"Low results, no KS2 data","")))</f>
        <v/>
      </c>
      <c r="BJ306" t="str">
        <f>IF(BI306="","",IF(BI306="Below KS2 starting point",BG306,100+BF306)+ROW()/1000000)</f>
        <v/>
      </c>
    </row>
    <row r="307">
      <c r="H307" t="str">
        <f>IFERROR(INDEX(tblY7[Class],ROWS(H$10:H307))&amp;"","")</f>
        <v/>
      </c>
      <c r="I307" t="str">
        <f>IF(H307="","",IF(COUNTIF(H$10:H307,H307)=1,COUNTIF(H$10:H$609,"&lt;"&amp;H307)+1,""))</f>
        <v/>
      </c>
      <c r="J307" t="str">
        <f>IFERROR(INDEX(tblY8[Class],ROWS(J$10:J307))&amp;"","")</f>
        <v/>
      </c>
      <c r="K307" t="str">
        <f>IF(J307="","",IF(COUNTIF(J$10:J307,J307)=1,COUNTIF(J$10:J$609,"&lt;"&amp;J307)+1,""))</f>
        <v/>
      </c>
      <c r="L307" t="str">
        <f>IFERROR(INDEX(tblY9[Class],ROWS(L$10:L307))&amp;"","")</f>
        <v/>
      </c>
      <c r="M307" t="str">
        <f>IF(L307="","",IF(COUNTIF(L$10:L307,L307)=1,COUNTIF(L$10:L$609,"&lt;"&amp;L307)+1,""))</f>
        <v/>
      </c>
      <c r="N307" t="str">
        <f>IFERROR(INDEX(tblY10[Class],ROWS(N$10:N307))&amp;"","")</f>
        <v/>
      </c>
      <c r="O307" t="str">
        <f>IF(N307="","",IF(COUNTIF(N$10:N307,N307)=1,COUNTIF(N$10:N$609,"&lt;"&amp;N307)+1,""))</f>
        <v/>
      </c>
      <c r="P307" t="str">
        <f>IFERROR(INDEX(tblY11[Class],ROWS(P$10:P307))&amp;"","")</f>
        <v/>
      </c>
      <c r="Q307" t="str">
        <f>IF(P307="","",IF(COUNTIF(P$10:P307,P307)=1,COUNTIF(P$10:P$609,"&lt;"&amp;P307)+1,""))</f>
        <v/>
      </c>
      <c r="BA307" t="str">
        <f>IFERROR(INDEX(wLast,238)&amp;"","")</f>
        <v/>
      </c>
      <c r="BB307" t="str">
        <f>IF(BA307="","",IFERROR(INDEX(wFirst,238)&amp;"",""))</f>
        <v/>
      </c>
      <c r="BC307" t="str">
        <f>IF(BA307="","",IFERROR(INDEX(wClass,238)&amp;"",""))</f>
        <v/>
      </c>
      <c r="BD307" t="str">
        <f>IF(BA307="","",IFERROR(INDEX(wKS2,238)+0,""))</f>
        <v/>
      </c>
      <c r="BE307" t="str">
        <f>IF(BA307="","",IFERROR(INDEX(wTests,238)+0,0))</f>
        <v/>
      </c>
      <c r="BF307" t="str">
        <f>IF(BA307="","",IFERROR(INDEX(wMean,238)+0,""))</f>
        <v/>
      </c>
      <c r="BG307" t="str">
        <f>IF(BA307="","",IFERROR(INDEX(wVs,238)+0,""))</f>
        <v/>
      </c>
      <c r="BH307" t="str">
        <f>IF(OR(BA307="",wLatest=""),"",IFERROR(INDEX(wData,238,MATCH(wLatest&amp;CHAR(10)&amp;"Stanine",wHdr,0))+0,""))</f>
        <v/>
      </c>
      <c r="BI307" t="str">
        <f>IF(BA307="","",IF(AND(ISNUMBER(BG307),N(BE307)&gt;=WlMinTests,BG307&lt;=-WlGap),"Below KS2 starting point",IF(AND(NOT(ISNUMBER(BD307)),ISNUMBER(BF307),N(BE307)&gt;=WlMinTests,BF307&lt;=WlLowMean),"Low results, no KS2 data","")))</f>
        <v/>
      </c>
      <c r="BJ307" t="str">
        <f>IF(BI307="","",IF(BI307="Below KS2 starting point",BG307,100+BF307)+ROW()/1000000)</f>
        <v/>
      </c>
    </row>
    <row r="308">
      <c r="H308" t="str">
        <f>IFERROR(INDEX(tblY7[Class],ROWS(H$10:H308))&amp;"","")</f>
        <v/>
      </c>
      <c r="I308" t="str">
        <f>IF(H308="","",IF(COUNTIF(H$10:H308,H308)=1,COUNTIF(H$10:H$609,"&lt;"&amp;H308)+1,""))</f>
        <v/>
      </c>
      <c r="J308" t="str">
        <f>IFERROR(INDEX(tblY8[Class],ROWS(J$10:J308))&amp;"","")</f>
        <v/>
      </c>
      <c r="K308" t="str">
        <f>IF(J308="","",IF(COUNTIF(J$10:J308,J308)=1,COUNTIF(J$10:J$609,"&lt;"&amp;J308)+1,""))</f>
        <v/>
      </c>
      <c r="L308" t="str">
        <f>IFERROR(INDEX(tblY9[Class],ROWS(L$10:L308))&amp;"","")</f>
        <v/>
      </c>
      <c r="M308" t="str">
        <f>IF(L308="","",IF(COUNTIF(L$10:L308,L308)=1,COUNTIF(L$10:L$609,"&lt;"&amp;L308)+1,""))</f>
        <v/>
      </c>
      <c r="N308" t="str">
        <f>IFERROR(INDEX(tblY10[Class],ROWS(N$10:N308))&amp;"","")</f>
        <v/>
      </c>
      <c r="O308" t="str">
        <f>IF(N308="","",IF(COUNTIF(N$10:N308,N308)=1,COUNTIF(N$10:N$609,"&lt;"&amp;N308)+1,""))</f>
        <v/>
      </c>
      <c r="P308" t="str">
        <f>IFERROR(INDEX(tblY11[Class],ROWS(P$10:P308))&amp;"","")</f>
        <v/>
      </c>
      <c r="Q308" t="str">
        <f>IF(P308="","",IF(COUNTIF(P$10:P308,P308)=1,COUNTIF(P$10:P$609,"&lt;"&amp;P308)+1,""))</f>
        <v/>
      </c>
      <c r="BA308" t="str">
        <f>IFERROR(INDEX(wLast,239)&amp;"","")</f>
        <v/>
      </c>
      <c r="BB308" t="str">
        <f>IF(BA308="","",IFERROR(INDEX(wFirst,239)&amp;"",""))</f>
        <v/>
      </c>
      <c r="BC308" t="str">
        <f>IF(BA308="","",IFERROR(INDEX(wClass,239)&amp;"",""))</f>
        <v/>
      </c>
      <c r="BD308" t="str">
        <f>IF(BA308="","",IFERROR(INDEX(wKS2,239)+0,""))</f>
        <v/>
      </c>
      <c r="BE308" t="str">
        <f>IF(BA308="","",IFERROR(INDEX(wTests,239)+0,0))</f>
        <v/>
      </c>
      <c r="BF308" t="str">
        <f>IF(BA308="","",IFERROR(INDEX(wMean,239)+0,""))</f>
        <v/>
      </c>
      <c r="BG308" t="str">
        <f>IF(BA308="","",IFERROR(INDEX(wVs,239)+0,""))</f>
        <v/>
      </c>
      <c r="BH308" t="str">
        <f>IF(OR(BA308="",wLatest=""),"",IFERROR(INDEX(wData,239,MATCH(wLatest&amp;CHAR(10)&amp;"Stanine",wHdr,0))+0,""))</f>
        <v/>
      </c>
      <c r="BI308" t="str">
        <f>IF(BA308="","",IF(AND(ISNUMBER(BG308),N(BE308)&gt;=WlMinTests,BG308&lt;=-WlGap),"Below KS2 starting point",IF(AND(NOT(ISNUMBER(BD308)),ISNUMBER(BF308),N(BE308)&gt;=WlMinTests,BF308&lt;=WlLowMean),"Low results, no KS2 data","")))</f>
        <v/>
      </c>
      <c r="BJ308" t="str">
        <f>IF(BI308="","",IF(BI308="Below KS2 starting point",BG308,100+BF308)+ROW()/1000000)</f>
        <v/>
      </c>
    </row>
    <row r="309">
      <c r="H309" t="str">
        <f>IFERROR(INDEX(tblY7[Class],ROWS(H$10:H309))&amp;"","")</f>
        <v/>
      </c>
      <c r="I309" t="str">
        <f>IF(H309="","",IF(COUNTIF(H$10:H309,H309)=1,COUNTIF(H$10:H$609,"&lt;"&amp;H309)+1,""))</f>
        <v/>
      </c>
      <c r="J309" t="str">
        <f>IFERROR(INDEX(tblY8[Class],ROWS(J$10:J309))&amp;"","")</f>
        <v/>
      </c>
      <c r="K309" t="str">
        <f>IF(J309="","",IF(COUNTIF(J$10:J309,J309)=1,COUNTIF(J$10:J$609,"&lt;"&amp;J309)+1,""))</f>
        <v/>
      </c>
      <c r="L309" t="str">
        <f>IFERROR(INDEX(tblY9[Class],ROWS(L$10:L309))&amp;"","")</f>
        <v/>
      </c>
      <c r="M309" t="str">
        <f>IF(L309="","",IF(COUNTIF(L$10:L309,L309)=1,COUNTIF(L$10:L$609,"&lt;"&amp;L309)+1,""))</f>
        <v/>
      </c>
      <c r="N309" t="str">
        <f>IFERROR(INDEX(tblY10[Class],ROWS(N$10:N309))&amp;"","")</f>
        <v/>
      </c>
      <c r="O309" t="str">
        <f>IF(N309="","",IF(COUNTIF(N$10:N309,N309)=1,COUNTIF(N$10:N$609,"&lt;"&amp;N309)+1,""))</f>
        <v/>
      </c>
      <c r="P309" t="str">
        <f>IFERROR(INDEX(tblY11[Class],ROWS(P$10:P309))&amp;"","")</f>
        <v/>
      </c>
      <c r="Q309" t="str">
        <f>IF(P309="","",IF(COUNTIF(P$10:P309,P309)=1,COUNTIF(P$10:P$609,"&lt;"&amp;P309)+1,""))</f>
        <v/>
      </c>
      <c r="BA309" t="str">
        <f>IFERROR(INDEX(wLast,240)&amp;"","")</f>
        <v/>
      </c>
      <c r="BB309" t="str">
        <f>IF(BA309="","",IFERROR(INDEX(wFirst,240)&amp;"",""))</f>
        <v/>
      </c>
      <c r="BC309" t="str">
        <f>IF(BA309="","",IFERROR(INDEX(wClass,240)&amp;"",""))</f>
        <v/>
      </c>
      <c r="BD309" t="str">
        <f>IF(BA309="","",IFERROR(INDEX(wKS2,240)+0,""))</f>
        <v/>
      </c>
      <c r="BE309" t="str">
        <f>IF(BA309="","",IFERROR(INDEX(wTests,240)+0,0))</f>
        <v/>
      </c>
      <c r="BF309" t="str">
        <f>IF(BA309="","",IFERROR(INDEX(wMean,240)+0,""))</f>
        <v/>
      </c>
      <c r="BG309" t="str">
        <f>IF(BA309="","",IFERROR(INDEX(wVs,240)+0,""))</f>
        <v/>
      </c>
      <c r="BH309" t="str">
        <f>IF(OR(BA309="",wLatest=""),"",IFERROR(INDEX(wData,240,MATCH(wLatest&amp;CHAR(10)&amp;"Stanine",wHdr,0))+0,""))</f>
        <v/>
      </c>
      <c r="BI309" t="str">
        <f>IF(BA309="","",IF(AND(ISNUMBER(BG309),N(BE309)&gt;=WlMinTests,BG309&lt;=-WlGap),"Below KS2 starting point",IF(AND(NOT(ISNUMBER(BD309)),ISNUMBER(BF309),N(BE309)&gt;=WlMinTests,BF309&lt;=WlLowMean),"Low results, no KS2 data","")))</f>
        <v/>
      </c>
      <c r="BJ309" t="str">
        <f>IF(BI309="","",IF(BI309="Below KS2 starting point",BG309,100+BF309)+ROW()/1000000)</f>
        <v/>
      </c>
    </row>
    <row r="310">
      <c r="H310" t="str">
        <f>IFERROR(INDEX(tblY7[Class],ROWS(H$10:H310))&amp;"","")</f>
        <v/>
      </c>
      <c r="I310" t="str">
        <f>IF(H310="","",IF(COUNTIF(H$10:H310,H310)=1,COUNTIF(H$10:H$609,"&lt;"&amp;H310)+1,""))</f>
        <v/>
      </c>
      <c r="J310" t="str">
        <f>IFERROR(INDEX(tblY8[Class],ROWS(J$10:J310))&amp;"","")</f>
        <v/>
      </c>
      <c r="K310" t="str">
        <f>IF(J310="","",IF(COUNTIF(J$10:J310,J310)=1,COUNTIF(J$10:J$609,"&lt;"&amp;J310)+1,""))</f>
        <v/>
      </c>
      <c r="L310" t="str">
        <f>IFERROR(INDEX(tblY9[Class],ROWS(L$10:L310))&amp;"","")</f>
        <v/>
      </c>
      <c r="M310" t="str">
        <f>IF(L310="","",IF(COUNTIF(L$10:L310,L310)=1,COUNTIF(L$10:L$609,"&lt;"&amp;L310)+1,""))</f>
        <v/>
      </c>
      <c r="N310" t="str">
        <f>IFERROR(INDEX(tblY10[Class],ROWS(N$10:N310))&amp;"","")</f>
        <v/>
      </c>
      <c r="O310" t="str">
        <f>IF(N310="","",IF(COUNTIF(N$10:N310,N310)=1,COUNTIF(N$10:N$609,"&lt;"&amp;N310)+1,""))</f>
        <v/>
      </c>
      <c r="P310" t="str">
        <f>IFERROR(INDEX(tblY11[Class],ROWS(P$10:P310))&amp;"","")</f>
        <v/>
      </c>
      <c r="Q310" t="str">
        <f>IF(P310="","",IF(COUNTIF(P$10:P310,P310)=1,COUNTIF(P$10:P$609,"&lt;"&amp;P310)+1,""))</f>
        <v/>
      </c>
      <c r="BA310" t="str">
        <f>IFERROR(INDEX(wLast,241)&amp;"","")</f>
        <v/>
      </c>
      <c r="BB310" t="str">
        <f>IF(BA310="","",IFERROR(INDEX(wFirst,241)&amp;"",""))</f>
        <v/>
      </c>
      <c r="BC310" t="str">
        <f>IF(BA310="","",IFERROR(INDEX(wClass,241)&amp;"",""))</f>
        <v/>
      </c>
      <c r="BD310" t="str">
        <f>IF(BA310="","",IFERROR(INDEX(wKS2,241)+0,""))</f>
        <v/>
      </c>
      <c r="BE310" t="str">
        <f>IF(BA310="","",IFERROR(INDEX(wTests,241)+0,0))</f>
        <v/>
      </c>
      <c r="BF310" t="str">
        <f>IF(BA310="","",IFERROR(INDEX(wMean,241)+0,""))</f>
        <v/>
      </c>
      <c r="BG310" t="str">
        <f>IF(BA310="","",IFERROR(INDEX(wVs,241)+0,""))</f>
        <v/>
      </c>
      <c r="BH310" t="str">
        <f>IF(OR(BA310="",wLatest=""),"",IFERROR(INDEX(wData,241,MATCH(wLatest&amp;CHAR(10)&amp;"Stanine",wHdr,0))+0,""))</f>
        <v/>
      </c>
      <c r="BI310" t="str">
        <f>IF(BA310="","",IF(AND(ISNUMBER(BG310),N(BE310)&gt;=WlMinTests,BG310&lt;=-WlGap),"Below KS2 starting point",IF(AND(NOT(ISNUMBER(BD310)),ISNUMBER(BF310),N(BE310)&gt;=WlMinTests,BF310&lt;=WlLowMean),"Low results, no KS2 data","")))</f>
        <v/>
      </c>
      <c r="BJ310" t="str">
        <f>IF(BI310="","",IF(BI310="Below KS2 starting point",BG310,100+BF310)+ROW()/1000000)</f>
        <v/>
      </c>
    </row>
    <row r="311">
      <c r="H311" t="str">
        <f>IFERROR(INDEX(tblY7[Class],ROWS(H$10:H311))&amp;"","")</f>
        <v/>
      </c>
      <c r="I311" t="str">
        <f>IF(H311="","",IF(COUNTIF(H$10:H311,H311)=1,COUNTIF(H$10:H$609,"&lt;"&amp;H311)+1,""))</f>
        <v/>
      </c>
      <c r="J311" t="str">
        <f>IFERROR(INDEX(tblY8[Class],ROWS(J$10:J311))&amp;"","")</f>
        <v/>
      </c>
      <c r="K311" t="str">
        <f>IF(J311="","",IF(COUNTIF(J$10:J311,J311)=1,COUNTIF(J$10:J$609,"&lt;"&amp;J311)+1,""))</f>
        <v/>
      </c>
      <c r="L311" t="str">
        <f>IFERROR(INDEX(tblY9[Class],ROWS(L$10:L311))&amp;"","")</f>
        <v/>
      </c>
      <c r="M311" t="str">
        <f>IF(L311="","",IF(COUNTIF(L$10:L311,L311)=1,COUNTIF(L$10:L$609,"&lt;"&amp;L311)+1,""))</f>
        <v/>
      </c>
      <c r="N311" t="str">
        <f>IFERROR(INDEX(tblY10[Class],ROWS(N$10:N311))&amp;"","")</f>
        <v/>
      </c>
      <c r="O311" t="str">
        <f>IF(N311="","",IF(COUNTIF(N$10:N311,N311)=1,COUNTIF(N$10:N$609,"&lt;"&amp;N311)+1,""))</f>
        <v/>
      </c>
      <c r="P311" t="str">
        <f>IFERROR(INDEX(tblY11[Class],ROWS(P$10:P311))&amp;"","")</f>
        <v/>
      </c>
      <c r="Q311" t="str">
        <f>IF(P311="","",IF(COUNTIF(P$10:P311,P311)=1,COUNTIF(P$10:P$609,"&lt;"&amp;P311)+1,""))</f>
        <v/>
      </c>
      <c r="BA311" t="str">
        <f>IFERROR(INDEX(wLast,242)&amp;"","")</f>
        <v/>
      </c>
      <c r="BB311" t="str">
        <f>IF(BA311="","",IFERROR(INDEX(wFirst,242)&amp;"",""))</f>
        <v/>
      </c>
      <c r="BC311" t="str">
        <f>IF(BA311="","",IFERROR(INDEX(wClass,242)&amp;"",""))</f>
        <v/>
      </c>
      <c r="BD311" t="str">
        <f>IF(BA311="","",IFERROR(INDEX(wKS2,242)+0,""))</f>
        <v/>
      </c>
      <c r="BE311" t="str">
        <f>IF(BA311="","",IFERROR(INDEX(wTests,242)+0,0))</f>
        <v/>
      </c>
      <c r="BF311" t="str">
        <f>IF(BA311="","",IFERROR(INDEX(wMean,242)+0,""))</f>
        <v/>
      </c>
      <c r="BG311" t="str">
        <f>IF(BA311="","",IFERROR(INDEX(wVs,242)+0,""))</f>
        <v/>
      </c>
      <c r="BH311" t="str">
        <f>IF(OR(BA311="",wLatest=""),"",IFERROR(INDEX(wData,242,MATCH(wLatest&amp;CHAR(10)&amp;"Stanine",wHdr,0))+0,""))</f>
        <v/>
      </c>
      <c r="BI311" t="str">
        <f>IF(BA311="","",IF(AND(ISNUMBER(BG311),N(BE311)&gt;=WlMinTests,BG311&lt;=-WlGap),"Below KS2 starting point",IF(AND(NOT(ISNUMBER(BD311)),ISNUMBER(BF311),N(BE311)&gt;=WlMinTests,BF311&lt;=WlLowMean),"Low results, no KS2 data","")))</f>
        <v/>
      </c>
      <c r="BJ311" t="str">
        <f>IF(BI311="","",IF(BI311="Below KS2 starting point",BG311,100+BF311)+ROW()/1000000)</f>
        <v/>
      </c>
    </row>
    <row r="312">
      <c r="H312" t="str">
        <f>IFERROR(INDEX(tblY7[Class],ROWS(H$10:H312))&amp;"","")</f>
        <v/>
      </c>
      <c r="I312" t="str">
        <f>IF(H312="","",IF(COUNTIF(H$10:H312,H312)=1,COUNTIF(H$10:H$609,"&lt;"&amp;H312)+1,""))</f>
        <v/>
      </c>
      <c r="J312" t="str">
        <f>IFERROR(INDEX(tblY8[Class],ROWS(J$10:J312))&amp;"","")</f>
        <v/>
      </c>
      <c r="K312" t="str">
        <f>IF(J312="","",IF(COUNTIF(J$10:J312,J312)=1,COUNTIF(J$10:J$609,"&lt;"&amp;J312)+1,""))</f>
        <v/>
      </c>
      <c r="L312" t="str">
        <f>IFERROR(INDEX(tblY9[Class],ROWS(L$10:L312))&amp;"","")</f>
        <v/>
      </c>
      <c r="M312" t="str">
        <f>IF(L312="","",IF(COUNTIF(L$10:L312,L312)=1,COUNTIF(L$10:L$609,"&lt;"&amp;L312)+1,""))</f>
        <v/>
      </c>
      <c r="N312" t="str">
        <f>IFERROR(INDEX(tblY10[Class],ROWS(N$10:N312))&amp;"","")</f>
        <v/>
      </c>
      <c r="O312" t="str">
        <f>IF(N312="","",IF(COUNTIF(N$10:N312,N312)=1,COUNTIF(N$10:N$609,"&lt;"&amp;N312)+1,""))</f>
        <v/>
      </c>
      <c r="P312" t="str">
        <f>IFERROR(INDEX(tblY11[Class],ROWS(P$10:P312))&amp;"","")</f>
        <v/>
      </c>
      <c r="Q312" t="str">
        <f>IF(P312="","",IF(COUNTIF(P$10:P312,P312)=1,COUNTIF(P$10:P$609,"&lt;"&amp;P312)+1,""))</f>
        <v/>
      </c>
      <c r="BA312" t="str">
        <f>IFERROR(INDEX(wLast,243)&amp;"","")</f>
        <v/>
      </c>
      <c r="BB312" t="str">
        <f>IF(BA312="","",IFERROR(INDEX(wFirst,243)&amp;"",""))</f>
        <v/>
      </c>
      <c r="BC312" t="str">
        <f>IF(BA312="","",IFERROR(INDEX(wClass,243)&amp;"",""))</f>
        <v/>
      </c>
      <c r="BD312" t="str">
        <f>IF(BA312="","",IFERROR(INDEX(wKS2,243)+0,""))</f>
        <v/>
      </c>
      <c r="BE312" t="str">
        <f>IF(BA312="","",IFERROR(INDEX(wTests,243)+0,0))</f>
        <v/>
      </c>
      <c r="BF312" t="str">
        <f>IF(BA312="","",IFERROR(INDEX(wMean,243)+0,""))</f>
        <v/>
      </c>
      <c r="BG312" t="str">
        <f>IF(BA312="","",IFERROR(INDEX(wVs,243)+0,""))</f>
        <v/>
      </c>
      <c r="BH312" t="str">
        <f>IF(OR(BA312="",wLatest=""),"",IFERROR(INDEX(wData,243,MATCH(wLatest&amp;CHAR(10)&amp;"Stanine",wHdr,0))+0,""))</f>
        <v/>
      </c>
      <c r="BI312" t="str">
        <f>IF(BA312="","",IF(AND(ISNUMBER(BG312),N(BE312)&gt;=WlMinTests,BG312&lt;=-WlGap),"Below KS2 starting point",IF(AND(NOT(ISNUMBER(BD312)),ISNUMBER(BF312),N(BE312)&gt;=WlMinTests,BF312&lt;=WlLowMean),"Low results, no KS2 data","")))</f>
        <v/>
      </c>
      <c r="BJ312" t="str">
        <f>IF(BI312="","",IF(BI312="Below KS2 starting point",BG312,100+BF312)+ROW()/1000000)</f>
        <v/>
      </c>
    </row>
    <row r="313">
      <c r="H313" t="str">
        <f>IFERROR(INDEX(tblY7[Class],ROWS(H$10:H313))&amp;"","")</f>
        <v/>
      </c>
      <c r="I313" t="str">
        <f>IF(H313="","",IF(COUNTIF(H$10:H313,H313)=1,COUNTIF(H$10:H$609,"&lt;"&amp;H313)+1,""))</f>
        <v/>
      </c>
      <c r="J313" t="str">
        <f>IFERROR(INDEX(tblY8[Class],ROWS(J$10:J313))&amp;"","")</f>
        <v/>
      </c>
      <c r="K313" t="str">
        <f>IF(J313="","",IF(COUNTIF(J$10:J313,J313)=1,COUNTIF(J$10:J$609,"&lt;"&amp;J313)+1,""))</f>
        <v/>
      </c>
      <c r="L313" t="str">
        <f>IFERROR(INDEX(tblY9[Class],ROWS(L$10:L313))&amp;"","")</f>
        <v/>
      </c>
      <c r="M313" t="str">
        <f>IF(L313="","",IF(COUNTIF(L$10:L313,L313)=1,COUNTIF(L$10:L$609,"&lt;"&amp;L313)+1,""))</f>
        <v/>
      </c>
      <c r="N313" t="str">
        <f>IFERROR(INDEX(tblY10[Class],ROWS(N$10:N313))&amp;"","")</f>
        <v/>
      </c>
      <c r="O313" t="str">
        <f>IF(N313="","",IF(COUNTIF(N$10:N313,N313)=1,COUNTIF(N$10:N$609,"&lt;"&amp;N313)+1,""))</f>
        <v/>
      </c>
      <c r="P313" t="str">
        <f>IFERROR(INDEX(tblY11[Class],ROWS(P$10:P313))&amp;"","")</f>
        <v/>
      </c>
      <c r="Q313" t="str">
        <f>IF(P313="","",IF(COUNTIF(P$10:P313,P313)=1,COUNTIF(P$10:P$609,"&lt;"&amp;P313)+1,""))</f>
        <v/>
      </c>
      <c r="BA313" t="str">
        <f>IFERROR(INDEX(wLast,244)&amp;"","")</f>
        <v/>
      </c>
      <c r="BB313" t="str">
        <f>IF(BA313="","",IFERROR(INDEX(wFirst,244)&amp;"",""))</f>
        <v/>
      </c>
      <c r="BC313" t="str">
        <f>IF(BA313="","",IFERROR(INDEX(wClass,244)&amp;"",""))</f>
        <v/>
      </c>
      <c r="BD313" t="str">
        <f>IF(BA313="","",IFERROR(INDEX(wKS2,244)+0,""))</f>
        <v/>
      </c>
      <c r="BE313" t="str">
        <f>IF(BA313="","",IFERROR(INDEX(wTests,244)+0,0))</f>
        <v/>
      </c>
      <c r="BF313" t="str">
        <f>IF(BA313="","",IFERROR(INDEX(wMean,244)+0,""))</f>
        <v/>
      </c>
      <c r="BG313" t="str">
        <f>IF(BA313="","",IFERROR(INDEX(wVs,244)+0,""))</f>
        <v/>
      </c>
      <c r="BH313" t="str">
        <f>IF(OR(BA313="",wLatest=""),"",IFERROR(INDEX(wData,244,MATCH(wLatest&amp;CHAR(10)&amp;"Stanine",wHdr,0))+0,""))</f>
        <v/>
      </c>
      <c r="BI313" t="str">
        <f>IF(BA313="","",IF(AND(ISNUMBER(BG313),N(BE313)&gt;=WlMinTests,BG313&lt;=-WlGap),"Below KS2 starting point",IF(AND(NOT(ISNUMBER(BD313)),ISNUMBER(BF313),N(BE313)&gt;=WlMinTests,BF313&lt;=WlLowMean),"Low results, no KS2 data","")))</f>
        <v/>
      </c>
      <c r="BJ313" t="str">
        <f>IF(BI313="","",IF(BI313="Below KS2 starting point",BG313,100+BF313)+ROW()/1000000)</f>
        <v/>
      </c>
    </row>
    <row r="314">
      <c r="H314" t="str">
        <f>IFERROR(INDEX(tblY7[Class],ROWS(H$10:H314))&amp;"","")</f>
        <v/>
      </c>
      <c r="I314" t="str">
        <f>IF(H314="","",IF(COUNTIF(H$10:H314,H314)=1,COUNTIF(H$10:H$609,"&lt;"&amp;H314)+1,""))</f>
        <v/>
      </c>
      <c r="J314" t="str">
        <f>IFERROR(INDEX(tblY8[Class],ROWS(J$10:J314))&amp;"","")</f>
        <v/>
      </c>
      <c r="K314" t="str">
        <f>IF(J314="","",IF(COUNTIF(J$10:J314,J314)=1,COUNTIF(J$10:J$609,"&lt;"&amp;J314)+1,""))</f>
        <v/>
      </c>
      <c r="L314" t="str">
        <f>IFERROR(INDEX(tblY9[Class],ROWS(L$10:L314))&amp;"","")</f>
        <v/>
      </c>
      <c r="M314" t="str">
        <f>IF(L314="","",IF(COUNTIF(L$10:L314,L314)=1,COUNTIF(L$10:L$609,"&lt;"&amp;L314)+1,""))</f>
        <v/>
      </c>
      <c r="N314" t="str">
        <f>IFERROR(INDEX(tblY10[Class],ROWS(N$10:N314))&amp;"","")</f>
        <v/>
      </c>
      <c r="O314" t="str">
        <f>IF(N314="","",IF(COUNTIF(N$10:N314,N314)=1,COUNTIF(N$10:N$609,"&lt;"&amp;N314)+1,""))</f>
        <v/>
      </c>
      <c r="P314" t="str">
        <f>IFERROR(INDEX(tblY11[Class],ROWS(P$10:P314))&amp;"","")</f>
        <v/>
      </c>
      <c r="Q314" t="str">
        <f>IF(P314="","",IF(COUNTIF(P$10:P314,P314)=1,COUNTIF(P$10:P$609,"&lt;"&amp;P314)+1,""))</f>
        <v/>
      </c>
      <c r="BA314" t="str">
        <f>IFERROR(INDEX(wLast,245)&amp;"","")</f>
        <v/>
      </c>
      <c r="BB314" t="str">
        <f>IF(BA314="","",IFERROR(INDEX(wFirst,245)&amp;"",""))</f>
        <v/>
      </c>
      <c r="BC314" t="str">
        <f>IF(BA314="","",IFERROR(INDEX(wClass,245)&amp;"",""))</f>
        <v/>
      </c>
      <c r="BD314" t="str">
        <f>IF(BA314="","",IFERROR(INDEX(wKS2,245)+0,""))</f>
        <v/>
      </c>
      <c r="BE314" t="str">
        <f>IF(BA314="","",IFERROR(INDEX(wTests,245)+0,0))</f>
        <v/>
      </c>
      <c r="BF314" t="str">
        <f>IF(BA314="","",IFERROR(INDEX(wMean,245)+0,""))</f>
        <v/>
      </c>
      <c r="BG314" t="str">
        <f>IF(BA314="","",IFERROR(INDEX(wVs,245)+0,""))</f>
        <v/>
      </c>
      <c r="BH314" t="str">
        <f>IF(OR(BA314="",wLatest=""),"",IFERROR(INDEX(wData,245,MATCH(wLatest&amp;CHAR(10)&amp;"Stanine",wHdr,0))+0,""))</f>
        <v/>
      </c>
      <c r="BI314" t="str">
        <f>IF(BA314="","",IF(AND(ISNUMBER(BG314),N(BE314)&gt;=WlMinTests,BG314&lt;=-WlGap),"Below KS2 starting point",IF(AND(NOT(ISNUMBER(BD314)),ISNUMBER(BF314),N(BE314)&gt;=WlMinTests,BF314&lt;=WlLowMean),"Low results, no KS2 data","")))</f>
        <v/>
      </c>
      <c r="BJ314" t="str">
        <f>IF(BI314="","",IF(BI314="Below KS2 starting point",BG314,100+BF314)+ROW()/1000000)</f>
        <v/>
      </c>
    </row>
    <row r="315">
      <c r="H315" t="str">
        <f>IFERROR(INDEX(tblY7[Class],ROWS(H$10:H315))&amp;"","")</f>
        <v/>
      </c>
      <c r="I315" t="str">
        <f>IF(H315="","",IF(COUNTIF(H$10:H315,H315)=1,COUNTIF(H$10:H$609,"&lt;"&amp;H315)+1,""))</f>
        <v/>
      </c>
      <c r="J315" t="str">
        <f>IFERROR(INDEX(tblY8[Class],ROWS(J$10:J315))&amp;"","")</f>
        <v/>
      </c>
      <c r="K315" t="str">
        <f>IF(J315="","",IF(COUNTIF(J$10:J315,J315)=1,COUNTIF(J$10:J$609,"&lt;"&amp;J315)+1,""))</f>
        <v/>
      </c>
      <c r="L315" t="str">
        <f>IFERROR(INDEX(tblY9[Class],ROWS(L$10:L315))&amp;"","")</f>
        <v/>
      </c>
      <c r="M315" t="str">
        <f>IF(L315="","",IF(COUNTIF(L$10:L315,L315)=1,COUNTIF(L$10:L$609,"&lt;"&amp;L315)+1,""))</f>
        <v/>
      </c>
      <c r="N315" t="str">
        <f>IFERROR(INDEX(tblY10[Class],ROWS(N$10:N315))&amp;"","")</f>
        <v/>
      </c>
      <c r="O315" t="str">
        <f>IF(N315="","",IF(COUNTIF(N$10:N315,N315)=1,COUNTIF(N$10:N$609,"&lt;"&amp;N315)+1,""))</f>
        <v/>
      </c>
      <c r="P315" t="str">
        <f>IFERROR(INDEX(tblY11[Class],ROWS(P$10:P315))&amp;"","")</f>
        <v/>
      </c>
      <c r="Q315" t="str">
        <f>IF(P315="","",IF(COUNTIF(P$10:P315,P315)=1,COUNTIF(P$10:P$609,"&lt;"&amp;P315)+1,""))</f>
        <v/>
      </c>
      <c r="BA315" t="str">
        <f>IFERROR(INDEX(wLast,246)&amp;"","")</f>
        <v/>
      </c>
      <c r="BB315" t="str">
        <f>IF(BA315="","",IFERROR(INDEX(wFirst,246)&amp;"",""))</f>
        <v/>
      </c>
      <c r="BC315" t="str">
        <f>IF(BA315="","",IFERROR(INDEX(wClass,246)&amp;"",""))</f>
        <v/>
      </c>
      <c r="BD315" t="str">
        <f>IF(BA315="","",IFERROR(INDEX(wKS2,246)+0,""))</f>
        <v/>
      </c>
      <c r="BE315" t="str">
        <f>IF(BA315="","",IFERROR(INDEX(wTests,246)+0,0))</f>
        <v/>
      </c>
      <c r="BF315" t="str">
        <f>IF(BA315="","",IFERROR(INDEX(wMean,246)+0,""))</f>
        <v/>
      </c>
      <c r="BG315" t="str">
        <f>IF(BA315="","",IFERROR(INDEX(wVs,246)+0,""))</f>
        <v/>
      </c>
      <c r="BH315" t="str">
        <f>IF(OR(BA315="",wLatest=""),"",IFERROR(INDEX(wData,246,MATCH(wLatest&amp;CHAR(10)&amp;"Stanine",wHdr,0))+0,""))</f>
        <v/>
      </c>
      <c r="BI315" t="str">
        <f>IF(BA315="","",IF(AND(ISNUMBER(BG315),N(BE315)&gt;=WlMinTests,BG315&lt;=-WlGap),"Below KS2 starting point",IF(AND(NOT(ISNUMBER(BD315)),ISNUMBER(BF315),N(BE315)&gt;=WlMinTests,BF315&lt;=WlLowMean),"Low results, no KS2 data","")))</f>
        <v/>
      </c>
      <c r="BJ315" t="str">
        <f>IF(BI315="","",IF(BI315="Below KS2 starting point",BG315,100+BF315)+ROW()/1000000)</f>
        <v/>
      </c>
    </row>
    <row r="316">
      <c r="H316" t="str">
        <f>IFERROR(INDEX(tblY7[Class],ROWS(H$10:H316))&amp;"","")</f>
        <v/>
      </c>
      <c r="I316" t="str">
        <f>IF(H316="","",IF(COUNTIF(H$10:H316,H316)=1,COUNTIF(H$10:H$609,"&lt;"&amp;H316)+1,""))</f>
        <v/>
      </c>
      <c r="J316" t="str">
        <f>IFERROR(INDEX(tblY8[Class],ROWS(J$10:J316))&amp;"","")</f>
        <v/>
      </c>
      <c r="K316" t="str">
        <f>IF(J316="","",IF(COUNTIF(J$10:J316,J316)=1,COUNTIF(J$10:J$609,"&lt;"&amp;J316)+1,""))</f>
        <v/>
      </c>
      <c r="L316" t="str">
        <f>IFERROR(INDEX(tblY9[Class],ROWS(L$10:L316))&amp;"","")</f>
        <v/>
      </c>
      <c r="M316" t="str">
        <f>IF(L316="","",IF(COUNTIF(L$10:L316,L316)=1,COUNTIF(L$10:L$609,"&lt;"&amp;L316)+1,""))</f>
        <v/>
      </c>
      <c r="N316" t="str">
        <f>IFERROR(INDEX(tblY10[Class],ROWS(N$10:N316))&amp;"","")</f>
        <v/>
      </c>
      <c r="O316" t="str">
        <f>IF(N316="","",IF(COUNTIF(N$10:N316,N316)=1,COUNTIF(N$10:N$609,"&lt;"&amp;N316)+1,""))</f>
        <v/>
      </c>
      <c r="P316" t="str">
        <f>IFERROR(INDEX(tblY11[Class],ROWS(P$10:P316))&amp;"","")</f>
        <v/>
      </c>
      <c r="Q316" t="str">
        <f>IF(P316="","",IF(COUNTIF(P$10:P316,P316)=1,COUNTIF(P$10:P$609,"&lt;"&amp;P316)+1,""))</f>
        <v/>
      </c>
      <c r="BA316" t="str">
        <f>IFERROR(INDEX(wLast,247)&amp;"","")</f>
        <v/>
      </c>
      <c r="BB316" t="str">
        <f>IF(BA316="","",IFERROR(INDEX(wFirst,247)&amp;"",""))</f>
        <v/>
      </c>
      <c r="BC316" t="str">
        <f>IF(BA316="","",IFERROR(INDEX(wClass,247)&amp;"",""))</f>
        <v/>
      </c>
      <c r="BD316" t="str">
        <f>IF(BA316="","",IFERROR(INDEX(wKS2,247)+0,""))</f>
        <v/>
      </c>
      <c r="BE316" t="str">
        <f>IF(BA316="","",IFERROR(INDEX(wTests,247)+0,0))</f>
        <v/>
      </c>
      <c r="BF316" t="str">
        <f>IF(BA316="","",IFERROR(INDEX(wMean,247)+0,""))</f>
        <v/>
      </c>
      <c r="BG316" t="str">
        <f>IF(BA316="","",IFERROR(INDEX(wVs,247)+0,""))</f>
        <v/>
      </c>
      <c r="BH316" t="str">
        <f>IF(OR(BA316="",wLatest=""),"",IFERROR(INDEX(wData,247,MATCH(wLatest&amp;CHAR(10)&amp;"Stanine",wHdr,0))+0,""))</f>
        <v/>
      </c>
      <c r="BI316" t="str">
        <f>IF(BA316="","",IF(AND(ISNUMBER(BG316),N(BE316)&gt;=WlMinTests,BG316&lt;=-WlGap),"Below KS2 starting point",IF(AND(NOT(ISNUMBER(BD316)),ISNUMBER(BF316),N(BE316)&gt;=WlMinTests,BF316&lt;=WlLowMean),"Low results, no KS2 data","")))</f>
        <v/>
      </c>
      <c r="BJ316" t="str">
        <f>IF(BI316="","",IF(BI316="Below KS2 starting point",BG316,100+BF316)+ROW()/1000000)</f>
        <v/>
      </c>
    </row>
    <row r="317">
      <c r="H317" t="str">
        <f>IFERROR(INDEX(tblY7[Class],ROWS(H$10:H317))&amp;"","")</f>
        <v/>
      </c>
      <c r="I317" t="str">
        <f>IF(H317="","",IF(COUNTIF(H$10:H317,H317)=1,COUNTIF(H$10:H$609,"&lt;"&amp;H317)+1,""))</f>
        <v/>
      </c>
      <c r="J317" t="str">
        <f>IFERROR(INDEX(tblY8[Class],ROWS(J$10:J317))&amp;"","")</f>
        <v/>
      </c>
      <c r="K317" t="str">
        <f>IF(J317="","",IF(COUNTIF(J$10:J317,J317)=1,COUNTIF(J$10:J$609,"&lt;"&amp;J317)+1,""))</f>
        <v/>
      </c>
      <c r="L317" t="str">
        <f>IFERROR(INDEX(tblY9[Class],ROWS(L$10:L317))&amp;"","")</f>
        <v/>
      </c>
      <c r="M317" t="str">
        <f>IF(L317="","",IF(COUNTIF(L$10:L317,L317)=1,COUNTIF(L$10:L$609,"&lt;"&amp;L317)+1,""))</f>
        <v/>
      </c>
      <c r="N317" t="str">
        <f>IFERROR(INDEX(tblY10[Class],ROWS(N$10:N317))&amp;"","")</f>
        <v/>
      </c>
      <c r="O317" t="str">
        <f>IF(N317="","",IF(COUNTIF(N$10:N317,N317)=1,COUNTIF(N$10:N$609,"&lt;"&amp;N317)+1,""))</f>
        <v/>
      </c>
      <c r="P317" t="str">
        <f>IFERROR(INDEX(tblY11[Class],ROWS(P$10:P317))&amp;"","")</f>
        <v/>
      </c>
      <c r="Q317" t="str">
        <f>IF(P317="","",IF(COUNTIF(P$10:P317,P317)=1,COUNTIF(P$10:P$609,"&lt;"&amp;P317)+1,""))</f>
        <v/>
      </c>
      <c r="BA317" t="str">
        <f>IFERROR(INDEX(wLast,248)&amp;"","")</f>
        <v/>
      </c>
      <c r="BB317" t="str">
        <f>IF(BA317="","",IFERROR(INDEX(wFirst,248)&amp;"",""))</f>
        <v/>
      </c>
      <c r="BC317" t="str">
        <f>IF(BA317="","",IFERROR(INDEX(wClass,248)&amp;"",""))</f>
        <v/>
      </c>
      <c r="BD317" t="str">
        <f>IF(BA317="","",IFERROR(INDEX(wKS2,248)+0,""))</f>
        <v/>
      </c>
      <c r="BE317" t="str">
        <f>IF(BA317="","",IFERROR(INDEX(wTests,248)+0,0))</f>
        <v/>
      </c>
      <c r="BF317" t="str">
        <f>IF(BA317="","",IFERROR(INDEX(wMean,248)+0,""))</f>
        <v/>
      </c>
      <c r="BG317" t="str">
        <f>IF(BA317="","",IFERROR(INDEX(wVs,248)+0,""))</f>
        <v/>
      </c>
      <c r="BH317" t="str">
        <f>IF(OR(BA317="",wLatest=""),"",IFERROR(INDEX(wData,248,MATCH(wLatest&amp;CHAR(10)&amp;"Stanine",wHdr,0))+0,""))</f>
        <v/>
      </c>
      <c r="BI317" t="str">
        <f>IF(BA317="","",IF(AND(ISNUMBER(BG317),N(BE317)&gt;=WlMinTests,BG317&lt;=-WlGap),"Below KS2 starting point",IF(AND(NOT(ISNUMBER(BD317)),ISNUMBER(BF317),N(BE317)&gt;=WlMinTests,BF317&lt;=WlLowMean),"Low results, no KS2 data","")))</f>
        <v/>
      </c>
      <c r="BJ317" t="str">
        <f>IF(BI317="","",IF(BI317="Below KS2 starting point",BG317,100+BF317)+ROW()/1000000)</f>
        <v/>
      </c>
    </row>
    <row r="318">
      <c r="H318" t="str">
        <f>IFERROR(INDEX(tblY7[Class],ROWS(H$10:H318))&amp;"","")</f>
        <v/>
      </c>
      <c r="I318" t="str">
        <f>IF(H318="","",IF(COUNTIF(H$10:H318,H318)=1,COUNTIF(H$10:H$609,"&lt;"&amp;H318)+1,""))</f>
        <v/>
      </c>
      <c r="J318" t="str">
        <f>IFERROR(INDEX(tblY8[Class],ROWS(J$10:J318))&amp;"","")</f>
        <v/>
      </c>
      <c r="K318" t="str">
        <f>IF(J318="","",IF(COUNTIF(J$10:J318,J318)=1,COUNTIF(J$10:J$609,"&lt;"&amp;J318)+1,""))</f>
        <v/>
      </c>
      <c r="L318" t="str">
        <f>IFERROR(INDEX(tblY9[Class],ROWS(L$10:L318))&amp;"","")</f>
        <v/>
      </c>
      <c r="M318" t="str">
        <f>IF(L318="","",IF(COUNTIF(L$10:L318,L318)=1,COUNTIF(L$10:L$609,"&lt;"&amp;L318)+1,""))</f>
        <v/>
      </c>
      <c r="N318" t="str">
        <f>IFERROR(INDEX(tblY10[Class],ROWS(N$10:N318))&amp;"","")</f>
        <v/>
      </c>
      <c r="O318" t="str">
        <f>IF(N318="","",IF(COUNTIF(N$10:N318,N318)=1,COUNTIF(N$10:N$609,"&lt;"&amp;N318)+1,""))</f>
        <v/>
      </c>
      <c r="P318" t="str">
        <f>IFERROR(INDEX(tblY11[Class],ROWS(P$10:P318))&amp;"","")</f>
        <v/>
      </c>
      <c r="Q318" t="str">
        <f>IF(P318="","",IF(COUNTIF(P$10:P318,P318)=1,COUNTIF(P$10:P$609,"&lt;"&amp;P318)+1,""))</f>
        <v/>
      </c>
      <c r="BA318" t="str">
        <f>IFERROR(INDEX(wLast,249)&amp;"","")</f>
        <v/>
      </c>
      <c r="BB318" t="str">
        <f>IF(BA318="","",IFERROR(INDEX(wFirst,249)&amp;"",""))</f>
        <v/>
      </c>
      <c r="BC318" t="str">
        <f>IF(BA318="","",IFERROR(INDEX(wClass,249)&amp;"",""))</f>
        <v/>
      </c>
      <c r="BD318" t="str">
        <f>IF(BA318="","",IFERROR(INDEX(wKS2,249)+0,""))</f>
        <v/>
      </c>
      <c r="BE318" t="str">
        <f>IF(BA318="","",IFERROR(INDEX(wTests,249)+0,0))</f>
        <v/>
      </c>
      <c r="BF318" t="str">
        <f>IF(BA318="","",IFERROR(INDEX(wMean,249)+0,""))</f>
        <v/>
      </c>
      <c r="BG318" t="str">
        <f>IF(BA318="","",IFERROR(INDEX(wVs,249)+0,""))</f>
        <v/>
      </c>
      <c r="BH318" t="str">
        <f>IF(OR(BA318="",wLatest=""),"",IFERROR(INDEX(wData,249,MATCH(wLatest&amp;CHAR(10)&amp;"Stanine",wHdr,0))+0,""))</f>
        <v/>
      </c>
      <c r="BI318" t="str">
        <f>IF(BA318="","",IF(AND(ISNUMBER(BG318),N(BE318)&gt;=WlMinTests,BG318&lt;=-WlGap),"Below KS2 starting point",IF(AND(NOT(ISNUMBER(BD318)),ISNUMBER(BF318),N(BE318)&gt;=WlMinTests,BF318&lt;=WlLowMean),"Low results, no KS2 data","")))</f>
        <v/>
      </c>
      <c r="BJ318" t="str">
        <f>IF(BI318="","",IF(BI318="Below KS2 starting point",BG318,100+BF318)+ROW()/1000000)</f>
        <v/>
      </c>
    </row>
    <row r="319">
      <c r="H319" t="str">
        <f>IFERROR(INDEX(tblY7[Class],ROWS(H$10:H319))&amp;"","")</f>
        <v/>
      </c>
      <c r="I319" t="str">
        <f>IF(H319="","",IF(COUNTIF(H$10:H319,H319)=1,COUNTIF(H$10:H$609,"&lt;"&amp;H319)+1,""))</f>
        <v/>
      </c>
      <c r="J319" t="str">
        <f>IFERROR(INDEX(tblY8[Class],ROWS(J$10:J319))&amp;"","")</f>
        <v/>
      </c>
      <c r="K319" t="str">
        <f>IF(J319="","",IF(COUNTIF(J$10:J319,J319)=1,COUNTIF(J$10:J$609,"&lt;"&amp;J319)+1,""))</f>
        <v/>
      </c>
      <c r="L319" t="str">
        <f>IFERROR(INDEX(tblY9[Class],ROWS(L$10:L319))&amp;"","")</f>
        <v/>
      </c>
      <c r="M319" t="str">
        <f>IF(L319="","",IF(COUNTIF(L$10:L319,L319)=1,COUNTIF(L$10:L$609,"&lt;"&amp;L319)+1,""))</f>
        <v/>
      </c>
      <c r="N319" t="str">
        <f>IFERROR(INDEX(tblY10[Class],ROWS(N$10:N319))&amp;"","")</f>
        <v/>
      </c>
      <c r="O319" t="str">
        <f>IF(N319="","",IF(COUNTIF(N$10:N319,N319)=1,COUNTIF(N$10:N$609,"&lt;"&amp;N319)+1,""))</f>
        <v/>
      </c>
      <c r="P319" t="str">
        <f>IFERROR(INDEX(tblY11[Class],ROWS(P$10:P319))&amp;"","")</f>
        <v/>
      </c>
      <c r="Q319" t="str">
        <f>IF(P319="","",IF(COUNTIF(P$10:P319,P319)=1,COUNTIF(P$10:P$609,"&lt;"&amp;P319)+1,""))</f>
        <v/>
      </c>
      <c r="BA319" t="str">
        <f>IFERROR(INDEX(wLast,250)&amp;"","")</f>
        <v/>
      </c>
      <c r="BB319" t="str">
        <f>IF(BA319="","",IFERROR(INDEX(wFirst,250)&amp;"",""))</f>
        <v/>
      </c>
      <c r="BC319" t="str">
        <f>IF(BA319="","",IFERROR(INDEX(wClass,250)&amp;"",""))</f>
        <v/>
      </c>
      <c r="BD319" t="str">
        <f>IF(BA319="","",IFERROR(INDEX(wKS2,250)+0,""))</f>
        <v/>
      </c>
      <c r="BE319" t="str">
        <f>IF(BA319="","",IFERROR(INDEX(wTests,250)+0,0))</f>
        <v/>
      </c>
      <c r="BF319" t="str">
        <f>IF(BA319="","",IFERROR(INDEX(wMean,250)+0,""))</f>
        <v/>
      </c>
      <c r="BG319" t="str">
        <f>IF(BA319="","",IFERROR(INDEX(wVs,250)+0,""))</f>
        <v/>
      </c>
      <c r="BH319" t="str">
        <f>IF(OR(BA319="",wLatest=""),"",IFERROR(INDEX(wData,250,MATCH(wLatest&amp;CHAR(10)&amp;"Stanine",wHdr,0))+0,""))</f>
        <v/>
      </c>
      <c r="BI319" t="str">
        <f>IF(BA319="","",IF(AND(ISNUMBER(BG319),N(BE319)&gt;=WlMinTests,BG319&lt;=-WlGap),"Below KS2 starting point",IF(AND(NOT(ISNUMBER(BD319)),ISNUMBER(BF319),N(BE319)&gt;=WlMinTests,BF319&lt;=WlLowMean),"Low results, no KS2 data","")))</f>
        <v/>
      </c>
      <c r="BJ319" t="str">
        <f>IF(BI319="","",IF(BI319="Below KS2 starting point",BG319,100+BF319)+ROW()/1000000)</f>
        <v/>
      </c>
    </row>
    <row r="320">
      <c r="H320" t="str">
        <f>IFERROR(INDEX(tblY7[Class],ROWS(H$10:H320))&amp;"","")</f>
        <v/>
      </c>
      <c r="I320" t="str">
        <f>IF(H320="","",IF(COUNTIF(H$10:H320,H320)=1,COUNTIF(H$10:H$609,"&lt;"&amp;H320)+1,""))</f>
        <v/>
      </c>
      <c r="J320" t="str">
        <f>IFERROR(INDEX(tblY8[Class],ROWS(J$10:J320))&amp;"","")</f>
        <v/>
      </c>
      <c r="K320" t="str">
        <f>IF(J320="","",IF(COUNTIF(J$10:J320,J320)=1,COUNTIF(J$10:J$609,"&lt;"&amp;J320)+1,""))</f>
        <v/>
      </c>
      <c r="L320" t="str">
        <f>IFERROR(INDEX(tblY9[Class],ROWS(L$10:L320))&amp;"","")</f>
        <v/>
      </c>
      <c r="M320" t="str">
        <f>IF(L320="","",IF(COUNTIF(L$10:L320,L320)=1,COUNTIF(L$10:L$609,"&lt;"&amp;L320)+1,""))</f>
        <v/>
      </c>
      <c r="N320" t="str">
        <f>IFERROR(INDEX(tblY10[Class],ROWS(N$10:N320))&amp;"","")</f>
        <v/>
      </c>
      <c r="O320" t="str">
        <f>IF(N320="","",IF(COUNTIF(N$10:N320,N320)=1,COUNTIF(N$10:N$609,"&lt;"&amp;N320)+1,""))</f>
        <v/>
      </c>
      <c r="P320" t="str">
        <f>IFERROR(INDEX(tblY11[Class],ROWS(P$10:P320))&amp;"","")</f>
        <v/>
      </c>
      <c r="Q320" t="str">
        <f>IF(P320="","",IF(COUNTIF(P$10:P320,P320)=1,COUNTIF(P$10:P$609,"&lt;"&amp;P320)+1,""))</f>
        <v/>
      </c>
      <c r="BA320" t="str">
        <f>IFERROR(INDEX(wLast,251)&amp;"","")</f>
        <v/>
      </c>
      <c r="BB320" t="str">
        <f>IF(BA320="","",IFERROR(INDEX(wFirst,251)&amp;"",""))</f>
        <v/>
      </c>
      <c r="BC320" t="str">
        <f>IF(BA320="","",IFERROR(INDEX(wClass,251)&amp;"",""))</f>
        <v/>
      </c>
      <c r="BD320" t="str">
        <f>IF(BA320="","",IFERROR(INDEX(wKS2,251)+0,""))</f>
        <v/>
      </c>
      <c r="BE320" t="str">
        <f>IF(BA320="","",IFERROR(INDEX(wTests,251)+0,0))</f>
        <v/>
      </c>
      <c r="BF320" t="str">
        <f>IF(BA320="","",IFERROR(INDEX(wMean,251)+0,""))</f>
        <v/>
      </c>
      <c r="BG320" t="str">
        <f>IF(BA320="","",IFERROR(INDEX(wVs,251)+0,""))</f>
        <v/>
      </c>
      <c r="BH320" t="str">
        <f>IF(OR(BA320="",wLatest=""),"",IFERROR(INDEX(wData,251,MATCH(wLatest&amp;CHAR(10)&amp;"Stanine",wHdr,0))+0,""))</f>
        <v/>
      </c>
      <c r="BI320" t="str">
        <f>IF(BA320="","",IF(AND(ISNUMBER(BG320),N(BE320)&gt;=WlMinTests,BG320&lt;=-WlGap),"Below KS2 starting point",IF(AND(NOT(ISNUMBER(BD320)),ISNUMBER(BF320),N(BE320)&gt;=WlMinTests,BF320&lt;=WlLowMean),"Low results, no KS2 data","")))</f>
        <v/>
      </c>
      <c r="BJ320" t="str">
        <f>IF(BI320="","",IF(BI320="Below KS2 starting point",BG320,100+BF320)+ROW()/1000000)</f>
        <v/>
      </c>
    </row>
    <row r="321">
      <c r="H321" t="str">
        <f>IFERROR(INDEX(tblY7[Class],ROWS(H$10:H321))&amp;"","")</f>
        <v/>
      </c>
      <c r="I321" t="str">
        <f>IF(H321="","",IF(COUNTIF(H$10:H321,H321)=1,COUNTIF(H$10:H$609,"&lt;"&amp;H321)+1,""))</f>
        <v/>
      </c>
      <c r="J321" t="str">
        <f>IFERROR(INDEX(tblY8[Class],ROWS(J$10:J321))&amp;"","")</f>
        <v/>
      </c>
      <c r="K321" t="str">
        <f>IF(J321="","",IF(COUNTIF(J$10:J321,J321)=1,COUNTIF(J$10:J$609,"&lt;"&amp;J321)+1,""))</f>
        <v/>
      </c>
      <c r="L321" t="str">
        <f>IFERROR(INDEX(tblY9[Class],ROWS(L$10:L321))&amp;"","")</f>
        <v/>
      </c>
      <c r="M321" t="str">
        <f>IF(L321="","",IF(COUNTIF(L$10:L321,L321)=1,COUNTIF(L$10:L$609,"&lt;"&amp;L321)+1,""))</f>
        <v/>
      </c>
      <c r="N321" t="str">
        <f>IFERROR(INDEX(tblY10[Class],ROWS(N$10:N321))&amp;"","")</f>
        <v/>
      </c>
      <c r="O321" t="str">
        <f>IF(N321="","",IF(COUNTIF(N$10:N321,N321)=1,COUNTIF(N$10:N$609,"&lt;"&amp;N321)+1,""))</f>
        <v/>
      </c>
      <c r="P321" t="str">
        <f>IFERROR(INDEX(tblY11[Class],ROWS(P$10:P321))&amp;"","")</f>
        <v/>
      </c>
      <c r="Q321" t="str">
        <f>IF(P321="","",IF(COUNTIF(P$10:P321,P321)=1,COUNTIF(P$10:P$609,"&lt;"&amp;P321)+1,""))</f>
        <v/>
      </c>
      <c r="BA321" t="str">
        <f>IFERROR(INDEX(wLast,252)&amp;"","")</f>
        <v/>
      </c>
      <c r="BB321" t="str">
        <f>IF(BA321="","",IFERROR(INDEX(wFirst,252)&amp;"",""))</f>
        <v/>
      </c>
      <c r="BC321" t="str">
        <f>IF(BA321="","",IFERROR(INDEX(wClass,252)&amp;"",""))</f>
        <v/>
      </c>
      <c r="BD321" t="str">
        <f>IF(BA321="","",IFERROR(INDEX(wKS2,252)+0,""))</f>
        <v/>
      </c>
      <c r="BE321" t="str">
        <f>IF(BA321="","",IFERROR(INDEX(wTests,252)+0,0))</f>
        <v/>
      </c>
      <c r="BF321" t="str">
        <f>IF(BA321="","",IFERROR(INDEX(wMean,252)+0,""))</f>
        <v/>
      </c>
      <c r="BG321" t="str">
        <f>IF(BA321="","",IFERROR(INDEX(wVs,252)+0,""))</f>
        <v/>
      </c>
      <c r="BH321" t="str">
        <f>IF(OR(BA321="",wLatest=""),"",IFERROR(INDEX(wData,252,MATCH(wLatest&amp;CHAR(10)&amp;"Stanine",wHdr,0))+0,""))</f>
        <v/>
      </c>
      <c r="BI321" t="str">
        <f>IF(BA321="","",IF(AND(ISNUMBER(BG321),N(BE321)&gt;=WlMinTests,BG321&lt;=-WlGap),"Below KS2 starting point",IF(AND(NOT(ISNUMBER(BD321)),ISNUMBER(BF321),N(BE321)&gt;=WlMinTests,BF321&lt;=WlLowMean),"Low results, no KS2 data","")))</f>
        <v/>
      </c>
      <c r="BJ321" t="str">
        <f>IF(BI321="","",IF(BI321="Below KS2 starting point",BG321,100+BF321)+ROW()/1000000)</f>
        <v/>
      </c>
    </row>
    <row r="322">
      <c r="H322" t="str">
        <f>IFERROR(INDEX(tblY7[Class],ROWS(H$10:H322))&amp;"","")</f>
        <v/>
      </c>
      <c r="I322" t="str">
        <f>IF(H322="","",IF(COUNTIF(H$10:H322,H322)=1,COUNTIF(H$10:H$609,"&lt;"&amp;H322)+1,""))</f>
        <v/>
      </c>
      <c r="J322" t="str">
        <f>IFERROR(INDEX(tblY8[Class],ROWS(J$10:J322))&amp;"","")</f>
        <v/>
      </c>
      <c r="K322" t="str">
        <f>IF(J322="","",IF(COUNTIF(J$10:J322,J322)=1,COUNTIF(J$10:J$609,"&lt;"&amp;J322)+1,""))</f>
        <v/>
      </c>
      <c r="L322" t="str">
        <f>IFERROR(INDEX(tblY9[Class],ROWS(L$10:L322))&amp;"","")</f>
        <v/>
      </c>
      <c r="M322" t="str">
        <f>IF(L322="","",IF(COUNTIF(L$10:L322,L322)=1,COUNTIF(L$10:L$609,"&lt;"&amp;L322)+1,""))</f>
        <v/>
      </c>
      <c r="N322" t="str">
        <f>IFERROR(INDEX(tblY10[Class],ROWS(N$10:N322))&amp;"","")</f>
        <v/>
      </c>
      <c r="O322" t="str">
        <f>IF(N322="","",IF(COUNTIF(N$10:N322,N322)=1,COUNTIF(N$10:N$609,"&lt;"&amp;N322)+1,""))</f>
        <v/>
      </c>
      <c r="P322" t="str">
        <f>IFERROR(INDEX(tblY11[Class],ROWS(P$10:P322))&amp;"","")</f>
        <v/>
      </c>
      <c r="Q322" t="str">
        <f>IF(P322="","",IF(COUNTIF(P$10:P322,P322)=1,COUNTIF(P$10:P$609,"&lt;"&amp;P322)+1,""))</f>
        <v/>
      </c>
      <c r="BA322" t="str">
        <f>IFERROR(INDEX(wLast,253)&amp;"","")</f>
        <v/>
      </c>
      <c r="BB322" t="str">
        <f>IF(BA322="","",IFERROR(INDEX(wFirst,253)&amp;"",""))</f>
        <v/>
      </c>
      <c r="BC322" t="str">
        <f>IF(BA322="","",IFERROR(INDEX(wClass,253)&amp;"",""))</f>
        <v/>
      </c>
      <c r="BD322" t="str">
        <f>IF(BA322="","",IFERROR(INDEX(wKS2,253)+0,""))</f>
        <v/>
      </c>
      <c r="BE322" t="str">
        <f>IF(BA322="","",IFERROR(INDEX(wTests,253)+0,0))</f>
        <v/>
      </c>
      <c r="BF322" t="str">
        <f>IF(BA322="","",IFERROR(INDEX(wMean,253)+0,""))</f>
        <v/>
      </c>
      <c r="BG322" t="str">
        <f>IF(BA322="","",IFERROR(INDEX(wVs,253)+0,""))</f>
        <v/>
      </c>
      <c r="BH322" t="str">
        <f>IF(OR(BA322="",wLatest=""),"",IFERROR(INDEX(wData,253,MATCH(wLatest&amp;CHAR(10)&amp;"Stanine",wHdr,0))+0,""))</f>
        <v/>
      </c>
      <c r="BI322" t="str">
        <f>IF(BA322="","",IF(AND(ISNUMBER(BG322),N(BE322)&gt;=WlMinTests,BG322&lt;=-WlGap),"Below KS2 starting point",IF(AND(NOT(ISNUMBER(BD322)),ISNUMBER(BF322),N(BE322)&gt;=WlMinTests,BF322&lt;=WlLowMean),"Low results, no KS2 data","")))</f>
        <v/>
      </c>
      <c r="BJ322" t="str">
        <f>IF(BI322="","",IF(BI322="Below KS2 starting point",BG322,100+BF322)+ROW()/1000000)</f>
        <v/>
      </c>
    </row>
    <row r="323">
      <c r="H323" t="str">
        <f>IFERROR(INDEX(tblY7[Class],ROWS(H$10:H323))&amp;"","")</f>
        <v/>
      </c>
      <c r="I323" t="str">
        <f>IF(H323="","",IF(COUNTIF(H$10:H323,H323)=1,COUNTIF(H$10:H$609,"&lt;"&amp;H323)+1,""))</f>
        <v/>
      </c>
      <c r="J323" t="str">
        <f>IFERROR(INDEX(tblY8[Class],ROWS(J$10:J323))&amp;"","")</f>
        <v/>
      </c>
      <c r="K323" t="str">
        <f>IF(J323="","",IF(COUNTIF(J$10:J323,J323)=1,COUNTIF(J$10:J$609,"&lt;"&amp;J323)+1,""))</f>
        <v/>
      </c>
      <c r="L323" t="str">
        <f>IFERROR(INDEX(tblY9[Class],ROWS(L$10:L323))&amp;"","")</f>
        <v/>
      </c>
      <c r="M323" t="str">
        <f>IF(L323="","",IF(COUNTIF(L$10:L323,L323)=1,COUNTIF(L$10:L$609,"&lt;"&amp;L323)+1,""))</f>
        <v/>
      </c>
      <c r="N323" t="str">
        <f>IFERROR(INDEX(tblY10[Class],ROWS(N$10:N323))&amp;"","")</f>
        <v/>
      </c>
      <c r="O323" t="str">
        <f>IF(N323="","",IF(COUNTIF(N$10:N323,N323)=1,COUNTIF(N$10:N$609,"&lt;"&amp;N323)+1,""))</f>
        <v/>
      </c>
      <c r="P323" t="str">
        <f>IFERROR(INDEX(tblY11[Class],ROWS(P$10:P323))&amp;"","")</f>
        <v/>
      </c>
      <c r="Q323" t="str">
        <f>IF(P323="","",IF(COUNTIF(P$10:P323,P323)=1,COUNTIF(P$10:P$609,"&lt;"&amp;P323)+1,""))</f>
        <v/>
      </c>
      <c r="BA323" t="str">
        <f>IFERROR(INDEX(wLast,254)&amp;"","")</f>
        <v/>
      </c>
      <c r="BB323" t="str">
        <f>IF(BA323="","",IFERROR(INDEX(wFirst,254)&amp;"",""))</f>
        <v/>
      </c>
      <c r="BC323" t="str">
        <f>IF(BA323="","",IFERROR(INDEX(wClass,254)&amp;"",""))</f>
        <v/>
      </c>
      <c r="BD323" t="str">
        <f>IF(BA323="","",IFERROR(INDEX(wKS2,254)+0,""))</f>
        <v/>
      </c>
      <c r="BE323" t="str">
        <f>IF(BA323="","",IFERROR(INDEX(wTests,254)+0,0))</f>
        <v/>
      </c>
      <c r="BF323" t="str">
        <f>IF(BA323="","",IFERROR(INDEX(wMean,254)+0,""))</f>
        <v/>
      </c>
      <c r="BG323" t="str">
        <f>IF(BA323="","",IFERROR(INDEX(wVs,254)+0,""))</f>
        <v/>
      </c>
      <c r="BH323" t="str">
        <f>IF(OR(BA323="",wLatest=""),"",IFERROR(INDEX(wData,254,MATCH(wLatest&amp;CHAR(10)&amp;"Stanine",wHdr,0))+0,""))</f>
        <v/>
      </c>
      <c r="BI323" t="str">
        <f>IF(BA323="","",IF(AND(ISNUMBER(BG323),N(BE323)&gt;=WlMinTests,BG323&lt;=-WlGap),"Below KS2 starting point",IF(AND(NOT(ISNUMBER(BD323)),ISNUMBER(BF323),N(BE323)&gt;=WlMinTests,BF323&lt;=WlLowMean),"Low results, no KS2 data","")))</f>
        <v/>
      </c>
      <c r="BJ323" t="str">
        <f>IF(BI323="","",IF(BI323="Below KS2 starting point",BG323,100+BF323)+ROW()/1000000)</f>
        <v/>
      </c>
    </row>
    <row r="324">
      <c r="H324" t="str">
        <f>IFERROR(INDEX(tblY7[Class],ROWS(H$10:H324))&amp;"","")</f>
        <v/>
      </c>
      <c r="I324" t="str">
        <f>IF(H324="","",IF(COUNTIF(H$10:H324,H324)=1,COUNTIF(H$10:H$609,"&lt;"&amp;H324)+1,""))</f>
        <v/>
      </c>
      <c r="J324" t="str">
        <f>IFERROR(INDEX(tblY8[Class],ROWS(J$10:J324))&amp;"","")</f>
        <v/>
      </c>
      <c r="K324" t="str">
        <f>IF(J324="","",IF(COUNTIF(J$10:J324,J324)=1,COUNTIF(J$10:J$609,"&lt;"&amp;J324)+1,""))</f>
        <v/>
      </c>
      <c r="L324" t="str">
        <f>IFERROR(INDEX(tblY9[Class],ROWS(L$10:L324))&amp;"","")</f>
        <v/>
      </c>
      <c r="M324" t="str">
        <f>IF(L324="","",IF(COUNTIF(L$10:L324,L324)=1,COUNTIF(L$10:L$609,"&lt;"&amp;L324)+1,""))</f>
        <v/>
      </c>
      <c r="N324" t="str">
        <f>IFERROR(INDEX(tblY10[Class],ROWS(N$10:N324))&amp;"","")</f>
        <v/>
      </c>
      <c r="O324" t="str">
        <f>IF(N324="","",IF(COUNTIF(N$10:N324,N324)=1,COUNTIF(N$10:N$609,"&lt;"&amp;N324)+1,""))</f>
        <v/>
      </c>
      <c r="P324" t="str">
        <f>IFERROR(INDEX(tblY11[Class],ROWS(P$10:P324))&amp;"","")</f>
        <v/>
      </c>
      <c r="Q324" t="str">
        <f>IF(P324="","",IF(COUNTIF(P$10:P324,P324)=1,COUNTIF(P$10:P$609,"&lt;"&amp;P324)+1,""))</f>
        <v/>
      </c>
      <c r="BA324" t="str">
        <f>IFERROR(INDEX(wLast,255)&amp;"","")</f>
        <v/>
      </c>
      <c r="BB324" t="str">
        <f>IF(BA324="","",IFERROR(INDEX(wFirst,255)&amp;"",""))</f>
        <v/>
      </c>
      <c r="BC324" t="str">
        <f>IF(BA324="","",IFERROR(INDEX(wClass,255)&amp;"",""))</f>
        <v/>
      </c>
      <c r="BD324" t="str">
        <f>IF(BA324="","",IFERROR(INDEX(wKS2,255)+0,""))</f>
        <v/>
      </c>
      <c r="BE324" t="str">
        <f>IF(BA324="","",IFERROR(INDEX(wTests,255)+0,0))</f>
        <v/>
      </c>
      <c r="BF324" t="str">
        <f>IF(BA324="","",IFERROR(INDEX(wMean,255)+0,""))</f>
        <v/>
      </c>
      <c r="BG324" t="str">
        <f>IF(BA324="","",IFERROR(INDEX(wVs,255)+0,""))</f>
        <v/>
      </c>
      <c r="BH324" t="str">
        <f>IF(OR(BA324="",wLatest=""),"",IFERROR(INDEX(wData,255,MATCH(wLatest&amp;CHAR(10)&amp;"Stanine",wHdr,0))+0,""))</f>
        <v/>
      </c>
      <c r="BI324" t="str">
        <f>IF(BA324="","",IF(AND(ISNUMBER(BG324),N(BE324)&gt;=WlMinTests,BG324&lt;=-WlGap),"Below KS2 starting point",IF(AND(NOT(ISNUMBER(BD324)),ISNUMBER(BF324),N(BE324)&gt;=WlMinTests,BF324&lt;=WlLowMean),"Low results, no KS2 data","")))</f>
        <v/>
      </c>
      <c r="BJ324" t="str">
        <f>IF(BI324="","",IF(BI324="Below KS2 starting point",BG324,100+BF324)+ROW()/1000000)</f>
        <v/>
      </c>
    </row>
    <row r="325">
      <c r="H325" t="str">
        <f>IFERROR(INDEX(tblY7[Class],ROWS(H$10:H325))&amp;"","")</f>
        <v/>
      </c>
      <c r="I325" t="str">
        <f>IF(H325="","",IF(COUNTIF(H$10:H325,H325)=1,COUNTIF(H$10:H$609,"&lt;"&amp;H325)+1,""))</f>
        <v/>
      </c>
      <c r="J325" t="str">
        <f>IFERROR(INDEX(tblY8[Class],ROWS(J$10:J325))&amp;"","")</f>
        <v/>
      </c>
      <c r="K325" t="str">
        <f>IF(J325="","",IF(COUNTIF(J$10:J325,J325)=1,COUNTIF(J$10:J$609,"&lt;"&amp;J325)+1,""))</f>
        <v/>
      </c>
      <c r="L325" t="str">
        <f>IFERROR(INDEX(tblY9[Class],ROWS(L$10:L325))&amp;"","")</f>
        <v/>
      </c>
      <c r="M325" t="str">
        <f>IF(L325="","",IF(COUNTIF(L$10:L325,L325)=1,COUNTIF(L$10:L$609,"&lt;"&amp;L325)+1,""))</f>
        <v/>
      </c>
      <c r="N325" t="str">
        <f>IFERROR(INDEX(tblY10[Class],ROWS(N$10:N325))&amp;"","")</f>
        <v/>
      </c>
      <c r="O325" t="str">
        <f>IF(N325="","",IF(COUNTIF(N$10:N325,N325)=1,COUNTIF(N$10:N$609,"&lt;"&amp;N325)+1,""))</f>
        <v/>
      </c>
      <c r="P325" t="str">
        <f>IFERROR(INDEX(tblY11[Class],ROWS(P$10:P325))&amp;"","")</f>
        <v/>
      </c>
      <c r="Q325" t="str">
        <f>IF(P325="","",IF(COUNTIF(P$10:P325,P325)=1,COUNTIF(P$10:P$609,"&lt;"&amp;P325)+1,""))</f>
        <v/>
      </c>
      <c r="BA325" t="str">
        <f>IFERROR(INDEX(wLast,256)&amp;"","")</f>
        <v/>
      </c>
      <c r="BB325" t="str">
        <f>IF(BA325="","",IFERROR(INDEX(wFirst,256)&amp;"",""))</f>
        <v/>
      </c>
      <c r="BC325" t="str">
        <f>IF(BA325="","",IFERROR(INDEX(wClass,256)&amp;"",""))</f>
        <v/>
      </c>
      <c r="BD325" t="str">
        <f>IF(BA325="","",IFERROR(INDEX(wKS2,256)+0,""))</f>
        <v/>
      </c>
      <c r="BE325" t="str">
        <f>IF(BA325="","",IFERROR(INDEX(wTests,256)+0,0))</f>
        <v/>
      </c>
      <c r="BF325" t="str">
        <f>IF(BA325="","",IFERROR(INDEX(wMean,256)+0,""))</f>
        <v/>
      </c>
      <c r="BG325" t="str">
        <f>IF(BA325="","",IFERROR(INDEX(wVs,256)+0,""))</f>
        <v/>
      </c>
      <c r="BH325" t="str">
        <f>IF(OR(BA325="",wLatest=""),"",IFERROR(INDEX(wData,256,MATCH(wLatest&amp;CHAR(10)&amp;"Stanine",wHdr,0))+0,""))</f>
        <v/>
      </c>
      <c r="BI325" t="str">
        <f>IF(BA325="","",IF(AND(ISNUMBER(BG325),N(BE325)&gt;=WlMinTests,BG325&lt;=-WlGap),"Below KS2 starting point",IF(AND(NOT(ISNUMBER(BD325)),ISNUMBER(BF325),N(BE325)&gt;=WlMinTests,BF325&lt;=WlLowMean),"Low results, no KS2 data","")))</f>
        <v/>
      </c>
      <c r="BJ325" t="str">
        <f>IF(BI325="","",IF(BI325="Below KS2 starting point",BG325,100+BF325)+ROW()/1000000)</f>
        <v/>
      </c>
    </row>
    <row r="326">
      <c r="H326" t="str">
        <f>IFERROR(INDEX(tblY7[Class],ROWS(H$10:H326))&amp;"","")</f>
        <v/>
      </c>
      <c r="I326" t="str">
        <f>IF(H326="","",IF(COUNTIF(H$10:H326,H326)=1,COUNTIF(H$10:H$609,"&lt;"&amp;H326)+1,""))</f>
        <v/>
      </c>
      <c r="J326" t="str">
        <f>IFERROR(INDEX(tblY8[Class],ROWS(J$10:J326))&amp;"","")</f>
        <v/>
      </c>
      <c r="K326" t="str">
        <f>IF(J326="","",IF(COUNTIF(J$10:J326,J326)=1,COUNTIF(J$10:J$609,"&lt;"&amp;J326)+1,""))</f>
        <v/>
      </c>
      <c r="L326" t="str">
        <f>IFERROR(INDEX(tblY9[Class],ROWS(L$10:L326))&amp;"","")</f>
        <v/>
      </c>
      <c r="M326" t="str">
        <f>IF(L326="","",IF(COUNTIF(L$10:L326,L326)=1,COUNTIF(L$10:L$609,"&lt;"&amp;L326)+1,""))</f>
        <v/>
      </c>
      <c r="N326" t="str">
        <f>IFERROR(INDEX(tblY10[Class],ROWS(N$10:N326))&amp;"","")</f>
        <v/>
      </c>
      <c r="O326" t="str">
        <f>IF(N326="","",IF(COUNTIF(N$10:N326,N326)=1,COUNTIF(N$10:N$609,"&lt;"&amp;N326)+1,""))</f>
        <v/>
      </c>
      <c r="P326" t="str">
        <f>IFERROR(INDEX(tblY11[Class],ROWS(P$10:P326))&amp;"","")</f>
        <v/>
      </c>
      <c r="Q326" t="str">
        <f>IF(P326="","",IF(COUNTIF(P$10:P326,P326)=1,COUNTIF(P$10:P$609,"&lt;"&amp;P326)+1,""))</f>
        <v/>
      </c>
      <c r="BA326" t="str">
        <f>IFERROR(INDEX(wLast,257)&amp;"","")</f>
        <v/>
      </c>
      <c r="BB326" t="str">
        <f>IF(BA326="","",IFERROR(INDEX(wFirst,257)&amp;"",""))</f>
        <v/>
      </c>
      <c r="BC326" t="str">
        <f>IF(BA326="","",IFERROR(INDEX(wClass,257)&amp;"",""))</f>
        <v/>
      </c>
      <c r="BD326" t="str">
        <f>IF(BA326="","",IFERROR(INDEX(wKS2,257)+0,""))</f>
        <v/>
      </c>
      <c r="BE326" t="str">
        <f>IF(BA326="","",IFERROR(INDEX(wTests,257)+0,0))</f>
        <v/>
      </c>
      <c r="BF326" t="str">
        <f>IF(BA326="","",IFERROR(INDEX(wMean,257)+0,""))</f>
        <v/>
      </c>
      <c r="BG326" t="str">
        <f>IF(BA326="","",IFERROR(INDEX(wVs,257)+0,""))</f>
        <v/>
      </c>
      <c r="BH326" t="str">
        <f>IF(OR(BA326="",wLatest=""),"",IFERROR(INDEX(wData,257,MATCH(wLatest&amp;CHAR(10)&amp;"Stanine",wHdr,0))+0,""))</f>
        <v/>
      </c>
      <c r="BI326" t="str">
        <f>IF(BA326="","",IF(AND(ISNUMBER(BG326),N(BE326)&gt;=WlMinTests,BG326&lt;=-WlGap),"Below KS2 starting point",IF(AND(NOT(ISNUMBER(BD326)),ISNUMBER(BF326),N(BE326)&gt;=WlMinTests,BF326&lt;=WlLowMean),"Low results, no KS2 data","")))</f>
        <v/>
      </c>
      <c r="BJ326" t="str">
        <f>IF(BI326="","",IF(BI326="Below KS2 starting point",BG326,100+BF326)+ROW()/1000000)</f>
        <v/>
      </c>
    </row>
    <row r="327">
      <c r="H327" t="str">
        <f>IFERROR(INDEX(tblY7[Class],ROWS(H$10:H327))&amp;"","")</f>
        <v/>
      </c>
      <c r="I327" t="str">
        <f>IF(H327="","",IF(COUNTIF(H$10:H327,H327)=1,COUNTIF(H$10:H$609,"&lt;"&amp;H327)+1,""))</f>
        <v/>
      </c>
      <c r="J327" t="str">
        <f>IFERROR(INDEX(tblY8[Class],ROWS(J$10:J327))&amp;"","")</f>
        <v/>
      </c>
      <c r="K327" t="str">
        <f>IF(J327="","",IF(COUNTIF(J$10:J327,J327)=1,COUNTIF(J$10:J$609,"&lt;"&amp;J327)+1,""))</f>
        <v/>
      </c>
      <c r="L327" t="str">
        <f>IFERROR(INDEX(tblY9[Class],ROWS(L$10:L327))&amp;"","")</f>
        <v/>
      </c>
      <c r="M327" t="str">
        <f>IF(L327="","",IF(COUNTIF(L$10:L327,L327)=1,COUNTIF(L$10:L$609,"&lt;"&amp;L327)+1,""))</f>
        <v/>
      </c>
      <c r="N327" t="str">
        <f>IFERROR(INDEX(tblY10[Class],ROWS(N$10:N327))&amp;"","")</f>
        <v/>
      </c>
      <c r="O327" t="str">
        <f>IF(N327="","",IF(COUNTIF(N$10:N327,N327)=1,COUNTIF(N$10:N$609,"&lt;"&amp;N327)+1,""))</f>
        <v/>
      </c>
      <c r="P327" t="str">
        <f>IFERROR(INDEX(tblY11[Class],ROWS(P$10:P327))&amp;"","")</f>
        <v/>
      </c>
      <c r="Q327" t="str">
        <f>IF(P327="","",IF(COUNTIF(P$10:P327,P327)=1,COUNTIF(P$10:P$609,"&lt;"&amp;P327)+1,""))</f>
        <v/>
      </c>
      <c r="BA327" t="str">
        <f>IFERROR(INDEX(wLast,258)&amp;"","")</f>
        <v/>
      </c>
      <c r="BB327" t="str">
        <f>IF(BA327="","",IFERROR(INDEX(wFirst,258)&amp;"",""))</f>
        <v/>
      </c>
      <c r="BC327" t="str">
        <f>IF(BA327="","",IFERROR(INDEX(wClass,258)&amp;"",""))</f>
        <v/>
      </c>
      <c r="BD327" t="str">
        <f>IF(BA327="","",IFERROR(INDEX(wKS2,258)+0,""))</f>
        <v/>
      </c>
      <c r="BE327" t="str">
        <f>IF(BA327="","",IFERROR(INDEX(wTests,258)+0,0))</f>
        <v/>
      </c>
      <c r="BF327" t="str">
        <f>IF(BA327="","",IFERROR(INDEX(wMean,258)+0,""))</f>
        <v/>
      </c>
      <c r="BG327" t="str">
        <f>IF(BA327="","",IFERROR(INDEX(wVs,258)+0,""))</f>
        <v/>
      </c>
      <c r="BH327" t="str">
        <f>IF(OR(BA327="",wLatest=""),"",IFERROR(INDEX(wData,258,MATCH(wLatest&amp;CHAR(10)&amp;"Stanine",wHdr,0))+0,""))</f>
        <v/>
      </c>
      <c r="BI327" t="str">
        <f>IF(BA327="","",IF(AND(ISNUMBER(BG327),N(BE327)&gt;=WlMinTests,BG327&lt;=-WlGap),"Below KS2 starting point",IF(AND(NOT(ISNUMBER(BD327)),ISNUMBER(BF327),N(BE327)&gt;=WlMinTests,BF327&lt;=WlLowMean),"Low results, no KS2 data","")))</f>
        <v/>
      </c>
      <c r="BJ327" t="str">
        <f>IF(BI327="","",IF(BI327="Below KS2 starting point",BG327,100+BF327)+ROW()/1000000)</f>
        <v/>
      </c>
    </row>
    <row r="328">
      <c r="H328" t="str">
        <f>IFERROR(INDEX(tblY7[Class],ROWS(H$10:H328))&amp;"","")</f>
        <v/>
      </c>
      <c r="I328" t="str">
        <f>IF(H328="","",IF(COUNTIF(H$10:H328,H328)=1,COUNTIF(H$10:H$609,"&lt;"&amp;H328)+1,""))</f>
        <v/>
      </c>
      <c r="J328" t="str">
        <f>IFERROR(INDEX(tblY8[Class],ROWS(J$10:J328))&amp;"","")</f>
        <v/>
      </c>
      <c r="K328" t="str">
        <f>IF(J328="","",IF(COUNTIF(J$10:J328,J328)=1,COUNTIF(J$10:J$609,"&lt;"&amp;J328)+1,""))</f>
        <v/>
      </c>
      <c r="L328" t="str">
        <f>IFERROR(INDEX(tblY9[Class],ROWS(L$10:L328))&amp;"","")</f>
        <v/>
      </c>
      <c r="M328" t="str">
        <f>IF(L328="","",IF(COUNTIF(L$10:L328,L328)=1,COUNTIF(L$10:L$609,"&lt;"&amp;L328)+1,""))</f>
        <v/>
      </c>
      <c r="N328" t="str">
        <f>IFERROR(INDEX(tblY10[Class],ROWS(N$10:N328))&amp;"","")</f>
        <v/>
      </c>
      <c r="O328" t="str">
        <f>IF(N328="","",IF(COUNTIF(N$10:N328,N328)=1,COUNTIF(N$10:N$609,"&lt;"&amp;N328)+1,""))</f>
        <v/>
      </c>
      <c r="P328" t="str">
        <f>IFERROR(INDEX(tblY11[Class],ROWS(P$10:P328))&amp;"","")</f>
        <v/>
      </c>
      <c r="Q328" t="str">
        <f>IF(P328="","",IF(COUNTIF(P$10:P328,P328)=1,COUNTIF(P$10:P$609,"&lt;"&amp;P328)+1,""))</f>
        <v/>
      </c>
      <c r="BA328" t="str">
        <f>IFERROR(INDEX(wLast,259)&amp;"","")</f>
        <v/>
      </c>
      <c r="BB328" t="str">
        <f>IF(BA328="","",IFERROR(INDEX(wFirst,259)&amp;"",""))</f>
        <v/>
      </c>
      <c r="BC328" t="str">
        <f>IF(BA328="","",IFERROR(INDEX(wClass,259)&amp;"",""))</f>
        <v/>
      </c>
      <c r="BD328" t="str">
        <f>IF(BA328="","",IFERROR(INDEX(wKS2,259)+0,""))</f>
        <v/>
      </c>
      <c r="BE328" t="str">
        <f>IF(BA328="","",IFERROR(INDEX(wTests,259)+0,0))</f>
        <v/>
      </c>
      <c r="BF328" t="str">
        <f>IF(BA328="","",IFERROR(INDEX(wMean,259)+0,""))</f>
        <v/>
      </c>
      <c r="BG328" t="str">
        <f>IF(BA328="","",IFERROR(INDEX(wVs,259)+0,""))</f>
        <v/>
      </c>
      <c r="BH328" t="str">
        <f>IF(OR(BA328="",wLatest=""),"",IFERROR(INDEX(wData,259,MATCH(wLatest&amp;CHAR(10)&amp;"Stanine",wHdr,0))+0,""))</f>
        <v/>
      </c>
      <c r="BI328" t="str">
        <f>IF(BA328="","",IF(AND(ISNUMBER(BG328),N(BE328)&gt;=WlMinTests,BG328&lt;=-WlGap),"Below KS2 starting point",IF(AND(NOT(ISNUMBER(BD328)),ISNUMBER(BF328),N(BE328)&gt;=WlMinTests,BF328&lt;=WlLowMean),"Low results, no KS2 data","")))</f>
        <v/>
      </c>
      <c r="BJ328" t="str">
        <f>IF(BI328="","",IF(BI328="Below KS2 starting point",BG328,100+BF328)+ROW()/1000000)</f>
        <v/>
      </c>
    </row>
    <row r="329">
      <c r="H329" t="str">
        <f>IFERROR(INDEX(tblY7[Class],ROWS(H$10:H329))&amp;"","")</f>
        <v/>
      </c>
      <c r="I329" t="str">
        <f>IF(H329="","",IF(COUNTIF(H$10:H329,H329)=1,COUNTIF(H$10:H$609,"&lt;"&amp;H329)+1,""))</f>
        <v/>
      </c>
      <c r="J329" t="str">
        <f>IFERROR(INDEX(tblY8[Class],ROWS(J$10:J329))&amp;"","")</f>
        <v/>
      </c>
      <c r="K329" t="str">
        <f>IF(J329="","",IF(COUNTIF(J$10:J329,J329)=1,COUNTIF(J$10:J$609,"&lt;"&amp;J329)+1,""))</f>
        <v/>
      </c>
      <c r="L329" t="str">
        <f>IFERROR(INDEX(tblY9[Class],ROWS(L$10:L329))&amp;"","")</f>
        <v/>
      </c>
      <c r="M329" t="str">
        <f>IF(L329="","",IF(COUNTIF(L$10:L329,L329)=1,COUNTIF(L$10:L$609,"&lt;"&amp;L329)+1,""))</f>
        <v/>
      </c>
      <c r="N329" t="str">
        <f>IFERROR(INDEX(tblY10[Class],ROWS(N$10:N329))&amp;"","")</f>
        <v/>
      </c>
      <c r="O329" t="str">
        <f>IF(N329="","",IF(COUNTIF(N$10:N329,N329)=1,COUNTIF(N$10:N$609,"&lt;"&amp;N329)+1,""))</f>
        <v/>
      </c>
      <c r="P329" t="str">
        <f>IFERROR(INDEX(tblY11[Class],ROWS(P$10:P329))&amp;"","")</f>
        <v/>
      </c>
      <c r="Q329" t="str">
        <f>IF(P329="","",IF(COUNTIF(P$10:P329,P329)=1,COUNTIF(P$10:P$609,"&lt;"&amp;P329)+1,""))</f>
        <v/>
      </c>
      <c r="BA329" t="str">
        <f>IFERROR(INDEX(wLast,260)&amp;"","")</f>
        <v/>
      </c>
      <c r="BB329" t="str">
        <f>IF(BA329="","",IFERROR(INDEX(wFirst,260)&amp;"",""))</f>
        <v/>
      </c>
      <c r="BC329" t="str">
        <f>IF(BA329="","",IFERROR(INDEX(wClass,260)&amp;"",""))</f>
        <v/>
      </c>
      <c r="BD329" t="str">
        <f>IF(BA329="","",IFERROR(INDEX(wKS2,260)+0,""))</f>
        <v/>
      </c>
      <c r="BE329" t="str">
        <f>IF(BA329="","",IFERROR(INDEX(wTests,260)+0,0))</f>
        <v/>
      </c>
      <c r="BF329" t="str">
        <f>IF(BA329="","",IFERROR(INDEX(wMean,260)+0,""))</f>
        <v/>
      </c>
      <c r="BG329" t="str">
        <f>IF(BA329="","",IFERROR(INDEX(wVs,260)+0,""))</f>
        <v/>
      </c>
      <c r="BH329" t="str">
        <f>IF(OR(BA329="",wLatest=""),"",IFERROR(INDEX(wData,260,MATCH(wLatest&amp;CHAR(10)&amp;"Stanine",wHdr,0))+0,""))</f>
        <v/>
      </c>
      <c r="BI329" t="str">
        <f>IF(BA329="","",IF(AND(ISNUMBER(BG329),N(BE329)&gt;=WlMinTests,BG329&lt;=-WlGap),"Below KS2 starting point",IF(AND(NOT(ISNUMBER(BD329)),ISNUMBER(BF329),N(BE329)&gt;=WlMinTests,BF329&lt;=WlLowMean),"Low results, no KS2 data","")))</f>
        <v/>
      </c>
      <c r="BJ329" t="str">
        <f>IF(BI329="","",IF(BI329="Below KS2 starting point",BG329,100+BF329)+ROW()/1000000)</f>
        <v/>
      </c>
    </row>
    <row r="330">
      <c r="H330" t="str">
        <f>IFERROR(INDEX(tblY7[Class],ROWS(H$10:H330))&amp;"","")</f>
        <v/>
      </c>
      <c r="I330" t="str">
        <f>IF(H330="","",IF(COUNTIF(H$10:H330,H330)=1,COUNTIF(H$10:H$609,"&lt;"&amp;H330)+1,""))</f>
        <v/>
      </c>
      <c r="J330" t="str">
        <f>IFERROR(INDEX(tblY8[Class],ROWS(J$10:J330))&amp;"","")</f>
        <v/>
      </c>
      <c r="K330" t="str">
        <f>IF(J330="","",IF(COUNTIF(J$10:J330,J330)=1,COUNTIF(J$10:J$609,"&lt;"&amp;J330)+1,""))</f>
        <v/>
      </c>
      <c r="L330" t="str">
        <f>IFERROR(INDEX(tblY9[Class],ROWS(L$10:L330))&amp;"","")</f>
        <v/>
      </c>
      <c r="M330" t="str">
        <f>IF(L330="","",IF(COUNTIF(L$10:L330,L330)=1,COUNTIF(L$10:L$609,"&lt;"&amp;L330)+1,""))</f>
        <v/>
      </c>
      <c r="N330" t="str">
        <f>IFERROR(INDEX(tblY10[Class],ROWS(N$10:N330))&amp;"","")</f>
        <v/>
      </c>
      <c r="O330" t="str">
        <f>IF(N330="","",IF(COUNTIF(N$10:N330,N330)=1,COUNTIF(N$10:N$609,"&lt;"&amp;N330)+1,""))</f>
        <v/>
      </c>
      <c r="P330" t="str">
        <f>IFERROR(INDEX(tblY11[Class],ROWS(P$10:P330))&amp;"","")</f>
        <v/>
      </c>
      <c r="Q330" t="str">
        <f>IF(P330="","",IF(COUNTIF(P$10:P330,P330)=1,COUNTIF(P$10:P$609,"&lt;"&amp;P330)+1,""))</f>
        <v/>
      </c>
      <c r="BA330" t="str">
        <f>IFERROR(INDEX(wLast,261)&amp;"","")</f>
        <v/>
      </c>
      <c r="BB330" t="str">
        <f>IF(BA330="","",IFERROR(INDEX(wFirst,261)&amp;"",""))</f>
        <v/>
      </c>
      <c r="BC330" t="str">
        <f>IF(BA330="","",IFERROR(INDEX(wClass,261)&amp;"",""))</f>
        <v/>
      </c>
      <c r="BD330" t="str">
        <f>IF(BA330="","",IFERROR(INDEX(wKS2,261)+0,""))</f>
        <v/>
      </c>
      <c r="BE330" t="str">
        <f>IF(BA330="","",IFERROR(INDEX(wTests,261)+0,0))</f>
        <v/>
      </c>
      <c r="BF330" t="str">
        <f>IF(BA330="","",IFERROR(INDEX(wMean,261)+0,""))</f>
        <v/>
      </c>
      <c r="BG330" t="str">
        <f>IF(BA330="","",IFERROR(INDEX(wVs,261)+0,""))</f>
        <v/>
      </c>
      <c r="BH330" t="str">
        <f>IF(OR(BA330="",wLatest=""),"",IFERROR(INDEX(wData,261,MATCH(wLatest&amp;CHAR(10)&amp;"Stanine",wHdr,0))+0,""))</f>
        <v/>
      </c>
      <c r="BI330" t="str">
        <f>IF(BA330="","",IF(AND(ISNUMBER(BG330),N(BE330)&gt;=WlMinTests,BG330&lt;=-WlGap),"Below KS2 starting point",IF(AND(NOT(ISNUMBER(BD330)),ISNUMBER(BF330),N(BE330)&gt;=WlMinTests,BF330&lt;=WlLowMean),"Low results, no KS2 data","")))</f>
        <v/>
      </c>
      <c r="BJ330" t="str">
        <f>IF(BI330="","",IF(BI330="Below KS2 starting point",BG330,100+BF330)+ROW()/1000000)</f>
        <v/>
      </c>
    </row>
    <row r="331">
      <c r="H331" t="str">
        <f>IFERROR(INDEX(tblY7[Class],ROWS(H$10:H331))&amp;"","")</f>
        <v/>
      </c>
      <c r="I331" t="str">
        <f>IF(H331="","",IF(COUNTIF(H$10:H331,H331)=1,COUNTIF(H$10:H$609,"&lt;"&amp;H331)+1,""))</f>
        <v/>
      </c>
      <c r="J331" t="str">
        <f>IFERROR(INDEX(tblY8[Class],ROWS(J$10:J331))&amp;"","")</f>
        <v/>
      </c>
      <c r="K331" t="str">
        <f>IF(J331="","",IF(COUNTIF(J$10:J331,J331)=1,COUNTIF(J$10:J$609,"&lt;"&amp;J331)+1,""))</f>
        <v/>
      </c>
      <c r="L331" t="str">
        <f>IFERROR(INDEX(tblY9[Class],ROWS(L$10:L331))&amp;"","")</f>
        <v/>
      </c>
      <c r="M331" t="str">
        <f>IF(L331="","",IF(COUNTIF(L$10:L331,L331)=1,COUNTIF(L$10:L$609,"&lt;"&amp;L331)+1,""))</f>
        <v/>
      </c>
      <c r="N331" t="str">
        <f>IFERROR(INDEX(tblY10[Class],ROWS(N$10:N331))&amp;"","")</f>
        <v/>
      </c>
      <c r="O331" t="str">
        <f>IF(N331="","",IF(COUNTIF(N$10:N331,N331)=1,COUNTIF(N$10:N$609,"&lt;"&amp;N331)+1,""))</f>
        <v/>
      </c>
      <c r="P331" t="str">
        <f>IFERROR(INDEX(tblY11[Class],ROWS(P$10:P331))&amp;"","")</f>
        <v/>
      </c>
      <c r="Q331" t="str">
        <f>IF(P331="","",IF(COUNTIF(P$10:P331,P331)=1,COUNTIF(P$10:P$609,"&lt;"&amp;P331)+1,""))</f>
        <v/>
      </c>
      <c r="BA331" t="str">
        <f>IFERROR(INDEX(wLast,262)&amp;"","")</f>
        <v/>
      </c>
      <c r="BB331" t="str">
        <f>IF(BA331="","",IFERROR(INDEX(wFirst,262)&amp;"",""))</f>
        <v/>
      </c>
      <c r="BC331" t="str">
        <f>IF(BA331="","",IFERROR(INDEX(wClass,262)&amp;"",""))</f>
        <v/>
      </c>
      <c r="BD331" t="str">
        <f>IF(BA331="","",IFERROR(INDEX(wKS2,262)+0,""))</f>
        <v/>
      </c>
      <c r="BE331" t="str">
        <f>IF(BA331="","",IFERROR(INDEX(wTests,262)+0,0))</f>
        <v/>
      </c>
      <c r="BF331" t="str">
        <f>IF(BA331="","",IFERROR(INDEX(wMean,262)+0,""))</f>
        <v/>
      </c>
      <c r="BG331" t="str">
        <f>IF(BA331="","",IFERROR(INDEX(wVs,262)+0,""))</f>
        <v/>
      </c>
      <c r="BH331" t="str">
        <f>IF(OR(BA331="",wLatest=""),"",IFERROR(INDEX(wData,262,MATCH(wLatest&amp;CHAR(10)&amp;"Stanine",wHdr,0))+0,""))</f>
        <v/>
      </c>
      <c r="BI331" t="str">
        <f>IF(BA331="","",IF(AND(ISNUMBER(BG331),N(BE331)&gt;=WlMinTests,BG331&lt;=-WlGap),"Below KS2 starting point",IF(AND(NOT(ISNUMBER(BD331)),ISNUMBER(BF331),N(BE331)&gt;=WlMinTests,BF331&lt;=WlLowMean),"Low results, no KS2 data","")))</f>
        <v/>
      </c>
      <c r="BJ331" t="str">
        <f>IF(BI331="","",IF(BI331="Below KS2 starting point",BG331,100+BF331)+ROW()/1000000)</f>
        <v/>
      </c>
    </row>
    <row r="332">
      <c r="H332" t="str">
        <f>IFERROR(INDEX(tblY7[Class],ROWS(H$10:H332))&amp;"","")</f>
        <v/>
      </c>
      <c r="I332" t="str">
        <f>IF(H332="","",IF(COUNTIF(H$10:H332,H332)=1,COUNTIF(H$10:H$609,"&lt;"&amp;H332)+1,""))</f>
        <v/>
      </c>
      <c r="J332" t="str">
        <f>IFERROR(INDEX(tblY8[Class],ROWS(J$10:J332))&amp;"","")</f>
        <v/>
      </c>
      <c r="K332" t="str">
        <f>IF(J332="","",IF(COUNTIF(J$10:J332,J332)=1,COUNTIF(J$10:J$609,"&lt;"&amp;J332)+1,""))</f>
        <v/>
      </c>
      <c r="L332" t="str">
        <f>IFERROR(INDEX(tblY9[Class],ROWS(L$10:L332))&amp;"","")</f>
        <v/>
      </c>
      <c r="M332" t="str">
        <f>IF(L332="","",IF(COUNTIF(L$10:L332,L332)=1,COUNTIF(L$10:L$609,"&lt;"&amp;L332)+1,""))</f>
        <v/>
      </c>
      <c r="N332" t="str">
        <f>IFERROR(INDEX(tblY10[Class],ROWS(N$10:N332))&amp;"","")</f>
        <v/>
      </c>
      <c r="O332" t="str">
        <f>IF(N332="","",IF(COUNTIF(N$10:N332,N332)=1,COUNTIF(N$10:N$609,"&lt;"&amp;N332)+1,""))</f>
        <v/>
      </c>
      <c r="P332" t="str">
        <f>IFERROR(INDEX(tblY11[Class],ROWS(P$10:P332))&amp;"","")</f>
        <v/>
      </c>
      <c r="Q332" t="str">
        <f>IF(P332="","",IF(COUNTIF(P$10:P332,P332)=1,COUNTIF(P$10:P$609,"&lt;"&amp;P332)+1,""))</f>
        <v/>
      </c>
      <c r="BA332" t="str">
        <f>IFERROR(INDEX(wLast,263)&amp;"","")</f>
        <v/>
      </c>
      <c r="BB332" t="str">
        <f>IF(BA332="","",IFERROR(INDEX(wFirst,263)&amp;"",""))</f>
        <v/>
      </c>
      <c r="BC332" t="str">
        <f>IF(BA332="","",IFERROR(INDEX(wClass,263)&amp;"",""))</f>
        <v/>
      </c>
      <c r="BD332" t="str">
        <f>IF(BA332="","",IFERROR(INDEX(wKS2,263)+0,""))</f>
        <v/>
      </c>
      <c r="BE332" t="str">
        <f>IF(BA332="","",IFERROR(INDEX(wTests,263)+0,0))</f>
        <v/>
      </c>
      <c r="BF332" t="str">
        <f>IF(BA332="","",IFERROR(INDEX(wMean,263)+0,""))</f>
        <v/>
      </c>
      <c r="BG332" t="str">
        <f>IF(BA332="","",IFERROR(INDEX(wVs,263)+0,""))</f>
        <v/>
      </c>
      <c r="BH332" t="str">
        <f>IF(OR(BA332="",wLatest=""),"",IFERROR(INDEX(wData,263,MATCH(wLatest&amp;CHAR(10)&amp;"Stanine",wHdr,0))+0,""))</f>
        <v/>
      </c>
      <c r="BI332" t="str">
        <f>IF(BA332="","",IF(AND(ISNUMBER(BG332),N(BE332)&gt;=WlMinTests,BG332&lt;=-WlGap),"Below KS2 starting point",IF(AND(NOT(ISNUMBER(BD332)),ISNUMBER(BF332),N(BE332)&gt;=WlMinTests,BF332&lt;=WlLowMean),"Low results, no KS2 data","")))</f>
        <v/>
      </c>
      <c r="BJ332" t="str">
        <f>IF(BI332="","",IF(BI332="Below KS2 starting point",BG332,100+BF332)+ROW()/1000000)</f>
        <v/>
      </c>
    </row>
    <row r="333">
      <c r="H333" t="str">
        <f>IFERROR(INDEX(tblY7[Class],ROWS(H$10:H333))&amp;"","")</f>
        <v/>
      </c>
      <c r="I333" t="str">
        <f>IF(H333="","",IF(COUNTIF(H$10:H333,H333)=1,COUNTIF(H$10:H$609,"&lt;"&amp;H333)+1,""))</f>
        <v/>
      </c>
      <c r="J333" t="str">
        <f>IFERROR(INDEX(tblY8[Class],ROWS(J$10:J333))&amp;"","")</f>
        <v/>
      </c>
      <c r="K333" t="str">
        <f>IF(J333="","",IF(COUNTIF(J$10:J333,J333)=1,COUNTIF(J$10:J$609,"&lt;"&amp;J333)+1,""))</f>
        <v/>
      </c>
      <c r="L333" t="str">
        <f>IFERROR(INDEX(tblY9[Class],ROWS(L$10:L333))&amp;"","")</f>
        <v/>
      </c>
      <c r="M333" t="str">
        <f>IF(L333="","",IF(COUNTIF(L$10:L333,L333)=1,COUNTIF(L$10:L$609,"&lt;"&amp;L333)+1,""))</f>
        <v/>
      </c>
      <c r="N333" t="str">
        <f>IFERROR(INDEX(tblY10[Class],ROWS(N$10:N333))&amp;"","")</f>
        <v/>
      </c>
      <c r="O333" t="str">
        <f>IF(N333="","",IF(COUNTIF(N$10:N333,N333)=1,COUNTIF(N$10:N$609,"&lt;"&amp;N333)+1,""))</f>
        <v/>
      </c>
      <c r="P333" t="str">
        <f>IFERROR(INDEX(tblY11[Class],ROWS(P$10:P333))&amp;"","")</f>
        <v/>
      </c>
      <c r="Q333" t="str">
        <f>IF(P333="","",IF(COUNTIF(P$10:P333,P333)=1,COUNTIF(P$10:P$609,"&lt;"&amp;P333)+1,""))</f>
        <v/>
      </c>
      <c r="BA333" t="str">
        <f>IFERROR(INDEX(wLast,264)&amp;"","")</f>
        <v/>
      </c>
      <c r="BB333" t="str">
        <f>IF(BA333="","",IFERROR(INDEX(wFirst,264)&amp;"",""))</f>
        <v/>
      </c>
      <c r="BC333" t="str">
        <f>IF(BA333="","",IFERROR(INDEX(wClass,264)&amp;"",""))</f>
        <v/>
      </c>
      <c r="BD333" t="str">
        <f>IF(BA333="","",IFERROR(INDEX(wKS2,264)+0,""))</f>
        <v/>
      </c>
      <c r="BE333" t="str">
        <f>IF(BA333="","",IFERROR(INDEX(wTests,264)+0,0))</f>
        <v/>
      </c>
      <c r="BF333" t="str">
        <f>IF(BA333="","",IFERROR(INDEX(wMean,264)+0,""))</f>
        <v/>
      </c>
      <c r="BG333" t="str">
        <f>IF(BA333="","",IFERROR(INDEX(wVs,264)+0,""))</f>
        <v/>
      </c>
      <c r="BH333" t="str">
        <f>IF(OR(BA333="",wLatest=""),"",IFERROR(INDEX(wData,264,MATCH(wLatest&amp;CHAR(10)&amp;"Stanine",wHdr,0))+0,""))</f>
        <v/>
      </c>
      <c r="BI333" t="str">
        <f>IF(BA333="","",IF(AND(ISNUMBER(BG333),N(BE333)&gt;=WlMinTests,BG333&lt;=-WlGap),"Below KS2 starting point",IF(AND(NOT(ISNUMBER(BD333)),ISNUMBER(BF333),N(BE333)&gt;=WlMinTests,BF333&lt;=WlLowMean),"Low results, no KS2 data","")))</f>
        <v/>
      </c>
      <c r="BJ333" t="str">
        <f>IF(BI333="","",IF(BI333="Below KS2 starting point",BG333,100+BF333)+ROW()/1000000)</f>
        <v/>
      </c>
    </row>
    <row r="334">
      <c r="H334" t="str">
        <f>IFERROR(INDEX(tblY7[Class],ROWS(H$10:H334))&amp;"","")</f>
        <v/>
      </c>
      <c r="I334" t="str">
        <f>IF(H334="","",IF(COUNTIF(H$10:H334,H334)=1,COUNTIF(H$10:H$609,"&lt;"&amp;H334)+1,""))</f>
        <v/>
      </c>
      <c r="J334" t="str">
        <f>IFERROR(INDEX(tblY8[Class],ROWS(J$10:J334))&amp;"","")</f>
        <v/>
      </c>
      <c r="K334" t="str">
        <f>IF(J334="","",IF(COUNTIF(J$10:J334,J334)=1,COUNTIF(J$10:J$609,"&lt;"&amp;J334)+1,""))</f>
        <v/>
      </c>
      <c r="L334" t="str">
        <f>IFERROR(INDEX(tblY9[Class],ROWS(L$10:L334))&amp;"","")</f>
        <v/>
      </c>
      <c r="M334" t="str">
        <f>IF(L334="","",IF(COUNTIF(L$10:L334,L334)=1,COUNTIF(L$10:L$609,"&lt;"&amp;L334)+1,""))</f>
        <v/>
      </c>
      <c r="N334" t="str">
        <f>IFERROR(INDEX(tblY10[Class],ROWS(N$10:N334))&amp;"","")</f>
        <v/>
      </c>
      <c r="O334" t="str">
        <f>IF(N334="","",IF(COUNTIF(N$10:N334,N334)=1,COUNTIF(N$10:N$609,"&lt;"&amp;N334)+1,""))</f>
        <v/>
      </c>
      <c r="P334" t="str">
        <f>IFERROR(INDEX(tblY11[Class],ROWS(P$10:P334))&amp;"","")</f>
        <v/>
      </c>
      <c r="Q334" t="str">
        <f>IF(P334="","",IF(COUNTIF(P$10:P334,P334)=1,COUNTIF(P$10:P$609,"&lt;"&amp;P334)+1,""))</f>
        <v/>
      </c>
      <c r="BA334" t="str">
        <f>IFERROR(INDEX(wLast,265)&amp;"","")</f>
        <v/>
      </c>
      <c r="BB334" t="str">
        <f>IF(BA334="","",IFERROR(INDEX(wFirst,265)&amp;"",""))</f>
        <v/>
      </c>
      <c r="BC334" t="str">
        <f>IF(BA334="","",IFERROR(INDEX(wClass,265)&amp;"",""))</f>
        <v/>
      </c>
      <c r="BD334" t="str">
        <f>IF(BA334="","",IFERROR(INDEX(wKS2,265)+0,""))</f>
        <v/>
      </c>
      <c r="BE334" t="str">
        <f>IF(BA334="","",IFERROR(INDEX(wTests,265)+0,0))</f>
        <v/>
      </c>
      <c r="BF334" t="str">
        <f>IF(BA334="","",IFERROR(INDEX(wMean,265)+0,""))</f>
        <v/>
      </c>
      <c r="BG334" t="str">
        <f>IF(BA334="","",IFERROR(INDEX(wVs,265)+0,""))</f>
        <v/>
      </c>
      <c r="BH334" t="str">
        <f>IF(OR(BA334="",wLatest=""),"",IFERROR(INDEX(wData,265,MATCH(wLatest&amp;CHAR(10)&amp;"Stanine",wHdr,0))+0,""))</f>
        <v/>
      </c>
      <c r="BI334" t="str">
        <f>IF(BA334="","",IF(AND(ISNUMBER(BG334),N(BE334)&gt;=WlMinTests,BG334&lt;=-WlGap),"Below KS2 starting point",IF(AND(NOT(ISNUMBER(BD334)),ISNUMBER(BF334),N(BE334)&gt;=WlMinTests,BF334&lt;=WlLowMean),"Low results, no KS2 data","")))</f>
        <v/>
      </c>
      <c r="BJ334" t="str">
        <f>IF(BI334="","",IF(BI334="Below KS2 starting point",BG334,100+BF334)+ROW()/1000000)</f>
        <v/>
      </c>
    </row>
    <row r="335">
      <c r="H335" t="str">
        <f>IFERROR(INDEX(tblY7[Class],ROWS(H$10:H335))&amp;"","")</f>
        <v/>
      </c>
      <c r="I335" t="str">
        <f>IF(H335="","",IF(COUNTIF(H$10:H335,H335)=1,COUNTIF(H$10:H$609,"&lt;"&amp;H335)+1,""))</f>
        <v/>
      </c>
      <c r="J335" t="str">
        <f>IFERROR(INDEX(tblY8[Class],ROWS(J$10:J335))&amp;"","")</f>
        <v/>
      </c>
      <c r="K335" t="str">
        <f>IF(J335="","",IF(COUNTIF(J$10:J335,J335)=1,COUNTIF(J$10:J$609,"&lt;"&amp;J335)+1,""))</f>
        <v/>
      </c>
      <c r="L335" t="str">
        <f>IFERROR(INDEX(tblY9[Class],ROWS(L$10:L335))&amp;"","")</f>
        <v/>
      </c>
      <c r="M335" t="str">
        <f>IF(L335="","",IF(COUNTIF(L$10:L335,L335)=1,COUNTIF(L$10:L$609,"&lt;"&amp;L335)+1,""))</f>
        <v/>
      </c>
      <c r="N335" t="str">
        <f>IFERROR(INDEX(tblY10[Class],ROWS(N$10:N335))&amp;"","")</f>
        <v/>
      </c>
      <c r="O335" t="str">
        <f>IF(N335="","",IF(COUNTIF(N$10:N335,N335)=1,COUNTIF(N$10:N$609,"&lt;"&amp;N335)+1,""))</f>
        <v/>
      </c>
      <c r="P335" t="str">
        <f>IFERROR(INDEX(tblY11[Class],ROWS(P$10:P335))&amp;"","")</f>
        <v/>
      </c>
      <c r="Q335" t="str">
        <f>IF(P335="","",IF(COUNTIF(P$10:P335,P335)=1,COUNTIF(P$10:P$609,"&lt;"&amp;P335)+1,""))</f>
        <v/>
      </c>
      <c r="BA335" t="str">
        <f>IFERROR(INDEX(wLast,266)&amp;"","")</f>
        <v/>
      </c>
      <c r="BB335" t="str">
        <f>IF(BA335="","",IFERROR(INDEX(wFirst,266)&amp;"",""))</f>
        <v/>
      </c>
      <c r="BC335" t="str">
        <f>IF(BA335="","",IFERROR(INDEX(wClass,266)&amp;"",""))</f>
        <v/>
      </c>
      <c r="BD335" t="str">
        <f>IF(BA335="","",IFERROR(INDEX(wKS2,266)+0,""))</f>
        <v/>
      </c>
      <c r="BE335" t="str">
        <f>IF(BA335="","",IFERROR(INDEX(wTests,266)+0,0))</f>
        <v/>
      </c>
      <c r="BF335" t="str">
        <f>IF(BA335="","",IFERROR(INDEX(wMean,266)+0,""))</f>
        <v/>
      </c>
      <c r="BG335" t="str">
        <f>IF(BA335="","",IFERROR(INDEX(wVs,266)+0,""))</f>
        <v/>
      </c>
      <c r="BH335" t="str">
        <f>IF(OR(BA335="",wLatest=""),"",IFERROR(INDEX(wData,266,MATCH(wLatest&amp;CHAR(10)&amp;"Stanine",wHdr,0))+0,""))</f>
        <v/>
      </c>
      <c r="BI335" t="str">
        <f>IF(BA335="","",IF(AND(ISNUMBER(BG335),N(BE335)&gt;=WlMinTests,BG335&lt;=-WlGap),"Below KS2 starting point",IF(AND(NOT(ISNUMBER(BD335)),ISNUMBER(BF335),N(BE335)&gt;=WlMinTests,BF335&lt;=WlLowMean),"Low results, no KS2 data","")))</f>
        <v/>
      </c>
      <c r="BJ335" t="str">
        <f>IF(BI335="","",IF(BI335="Below KS2 starting point",BG335,100+BF335)+ROW()/1000000)</f>
        <v/>
      </c>
    </row>
    <row r="336">
      <c r="H336" t="str">
        <f>IFERROR(INDEX(tblY7[Class],ROWS(H$10:H336))&amp;"","")</f>
        <v/>
      </c>
      <c r="I336" t="str">
        <f>IF(H336="","",IF(COUNTIF(H$10:H336,H336)=1,COUNTIF(H$10:H$609,"&lt;"&amp;H336)+1,""))</f>
        <v/>
      </c>
      <c r="J336" t="str">
        <f>IFERROR(INDEX(tblY8[Class],ROWS(J$10:J336))&amp;"","")</f>
        <v/>
      </c>
      <c r="K336" t="str">
        <f>IF(J336="","",IF(COUNTIF(J$10:J336,J336)=1,COUNTIF(J$10:J$609,"&lt;"&amp;J336)+1,""))</f>
        <v/>
      </c>
      <c r="L336" t="str">
        <f>IFERROR(INDEX(tblY9[Class],ROWS(L$10:L336))&amp;"","")</f>
        <v/>
      </c>
      <c r="M336" t="str">
        <f>IF(L336="","",IF(COUNTIF(L$10:L336,L336)=1,COUNTIF(L$10:L$609,"&lt;"&amp;L336)+1,""))</f>
        <v/>
      </c>
      <c r="N336" t="str">
        <f>IFERROR(INDEX(tblY10[Class],ROWS(N$10:N336))&amp;"","")</f>
        <v/>
      </c>
      <c r="O336" t="str">
        <f>IF(N336="","",IF(COUNTIF(N$10:N336,N336)=1,COUNTIF(N$10:N$609,"&lt;"&amp;N336)+1,""))</f>
        <v/>
      </c>
      <c r="P336" t="str">
        <f>IFERROR(INDEX(tblY11[Class],ROWS(P$10:P336))&amp;"","")</f>
        <v/>
      </c>
      <c r="Q336" t="str">
        <f>IF(P336="","",IF(COUNTIF(P$10:P336,P336)=1,COUNTIF(P$10:P$609,"&lt;"&amp;P336)+1,""))</f>
        <v/>
      </c>
      <c r="BA336" t="str">
        <f>IFERROR(INDEX(wLast,267)&amp;"","")</f>
        <v/>
      </c>
      <c r="BB336" t="str">
        <f>IF(BA336="","",IFERROR(INDEX(wFirst,267)&amp;"",""))</f>
        <v/>
      </c>
      <c r="BC336" t="str">
        <f>IF(BA336="","",IFERROR(INDEX(wClass,267)&amp;"",""))</f>
        <v/>
      </c>
      <c r="BD336" t="str">
        <f>IF(BA336="","",IFERROR(INDEX(wKS2,267)+0,""))</f>
        <v/>
      </c>
      <c r="BE336" t="str">
        <f>IF(BA336="","",IFERROR(INDEX(wTests,267)+0,0))</f>
        <v/>
      </c>
      <c r="BF336" t="str">
        <f>IF(BA336="","",IFERROR(INDEX(wMean,267)+0,""))</f>
        <v/>
      </c>
      <c r="BG336" t="str">
        <f>IF(BA336="","",IFERROR(INDEX(wVs,267)+0,""))</f>
        <v/>
      </c>
      <c r="BH336" t="str">
        <f>IF(OR(BA336="",wLatest=""),"",IFERROR(INDEX(wData,267,MATCH(wLatest&amp;CHAR(10)&amp;"Stanine",wHdr,0))+0,""))</f>
        <v/>
      </c>
      <c r="BI336" t="str">
        <f>IF(BA336="","",IF(AND(ISNUMBER(BG336),N(BE336)&gt;=WlMinTests,BG336&lt;=-WlGap),"Below KS2 starting point",IF(AND(NOT(ISNUMBER(BD336)),ISNUMBER(BF336),N(BE336)&gt;=WlMinTests,BF336&lt;=WlLowMean),"Low results, no KS2 data","")))</f>
        <v/>
      </c>
      <c r="BJ336" t="str">
        <f>IF(BI336="","",IF(BI336="Below KS2 starting point",BG336,100+BF336)+ROW()/1000000)</f>
        <v/>
      </c>
    </row>
    <row r="337">
      <c r="H337" t="str">
        <f>IFERROR(INDEX(tblY7[Class],ROWS(H$10:H337))&amp;"","")</f>
        <v/>
      </c>
      <c r="I337" t="str">
        <f>IF(H337="","",IF(COUNTIF(H$10:H337,H337)=1,COUNTIF(H$10:H$609,"&lt;"&amp;H337)+1,""))</f>
        <v/>
      </c>
      <c r="J337" t="str">
        <f>IFERROR(INDEX(tblY8[Class],ROWS(J$10:J337))&amp;"","")</f>
        <v/>
      </c>
      <c r="K337" t="str">
        <f>IF(J337="","",IF(COUNTIF(J$10:J337,J337)=1,COUNTIF(J$10:J$609,"&lt;"&amp;J337)+1,""))</f>
        <v/>
      </c>
      <c r="L337" t="str">
        <f>IFERROR(INDEX(tblY9[Class],ROWS(L$10:L337))&amp;"","")</f>
        <v/>
      </c>
      <c r="M337" t="str">
        <f>IF(L337="","",IF(COUNTIF(L$10:L337,L337)=1,COUNTIF(L$10:L$609,"&lt;"&amp;L337)+1,""))</f>
        <v/>
      </c>
      <c r="N337" t="str">
        <f>IFERROR(INDEX(tblY10[Class],ROWS(N$10:N337))&amp;"","")</f>
        <v/>
      </c>
      <c r="O337" t="str">
        <f>IF(N337="","",IF(COUNTIF(N$10:N337,N337)=1,COUNTIF(N$10:N$609,"&lt;"&amp;N337)+1,""))</f>
        <v/>
      </c>
      <c r="P337" t="str">
        <f>IFERROR(INDEX(tblY11[Class],ROWS(P$10:P337))&amp;"","")</f>
        <v/>
      </c>
      <c r="Q337" t="str">
        <f>IF(P337="","",IF(COUNTIF(P$10:P337,P337)=1,COUNTIF(P$10:P$609,"&lt;"&amp;P337)+1,""))</f>
        <v/>
      </c>
      <c r="BA337" t="str">
        <f>IFERROR(INDEX(wLast,268)&amp;"","")</f>
        <v/>
      </c>
      <c r="BB337" t="str">
        <f>IF(BA337="","",IFERROR(INDEX(wFirst,268)&amp;"",""))</f>
        <v/>
      </c>
      <c r="BC337" t="str">
        <f>IF(BA337="","",IFERROR(INDEX(wClass,268)&amp;"",""))</f>
        <v/>
      </c>
      <c r="BD337" t="str">
        <f>IF(BA337="","",IFERROR(INDEX(wKS2,268)+0,""))</f>
        <v/>
      </c>
      <c r="BE337" t="str">
        <f>IF(BA337="","",IFERROR(INDEX(wTests,268)+0,0))</f>
        <v/>
      </c>
      <c r="BF337" t="str">
        <f>IF(BA337="","",IFERROR(INDEX(wMean,268)+0,""))</f>
        <v/>
      </c>
      <c r="BG337" t="str">
        <f>IF(BA337="","",IFERROR(INDEX(wVs,268)+0,""))</f>
        <v/>
      </c>
      <c r="BH337" t="str">
        <f>IF(OR(BA337="",wLatest=""),"",IFERROR(INDEX(wData,268,MATCH(wLatest&amp;CHAR(10)&amp;"Stanine",wHdr,0))+0,""))</f>
        <v/>
      </c>
      <c r="BI337" t="str">
        <f>IF(BA337="","",IF(AND(ISNUMBER(BG337),N(BE337)&gt;=WlMinTests,BG337&lt;=-WlGap),"Below KS2 starting point",IF(AND(NOT(ISNUMBER(BD337)),ISNUMBER(BF337),N(BE337)&gt;=WlMinTests,BF337&lt;=WlLowMean),"Low results, no KS2 data","")))</f>
        <v/>
      </c>
      <c r="BJ337" t="str">
        <f>IF(BI337="","",IF(BI337="Below KS2 starting point",BG337,100+BF337)+ROW()/1000000)</f>
        <v/>
      </c>
    </row>
    <row r="338">
      <c r="H338" t="str">
        <f>IFERROR(INDEX(tblY7[Class],ROWS(H$10:H338))&amp;"","")</f>
        <v/>
      </c>
      <c r="I338" t="str">
        <f>IF(H338="","",IF(COUNTIF(H$10:H338,H338)=1,COUNTIF(H$10:H$609,"&lt;"&amp;H338)+1,""))</f>
        <v/>
      </c>
      <c r="J338" t="str">
        <f>IFERROR(INDEX(tblY8[Class],ROWS(J$10:J338))&amp;"","")</f>
        <v/>
      </c>
      <c r="K338" t="str">
        <f>IF(J338="","",IF(COUNTIF(J$10:J338,J338)=1,COUNTIF(J$10:J$609,"&lt;"&amp;J338)+1,""))</f>
        <v/>
      </c>
      <c r="L338" t="str">
        <f>IFERROR(INDEX(tblY9[Class],ROWS(L$10:L338))&amp;"","")</f>
        <v/>
      </c>
      <c r="M338" t="str">
        <f>IF(L338="","",IF(COUNTIF(L$10:L338,L338)=1,COUNTIF(L$10:L$609,"&lt;"&amp;L338)+1,""))</f>
        <v/>
      </c>
      <c r="N338" t="str">
        <f>IFERROR(INDEX(tblY10[Class],ROWS(N$10:N338))&amp;"","")</f>
        <v/>
      </c>
      <c r="O338" t="str">
        <f>IF(N338="","",IF(COUNTIF(N$10:N338,N338)=1,COUNTIF(N$10:N$609,"&lt;"&amp;N338)+1,""))</f>
        <v/>
      </c>
      <c r="P338" t="str">
        <f>IFERROR(INDEX(tblY11[Class],ROWS(P$10:P338))&amp;"","")</f>
        <v/>
      </c>
      <c r="Q338" t="str">
        <f>IF(P338="","",IF(COUNTIF(P$10:P338,P338)=1,COUNTIF(P$10:P$609,"&lt;"&amp;P338)+1,""))</f>
        <v/>
      </c>
      <c r="BA338" t="str">
        <f>IFERROR(INDEX(wLast,269)&amp;"","")</f>
        <v/>
      </c>
      <c r="BB338" t="str">
        <f>IF(BA338="","",IFERROR(INDEX(wFirst,269)&amp;"",""))</f>
        <v/>
      </c>
      <c r="BC338" t="str">
        <f>IF(BA338="","",IFERROR(INDEX(wClass,269)&amp;"",""))</f>
        <v/>
      </c>
      <c r="BD338" t="str">
        <f>IF(BA338="","",IFERROR(INDEX(wKS2,269)+0,""))</f>
        <v/>
      </c>
      <c r="BE338" t="str">
        <f>IF(BA338="","",IFERROR(INDEX(wTests,269)+0,0))</f>
        <v/>
      </c>
      <c r="BF338" t="str">
        <f>IF(BA338="","",IFERROR(INDEX(wMean,269)+0,""))</f>
        <v/>
      </c>
      <c r="BG338" t="str">
        <f>IF(BA338="","",IFERROR(INDEX(wVs,269)+0,""))</f>
        <v/>
      </c>
      <c r="BH338" t="str">
        <f>IF(OR(BA338="",wLatest=""),"",IFERROR(INDEX(wData,269,MATCH(wLatest&amp;CHAR(10)&amp;"Stanine",wHdr,0))+0,""))</f>
        <v/>
      </c>
      <c r="BI338" t="str">
        <f>IF(BA338="","",IF(AND(ISNUMBER(BG338),N(BE338)&gt;=WlMinTests,BG338&lt;=-WlGap),"Below KS2 starting point",IF(AND(NOT(ISNUMBER(BD338)),ISNUMBER(BF338),N(BE338)&gt;=WlMinTests,BF338&lt;=WlLowMean),"Low results, no KS2 data","")))</f>
        <v/>
      </c>
      <c r="BJ338" t="str">
        <f>IF(BI338="","",IF(BI338="Below KS2 starting point",BG338,100+BF338)+ROW()/1000000)</f>
        <v/>
      </c>
    </row>
    <row r="339">
      <c r="H339" t="str">
        <f>IFERROR(INDEX(tblY7[Class],ROWS(H$10:H339))&amp;"","")</f>
        <v/>
      </c>
      <c r="I339" t="str">
        <f>IF(H339="","",IF(COUNTIF(H$10:H339,H339)=1,COUNTIF(H$10:H$609,"&lt;"&amp;H339)+1,""))</f>
        <v/>
      </c>
      <c r="J339" t="str">
        <f>IFERROR(INDEX(tblY8[Class],ROWS(J$10:J339))&amp;"","")</f>
        <v/>
      </c>
      <c r="K339" t="str">
        <f>IF(J339="","",IF(COUNTIF(J$10:J339,J339)=1,COUNTIF(J$10:J$609,"&lt;"&amp;J339)+1,""))</f>
        <v/>
      </c>
      <c r="L339" t="str">
        <f>IFERROR(INDEX(tblY9[Class],ROWS(L$10:L339))&amp;"","")</f>
        <v/>
      </c>
      <c r="M339" t="str">
        <f>IF(L339="","",IF(COUNTIF(L$10:L339,L339)=1,COUNTIF(L$10:L$609,"&lt;"&amp;L339)+1,""))</f>
        <v/>
      </c>
      <c r="N339" t="str">
        <f>IFERROR(INDEX(tblY10[Class],ROWS(N$10:N339))&amp;"","")</f>
        <v/>
      </c>
      <c r="O339" t="str">
        <f>IF(N339="","",IF(COUNTIF(N$10:N339,N339)=1,COUNTIF(N$10:N$609,"&lt;"&amp;N339)+1,""))</f>
        <v/>
      </c>
      <c r="P339" t="str">
        <f>IFERROR(INDEX(tblY11[Class],ROWS(P$10:P339))&amp;"","")</f>
        <v/>
      </c>
      <c r="Q339" t="str">
        <f>IF(P339="","",IF(COUNTIF(P$10:P339,P339)=1,COUNTIF(P$10:P$609,"&lt;"&amp;P339)+1,""))</f>
        <v/>
      </c>
      <c r="BA339" t="str">
        <f>IFERROR(INDEX(wLast,270)&amp;"","")</f>
        <v/>
      </c>
      <c r="BB339" t="str">
        <f>IF(BA339="","",IFERROR(INDEX(wFirst,270)&amp;"",""))</f>
        <v/>
      </c>
      <c r="BC339" t="str">
        <f>IF(BA339="","",IFERROR(INDEX(wClass,270)&amp;"",""))</f>
        <v/>
      </c>
      <c r="BD339" t="str">
        <f>IF(BA339="","",IFERROR(INDEX(wKS2,270)+0,""))</f>
        <v/>
      </c>
      <c r="BE339" t="str">
        <f>IF(BA339="","",IFERROR(INDEX(wTests,270)+0,0))</f>
        <v/>
      </c>
      <c r="BF339" t="str">
        <f>IF(BA339="","",IFERROR(INDEX(wMean,270)+0,""))</f>
        <v/>
      </c>
      <c r="BG339" t="str">
        <f>IF(BA339="","",IFERROR(INDEX(wVs,270)+0,""))</f>
        <v/>
      </c>
      <c r="BH339" t="str">
        <f>IF(OR(BA339="",wLatest=""),"",IFERROR(INDEX(wData,270,MATCH(wLatest&amp;CHAR(10)&amp;"Stanine",wHdr,0))+0,""))</f>
        <v/>
      </c>
      <c r="BI339" t="str">
        <f>IF(BA339="","",IF(AND(ISNUMBER(BG339),N(BE339)&gt;=WlMinTests,BG339&lt;=-WlGap),"Below KS2 starting point",IF(AND(NOT(ISNUMBER(BD339)),ISNUMBER(BF339),N(BE339)&gt;=WlMinTests,BF339&lt;=WlLowMean),"Low results, no KS2 data","")))</f>
        <v/>
      </c>
      <c r="BJ339" t="str">
        <f>IF(BI339="","",IF(BI339="Below KS2 starting point",BG339,100+BF339)+ROW()/1000000)</f>
        <v/>
      </c>
    </row>
    <row r="340">
      <c r="H340" t="str">
        <f>IFERROR(INDEX(tblY7[Class],ROWS(H$10:H340))&amp;"","")</f>
        <v/>
      </c>
      <c r="I340" t="str">
        <f>IF(H340="","",IF(COUNTIF(H$10:H340,H340)=1,COUNTIF(H$10:H$609,"&lt;"&amp;H340)+1,""))</f>
        <v/>
      </c>
      <c r="J340" t="str">
        <f>IFERROR(INDEX(tblY8[Class],ROWS(J$10:J340))&amp;"","")</f>
        <v/>
      </c>
      <c r="K340" t="str">
        <f>IF(J340="","",IF(COUNTIF(J$10:J340,J340)=1,COUNTIF(J$10:J$609,"&lt;"&amp;J340)+1,""))</f>
        <v/>
      </c>
      <c r="L340" t="str">
        <f>IFERROR(INDEX(tblY9[Class],ROWS(L$10:L340))&amp;"","")</f>
        <v/>
      </c>
      <c r="M340" t="str">
        <f>IF(L340="","",IF(COUNTIF(L$10:L340,L340)=1,COUNTIF(L$10:L$609,"&lt;"&amp;L340)+1,""))</f>
        <v/>
      </c>
      <c r="N340" t="str">
        <f>IFERROR(INDEX(tblY10[Class],ROWS(N$10:N340))&amp;"","")</f>
        <v/>
      </c>
      <c r="O340" t="str">
        <f>IF(N340="","",IF(COUNTIF(N$10:N340,N340)=1,COUNTIF(N$10:N$609,"&lt;"&amp;N340)+1,""))</f>
        <v/>
      </c>
      <c r="P340" t="str">
        <f>IFERROR(INDEX(tblY11[Class],ROWS(P$10:P340))&amp;"","")</f>
        <v/>
      </c>
      <c r="Q340" t="str">
        <f>IF(P340="","",IF(COUNTIF(P$10:P340,P340)=1,COUNTIF(P$10:P$609,"&lt;"&amp;P340)+1,""))</f>
        <v/>
      </c>
      <c r="BA340" t="str">
        <f>IFERROR(INDEX(wLast,271)&amp;"","")</f>
        <v/>
      </c>
      <c r="BB340" t="str">
        <f>IF(BA340="","",IFERROR(INDEX(wFirst,271)&amp;"",""))</f>
        <v/>
      </c>
      <c r="BC340" t="str">
        <f>IF(BA340="","",IFERROR(INDEX(wClass,271)&amp;"",""))</f>
        <v/>
      </c>
      <c r="BD340" t="str">
        <f>IF(BA340="","",IFERROR(INDEX(wKS2,271)+0,""))</f>
        <v/>
      </c>
      <c r="BE340" t="str">
        <f>IF(BA340="","",IFERROR(INDEX(wTests,271)+0,0))</f>
        <v/>
      </c>
      <c r="BF340" t="str">
        <f>IF(BA340="","",IFERROR(INDEX(wMean,271)+0,""))</f>
        <v/>
      </c>
      <c r="BG340" t="str">
        <f>IF(BA340="","",IFERROR(INDEX(wVs,271)+0,""))</f>
        <v/>
      </c>
      <c r="BH340" t="str">
        <f>IF(OR(BA340="",wLatest=""),"",IFERROR(INDEX(wData,271,MATCH(wLatest&amp;CHAR(10)&amp;"Stanine",wHdr,0))+0,""))</f>
        <v/>
      </c>
      <c r="BI340" t="str">
        <f>IF(BA340="","",IF(AND(ISNUMBER(BG340),N(BE340)&gt;=WlMinTests,BG340&lt;=-WlGap),"Below KS2 starting point",IF(AND(NOT(ISNUMBER(BD340)),ISNUMBER(BF340),N(BE340)&gt;=WlMinTests,BF340&lt;=WlLowMean),"Low results, no KS2 data","")))</f>
        <v/>
      </c>
      <c r="BJ340" t="str">
        <f>IF(BI340="","",IF(BI340="Below KS2 starting point",BG340,100+BF340)+ROW()/1000000)</f>
        <v/>
      </c>
    </row>
    <row r="341">
      <c r="H341" t="str">
        <f>IFERROR(INDEX(tblY7[Class],ROWS(H$10:H341))&amp;"","")</f>
        <v/>
      </c>
      <c r="I341" t="str">
        <f>IF(H341="","",IF(COUNTIF(H$10:H341,H341)=1,COUNTIF(H$10:H$609,"&lt;"&amp;H341)+1,""))</f>
        <v/>
      </c>
      <c r="J341" t="str">
        <f>IFERROR(INDEX(tblY8[Class],ROWS(J$10:J341))&amp;"","")</f>
        <v/>
      </c>
      <c r="K341" t="str">
        <f>IF(J341="","",IF(COUNTIF(J$10:J341,J341)=1,COUNTIF(J$10:J$609,"&lt;"&amp;J341)+1,""))</f>
        <v/>
      </c>
      <c r="L341" t="str">
        <f>IFERROR(INDEX(tblY9[Class],ROWS(L$10:L341))&amp;"","")</f>
        <v/>
      </c>
      <c r="M341" t="str">
        <f>IF(L341="","",IF(COUNTIF(L$10:L341,L341)=1,COUNTIF(L$10:L$609,"&lt;"&amp;L341)+1,""))</f>
        <v/>
      </c>
      <c r="N341" t="str">
        <f>IFERROR(INDEX(tblY10[Class],ROWS(N$10:N341))&amp;"","")</f>
        <v/>
      </c>
      <c r="O341" t="str">
        <f>IF(N341="","",IF(COUNTIF(N$10:N341,N341)=1,COUNTIF(N$10:N$609,"&lt;"&amp;N341)+1,""))</f>
        <v/>
      </c>
      <c r="P341" t="str">
        <f>IFERROR(INDEX(tblY11[Class],ROWS(P$10:P341))&amp;"","")</f>
        <v/>
      </c>
      <c r="Q341" t="str">
        <f>IF(P341="","",IF(COUNTIF(P$10:P341,P341)=1,COUNTIF(P$10:P$609,"&lt;"&amp;P341)+1,""))</f>
        <v/>
      </c>
      <c r="BA341" t="str">
        <f>IFERROR(INDEX(wLast,272)&amp;"","")</f>
        <v/>
      </c>
      <c r="BB341" t="str">
        <f>IF(BA341="","",IFERROR(INDEX(wFirst,272)&amp;"",""))</f>
        <v/>
      </c>
      <c r="BC341" t="str">
        <f>IF(BA341="","",IFERROR(INDEX(wClass,272)&amp;"",""))</f>
        <v/>
      </c>
      <c r="BD341" t="str">
        <f>IF(BA341="","",IFERROR(INDEX(wKS2,272)+0,""))</f>
        <v/>
      </c>
      <c r="BE341" t="str">
        <f>IF(BA341="","",IFERROR(INDEX(wTests,272)+0,0))</f>
        <v/>
      </c>
      <c r="BF341" t="str">
        <f>IF(BA341="","",IFERROR(INDEX(wMean,272)+0,""))</f>
        <v/>
      </c>
      <c r="BG341" t="str">
        <f>IF(BA341="","",IFERROR(INDEX(wVs,272)+0,""))</f>
        <v/>
      </c>
      <c r="BH341" t="str">
        <f>IF(OR(BA341="",wLatest=""),"",IFERROR(INDEX(wData,272,MATCH(wLatest&amp;CHAR(10)&amp;"Stanine",wHdr,0))+0,""))</f>
        <v/>
      </c>
      <c r="BI341" t="str">
        <f>IF(BA341="","",IF(AND(ISNUMBER(BG341),N(BE341)&gt;=WlMinTests,BG341&lt;=-WlGap),"Below KS2 starting point",IF(AND(NOT(ISNUMBER(BD341)),ISNUMBER(BF341),N(BE341)&gt;=WlMinTests,BF341&lt;=WlLowMean),"Low results, no KS2 data","")))</f>
        <v/>
      </c>
      <c r="BJ341" t="str">
        <f>IF(BI341="","",IF(BI341="Below KS2 starting point",BG341,100+BF341)+ROW()/1000000)</f>
        <v/>
      </c>
    </row>
    <row r="342">
      <c r="H342" t="str">
        <f>IFERROR(INDEX(tblY7[Class],ROWS(H$10:H342))&amp;"","")</f>
        <v/>
      </c>
      <c r="I342" t="str">
        <f>IF(H342="","",IF(COUNTIF(H$10:H342,H342)=1,COUNTIF(H$10:H$609,"&lt;"&amp;H342)+1,""))</f>
        <v/>
      </c>
      <c r="J342" t="str">
        <f>IFERROR(INDEX(tblY8[Class],ROWS(J$10:J342))&amp;"","")</f>
        <v/>
      </c>
      <c r="K342" t="str">
        <f>IF(J342="","",IF(COUNTIF(J$10:J342,J342)=1,COUNTIF(J$10:J$609,"&lt;"&amp;J342)+1,""))</f>
        <v/>
      </c>
      <c r="L342" t="str">
        <f>IFERROR(INDEX(tblY9[Class],ROWS(L$10:L342))&amp;"","")</f>
        <v/>
      </c>
      <c r="M342" t="str">
        <f>IF(L342="","",IF(COUNTIF(L$10:L342,L342)=1,COUNTIF(L$10:L$609,"&lt;"&amp;L342)+1,""))</f>
        <v/>
      </c>
      <c r="N342" t="str">
        <f>IFERROR(INDEX(tblY10[Class],ROWS(N$10:N342))&amp;"","")</f>
        <v/>
      </c>
      <c r="O342" t="str">
        <f>IF(N342="","",IF(COUNTIF(N$10:N342,N342)=1,COUNTIF(N$10:N$609,"&lt;"&amp;N342)+1,""))</f>
        <v/>
      </c>
      <c r="P342" t="str">
        <f>IFERROR(INDEX(tblY11[Class],ROWS(P$10:P342))&amp;"","")</f>
        <v/>
      </c>
      <c r="Q342" t="str">
        <f>IF(P342="","",IF(COUNTIF(P$10:P342,P342)=1,COUNTIF(P$10:P$609,"&lt;"&amp;P342)+1,""))</f>
        <v/>
      </c>
      <c r="BA342" t="str">
        <f>IFERROR(INDEX(wLast,273)&amp;"","")</f>
        <v/>
      </c>
      <c r="BB342" t="str">
        <f>IF(BA342="","",IFERROR(INDEX(wFirst,273)&amp;"",""))</f>
        <v/>
      </c>
      <c r="BC342" t="str">
        <f>IF(BA342="","",IFERROR(INDEX(wClass,273)&amp;"",""))</f>
        <v/>
      </c>
      <c r="BD342" t="str">
        <f>IF(BA342="","",IFERROR(INDEX(wKS2,273)+0,""))</f>
        <v/>
      </c>
      <c r="BE342" t="str">
        <f>IF(BA342="","",IFERROR(INDEX(wTests,273)+0,0))</f>
        <v/>
      </c>
      <c r="BF342" t="str">
        <f>IF(BA342="","",IFERROR(INDEX(wMean,273)+0,""))</f>
        <v/>
      </c>
      <c r="BG342" t="str">
        <f>IF(BA342="","",IFERROR(INDEX(wVs,273)+0,""))</f>
        <v/>
      </c>
      <c r="BH342" t="str">
        <f>IF(OR(BA342="",wLatest=""),"",IFERROR(INDEX(wData,273,MATCH(wLatest&amp;CHAR(10)&amp;"Stanine",wHdr,0))+0,""))</f>
        <v/>
      </c>
      <c r="BI342" t="str">
        <f>IF(BA342="","",IF(AND(ISNUMBER(BG342),N(BE342)&gt;=WlMinTests,BG342&lt;=-WlGap),"Below KS2 starting point",IF(AND(NOT(ISNUMBER(BD342)),ISNUMBER(BF342),N(BE342)&gt;=WlMinTests,BF342&lt;=WlLowMean),"Low results, no KS2 data","")))</f>
        <v/>
      </c>
      <c r="BJ342" t="str">
        <f>IF(BI342="","",IF(BI342="Below KS2 starting point",BG342,100+BF342)+ROW()/1000000)</f>
        <v/>
      </c>
    </row>
    <row r="343">
      <c r="H343" t="str">
        <f>IFERROR(INDEX(tblY7[Class],ROWS(H$10:H343))&amp;"","")</f>
        <v/>
      </c>
      <c r="I343" t="str">
        <f>IF(H343="","",IF(COUNTIF(H$10:H343,H343)=1,COUNTIF(H$10:H$609,"&lt;"&amp;H343)+1,""))</f>
        <v/>
      </c>
      <c r="J343" t="str">
        <f>IFERROR(INDEX(tblY8[Class],ROWS(J$10:J343))&amp;"","")</f>
        <v/>
      </c>
      <c r="K343" t="str">
        <f>IF(J343="","",IF(COUNTIF(J$10:J343,J343)=1,COUNTIF(J$10:J$609,"&lt;"&amp;J343)+1,""))</f>
        <v/>
      </c>
      <c r="L343" t="str">
        <f>IFERROR(INDEX(tblY9[Class],ROWS(L$10:L343))&amp;"","")</f>
        <v/>
      </c>
      <c r="M343" t="str">
        <f>IF(L343="","",IF(COUNTIF(L$10:L343,L343)=1,COUNTIF(L$10:L$609,"&lt;"&amp;L343)+1,""))</f>
        <v/>
      </c>
      <c r="N343" t="str">
        <f>IFERROR(INDEX(tblY10[Class],ROWS(N$10:N343))&amp;"","")</f>
        <v/>
      </c>
      <c r="O343" t="str">
        <f>IF(N343="","",IF(COUNTIF(N$10:N343,N343)=1,COUNTIF(N$10:N$609,"&lt;"&amp;N343)+1,""))</f>
        <v/>
      </c>
      <c r="P343" t="str">
        <f>IFERROR(INDEX(tblY11[Class],ROWS(P$10:P343))&amp;"","")</f>
        <v/>
      </c>
      <c r="Q343" t="str">
        <f>IF(P343="","",IF(COUNTIF(P$10:P343,P343)=1,COUNTIF(P$10:P$609,"&lt;"&amp;P343)+1,""))</f>
        <v/>
      </c>
      <c r="BA343" t="str">
        <f>IFERROR(INDEX(wLast,274)&amp;"","")</f>
        <v/>
      </c>
      <c r="BB343" t="str">
        <f>IF(BA343="","",IFERROR(INDEX(wFirst,274)&amp;"",""))</f>
        <v/>
      </c>
      <c r="BC343" t="str">
        <f>IF(BA343="","",IFERROR(INDEX(wClass,274)&amp;"",""))</f>
        <v/>
      </c>
      <c r="BD343" t="str">
        <f>IF(BA343="","",IFERROR(INDEX(wKS2,274)+0,""))</f>
        <v/>
      </c>
      <c r="BE343" t="str">
        <f>IF(BA343="","",IFERROR(INDEX(wTests,274)+0,0))</f>
        <v/>
      </c>
      <c r="BF343" t="str">
        <f>IF(BA343="","",IFERROR(INDEX(wMean,274)+0,""))</f>
        <v/>
      </c>
      <c r="BG343" t="str">
        <f>IF(BA343="","",IFERROR(INDEX(wVs,274)+0,""))</f>
        <v/>
      </c>
      <c r="BH343" t="str">
        <f>IF(OR(BA343="",wLatest=""),"",IFERROR(INDEX(wData,274,MATCH(wLatest&amp;CHAR(10)&amp;"Stanine",wHdr,0))+0,""))</f>
        <v/>
      </c>
      <c r="BI343" t="str">
        <f>IF(BA343="","",IF(AND(ISNUMBER(BG343),N(BE343)&gt;=WlMinTests,BG343&lt;=-WlGap),"Below KS2 starting point",IF(AND(NOT(ISNUMBER(BD343)),ISNUMBER(BF343),N(BE343)&gt;=WlMinTests,BF343&lt;=WlLowMean),"Low results, no KS2 data","")))</f>
        <v/>
      </c>
      <c r="BJ343" t="str">
        <f>IF(BI343="","",IF(BI343="Below KS2 starting point",BG343,100+BF343)+ROW()/1000000)</f>
        <v/>
      </c>
    </row>
    <row r="344">
      <c r="H344" t="str">
        <f>IFERROR(INDEX(tblY7[Class],ROWS(H$10:H344))&amp;"","")</f>
        <v/>
      </c>
      <c r="I344" t="str">
        <f>IF(H344="","",IF(COUNTIF(H$10:H344,H344)=1,COUNTIF(H$10:H$609,"&lt;"&amp;H344)+1,""))</f>
        <v/>
      </c>
      <c r="J344" t="str">
        <f>IFERROR(INDEX(tblY8[Class],ROWS(J$10:J344))&amp;"","")</f>
        <v/>
      </c>
      <c r="K344" t="str">
        <f>IF(J344="","",IF(COUNTIF(J$10:J344,J344)=1,COUNTIF(J$10:J$609,"&lt;"&amp;J344)+1,""))</f>
        <v/>
      </c>
      <c r="L344" t="str">
        <f>IFERROR(INDEX(tblY9[Class],ROWS(L$10:L344))&amp;"","")</f>
        <v/>
      </c>
      <c r="M344" t="str">
        <f>IF(L344="","",IF(COUNTIF(L$10:L344,L344)=1,COUNTIF(L$10:L$609,"&lt;"&amp;L344)+1,""))</f>
        <v/>
      </c>
      <c r="N344" t="str">
        <f>IFERROR(INDEX(tblY10[Class],ROWS(N$10:N344))&amp;"","")</f>
        <v/>
      </c>
      <c r="O344" t="str">
        <f>IF(N344="","",IF(COUNTIF(N$10:N344,N344)=1,COUNTIF(N$10:N$609,"&lt;"&amp;N344)+1,""))</f>
        <v/>
      </c>
      <c r="P344" t="str">
        <f>IFERROR(INDEX(tblY11[Class],ROWS(P$10:P344))&amp;"","")</f>
        <v/>
      </c>
      <c r="Q344" t="str">
        <f>IF(P344="","",IF(COUNTIF(P$10:P344,P344)=1,COUNTIF(P$10:P$609,"&lt;"&amp;P344)+1,""))</f>
        <v/>
      </c>
      <c r="BA344" t="str">
        <f>IFERROR(INDEX(wLast,275)&amp;"","")</f>
        <v/>
      </c>
      <c r="BB344" t="str">
        <f>IF(BA344="","",IFERROR(INDEX(wFirst,275)&amp;"",""))</f>
        <v/>
      </c>
      <c r="BC344" t="str">
        <f>IF(BA344="","",IFERROR(INDEX(wClass,275)&amp;"",""))</f>
        <v/>
      </c>
      <c r="BD344" t="str">
        <f>IF(BA344="","",IFERROR(INDEX(wKS2,275)+0,""))</f>
        <v/>
      </c>
      <c r="BE344" t="str">
        <f>IF(BA344="","",IFERROR(INDEX(wTests,275)+0,0))</f>
        <v/>
      </c>
      <c r="BF344" t="str">
        <f>IF(BA344="","",IFERROR(INDEX(wMean,275)+0,""))</f>
        <v/>
      </c>
      <c r="BG344" t="str">
        <f>IF(BA344="","",IFERROR(INDEX(wVs,275)+0,""))</f>
        <v/>
      </c>
      <c r="BH344" t="str">
        <f>IF(OR(BA344="",wLatest=""),"",IFERROR(INDEX(wData,275,MATCH(wLatest&amp;CHAR(10)&amp;"Stanine",wHdr,0))+0,""))</f>
        <v/>
      </c>
      <c r="BI344" t="str">
        <f>IF(BA344="","",IF(AND(ISNUMBER(BG344),N(BE344)&gt;=WlMinTests,BG344&lt;=-WlGap),"Below KS2 starting point",IF(AND(NOT(ISNUMBER(BD344)),ISNUMBER(BF344),N(BE344)&gt;=WlMinTests,BF344&lt;=WlLowMean),"Low results, no KS2 data","")))</f>
        <v/>
      </c>
      <c r="BJ344" t="str">
        <f>IF(BI344="","",IF(BI344="Below KS2 starting point",BG344,100+BF344)+ROW()/1000000)</f>
        <v/>
      </c>
    </row>
    <row r="345">
      <c r="H345" t="str">
        <f>IFERROR(INDEX(tblY7[Class],ROWS(H$10:H345))&amp;"","")</f>
        <v/>
      </c>
      <c r="I345" t="str">
        <f>IF(H345="","",IF(COUNTIF(H$10:H345,H345)=1,COUNTIF(H$10:H$609,"&lt;"&amp;H345)+1,""))</f>
        <v/>
      </c>
      <c r="J345" t="str">
        <f>IFERROR(INDEX(tblY8[Class],ROWS(J$10:J345))&amp;"","")</f>
        <v/>
      </c>
      <c r="K345" t="str">
        <f>IF(J345="","",IF(COUNTIF(J$10:J345,J345)=1,COUNTIF(J$10:J$609,"&lt;"&amp;J345)+1,""))</f>
        <v/>
      </c>
      <c r="L345" t="str">
        <f>IFERROR(INDEX(tblY9[Class],ROWS(L$10:L345))&amp;"","")</f>
        <v/>
      </c>
      <c r="M345" t="str">
        <f>IF(L345="","",IF(COUNTIF(L$10:L345,L345)=1,COUNTIF(L$10:L$609,"&lt;"&amp;L345)+1,""))</f>
        <v/>
      </c>
      <c r="N345" t="str">
        <f>IFERROR(INDEX(tblY10[Class],ROWS(N$10:N345))&amp;"","")</f>
        <v/>
      </c>
      <c r="O345" t="str">
        <f>IF(N345="","",IF(COUNTIF(N$10:N345,N345)=1,COUNTIF(N$10:N$609,"&lt;"&amp;N345)+1,""))</f>
        <v/>
      </c>
      <c r="P345" t="str">
        <f>IFERROR(INDEX(tblY11[Class],ROWS(P$10:P345))&amp;"","")</f>
        <v/>
      </c>
      <c r="Q345" t="str">
        <f>IF(P345="","",IF(COUNTIF(P$10:P345,P345)=1,COUNTIF(P$10:P$609,"&lt;"&amp;P345)+1,""))</f>
        <v/>
      </c>
      <c r="BA345" t="str">
        <f>IFERROR(INDEX(wLast,276)&amp;"","")</f>
        <v/>
      </c>
      <c r="BB345" t="str">
        <f>IF(BA345="","",IFERROR(INDEX(wFirst,276)&amp;"",""))</f>
        <v/>
      </c>
      <c r="BC345" t="str">
        <f>IF(BA345="","",IFERROR(INDEX(wClass,276)&amp;"",""))</f>
        <v/>
      </c>
      <c r="BD345" t="str">
        <f>IF(BA345="","",IFERROR(INDEX(wKS2,276)+0,""))</f>
        <v/>
      </c>
      <c r="BE345" t="str">
        <f>IF(BA345="","",IFERROR(INDEX(wTests,276)+0,0))</f>
        <v/>
      </c>
      <c r="BF345" t="str">
        <f>IF(BA345="","",IFERROR(INDEX(wMean,276)+0,""))</f>
        <v/>
      </c>
      <c r="BG345" t="str">
        <f>IF(BA345="","",IFERROR(INDEX(wVs,276)+0,""))</f>
        <v/>
      </c>
      <c r="BH345" t="str">
        <f>IF(OR(BA345="",wLatest=""),"",IFERROR(INDEX(wData,276,MATCH(wLatest&amp;CHAR(10)&amp;"Stanine",wHdr,0))+0,""))</f>
        <v/>
      </c>
      <c r="BI345" t="str">
        <f>IF(BA345="","",IF(AND(ISNUMBER(BG345),N(BE345)&gt;=WlMinTests,BG345&lt;=-WlGap),"Below KS2 starting point",IF(AND(NOT(ISNUMBER(BD345)),ISNUMBER(BF345),N(BE345)&gt;=WlMinTests,BF345&lt;=WlLowMean),"Low results, no KS2 data","")))</f>
        <v/>
      </c>
      <c r="BJ345" t="str">
        <f>IF(BI345="","",IF(BI345="Below KS2 starting point",BG345,100+BF345)+ROW()/1000000)</f>
        <v/>
      </c>
    </row>
    <row r="346">
      <c r="H346" t="str">
        <f>IFERROR(INDEX(tblY7[Class],ROWS(H$10:H346))&amp;"","")</f>
        <v/>
      </c>
      <c r="I346" t="str">
        <f>IF(H346="","",IF(COUNTIF(H$10:H346,H346)=1,COUNTIF(H$10:H$609,"&lt;"&amp;H346)+1,""))</f>
        <v/>
      </c>
      <c r="J346" t="str">
        <f>IFERROR(INDEX(tblY8[Class],ROWS(J$10:J346))&amp;"","")</f>
        <v/>
      </c>
      <c r="K346" t="str">
        <f>IF(J346="","",IF(COUNTIF(J$10:J346,J346)=1,COUNTIF(J$10:J$609,"&lt;"&amp;J346)+1,""))</f>
        <v/>
      </c>
      <c r="L346" t="str">
        <f>IFERROR(INDEX(tblY9[Class],ROWS(L$10:L346))&amp;"","")</f>
        <v/>
      </c>
      <c r="M346" t="str">
        <f>IF(L346="","",IF(COUNTIF(L$10:L346,L346)=1,COUNTIF(L$10:L$609,"&lt;"&amp;L346)+1,""))</f>
        <v/>
      </c>
      <c r="N346" t="str">
        <f>IFERROR(INDEX(tblY10[Class],ROWS(N$10:N346))&amp;"","")</f>
        <v/>
      </c>
      <c r="O346" t="str">
        <f>IF(N346="","",IF(COUNTIF(N$10:N346,N346)=1,COUNTIF(N$10:N$609,"&lt;"&amp;N346)+1,""))</f>
        <v/>
      </c>
      <c r="P346" t="str">
        <f>IFERROR(INDEX(tblY11[Class],ROWS(P$10:P346))&amp;"","")</f>
        <v/>
      </c>
      <c r="Q346" t="str">
        <f>IF(P346="","",IF(COUNTIF(P$10:P346,P346)=1,COUNTIF(P$10:P$609,"&lt;"&amp;P346)+1,""))</f>
        <v/>
      </c>
      <c r="BA346" t="str">
        <f>IFERROR(INDEX(wLast,277)&amp;"","")</f>
        <v/>
      </c>
      <c r="BB346" t="str">
        <f>IF(BA346="","",IFERROR(INDEX(wFirst,277)&amp;"",""))</f>
        <v/>
      </c>
      <c r="BC346" t="str">
        <f>IF(BA346="","",IFERROR(INDEX(wClass,277)&amp;"",""))</f>
        <v/>
      </c>
      <c r="BD346" t="str">
        <f>IF(BA346="","",IFERROR(INDEX(wKS2,277)+0,""))</f>
        <v/>
      </c>
      <c r="BE346" t="str">
        <f>IF(BA346="","",IFERROR(INDEX(wTests,277)+0,0))</f>
        <v/>
      </c>
      <c r="BF346" t="str">
        <f>IF(BA346="","",IFERROR(INDEX(wMean,277)+0,""))</f>
        <v/>
      </c>
      <c r="BG346" t="str">
        <f>IF(BA346="","",IFERROR(INDEX(wVs,277)+0,""))</f>
        <v/>
      </c>
      <c r="BH346" t="str">
        <f>IF(OR(BA346="",wLatest=""),"",IFERROR(INDEX(wData,277,MATCH(wLatest&amp;CHAR(10)&amp;"Stanine",wHdr,0))+0,""))</f>
        <v/>
      </c>
      <c r="BI346" t="str">
        <f>IF(BA346="","",IF(AND(ISNUMBER(BG346),N(BE346)&gt;=WlMinTests,BG346&lt;=-WlGap),"Below KS2 starting point",IF(AND(NOT(ISNUMBER(BD346)),ISNUMBER(BF346),N(BE346)&gt;=WlMinTests,BF346&lt;=WlLowMean),"Low results, no KS2 data","")))</f>
        <v/>
      </c>
      <c r="BJ346" t="str">
        <f>IF(BI346="","",IF(BI346="Below KS2 starting point",BG346,100+BF346)+ROW()/1000000)</f>
        <v/>
      </c>
    </row>
    <row r="347">
      <c r="H347" t="str">
        <f>IFERROR(INDEX(tblY7[Class],ROWS(H$10:H347))&amp;"","")</f>
        <v/>
      </c>
      <c r="I347" t="str">
        <f>IF(H347="","",IF(COUNTIF(H$10:H347,H347)=1,COUNTIF(H$10:H$609,"&lt;"&amp;H347)+1,""))</f>
        <v/>
      </c>
      <c r="J347" t="str">
        <f>IFERROR(INDEX(tblY8[Class],ROWS(J$10:J347))&amp;"","")</f>
        <v/>
      </c>
      <c r="K347" t="str">
        <f>IF(J347="","",IF(COUNTIF(J$10:J347,J347)=1,COUNTIF(J$10:J$609,"&lt;"&amp;J347)+1,""))</f>
        <v/>
      </c>
      <c r="L347" t="str">
        <f>IFERROR(INDEX(tblY9[Class],ROWS(L$10:L347))&amp;"","")</f>
        <v/>
      </c>
      <c r="M347" t="str">
        <f>IF(L347="","",IF(COUNTIF(L$10:L347,L347)=1,COUNTIF(L$10:L$609,"&lt;"&amp;L347)+1,""))</f>
        <v/>
      </c>
      <c r="N347" t="str">
        <f>IFERROR(INDEX(tblY10[Class],ROWS(N$10:N347))&amp;"","")</f>
        <v/>
      </c>
      <c r="O347" t="str">
        <f>IF(N347="","",IF(COUNTIF(N$10:N347,N347)=1,COUNTIF(N$10:N$609,"&lt;"&amp;N347)+1,""))</f>
        <v/>
      </c>
      <c r="P347" t="str">
        <f>IFERROR(INDEX(tblY11[Class],ROWS(P$10:P347))&amp;"","")</f>
        <v/>
      </c>
      <c r="Q347" t="str">
        <f>IF(P347="","",IF(COUNTIF(P$10:P347,P347)=1,COUNTIF(P$10:P$609,"&lt;"&amp;P347)+1,""))</f>
        <v/>
      </c>
      <c r="BA347" t="str">
        <f>IFERROR(INDEX(wLast,278)&amp;"","")</f>
        <v/>
      </c>
      <c r="BB347" t="str">
        <f>IF(BA347="","",IFERROR(INDEX(wFirst,278)&amp;"",""))</f>
        <v/>
      </c>
      <c r="BC347" t="str">
        <f>IF(BA347="","",IFERROR(INDEX(wClass,278)&amp;"",""))</f>
        <v/>
      </c>
      <c r="BD347" t="str">
        <f>IF(BA347="","",IFERROR(INDEX(wKS2,278)+0,""))</f>
        <v/>
      </c>
      <c r="BE347" t="str">
        <f>IF(BA347="","",IFERROR(INDEX(wTests,278)+0,0))</f>
        <v/>
      </c>
      <c r="BF347" t="str">
        <f>IF(BA347="","",IFERROR(INDEX(wMean,278)+0,""))</f>
        <v/>
      </c>
      <c r="BG347" t="str">
        <f>IF(BA347="","",IFERROR(INDEX(wVs,278)+0,""))</f>
        <v/>
      </c>
      <c r="BH347" t="str">
        <f>IF(OR(BA347="",wLatest=""),"",IFERROR(INDEX(wData,278,MATCH(wLatest&amp;CHAR(10)&amp;"Stanine",wHdr,0))+0,""))</f>
        <v/>
      </c>
      <c r="BI347" t="str">
        <f>IF(BA347="","",IF(AND(ISNUMBER(BG347),N(BE347)&gt;=WlMinTests,BG347&lt;=-WlGap),"Below KS2 starting point",IF(AND(NOT(ISNUMBER(BD347)),ISNUMBER(BF347),N(BE347)&gt;=WlMinTests,BF347&lt;=WlLowMean),"Low results, no KS2 data","")))</f>
        <v/>
      </c>
      <c r="BJ347" t="str">
        <f>IF(BI347="","",IF(BI347="Below KS2 starting point",BG347,100+BF347)+ROW()/1000000)</f>
        <v/>
      </c>
    </row>
    <row r="348">
      <c r="H348" t="str">
        <f>IFERROR(INDEX(tblY7[Class],ROWS(H$10:H348))&amp;"","")</f>
        <v/>
      </c>
      <c r="I348" t="str">
        <f>IF(H348="","",IF(COUNTIF(H$10:H348,H348)=1,COUNTIF(H$10:H$609,"&lt;"&amp;H348)+1,""))</f>
        <v/>
      </c>
      <c r="J348" t="str">
        <f>IFERROR(INDEX(tblY8[Class],ROWS(J$10:J348))&amp;"","")</f>
        <v/>
      </c>
      <c r="K348" t="str">
        <f>IF(J348="","",IF(COUNTIF(J$10:J348,J348)=1,COUNTIF(J$10:J$609,"&lt;"&amp;J348)+1,""))</f>
        <v/>
      </c>
      <c r="L348" t="str">
        <f>IFERROR(INDEX(tblY9[Class],ROWS(L$10:L348))&amp;"","")</f>
        <v/>
      </c>
      <c r="M348" t="str">
        <f>IF(L348="","",IF(COUNTIF(L$10:L348,L348)=1,COUNTIF(L$10:L$609,"&lt;"&amp;L348)+1,""))</f>
        <v/>
      </c>
      <c r="N348" t="str">
        <f>IFERROR(INDEX(tblY10[Class],ROWS(N$10:N348))&amp;"","")</f>
        <v/>
      </c>
      <c r="O348" t="str">
        <f>IF(N348="","",IF(COUNTIF(N$10:N348,N348)=1,COUNTIF(N$10:N$609,"&lt;"&amp;N348)+1,""))</f>
        <v/>
      </c>
      <c r="P348" t="str">
        <f>IFERROR(INDEX(tblY11[Class],ROWS(P$10:P348))&amp;"","")</f>
        <v/>
      </c>
      <c r="Q348" t="str">
        <f>IF(P348="","",IF(COUNTIF(P$10:P348,P348)=1,COUNTIF(P$10:P$609,"&lt;"&amp;P348)+1,""))</f>
        <v/>
      </c>
      <c r="BA348" t="str">
        <f>IFERROR(INDEX(wLast,279)&amp;"","")</f>
        <v/>
      </c>
      <c r="BB348" t="str">
        <f>IF(BA348="","",IFERROR(INDEX(wFirst,279)&amp;"",""))</f>
        <v/>
      </c>
      <c r="BC348" t="str">
        <f>IF(BA348="","",IFERROR(INDEX(wClass,279)&amp;"",""))</f>
        <v/>
      </c>
      <c r="BD348" t="str">
        <f>IF(BA348="","",IFERROR(INDEX(wKS2,279)+0,""))</f>
        <v/>
      </c>
      <c r="BE348" t="str">
        <f>IF(BA348="","",IFERROR(INDEX(wTests,279)+0,0))</f>
        <v/>
      </c>
      <c r="BF348" t="str">
        <f>IF(BA348="","",IFERROR(INDEX(wMean,279)+0,""))</f>
        <v/>
      </c>
      <c r="BG348" t="str">
        <f>IF(BA348="","",IFERROR(INDEX(wVs,279)+0,""))</f>
        <v/>
      </c>
      <c r="BH348" t="str">
        <f>IF(OR(BA348="",wLatest=""),"",IFERROR(INDEX(wData,279,MATCH(wLatest&amp;CHAR(10)&amp;"Stanine",wHdr,0))+0,""))</f>
        <v/>
      </c>
      <c r="BI348" t="str">
        <f>IF(BA348="","",IF(AND(ISNUMBER(BG348),N(BE348)&gt;=WlMinTests,BG348&lt;=-WlGap),"Below KS2 starting point",IF(AND(NOT(ISNUMBER(BD348)),ISNUMBER(BF348),N(BE348)&gt;=WlMinTests,BF348&lt;=WlLowMean),"Low results, no KS2 data","")))</f>
        <v/>
      </c>
      <c r="BJ348" t="str">
        <f>IF(BI348="","",IF(BI348="Below KS2 starting point",BG348,100+BF348)+ROW()/1000000)</f>
        <v/>
      </c>
    </row>
    <row r="349">
      <c r="H349" t="str">
        <f>IFERROR(INDEX(tblY7[Class],ROWS(H$10:H349))&amp;"","")</f>
        <v/>
      </c>
      <c r="I349" t="str">
        <f>IF(H349="","",IF(COUNTIF(H$10:H349,H349)=1,COUNTIF(H$10:H$609,"&lt;"&amp;H349)+1,""))</f>
        <v/>
      </c>
      <c r="J349" t="str">
        <f>IFERROR(INDEX(tblY8[Class],ROWS(J$10:J349))&amp;"","")</f>
        <v/>
      </c>
      <c r="K349" t="str">
        <f>IF(J349="","",IF(COUNTIF(J$10:J349,J349)=1,COUNTIF(J$10:J$609,"&lt;"&amp;J349)+1,""))</f>
        <v/>
      </c>
      <c r="L349" t="str">
        <f>IFERROR(INDEX(tblY9[Class],ROWS(L$10:L349))&amp;"","")</f>
        <v/>
      </c>
      <c r="M349" t="str">
        <f>IF(L349="","",IF(COUNTIF(L$10:L349,L349)=1,COUNTIF(L$10:L$609,"&lt;"&amp;L349)+1,""))</f>
        <v/>
      </c>
      <c r="N349" t="str">
        <f>IFERROR(INDEX(tblY10[Class],ROWS(N$10:N349))&amp;"","")</f>
        <v/>
      </c>
      <c r="O349" t="str">
        <f>IF(N349="","",IF(COUNTIF(N$10:N349,N349)=1,COUNTIF(N$10:N$609,"&lt;"&amp;N349)+1,""))</f>
        <v/>
      </c>
      <c r="P349" t="str">
        <f>IFERROR(INDEX(tblY11[Class],ROWS(P$10:P349))&amp;"","")</f>
        <v/>
      </c>
      <c r="Q349" t="str">
        <f>IF(P349="","",IF(COUNTIF(P$10:P349,P349)=1,COUNTIF(P$10:P$609,"&lt;"&amp;P349)+1,""))</f>
        <v/>
      </c>
      <c r="BA349" t="str">
        <f>IFERROR(INDEX(wLast,280)&amp;"","")</f>
        <v/>
      </c>
      <c r="BB349" t="str">
        <f>IF(BA349="","",IFERROR(INDEX(wFirst,280)&amp;"",""))</f>
        <v/>
      </c>
      <c r="BC349" t="str">
        <f>IF(BA349="","",IFERROR(INDEX(wClass,280)&amp;"",""))</f>
        <v/>
      </c>
      <c r="BD349" t="str">
        <f>IF(BA349="","",IFERROR(INDEX(wKS2,280)+0,""))</f>
        <v/>
      </c>
      <c r="BE349" t="str">
        <f>IF(BA349="","",IFERROR(INDEX(wTests,280)+0,0))</f>
        <v/>
      </c>
      <c r="BF349" t="str">
        <f>IF(BA349="","",IFERROR(INDEX(wMean,280)+0,""))</f>
        <v/>
      </c>
      <c r="BG349" t="str">
        <f>IF(BA349="","",IFERROR(INDEX(wVs,280)+0,""))</f>
        <v/>
      </c>
      <c r="BH349" t="str">
        <f>IF(OR(BA349="",wLatest=""),"",IFERROR(INDEX(wData,280,MATCH(wLatest&amp;CHAR(10)&amp;"Stanine",wHdr,0))+0,""))</f>
        <v/>
      </c>
      <c r="BI349" t="str">
        <f>IF(BA349="","",IF(AND(ISNUMBER(BG349),N(BE349)&gt;=WlMinTests,BG349&lt;=-WlGap),"Below KS2 starting point",IF(AND(NOT(ISNUMBER(BD349)),ISNUMBER(BF349),N(BE349)&gt;=WlMinTests,BF349&lt;=WlLowMean),"Low results, no KS2 data","")))</f>
        <v/>
      </c>
      <c r="BJ349" t="str">
        <f>IF(BI349="","",IF(BI349="Below KS2 starting point",BG349,100+BF349)+ROW()/1000000)</f>
        <v/>
      </c>
    </row>
    <row r="350">
      <c r="H350" t="str">
        <f>IFERROR(INDEX(tblY7[Class],ROWS(H$10:H350))&amp;"","")</f>
        <v/>
      </c>
      <c r="I350" t="str">
        <f>IF(H350="","",IF(COUNTIF(H$10:H350,H350)=1,COUNTIF(H$10:H$609,"&lt;"&amp;H350)+1,""))</f>
        <v/>
      </c>
      <c r="J350" t="str">
        <f>IFERROR(INDEX(tblY8[Class],ROWS(J$10:J350))&amp;"","")</f>
        <v/>
      </c>
      <c r="K350" t="str">
        <f>IF(J350="","",IF(COUNTIF(J$10:J350,J350)=1,COUNTIF(J$10:J$609,"&lt;"&amp;J350)+1,""))</f>
        <v/>
      </c>
      <c r="L350" t="str">
        <f>IFERROR(INDEX(tblY9[Class],ROWS(L$10:L350))&amp;"","")</f>
        <v/>
      </c>
      <c r="M350" t="str">
        <f>IF(L350="","",IF(COUNTIF(L$10:L350,L350)=1,COUNTIF(L$10:L$609,"&lt;"&amp;L350)+1,""))</f>
        <v/>
      </c>
      <c r="N350" t="str">
        <f>IFERROR(INDEX(tblY10[Class],ROWS(N$10:N350))&amp;"","")</f>
        <v/>
      </c>
      <c r="O350" t="str">
        <f>IF(N350="","",IF(COUNTIF(N$10:N350,N350)=1,COUNTIF(N$10:N$609,"&lt;"&amp;N350)+1,""))</f>
        <v/>
      </c>
      <c r="P350" t="str">
        <f>IFERROR(INDEX(tblY11[Class],ROWS(P$10:P350))&amp;"","")</f>
        <v/>
      </c>
      <c r="Q350" t="str">
        <f>IF(P350="","",IF(COUNTIF(P$10:P350,P350)=1,COUNTIF(P$10:P$609,"&lt;"&amp;P350)+1,""))</f>
        <v/>
      </c>
      <c r="BA350" t="str">
        <f>IFERROR(INDEX(wLast,281)&amp;"","")</f>
        <v/>
      </c>
      <c r="BB350" t="str">
        <f>IF(BA350="","",IFERROR(INDEX(wFirst,281)&amp;"",""))</f>
        <v/>
      </c>
      <c r="BC350" t="str">
        <f>IF(BA350="","",IFERROR(INDEX(wClass,281)&amp;"",""))</f>
        <v/>
      </c>
      <c r="BD350" t="str">
        <f>IF(BA350="","",IFERROR(INDEX(wKS2,281)+0,""))</f>
        <v/>
      </c>
      <c r="BE350" t="str">
        <f>IF(BA350="","",IFERROR(INDEX(wTests,281)+0,0))</f>
        <v/>
      </c>
      <c r="BF350" t="str">
        <f>IF(BA350="","",IFERROR(INDEX(wMean,281)+0,""))</f>
        <v/>
      </c>
      <c r="BG350" t="str">
        <f>IF(BA350="","",IFERROR(INDEX(wVs,281)+0,""))</f>
        <v/>
      </c>
      <c r="BH350" t="str">
        <f>IF(OR(BA350="",wLatest=""),"",IFERROR(INDEX(wData,281,MATCH(wLatest&amp;CHAR(10)&amp;"Stanine",wHdr,0))+0,""))</f>
        <v/>
      </c>
      <c r="BI350" t="str">
        <f>IF(BA350="","",IF(AND(ISNUMBER(BG350),N(BE350)&gt;=WlMinTests,BG350&lt;=-WlGap),"Below KS2 starting point",IF(AND(NOT(ISNUMBER(BD350)),ISNUMBER(BF350),N(BE350)&gt;=WlMinTests,BF350&lt;=WlLowMean),"Low results, no KS2 data","")))</f>
        <v/>
      </c>
      <c r="BJ350" t="str">
        <f>IF(BI350="","",IF(BI350="Below KS2 starting point",BG350,100+BF350)+ROW()/1000000)</f>
        <v/>
      </c>
    </row>
    <row r="351">
      <c r="H351" t="str">
        <f>IFERROR(INDEX(tblY7[Class],ROWS(H$10:H351))&amp;"","")</f>
        <v/>
      </c>
      <c r="I351" t="str">
        <f>IF(H351="","",IF(COUNTIF(H$10:H351,H351)=1,COUNTIF(H$10:H$609,"&lt;"&amp;H351)+1,""))</f>
        <v/>
      </c>
      <c r="J351" t="str">
        <f>IFERROR(INDEX(tblY8[Class],ROWS(J$10:J351))&amp;"","")</f>
        <v/>
      </c>
      <c r="K351" t="str">
        <f>IF(J351="","",IF(COUNTIF(J$10:J351,J351)=1,COUNTIF(J$10:J$609,"&lt;"&amp;J351)+1,""))</f>
        <v/>
      </c>
      <c r="L351" t="str">
        <f>IFERROR(INDEX(tblY9[Class],ROWS(L$10:L351))&amp;"","")</f>
        <v/>
      </c>
      <c r="M351" t="str">
        <f>IF(L351="","",IF(COUNTIF(L$10:L351,L351)=1,COUNTIF(L$10:L$609,"&lt;"&amp;L351)+1,""))</f>
        <v/>
      </c>
      <c r="N351" t="str">
        <f>IFERROR(INDEX(tblY10[Class],ROWS(N$10:N351))&amp;"","")</f>
        <v/>
      </c>
      <c r="O351" t="str">
        <f>IF(N351="","",IF(COUNTIF(N$10:N351,N351)=1,COUNTIF(N$10:N$609,"&lt;"&amp;N351)+1,""))</f>
        <v/>
      </c>
      <c r="P351" t="str">
        <f>IFERROR(INDEX(tblY11[Class],ROWS(P$10:P351))&amp;"","")</f>
        <v/>
      </c>
      <c r="Q351" t="str">
        <f>IF(P351="","",IF(COUNTIF(P$10:P351,P351)=1,COUNTIF(P$10:P$609,"&lt;"&amp;P351)+1,""))</f>
        <v/>
      </c>
      <c r="BA351" t="str">
        <f>IFERROR(INDEX(wLast,282)&amp;"","")</f>
        <v/>
      </c>
      <c r="BB351" t="str">
        <f>IF(BA351="","",IFERROR(INDEX(wFirst,282)&amp;"",""))</f>
        <v/>
      </c>
      <c r="BC351" t="str">
        <f>IF(BA351="","",IFERROR(INDEX(wClass,282)&amp;"",""))</f>
        <v/>
      </c>
      <c r="BD351" t="str">
        <f>IF(BA351="","",IFERROR(INDEX(wKS2,282)+0,""))</f>
        <v/>
      </c>
      <c r="BE351" t="str">
        <f>IF(BA351="","",IFERROR(INDEX(wTests,282)+0,0))</f>
        <v/>
      </c>
      <c r="BF351" t="str">
        <f>IF(BA351="","",IFERROR(INDEX(wMean,282)+0,""))</f>
        <v/>
      </c>
      <c r="BG351" t="str">
        <f>IF(BA351="","",IFERROR(INDEX(wVs,282)+0,""))</f>
        <v/>
      </c>
      <c r="BH351" t="str">
        <f>IF(OR(BA351="",wLatest=""),"",IFERROR(INDEX(wData,282,MATCH(wLatest&amp;CHAR(10)&amp;"Stanine",wHdr,0))+0,""))</f>
        <v/>
      </c>
      <c r="BI351" t="str">
        <f>IF(BA351="","",IF(AND(ISNUMBER(BG351),N(BE351)&gt;=WlMinTests,BG351&lt;=-WlGap),"Below KS2 starting point",IF(AND(NOT(ISNUMBER(BD351)),ISNUMBER(BF351),N(BE351)&gt;=WlMinTests,BF351&lt;=WlLowMean),"Low results, no KS2 data","")))</f>
        <v/>
      </c>
      <c r="BJ351" t="str">
        <f>IF(BI351="","",IF(BI351="Below KS2 starting point",BG351,100+BF351)+ROW()/1000000)</f>
        <v/>
      </c>
    </row>
    <row r="352">
      <c r="H352" t="str">
        <f>IFERROR(INDEX(tblY7[Class],ROWS(H$10:H352))&amp;"","")</f>
        <v/>
      </c>
      <c r="I352" t="str">
        <f>IF(H352="","",IF(COUNTIF(H$10:H352,H352)=1,COUNTIF(H$10:H$609,"&lt;"&amp;H352)+1,""))</f>
        <v/>
      </c>
      <c r="J352" t="str">
        <f>IFERROR(INDEX(tblY8[Class],ROWS(J$10:J352))&amp;"","")</f>
        <v/>
      </c>
      <c r="K352" t="str">
        <f>IF(J352="","",IF(COUNTIF(J$10:J352,J352)=1,COUNTIF(J$10:J$609,"&lt;"&amp;J352)+1,""))</f>
        <v/>
      </c>
      <c r="L352" t="str">
        <f>IFERROR(INDEX(tblY9[Class],ROWS(L$10:L352))&amp;"","")</f>
        <v/>
      </c>
      <c r="M352" t="str">
        <f>IF(L352="","",IF(COUNTIF(L$10:L352,L352)=1,COUNTIF(L$10:L$609,"&lt;"&amp;L352)+1,""))</f>
        <v/>
      </c>
      <c r="N352" t="str">
        <f>IFERROR(INDEX(tblY10[Class],ROWS(N$10:N352))&amp;"","")</f>
        <v/>
      </c>
      <c r="O352" t="str">
        <f>IF(N352="","",IF(COUNTIF(N$10:N352,N352)=1,COUNTIF(N$10:N$609,"&lt;"&amp;N352)+1,""))</f>
        <v/>
      </c>
      <c r="P352" t="str">
        <f>IFERROR(INDEX(tblY11[Class],ROWS(P$10:P352))&amp;"","")</f>
        <v/>
      </c>
      <c r="Q352" t="str">
        <f>IF(P352="","",IF(COUNTIF(P$10:P352,P352)=1,COUNTIF(P$10:P$609,"&lt;"&amp;P352)+1,""))</f>
        <v/>
      </c>
      <c r="BA352" t="str">
        <f>IFERROR(INDEX(wLast,283)&amp;"","")</f>
        <v/>
      </c>
      <c r="BB352" t="str">
        <f>IF(BA352="","",IFERROR(INDEX(wFirst,283)&amp;"",""))</f>
        <v/>
      </c>
      <c r="BC352" t="str">
        <f>IF(BA352="","",IFERROR(INDEX(wClass,283)&amp;"",""))</f>
        <v/>
      </c>
      <c r="BD352" t="str">
        <f>IF(BA352="","",IFERROR(INDEX(wKS2,283)+0,""))</f>
        <v/>
      </c>
      <c r="BE352" t="str">
        <f>IF(BA352="","",IFERROR(INDEX(wTests,283)+0,0))</f>
        <v/>
      </c>
      <c r="BF352" t="str">
        <f>IF(BA352="","",IFERROR(INDEX(wMean,283)+0,""))</f>
        <v/>
      </c>
      <c r="BG352" t="str">
        <f>IF(BA352="","",IFERROR(INDEX(wVs,283)+0,""))</f>
        <v/>
      </c>
      <c r="BH352" t="str">
        <f>IF(OR(BA352="",wLatest=""),"",IFERROR(INDEX(wData,283,MATCH(wLatest&amp;CHAR(10)&amp;"Stanine",wHdr,0))+0,""))</f>
        <v/>
      </c>
      <c r="BI352" t="str">
        <f>IF(BA352="","",IF(AND(ISNUMBER(BG352),N(BE352)&gt;=WlMinTests,BG352&lt;=-WlGap),"Below KS2 starting point",IF(AND(NOT(ISNUMBER(BD352)),ISNUMBER(BF352),N(BE352)&gt;=WlMinTests,BF352&lt;=WlLowMean),"Low results, no KS2 data","")))</f>
        <v/>
      </c>
      <c r="BJ352" t="str">
        <f>IF(BI352="","",IF(BI352="Below KS2 starting point",BG352,100+BF352)+ROW()/1000000)</f>
        <v/>
      </c>
    </row>
    <row r="353">
      <c r="H353" t="str">
        <f>IFERROR(INDEX(tblY7[Class],ROWS(H$10:H353))&amp;"","")</f>
        <v/>
      </c>
      <c r="I353" t="str">
        <f>IF(H353="","",IF(COUNTIF(H$10:H353,H353)=1,COUNTIF(H$10:H$609,"&lt;"&amp;H353)+1,""))</f>
        <v/>
      </c>
      <c r="J353" t="str">
        <f>IFERROR(INDEX(tblY8[Class],ROWS(J$10:J353))&amp;"","")</f>
        <v/>
      </c>
      <c r="K353" t="str">
        <f>IF(J353="","",IF(COUNTIF(J$10:J353,J353)=1,COUNTIF(J$10:J$609,"&lt;"&amp;J353)+1,""))</f>
        <v/>
      </c>
      <c r="L353" t="str">
        <f>IFERROR(INDEX(tblY9[Class],ROWS(L$10:L353))&amp;"","")</f>
        <v/>
      </c>
      <c r="M353" t="str">
        <f>IF(L353="","",IF(COUNTIF(L$10:L353,L353)=1,COUNTIF(L$10:L$609,"&lt;"&amp;L353)+1,""))</f>
        <v/>
      </c>
      <c r="N353" t="str">
        <f>IFERROR(INDEX(tblY10[Class],ROWS(N$10:N353))&amp;"","")</f>
        <v/>
      </c>
      <c r="O353" t="str">
        <f>IF(N353="","",IF(COUNTIF(N$10:N353,N353)=1,COUNTIF(N$10:N$609,"&lt;"&amp;N353)+1,""))</f>
        <v/>
      </c>
      <c r="P353" t="str">
        <f>IFERROR(INDEX(tblY11[Class],ROWS(P$10:P353))&amp;"","")</f>
        <v/>
      </c>
      <c r="Q353" t="str">
        <f>IF(P353="","",IF(COUNTIF(P$10:P353,P353)=1,COUNTIF(P$10:P$609,"&lt;"&amp;P353)+1,""))</f>
        <v/>
      </c>
      <c r="BA353" t="str">
        <f>IFERROR(INDEX(wLast,284)&amp;"","")</f>
        <v/>
      </c>
      <c r="BB353" t="str">
        <f>IF(BA353="","",IFERROR(INDEX(wFirst,284)&amp;"",""))</f>
        <v/>
      </c>
      <c r="BC353" t="str">
        <f>IF(BA353="","",IFERROR(INDEX(wClass,284)&amp;"",""))</f>
        <v/>
      </c>
      <c r="BD353" t="str">
        <f>IF(BA353="","",IFERROR(INDEX(wKS2,284)+0,""))</f>
        <v/>
      </c>
      <c r="BE353" t="str">
        <f>IF(BA353="","",IFERROR(INDEX(wTests,284)+0,0))</f>
        <v/>
      </c>
      <c r="BF353" t="str">
        <f>IF(BA353="","",IFERROR(INDEX(wMean,284)+0,""))</f>
        <v/>
      </c>
      <c r="BG353" t="str">
        <f>IF(BA353="","",IFERROR(INDEX(wVs,284)+0,""))</f>
        <v/>
      </c>
      <c r="BH353" t="str">
        <f>IF(OR(BA353="",wLatest=""),"",IFERROR(INDEX(wData,284,MATCH(wLatest&amp;CHAR(10)&amp;"Stanine",wHdr,0))+0,""))</f>
        <v/>
      </c>
      <c r="BI353" t="str">
        <f>IF(BA353="","",IF(AND(ISNUMBER(BG353),N(BE353)&gt;=WlMinTests,BG353&lt;=-WlGap),"Below KS2 starting point",IF(AND(NOT(ISNUMBER(BD353)),ISNUMBER(BF353),N(BE353)&gt;=WlMinTests,BF353&lt;=WlLowMean),"Low results, no KS2 data","")))</f>
        <v/>
      </c>
      <c r="BJ353" t="str">
        <f>IF(BI353="","",IF(BI353="Below KS2 starting point",BG353,100+BF353)+ROW()/1000000)</f>
        <v/>
      </c>
    </row>
    <row r="354">
      <c r="H354" t="str">
        <f>IFERROR(INDEX(tblY7[Class],ROWS(H$10:H354))&amp;"","")</f>
        <v/>
      </c>
      <c r="I354" t="str">
        <f>IF(H354="","",IF(COUNTIF(H$10:H354,H354)=1,COUNTIF(H$10:H$609,"&lt;"&amp;H354)+1,""))</f>
        <v/>
      </c>
      <c r="J354" t="str">
        <f>IFERROR(INDEX(tblY8[Class],ROWS(J$10:J354))&amp;"","")</f>
        <v/>
      </c>
      <c r="K354" t="str">
        <f>IF(J354="","",IF(COUNTIF(J$10:J354,J354)=1,COUNTIF(J$10:J$609,"&lt;"&amp;J354)+1,""))</f>
        <v/>
      </c>
      <c r="L354" t="str">
        <f>IFERROR(INDEX(tblY9[Class],ROWS(L$10:L354))&amp;"","")</f>
        <v/>
      </c>
      <c r="M354" t="str">
        <f>IF(L354="","",IF(COUNTIF(L$10:L354,L354)=1,COUNTIF(L$10:L$609,"&lt;"&amp;L354)+1,""))</f>
        <v/>
      </c>
      <c r="N354" t="str">
        <f>IFERROR(INDEX(tblY10[Class],ROWS(N$10:N354))&amp;"","")</f>
        <v/>
      </c>
      <c r="O354" t="str">
        <f>IF(N354="","",IF(COUNTIF(N$10:N354,N354)=1,COUNTIF(N$10:N$609,"&lt;"&amp;N354)+1,""))</f>
        <v/>
      </c>
      <c r="P354" t="str">
        <f>IFERROR(INDEX(tblY11[Class],ROWS(P$10:P354))&amp;"","")</f>
        <v/>
      </c>
      <c r="Q354" t="str">
        <f>IF(P354="","",IF(COUNTIF(P$10:P354,P354)=1,COUNTIF(P$10:P$609,"&lt;"&amp;P354)+1,""))</f>
        <v/>
      </c>
      <c r="BA354" t="str">
        <f>IFERROR(INDEX(wLast,285)&amp;"","")</f>
        <v/>
      </c>
      <c r="BB354" t="str">
        <f>IF(BA354="","",IFERROR(INDEX(wFirst,285)&amp;"",""))</f>
        <v/>
      </c>
      <c r="BC354" t="str">
        <f>IF(BA354="","",IFERROR(INDEX(wClass,285)&amp;"",""))</f>
        <v/>
      </c>
      <c r="BD354" t="str">
        <f>IF(BA354="","",IFERROR(INDEX(wKS2,285)+0,""))</f>
        <v/>
      </c>
      <c r="BE354" t="str">
        <f>IF(BA354="","",IFERROR(INDEX(wTests,285)+0,0))</f>
        <v/>
      </c>
      <c r="BF354" t="str">
        <f>IF(BA354="","",IFERROR(INDEX(wMean,285)+0,""))</f>
        <v/>
      </c>
      <c r="BG354" t="str">
        <f>IF(BA354="","",IFERROR(INDEX(wVs,285)+0,""))</f>
        <v/>
      </c>
      <c r="BH354" t="str">
        <f>IF(OR(BA354="",wLatest=""),"",IFERROR(INDEX(wData,285,MATCH(wLatest&amp;CHAR(10)&amp;"Stanine",wHdr,0))+0,""))</f>
        <v/>
      </c>
      <c r="BI354" t="str">
        <f>IF(BA354="","",IF(AND(ISNUMBER(BG354),N(BE354)&gt;=WlMinTests,BG354&lt;=-WlGap),"Below KS2 starting point",IF(AND(NOT(ISNUMBER(BD354)),ISNUMBER(BF354),N(BE354)&gt;=WlMinTests,BF354&lt;=WlLowMean),"Low results, no KS2 data","")))</f>
        <v/>
      </c>
      <c r="BJ354" t="str">
        <f>IF(BI354="","",IF(BI354="Below KS2 starting point",BG354,100+BF354)+ROW()/1000000)</f>
        <v/>
      </c>
    </row>
    <row r="355">
      <c r="H355" t="str">
        <f>IFERROR(INDEX(tblY7[Class],ROWS(H$10:H355))&amp;"","")</f>
        <v/>
      </c>
      <c r="I355" t="str">
        <f>IF(H355="","",IF(COUNTIF(H$10:H355,H355)=1,COUNTIF(H$10:H$609,"&lt;"&amp;H355)+1,""))</f>
        <v/>
      </c>
      <c r="J355" t="str">
        <f>IFERROR(INDEX(tblY8[Class],ROWS(J$10:J355))&amp;"","")</f>
        <v/>
      </c>
      <c r="K355" t="str">
        <f>IF(J355="","",IF(COUNTIF(J$10:J355,J355)=1,COUNTIF(J$10:J$609,"&lt;"&amp;J355)+1,""))</f>
        <v/>
      </c>
      <c r="L355" t="str">
        <f>IFERROR(INDEX(tblY9[Class],ROWS(L$10:L355))&amp;"","")</f>
        <v/>
      </c>
      <c r="M355" t="str">
        <f>IF(L355="","",IF(COUNTIF(L$10:L355,L355)=1,COUNTIF(L$10:L$609,"&lt;"&amp;L355)+1,""))</f>
        <v/>
      </c>
      <c r="N355" t="str">
        <f>IFERROR(INDEX(tblY10[Class],ROWS(N$10:N355))&amp;"","")</f>
        <v/>
      </c>
      <c r="O355" t="str">
        <f>IF(N355="","",IF(COUNTIF(N$10:N355,N355)=1,COUNTIF(N$10:N$609,"&lt;"&amp;N355)+1,""))</f>
        <v/>
      </c>
      <c r="P355" t="str">
        <f>IFERROR(INDEX(tblY11[Class],ROWS(P$10:P355))&amp;"","")</f>
        <v/>
      </c>
      <c r="Q355" t="str">
        <f>IF(P355="","",IF(COUNTIF(P$10:P355,P355)=1,COUNTIF(P$10:P$609,"&lt;"&amp;P355)+1,""))</f>
        <v/>
      </c>
      <c r="BA355" t="str">
        <f>IFERROR(INDEX(wLast,286)&amp;"","")</f>
        <v/>
      </c>
      <c r="BB355" t="str">
        <f>IF(BA355="","",IFERROR(INDEX(wFirst,286)&amp;"",""))</f>
        <v/>
      </c>
      <c r="BC355" t="str">
        <f>IF(BA355="","",IFERROR(INDEX(wClass,286)&amp;"",""))</f>
        <v/>
      </c>
      <c r="BD355" t="str">
        <f>IF(BA355="","",IFERROR(INDEX(wKS2,286)+0,""))</f>
        <v/>
      </c>
      <c r="BE355" t="str">
        <f>IF(BA355="","",IFERROR(INDEX(wTests,286)+0,0))</f>
        <v/>
      </c>
      <c r="BF355" t="str">
        <f>IF(BA355="","",IFERROR(INDEX(wMean,286)+0,""))</f>
        <v/>
      </c>
      <c r="BG355" t="str">
        <f>IF(BA355="","",IFERROR(INDEX(wVs,286)+0,""))</f>
        <v/>
      </c>
      <c r="BH355" t="str">
        <f>IF(OR(BA355="",wLatest=""),"",IFERROR(INDEX(wData,286,MATCH(wLatest&amp;CHAR(10)&amp;"Stanine",wHdr,0))+0,""))</f>
        <v/>
      </c>
      <c r="BI355" t="str">
        <f>IF(BA355="","",IF(AND(ISNUMBER(BG355),N(BE355)&gt;=WlMinTests,BG355&lt;=-WlGap),"Below KS2 starting point",IF(AND(NOT(ISNUMBER(BD355)),ISNUMBER(BF355),N(BE355)&gt;=WlMinTests,BF355&lt;=WlLowMean),"Low results, no KS2 data","")))</f>
        <v/>
      </c>
      <c r="BJ355" t="str">
        <f>IF(BI355="","",IF(BI355="Below KS2 starting point",BG355,100+BF355)+ROW()/1000000)</f>
        <v/>
      </c>
    </row>
    <row r="356">
      <c r="H356" t="str">
        <f>IFERROR(INDEX(tblY7[Class],ROWS(H$10:H356))&amp;"","")</f>
        <v/>
      </c>
      <c r="I356" t="str">
        <f>IF(H356="","",IF(COUNTIF(H$10:H356,H356)=1,COUNTIF(H$10:H$609,"&lt;"&amp;H356)+1,""))</f>
        <v/>
      </c>
      <c r="J356" t="str">
        <f>IFERROR(INDEX(tblY8[Class],ROWS(J$10:J356))&amp;"","")</f>
        <v/>
      </c>
      <c r="K356" t="str">
        <f>IF(J356="","",IF(COUNTIF(J$10:J356,J356)=1,COUNTIF(J$10:J$609,"&lt;"&amp;J356)+1,""))</f>
        <v/>
      </c>
      <c r="L356" t="str">
        <f>IFERROR(INDEX(tblY9[Class],ROWS(L$10:L356))&amp;"","")</f>
        <v/>
      </c>
      <c r="M356" t="str">
        <f>IF(L356="","",IF(COUNTIF(L$10:L356,L356)=1,COUNTIF(L$10:L$609,"&lt;"&amp;L356)+1,""))</f>
        <v/>
      </c>
      <c r="N356" t="str">
        <f>IFERROR(INDEX(tblY10[Class],ROWS(N$10:N356))&amp;"","")</f>
        <v/>
      </c>
      <c r="O356" t="str">
        <f>IF(N356="","",IF(COUNTIF(N$10:N356,N356)=1,COUNTIF(N$10:N$609,"&lt;"&amp;N356)+1,""))</f>
        <v/>
      </c>
      <c r="P356" t="str">
        <f>IFERROR(INDEX(tblY11[Class],ROWS(P$10:P356))&amp;"","")</f>
        <v/>
      </c>
      <c r="Q356" t="str">
        <f>IF(P356="","",IF(COUNTIF(P$10:P356,P356)=1,COUNTIF(P$10:P$609,"&lt;"&amp;P356)+1,""))</f>
        <v/>
      </c>
      <c r="BA356" t="str">
        <f>IFERROR(INDEX(wLast,287)&amp;"","")</f>
        <v/>
      </c>
      <c r="BB356" t="str">
        <f>IF(BA356="","",IFERROR(INDEX(wFirst,287)&amp;"",""))</f>
        <v/>
      </c>
      <c r="BC356" t="str">
        <f>IF(BA356="","",IFERROR(INDEX(wClass,287)&amp;"",""))</f>
        <v/>
      </c>
      <c r="BD356" t="str">
        <f>IF(BA356="","",IFERROR(INDEX(wKS2,287)+0,""))</f>
        <v/>
      </c>
      <c r="BE356" t="str">
        <f>IF(BA356="","",IFERROR(INDEX(wTests,287)+0,0))</f>
        <v/>
      </c>
      <c r="BF356" t="str">
        <f>IF(BA356="","",IFERROR(INDEX(wMean,287)+0,""))</f>
        <v/>
      </c>
      <c r="BG356" t="str">
        <f>IF(BA356="","",IFERROR(INDEX(wVs,287)+0,""))</f>
        <v/>
      </c>
      <c r="BH356" t="str">
        <f>IF(OR(BA356="",wLatest=""),"",IFERROR(INDEX(wData,287,MATCH(wLatest&amp;CHAR(10)&amp;"Stanine",wHdr,0))+0,""))</f>
        <v/>
      </c>
      <c r="BI356" t="str">
        <f>IF(BA356="","",IF(AND(ISNUMBER(BG356),N(BE356)&gt;=WlMinTests,BG356&lt;=-WlGap),"Below KS2 starting point",IF(AND(NOT(ISNUMBER(BD356)),ISNUMBER(BF356),N(BE356)&gt;=WlMinTests,BF356&lt;=WlLowMean),"Low results, no KS2 data","")))</f>
        <v/>
      </c>
      <c r="BJ356" t="str">
        <f>IF(BI356="","",IF(BI356="Below KS2 starting point",BG356,100+BF356)+ROW()/1000000)</f>
        <v/>
      </c>
    </row>
    <row r="357">
      <c r="H357" t="str">
        <f>IFERROR(INDEX(tblY7[Class],ROWS(H$10:H357))&amp;"","")</f>
        <v/>
      </c>
      <c r="I357" t="str">
        <f>IF(H357="","",IF(COUNTIF(H$10:H357,H357)=1,COUNTIF(H$10:H$609,"&lt;"&amp;H357)+1,""))</f>
        <v/>
      </c>
      <c r="J357" t="str">
        <f>IFERROR(INDEX(tblY8[Class],ROWS(J$10:J357))&amp;"","")</f>
        <v/>
      </c>
      <c r="K357" t="str">
        <f>IF(J357="","",IF(COUNTIF(J$10:J357,J357)=1,COUNTIF(J$10:J$609,"&lt;"&amp;J357)+1,""))</f>
        <v/>
      </c>
      <c r="L357" t="str">
        <f>IFERROR(INDEX(tblY9[Class],ROWS(L$10:L357))&amp;"","")</f>
        <v/>
      </c>
      <c r="M357" t="str">
        <f>IF(L357="","",IF(COUNTIF(L$10:L357,L357)=1,COUNTIF(L$10:L$609,"&lt;"&amp;L357)+1,""))</f>
        <v/>
      </c>
      <c r="N357" t="str">
        <f>IFERROR(INDEX(tblY10[Class],ROWS(N$10:N357))&amp;"","")</f>
        <v/>
      </c>
      <c r="O357" t="str">
        <f>IF(N357="","",IF(COUNTIF(N$10:N357,N357)=1,COUNTIF(N$10:N$609,"&lt;"&amp;N357)+1,""))</f>
        <v/>
      </c>
      <c r="P357" t="str">
        <f>IFERROR(INDEX(tblY11[Class],ROWS(P$10:P357))&amp;"","")</f>
        <v/>
      </c>
      <c r="Q357" t="str">
        <f>IF(P357="","",IF(COUNTIF(P$10:P357,P357)=1,COUNTIF(P$10:P$609,"&lt;"&amp;P357)+1,""))</f>
        <v/>
      </c>
      <c r="BA357" t="str">
        <f>IFERROR(INDEX(wLast,288)&amp;"","")</f>
        <v/>
      </c>
      <c r="BB357" t="str">
        <f>IF(BA357="","",IFERROR(INDEX(wFirst,288)&amp;"",""))</f>
        <v/>
      </c>
      <c r="BC357" t="str">
        <f>IF(BA357="","",IFERROR(INDEX(wClass,288)&amp;"",""))</f>
        <v/>
      </c>
      <c r="BD357" t="str">
        <f>IF(BA357="","",IFERROR(INDEX(wKS2,288)+0,""))</f>
        <v/>
      </c>
      <c r="BE357" t="str">
        <f>IF(BA357="","",IFERROR(INDEX(wTests,288)+0,0))</f>
        <v/>
      </c>
      <c r="BF357" t="str">
        <f>IF(BA357="","",IFERROR(INDEX(wMean,288)+0,""))</f>
        <v/>
      </c>
      <c r="BG357" t="str">
        <f>IF(BA357="","",IFERROR(INDEX(wVs,288)+0,""))</f>
        <v/>
      </c>
      <c r="BH357" t="str">
        <f>IF(OR(BA357="",wLatest=""),"",IFERROR(INDEX(wData,288,MATCH(wLatest&amp;CHAR(10)&amp;"Stanine",wHdr,0))+0,""))</f>
        <v/>
      </c>
      <c r="BI357" t="str">
        <f>IF(BA357="","",IF(AND(ISNUMBER(BG357),N(BE357)&gt;=WlMinTests,BG357&lt;=-WlGap),"Below KS2 starting point",IF(AND(NOT(ISNUMBER(BD357)),ISNUMBER(BF357),N(BE357)&gt;=WlMinTests,BF357&lt;=WlLowMean),"Low results, no KS2 data","")))</f>
        <v/>
      </c>
      <c r="BJ357" t="str">
        <f>IF(BI357="","",IF(BI357="Below KS2 starting point",BG357,100+BF357)+ROW()/1000000)</f>
        <v/>
      </c>
    </row>
    <row r="358">
      <c r="H358" t="str">
        <f>IFERROR(INDEX(tblY7[Class],ROWS(H$10:H358))&amp;"","")</f>
        <v/>
      </c>
      <c r="I358" t="str">
        <f>IF(H358="","",IF(COUNTIF(H$10:H358,H358)=1,COUNTIF(H$10:H$609,"&lt;"&amp;H358)+1,""))</f>
        <v/>
      </c>
      <c r="J358" t="str">
        <f>IFERROR(INDEX(tblY8[Class],ROWS(J$10:J358))&amp;"","")</f>
        <v/>
      </c>
      <c r="K358" t="str">
        <f>IF(J358="","",IF(COUNTIF(J$10:J358,J358)=1,COUNTIF(J$10:J$609,"&lt;"&amp;J358)+1,""))</f>
        <v/>
      </c>
      <c r="L358" t="str">
        <f>IFERROR(INDEX(tblY9[Class],ROWS(L$10:L358))&amp;"","")</f>
        <v/>
      </c>
      <c r="M358" t="str">
        <f>IF(L358="","",IF(COUNTIF(L$10:L358,L358)=1,COUNTIF(L$10:L$609,"&lt;"&amp;L358)+1,""))</f>
        <v/>
      </c>
      <c r="N358" t="str">
        <f>IFERROR(INDEX(tblY10[Class],ROWS(N$10:N358))&amp;"","")</f>
        <v/>
      </c>
      <c r="O358" t="str">
        <f>IF(N358="","",IF(COUNTIF(N$10:N358,N358)=1,COUNTIF(N$10:N$609,"&lt;"&amp;N358)+1,""))</f>
        <v/>
      </c>
      <c r="P358" t="str">
        <f>IFERROR(INDEX(tblY11[Class],ROWS(P$10:P358))&amp;"","")</f>
        <v/>
      </c>
      <c r="Q358" t="str">
        <f>IF(P358="","",IF(COUNTIF(P$10:P358,P358)=1,COUNTIF(P$10:P$609,"&lt;"&amp;P358)+1,""))</f>
        <v/>
      </c>
      <c r="BA358" t="str">
        <f>IFERROR(INDEX(wLast,289)&amp;"","")</f>
        <v/>
      </c>
      <c r="BB358" t="str">
        <f>IF(BA358="","",IFERROR(INDEX(wFirst,289)&amp;"",""))</f>
        <v/>
      </c>
      <c r="BC358" t="str">
        <f>IF(BA358="","",IFERROR(INDEX(wClass,289)&amp;"",""))</f>
        <v/>
      </c>
      <c r="BD358" t="str">
        <f>IF(BA358="","",IFERROR(INDEX(wKS2,289)+0,""))</f>
        <v/>
      </c>
      <c r="BE358" t="str">
        <f>IF(BA358="","",IFERROR(INDEX(wTests,289)+0,0))</f>
        <v/>
      </c>
      <c r="BF358" t="str">
        <f>IF(BA358="","",IFERROR(INDEX(wMean,289)+0,""))</f>
        <v/>
      </c>
      <c r="BG358" t="str">
        <f>IF(BA358="","",IFERROR(INDEX(wVs,289)+0,""))</f>
        <v/>
      </c>
      <c r="BH358" t="str">
        <f>IF(OR(BA358="",wLatest=""),"",IFERROR(INDEX(wData,289,MATCH(wLatest&amp;CHAR(10)&amp;"Stanine",wHdr,0))+0,""))</f>
        <v/>
      </c>
      <c r="BI358" t="str">
        <f>IF(BA358="","",IF(AND(ISNUMBER(BG358),N(BE358)&gt;=WlMinTests,BG358&lt;=-WlGap),"Below KS2 starting point",IF(AND(NOT(ISNUMBER(BD358)),ISNUMBER(BF358),N(BE358)&gt;=WlMinTests,BF358&lt;=WlLowMean),"Low results, no KS2 data","")))</f>
        <v/>
      </c>
      <c r="BJ358" t="str">
        <f>IF(BI358="","",IF(BI358="Below KS2 starting point",BG358,100+BF358)+ROW()/1000000)</f>
        <v/>
      </c>
    </row>
    <row r="359">
      <c r="H359" t="str">
        <f>IFERROR(INDEX(tblY7[Class],ROWS(H$10:H359))&amp;"","")</f>
        <v/>
      </c>
      <c r="I359" t="str">
        <f>IF(H359="","",IF(COUNTIF(H$10:H359,H359)=1,COUNTIF(H$10:H$609,"&lt;"&amp;H359)+1,""))</f>
        <v/>
      </c>
      <c r="J359" t="str">
        <f>IFERROR(INDEX(tblY8[Class],ROWS(J$10:J359))&amp;"","")</f>
        <v/>
      </c>
      <c r="K359" t="str">
        <f>IF(J359="","",IF(COUNTIF(J$10:J359,J359)=1,COUNTIF(J$10:J$609,"&lt;"&amp;J359)+1,""))</f>
        <v/>
      </c>
      <c r="L359" t="str">
        <f>IFERROR(INDEX(tblY9[Class],ROWS(L$10:L359))&amp;"","")</f>
        <v/>
      </c>
      <c r="M359" t="str">
        <f>IF(L359="","",IF(COUNTIF(L$10:L359,L359)=1,COUNTIF(L$10:L$609,"&lt;"&amp;L359)+1,""))</f>
        <v/>
      </c>
      <c r="N359" t="str">
        <f>IFERROR(INDEX(tblY10[Class],ROWS(N$10:N359))&amp;"","")</f>
        <v/>
      </c>
      <c r="O359" t="str">
        <f>IF(N359="","",IF(COUNTIF(N$10:N359,N359)=1,COUNTIF(N$10:N$609,"&lt;"&amp;N359)+1,""))</f>
        <v/>
      </c>
      <c r="P359" t="str">
        <f>IFERROR(INDEX(tblY11[Class],ROWS(P$10:P359))&amp;"","")</f>
        <v/>
      </c>
      <c r="Q359" t="str">
        <f>IF(P359="","",IF(COUNTIF(P$10:P359,P359)=1,COUNTIF(P$10:P$609,"&lt;"&amp;P359)+1,""))</f>
        <v/>
      </c>
      <c r="BA359" t="str">
        <f>IFERROR(INDEX(wLast,290)&amp;"","")</f>
        <v/>
      </c>
      <c r="BB359" t="str">
        <f>IF(BA359="","",IFERROR(INDEX(wFirst,290)&amp;"",""))</f>
        <v/>
      </c>
      <c r="BC359" t="str">
        <f>IF(BA359="","",IFERROR(INDEX(wClass,290)&amp;"",""))</f>
        <v/>
      </c>
      <c r="BD359" t="str">
        <f>IF(BA359="","",IFERROR(INDEX(wKS2,290)+0,""))</f>
        <v/>
      </c>
      <c r="BE359" t="str">
        <f>IF(BA359="","",IFERROR(INDEX(wTests,290)+0,0))</f>
        <v/>
      </c>
      <c r="BF359" t="str">
        <f>IF(BA359="","",IFERROR(INDEX(wMean,290)+0,""))</f>
        <v/>
      </c>
      <c r="BG359" t="str">
        <f>IF(BA359="","",IFERROR(INDEX(wVs,290)+0,""))</f>
        <v/>
      </c>
      <c r="BH359" t="str">
        <f>IF(OR(BA359="",wLatest=""),"",IFERROR(INDEX(wData,290,MATCH(wLatest&amp;CHAR(10)&amp;"Stanine",wHdr,0))+0,""))</f>
        <v/>
      </c>
      <c r="BI359" t="str">
        <f>IF(BA359="","",IF(AND(ISNUMBER(BG359),N(BE359)&gt;=WlMinTests,BG359&lt;=-WlGap),"Below KS2 starting point",IF(AND(NOT(ISNUMBER(BD359)),ISNUMBER(BF359),N(BE359)&gt;=WlMinTests,BF359&lt;=WlLowMean),"Low results, no KS2 data","")))</f>
        <v/>
      </c>
      <c r="BJ359" t="str">
        <f>IF(BI359="","",IF(BI359="Below KS2 starting point",BG359,100+BF359)+ROW()/1000000)</f>
        <v/>
      </c>
    </row>
    <row r="360">
      <c r="H360" t="str">
        <f>IFERROR(INDEX(tblY7[Class],ROWS(H$10:H360))&amp;"","")</f>
        <v/>
      </c>
      <c r="I360" t="str">
        <f>IF(H360="","",IF(COUNTIF(H$10:H360,H360)=1,COUNTIF(H$10:H$609,"&lt;"&amp;H360)+1,""))</f>
        <v/>
      </c>
      <c r="J360" t="str">
        <f>IFERROR(INDEX(tblY8[Class],ROWS(J$10:J360))&amp;"","")</f>
        <v/>
      </c>
      <c r="K360" t="str">
        <f>IF(J360="","",IF(COUNTIF(J$10:J360,J360)=1,COUNTIF(J$10:J$609,"&lt;"&amp;J360)+1,""))</f>
        <v/>
      </c>
      <c r="L360" t="str">
        <f>IFERROR(INDEX(tblY9[Class],ROWS(L$10:L360))&amp;"","")</f>
        <v/>
      </c>
      <c r="M360" t="str">
        <f>IF(L360="","",IF(COUNTIF(L$10:L360,L360)=1,COUNTIF(L$10:L$609,"&lt;"&amp;L360)+1,""))</f>
        <v/>
      </c>
      <c r="N360" t="str">
        <f>IFERROR(INDEX(tblY10[Class],ROWS(N$10:N360))&amp;"","")</f>
        <v/>
      </c>
      <c r="O360" t="str">
        <f>IF(N360="","",IF(COUNTIF(N$10:N360,N360)=1,COUNTIF(N$10:N$609,"&lt;"&amp;N360)+1,""))</f>
        <v/>
      </c>
      <c r="P360" t="str">
        <f>IFERROR(INDEX(tblY11[Class],ROWS(P$10:P360))&amp;"","")</f>
        <v/>
      </c>
      <c r="Q360" t="str">
        <f>IF(P360="","",IF(COUNTIF(P$10:P360,P360)=1,COUNTIF(P$10:P$609,"&lt;"&amp;P360)+1,""))</f>
        <v/>
      </c>
      <c r="BA360" t="str">
        <f>IFERROR(INDEX(wLast,291)&amp;"","")</f>
        <v/>
      </c>
      <c r="BB360" t="str">
        <f>IF(BA360="","",IFERROR(INDEX(wFirst,291)&amp;"",""))</f>
        <v/>
      </c>
      <c r="BC360" t="str">
        <f>IF(BA360="","",IFERROR(INDEX(wClass,291)&amp;"",""))</f>
        <v/>
      </c>
      <c r="BD360" t="str">
        <f>IF(BA360="","",IFERROR(INDEX(wKS2,291)+0,""))</f>
        <v/>
      </c>
      <c r="BE360" t="str">
        <f>IF(BA360="","",IFERROR(INDEX(wTests,291)+0,0))</f>
        <v/>
      </c>
      <c r="BF360" t="str">
        <f>IF(BA360="","",IFERROR(INDEX(wMean,291)+0,""))</f>
        <v/>
      </c>
      <c r="BG360" t="str">
        <f>IF(BA360="","",IFERROR(INDEX(wVs,291)+0,""))</f>
        <v/>
      </c>
      <c r="BH360" t="str">
        <f>IF(OR(BA360="",wLatest=""),"",IFERROR(INDEX(wData,291,MATCH(wLatest&amp;CHAR(10)&amp;"Stanine",wHdr,0))+0,""))</f>
        <v/>
      </c>
      <c r="BI360" t="str">
        <f>IF(BA360="","",IF(AND(ISNUMBER(BG360),N(BE360)&gt;=WlMinTests,BG360&lt;=-WlGap),"Below KS2 starting point",IF(AND(NOT(ISNUMBER(BD360)),ISNUMBER(BF360),N(BE360)&gt;=WlMinTests,BF360&lt;=WlLowMean),"Low results, no KS2 data","")))</f>
        <v/>
      </c>
      <c r="BJ360" t="str">
        <f>IF(BI360="","",IF(BI360="Below KS2 starting point",BG360,100+BF360)+ROW()/1000000)</f>
        <v/>
      </c>
    </row>
    <row r="361">
      <c r="H361" t="str">
        <f>IFERROR(INDEX(tblY7[Class],ROWS(H$10:H361))&amp;"","")</f>
        <v/>
      </c>
      <c r="I361" t="str">
        <f>IF(H361="","",IF(COUNTIF(H$10:H361,H361)=1,COUNTIF(H$10:H$609,"&lt;"&amp;H361)+1,""))</f>
        <v/>
      </c>
      <c r="J361" t="str">
        <f>IFERROR(INDEX(tblY8[Class],ROWS(J$10:J361))&amp;"","")</f>
        <v/>
      </c>
      <c r="K361" t="str">
        <f>IF(J361="","",IF(COUNTIF(J$10:J361,J361)=1,COUNTIF(J$10:J$609,"&lt;"&amp;J361)+1,""))</f>
        <v/>
      </c>
      <c r="L361" t="str">
        <f>IFERROR(INDEX(tblY9[Class],ROWS(L$10:L361))&amp;"","")</f>
        <v/>
      </c>
      <c r="M361" t="str">
        <f>IF(L361="","",IF(COUNTIF(L$10:L361,L361)=1,COUNTIF(L$10:L$609,"&lt;"&amp;L361)+1,""))</f>
        <v/>
      </c>
      <c r="N361" t="str">
        <f>IFERROR(INDEX(tblY10[Class],ROWS(N$10:N361))&amp;"","")</f>
        <v/>
      </c>
      <c r="O361" t="str">
        <f>IF(N361="","",IF(COUNTIF(N$10:N361,N361)=1,COUNTIF(N$10:N$609,"&lt;"&amp;N361)+1,""))</f>
        <v/>
      </c>
      <c r="P361" t="str">
        <f>IFERROR(INDEX(tblY11[Class],ROWS(P$10:P361))&amp;"","")</f>
        <v/>
      </c>
      <c r="Q361" t="str">
        <f>IF(P361="","",IF(COUNTIF(P$10:P361,P361)=1,COUNTIF(P$10:P$609,"&lt;"&amp;P361)+1,""))</f>
        <v/>
      </c>
      <c r="BA361" t="str">
        <f>IFERROR(INDEX(wLast,292)&amp;"","")</f>
        <v/>
      </c>
      <c r="BB361" t="str">
        <f>IF(BA361="","",IFERROR(INDEX(wFirst,292)&amp;"",""))</f>
        <v/>
      </c>
      <c r="BC361" t="str">
        <f>IF(BA361="","",IFERROR(INDEX(wClass,292)&amp;"",""))</f>
        <v/>
      </c>
      <c r="BD361" t="str">
        <f>IF(BA361="","",IFERROR(INDEX(wKS2,292)+0,""))</f>
        <v/>
      </c>
      <c r="BE361" t="str">
        <f>IF(BA361="","",IFERROR(INDEX(wTests,292)+0,0))</f>
        <v/>
      </c>
      <c r="BF361" t="str">
        <f>IF(BA361="","",IFERROR(INDEX(wMean,292)+0,""))</f>
        <v/>
      </c>
      <c r="BG361" t="str">
        <f>IF(BA361="","",IFERROR(INDEX(wVs,292)+0,""))</f>
        <v/>
      </c>
      <c r="BH361" t="str">
        <f>IF(OR(BA361="",wLatest=""),"",IFERROR(INDEX(wData,292,MATCH(wLatest&amp;CHAR(10)&amp;"Stanine",wHdr,0))+0,""))</f>
        <v/>
      </c>
      <c r="BI361" t="str">
        <f>IF(BA361="","",IF(AND(ISNUMBER(BG361),N(BE361)&gt;=WlMinTests,BG361&lt;=-WlGap),"Below KS2 starting point",IF(AND(NOT(ISNUMBER(BD361)),ISNUMBER(BF361),N(BE361)&gt;=WlMinTests,BF361&lt;=WlLowMean),"Low results, no KS2 data","")))</f>
        <v/>
      </c>
      <c r="BJ361" t="str">
        <f>IF(BI361="","",IF(BI361="Below KS2 starting point",BG361,100+BF361)+ROW()/1000000)</f>
        <v/>
      </c>
    </row>
    <row r="362">
      <c r="H362" t="str">
        <f>IFERROR(INDEX(tblY7[Class],ROWS(H$10:H362))&amp;"","")</f>
        <v/>
      </c>
      <c r="I362" t="str">
        <f>IF(H362="","",IF(COUNTIF(H$10:H362,H362)=1,COUNTIF(H$10:H$609,"&lt;"&amp;H362)+1,""))</f>
        <v/>
      </c>
      <c r="J362" t="str">
        <f>IFERROR(INDEX(tblY8[Class],ROWS(J$10:J362))&amp;"","")</f>
        <v/>
      </c>
      <c r="K362" t="str">
        <f>IF(J362="","",IF(COUNTIF(J$10:J362,J362)=1,COUNTIF(J$10:J$609,"&lt;"&amp;J362)+1,""))</f>
        <v/>
      </c>
      <c r="L362" t="str">
        <f>IFERROR(INDEX(tblY9[Class],ROWS(L$10:L362))&amp;"","")</f>
        <v/>
      </c>
      <c r="M362" t="str">
        <f>IF(L362="","",IF(COUNTIF(L$10:L362,L362)=1,COUNTIF(L$10:L$609,"&lt;"&amp;L362)+1,""))</f>
        <v/>
      </c>
      <c r="N362" t="str">
        <f>IFERROR(INDEX(tblY10[Class],ROWS(N$10:N362))&amp;"","")</f>
        <v/>
      </c>
      <c r="O362" t="str">
        <f>IF(N362="","",IF(COUNTIF(N$10:N362,N362)=1,COUNTIF(N$10:N$609,"&lt;"&amp;N362)+1,""))</f>
        <v/>
      </c>
      <c r="P362" t="str">
        <f>IFERROR(INDEX(tblY11[Class],ROWS(P$10:P362))&amp;"","")</f>
        <v/>
      </c>
      <c r="Q362" t="str">
        <f>IF(P362="","",IF(COUNTIF(P$10:P362,P362)=1,COUNTIF(P$10:P$609,"&lt;"&amp;P362)+1,""))</f>
        <v/>
      </c>
      <c r="BA362" t="str">
        <f>IFERROR(INDEX(wLast,293)&amp;"","")</f>
        <v/>
      </c>
      <c r="BB362" t="str">
        <f>IF(BA362="","",IFERROR(INDEX(wFirst,293)&amp;"",""))</f>
        <v/>
      </c>
      <c r="BC362" t="str">
        <f>IF(BA362="","",IFERROR(INDEX(wClass,293)&amp;"",""))</f>
        <v/>
      </c>
      <c r="BD362" t="str">
        <f>IF(BA362="","",IFERROR(INDEX(wKS2,293)+0,""))</f>
        <v/>
      </c>
      <c r="BE362" t="str">
        <f>IF(BA362="","",IFERROR(INDEX(wTests,293)+0,0))</f>
        <v/>
      </c>
      <c r="BF362" t="str">
        <f>IF(BA362="","",IFERROR(INDEX(wMean,293)+0,""))</f>
        <v/>
      </c>
      <c r="BG362" t="str">
        <f>IF(BA362="","",IFERROR(INDEX(wVs,293)+0,""))</f>
        <v/>
      </c>
      <c r="BH362" t="str">
        <f>IF(OR(BA362="",wLatest=""),"",IFERROR(INDEX(wData,293,MATCH(wLatest&amp;CHAR(10)&amp;"Stanine",wHdr,0))+0,""))</f>
        <v/>
      </c>
      <c r="BI362" t="str">
        <f>IF(BA362="","",IF(AND(ISNUMBER(BG362),N(BE362)&gt;=WlMinTests,BG362&lt;=-WlGap),"Below KS2 starting point",IF(AND(NOT(ISNUMBER(BD362)),ISNUMBER(BF362),N(BE362)&gt;=WlMinTests,BF362&lt;=WlLowMean),"Low results, no KS2 data","")))</f>
        <v/>
      </c>
      <c r="BJ362" t="str">
        <f>IF(BI362="","",IF(BI362="Below KS2 starting point",BG362,100+BF362)+ROW()/1000000)</f>
        <v/>
      </c>
    </row>
    <row r="363">
      <c r="H363" t="str">
        <f>IFERROR(INDEX(tblY7[Class],ROWS(H$10:H363))&amp;"","")</f>
        <v/>
      </c>
      <c r="I363" t="str">
        <f>IF(H363="","",IF(COUNTIF(H$10:H363,H363)=1,COUNTIF(H$10:H$609,"&lt;"&amp;H363)+1,""))</f>
        <v/>
      </c>
      <c r="J363" t="str">
        <f>IFERROR(INDEX(tblY8[Class],ROWS(J$10:J363))&amp;"","")</f>
        <v/>
      </c>
      <c r="K363" t="str">
        <f>IF(J363="","",IF(COUNTIF(J$10:J363,J363)=1,COUNTIF(J$10:J$609,"&lt;"&amp;J363)+1,""))</f>
        <v/>
      </c>
      <c r="L363" t="str">
        <f>IFERROR(INDEX(tblY9[Class],ROWS(L$10:L363))&amp;"","")</f>
        <v/>
      </c>
      <c r="M363" t="str">
        <f>IF(L363="","",IF(COUNTIF(L$10:L363,L363)=1,COUNTIF(L$10:L$609,"&lt;"&amp;L363)+1,""))</f>
        <v/>
      </c>
      <c r="N363" t="str">
        <f>IFERROR(INDEX(tblY10[Class],ROWS(N$10:N363))&amp;"","")</f>
        <v/>
      </c>
      <c r="O363" t="str">
        <f>IF(N363="","",IF(COUNTIF(N$10:N363,N363)=1,COUNTIF(N$10:N$609,"&lt;"&amp;N363)+1,""))</f>
        <v/>
      </c>
      <c r="P363" t="str">
        <f>IFERROR(INDEX(tblY11[Class],ROWS(P$10:P363))&amp;"","")</f>
        <v/>
      </c>
      <c r="Q363" t="str">
        <f>IF(P363="","",IF(COUNTIF(P$10:P363,P363)=1,COUNTIF(P$10:P$609,"&lt;"&amp;P363)+1,""))</f>
        <v/>
      </c>
      <c r="BA363" t="str">
        <f>IFERROR(INDEX(wLast,294)&amp;"","")</f>
        <v/>
      </c>
      <c r="BB363" t="str">
        <f>IF(BA363="","",IFERROR(INDEX(wFirst,294)&amp;"",""))</f>
        <v/>
      </c>
      <c r="BC363" t="str">
        <f>IF(BA363="","",IFERROR(INDEX(wClass,294)&amp;"",""))</f>
        <v/>
      </c>
      <c r="BD363" t="str">
        <f>IF(BA363="","",IFERROR(INDEX(wKS2,294)+0,""))</f>
        <v/>
      </c>
      <c r="BE363" t="str">
        <f>IF(BA363="","",IFERROR(INDEX(wTests,294)+0,0))</f>
        <v/>
      </c>
      <c r="BF363" t="str">
        <f>IF(BA363="","",IFERROR(INDEX(wMean,294)+0,""))</f>
        <v/>
      </c>
      <c r="BG363" t="str">
        <f>IF(BA363="","",IFERROR(INDEX(wVs,294)+0,""))</f>
        <v/>
      </c>
      <c r="BH363" t="str">
        <f>IF(OR(BA363="",wLatest=""),"",IFERROR(INDEX(wData,294,MATCH(wLatest&amp;CHAR(10)&amp;"Stanine",wHdr,0))+0,""))</f>
        <v/>
      </c>
      <c r="BI363" t="str">
        <f>IF(BA363="","",IF(AND(ISNUMBER(BG363),N(BE363)&gt;=WlMinTests,BG363&lt;=-WlGap),"Below KS2 starting point",IF(AND(NOT(ISNUMBER(BD363)),ISNUMBER(BF363),N(BE363)&gt;=WlMinTests,BF363&lt;=WlLowMean),"Low results, no KS2 data","")))</f>
        <v/>
      </c>
      <c r="BJ363" t="str">
        <f>IF(BI363="","",IF(BI363="Below KS2 starting point",BG363,100+BF363)+ROW()/1000000)</f>
        <v/>
      </c>
    </row>
    <row r="364">
      <c r="H364" t="str">
        <f>IFERROR(INDEX(tblY7[Class],ROWS(H$10:H364))&amp;"","")</f>
        <v/>
      </c>
      <c r="I364" t="str">
        <f>IF(H364="","",IF(COUNTIF(H$10:H364,H364)=1,COUNTIF(H$10:H$609,"&lt;"&amp;H364)+1,""))</f>
        <v/>
      </c>
      <c r="J364" t="str">
        <f>IFERROR(INDEX(tblY8[Class],ROWS(J$10:J364))&amp;"","")</f>
        <v/>
      </c>
      <c r="K364" t="str">
        <f>IF(J364="","",IF(COUNTIF(J$10:J364,J364)=1,COUNTIF(J$10:J$609,"&lt;"&amp;J364)+1,""))</f>
        <v/>
      </c>
      <c r="L364" t="str">
        <f>IFERROR(INDEX(tblY9[Class],ROWS(L$10:L364))&amp;"","")</f>
        <v/>
      </c>
      <c r="M364" t="str">
        <f>IF(L364="","",IF(COUNTIF(L$10:L364,L364)=1,COUNTIF(L$10:L$609,"&lt;"&amp;L364)+1,""))</f>
        <v/>
      </c>
      <c r="N364" t="str">
        <f>IFERROR(INDEX(tblY10[Class],ROWS(N$10:N364))&amp;"","")</f>
        <v/>
      </c>
      <c r="O364" t="str">
        <f>IF(N364="","",IF(COUNTIF(N$10:N364,N364)=1,COUNTIF(N$10:N$609,"&lt;"&amp;N364)+1,""))</f>
        <v/>
      </c>
      <c r="P364" t="str">
        <f>IFERROR(INDEX(tblY11[Class],ROWS(P$10:P364))&amp;"","")</f>
        <v/>
      </c>
      <c r="Q364" t="str">
        <f>IF(P364="","",IF(COUNTIF(P$10:P364,P364)=1,COUNTIF(P$10:P$609,"&lt;"&amp;P364)+1,""))</f>
        <v/>
      </c>
      <c r="BA364" t="str">
        <f>IFERROR(INDEX(wLast,295)&amp;"","")</f>
        <v/>
      </c>
      <c r="BB364" t="str">
        <f>IF(BA364="","",IFERROR(INDEX(wFirst,295)&amp;"",""))</f>
        <v/>
      </c>
      <c r="BC364" t="str">
        <f>IF(BA364="","",IFERROR(INDEX(wClass,295)&amp;"",""))</f>
        <v/>
      </c>
      <c r="BD364" t="str">
        <f>IF(BA364="","",IFERROR(INDEX(wKS2,295)+0,""))</f>
        <v/>
      </c>
      <c r="BE364" t="str">
        <f>IF(BA364="","",IFERROR(INDEX(wTests,295)+0,0))</f>
        <v/>
      </c>
      <c r="BF364" t="str">
        <f>IF(BA364="","",IFERROR(INDEX(wMean,295)+0,""))</f>
        <v/>
      </c>
      <c r="BG364" t="str">
        <f>IF(BA364="","",IFERROR(INDEX(wVs,295)+0,""))</f>
        <v/>
      </c>
      <c r="BH364" t="str">
        <f>IF(OR(BA364="",wLatest=""),"",IFERROR(INDEX(wData,295,MATCH(wLatest&amp;CHAR(10)&amp;"Stanine",wHdr,0))+0,""))</f>
        <v/>
      </c>
      <c r="BI364" t="str">
        <f>IF(BA364="","",IF(AND(ISNUMBER(BG364),N(BE364)&gt;=WlMinTests,BG364&lt;=-WlGap),"Below KS2 starting point",IF(AND(NOT(ISNUMBER(BD364)),ISNUMBER(BF364),N(BE364)&gt;=WlMinTests,BF364&lt;=WlLowMean),"Low results, no KS2 data","")))</f>
        <v/>
      </c>
      <c r="BJ364" t="str">
        <f>IF(BI364="","",IF(BI364="Below KS2 starting point",BG364,100+BF364)+ROW()/1000000)</f>
        <v/>
      </c>
    </row>
    <row r="365">
      <c r="H365" t="str">
        <f>IFERROR(INDEX(tblY7[Class],ROWS(H$10:H365))&amp;"","")</f>
        <v/>
      </c>
      <c r="I365" t="str">
        <f>IF(H365="","",IF(COUNTIF(H$10:H365,H365)=1,COUNTIF(H$10:H$609,"&lt;"&amp;H365)+1,""))</f>
        <v/>
      </c>
      <c r="J365" t="str">
        <f>IFERROR(INDEX(tblY8[Class],ROWS(J$10:J365))&amp;"","")</f>
        <v/>
      </c>
      <c r="K365" t="str">
        <f>IF(J365="","",IF(COUNTIF(J$10:J365,J365)=1,COUNTIF(J$10:J$609,"&lt;"&amp;J365)+1,""))</f>
        <v/>
      </c>
      <c r="L365" t="str">
        <f>IFERROR(INDEX(tblY9[Class],ROWS(L$10:L365))&amp;"","")</f>
        <v/>
      </c>
      <c r="M365" t="str">
        <f>IF(L365="","",IF(COUNTIF(L$10:L365,L365)=1,COUNTIF(L$10:L$609,"&lt;"&amp;L365)+1,""))</f>
        <v/>
      </c>
      <c r="N365" t="str">
        <f>IFERROR(INDEX(tblY10[Class],ROWS(N$10:N365))&amp;"","")</f>
        <v/>
      </c>
      <c r="O365" t="str">
        <f>IF(N365="","",IF(COUNTIF(N$10:N365,N365)=1,COUNTIF(N$10:N$609,"&lt;"&amp;N365)+1,""))</f>
        <v/>
      </c>
      <c r="P365" t="str">
        <f>IFERROR(INDEX(tblY11[Class],ROWS(P$10:P365))&amp;"","")</f>
        <v/>
      </c>
      <c r="Q365" t="str">
        <f>IF(P365="","",IF(COUNTIF(P$10:P365,P365)=1,COUNTIF(P$10:P$609,"&lt;"&amp;P365)+1,""))</f>
        <v/>
      </c>
      <c r="BA365" t="str">
        <f>IFERROR(INDEX(wLast,296)&amp;"","")</f>
        <v/>
      </c>
      <c r="BB365" t="str">
        <f>IF(BA365="","",IFERROR(INDEX(wFirst,296)&amp;"",""))</f>
        <v/>
      </c>
      <c r="BC365" t="str">
        <f>IF(BA365="","",IFERROR(INDEX(wClass,296)&amp;"",""))</f>
        <v/>
      </c>
      <c r="BD365" t="str">
        <f>IF(BA365="","",IFERROR(INDEX(wKS2,296)+0,""))</f>
        <v/>
      </c>
      <c r="BE365" t="str">
        <f>IF(BA365="","",IFERROR(INDEX(wTests,296)+0,0))</f>
        <v/>
      </c>
      <c r="BF365" t="str">
        <f>IF(BA365="","",IFERROR(INDEX(wMean,296)+0,""))</f>
        <v/>
      </c>
      <c r="BG365" t="str">
        <f>IF(BA365="","",IFERROR(INDEX(wVs,296)+0,""))</f>
        <v/>
      </c>
      <c r="BH365" t="str">
        <f>IF(OR(BA365="",wLatest=""),"",IFERROR(INDEX(wData,296,MATCH(wLatest&amp;CHAR(10)&amp;"Stanine",wHdr,0))+0,""))</f>
        <v/>
      </c>
      <c r="BI365" t="str">
        <f>IF(BA365="","",IF(AND(ISNUMBER(BG365),N(BE365)&gt;=WlMinTests,BG365&lt;=-WlGap),"Below KS2 starting point",IF(AND(NOT(ISNUMBER(BD365)),ISNUMBER(BF365),N(BE365)&gt;=WlMinTests,BF365&lt;=WlLowMean),"Low results, no KS2 data","")))</f>
        <v/>
      </c>
      <c r="BJ365" t="str">
        <f>IF(BI365="","",IF(BI365="Below KS2 starting point",BG365,100+BF365)+ROW()/1000000)</f>
        <v/>
      </c>
    </row>
    <row r="366">
      <c r="H366" t="str">
        <f>IFERROR(INDEX(tblY7[Class],ROWS(H$10:H366))&amp;"","")</f>
        <v/>
      </c>
      <c r="I366" t="str">
        <f>IF(H366="","",IF(COUNTIF(H$10:H366,H366)=1,COUNTIF(H$10:H$609,"&lt;"&amp;H366)+1,""))</f>
        <v/>
      </c>
      <c r="J366" t="str">
        <f>IFERROR(INDEX(tblY8[Class],ROWS(J$10:J366))&amp;"","")</f>
        <v/>
      </c>
      <c r="K366" t="str">
        <f>IF(J366="","",IF(COUNTIF(J$10:J366,J366)=1,COUNTIF(J$10:J$609,"&lt;"&amp;J366)+1,""))</f>
        <v/>
      </c>
      <c r="L366" t="str">
        <f>IFERROR(INDEX(tblY9[Class],ROWS(L$10:L366))&amp;"","")</f>
        <v/>
      </c>
      <c r="M366" t="str">
        <f>IF(L366="","",IF(COUNTIF(L$10:L366,L366)=1,COUNTIF(L$10:L$609,"&lt;"&amp;L366)+1,""))</f>
        <v/>
      </c>
      <c r="N366" t="str">
        <f>IFERROR(INDEX(tblY10[Class],ROWS(N$10:N366))&amp;"","")</f>
        <v/>
      </c>
      <c r="O366" t="str">
        <f>IF(N366="","",IF(COUNTIF(N$10:N366,N366)=1,COUNTIF(N$10:N$609,"&lt;"&amp;N366)+1,""))</f>
        <v/>
      </c>
      <c r="P366" t="str">
        <f>IFERROR(INDEX(tblY11[Class],ROWS(P$10:P366))&amp;"","")</f>
        <v/>
      </c>
      <c r="Q366" t="str">
        <f>IF(P366="","",IF(COUNTIF(P$10:P366,P366)=1,COUNTIF(P$10:P$609,"&lt;"&amp;P366)+1,""))</f>
        <v/>
      </c>
      <c r="BA366" t="str">
        <f>IFERROR(INDEX(wLast,297)&amp;"","")</f>
        <v/>
      </c>
      <c r="BB366" t="str">
        <f>IF(BA366="","",IFERROR(INDEX(wFirst,297)&amp;"",""))</f>
        <v/>
      </c>
      <c r="BC366" t="str">
        <f>IF(BA366="","",IFERROR(INDEX(wClass,297)&amp;"",""))</f>
        <v/>
      </c>
      <c r="BD366" t="str">
        <f>IF(BA366="","",IFERROR(INDEX(wKS2,297)+0,""))</f>
        <v/>
      </c>
      <c r="BE366" t="str">
        <f>IF(BA366="","",IFERROR(INDEX(wTests,297)+0,0))</f>
        <v/>
      </c>
      <c r="BF366" t="str">
        <f>IF(BA366="","",IFERROR(INDEX(wMean,297)+0,""))</f>
        <v/>
      </c>
      <c r="BG366" t="str">
        <f>IF(BA366="","",IFERROR(INDEX(wVs,297)+0,""))</f>
        <v/>
      </c>
      <c r="BH366" t="str">
        <f>IF(OR(BA366="",wLatest=""),"",IFERROR(INDEX(wData,297,MATCH(wLatest&amp;CHAR(10)&amp;"Stanine",wHdr,0))+0,""))</f>
        <v/>
      </c>
      <c r="BI366" t="str">
        <f>IF(BA366="","",IF(AND(ISNUMBER(BG366),N(BE366)&gt;=WlMinTests,BG366&lt;=-WlGap),"Below KS2 starting point",IF(AND(NOT(ISNUMBER(BD366)),ISNUMBER(BF366),N(BE366)&gt;=WlMinTests,BF366&lt;=WlLowMean),"Low results, no KS2 data","")))</f>
        <v/>
      </c>
      <c r="BJ366" t="str">
        <f>IF(BI366="","",IF(BI366="Below KS2 starting point",BG366,100+BF366)+ROW()/1000000)</f>
        <v/>
      </c>
    </row>
    <row r="367">
      <c r="H367" t="str">
        <f>IFERROR(INDEX(tblY7[Class],ROWS(H$10:H367))&amp;"","")</f>
        <v/>
      </c>
      <c r="I367" t="str">
        <f>IF(H367="","",IF(COUNTIF(H$10:H367,H367)=1,COUNTIF(H$10:H$609,"&lt;"&amp;H367)+1,""))</f>
        <v/>
      </c>
      <c r="J367" t="str">
        <f>IFERROR(INDEX(tblY8[Class],ROWS(J$10:J367))&amp;"","")</f>
        <v/>
      </c>
      <c r="K367" t="str">
        <f>IF(J367="","",IF(COUNTIF(J$10:J367,J367)=1,COUNTIF(J$10:J$609,"&lt;"&amp;J367)+1,""))</f>
        <v/>
      </c>
      <c r="L367" t="str">
        <f>IFERROR(INDEX(tblY9[Class],ROWS(L$10:L367))&amp;"","")</f>
        <v/>
      </c>
      <c r="M367" t="str">
        <f>IF(L367="","",IF(COUNTIF(L$10:L367,L367)=1,COUNTIF(L$10:L$609,"&lt;"&amp;L367)+1,""))</f>
        <v/>
      </c>
      <c r="N367" t="str">
        <f>IFERROR(INDEX(tblY10[Class],ROWS(N$10:N367))&amp;"","")</f>
        <v/>
      </c>
      <c r="O367" t="str">
        <f>IF(N367="","",IF(COUNTIF(N$10:N367,N367)=1,COUNTIF(N$10:N$609,"&lt;"&amp;N367)+1,""))</f>
        <v/>
      </c>
      <c r="P367" t="str">
        <f>IFERROR(INDEX(tblY11[Class],ROWS(P$10:P367))&amp;"","")</f>
        <v/>
      </c>
      <c r="Q367" t="str">
        <f>IF(P367="","",IF(COUNTIF(P$10:P367,P367)=1,COUNTIF(P$10:P$609,"&lt;"&amp;P367)+1,""))</f>
        <v/>
      </c>
      <c r="BA367" t="str">
        <f>IFERROR(INDEX(wLast,298)&amp;"","")</f>
        <v/>
      </c>
      <c r="BB367" t="str">
        <f>IF(BA367="","",IFERROR(INDEX(wFirst,298)&amp;"",""))</f>
        <v/>
      </c>
      <c r="BC367" t="str">
        <f>IF(BA367="","",IFERROR(INDEX(wClass,298)&amp;"",""))</f>
        <v/>
      </c>
      <c r="BD367" t="str">
        <f>IF(BA367="","",IFERROR(INDEX(wKS2,298)+0,""))</f>
        <v/>
      </c>
      <c r="BE367" t="str">
        <f>IF(BA367="","",IFERROR(INDEX(wTests,298)+0,0))</f>
        <v/>
      </c>
      <c r="BF367" t="str">
        <f>IF(BA367="","",IFERROR(INDEX(wMean,298)+0,""))</f>
        <v/>
      </c>
      <c r="BG367" t="str">
        <f>IF(BA367="","",IFERROR(INDEX(wVs,298)+0,""))</f>
        <v/>
      </c>
      <c r="BH367" t="str">
        <f>IF(OR(BA367="",wLatest=""),"",IFERROR(INDEX(wData,298,MATCH(wLatest&amp;CHAR(10)&amp;"Stanine",wHdr,0))+0,""))</f>
        <v/>
      </c>
      <c r="BI367" t="str">
        <f>IF(BA367="","",IF(AND(ISNUMBER(BG367),N(BE367)&gt;=WlMinTests,BG367&lt;=-WlGap),"Below KS2 starting point",IF(AND(NOT(ISNUMBER(BD367)),ISNUMBER(BF367),N(BE367)&gt;=WlMinTests,BF367&lt;=WlLowMean),"Low results, no KS2 data","")))</f>
        <v/>
      </c>
      <c r="BJ367" t="str">
        <f>IF(BI367="","",IF(BI367="Below KS2 starting point",BG367,100+BF367)+ROW()/1000000)</f>
        <v/>
      </c>
    </row>
    <row r="368">
      <c r="H368" t="str">
        <f>IFERROR(INDEX(tblY7[Class],ROWS(H$10:H368))&amp;"","")</f>
        <v/>
      </c>
      <c r="I368" t="str">
        <f>IF(H368="","",IF(COUNTIF(H$10:H368,H368)=1,COUNTIF(H$10:H$609,"&lt;"&amp;H368)+1,""))</f>
        <v/>
      </c>
      <c r="J368" t="str">
        <f>IFERROR(INDEX(tblY8[Class],ROWS(J$10:J368))&amp;"","")</f>
        <v/>
      </c>
      <c r="K368" t="str">
        <f>IF(J368="","",IF(COUNTIF(J$10:J368,J368)=1,COUNTIF(J$10:J$609,"&lt;"&amp;J368)+1,""))</f>
        <v/>
      </c>
      <c r="L368" t="str">
        <f>IFERROR(INDEX(tblY9[Class],ROWS(L$10:L368))&amp;"","")</f>
        <v/>
      </c>
      <c r="M368" t="str">
        <f>IF(L368="","",IF(COUNTIF(L$10:L368,L368)=1,COUNTIF(L$10:L$609,"&lt;"&amp;L368)+1,""))</f>
        <v/>
      </c>
      <c r="N368" t="str">
        <f>IFERROR(INDEX(tblY10[Class],ROWS(N$10:N368))&amp;"","")</f>
        <v/>
      </c>
      <c r="O368" t="str">
        <f>IF(N368="","",IF(COUNTIF(N$10:N368,N368)=1,COUNTIF(N$10:N$609,"&lt;"&amp;N368)+1,""))</f>
        <v/>
      </c>
      <c r="P368" t="str">
        <f>IFERROR(INDEX(tblY11[Class],ROWS(P$10:P368))&amp;"","")</f>
        <v/>
      </c>
      <c r="Q368" t="str">
        <f>IF(P368="","",IF(COUNTIF(P$10:P368,P368)=1,COUNTIF(P$10:P$609,"&lt;"&amp;P368)+1,""))</f>
        <v/>
      </c>
      <c r="BA368" t="str">
        <f>IFERROR(INDEX(wLast,299)&amp;"","")</f>
        <v/>
      </c>
      <c r="BB368" t="str">
        <f>IF(BA368="","",IFERROR(INDEX(wFirst,299)&amp;"",""))</f>
        <v/>
      </c>
      <c r="BC368" t="str">
        <f>IF(BA368="","",IFERROR(INDEX(wClass,299)&amp;"",""))</f>
        <v/>
      </c>
      <c r="BD368" t="str">
        <f>IF(BA368="","",IFERROR(INDEX(wKS2,299)+0,""))</f>
        <v/>
      </c>
      <c r="BE368" t="str">
        <f>IF(BA368="","",IFERROR(INDEX(wTests,299)+0,0))</f>
        <v/>
      </c>
      <c r="BF368" t="str">
        <f>IF(BA368="","",IFERROR(INDEX(wMean,299)+0,""))</f>
        <v/>
      </c>
      <c r="BG368" t="str">
        <f>IF(BA368="","",IFERROR(INDEX(wVs,299)+0,""))</f>
        <v/>
      </c>
      <c r="BH368" t="str">
        <f>IF(OR(BA368="",wLatest=""),"",IFERROR(INDEX(wData,299,MATCH(wLatest&amp;CHAR(10)&amp;"Stanine",wHdr,0))+0,""))</f>
        <v/>
      </c>
      <c r="BI368" t="str">
        <f>IF(BA368="","",IF(AND(ISNUMBER(BG368),N(BE368)&gt;=WlMinTests,BG368&lt;=-WlGap),"Below KS2 starting point",IF(AND(NOT(ISNUMBER(BD368)),ISNUMBER(BF368),N(BE368)&gt;=WlMinTests,BF368&lt;=WlLowMean),"Low results, no KS2 data","")))</f>
        <v/>
      </c>
      <c r="BJ368" t="str">
        <f>IF(BI368="","",IF(BI368="Below KS2 starting point",BG368,100+BF368)+ROW()/1000000)</f>
        <v/>
      </c>
    </row>
    <row r="369">
      <c r="H369" t="str">
        <f>IFERROR(INDEX(tblY7[Class],ROWS(H$10:H369))&amp;"","")</f>
        <v/>
      </c>
      <c r="I369" t="str">
        <f>IF(H369="","",IF(COUNTIF(H$10:H369,H369)=1,COUNTIF(H$10:H$609,"&lt;"&amp;H369)+1,""))</f>
        <v/>
      </c>
      <c r="J369" t="str">
        <f>IFERROR(INDEX(tblY8[Class],ROWS(J$10:J369))&amp;"","")</f>
        <v/>
      </c>
      <c r="K369" t="str">
        <f>IF(J369="","",IF(COUNTIF(J$10:J369,J369)=1,COUNTIF(J$10:J$609,"&lt;"&amp;J369)+1,""))</f>
        <v/>
      </c>
      <c r="L369" t="str">
        <f>IFERROR(INDEX(tblY9[Class],ROWS(L$10:L369))&amp;"","")</f>
        <v/>
      </c>
      <c r="M369" t="str">
        <f>IF(L369="","",IF(COUNTIF(L$10:L369,L369)=1,COUNTIF(L$10:L$609,"&lt;"&amp;L369)+1,""))</f>
        <v/>
      </c>
      <c r="N369" t="str">
        <f>IFERROR(INDEX(tblY10[Class],ROWS(N$10:N369))&amp;"","")</f>
        <v/>
      </c>
      <c r="O369" t="str">
        <f>IF(N369="","",IF(COUNTIF(N$10:N369,N369)=1,COUNTIF(N$10:N$609,"&lt;"&amp;N369)+1,""))</f>
        <v/>
      </c>
      <c r="P369" t="str">
        <f>IFERROR(INDEX(tblY11[Class],ROWS(P$10:P369))&amp;"","")</f>
        <v/>
      </c>
      <c r="Q369" t="str">
        <f>IF(P369="","",IF(COUNTIF(P$10:P369,P369)=1,COUNTIF(P$10:P$609,"&lt;"&amp;P369)+1,""))</f>
        <v/>
      </c>
      <c r="BA369" t="str">
        <f>IFERROR(INDEX(wLast,300)&amp;"","")</f>
        <v/>
      </c>
      <c r="BB369" t="str">
        <f>IF(BA369="","",IFERROR(INDEX(wFirst,300)&amp;"",""))</f>
        <v/>
      </c>
      <c r="BC369" t="str">
        <f>IF(BA369="","",IFERROR(INDEX(wClass,300)&amp;"",""))</f>
        <v/>
      </c>
      <c r="BD369" t="str">
        <f>IF(BA369="","",IFERROR(INDEX(wKS2,300)+0,""))</f>
        <v/>
      </c>
      <c r="BE369" t="str">
        <f>IF(BA369="","",IFERROR(INDEX(wTests,300)+0,0))</f>
        <v/>
      </c>
      <c r="BF369" t="str">
        <f>IF(BA369="","",IFERROR(INDEX(wMean,300)+0,""))</f>
        <v/>
      </c>
      <c r="BG369" t="str">
        <f>IF(BA369="","",IFERROR(INDEX(wVs,300)+0,""))</f>
        <v/>
      </c>
      <c r="BH369" t="str">
        <f>IF(OR(BA369="",wLatest=""),"",IFERROR(INDEX(wData,300,MATCH(wLatest&amp;CHAR(10)&amp;"Stanine",wHdr,0))+0,""))</f>
        <v/>
      </c>
      <c r="BI369" t="str">
        <f>IF(BA369="","",IF(AND(ISNUMBER(BG369),N(BE369)&gt;=WlMinTests,BG369&lt;=-WlGap),"Below KS2 starting point",IF(AND(NOT(ISNUMBER(BD369)),ISNUMBER(BF369),N(BE369)&gt;=WlMinTests,BF369&lt;=WlLowMean),"Low results, no KS2 data","")))</f>
        <v/>
      </c>
      <c r="BJ369" t="str">
        <f>IF(BI369="","",IF(BI369="Below KS2 starting point",BG369,100+BF369)+ROW()/1000000)</f>
        <v/>
      </c>
    </row>
    <row r="370">
      <c r="H370" t="str">
        <f>IFERROR(INDEX(tblY7[Class],ROWS(H$10:H370))&amp;"","")</f>
        <v/>
      </c>
      <c r="I370" t="str">
        <f>IF(H370="","",IF(COUNTIF(H$10:H370,H370)=1,COUNTIF(H$10:H$609,"&lt;"&amp;H370)+1,""))</f>
        <v/>
      </c>
      <c r="J370" t="str">
        <f>IFERROR(INDEX(tblY8[Class],ROWS(J$10:J370))&amp;"","")</f>
        <v/>
      </c>
      <c r="K370" t="str">
        <f>IF(J370="","",IF(COUNTIF(J$10:J370,J370)=1,COUNTIF(J$10:J$609,"&lt;"&amp;J370)+1,""))</f>
        <v/>
      </c>
      <c r="L370" t="str">
        <f>IFERROR(INDEX(tblY9[Class],ROWS(L$10:L370))&amp;"","")</f>
        <v/>
      </c>
      <c r="M370" t="str">
        <f>IF(L370="","",IF(COUNTIF(L$10:L370,L370)=1,COUNTIF(L$10:L$609,"&lt;"&amp;L370)+1,""))</f>
        <v/>
      </c>
      <c r="N370" t="str">
        <f>IFERROR(INDEX(tblY10[Class],ROWS(N$10:N370))&amp;"","")</f>
        <v/>
      </c>
      <c r="O370" t="str">
        <f>IF(N370="","",IF(COUNTIF(N$10:N370,N370)=1,COUNTIF(N$10:N$609,"&lt;"&amp;N370)+1,""))</f>
        <v/>
      </c>
      <c r="P370" t="str">
        <f>IFERROR(INDEX(tblY11[Class],ROWS(P$10:P370))&amp;"","")</f>
        <v/>
      </c>
      <c r="Q370" t="str">
        <f>IF(P370="","",IF(COUNTIF(P$10:P370,P370)=1,COUNTIF(P$10:P$609,"&lt;"&amp;P370)+1,""))</f>
        <v/>
      </c>
      <c r="BA370" t="str">
        <f>IFERROR(INDEX(wLast,301)&amp;"","")</f>
        <v/>
      </c>
      <c r="BB370" t="str">
        <f>IF(BA370="","",IFERROR(INDEX(wFirst,301)&amp;"",""))</f>
        <v/>
      </c>
      <c r="BC370" t="str">
        <f>IF(BA370="","",IFERROR(INDEX(wClass,301)&amp;"",""))</f>
        <v/>
      </c>
      <c r="BD370" t="str">
        <f>IF(BA370="","",IFERROR(INDEX(wKS2,301)+0,""))</f>
        <v/>
      </c>
      <c r="BE370" t="str">
        <f>IF(BA370="","",IFERROR(INDEX(wTests,301)+0,0))</f>
        <v/>
      </c>
      <c r="BF370" t="str">
        <f>IF(BA370="","",IFERROR(INDEX(wMean,301)+0,""))</f>
        <v/>
      </c>
      <c r="BG370" t="str">
        <f>IF(BA370="","",IFERROR(INDEX(wVs,301)+0,""))</f>
        <v/>
      </c>
      <c r="BH370" t="str">
        <f>IF(OR(BA370="",wLatest=""),"",IFERROR(INDEX(wData,301,MATCH(wLatest&amp;CHAR(10)&amp;"Stanine",wHdr,0))+0,""))</f>
        <v/>
      </c>
      <c r="BI370" t="str">
        <f>IF(BA370="","",IF(AND(ISNUMBER(BG370),N(BE370)&gt;=WlMinTests,BG370&lt;=-WlGap),"Below KS2 starting point",IF(AND(NOT(ISNUMBER(BD370)),ISNUMBER(BF370),N(BE370)&gt;=WlMinTests,BF370&lt;=WlLowMean),"Low results, no KS2 data","")))</f>
        <v/>
      </c>
      <c r="BJ370" t="str">
        <f>IF(BI370="","",IF(BI370="Below KS2 starting point",BG370,100+BF370)+ROW()/1000000)</f>
        <v/>
      </c>
    </row>
    <row r="371">
      <c r="H371" t="str">
        <f>IFERROR(INDEX(tblY7[Class],ROWS(H$10:H371))&amp;"","")</f>
        <v/>
      </c>
      <c r="I371" t="str">
        <f>IF(H371="","",IF(COUNTIF(H$10:H371,H371)=1,COUNTIF(H$10:H$609,"&lt;"&amp;H371)+1,""))</f>
        <v/>
      </c>
      <c r="J371" t="str">
        <f>IFERROR(INDEX(tblY8[Class],ROWS(J$10:J371))&amp;"","")</f>
        <v/>
      </c>
      <c r="K371" t="str">
        <f>IF(J371="","",IF(COUNTIF(J$10:J371,J371)=1,COUNTIF(J$10:J$609,"&lt;"&amp;J371)+1,""))</f>
        <v/>
      </c>
      <c r="L371" t="str">
        <f>IFERROR(INDEX(tblY9[Class],ROWS(L$10:L371))&amp;"","")</f>
        <v/>
      </c>
      <c r="M371" t="str">
        <f>IF(L371="","",IF(COUNTIF(L$10:L371,L371)=1,COUNTIF(L$10:L$609,"&lt;"&amp;L371)+1,""))</f>
        <v/>
      </c>
      <c r="N371" t="str">
        <f>IFERROR(INDEX(tblY10[Class],ROWS(N$10:N371))&amp;"","")</f>
        <v/>
      </c>
      <c r="O371" t="str">
        <f>IF(N371="","",IF(COUNTIF(N$10:N371,N371)=1,COUNTIF(N$10:N$609,"&lt;"&amp;N371)+1,""))</f>
        <v/>
      </c>
      <c r="P371" t="str">
        <f>IFERROR(INDEX(tblY11[Class],ROWS(P$10:P371))&amp;"","")</f>
        <v/>
      </c>
      <c r="Q371" t="str">
        <f>IF(P371="","",IF(COUNTIF(P$10:P371,P371)=1,COUNTIF(P$10:P$609,"&lt;"&amp;P371)+1,""))</f>
        <v/>
      </c>
      <c r="BA371" t="str">
        <f>IFERROR(INDEX(wLast,302)&amp;"","")</f>
        <v/>
      </c>
      <c r="BB371" t="str">
        <f>IF(BA371="","",IFERROR(INDEX(wFirst,302)&amp;"",""))</f>
        <v/>
      </c>
      <c r="BC371" t="str">
        <f>IF(BA371="","",IFERROR(INDEX(wClass,302)&amp;"",""))</f>
        <v/>
      </c>
      <c r="BD371" t="str">
        <f>IF(BA371="","",IFERROR(INDEX(wKS2,302)+0,""))</f>
        <v/>
      </c>
      <c r="BE371" t="str">
        <f>IF(BA371="","",IFERROR(INDEX(wTests,302)+0,0))</f>
        <v/>
      </c>
      <c r="BF371" t="str">
        <f>IF(BA371="","",IFERROR(INDEX(wMean,302)+0,""))</f>
        <v/>
      </c>
      <c r="BG371" t="str">
        <f>IF(BA371="","",IFERROR(INDEX(wVs,302)+0,""))</f>
        <v/>
      </c>
      <c r="BH371" t="str">
        <f>IF(OR(BA371="",wLatest=""),"",IFERROR(INDEX(wData,302,MATCH(wLatest&amp;CHAR(10)&amp;"Stanine",wHdr,0))+0,""))</f>
        <v/>
      </c>
      <c r="BI371" t="str">
        <f>IF(BA371="","",IF(AND(ISNUMBER(BG371),N(BE371)&gt;=WlMinTests,BG371&lt;=-WlGap),"Below KS2 starting point",IF(AND(NOT(ISNUMBER(BD371)),ISNUMBER(BF371),N(BE371)&gt;=WlMinTests,BF371&lt;=WlLowMean),"Low results, no KS2 data","")))</f>
        <v/>
      </c>
      <c r="BJ371" t="str">
        <f>IF(BI371="","",IF(BI371="Below KS2 starting point",BG371,100+BF371)+ROW()/1000000)</f>
        <v/>
      </c>
    </row>
    <row r="372">
      <c r="H372" t="str">
        <f>IFERROR(INDEX(tblY7[Class],ROWS(H$10:H372))&amp;"","")</f>
        <v/>
      </c>
      <c r="I372" t="str">
        <f>IF(H372="","",IF(COUNTIF(H$10:H372,H372)=1,COUNTIF(H$10:H$609,"&lt;"&amp;H372)+1,""))</f>
        <v/>
      </c>
      <c r="J372" t="str">
        <f>IFERROR(INDEX(tblY8[Class],ROWS(J$10:J372))&amp;"","")</f>
        <v/>
      </c>
      <c r="K372" t="str">
        <f>IF(J372="","",IF(COUNTIF(J$10:J372,J372)=1,COUNTIF(J$10:J$609,"&lt;"&amp;J372)+1,""))</f>
        <v/>
      </c>
      <c r="L372" t="str">
        <f>IFERROR(INDEX(tblY9[Class],ROWS(L$10:L372))&amp;"","")</f>
        <v/>
      </c>
      <c r="M372" t="str">
        <f>IF(L372="","",IF(COUNTIF(L$10:L372,L372)=1,COUNTIF(L$10:L$609,"&lt;"&amp;L372)+1,""))</f>
        <v/>
      </c>
      <c r="N372" t="str">
        <f>IFERROR(INDEX(tblY10[Class],ROWS(N$10:N372))&amp;"","")</f>
        <v/>
      </c>
      <c r="O372" t="str">
        <f>IF(N372="","",IF(COUNTIF(N$10:N372,N372)=1,COUNTIF(N$10:N$609,"&lt;"&amp;N372)+1,""))</f>
        <v/>
      </c>
      <c r="P372" t="str">
        <f>IFERROR(INDEX(tblY11[Class],ROWS(P$10:P372))&amp;"","")</f>
        <v/>
      </c>
      <c r="Q372" t="str">
        <f>IF(P372="","",IF(COUNTIF(P$10:P372,P372)=1,COUNTIF(P$10:P$609,"&lt;"&amp;P372)+1,""))</f>
        <v/>
      </c>
      <c r="BA372" t="str">
        <f>IFERROR(INDEX(wLast,303)&amp;"","")</f>
        <v/>
      </c>
      <c r="BB372" t="str">
        <f>IF(BA372="","",IFERROR(INDEX(wFirst,303)&amp;"",""))</f>
        <v/>
      </c>
      <c r="BC372" t="str">
        <f>IF(BA372="","",IFERROR(INDEX(wClass,303)&amp;"",""))</f>
        <v/>
      </c>
      <c r="BD372" t="str">
        <f>IF(BA372="","",IFERROR(INDEX(wKS2,303)+0,""))</f>
        <v/>
      </c>
      <c r="BE372" t="str">
        <f>IF(BA372="","",IFERROR(INDEX(wTests,303)+0,0))</f>
        <v/>
      </c>
      <c r="BF372" t="str">
        <f>IF(BA372="","",IFERROR(INDEX(wMean,303)+0,""))</f>
        <v/>
      </c>
      <c r="BG372" t="str">
        <f>IF(BA372="","",IFERROR(INDEX(wVs,303)+0,""))</f>
        <v/>
      </c>
      <c r="BH372" t="str">
        <f>IF(OR(BA372="",wLatest=""),"",IFERROR(INDEX(wData,303,MATCH(wLatest&amp;CHAR(10)&amp;"Stanine",wHdr,0))+0,""))</f>
        <v/>
      </c>
      <c r="BI372" t="str">
        <f>IF(BA372="","",IF(AND(ISNUMBER(BG372),N(BE372)&gt;=WlMinTests,BG372&lt;=-WlGap),"Below KS2 starting point",IF(AND(NOT(ISNUMBER(BD372)),ISNUMBER(BF372),N(BE372)&gt;=WlMinTests,BF372&lt;=WlLowMean),"Low results, no KS2 data","")))</f>
        <v/>
      </c>
      <c r="BJ372" t="str">
        <f>IF(BI372="","",IF(BI372="Below KS2 starting point",BG372,100+BF372)+ROW()/1000000)</f>
        <v/>
      </c>
    </row>
    <row r="373">
      <c r="H373" t="str">
        <f>IFERROR(INDEX(tblY7[Class],ROWS(H$10:H373))&amp;"","")</f>
        <v/>
      </c>
      <c r="I373" t="str">
        <f>IF(H373="","",IF(COUNTIF(H$10:H373,H373)=1,COUNTIF(H$10:H$609,"&lt;"&amp;H373)+1,""))</f>
        <v/>
      </c>
      <c r="J373" t="str">
        <f>IFERROR(INDEX(tblY8[Class],ROWS(J$10:J373))&amp;"","")</f>
        <v/>
      </c>
      <c r="K373" t="str">
        <f>IF(J373="","",IF(COUNTIF(J$10:J373,J373)=1,COUNTIF(J$10:J$609,"&lt;"&amp;J373)+1,""))</f>
        <v/>
      </c>
      <c r="L373" t="str">
        <f>IFERROR(INDEX(tblY9[Class],ROWS(L$10:L373))&amp;"","")</f>
        <v/>
      </c>
      <c r="M373" t="str">
        <f>IF(L373="","",IF(COUNTIF(L$10:L373,L373)=1,COUNTIF(L$10:L$609,"&lt;"&amp;L373)+1,""))</f>
        <v/>
      </c>
      <c r="N373" t="str">
        <f>IFERROR(INDEX(tblY10[Class],ROWS(N$10:N373))&amp;"","")</f>
        <v/>
      </c>
      <c r="O373" t="str">
        <f>IF(N373="","",IF(COUNTIF(N$10:N373,N373)=1,COUNTIF(N$10:N$609,"&lt;"&amp;N373)+1,""))</f>
        <v/>
      </c>
      <c r="P373" t="str">
        <f>IFERROR(INDEX(tblY11[Class],ROWS(P$10:P373))&amp;"","")</f>
        <v/>
      </c>
      <c r="Q373" t="str">
        <f>IF(P373="","",IF(COUNTIF(P$10:P373,P373)=1,COUNTIF(P$10:P$609,"&lt;"&amp;P373)+1,""))</f>
        <v/>
      </c>
      <c r="BA373" t="str">
        <f>IFERROR(INDEX(wLast,304)&amp;"","")</f>
        <v/>
      </c>
      <c r="BB373" t="str">
        <f>IF(BA373="","",IFERROR(INDEX(wFirst,304)&amp;"",""))</f>
        <v/>
      </c>
      <c r="BC373" t="str">
        <f>IF(BA373="","",IFERROR(INDEX(wClass,304)&amp;"",""))</f>
        <v/>
      </c>
      <c r="BD373" t="str">
        <f>IF(BA373="","",IFERROR(INDEX(wKS2,304)+0,""))</f>
        <v/>
      </c>
      <c r="BE373" t="str">
        <f>IF(BA373="","",IFERROR(INDEX(wTests,304)+0,0))</f>
        <v/>
      </c>
      <c r="BF373" t="str">
        <f>IF(BA373="","",IFERROR(INDEX(wMean,304)+0,""))</f>
        <v/>
      </c>
      <c r="BG373" t="str">
        <f>IF(BA373="","",IFERROR(INDEX(wVs,304)+0,""))</f>
        <v/>
      </c>
      <c r="BH373" t="str">
        <f>IF(OR(BA373="",wLatest=""),"",IFERROR(INDEX(wData,304,MATCH(wLatest&amp;CHAR(10)&amp;"Stanine",wHdr,0))+0,""))</f>
        <v/>
      </c>
      <c r="BI373" t="str">
        <f>IF(BA373="","",IF(AND(ISNUMBER(BG373),N(BE373)&gt;=WlMinTests,BG373&lt;=-WlGap),"Below KS2 starting point",IF(AND(NOT(ISNUMBER(BD373)),ISNUMBER(BF373),N(BE373)&gt;=WlMinTests,BF373&lt;=WlLowMean),"Low results, no KS2 data","")))</f>
        <v/>
      </c>
      <c r="BJ373" t="str">
        <f>IF(BI373="","",IF(BI373="Below KS2 starting point",BG373,100+BF373)+ROW()/1000000)</f>
        <v/>
      </c>
    </row>
    <row r="374">
      <c r="H374" t="str">
        <f>IFERROR(INDEX(tblY7[Class],ROWS(H$10:H374))&amp;"","")</f>
        <v/>
      </c>
      <c r="I374" t="str">
        <f>IF(H374="","",IF(COUNTIF(H$10:H374,H374)=1,COUNTIF(H$10:H$609,"&lt;"&amp;H374)+1,""))</f>
        <v/>
      </c>
      <c r="J374" t="str">
        <f>IFERROR(INDEX(tblY8[Class],ROWS(J$10:J374))&amp;"","")</f>
        <v/>
      </c>
      <c r="K374" t="str">
        <f>IF(J374="","",IF(COUNTIF(J$10:J374,J374)=1,COUNTIF(J$10:J$609,"&lt;"&amp;J374)+1,""))</f>
        <v/>
      </c>
      <c r="L374" t="str">
        <f>IFERROR(INDEX(tblY9[Class],ROWS(L$10:L374))&amp;"","")</f>
        <v/>
      </c>
      <c r="M374" t="str">
        <f>IF(L374="","",IF(COUNTIF(L$10:L374,L374)=1,COUNTIF(L$10:L$609,"&lt;"&amp;L374)+1,""))</f>
        <v/>
      </c>
      <c r="N374" t="str">
        <f>IFERROR(INDEX(tblY10[Class],ROWS(N$10:N374))&amp;"","")</f>
        <v/>
      </c>
      <c r="O374" t="str">
        <f>IF(N374="","",IF(COUNTIF(N$10:N374,N374)=1,COUNTIF(N$10:N$609,"&lt;"&amp;N374)+1,""))</f>
        <v/>
      </c>
      <c r="P374" t="str">
        <f>IFERROR(INDEX(tblY11[Class],ROWS(P$10:P374))&amp;"","")</f>
        <v/>
      </c>
      <c r="Q374" t="str">
        <f>IF(P374="","",IF(COUNTIF(P$10:P374,P374)=1,COUNTIF(P$10:P$609,"&lt;"&amp;P374)+1,""))</f>
        <v/>
      </c>
      <c r="BA374" t="str">
        <f>IFERROR(INDEX(wLast,305)&amp;"","")</f>
        <v/>
      </c>
      <c r="BB374" t="str">
        <f>IF(BA374="","",IFERROR(INDEX(wFirst,305)&amp;"",""))</f>
        <v/>
      </c>
      <c r="BC374" t="str">
        <f>IF(BA374="","",IFERROR(INDEX(wClass,305)&amp;"",""))</f>
        <v/>
      </c>
      <c r="BD374" t="str">
        <f>IF(BA374="","",IFERROR(INDEX(wKS2,305)+0,""))</f>
        <v/>
      </c>
      <c r="BE374" t="str">
        <f>IF(BA374="","",IFERROR(INDEX(wTests,305)+0,0))</f>
        <v/>
      </c>
      <c r="BF374" t="str">
        <f>IF(BA374="","",IFERROR(INDEX(wMean,305)+0,""))</f>
        <v/>
      </c>
      <c r="BG374" t="str">
        <f>IF(BA374="","",IFERROR(INDEX(wVs,305)+0,""))</f>
        <v/>
      </c>
      <c r="BH374" t="str">
        <f>IF(OR(BA374="",wLatest=""),"",IFERROR(INDEX(wData,305,MATCH(wLatest&amp;CHAR(10)&amp;"Stanine",wHdr,0))+0,""))</f>
        <v/>
      </c>
      <c r="BI374" t="str">
        <f>IF(BA374="","",IF(AND(ISNUMBER(BG374),N(BE374)&gt;=WlMinTests,BG374&lt;=-WlGap),"Below KS2 starting point",IF(AND(NOT(ISNUMBER(BD374)),ISNUMBER(BF374),N(BE374)&gt;=WlMinTests,BF374&lt;=WlLowMean),"Low results, no KS2 data","")))</f>
        <v/>
      </c>
      <c r="BJ374" t="str">
        <f>IF(BI374="","",IF(BI374="Below KS2 starting point",BG374,100+BF374)+ROW()/1000000)</f>
        <v/>
      </c>
    </row>
    <row r="375">
      <c r="H375" t="str">
        <f>IFERROR(INDEX(tblY7[Class],ROWS(H$10:H375))&amp;"","")</f>
        <v/>
      </c>
      <c r="I375" t="str">
        <f>IF(H375="","",IF(COUNTIF(H$10:H375,H375)=1,COUNTIF(H$10:H$609,"&lt;"&amp;H375)+1,""))</f>
        <v/>
      </c>
      <c r="J375" t="str">
        <f>IFERROR(INDEX(tblY8[Class],ROWS(J$10:J375))&amp;"","")</f>
        <v/>
      </c>
      <c r="K375" t="str">
        <f>IF(J375="","",IF(COUNTIF(J$10:J375,J375)=1,COUNTIF(J$10:J$609,"&lt;"&amp;J375)+1,""))</f>
        <v/>
      </c>
      <c r="L375" t="str">
        <f>IFERROR(INDEX(tblY9[Class],ROWS(L$10:L375))&amp;"","")</f>
        <v/>
      </c>
      <c r="M375" t="str">
        <f>IF(L375="","",IF(COUNTIF(L$10:L375,L375)=1,COUNTIF(L$10:L$609,"&lt;"&amp;L375)+1,""))</f>
        <v/>
      </c>
      <c r="N375" t="str">
        <f>IFERROR(INDEX(tblY10[Class],ROWS(N$10:N375))&amp;"","")</f>
        <v/>
      </c>
      <c r="O375" t="str">
        <f>IF(N375="","",IF(COUNTIF(N$10:N375,N375)=1,COUNTIF(N$10:N$609,"&lt;"&amp;N375)+1,""))</f>
        <v/>
      </c>
      <c r="P375" t="str">
        <f>IFERROR(INDEX(tblY11[Class],ROWS(P$10:P375))&amp;"","")</f>
        <v/>
      </c>
      <c r="Q375" t="str">
        <f>IF(P375="","",IF(COUNTIF(P$10:P375,P375)=1,COUNTIF(P$10:P$609,"&lt;"&amp;P375)+1,""))</f>
        <v/>
      </c>
      <c r="BA375" t="str">
        <f>IFERROR(INDEX(wLast,306)&amp;"","")</f>
        <v/>
      </c>
      <c r="BB375" t="str">
        <f>IF(BA375="","",IFERROR(INDEX(wFirst,306)&amp;"",""))</f>
        <v/>
      </c>
      <c r="BC375" t="str">
        <f>IF(BA375="","",IFERROR(INDEX(wClass,306)&amp;"",""))</f>
        <v/>
      </c>
      <c r="BD375" t="str">
        <f>IF(BA375="","",IFERROR(INDEX(wKS2,306)+0,""))</f>
        <v/>
      </c>
      <c r="BE375" t="str">
        <f>IF(BA375="","",IFERROR(INDEX(wTests,306)+0,0))</f>
        <v/>
      </c>
      <c r="BF375" t="str">
        <f>IF(BA375="","",IFERROR(INDEX(wMean,306)+0,""))</f>
        <v/>
      </c>
      <c r="BG375" t="str">
        <f>IF(BA375="","",IFERROR(INDEX(wVs,306)+0,""))</f>
        <v/>
      </c>
      <c r="BH375" t="str">
        <f>IF(OR(BA375="",wLatest=""),"",IFERROR(INDEX(wData,306,MATCH(wLatest&amp;CHAR(10)&amp;"Stanine",wHdr,0))+0,""))</f>
        <v/>
      </c>
      <c r="BI375" t="str">
        <f>IF(BA375="","",IF(AND(ISNUMBER(BG375),N(BE375)&gt;=WlMinTests,BG375&lt;=-WlGap),"Below KS2 starting point",IF(AND(NOT(ISNUMBER(BD375)),ISNUMBER(BF375),N(BE375)&gt;=WlMinTests,BF375&lt;=WlLowMean),"Low results, no KS2 data","")))</f>
        <v/>
      </c>
      <c r="BJ375" t="str">
        <f>IF(BI375="","",IF(BI375="Below KS2 starting point",BG375,100+BF375)+ROW()/1000000)</f>
        <v/>
      </c>
    </row>
    <row r="376">
      <c r="H376" t="str">
        <f>IFERROR(INDEX(tblY7[Class],ROWS(H$10:H376))&amp;"","")</f>
        <v/>
      </c>
      <c r="I376" t="str">
        <f>IF(H376="","",IF(COUNTIF(H$10:H376,H376)=1,COUNTIF(H$10:H$609,"&lt;"&amp;H376)+1,""))</f>
        <v/>
      </c>
      <c r="J376" t="str">
        <f>IFERROR(INDEX(tblY8[Class],ROWS(J$10:J376))&amp;"","")</f>
        <v/>
      </c>
      <c r="K376" t="str">
        <f>IF(J376="","",IF(COUNTIF(J$10:J376,J376)=1,COUNTIF(J$10:J$609,"&lt;"&amp;J376)+1,""))</f>
        <v/>
      </c>
      <c r="L376" t="str">
        <f>IFERROR(INDEX(tblY9[Class],ROWS(L$10:L376))&amp;"","")</f>
        <v/>
      </c>
      <c r="M376" t="str">
        <f>IF(L376="","",IF(COUNTIF(L$10:L376,L376)=1,COUNTIF(L$10:L$609,"&lt;"&amp;L376)+1,""))</f>
        <v/>
      </c>
      <c r="N376" t="str">
        <f>IFERROR(INDEX(tblY10[Class],ROWS(N$10:N376))&amp;"","")</f>
        <v/>
      </c>
      <c r="O376" t="str">
        <f>IF(N376="","",IF(COUNTIF(N$10:N376,N376)=1,COUNTIF(N$10:N$609,"&lt;"&amp;N376)+1,""))</f>
        <v/>
      </c>
      <c r="P376" t="str">
        <f>IFERROR(INDEX(tblY11[Class],ROWS(P$10:P376))&amp;"","")</f>
        <v/>
      </c>
      <c r="Q376" t="str">
        <f>IF(P376="","",IF(COUNTIF(P$10:P376,P376)=1,COUNTIF(P$10:P$609,"&lt;"&amp;P376)+1,""))</f>
        <v/>
      </c>
      <c r="BA376" t="str">
        <f>IFERROR(INDEX(wLast,307)&amp;"","")</f>
        <v/>
      </c>
      <c r="BB376" t="str">
        <f>IF(BA376="","",IFERROR(INDEX(wFirst,307)&amp;"",""))</f>
        <v/>
      </c>
      <c r="BC376" t="str">
        <f>IF(BA376="","",IFERROR(INDEX(wClass,307)&amp;"",""))</f>
        <v/>
      </c>
      <c r="BD376" t="str">
        <f>IF(BA376="","",IFERROR(INDEX(wKS2,307)+0,""))</f>
        <v/>
      </c>
      <c r="BE376" t="str">
        <f>IF(BA376="","",IFERROR(INDEX(wTests,307)+0,0))</f>
        <v/>
      </c>
      <c r="BF376" t="str">
        <f>IF(BA376="","",IFERROR(INDEX(wMean,307)+0,""))</f>
        <v/>
      </c>
      <c r="BG376" t="str">
        <f>IF(BA376="","",IFERROR(INDEX(wVs,307)+0,""))</f>
        <v/>
      </c>
      <c r="BH376" t="str">
        <f>IF(OR(BA376="",wLatest=""),"",IFERROR(INDEX(wData,307,MATCH(wLatest&amp;CHAR(10)&amp;"Stanine",wHdr,0))+0,""))</f>
        <v/>
      </c>
      <c r="BI376" t="str">
        <f>IF(BA376="","",IF(AND(ISNUMBER(BG376),N(BE376)&gt;=WlMinTests,BG376&lt;=-WlGap),"Below KS2 starting point",IF(AND(NOT(ISNUMBER(BD376)),ISNUMBER(BF376),N(BE376)&gt;=WlMinTests,BF376&lt;=WlLowMean),"Low results, no KS2 data","")))</f>
        <v/>
      </c>
      <c r="BJ376" t="str">
        <f>IF(BI376="","",IF(BI376="Below KS2 starting point",BG376,100+BF376)+ROW()/1000000)</f>
        <v/>
      </c>
    </row>
    <row r="377">
      <c r="H377" t="str">
        <f>IFERROR(INDEX(tblY7[Class],ROWS(H$10:H377))&amp;"","")</f>
        <v/>
      </c>
      <c r="I377" t="str">
        <f>IF(H377="","",IF(COUNTIF(H$10:H377,H377)=1,COUNTIF(H$10:H$609,"&lt;"&amp;H377)+1,""))</f>
        <v/>
      </c>
      <c r="J377" t="str">
        <f>IFERROR(INDEX(tblY8[Class],ROWS(J$10:J377))&amp;"","")</f>
        <v/>
      </c>
      <c r="K377" t="str">
        <f>IF(J377="","",IF(COUNTIF(J$10:J377,J377)=1,COUNTIF(J$10:J$609,"&lt;"&amp;J377)+1,""))</f>
        <v/>
      </c>
      <c r="L377" t="str">
        <f>IFERROR(INDEX(tblY9[Class],ROWS(L$10:L377))&amp;"","")</f>
        <v/>
      </c>
      <c r="M377" t="str">
        <f>IF(L377="","",IF(COUNTIF(L$10:L377,L377)=1,COUNTIF(L$10:L$609,"&lt;"&amp;L377)+1,""))</f>
        <v/>
      </c>
      <c r="N377" t="str">
        <f>IFERROR(INDEX(tblY10[Class],ROWS(N$10:N377))&amp;"","")</f>
        <v/>
      </c>
      <c r="O377" t="str">
        <f>IF(N377="","",IF(COUNTIF(N$10:N377,N377)=1,COUNTIF(N$10:N$609,"&lt;"&amp;N377)+1,""))</f>
        <v/>
      </c>
      <c r="P377" t="str">
        <f>IFERROR(INDEX(tblY11[Class],ROWS(P$10:P377))&amp;"","")</f>
        <v/>
      </c>
      <c r="Q377" t="str">
        <f>IF(P377="","",IF(COUNTIF(P$10:P377,P377)=1,COUNTIF(P$10:P$609,"&lt;"&amp;P377)+1,""))</f>
        <v/>
      </c>
      <c r="BA377" t="str">
        <f>IFERROR(INDEX(wLast,308)&amp;"","")</f>
        <v/>
      </c>
      <c r="BB377" t="str">
        <f>IF(BA377="","",IFERROR(INDEX(wFirst,308)&amp;"",""))</f>
        <v/>
      </c>
      <c r="BC377" t="str">
        <f>IF(BA377="","",IFERROR(INDEX(wClass,308)&amp;"",""))</f>
        <v/>
      </c>
      <c r="BD377" t="str">
        <f>IF(BA377="","",IFERROR(INDEX(wKS2,308)+0,""))</f>
        <v/>
      </c>
      <c r="BE377" t="str">
        <f>IF(BA377="","",IFERROR(INDEX(wTests,308)+0,0))</f>
        <v/>
      </c>
      <c r="BF377" t="str">
        <f>IF(BA377="","",IFERROR(INDEX(wMean,308)+0,""))</f>
        <v/>
      </c>
      <c r="BG377" t="str">
        <f>IF(BA377="","",IFERROR(INDEX(wVs,308)+0,""))</f>
        <v/>
      </c>
      <c r="BH377" t="str">
        <f>IF(OR(BA377="",wLatest=""),"",IFERROR(INDEX(wData,308,MATCH(wLatest&amp;CHAR(10)&amp;"Stanine",wHdr,0))+0,""))</f>
        <v/>
      </c>
      <c r="BI377" t="str">
        <f>IF(BA377="","",IF(AND(ISNUMBER(BG377),N(BE377)&gt;=WlMinTests,BG377&lt;=-WlGap),"Below KS2 starting point",IF(AND(NOT(ISNUMBER(BD377)),ISNUMBER(BF377),N(BE377)&gt;=WlMinTests,BF377&lt;=WlLowMean),"Low results, no KS2 data","")))</f>
        <v/>
      </c>
      <c r="BJ377" t="str">
        <f>IF(BI377="","",IF(BI377="Below KS2 starting point",BG377,100+BF377)+ROW()/1000000)</f>
        <v/>
      </c>
    </row>
    <row r="378">
      <c r="H378" t="str">
        <f>IFERROR(INDEX(tblY7[Class],ROWS(H$10:H378))&amp;"","")</f>
        <v/>
      </c>
      <c r="I378" t="str">
        <f>IF(H378="","",IF(COUNTIF(H$10:H378,H378)=1,COUNTIF(H$10:H$609,"&lt;"&amp;H378)+1,""))</f>
        <v/>
      </c>
      <c r="J378" t="str">
        <f>IFERROR(INDEX(tblY8[Class],ROWS(J$10:J378))&amp;"","")</f>
        <v/>
      </c>
      <c r="K378" t="str">
        <f>IF(J378="","",IF(COUNTIF(J$10:J378,J378)=1,COUNTIF(J$10:J$609,"&lt;"&amp;J378)+1,""))</f>
        <v/>
      </c>
      <c r="L378" t="str">
        <f>IFERROR(INDEX(tblY9[Class],ROWS(L$10:L378))&amp;"","")</f>
        <v/>
      </c>
      <c r="M378" t="str">
        <f>IF(L378="","",IF(COUNTIF(L$10:L378,L378)=1,COUNTIF(L$10:L$609,"&lt;"&amp;L378)+1,""))</f>
        <v/>
      </c>
      <c r="N378" t="str">
        <f>IFERROR(INDEX(tblY10[Class],ROWS(N$10:N378))&amp;"","")</f>
        <v/>
      </c>
      <c r="O378" t="str">
        <f>IF(N378="","",IF(COUNTIF(N$10:N378,N378)=1,COUNTIF(N$10:N$609,"&lt;"&amp;N378)+1,""))</f>
        <v/>
      </c>
      <c r="P378" t="str">
        <f>IFERROR(INDEX(tblY11[Class],ROWS(P$10:P378))&amp;"","")</f>
        <v/>
      </c>
      <c r="Q378" t="str">
        <f>IF(P378="","",IF(COUNTIF(P$10:P378,P378)=1,COUNTIF(P$10:P$609,"&lt;"&amp;P378)+1,""))</f>
        <v/>
      </c>
      <c r="BA378" t="str">
        <f>IFERROR(INDEX(wLast,309)&amp;"","")</f>
        <v/>
      </c>
      <c r="BB378" t="str">
        <f>IF(BA378="","",IFERROR(INDEX(wFirst,309)&amp;"",""))</f>
        <v/>
      </c>
      <c r="BC378" t="str">
        <f>IF(BA378="","",IFERROR(INDEX(wClass,309)&amp;"",""))</f>
        <v/>
      </c>
      <c r="BD378" t="str">
        <f>IF(BA378="","",IFERROR(INDEX(wKS2,309)+0,""))</f>
        <v/>
      </c>
      <c r="BE378" t="str">
        <f>IF(BA378="","",IFERROR(INDEX(wTests,309)+0,0))</f>
        <v/>
      </c>
      <c r="BF378" t="str">
        <f>IF(BA378="","",IFERROR(INDEX(wMean,309)+0,""))</f>
        <v/>
      </c>
      <c r="BG378" t="str">
        <f>IF(BA378="","",IFERROR(INDEX(wVs,309)+0,""))</f>
        <v/>
      </c>
      <c r="BH378" t="str">
        <f>IF(OR(BA378="",wLatest=""),"",IFERROR(INDEX(wData,309,MATCH(wLatest&amp;CHAR(10)&amp;"Stanine",wHdr,0))+0,""))</f>
        <v/>
      </c>
      <c r="BI378" t="str">
        <f>IF(BA378="","",IF(AND(ISNUMBER(BG378),N(BE378)&gt;=WlMinTests,BG378&lt;=-WlGap),"Below KS2 starting point",IF(AND(NOT(ISNUMBER(BD378)),ISNUMBER(BF378),N(BE378)&gt;=WlMinTests,BF378&lt;=WlLowMean),"Low results, no KS2 data","")))</f>
        <v/>
      </c>
      <c r="BJ378" t="str">
        <f>IF(BI378="","",IF(BI378="Below KS2 starting point",BG378,100+BF378)+ROW()/1000000)</f>
        <v/>
      </c>
    </row>
    <row r="379">
      <c r="H379" t="str">
        <f>IFERROR(INDEX(tblY7[Class],ROWS(H$10:H379))&amp;"","")</f>
        <v/>
      </c>
      <c r="I379" t="str">
        <f>IF(H379="","",IF(COUNTIF(H$10:H379,H379)=1,COUNTIF(H$10:H$609,"&lt;"&amp;H379)+1,""))</f>
        <v/>
      </c>
      <c r="J379" t="str">
        <f>IFERROR(INDEX(tblY8[Class],ROWS(J$10:J379))&amp;"","")</f>
        <v/>
      </c>
      <c r="K379" t="str">
        <f>IF(J379="","",IF(COUNTIF(J$10:J379,J379)=1,COUNTIF(J$10:J$609,"&lt;"&amp;J379)+1,""))</f>
        <v/>
      </c>
      <c r="L379" t="str">
        <f>IFERROR(INDEX(tblY9[Class],ROWS(L$10:L379))&amp;"","")</f>
        <v/>
      </c>
      <c r="M379" t="str">
        <f>IF(L379="","",IF(COUNTIF(L$10:L379,L379)=1,COUNTIF(L$10:L$609,"&lt;"&amp;L379)+1,""))</f>
        <v/>
      </c>
      <c r="N379" t="str">
        <f>IFERROR(INDEX(tblY10[Class],ROWS(N$10:N379))&amp;"","")</f>
        <v/>
      </c>
      <c r="O379" t="str">
        <f>IF(N379="","",IF(COUNTIF(N$10:N379,N379)=1,COUNTIF(N$10:N$609,"&lt;"&amp;N379)+1,""))</f>
        <v/>
      </c>
      <c r="P379" t="str">
        <f>IFERROR(INDEX(tblY11[Class],ROWS(P$10:P379))&amp;"","")</f>
        <v/>
      </c>
      <c r="Q379" t="str">
        <f>IF(P379="","",IF(COUNTIF(P$10:P379,P379)=1,COUNTIF(P$10:P$609,"&lt;"&amp;P379)+1,""))</f>
        <v/>
      </c>
      <c r="BA379" t="str">
        <f>IFERROR(INDEX(wLast,310)&amp;"","")</f>
        <v/>
      </c>
      <c r="BB379" t="str">
        <f>IF(BA379="","",IFERROR(INDEX(wFirst,310)&amp;"",""))</f>
        <v/>
      </c>
      <c r="BC379" t="str">
        <f>IF(BA379="","",IFERROR(INDEX(wClass,310)&amp;"",""))</f>
        <v/>
      </c>
      <c r="BD379" t="str">
        <f>IF(BA379="","",IFERROR(INDEX(wKS2,310)+0,""))</f>
        <v/>
      </c>
      <c r="BE379" t="str">
        <f>IF(BA379="","",IFERROR(INDEX(wTests,310)+0,0))</f>
        <v/>
      </c>
      <c r="BF379" t="str">
        <f>IF(BA379="","",IFERROR(INDEX(wMean,310)+0,""))</f>
        <v/>
      </c>
      <c r="BG379" t="str">
        <f>IF(BA379="","",IFERROR(INDEX(wVs,310)+0,""))</f>
        <v/>
      </c>
      <c r="BH379" t="str">
        <f>IF(OR(BA379="",wLatest=""),"",IFERROR(INDEX(wData,310,MATCH(wLatest&amp;CHAR(10)&amp;"Stanine",wHdr,0))+0,""))</f>
        <v/>
      </c>
      <c r="BI379" t="str">
        <f>IF(BA379="","",IF(AND(ISNUMBER(BG379),N(BE379)&gt;=WlMinTests,BG379&lt;=-WlGap),"Below KS2 starting point",IF(AND(NOT(ISNUMBER(BD379)),ISNUMBER(BF379),N(BE379)&gt;=WlMinTests,BF379&lt;=WlLowMean),"Low results, no KS2 data","")))</f>
        <v/>
      </c>
      <c r="BJ379" t="str">
        <f>IF(BI379="","",IF(BI379="Below KS2 starting point",BG379,100+BF379)+ROW()/1000000)</f>
        <v/>
      </c>
    </row>
    <row r="380">
      <c r="H380" t="str">
        <f>IFERROR(INDEX(tblY7[Class],ROWS(H$10:H380))&amp;"","")</f>
        <v/>
      </c>
      <c r="I380" t="str">
        <f>IF(H380="","",IF(COUNTIF(H$10:H380,H380)=1,COUNTIF(H$10:H$609,"&lt;"&amp;H380)+1,""))</f>
        <v/>
      </c>
      <c r="J380" t="str">
        <f>IFERROR(INDEX(tblY8[Class],ROWS(J$10:J380))&amp;"","")</f>
        <v/>
      </c>
      <c r="K380" t="str">
        <f>IF(J380="","",IF(COUNTIF(J$10:J380,J380)=1,COUNTIF(J$10:J$609,"&lt;"&amp;J380)+1,""))</f>
        <v/>
      </c>
      <c r="L380" t="str">
        <f>IFERROR(INDEX(tblY9[Class],ROWS(L$10:L380))&amp;"","")</f>
        <v/>
      </c>
      <c r="M380" t="str">
        <f>IF(L380="","",IF(COUNTIF(L$10:L380,L380)=1,COUNTIF(L$10:L$609,"&lt;"&amp;L380)+1,""))</f>
        <v/>
      </c>
      <c r="N380" t="str">
        <f>IFERROR(INDEX(tblY10[Class],ROWS(N$10:N380))&amp;"","")</f>
        <v/>
      </c>
      <c r="O380" t="str">
        <f>IF(N380="","",IF(COUNTIF(N$10:N380,N380)=1,COUNTIF(N$10:N$609,"&lt;"&amp;N380)+1,""))</f>
        <v/>
      </c>
      <c r="P380" t="str">
        <f>IFERROR(INDEX(tblY11[Class],ROWS(P$10:P380))&amp;"","")</f>
        <v/>
      </c>
      <c r="Q380" t="str">
        <f>IF(P380="","",IF(COUNTIF(P$10:P380,P380)=1,COUNTIF(P$10:P$609,"&lt;"&amp;P380)+1,""))</f>
        <v/>
      </c>
      <c r="BA380" t="str">
        <f>IFERROR(INDEX(wLast,311)&amp;"","")</f>
        <v/>
      </c>
      <c r="BB380" t="str">
        <f>IF(BA380="","",IFERROR(INDEX(wFirst,311)&amp;"",""))</f>
        <v/>
      </c>
      <c r="BC380" t="str">
        <f>IF(BA380="","",IFERROR(INDEX(wClass,311)&amp;"",""))</f>
        <v/>
      </c>
      <c r="BD380" t="str">
        <f>IF(BA380="","",IFERROR(INDEX(wKS2,311)+0,""))</f>
        <v/>
      </c>
      <c r="BE380" t="str">
        <f>IF(BA380="","",IFERROR(INDEX(wTests,311)+0,0))</f>
        <v/>
      </c>
      <c r="BF380" t="str">
        <f>IF(BA380="","",IFERROR(INDEX(wMean,311)+0,""))</f>
        <v/>
      </c>
      <c r="BG380" t="str">
        <f>IF(BA380="","",IFERROR(INDEX(wVs,311)+0,""))</f>
        <v/>
      </c>
      <c r="BH380" t="str">
        <f>IF(OR(BA380="",wLatest=""),"",IFERROR(INDEX(wData,311,MATCH(wLatest&amp;CHAR(10)&amp;"Stanine",wHdr,0))+0,""))</f>
        <v/>
      </c>
      <c r="BI380" t="str">
        <f>IF(BA380="","",IF(AND(ISNUMBER(BG380),N(BE380)&gt;=WlMinTests,BG380&lt;=-WlGap),"Below KS2 starting point",IF(AND(NOT(ISNUMBER(BD380)),ISNUMBER(BF380),N(BE380)&gt;=WlMinTests,BF380&lt;=WlLowMean),"Low results, no KS2 data","")))</f>
        <v/>
      </c>
      <c r="BJ380" t="str">
        <f>IF(BI380="","",IF(BI380="Below KS2 starting point",BG380,100+BF380)+ROW()/1000000)</f>
        <v/>
      </c>
    </row>
    <row r="381">
      <c r="H381" t="str">
        <f>IFERROR(INDEX(tblY7[Class],ROWS(H$10:H381))&amp;"","")</f>
        <v/>
      </c>
      <c r="I381" t="str">
        <f>IF(H381="","",IF(COUNTIF(H$10:H381,H381)=1,COUNTIF(H$10:H$609,"&lt;"&amp;H381)+1,""))</f>
        <v/>
      </c>
      <c r="J381" t="str">
        <f>IFERROR(INDEX(tblY8[Class],ROWS(J$10:J381))&amp;"","")</f>
        <v/>
      </c>
      <c r="K381" t="str">
        <f>IF(J381="","",IF(COUNTIF(J$10:J381,J381)=1,COUNTIF(J$10:J$609,"&lt;"&amp;J381)+1,""))</f>
        <v/>
      </c>
      <c r="L381" t="str">
        <f>IFERROR(INDEX(tblY9[Class],ROWS(L$10:L381))&amp;"","")</f>
        <v/>
      </c>
      <c r="M381" t="str">
        <f>IF(L381="","",IF(COUNTIF(L$10:L381,L381)=1,COUNTIF(L$10:L$609,"&lt;"&amp;L381)+1,""))</f>
        <v/>
      </c>
      <c r="N381" t="str">
        <f>IFERROR(INDEX(tblY10[Class],ROWS(N$10:N381))&amp;"","")</f>
        <v/>
      </c>
      <c r="O381" t="str">
        <f>IF(N381="","",IF(COUNTIF(N$10:N381,N381)=1,COUNTIF(N$10:N$609,"&lt;"&amp;N381)+1,""))</f>
        <v/>
      </c>
      <c r="P381" t="str">
        <f>IFERROR(INDEX(tblY11[Class],ROWS(P$10:P381))&amp;"","")</f>
        <v/>
      </c>
      <c r="Q381" t="str">
        <f>IF(P381="","",IF(COUNTIF(P$10:P381,P381)=1,COUNTIF(P$10:P$609,"&lt;"&amp;P381)+1,""))</f>
        <v/>
      </c>
      <c r="BA381" t="str">
        <f>IFERROR(INDEX(wLast,312)&amp;"","")</f>
        <v/>
      </c>
      <c r="BB381" t="str">
        <f>IF(BA381="","",IFERROR(INDEX(wFirst,312)&amp;"",""))</f>
        <v/>
      </c>
      <c r="BC381" t="str">
        <f>IF(BA381="","",IFERROR(INDEX(wClass,312)&amp;"",""))</f>
        <v/>
      </c>
      <c r="BD381" t="str">
        <f>IF(BA381="","",IFERROR(INDEX(wKS2,312)+0,""))</f>
        <v/>
      </c>
      <c r="BE381" t="str">
        <f>IF(BA381="","",IFERROR(INDEX(wTests,312)+0,0))</f>
        <v/>
      </c>
      <c r="BF381" t="str">
        <f>IF(BA381="","",IFERROR(INDEX(wMean,312)+0,""))</f>
        <v/>
      </c>
      <c r="BG381" t="str">
        <f>IF(BA381="","",IFERROR(INDEX(wVs,312)+0,""))</f>
        <v/>
      </c>
      <c r="BH381" t="str">
        <f>IF(OR(BA381="",wLatest=""),"",IFERROR(INDEX(wData,312,MATCH(wLatest&amp;CHAR(10)&amp;"Stanine",wHdr,0))+0,""))</f>
        <v/>
      </c>
      <c r="BI381" t="str">
        <f>IF(BA381="","",IF(AND(ISNUMBER(BG381),N(BE381)&gt;=WlMinTests,BG381&lt;=-WlGap),"Below KS2 starting point",IF(AND(NOT(ISNUMBER(BD381)),ISNUMBER(BF381),N(BE381)&gt;=WlMinTests,BF381&lt;=WlLowMean),"Low results, no KS2 data","")))</f>
        <v/>
      </c>
      <c r="BJ381" t="str">
        <f>IF(BI381="","",IF(BI381="Below KS2 starting point",BG381,100+BF381)+ROW()/1000000)</f>
        <v/>
      </c>
    </row>
    <row r="382">
      <c r="H382" t="str">
        <f>IFERROR(INDEX(tblY7[Class],ROWS(H$10:H382))&amp;"","")</f>
        <v/>
      </c>
      <c r="I382" t="str">
        <f>IF(H382="","",IF(COUNTIF(H$10:H382,H382)=1,COUNTIF(H$10:H$609,"&lt;"&amp;H382)+1,""))</f>
        <v/>
      </c>
      <c r="J382" t="str">
        <f>IFERROR(INDEX(tblY8[Class],ROWS(J$10:J382))&amp;"","")</f>
        <v/>
      </c>
      <c r="K382" t="str">
        <f>IF(J382="","",IF(COUNTIF(J$10:J382,J382)=1,COUNTIF(J$10:J$609,"&lt;"&amp;J382)+1,""))</f>
        <v/>
      </c>
      <c r="L382" t="str">
        <f>IFERROR(INDEX(tblY9[Class],ROWS(L$10:L382))&amp;"","")</f>
        <v/>
      </c>
      <c r="M382" t="str">
        <f>IF(L382="","",IF(COUNTIF(L$10:L382,L382)=1,COUNTIF(L$10:L$609,"&lt;"&amp;L382)+1,""))</f>
        <v/>
      </c>
      <c r="N382" t="str">
        <f>IFERROR(INDEX(tblY10[Class],ROWS(N$10:N382))&amp;"","")</f>
        <v/>
      </c>
      <c r="O382" t="str">
        <f>IF(N382="","",IF(COUNTIF(N$10:N382,N382)=1,COUNTIF(N$10:N$609,"&lt;"&amp;N382)+1,""))</f>
        <v/>
      </c>
      <c r="P382" t="str">
        <f>IFERROR(INDEX(tblY11[Class],ROWS(P$10:P382))&amp;"","")</f>
        <v/>
      </c>
      <c r="Q382" t="str">
        <f>IF(P382="","",IF(COUNTIF(P$10:P382,P382)=1,COUNTIF(P$10:P$609,"&lt;"&amp;P382)+1,""))</f>
        <v/>
      </c>
      <c r="BA382" t="str">
        <f>IFERROR(INDEX(wLast,313)&amp;"","")</f>
        <v/>
      </c>
      <c r="BB382" t="str">
        <f>IF(BA382="","",IFERROR(INDEX(wFirst,313)&amp;"",""))</f>
        <v/>
      </c>
      <c r="BC382" t="str">
        <f>IF(BA382="","",IFERROR(INDEX(wClass,313)&amp;"",""))</f>
        <v/>
      </c>
      <c r="BD382" t="str">
        <f>IF(BA382="","",IFERROR(INDEX(wKS2,313)+0,""))</f>
        <v/>
      </c>
      <c r="BE382" t="str">
        <f>IF(BA382="","",IFERROR(INDEX(wTests,313)+0,0))</f>
        <v/>
      </c>
      <c r="BF382" t="str">
        <f>IF(BA382="","",IFERROR(INDEX(wMean,313)+0,""))</f>
        <v/>
      </c>
      <c r="BG382" t="str">
        <f>IF(BA382="","",IFERROR(INDEX(wVs,313)+0,""))</f>
        <v/>
      </c>
      <c r="BH382" t="str">
        <f>IF(OR(BA382="",wLatest=""),"",IFERROR(INDEX(wData,313,MATCH(wLatest&amp;CHAR(10)&amp;"Stanine",wHdr,0))+0,""))</f>
        <v/>
      </c>
      <c r="BI382" t="str">
        <f>IF(BA382="","",IF(AND(ISNUMBER(BG382),N(BE382)&gt;=WlMinTests,BG382&lt;=-WlGap),"Below KS2 starting point",IF(AND(NOT(ISNUMBER(BD382)),ISNUMBER(BF382),N(BE382)&gt;=WlMinTests,BF382&lt;=WlLowMean),"Low results, no KS2 data","")))</f>
        <v/>
      </c>
      <c r="BJ382" t="str">
        <f>IF(BI382="","",IF(BI382="Below KS2 starting point",BG382,100+BF382)+ROW()/1000000)</f>
        <v/>
      </c>
    </row>
    <row r="383">
      <c r="H383" t="str">
        <f>IFERROR(INDEX(tblY7[Class],ROWS(H$10:H383))&amp;"","")</f>
        <v/>
      </c>
      <c r="I383" t="str">
        <f>IF(H383="","",IF(COUNTIF(H$10:H383,H383)=1,COUNTIF(H$10:H$609,"&lt;"&amp;H383)+1,""))</f>
        <v/>
      </c>
      <c r="J383" t="str">
        <f>IFERROR(INDEX(tblY8[Class],ROWS(J$10:J383))&amp;"","")</f>
        <v/>
      </c>
      <c r="K383" t="str">
        <f>IF(J383="","",IF(COUNTIF(J$10:J383,J383)=1,COUNTIF(J$10:J$609,"&lt;"&amp;J383)+1,""))</f>
        <v/>
      </c>
      <c r="L383" t="str">
        <f>IFERROR(INDEX(tblY9[Class],ROWS(L$10:L383))&amp;"","")</f>
        <v/>
      </c>
      <c r="M383" t="str">
        <f>IF(L383="","",IF(COUNTIF(L$10:L383,L383)=1,COUNTIF(L$10:L$609,"&lt;"&amp;L383)+1,""))</f>
        <v/>
      </c>
      <c r="N383" t="str">
        <f>IFERROR(INDEX(tblY10[Class],ROWS(N$10:N383))&amp;"","")</f>
        <v/>
      </c>
      <c r="O383" t="str">
        <f>IF(N383="","",IF(COUNTIF(N$10:N383,N383)=1,COUNTIF(N$10:N$609,"&lt;"&amp;N383)+1,""))</f>
        <v/>
      </c>
      <c r="P383" t="str">
        <f>IFERROR(INDEX(tblY11[Class],ROWS(P$10:P383))&amp;"","")</f>
        <v/>
      </c>
      <c r="Q383" t="str">
        <f>IF(P383="","",IF(COUNTIF(P$10:P383,P383)=1,COUNTIF(P$10:P$609,"&lt;"&amp;P383)+1,""))</f>
        <v/>
      </c>
      <c r="BA383" t="str">
        <f>IFERROR(INDEX(wLast,314)&amp;"","")</f>
        <v/>
      </c>
      <c r="BB383" t="str">
        <f>IF(BA383="","",IFERROR(INDEX(wFirst,314)&amp;"",""))</f>
        <v/>
      </c>
      <c r="BC383" t="str">
        <f>IF(BA383="","",IFERROR(INDEX(wClass,314)&amp;"",""))</f>
        <v/>
      </c>
      <c r="BD383" t="str">
        <f>IF(BA383="","",IFERROR(INDEX(wKS2,314)+0,""))</f>
        <v/>
      </c>
      <c r="BE383" t="str">
        <f>IF(BA383="","",IFERROR(INDEX(wTests,314)+0,0))</f>
        <v/>
      </c>
      <c r="BF383" t="str">
        <f>IF(BA383="","",IFERROR(INDEX(wMean,314)+0,""))</f>
        <v/>
      </c>
      <c r="BG383" t="str">
        <f>IF(BA383="","",IFERROR(INDEX(wVs,314)+0,""))</f>
        <v/>
      </c>
      <c r="BH383" t="str">
        <f>IF(OR(BA383="",wLatest=""),"",IFERROR(INDEX(wData,314,MATCH(wLatest&amp;CHAR(10)&amp;"Stanine",wHdr,0))+0,""))</f>
        <v/>
      </c>
      <c r="BI383" t="str">
        <f>IF(BA383="","",IF(AND(ISNUMBER(BG383),N(BE383)&gt;=WlMinTests,BG383&lt;=-WlGap),"Below KS2 starting point",IF(AND(NOT(ISNUMBER(BD383)),ISNUMBER(BF383),N(BE383)&gt;=WlMinTests,BF383&lt;=WlLowMean),"Low results, no KS2 data","")))</f>
        <v/>
      </c>
      <c r="BJ383" t="str">
        <f>IF(BI383="","",IF(BI383="Below KS2 starting point",BG383,100+BF383)+ROW()/1000000)</f>
        <v/>
      </c>
    </row>
    <row r="384">
      <c r="H384" t="str">
        <f>IFERROR(INDEX(tblY7[Class],ROWS(H$10:H384))&amp;"","")</f>
        <v/>
      </c>
      <c r="I384" t="str">
        <f>IF(H384="","",IF(COUNTIF(H$10:H384,H384)=1,COUNTIF(H$10:H$609,"&lt;"&amp;H384)+1,""))</f>
        <v/>
      </c>
      <c r="J384" t="str">
        <f>IFERROR(INDEX(tblY8[Class],ROWS(J$10:J384))&amp;"","")</f>
        <v/>
      </c>
      <c r="K384" t="str">
        <f>IF(J384="","",IF(COUNTIF(J$10:J384,J384)=1,COUNTIF(J$10:J$609,"&lt;"&amp;J384)+1,""))</f>
        <v/>
      </c>
      <c r="L384" t="str">
        <f>IFERROR(INDEX(tblY9[Class],ROWS(L$10:L384))&amp;"","")</f>
        <v/>
      </c>
      <c r="M384" t="str">
        <f>IF(L384="","",IF(COUNTIF(L$10:L384,L384)=1,COUNTIF(L$10:L$609,"&lt;"&amp;L384)+1,""))</f>
        <v/>
      </c>
      <c r="N384" t="str">
        <f>IFERROR(INDEX(tblY10[Class],ROWS(N$10:N384))&amp;"","")</f>
        <v/>
      </c>
      <c r="O384" t="str">
        <f>IF(N384="","",IF(COUNTIF(N$10:N384,N384)=1,COUNTIF(N$10:N$609,"&lt;"&amp;N384)+1,""))</f>
        <v/>
      </c>
      <c r="P384" t="str">
        <f>IFERROR(INDEX(tblY11[Class],ROWS(P$10:P384))&amp;"","")</f>
        <v/>
      </c>
      <c r="Q384" t="str">
        <f>IF(P384="","",IF(COUNTIF(P$10:P384,P384)=1,COUNTIF(P$10:P$609,"&lt;"&amp;P384)+1,""))</f>
        <v/>
      </c>
      <c r="BA384" t="str">
        <f>IFERROR(INDEX(wLast,315)&amp;"","")</f>
        <v/>
      </c>
      <c r="BB384" t="str">
        <f>IF(BA384="","",IFERROR(INDEX(wFirst,315)&amp;"",""))</f>
        <v/>
      </c>
      <c r="BC384" t="str">
        <f>IF(BA384="","",IFERROR(INDEX(wClass,315)&amp;"",""))</f>
        <v/>
      </c>
      <c r="BD384" t="str">
        <f>IF(BA384="","",IFERROR(INDEX(wKS2,315)+0,""))</f>
        <v/>
      </c>
      <c r="BE384" t="str">
        <f>IF(BA384="","",IFERROR(INDEX(wTests,315)+0,0))</f>
        <v/>
      </c>
      <c r="BF384" t="str">
        <f>IF(BA384="","",IFERROR(INDEX(wMean,315)+0,""))</f>
        <v/>
      </c>
      <c r="BG384" t="str">
        <f>IF(BA384="","",IFERROR(INDEX(wVs,315)+0,""))</f>
        <v/>
      </c>
      <c r="BH384" t="str">
        <f>IF(OR(BA384="",wLatest=""),"",IFERROR(INDEX(wData,315,MATCH(wLatest&amp;CHAR(10)&amp;"Stanine",wHdr,0))+0,""))</f>
        <v/>
      </c>
      <c r="BI384" t="str">
        <f>IF(BA384="","",IF(AND(ISNUMBER(BG384),N(BE384)&gt;=WlMinTests,BG384&lt;=-WlGap),"Below KS2 starting point",IF(AND(NOT(ISNUMBER(BD384)),ISNUMBER(BF384),N(BE384)&gt;=WlMinTests,BF384&lt;=WlLowMean),"Low results, no KS2 data","")))</f>
        <v/>
      </c>
      <c r="BJ384" t="str">
        <f>IF(BI384="","",IF(BI384="Below KS2 starting point",BG384,100+BF384)+ROW()/1000000)</f>
        <v/>
      </c>
    </row>
    <row r="385">
      <c r="H385" t="str">
        <f>IFERROR(INDEX(tblY7[Class],ROWS(H$10:H385))&amp;"","")</f>
        <v/>
      </c>
      <c r="I385" t="str">
        <f>IF(H385="","",IF(COUNTIF(H$10:H385,H385)=1,COUNTIF(H$10:H$609,"&lt;"&amp;H385)+1,""))</f>
        <v/>
      </c>
      <c r="J385" t="str">
        <f>IFERROR(INDEX(tblY8[Class],ROWS(J$10:J385))&amp;"","")</f>
        <v/>
      </c>
      <c r="K385" t="str">
        <f>IF(J385="","",IF(COUNTIF(J$10:J385,J385)=1,COUNTIF(J$10:J$609,"&lt;"&amp;J385)+1,""))</f>
        <v/>
      </c>
      <c r="L385" t="str">
        <f>IFERROR(INDEX(tblY9[Class],ROWS(L$10:L385))&amp;"","")</f>
        <v/>
      </c>
      <c r="M385" t="str">
        <f>IF(L385="","",IF(COUNTIF(L$10:L385,L385)=1,COUNTIF(L$10:L$609,"&lt;"&amp;L385)+1,""))</f>
        <v/>
      </c>
      <c r="N385" t="str">
        <f>IFERROR(INDEX(tblY10[Class],ROWS(N$10:N385))&amp;"","")</f>
        <v/>
      </c>
      <c r="O385" t="str">
        <f>IF(N385="","",IF(COUNTIF(N$10:N385,N385)=1,COUNTIF(N$10:N$609,"&lt;"&amp;N385)+1,""))</f>
        <v/>
      </c>
      <c r="P385" t="str">
        <f>IFERROR(INDEX(tblY11[Class],ROWS(P$10:P385))&amp;"","")</f>
        <v/>
      </c>
      <c r="Q385" t="str">
        <f>IF(P385="","",IF(COUNTIF(P$10:P385,P385)=1,COUNTIF(P$10:P$609,"&lt;"&amp;P385)+1,""))</f>
        <v/>
      </c>
      <c r="BA385" t="str">
        <f>IFERROR(INDEX(wLast,316)&amp;"","")</f>
        <v/>
      </c>
      <c r="BB385" t="str">
        <f>IF(BA385="","",IFERROR(INDEX(wFirst,316)&amp;"",""))</f>
        <v/>
      </c>
      <c r="BC385" t="str">
        <f>IF(BA385="","",IFERROR(INDEX(wClass,316)&amp;"",""))</f>
        <v/>
      </c>
      <c r="BD385" t="str">
        <f>IF(BA385="","",IFERROR(INDEX(wKS2,316)+0,""))</f>
        <v/>
      </c>
      <c r="BE385" t="str">
        <f>IF(BA385="","",IFERROR(INDEX(wTests,316)+0,0))</f>
        <v/>
      </c>
      <c r="BF385" t="str">
        <f>IF(BA385="","",IFERROR(INDEX(wMean,316)+0,""))</f>
        <v/>
      </c>
      <c r="BG385" t="str">
        <f>IF(BA385="","",IFERROR(INDEX(wVs,316)+0,""))</f>
        <v/>
      </c>
      <c r="BH385" t="str">
        <f>IF(OR(BA385="",wLatest=""),"",IFERROR(INDEX(wData,316,MATCH(wLatest&amp;CHAR(10)&amp;"Stanine",wHdr,0))+0,""))</f>
        <v/>
      </c>
      <c r="BI385" t="str">
        <f>IF(BA385="","",IF(AND(ISNUMBER(BG385),N(BE385)&gt;=WlMinTests,BG385&lt;=-WlGap),"Below KS2 starting point",IF(AND(NOT(ISNUMBER(BD385)),ISNUMBER(BF385),N(BE385)&gt;=WlMinTests,BF385&lt;=WlLowMean),"Low results, no KS2 data","")))</f>
        <v/>
      </c>
      <c r="BJ385" t="str">
        <f>IF(BI385="","",IF(BI385="Below KS2 starting point",BG385,100+BF385)+ROW()/1000000)</f>
        <v/>
      </c>
    </row>
    <row r="386">
      <c r="H386" t="str">
        <f>IFERROR(INDEX(tblY7[Class],ROWS(H$10:H386))&amp;"","")</f>
        <v/>
      </c>
      <c r="I386" t="str">
        <f>IF(H386="","",IF(COUNTIF(H$10:H386,H386)=1,COUNTIF(H$10:H$609,"&lt;"&amp;H386)+1,""))</f>
        <v/>
      </c>
      <c r="J386" t="str">
        <f>IFERROR(INDEX(tblY8[Class],ROWS(J$10:J386))&amp;"","")</f>
        <v/>
      </c>
      <c r="K386" t="str">
        <f>IF(J386="","",IF(COUNTIF(J$10:J386,J386)=1,COUNTIF(J$10:J$609,"&lt;"&amp;J386)+1,""))</f>
        <v/>
      </c>
      <c r="L386" t="str">
        <f>IFERROR(INDEX(tblY9[Class],ROWS(L$10:L386))&amp;"","")</f>
        <v/>
      </c>
      <c r="M386" t="str">
        <f>IF(L386="","",IF(COUNTIF(L$10:L386,L386)=1,COUNTIF(L$10:L$609,"&lt;"&amp;L386)+1,""))</f>
        <v/>
      </c>
      <c r="N386" t="str">
        <f>IFERROR(INDEX(tblY10[Class],ROWS(N$10:N386))&amp;"","")</f>
        <v/>
      </c>
      <c r="O386" t="str">
        <f>IF(N386="","",IF(COUNTIF(N$10:N386,N386)=1,COUNTIF(N$10:N$609,"&lt;"&amp;N386)+1,""))</f>
        <v/>
      </c>
      <c r="P386" t="str">
        <f>IFERROR(INDEX(tblY11[Class],ROWS(P$10:P386))&amp;"","")</f>
        <v/>
      </c>
      <c r="Q386" t="str">
        <f>IF(P386="","",IF(COUNTIF(P$10:P386,P386)=1,COUNTIF(P$10:P$609,"&lt;"&amp;P386)+1,""))</f>
        <v/>
      </c>
      <c r="BA386" t="str">
        <f>IFERROR(INDEX(wLast,317)&amp;"","")</f>
        <v/>
      </c>
      <c r="BB386" t="str">
        <f>IF(BA386="","",IFERROR(INDEX(wFirst,317)&amp;"",""))</f>
        <v/>
      </c>
      <c r="BC386" t="str">
        <f>IF(BA386="","",IFERROR(INDEX(wClass,317)&amp;"",""))</f>
        <v/>
      </c>
      <c r="BD386" t="str">
        <f>IF(BA386="","",IFERROR(INDEX(wKS2,317)+0,""))</f>
        <v/>
      </c>
      <c r="BE386" t="str">
        <f>IF(BA386="","",IFERROR(INDEX(wTests,317)+0,0))</f>
        <v/>
      </c>
      <c r="BF386" t="str">
        <f>IF(BA386="","",IFERROR(INDEX(wMean,317)+0,""))</f>
        <v/>
      </c>
      <c r="BG386" t="str">
        <f>IF(BA386="","",IFERROR(INDEX(wVs,317)+0,""))</f>
        <v/>
      </c>
      <c r="BH386" t="str">
        <f>IF(OR(BA386="",wLatest=""),"",IFERROR(INDEX(wData,317,MATCH(wLatest&amp;CHAR(10)&amp;"Stanine",wHdr,0))+0,""))</f>
        <v/>
      </c>
      <c r="BI386" t="str">
        <f>IF(BA386="","",IF(AND(ISNUMBER(BG386),N(BE386)&gt;=WlMinTests,BG386&lt;=-WlGap),"Below KS2 starting point",IF(AND(NOT(ISNUMBER(BD386)),ISNUMBER(BF386),N(BE386)&gt;=WlMinTests,BF386&lt;=WlLowMean),"Low results, no KS2 data","")))</f>
        <v/>
      </c>
      <c r="BJ386" t="str">
        <f>IF(BI386="","",IF(BI386="Below KS2 starting point",BG386,100+BF386)+ROW()/1000000)</f>
        <v/>
      </c>
    </row>
    <row r="387">
      <c r="H387" t="str">
        <f>IFERROR(INDEX(tblY7[Class],ROWS(H$10:H387))&amp;"","")</f>
        <v/>
      </c>
      <c r="I387" t="str">
        <f>IF(H387="","",IF(COUNTIF(H$10:H387,H387)=1,COUNTIF(H$10:H$609,"&lt;"&amp;H387)+1,""))</f>
        <v/>
      </c>
      <c r="J387" t="str">
        <f>IFERROR(INDEX(tblY8[Class],ROWS(J$10:J387))&amp;"","")</f>
        <v/>
      </c>
      <c r="K387" t="str">
        <f>IF(J387="","",IF(COUNTIF(J$10:J387,J387)=1,COUNTIF(J$10:J$609,"&lt;"&amp;J387)+1,""))</f>
        <v/>
      </c>
      <c r="L387" t="str">
        <f>IFERROR(INDEX(tblY9[Class],ROWS(L$10:L387))&amp;"","")</f>
        <v/>
      </c>
      <c r="M387" t="str">
        <f>IF(L387="","",IF(COUNTIF(L$10:L387,L387)=1,COUNTIF(L$10:L$609,"&lt;"&amp;L387)+1,""))</f>
        <v/>
      </c>
      <c r="N387" t="str">
        <f>IFERROR(INDEX(tblY10[Class],ROWS(N$10:N387))&amp;"","")</f>
        <v/>
      </c>
      <c r="O387" t="str">
        <f>IF(N387="","",IF(COUNTIF(N$10:N387,N387)=1,COUNTIF(N$10:N$609,"&lt;"&amp;N387)+1,""))</f>
        <v/>
      </c>
      <c r="P387" t="str">
        <f>IFERROR(INDEX(tblY11[Class],ROWS(P$10:P387))&amp;"","")</f>
        <v/>
      </c>
      <c r="Q387" t="str">
        <f>IF(P387="","",IF(COUNTIF(P$10:P387,P387)=1,COUNTIF(P$10:P$609,"&lt;"&amp;P387)+1,""))</f>
        <v/>
      </c>
      <c r="BA387" t="str">
        <f>IFERROR(INDEX(wLast,318)&amp;"","")</f>
        <v/>
      </c>
      <c r="BB387" t="str">
        <f>IF(BA387="","",IFERROR(INDEX(wFirst,318)&amp;"",""))</f>
        <v/>
      </c>
      <c r="BC387" t="str">
        <f>IF(BA387="","",IFERROR(INDEX(wClass,318)&amp;"",""))</f>
        <v/>
      </c>
      <c r="BD387" t="str">
        <f>IF(BA387="","",IFERROR(INDEX(wKS2,318)+0,""))</f>
        <v/>
      </c>
      <c r="BE387" t="str">
        <f>IF(BA387="","",IFERROR(INDEX(wTests,318)+0,0))</f>
        <v/>
      </c>
      <c r="BF387" t="str">
        <f>IF(BA387="","",IFERROR(INDEX(wMean,318)+0,""))</f>
        <v/>
      </c>
      <c r="BG387" t="str">
        <f>IF(BA387="","",IFERROR(INDEX(wVs,318)+0,""))</f>
        <v/>
      </c>
      <c r="BH387" t="str">
        <f>IF(OR(BA387="",wLatest=""),"",IFERROR(INDEX(wData,318,MATCH(wLatest&amp;CHAR(10)&amp;"Stanine",wHdr,0))+0,""))</f>
        <v/>
      </c>
      <c r="BI387" t="str">
        <f>IF(BA387="","",IF(AND(ISNUMBER(BG387),N(BE387)&gt;=WlMinTests,BG387&lt;=-WlGap),"Below KS2 starting point",IF(AND(NOT(ISNUMBER(BD387)),ISNUMBER(BF387),N(BE387)&gt;=WlMinTests,BF387&lt;=WlLowMean),"Low results, no KS2 data","")))</f>
        <v/>
      </c>
      <c r="BJ387" t="str">
        <f>IF(BI387="","",IF(BI387="Below KS2 starting point",BG387,100+BF387)+ROW()/1000000)</f>
        <v/>
      </c>
    </row>
    <row r="388">
      <c r="H388" t="str">
        <f>IFERROR(INDEX(tblY7[Class],ROWS(H$10:H388))&amp;"","")</f>
        <v/>
      </c>
      <c r="I388" t="str">
        <f>IF(H388="","",IF(COUNTIF(H$10:H388,H388)=1,COUNTIF(H$10:H$609,"&lt;"&amp;H388)+1,""))</f>
        <v/>
      </c>
      <c r="J388" t="str">
        <f>IFERROR(INDEX(tblY8[Class],ROWS(J$10:J388))&amp;"","")</f>
        <v/>
      </c>
      <c r="K388" t="str">
        <f>IF(J388="","",IF(COUNTIF(J$10:J388,J388)=1,COUNTIF(J$10:J$609,"&lt;"&amp;J388)+1,""))</f>
        <v/>
      </c>
      <c r="L388" t="str">
        <f>IFERROR(INDEX(tblY9[Class],ROWS(L$10:L388))&amp;"","")</f>
        <v/>
      </c>
      <c r="M388" t="str">
        <f>IF(L388="","",IF(COUNTIF(L$10:L388,L388)=1,COUNTIF(L$10:L$609,"&lt;"&amp;L388)+1,""))</f>
        <v/>
      </c>
      <c r="N388" t="str">
        <f>IFERROR(INDEX(tblY10[Class],ROWS(N$10:N388))&amp;"","")</f>
        <v/>
      </c>
      <c r="O388" t="str">
        <f>IF(N388="","",IF(COUNTIF(N$10:N388,N388)=1,COUNTIF(N$10:N$609,"&lt;"&amp;N388)+1,""))</f>
        <v/>
      </c>
      <c r="P388" t="str">
        <f>IFERROR(INDEX(tblY11[Class],ROWS(P$10:P388))&amp;"","")</f>
        <v/>
      </c>
      <c r="Q388" t="str">
        <f>IF(P388="","",IF(COUNTIF(P$10:P388,P388)=1,COUNTIF(P$10:P$609,"&lt;"&amp;P388)+1,""))</f>
        <v/>
      </c>
      <c r="BA388" t="str">
        <f>IFERROR(INDEX(wLast,319)&amp;"","")</f>
        <v/>
      </c>
      <c r="BB388" t="str">
        <f>IF(BA388="","",IFERROR(INDEX(wFirst,319)&amp;"",""))</f>
        <v/>
      </c>
      <c r="BC388" t="str">
        <f>IF(BA388="","",IFERROR(INDEX(wClass,319)&amp;"",""))</f>
        <v/>
      </c>
      <c r="BD388" t="str">
        <f>IF(BA388="","",IFERROR(INDEX(wKS2,319)+0,""))</f>
        <v/>
      </c>
      <c r="BE388" t="str">
        <f>IF(BA388="","",IFERROR(INDEX(wTests,319)+0,0))</f>
        <v/>
      </c>
      <c r="BF388" t="str">
        <f>IF(BA388="","",IFERROR(INDEX(wMean,319)+0,""))</f>
        <v/>
      </c>
      <c r="BG388" t="str">
        <f>IF(BA388="","",IFERROR(INDEX(wVs,319)+0,""))</f>
        <v/>
      </c>
      <c r="BH388" t="str">
        <f>IF(OR(BA388="",wLatest=""),"",IFERROR(INDEX(wData,319,MATCH(wLatest&amp;CHAR(10)&amp;"Stanine",wHdr,0))+0,""))</f>
        <v/>
      </c>
      <c r="BI388" t="str">
        <f>IF(BA388="","",IF(AND(ISNUMBER(BG388),N(BE388)&gt;=WlMinTests,BG388&lt;=-WlGap),"Below KS2 starting point",IF(AND(NOT(ISNUMBER(BD388)),ISNUMBER(BF388),N(BE388)&gt;=WlMinTests,BF388&lt;=WlLowMean),"Low results, no KS2 data","")))</f>
        <v/>
      </c>
      <c r="BJ388" t="str">
        <f>IF(BI388="","",IF(BI388="Below KS2 starting point",BG388,100+BF388)+ROW()/1000000)</f>
        <v/>
      </c>
    </row>
    <row r="389">
      <c r="H389" t="str">
        <f>IFERROR(INDEX(tblY7[Class],ROWS(H$10:H389))&amp;"","")</f>
        <v/>
      </c>
      <c r="I389" t="str">
        <f>IF(H389="","",IF(COUNTIF(H$10:H389,H389)=1,COUNTIF(H$10:H$609,"&lt;"&amp;H389)+1,""))</f>
        <v/>
      </c>
      <c r="J389" t="str">
        <f>IFERROR(INDEX(tblY8[Class],ROWS(J$10:J389))&amp;"","")</f>
        <v/>
      </c>
      <c r="K389" t="str">
        <f>IF(J389="","",IF(COUNTIF(J$10:J389,J389)=1,COUNTIF(J$10:J$609,"&lt;"&amp;J389)+1,""))</f>
        <v/>
      </c>
      <c r="L389" t="str">
        <f>IFERROR(INDEX(tblY9[Class],ROWS(L$10:L389))&amp;"","")</f>
        <v/>
      </c>
      <c r="M389" t="str">
        <f>IF(L389="","",IF(COUNTIF(L$10:L389,L389)=1,COUNTIF(L$10:L$609,"&lt;"&amp;L389)+1,""))</f>
        <v/>
      </c>
      <c r="N389" t="str">
        <f>IFERROR(INDEX(tblY10[Class],ROWS(N$10:N389))&amp;"","")</f>
        <v/>
      </c>
      <c r="O389" t="str">
        <f>IF(N389="","",IF(COUNTIF(N$10:N389,N389)=1,COUNTIF(N$10:N$609,"&lt;"&amp;N389)+1,""))</f>
        <v/>
      </c>
      <c r="P389" t="str">
        <f>IFERROR(INDEX(tblY11[Class],ROWS(P$10:P389))&amp;"","")</f>
        <v/>
      </c>
      <c r="Q389" t="str">
        <f>IF(P389="","",IF(COUNTIF(P$10:P389,P389)=1,COUNTIF(P$10:P$609,"&lt;"&amp;P389)+1,""))</f>
        <v/>
      </c>
      <c r="BA389" t="str">
        <f>IFERROR(INDEX(wLast,320)&amp;"","")</f>
        <v/>
      </c>
      <c r="BB389" t="str">
        <f>IF(BA389="","",IFERROR(INDEX(wFirst,320)&amp;"",""))</f>
        <v/>
      </c>
      <c r="BC389" t="str">
        <f>IF(BA389="","",IFERROR(INDEX(wClass,320)&amp;"",""))</f>
        <v/>
      </c>
      <c r="BD389" t="str">
        <f>IF(BA389="","",IFERROR(INDEX(wKS2,320)+0,""))</f>
        <v/>
      </c>
      <c r="BE389" t="str">
        <f>IF(BA389="","",IFERROR(INDEX(wTests,320)+0,0))</f>
        <v/>
      </c>
      <c r="BF389" t="str">
        <f>IF(BA389="","",IFERROR(INDEX(wMean,320)+0,""))</f>
        <v/>
      </c>
      <c r="BG389" t="str">
        <f>IF(BA389="","",IFERROR(INDEX(wVs,320)+0,""))</f>
        <v/>
      </c>
      <c r="BH389" t="str">
        <f>IF(OR(BA389="",wLatest=""),"",IFERROR(INDEX(wData,320,MATCH(wLatest&amp;CHAR(10)&amp;"Stanine",wHdr,0))+0,""))</f>
        <v/>
      </c>
      <c r="BI389" t="str">
        <f>IF(BA389="","",IF(AND(ISNUMBER(BG389),N(BE389)&gt;=WlMinTests,BG389&lt;=-WlGap),"Below KS2 starting point",IF(AND(NOT(ISNUMBER(BD389)),ISNUMBER(BF389),N(BE389)&gt;=WlMinTests,BF389&lt;=WlLowMean),"Low results, no KS2 data","")))</f>
        <v/>
      </c>
      <c r="BJ389" t="str">
        <f>IF(BI389="","",IF(BI389="Below KS2 starting point",BG389,100+BF389)+ROW()/1000000)</f>
        <v/>
      </c>
    </row>
    <row r="390">
      <c r="H390" t="str">
        <f>IFERROR(INDEX(tblY7[Class],ROWS(H$10:H390))&amp;"","")</f>
        <v/>
      </c>
      <c r="I390" t="str">
        <f>IF(H390="","",IF(COUNTIF(H$10:H390,H390)=1,COUNTIF(H$10:H$609,"&lt;"&amp;H390)+1,""))</f>
        <v/>
      </c>
      <c r="J390" t="str">
        <f>IFERROR(INDEX(tblY8[Class],ROWS(J$10:J390))&amp;"","")</f>
        <v/>
      </c>
      <c r="K390" t="str">
        <f>IF(J390="","",IF(COUNTIF(J$10:J390,J390)=1,COUNTIF(J$10:J$609,"&lt;"&amp;J390)+1,""))</f>
        <v/>
      </c>
      <c r="L390" t="str">
        <f>IFERROR(INDEX(tblY9[Class],ROWS(L$10:L390))&amp;"","")</f>
        <v/>
      </c>
      <c r="M390" t="str">
        <f>IF(L390="","",IF(COUNTIF(L$10:L390,L390)=1,COUNTIF(L$10:L$609,"&lt;"&amp;L390)+1,""))</f>
        <v/>
      </c>
      <c r="N390" t="str">
        <f>IFERROR(INDEX(tblY10[Class],ROWS(N$10:N390))&amp;"","")</f>
        <v/>
      </c>
      <c r="O390" t="str">
        <f>IF(N390="","",IF(COUNTIF(N$10:N390,N390)=1,COUNTIF(N$10:N$609,"&lt;"&amp;N390)+1,""))</f>
        <v/>
      </c>
      <c r="P390" t="str">
        <f>IFERROR(INDEX(tblY11[Class],ROWS(P$10:P390))&amp;"","")</f>
        <v/>
      </c>
      <c r="Q390" t="str">
        <f>IF(P390="","",IF(COUNTIF(P$10:P390,P390)=1,COUNTIF(P$10:P$609,"&lt;"&amp;P390)+1,""))</f>
        <v/>
      </c>
      <c r="BA390" t="str">
        <f>IFERROR(INDEX(wLast,321)&amp;"","")</f>
        <v/>
      </c>
      <c r="BB390" t="str">
        <f>IF(BA390="","",IFERROR(INDEX(wFirst,321)&amp;"",""))</f>
        <v/>
      </c>
      <c r="BC390" t="str">
        <f>IF(BA390="","",IFERROR(INDEX(wClass,321)&amp;"",""))</f>
        <v/>
      </c>
      <c r="BD390" t="str">
        <f>IF(BA390="","",IFERROR(INDEX(wKS2,321)+0,""))</f>
        <v/>
      </c>
      <c r="BE390" t="str">
        <f>IF(BA390="","",IFERROR(INDEX(wTests,321)+0,0))</f>
        <v/>
      </c>
      <c r="BF390" t="str">
        <f>IF(BA390="","",IFERROR(INDEX(wMean,321)+0,""))</f>
        <v/>
      </c>
      <c r="BG390" t="str">
        <f>IF(BA390="","",IFERROR(INDEX(wVs,321)+0,""))</f>
        <v/>
      </c>
      <c r="BH390" t="str">
        <f>IF(OR(BA390="",wLatest=""),"",IFERROR(INDEX(wData,321,MATCH(wLatest&amp;CHAR(10)&amp;"Stanine",wHdr,0))+0,""))</f>
        <v/>
      </c>
      <c r="BI390" t="str">
        <f>IF(BA390="","",IF(AND(ISNUMBER(BG390),N(BE390)&gt;=WlMinTests,BG390&lt;=-WlGap),"Below KS2 starting point",IF(AND(NOT(ISNUMBER(BD390)),ISNUMBER(BF390),N(BE390)&gt;=WlMinTests,BF390&lt;=WlLowMean),"Low results, no KS2 data","")))</f>
        <v/>
      </c>
      <c r="BJ390" t="str">
        <f>IF(BI390="","",IF(BI390="Below KS2 starting point",BG390,100+BF390)+ROW()/1000000)</f>
        <v/>
      </c>
    </row>
    <row r="391">
      <c r="H391" t="str">
        <f>IFERROR(INDEX(tblY7[Class],ROWS(H$10:H391))&amp;"","")</f>
        <v/>
      </c>
      <c r="I391" t="str">
        <f>IF(H391="","",IF(COUNTIF(H$10:H391,H391)=1,COUNTIF(H$10:H$609,"&lt;"&amp;H391)+1,""))</f>
        <v/>
      </c>
      <c r="J391" t="str">
        <f>IFERROR(INDEX(tblY8[Class],ROWS(J$10:J391))&amp;"","")</f>
        <v/>
      </c>
      <c r="K391" t="str">
        <f>IF(J391="","",IF(COUNTIF(J$10:J391,J391)=1,COUNTIF(J$10:J$609,"&lt;"&amp;J391)+1,""))</f>
        <v/>
      </c>
      <c r="L391" t="str">
        <f>IFERROR(INDEX(tblY9[Class],ROWS(L$10:L391))&amp;"","")</f>
        <v/>
      </c>
      <c r="M391" t="str">
        <f>IF(L391="","",IF(COUNTIF(L$10:L391,L391)=1,COUNTIF(L$10:L$609,"&lt;"&amp;L391)+1,""))</f>
        <v/>
      </c>
      <c r="N391" t="str">
        <f>IFERROR(INDEX(tblY10[Class],ROWS(N$10:N391))&amp;"","")</f>
        <v/>
      </c>
      <c r="O391" t="str">
        <f>IF(N391="","",IF(COUNTIF(N$10:N391,N391)=1,COUNTIF(N$10:N$609,"&lt;"&amp;N391)+1,""))</f>
        <v/>
      </c>
      <c r="P391" t="str">
        <f>IFERROR(INDEX(tblY11[Class],ROWS(P$10:P391))&amp;"","")</f>
        <v/>
      </c>
      <c r="Q391" t="str">
        <f>IF(P391="","",IF(COUNTIF(P$10:P391,P391)=1,COUNTIF(P$10:P$609,"&lt;"&amp;P391)+1,""))</f>
        <v/>
      </c>
      <c r="BA391" t="str">
        <f>IFERROR(INDEX(wLast,322)&amp;"","")</f>
        <v/>
      </c>
      <c r="BB391" t="str">
        <f>IF(BA391="","",IFERROR(INDEX(wFirst,322)&amp;"",""))</f>
        <v/>
      </c>
      <c r="BC391" t="str">
        <f>IF(BA391="","",IFERROR(INDEX(wClass,322)&amp;"",""))</f>
        <v/>
      </c>
      <c r="BD391" t="str">
        <f>IF(BA391="","",IFERROR(INDEX(wKS2,322)+0,""))</f>
        <v/>
      </c>
      <c r="BE391" t="str">
        <f>IF(BA391="","",IFERROR(INDEX(wTests,322)+0,0))</f>
        <v/>
      </c>
      <c r="BF391" t="str">
        <f>IF(BA391="","",IFERROR(INDEX(wMean,322)+0,""))</f>
        <v/>
      </c>
      <c r="BG391" t="str">
        <f>IF(BA391="","",IFERROR(INDEX(wVs,322)+0,""))</f>
        <v/>
      </c>
      <c r="BH391" t="str">
        <f>IF(OR(BA391="",wLatest=""),"",IFERROR(INDEX(wData,322,MATCH(wLatest&amp;CHAR(10)&amp;"Stanine",wHdr,0))+0,""))</f>
        <v/>
      </c>
      <c r="BI391" t="str">
        <f>IF(BA391="","",IF(AND(ISNUMBER(BG391),N(BE391)&gt;=WlMinTests,BG391&lt;=-WlGap),"Below KS2 starting point",IF(AND(NOT(ISNUMBER(BD391)),ISNUMBER(BF391),N(BE391)&gt;=WlMinTests,BF391&lt;=WlLowMean),"Low results, no KS2 data","")))</f>
        <v/>
      </c>
      <c r="BJ391" t="str">
        <f>IF(BI391="","",IF(BI391="Below KS2 starting point",BG391,100+BF391)+ROW()/1000000)</f>
        <v/>
      </c>
    </row>
    <row r="392">
      <c r="H392" t="str">
        <f>IFERROR(INDEX(tblY7[Class],ROWS(H$10:H392))&amp;"","")</f>
        <v/>
      </c>
      <c r="I392" t="str">
        <f>IF(H392="","",IF(COUNTIF(H$10:H392,H392)=1,COUNTIF(H$10:H$609,"&lt;"&amp;H392)+1,""))</f>
        <v/>
      </c>
      <c r="J392" t="str">
        <f>IFERROR(INDEX(tblY8[Class],ROWS(J$10:J392))&amp;"","")</f>
        <v/>
      </c>
      <c r="K392" t="str">
        <f>IF(J392="","",IF(COUNTIF(J$10:J392,J392)=1,COUNTIF(J$10:J$609,"&lt;"&amp;J392)+1,""))</f>
        <v/>
      </c>
      <c r="L392" t="str">
        <f>IFERROR(INDEX(tblY9[Class],ROWS(L$10:L392))&amp;"","")</f>
        <v/>
      </c>
      <c r="M392" t="str">
        <f>IF(L392="","",IF(COUNTIF(L$10:L392,L392)=1,COUNTIF(L$10:L$609,"&lt;"&amp;L392)+1,""))</f>
        <v/>
      </c>
      <c r="N392" t="str">
        <f>IFERROR(INDEX(tblY10[Class],ROWS(N$10:N392))&amp;"","")</f>
        <v/>
      </c>
      <c r="O392" t="str">
        <f>IF(N392="","",IF(COUNTIF(N$10:N392,N392)=1,COUNTIF(N$10:N$609,"&lt;"&amp;N392)+1,""))</f>
        <v/>
      </c>
      <c r="P392" t="str">
        <f>IFERROR(INDEX(tblY11[Class],ROWS(P$10:P392))&amp;"","")</f>
        <v/>
      </c>
      <c r="Q392" t="str">
        <f>IF(P392="","",IF(COUNTIF(P$10:P392,P392)=1,COUNTIF(P$10:P$609,"&lt;"&amp;P392)+1,""))</f>
        <v/>
      </c>
      <c r="BA392" t="str">
        <f>IFERROR(INDEX(wLast,323)&amp;"","")</f>
        <v/>
      </c>
      <c r="BB392" t="str">
        <f>IF(BA392="","",IFERROR(INDEX(wFirst,323)&amp;"",""))</f>
        <v/>
      </c>
      <c r="BC392" t="str">
        <f>IF(BA392="","",IFERROR(INDEX(wClass,323)&amp;"",""))</f>
        <v/>
      </c>
      <c r="BD392" t="str">
        <f>IF(BA392="","",IFERROR(INDEX(wKS2,323)+0,""))</f>
        <v/>
      </c>
      <c r="BE392" t="str">
        <f>IF(BA392="","",IFERROR(INDEX(wTests,323)+0,0))</f>
        <v/>
      </c>
      <c r="BF392" t="str">
        <f>IF(BA392="","",IFERROR(INDEX(wMean,323)+0,""))</f>
        <v/>
      </c>
      <c r="BG392" t="str">
        <f>IF(BA392="","",IFERROR(INDEX(wVs,323)+0,""))</f>
        <v/>
      </c>
      <c r="BH392" t="str">
        <f>IF(OR(BA392="",wLatest=""),"",IFERROR(INDEX(wData,323,MATCH(wLatest&amp;CHAR(10)&amp;"Stanine",wHdr,0))+0,""))</f>
        <v/>
      </c>
      <c r="BI392" t="str">
        <f>IF(BA392="","",IF(AND(ISNUMBER(BG392),N(BE392)&gt;=WlMinTests,BG392&lt;=-WlGap),"Below KS2 starting point",IF(AND(NOT(ISNUMBER(BD392)),ISNUMBER(BF392),N(BE392)&gt;=WlMinTests,BF392&lt;=WlLowMean),"Low results, no KS2 data","")))</f>
        <v/>
      </c>
      <c r="BJ392" t="str">
        <f>IF(BI392="","",IF(BI392="Below KS2 starting point",BG392,100+BF392)+ROW()/1000000)</f>
        <v/>
      </c>
    </row>
    <row r="393">
      <c r="H393" t="str">
        <f>IFERROR(INDEX(tblY7[Class],ROWS(H$10:H393))&amp;"","")</f>
        <v/>
      </c>
      <c r="I393" t="str">
        <f>IF(H393="","",IF(COUNTIF(H$10:H393,H393)=1,COUNTIF(H$10:H$609,"&lt;"&amp;H393)+1,""))</f>
        <v/>
      </c>
      <c r="J393" t="str">
        <f>IFERROR(INDEX(tblY8[Class],ROWS(J$10:J393))&amp;"","")</f>
        <v/>
      </c>
      <c r="K393" t="str">
        <f>IF(J393="","",IF(COUNTIF(J$10:J393,J393)=1,COUNTIF(J$10:J$609,"&lt;"&amp;J393)+1,""))</f>
        <v/>
      </c>
      <c r="L393" t="str">
        <f>IFERROR(INDEX(tblY9[Class],ROWS(L$10:L393))&amp;"","")</f>
        <v/>
      </c>
      <c r="M393" t="str">
        <f>IF(L393="","",IF(COUNTIF(L$10:L393,L393)=1,COUNTIF(L$10:L$609,"&lt;"&amp;L393)+1,""))</f>
        <v/>
      </c>
      <c r="N393" t="str">
        <f>IFERROR(INDEX(tblY10[Class],ROWS(N$10:N393))&amp;"","")</f>
        <v/>
      </c>
      <c r="O393" t="str">
        <f>IF(N393="","",IF(COUNTIF(N$10:N393,N393)=1,COUNTIF(N$10:N$609,"&lt;"&amp;N393)+1,""))</f>
        <v/>
      </c>
      <c r="P393" t="str">
        <f>IFERROR(INDEX(tblY11[Class],ROWS(P$10:P393))&amp;"","")</f>
        <v/>
      </c>
      <c r="Q393" t="str">
        <f>IF(P393="","",IF(COUNTIF(P$10:P393,P393)=1,COUNTIF(P$10:P$609,"&lt;"&amp;P393)+1,""))</f>
        <v/>
      </c>
      <c r="BA393" t="str">
        <f>IFERROR(INDEX(wLast,324)&amp;"","")</f>
        <v/>
      </c>
      <c r="BB393" t="str">
        <f>IF(BA393="","",IFERROR(INDEX(wFirst,324)&amp;"",""))</f>
        <v/>
      </c>
      <c r="BC393" t="str">
        <f>IF(BA393="","",IFERROR(INDEX(wClass,324)&amp;"",""))</f>
        <v/>
      </c>
      <c r="BD393" t="str">
        <f>IF(BA393="","",IFERROR(INDEX(wKS2,324)+0,""))</f>
        <v/>
      </c>
      <c r="BE393" t="str">
        <f>IF(BA393="","",IFERROR(INDEX(wTests,324)+0,0))</f>
        <v/>
      </c>
      <c r="BF393" t="str">
        <f>IF(BA393="","",IFERROR(INDEX(wMean,324)+0,""))</f>
        <v/>
      </c>
      <c r="BG393" t="str">
        <f>IF(BA393="","",IFERROR(INDEX(wVs,324)+0,""))</f>
        <v/>
      </c>
      <c r="BH393" t="str">
        <f>IF(OR(BA393="",wLatest=""),"",IFERROR(INDEX(wData,324,MATCH(wLatest&amp;CHAR(10)&amp;"Stanine",wHdr,0))+0,""))</f>
        <v/>
      </c>
      <c r="BI393" t="str">
        <f>IF(BA393="","",IF(AND(ISNUMBER(BG393),N(BE393)&gt;=WlMinTests,BG393&lt;=-WlGap),"Below KS2 starting point",IF(AND(NOT(ISNUMBER(BD393)),ISNUMBER(BF393),N(BE393)&gt;=WlMinTests,BF393&lt;=WlLowMean),"Low results, no KS2 data","")))</f>
        <v/>
      </c>
      <c r="BJ393" t="str">
        <f>IF(BI393="","",IF(BI393="Below KS2 starting point",BG393,100+BF393)+ROW()/1000000)</f>
        <v/>
      </c>
    </row>
    <row r="394">
      <c r="H394" t="str">
        <f>IFERROR(INDEX(tblY7[Class],ROWS(H$10:H394))&amp;"","")</f>
        <v/>
      </c>
      <c r="I394" t="str">
        <f>IF(H394="","",IF(COUNTIF(H$10:H394,H394)=1,COUNTIF(H$10:H$609,"&lt;"&amp;H394)+1,""))</f>
        <v/>
      </c>
      <c r="J394" t="str">
        <f>IFERROR(INDEX(tblY8[Class],ROWS(J$10:J394))&amp;"","")</f>
        <v/>
      </c>
      <c r="K394" t="str">
        <f>IF(J394="","",IF(COUNTIF(J$10:J394,J394)=1,COUNTIF(J$10:J$609,"&lt;"&amp;J394)+1,""))</f>
        <v/>
      </c>
      <c r="L394" t="str">
        <f>IFERROR(INDEX(tblY9[Class],ROWS(L$10:L394))&amp;"","")</f>
        <v/>
      </c>
      <c r="M394" t="str">
        <f>IF(L394="","",IF(COUNTIF(L$10:L394,L394)=1,COUNTIF(L$10:L$609,"&lt;"&amp;L394)+1,""))</f>
        <v/>
      </c>
      <c r="N394" t="str">
        <f>IFERROR(INDEX(tblY10[Class],ROWS(N$10:N394))&amp;"","")</f>
        <v/>
      </c>
      <c r="O394" t="str">
        <f>IF(N394="","",IF(COUNTIF(N$10:N394,N394)=1,COUNTIF(N$10:N$609,"&lt;"&amp;N394)+1,""))</f>
        <v/>
      </c>
      <c r="P394" t="str">
        <f>IFERROR(INDEX(tblY11[Class],ROWS(P$10:P394))&amp;"","")</f>
        <v/>
      </c>
      <c r="Q394" t="str">
        <f>IF(P394="","",IF(COUNTIF(P$10:P394,P394)=1,COUNTIF(P$10:P$609,"&lt;"&amp;P394)+1,""))</f>
        <v/>
      </c>
      <c r="BA394" t="str">
        <f>IFERROR(INDEX(wLast,325)&amp;"","")</f>
        <v/>
      </c>
      <c r="BB394" t="str">
        <f>IF(BA394="","",IFERROR(INDEX(wFirst,325)&amp;"",""))</f>
        <v/>
      </c>
      <c r="BC394" t="str">
        <f>IF(BA394="","",IFERROR(INDEX(wClass,325)&amp;"",""))</f>
        <v/>
      </c>
      <c r="BD394" t="str">
        <f>IF(BA394="","",IFERROR(INDEX(wKS2,325)+0,""))</f>
        <v/>
      </c>
      <c r="BE394" t="str">
        <f>IF(BA394="","",IFERROR(INDEX(wTests,325)+0,0))</f>
        <v/>
      </c>
      <c r="BF394" t="str">
        <f>IF(BA394="","",IFERROR(INDEX(wMean,325)+0,""))</f>
        <v/>
      </c>
      <c r="BG394" t="str">
        <f>IF(BA394="","",IFERROR(INDEX(wVs,325)+0,""))</f>
        <v/>
      </c>
      <c r="BH394" t="str">
        <f>IF(OR(BA394="",wLatest=""),"",IFERROR(INDEX(wData,325,MATCH(wLatest&amp;CHAR(10)&amp;"Stanine",wHdr,0))+0,""))</f>
        <v/>
      </c>
      <c r="BI394" t="str">
        <f>IF(BA394="","",IF(AND(ISNUMBER(BG394),N(BE394)&gt;=WlMinTests,BG394&lt;=-WlGap),"Below KS2 starting point",IF(AND(NOT(ISNUMBER(BD394)),ISNUMBER(BF394),N(BE394)&gt;=WlMinTests,BF394&lt;=WlLowMean),"Low results, no KS2 data","")))</f>
        <v/>
      </c>
      <c r="BJ394" t="str">
        <f>IF(BI394="","",IF(BI394="Below KS2 starting point",BG394,100+BF394)+ROW()/1000000)</f>
        <v/>
      </c>
    </row>
    <row r="395">
      <c r="H395" t="str">
        <f>IFERROR(INDEX(tblY7[Class],ROWS(H$10:H395))&amp;"","")</f>
        <v/>
      </c>
      <c r="I395" t="str">
        <f>IF(H395="","",IF(COUNTIF(H$10:H395,H395)=1,COUNTIF(H$10:H$609,"&lt;"&amp;H395)+1,""))</f>
        <v/>
      </c>
      <c r="J395" t="str">
        <f>IFERROR(INDEX(tblY8[Class],ROWS(J$10:J395))&amp;"","")</f>
        <v/>
      </c>
      <c r="K395" t="str">
        <f>IF(J395="","",IF(COUNTIF(J$10:J395,J395)=1,COUNTIF(J$10:J$609,"&lt;"&amp;J395)+1,""))</f>
        <v/>
      </c>
      <c r="L395" t="str">
        <f>IFERROR(INDEX(tblY9[Class],ROWS(L$10:L395))&amp;"","")</f>
        <v/>
      </c>
      <c r="M395" t="str">
        <f>IF(L395="","",IF(COUNTIF(L$10:L395,L395)=1,COUNTIF(L$10:L$609,"&lt;"&amp;L395)+1,""))</f>
        <v/>
      </c>
      <c r="N395" t="str">
        <f>IFERROR(INDEX(tblY10[Class],ROWS(N$10:N395))&amp;"","")</f>
        <v/>
      </c>
      <c r="O395" t="str">
        <f>IF(N395="","",IF(COUNTIF(N$10:N395,N395)=1,COUNTIF(N$10:N$609,"&lt;"&amp;N395)+1,""))</f>
        <v/>
      </c>
      <c r="P395" t="str">
        <f>IFERROR(INDEX(tblY11[Class],ROWS(P$10:P395))&amp;"","")</f>
        <v/>
      </c>
      <c r="Q395" t="str">
        <f>IF(P395="","",IF(COUNTIF(P$10:P395,P395)=1,COUNTIF(P$10:P$609,"&lt;"&amp;P395)+1,""))</f>
        <v/>
      </c>
      <c r="BA395" t="str">
        <f>IFERROR(INDEX(wLast,326)&amp;"","")</f>
        <v/>
      </c>
      <c r="BB395" t="str">
        <f>IF(BA395="","",IFERROR(INDEX(wFirst,326)&amp;"",""))</f>
        <v/>
      </c>
      <c r="BC395" t="str">
        <f>IF(BA395="","",IFERROR(INDEX(wClass,326)&amp;"",""))</f>
        <v/>
      </c>
      <c r="BD395" t="str">
        <f>IF(BA395="","",IFERROR(INDEX(wKS2,326)+0,""))</f>
        <v/>
      </c>
      <c r="BE395" t="str">
        <f>IF(BA395="","",IFERROR(INDEX(wTests,326)+0,0))</f>
        <v/>
      </c>
      <c r="BF395" t="str">
        <f>IF(BA395="","",IFERROR(INDEX(wMean,326)+0,""))</f>
        <v/>
      </c>
      <c r="BG395" t="str">
        <f>IF(BA395="","",IFERROR(INDEX(wVs,326)+0,""))</f>
        <v/>
      </c>
      <c r="BH395" t="str">
        <f>IF(OR(BA395="",wLatest=""),"",IFERROR(INDEX(wData,326,MATCH(wLatest&amp;CHAR(10)&amp;"Stanine",wHdr,0))+0,""))</f>
        <v/>
      </c>
      <c r="BI395" t="str">
        <f>IF(BA395="","",IF(AND(ISNUMBER(BG395),N(BE395)&gt;=WlMinTests,BG395&lt;=-WlGap),"Below KS2 starting point",IF(AND(NOT(ISNUMBER(BD395)),ISNUMBER(BF395),N(BE395)&gt;=WlMinTests,BF395&lt;=WlLowMean),"Low results, no KS2 data","")))</f>
        <v/>
      </c>
      <c r="BJ395" t="str">
        <f>IF(BI395="","",IF(BI395="Below KS2 starting point",BG395,100+BF395)+ROW()/1000000)</f>
        <v/>
      </c>
    </row>
    <row r="396">
      <c r="H396" t="str">
        <f>IFERROR(INDEX(tblY7[Class],ROWS(H$10:H396))&amp;"","")</f>
        <v/>
      </c>
      <c r="I396" t="str">
        <f>IF(H396="","",IF(COUNTIF(H$10:H396,H396)=1,COUNTIF(H$10:H$609,"&lt;"&amp;H396)+1,""))</f>
        <v/>
      </c>
      <c r="J396" t="str">
        <f>IFERROR(INDEX(tblY8[Class],ROWS(J$10:J396))&amp;"","")</f>
        <v/>
      </c>
      <c r="K396" t="str">
        <f>IF(J396="","",IF(COUNTIF(J$10:J396,J396)=1,COUNTIF(J$10:J$609,"&lt;"&amp;J396)+1,""))</f>
        <v/>
      </c>
      <c r="L396" t="str">
        <f>IFERROR(INDEX(tblY9[Class],ROWS(L$10:L396))&amp;"","")</f>
        <v/>
      </c>
      <c r="M396" t="str">
        <f>IF(L396="","",IF(COUNTIF(L$10:L396,L396)=1,COUNTIF(L$10:L$609,"&lt;"&amp;L396)+1,""))</f>
        <v/>
      </c>
      <c r="N396" t="str">
        <f>IFERROR(INDEX(tblY10[Class],ROWS(N$10:N396))&amp;"","")</f>
        <v/>
      </c>
      <c r="O396" t="str">
        <f>IF(N396="","",IF(COUNTIF(N$10:N396,N396)=1,COUNTIF(N$10:N$609,"&lt;"&amp;N396)+1,""))</f>
        <v/>
      </c>
      <c r="P396" t="str">
        <f>IFERROR(INDEX(tblY11[Class],ROWS(P$10:P396))&amp;"","")</f>
        <v/>
      </c>
      <c r="Q396" t="str">
        <f>IF(P396="","",IF(COUNTIF(P$10:P396,P396)=1,COUNTIF(P$10:P$609,"&lt;"&amp;P396)+1,""))</f>
        <v/>
      </c>
      <c r="BA396" t="str">
        <f>IFERROR(INDEX(wLast,327)&amp;"","")</f>
        <v/>
      </c>
      <c r="BB396" t="str">
        <f>IF(BA396="","",IFERROR(INDEX(wFirst,327)&amp;"",""))</f>
        <v/>
      </c>
      <c r="BC396" t="str">
        <f>IF(BA396="","",IFERROR(INDEX(wClass,327)&amp;"",""))</f>
        <v/>
      </c>
      <c r="BD396" t="str">
        <f>IF(BA396="","",IFERROR(INDEX(wKS2,327)+0,""))</f>
        <v/>
      </c>
      <c r="BE396" t="str">
        <f>IF(BA396="","",IFERROR(INDEX(wTests,327)+0,0))</f>
        <v/>
      </c>
      <c r="BF396" t="str">
        <f>IF(BA396="","",IFERROR(INDEX(wMean,327)+0,""))</f>
        <v/>
      </c>
      <c r="BG396" t="str">
        <f>IF(BA396="","",IFERROR(INDEX(wVs,327)+0,""))</f>
        <v/>
      </c>
      <c r="BH396" t="str">
        <f>IF(OR(BA396="",wLatest=""),"",IFERROR(INDEX(wData,327,MATCH(wLatest&amp;CHAR(10)&amp;"Stanine",wHdr,0))+0,""))</f>
        <v/>
      </c>
      <c r="BI396" t="str">
        <f>IF(BA396="","",IF(AND(ISNUMBER(BG396),N(BE396)&gt;=WlMinTests,BG396&lt;=-WlGap),"Below KS2 starting point",IF(AND(NOT(ISNUMBER(BD396)),ISNUMBER(BF396),N(BE396)&gt;=WlMinTests,BF396&lt;=WlLowMean),"Low results, no KS2 data","")))</f>
        <v/>
      </c>
      <c r="BJ396" t="str">
        <f>IF(BI396="","",IF(BI396="Below KS2 starting point",BG396,100+BF396)+ROW()/1000000)</f>
        <v/>
      </c>
    </row>
    <row r="397">
      <c r="H397" t="str">
        <f>IFERROR(INDEX(tblY7[Class],ROWS(H$10:H397))&amp;"","")</f>
        <v/>
      </c>
      <c r="I397" t="str">
        <f>IF(H397="","",IF(COUNTIF(H$10:H397,H397)=1,COUNTIF(H$10:H$609,"&lt;"&amp;H397)+1,""))</f>
        <v/>
      </c>
      <c r="J397" t="str">
        <f>IFERROR(INDEX(tblY8[Class],ROWS(J$10:J397))&amp;"","")</f>
        <v/>
      </c>
      <c r="K397" t="str">
        <f>IF(J397="","",IF(COUNTIF(J$10:J397,J397)=1,COUNTIF(J$10:J$609,"&lt;"&amp;J397)+1,""))</f>
        <v/>
      </c>
      <c r="L397" t="str">
        <f>IFERROR(INDEX(tblY9[Class],ROWS(L$10:L397))&amp;"","")</f>
        <v/>
      </c>
      <c r="M397" t="str">
        <f>IF(L397="","",IF(COUNTIF(L$10:L397,L397)=1,COUNTIF(L$10:L$609,"&lt;"&amp;L397)+1,""))</f>
        <v/>
      </c>
      <c r="N397" t="str">
        <f>IFERROR(INDEX(tblY10[Class],ROWS(N$10:N397))&amp;"","")</f>
        <v/>
      </c>
      <c r="O397" t="str">
        <f>IF(N397="","",IF(COUNTIF(N$10:N397,N397)=1,COUNTIF(N$10:N$609,"&lt;"&amp;N397)+1,""))</f>
        <v/>
      </c>
      <c r="P397" t="str">
        <f>IFERROR(INDEX(tblY11[Class],ROWS(P$10:P397))&amp;"","")</f>
        <v/>
      </c>
      <c r="Q397" t="str">
        <f>IF(P397="","",IF(COUNTIF(P$10:P397,P397)=1,COUNTIF(P$10:P$609,"&lt;"&amp;P397)+1,""))</f>
        <v/>
      </c>
      <c r="BA397" t="str">
        <f>IFERROR(INDEX(wLast,328)&amp;"","")</f>
        <v/>
      </c>
      <c r="BB397" t="str">
        <f>IF(BA397="","",IFERROR(INDEX(wFirst,328)&amp;"",""))</f>
        <v/>
      </c>
      <c r="BC397" t="str">
        <f>IF(BA397="","",IFERROR(INDEX(wClass,328)&amp;"",""))</f>
        <v/>
      </c>
      <c r="BD397" t="str">
        <f>IF(BA397="","",IFERROR(INDEX(wKS2,328)+0,""))</f>
        <v/>
      </c>
      <c r="BE397" t="str">
        <f>IF(BA397="","",IFERROR(INDEX(wTests,328)+0,0))</f>
        <v/>
      </c>
      <c r="BF397" t="str">
        <f>IF(BA397="","",IFERROR(INDEX(wMean,328)+0,""))</f>
        <v/>
      </c>
      <c r="BG397" t="str">
        <f>IF(BA397="","",IFERROR(INDEX(wVs,328)+0,""))</f>
        <v/>
      </c>
      <c r="BH397" t="str">
        <f>IF(OR(BA397="",wLatest=""),"",IFERROR(INDEX(wData,328,MATCH(wLatest&amp;CHAR(10)&amp;"Stanine",wHdr,0))+0,""))</f>
        <v/>
      </c>
      <c r="BI397" t="str">
        <f>IF(BA397="","",IF(AND(ISNUMBER(BG397),N(BE397)&gt;=WlMinTests,BG397&lt;=-WlGap),"Below KS2 starting point",IF(AND(NOT(ISNUMBER(BD397)),ISNUMBER(BF397),N(BE397)&gt;=WlMinTests,BF397&lt;=WlLowMean),"Low results, no KS2 data","")))</f>
        <v/>
      </c>
      <c r="BJ397" t="str">
        <f>IF(BI397="","",IF(BI397="Below KS2 starting point",BG397,100+BF397)+ROW()/1000000)</f>
        <v/>
      </c>
    </row>
    <row r="398">
      <c r="H398" t="str">
        <f>IFERROR(INDEX(tblY7[Class],ROWS(H$10:H398))&amp;"","")</f>
        <v/>
      </c>
      <c r="I398" t="str">
        <f>IF(H398="","",IF(COUNTIF(H$10:H398,H398)=1,COUNTIF(H$10:H$609,"&lt;"&amp;H398)+1,""))</f>
        <v/>
      </c>
      <c r="J398" t="str">
        <f>IFERROR(INDEX(tblY8[Class],ROWS(J$10:J398))&amp;"","")</f>
        <v/>
      </c>
      <c r="K398" t="str">
        <f>IF(J398="","",IF(COUNTIF(J$10:J398,J398)=1,COUNTIF(J$10:J$609,"&lt;"&amp;J398)+1,""))</f>
        <v/>
      </c>
      <c r="L398" t="str">
        <f>IFERROR(INDEX(tblY9[Class],ROWS(L$10:L398))&amp;"","")</f>
        <v/>
      </c>
      <c r="M398" t="str">
        <f>IF(L398="","",IF(COUNTIF(L$10:L398,L398)=1,COUNTIF(L$10:L$609,"&lt;"&amp;L398)+1,""))</f>
        <v/>
      </c>
      <c r="N398" t="str">
        <f>IFERROR(INDEX(tblY10[Class],ROWS(N$10:N398))&amp;"","")</f>
        <v/>
      </c>
      <c r="O398" t="str">
        <f>IF(N398="","",IF(COUNTIF(N$10:N398,N398)=1,COUNTIF(N$10:N$609,"&lt;"&amp;N398)+1,""))</f>
        <v/>
      </c>
      <c r="P398" t="str">
        <f>IFERROR(INDEX(tblY11[Class],ROWS(P$10:P398))&amp;"","")</f>
        <v/>
      </c>
      <c r="Q398" t="str">
        <f>IF(P398="","",IF(COUNTIF(P$10:P398,P398)=1,COUNTIF(P$10:P$609,"&lt;"&amp;P398)+1,""))</f>
        <v/>
      </c>
      <c r="BA398" t="str">
        <f>IFERROR(INDEX(wLast,329)&amp;"","")</f>
        <v/>
      </c>
      <c r="BB398" t="str">
        <f>IF(BA398="","",IFERROR(INDEX(wFirst,329)&amp;"",""))</f>
        <v/>
      </c>
      <c r="BC398" t="str">
        <f>IF(BA398="","",IFERROR(INDEX(wClass,329)&amp;"",""))</f>
        <v/>
      </c>
      <c r="BD398" t="str">
        <f>IF(BA398="","",IFERROR(INDEX(wKS2,329)+0,""))</f>
        <v/>
      </c>
      <c r="BE398" t="str">
        <f>IF(BA398="","",IFERROR(INDEX(wTests,329)+0,0))</f>
        <v/>
      </c>
      <c r="BF398" t="str">
        <f>IF(BA398="","",IFERROR(INDEX(wMean,329)+0,""))</f>
        <v/>
      </c>
      <c r="BG398" t="str">
        <f>IF(BA398="","",IFERROR(INDEX(wVs,329)+0,""))</f>
        <v/>
      </c>
      <c r="BH398" t="str">
        <f>IF(OR(BA398="",wLatest=""),"",IFERROR(INDEX(wData,329,MATCH(wLatest&amp;CHAR(10)&amp;"Stanine",wHdr,0))+0,""))</f>
        <v/>
      </c>
      <c r="BI398" t="str">
        <f>IF(BA398="","",IF(AND(ISNUMBER(BG398),N(BE398)&gt;=WlMinTests,BG398&lt;=-WlGap),"Below KS2 starting point",IF(AND(NOT(ISNUMBER(BD398)),ISNUMBER(BF398),N(BE398)&gt;=WlMinTests,BF398&lt;=WlLowMean),"Low results, no KS2 data","")))</f>
        <v/>
      </c>
      <c r="BJ398" t="str">
        <f>IF(BI398="","",IF(BI398="Below KS2 starting point",BG398,100+BF398)+ROW()/1000000)</f>
        <v/>
      </c>
    </row>
    <row r="399">
      <c r="H399" t="str">
        <f>IFERROR(INDEX(tblY7[Class],ROWS(H$10:H399))&amp;"","")</f>
        <v/>
      </c>
      <c r="I399" t="str">
        <f>IF(H399="","",IF(COUNTIF(H$10:H399,H399)=1,COUNTIF(H$10:H$609,"&lt;"&amp;H399)+1,""))</f>
        <v/>
      </c>
      <c r="J399" t="str">
        <f>IFERROR(INDEX(tblY8[Class],ROWS(J$10:J399))&amp;"","")</f>
        <v/>
      </c>
      <c r="K399" t="str">
        <f>IF(J399="","",IF(COUNTIF(J$10:J399,J399)=1,COUNTIF(J$10:J$609,"&lt;"&amp;J399)+1,""))</f>
        <v/>
      </c>
      <c r="L399" t="str">
        <f>IFERROR(INDEX(tblY9[Class],ROWS(L$10:L399))&amp;"","")</f>
        <v/>
      </c>
      <c r="M399" t="str">
        <f>IF(L399="","",IF(COUNTIF(L$10:L399,L399)=1,COUNTIF(L$10:L$609,"&lt;"&amp;L399)+1,""))</f>
        <v/>
      </c>
      <c r="N399" t="str">
        <f>IFERROR(INDEX(tblY10[Class],ROWS(N$10:N399))&amp;"","")</f>
        <v/>
      </c>
      <c r="O399" t="str">
        <f>IF(N399="","",IF(COUNTIF(N$10:N399,N399)=1,COUNTIF(N$10:N$609,"&lt;"&amp;N399)+1,""))</f>
        <v/>
      </c>
      <c r="P399" t="str">
        <f>IFERROR(INDEX(tblY11[Class],ROWS(P$10:P399))&amp;"","")</f>
        <v/>
      </c>
      <c r="Q399" t="str">
        <f>IF(P399="","",IF(COUNTIF(P$10:P399,P399)=1,COUNTIF(P$10:P$609,"&lt;"&amp;P399)+1,""))</f>
        <v/>
      </c>
      <c r="BA399" t="str">
        <f>IFERROR(INDEX(wLast,330)&amp;"","")</f>
        <v/>
      </c>
      <c r="BB399" t="str">
        <f>IF(BA399="","",IFERROR(INDEX(wFirst,330)&amp;"",""))</f>
        <v/>
      </c>
      <c r="BC399" t="str">
        <f>IF(BA399="","",IFERROR(INDEX(wClass,330)&amp;"",""))</f>
        <v/>
      </c>
      <c r="BD399" t="str">
        <f>IF(BA399="","",IFERROR(INDEX(wKS2,330)+0,""))</f>
        <v/>
      </c>
      <c r="BE399" t="str">
        <f>IF(BA399="","",IFERROR(INDEX(wTests,330)+0,0))</f>
        <v/>
      </c>
      <c r="BF399" t="str">
        <f>IF(BA399="","",IFERROR(INDEX(wMean,330)+0,""))</f>
        <v/>
      </c>
      <c r="BG399" t="str">
        <f>IF(BA399="","",IFERROR(INDEX(wVs,330)+0,""))</f>
        <v/>
      </c>
      <c r="BH399" t="str">
        <f>IF(OR(BA399="",wLatest=""),"",IFERROR(INDEX(wData,330,MATCH(wLatest&amp;CHAR(10)&amp;"Stanine",wHdr,0))+0,""))</f>
        <v/>
      </c>
      <c r="BI399" t="str">
        <f>IF(BA399="","",IF(AND(ISNUMBER(BG399),N(BE399)&gt;=WlMinTests,BG399&lt;=-WlGap),"Below KS2 starting point",IF(AND(NOT(ISNUMBER(BD399)),ISNUMBER(BF399),N(BE399)&gt;=WlMinTests,BF399&lt;=WlLowMean),"Low results, no KS2 data","")))</f>
        <v/>
      </c>
      <c r="BJ399" t="str">
        <f>IF(BI399="","",IF(BI399="Below KS2 starting point",BG399,100+BF399)+ROW()/1000000)</f>
        <v/>
      </c>
    </row>
    <row r="400">
      <c r="H400" t="str">
        <f>IFERROR(INDEX(tblY7[Class],ROWS(H$10:H400))&amp;"","")</f>
        <v/>
      </c>
      <c r="I400" t="str">
        <f>IF(H400="","",IF(COUNTIF(H$10:H400,H400)=1,COUNTIF(H$10:H$609,"&lt;"&amp;H400)+1,""))</f>
        <v/>
      </c>
      <c r="J400" t="str">
        <f>IFERROR(INDEX(tblY8[Class],ROWS(J$10:J400))&amp;"","")</f>
        <v/>
      </c>
      <c r="K400" t="str">
        <f>IF(J400="","",IF(COUNTIF(J$10:J400,J400)=1,COUNTIF(J$10:J$609,"&lt;"&amp;J400)+1,""))</f>
        <v/>
      </c>
      <c r="L400" t="str">
        <f>IFERROR(INDEX(tblY9[Class],ROWS(L$10:L400))&amp;"","")</f>
        <v/>
      </c>
      <c r="M400" t="str">
        <f>IF(L400="","",IF(COUNTIF(L$10:L400,L400)=1,COUNTIF(L$10:L$609,"&lt;"&amp;L400)+1,""))</f>
        <v/>
      </c>
      <c r="N400" t="str">
        <f>IFERROR(INDEX(tblY10[Class],ROWS(N$10:N400))&amp;"","")</f>
        <v/>
      </c>
      <c r="O400" t="str">
        <f>IF(N400="","",IF(COUNTIF(N$10:N400,N400)=1,COUNTIF(N$10:N$609,"&lt;"&amp;N400)+1,""))</f>
        <v/>
      </c>
      <c r="P400" t="str">
        <f>IFERROR(INDEX(tblY11[Class],ROWS(P$10:P400))&amp;"","")</f>
        <v/>
      </c>
      <c r="Q400" t="str">
        <f>IF(P400="","",IF(COUNTIF(P$10:P400,P400)=1,COUNTIF(P$10:P$609,"&lt;"&amp;P400)+1,""))</f>
        <v/>
      </c>
      <c r="BA400" t="str">
        <f>IFERROR(INDEX(wLast,331)&amp;"","")</f>
        <v/>
      </c>
      <c r="BB400" t="str">
        <f>IF(BA400="","",IFERROR(INDEX(wFirst,331)&amp;"",""))</f>
        <v/>
      </c>
      <c r="BC400" t="str">
        <f>IF(BA400="","",IFERROR(INDEX(wClass,331)&amp;"",""))</f>
        <v/>
      </c>
      <c r="BD400" t="str">
        <f>IF(BA400="","",IFERROR(INDEX(wKS2,331)+0,""))</f>
        <v/>
      </c>
      <c r="BE400" t="str">
        <f>IF(BA400="","",IFERROR(INDEX(wTests,331)+0,0))</f>
        <v/>
      </c>
      <c r="BF400" t="str">
        <f>IF(BA400="","",IFERROR(INDEX(wMean,331)+0,""))</f>
        <v/>
      </c>
      <c r="BG400" t="str">
        <f>IF(BA400="","",IFERROR(INDEX(wVs,331)+0,""))</f>
        <v/>
      </c>
      <c r="BH400" t="str">
        <f>IF(OR(BA400="",wLatest=""),"",IFERROR(INDEX(wData,331,MATCH(wLatest&amp;CHAR(10)&amp;"Stanine",wHdr,0))+0,""))</f>
        <v/>
      </c>
      <c r="BI400" t="str">
        <f>IF(BA400="","",IF(AND(ISNUMBER(BG400),N(BE400)&gt;=WlMinTests,BG400&lt;=-WlGap),"Below KS2 starting point",IF(AND(NOT(ISNUMBER(BD400)),ISNUMBER(BF400),N(BE400)&gt;=WlMinTests,BF400&lt;=WlLowMean),"Low results, no KS2 data","")))</f>
        <v/>
      </c>
      <c r="BJ400" t="str">
        <f>IF(BI400="","",IF(BI400="Below KS2 starting point",BG400,100+BF400)+ROW()/1000000)</f>
        <v/>
      </c>
    </row>
    <row r="401">
      <c r="H401" t="str">
        <f>IFERROR(INDEX(tblY7[Class],ROWS(H$10:H401))&amp;"","")</f>
        <v/>
      </c>
      <c r="I401" t="str">
        <f>IF(H401="","",IF(COUNTIF(H$10:H401,H401)=1,COUNTIF(H$10:H$609,"&lt;"&amp;H401)+1,""))</f>
        <v/>
      </c>
      <c r="J401" t="str">
        <f>IFERROR(INDEX(tblY8[Class],ROWS(J$10:J401))&amp;"","")</f>
        <v/>
      </c>
      <c r="K401" t="str">
        <f>IF(J401="","",IF(COUNTIF(J$10:J401,J401)=1,COUNTIF(J$10:J$609,"&lt;"&amp;J401)+1,""))</f>
        <v/>
      </c>
      <c r="L401" t="str">
        <f>IFERROR(INDEX(tblY9[Class],ROWS(L$10:L401))&amp;"","")</f>
        <v/>
      </c>
      <c r="M401" t="str">
        <f>IF(L401="","",IF(COUNTIF(L$10:L401,L401)=1,COUNTIF(L$10:L$609,"&lt;"&amp;L401)+1,""))</f>
        <v/>
      </c>
      <c r="N401" t="str">
        <f>IFERROR(INDEX(tblY10[Class],ROWS(N$10:N401))&amp;"","")</f>
        <v/>
      </c>
      <c r="O401" t="str">
        <f>IF(N401="","",IF(COUNTIF(N$10:N401,N401)=1,COUNTIF(N$10:N$609,"&lt;"&amp;N401)+1,""))</f>
        <v/>
      </c>
      <c r="P401" t="str">
        <f>IFERROR(INDEX(tblY11[Class],ROWS(P$10:P401))&amp;"","")</f>
        <v/>
      </c>
      <c r="Q401" t="str">
        <f>IF(P401="","",IF(COUNTIF(P$10:P401,P401)=1,COUNTIF(P$10:P$609,"&lt;"&amp;P401)+1,""))</f>
        <v/>
      </c>
      <c r="BA401" t="str">
        <f>IFERROR(INDEX(wLast,332)&amp;"","")</f>
        <v/>
      </c>
      <c r="BB401" t="str">
        <f>IF(BA401="","",IFERROR(INDEX(wFirst,332)&amp;"",""))</f>
        <v/>
      </c>
      <c r="BC401" t="str">
        <f>IF(BA401="","",IFERROR(INDEX(wClass,332)&amp;"",""))</f>
        <v/>
      </c>
      <c r="BD401" t="str">
        <f>IF(BA401="","",IFERROR(INDEX(wKS2,332)+0,""))</f>
        <v/>
      </c>
      <c r="BE401" t="str">
        <f>IF(BA401="","",IFERROR(INDEX(wTests,332)+0,0))</f>
        <v/>
      </c>
      <c r="BF401" t="str">
        <f>IF(BA401="","",IFERROR(INDEX(wMean,332)+0,""))</f>
        <v/>
      </c>
      <c r="BG401" t="str">
        <f>IF(BA401="","",IFERROR(INDEX(wVs,332)+0,""))</f>
        <v/>
      </c>
      <c r="BH401" t="str">
        <f>IF(OR(BA401="",wLatest=""),"",IFERROR(INDEX(wData,332,MATCH(wLatest&amp;CHAR(10)&amp;"Stanine",wHdr,0))+0,""))</f>
        <v/>
      </c>
      <c r="BI401" t="str">
        <f>IF(BA401="","",IF(AND(ISNUMBER(BG401),N(BE401)&gt;=WlMinTests,BG401&lt;=-WlGap),"Below KS2 starting point",IF(AND(NOT(ISNUMBER(BD401)),ISNUMBER(BF401),N(BE401)&gt;=WlMinTests,BF401&lt;=WlLowMean),"Low results, no KS2 data","")))</f>
        <v/>
      </c>
      <c r="BJ401" t="str">
        <f>IF(BI401="","",IF(BI401="Below KS2 starting point",BG401,100+BF401)+ROW()/1000000)</f>
        <v/>
      </c>
    </row>
    <row r="402">
      <c r="H402" t="str">
        <f>IFERROR(INDEX(tblY7[Class],ROWS(H$10:H402))&amp;"","")</f>
        <v/>
      </c>
      <c r="I402" t="str">
        <f>IF(H402="","",IF(COUNTIF(H$10:H402,H402)=1,COUNTIF(H$10:H$609,"&lt;"&amp;H402)+1,""))</f>
        <v/>
      </c>
      <c r="J402" t="str">
        <f>IFERROR(INDEX(tblY8[Class],ROWS(J$10:J402))&amp;"","")</f>
        <v/>
      </c>
      <c r="K402" t="str">
        <f>IF(J402="","",IF(COUNTIF(J$10:J402,J402)=1,COUNTIF(J$10:J$609,"&lt;"&amp;J402)+1,""))</f>
        <v/>
      </c>
      <c r="L402" t="str">
        <f>IFERROR(INDEX(tblY9[Class],ROWS(L$10:L402))&amp;"","")</f>
        <v/>
      </c>
      <c r="M402" t="str">
        <f>IF(L402="","",IF(COUNTIF(L$10:L402,L402)=1,COUNTIF(L$10:L$609,"&lt;"&amp;L402)+1,""))</f>
        <v/>
      </c>
      <c r="N402" t="str">
        <f>IFERROR(INDEX(tblY10[Class],ROWS(N$10:N402))&amp;"","")</f>
        <v/>
      </c>
      <c r="O402" t="str">
        <f>IF(N402="","",IF(COUNTIF(N$10:N402,N402)=1,COUNTIF(N$10:N$609,"&lt;"&amp;N402)+1,""))</f>
        <v/>
      </c>
      <c r="P402" t="str">
        <f>IFERROR(INDEX(tblY11[Class],ROWS(P$10:P402))&amp;"","")</f>
        <v/>
      </c>
      <c r="Q402" t="str">
        <f>IF(P402="","",IF(COUNTIF(P$10:P402,P402)=1,COUNTIF(P$10:P$609,"&lt;"&amp;P402)+1,""))</f>
        <v/>
      </c>
      <c r="BA402" t="str">
        <f>IFERROR(INDEX(wLast,333)&amp;"","")</f>
        <v/>
      </c>
      <c r="BB402" t="str">
        <f>IF(BA402="","",IFERROR(INDEX(wFirst,333)&amp;"",""))</f>
        <v/>
      </c>
      <c r="BC402" t="str">
        <f>IF(BA402="","",IFERROR(INDEX(wClass,333)&amp;"",""))</f>
        <v/>
      </c>
      <c r="BD402" t="str">
        <f>IF(BA402="","",IFERROR(INDEX(wKS2,333)+0,""))</f>
        <v/>
      </c>
      <c r="BE402" t="str">
        <f>IF(BA402="","",IFERROR(INDEX(wTests,333)+0,0))</f>
        <v/>
      </c>
      <c r="BF402" t="str">
        <f>IF(BA402="","",IFERROR(INDEX(wMean,333)+0,""))</f>
        <v/>
      </c>
      <c r="BG402" t="str">
        <f>IF(BA402="","",IFERROR(INDEX(wVs,333)+0,""))</f>
        <v/>
      </c>
      <c r="BH402" t="str">
        <f>IF(OR(BA402="",wLatest=""),"",IFERROR(INDEX(wData,333,MATCH(wLatest&amp;CHAR(10)&amp;"Stanine",wHdr,0))+0,""))</f>
        <v/>
      </c>
      <c r="BI402" t="str">
        <f>IF(BA402="","",IF(AND(ISNUMBER(BG402),N(BE402)&gt;=WlMinTests,BG402&lt;=-WlGap),"Below KS2 starting point",IF(AND(NOT(ISNUMBER(BD402)),ISNUMBER(BF402),N(BE402)&gt;=WlMinTests,BF402&lt;=WlLowMean),"Low results, no KS2 data","")))</f>
        <v/>
      </c>
      <c r="BJ402" t="str">
        <f>IF(BI402="","",IF(BI402="Below KS2 starting point",BG402,100+BF402)+ROW()/1000000)</f>
        <v/>
      </c>
    </row>
    <row r="403">
      <c r="H403" t="str">
        <f>IFERROR(INDEX(tblY7[Class],ROWS(H$10:H403))&amp;"","")</f>
        <v/>
      </c>
      <c r="I403" t="str">
        <f>IF(H403="","",IF(COUNTIF(H$10:H403,H403)=1,COUNTIF(H$10:H$609,"&lt;"&amp;H403)+1,""))</f>
        <v/>
      </c>
      <c r="J403" t="str">
        <f>IFERROR(INDEX(tblY8[Class],ROWS(J$10:J403))&amp;"","")</f>
        <v/>
      </c>
      <c r="K403" t="str">
        <f>IF(J403="","",IF(COUNTIF(J$10:J403,J403)=1,COUNTIF(J$10:J$609,"&lt;"&amp;J403)+1,""))</f>
        <v/>
      </c>
      <c r="L403" t="str">
        <f>IFERROR(INDEX(tblY9[Class],ROWS(L$10:L403))&amp;"","")</f>
        <v/>
      </c>
      <c r="M403" t="str">
        <f>IF(L403="","",IF(COUNTIF(L$10:L403,L403)=1,COUNTIF(L$10:L$609,"&lt;"&amp;L403)+1,""))</f>
        <v/>
      </c>
      <c r="N403" t="str">
        <f>IFERROR(INDEX(tblY10[Class],ROWS(N$10:N403))&amp;"","")</f>
        <v/>
      </c>
      <c r="O403" t="str">
        <f>IF(N403="","",IF(COUNTIF(N$10:N403,N403)=1,COUNTIF(N$10:N$609,"&lt;"&amp;N403)+1,""))</f>
        <v/>
      </c>
      <c r="P403" t="str">
        <f>IFERROR(INDEX(tblY11[Class],ROWS(P$10:P403))&amp;"","")</f>
        <v/>
      </c>
      <c r="Q403" t="str">
        <f>IF(P403="","",IF(COUNTIF(P$10:P403,P403)=1,COUNTIF(P$10:P$609,"&lt;"&amp;P403)+1,""))</f>
        <v/>
      </c>
      <c r="BA403" t="str">
        <f>IFERROR(INDEX(wLast,334)&amp;"","")</f>
        <v/>
      </c>
      <c r="BB403" t="str">
        <f>IF(BA403="","",IFERROR(INDEX(wFirst,334)&amp;"",""))</f>
        <v/>
      </c>
      <c r="BC403" t="str">
        <f>IF(BA403="","",IFERROR(INDEX(wClass,334)&amp;"",""))</f>
        <v/>
      </c>
      <c r="BD403" t="str">
        <f>IF(BA403="","",IFERROR(INDEX(wKS2,334)+0,""))</f>
        <v/>
      </c>
      <c r="BE403" t="str">
        <f>IF(BA403="","",IFERROR(INDEX(wTests,334)+0,0))</f>
        <v/>
      </c>
      <c r="BF403" t="str">
        <f>IF(BA403="","",IFERROR(INDEX(wMean,334)+0,""))</f>
        <v/>
      </c>
      <c r="BG403" t="str">
        <f>IF(BA403="","",IFERROR(INDEX(wVs,334)+0,""))</f>
        <v/>
      </c>
      <c r="BH403" t="str">
        <f>IF(OR(BA403="",wLatest=""),"",IFERROR(INDEX(wData,334,MATCH(wLatest&amp;CHAR(10)&amp;"Stanine",wHdr,0))+0,""))</f>
        <v/>
      </c>
      <c r="BI403" t="str">
        <f>IF(BA403="","",IF(AND(ISNUMBER(BG403),N(BE403)&gt;=WlMinTests,BG403&lt;=-WlGap),"Below KS2 starting point",IF(AND(NOT(ISNUMBER(BD403)),ISNUMBER(BF403),N(BE403)&gt;=WlMinTests,BF403&lt;=WlLowMean),"Low results, no KS2 data","")))</f>
        <v/>
      </c>
      <c r="BJ403" t="str">
        <f>IF(BI403="","",IF(BI403="Below KS2 starting point",BG403,100+BF403)+ROW()/1000000)</f>
        <v/>
      </c>
    </row>
    <row r="404">
      <c r="H404" t="str">
        <f>IFERROR(INDEX(tblY7[Class],ROWS(H$10:H404))&amp;"","")</f>
        <v/>
      </c>
      <c r="I404" t="str">
        <f>IF(H404="","",IF(COUNTIF(H$10:H404,H404)=1,COUNTIF(H$10:H$609,"&lt;"&amp;H404)+1,""))</f>
        <v/>
      </c>
      <c r="J404" t="str">
        <f>IFERROR(INDEX(tblY8[Class],ROWS(J$10:J404))&amp;"","")</f>
        <v/>
      </c>
      <c r="K404" t="str">
        <f>IF(J404="","",IF(COUNTIF(J$10:J404,J404)=1,COUNTIF(J$10:J$609,"&lt;"&amp;J404)+1,""))</f>
        <v/>
      </c>
      <c r="L404" t="str">
        <f>IFERROR(INDEX(tblY9[Class],ROWS(L$10:L404))&amp;"","")</f>
        <v/>
      </c>
      <c r="M404" t="str">
        <f>IF(L404="","",IF(COUNTIF(L$10:L404,L404)=1,COUNTIF(L$10:L$609,"&lt;"&amp;L404)+1,""))</f>
        <v/>
      </c>
      <c r="N404" t="str">
        <f>IFERROR(INDEX(tblY10[Class],ROWS(N$10:N404))&amp;"","")</f>
        <v/>
      </c>
      <c r="O404" t="str">
        <f>IF(N404="","",IF(COUNTIF(N$10:N404,N404)=1,COUNTIF(N$10:N$609,"&lt;"&amp;N404)+1,""))</f>
        <v/>
      </c>
      <c r="P404" t="str">
        <f>IFERROR(INDEX(tblY11[Class],ROWS(P$10:P404))&amp;"","")</f>
        <v/>
      </c>
      <c r="Q404" t="str">
        <f>IF(P404="","",IF(COUNTIF(P$10:P404,P404)=1,COUNTIF(P$10:P$609,"&lt;"&amp;P404)+1,""))</f>
        <v/>
      </c>
      <c r="BA404" t="str">
        <f>IFERROR(INDEX(wLast,335)&amp;"","")</f>
        <v/>
      </c>
      <c r="BB404" t="str">
        <f>IF(BA404="","",IFERROR(INDEX(wFirst,335)&amp;"",""))</f>
        <v/>
      </c>
      <c r="BC404" t="str">
        <f>IF(BA404="","",IFERROR(INDEX(wClass,335)&amp;"",""))</f>
        <v/>
      </c>
      <c r="BD404" t="str">
        <f>IF(BA404="","",IFERROR(INDEX(wKS2,335)+0,""))</f>
        <v/>
      </c>
      <c r="BE404" t="str">
        <f>IF(BA404="","",IFERROR(INDEX(wTests,335)+0,0))</f>
        <v/>
      </c>
      <c r="BF404" t="str">
        <f>IF(BA404="","",IFERROR(INDEX(wMean,335)+0,""))</f>
        <v/>
      </c>
      <c r="BG404" t="str">
        <f>IF(BA404="","",IFERROR(INDEX(wVs,335)+0,""))</f>
        <v/>
      </c>
      <c r="BH404" t="str">
        <f>IF(OR(BA404="",wLatest=""),"",IFERROR(INDEX(wData,335,MATCH(wLatest&amp;CHAR(10)&amp;"Stanine",wHdr,0))+0,""))</f>
        <v/>
      </c>
      <c r="BI404" t="str">
        <f>IF(BA404="","",IF(AND(ISNUMBER(BG404),N(BE404)&gt;=WlMinTests,BG404&lt;=-WlGap),"Below KS2 starting point",IF(AND(NOT(ISNUMBER(BD404)),ISNUMBER(BF404),N(BE404)&gt;=WlMinTests,BF404&lt;=WlLowMean),"Low results, no KS2 data","")))</f>
        <v/>
      </c>
      <c r="BJ404" t="str">
        <f>IF(BI404="","",IF(BI404="Below KS2 starting point",BG404,100+BF404)+ROW()/1000000)</f>
        <v/>
      </c>
    </row>
    <row r="405">
      <c r="H405" t="str">
        <f>IFERROR(INDEX(tblY7[Class],ROWS(H$10:H405))&amp;"","")</f>
        <v/>
      </c>
      <c r="I405" t="str">
        <f>IF(H405="","",IF(COUNTIF(H$10:H405,H405)=1,COUNTIF(H$10:H$609,"&lt;"&amp;H405)+1,""))</f>
        <v/>
      </c>
      <c r="J405" t="str">
        <f>IFERROR(INDEX(tblY8[Class],ROWS(J$10:J405))&amp;"","")</f>
        <v/>
      </c>
      <c r="K405" t="str">
        <f>IF(J405="","",IF(COUNTIF(J$10:J405,J405)=1,COUNTIF(J$10:J$609,"&lt;"&amp;J405)+1,""))</f>
        <v/>
      </c>
      <c r="L405" t="str">
        <f>IFERROR(INDEX(tblY9[Class],ROWS(L$10:L405))&amp;"","")</f>
        <v/>
      </c>
      <c r="M405" t="str">
        <f>IF(L405="","",IF(COUNTIF(L$10:L405,L405)=1,COUNTIF(L$10:L$609,"&lt;"&amp;L405)+1,""))</f>
        <v/>
      </c>
      <c r="N405" t="str">
        <f>IFERROR(INDEX(tblY10[Class],ROWS(N$10:N405))&amp;"","")</f>
        <v/>
      </c>
      <c r="O405" t="str">
        <f>IF(N405="","",IF(COUNTIF(N$10:N405,N405)=1,COUNTIF(N$10:N$609,"&lt;"&amp;N405)+1,""))</f>
        <v/>
      </c>
      <c r="P405" t="str">
        <f>IFERROR(INDEX(tblY11[Class],ROWS(P$10:P405))&amp;"","")</f>
        <v/>
      </c>
      <c r="Q405" t="str">
        <f>IF(P405="","",IF(COUNTIF(P$10:P405,P405)=1,COUNTIF(P$10:P$609,"&lt;"&amp;P405)+1,""))</f>
        <v/>
      </c>
      <c r="BA405" t="str">
        <f>IFERROR(INDEX(wLast,336)&amp;"","")</f>
        <v/>
      </c>
      <c r="BB405" t="str">
        <f>IF(BA405="","",IFERROR(INDEX(wFirst,336)&amp;"",""))</f>
        <v/>
      </c>
      <c r="BC405" t="str">
        <f>IF(BA405="","",IFERROR(INDEX(wClass,336)&amp;"",""))</f>
        <v/>
      </c>
      <c r="BD405" t="str">
        <f>IF(BA405="","",IFERROR(INDEX(wKS2,336)+0,""))</f>
        <v/>
      </c>
      <c r="BE405" t="str">
        <f>IF(BA405="","",IFERROR(INDEX(wTests,336)+0,0))</f>
        <v/>
      </c>
      <c r="BF405" t="str">
        <f>IF(BA405="","",IFERROR(INDEX(wMean,336)+0,""))</f>
        <v/>
      </c>
      <c r="BG405" t="str">
        <f>IF(BA405="","",IFERROR(INDEX(wVs,336)+0,""))</f>
        <v/>
      </c>
      <c r="BH405" t="str">
        <f>IF(OR(BA405="",wLatest=""),"",IFERROR(INDEX(wData,336,MATCH(wLatest&amp;CHAR(10)&amp;"Stanine",wHdr,0))+0,""))</f>
        <v/>
      </c>
      <c r="BI405" t="str">
        <f>IF(BA405="","",IF(AND(ISNUMBER(BG405),N(BE405)&gt;=WlMinTests,BG405&lt;=-WlGap),"Below KS2 starting point",IF(AND(NOT(ISNUMBER(BD405)),ISNUMBER(BF405),N(BE405)&gt;=WlMinTests,BF405&lt;=WlLowMean),"Low results, no KS2 data","")))</f>
        <v/>
      </c>
      <c r="BJ405" t="str">
        <f>IF(BI405="","",IF(BI405="Below KS2 starting point",BG405,100+BF405)+ROW()/1000000)</f>
        <v/>
      </c>
    </row>
    <row r="406">
      <c r="H406" t="str">
        <f>IFERROR(INDEX(tblY7[Class],ROWS(H$10:H406))&amp;"","")</f>
        <v/>
      </c>
      <c r="I406" t="str">
        <f>IF(H406="","",IF(COUNTIF(H$10:H406,H406)=1,COUNTIF(H$10:H$609,"&lt;"&amp;H406)+1,""))</f>
        <v/>
      </c>
      <c r="J406" t="str">
        <f>IFERROR(INDEX(tblY8[Class],ROWS(J$10:J406))&amp;"","")</f>
        <v/>
      </c>
      <c r="K406" t="str">
        <f>IF(J406="","",IF(COUNTIF(J$10:J406,J406)=1,COUNTIF(J$10:J$609,"&lt;"&amp;J406)+1,""))</f>
        <v/>
      </c>
      <c r="L406" t="str">
        <f>IFERROR(INDEX(tblY9[Class],ROWS(L$10:L406))&amp;"","")</f>
        <v/>
      </c>
      <c r="M406" t="str">
        <f>IF(L406="","",IF(COUNTIF(L$10:L406,L406)=1,COUNTIF(L$10:L$609,"&lt;"&amp;L406)+1,""))</f>
        <v/>
      </c>
      <c r="N406" t="str">
        <f>IFERROR(INDEX(tblY10[Class],ROWS(N$10:N406))&amp;"","")</f>
        <v/>
      </c>
      <c r="O406" t="str">
        <f>IF(N406="","",IF(COUNTIF(N$10:N406,N406)=1,COUNTIF(N$10:N$609,"&lt;"&amp;N406)+1,""))</f>
        <v/>
      </c>
      <c r="P406" t="str">
        <f>IFERROR(INDEX(tblY11[Class],ROWS(P$10:P406))&amp;"","")</f>
        <v/>
      </c>
      <c r="Q406" t="str">
        <f>IF(P406="","",IF(COUNTIF(P$10:P406,P406)=1,COUNTIF(P$10:P$609,"&lt;"&amp;P406)+1,""))</f>
        <v/>
      </c>
      <c r="BA406" t="str">
        <f>IFERROR(INDEX(wLast,337)&amp;"","")</f>
        <v/>
      </c>
      <c r="BB406" t="str">
        <f>IF(BA406="","",IFERROR(INDEX(wFirst,337)&amp;"",""))</f>
        <v/>
      </c>
      <c r="BC406" t="str">
        <f>IF(BA406="","",IFERROR(INDEX(wClass,337)&amp;"",""))</f>
        <v/>
      </c>
      <c r="BD406" t="str">
        <f>IF(BA406="","",IFERROR(INDEX(wKS2,337)+0,""))</f>
        <v/>
      </c>
      <c r="BE406" t="str">
        <f>IF(BA406="","",IFERROR(INDEX(wTests,337)+0,0))</f>
        <v/>
      </c>
      <c r="BF406" t="str">
        <f>IF(BA406="","",IFERROR(INDEX(wMean,337)+0,""))</f>
        <v/>
      </c>
      <c r="BG406" t="str">
        <f>IF(BA406="","",IFERROR(INDEX(wVs,337)+0,""))</f>
        <v/>
      </c>
      <c r="BH406" t="str">
        <f>IF(OR(BA406="",wLatest=""),"",IFERROR(INDEX(wData,337,MATCH(wLatest&amp;CHAR(10)&amp;"Stanine",wHdr,0))+0,""))</f>
        <v/>
      </c>
      <c r="BI406" t="str">
        <f>IF(BA406="","",IF(AND(ISNUMBER(BG406),N(BE406)&gt;=WlMinTests,BG406&lt;=-WlGap),"Below KS2 starting point",IF(AND(NOT(ISNUMBER(BD406)),ISNUMBER(BF406),N(BE406)&gt;=WlMinTests,BF406&lt;=WlLowMean),"Low results, no KS2 data","")))</f>
        <v/>
      </c>
      <c r="BJ406" t="str">
        <f>IF(BI406="","",IF(BI406="Below KS2 starting point",BG406,100+BF406)+ROW()/1000000)</f>
        <v/>
      </c>
    </row>
    <row r="407">
      <c r="H407" t="str">
        <f>IFERROR(INDEX(tblY7[Class],ROWS(H$10:H407))&amp;"","")</f>
        <v/>
      </c>
      <c r="I407" t="str">
        <f>IF(H407="","",IF(COUNTIF(H$10:H407,H407)=1,COUNTIF(H$10:H$609,"&lt;"&amp;H407)+1,""))</f>
        <v/>
      </c>
      <c r="J407" t="str">
        <f>IFERROR(INDEX(tblY8[Class],ROWS(J$10:J407))&amp;"","")</f>
        <v/>
      </c>
      <c r="K407" t="str">
        <f>IF(J407="","",IF(COUNTIF(J$10:J407,J407)=1,COUNTIF(J$10:J$609,"&lt;"&amp;J407)+1,""))</f>
        <v/>
      </c>
      <c r="L407" t="str">
        <f>IFERROR(INDEX(tblY9[Class],ROWS(L$10:L407))&amp;"","")</f>
        <v/>
      </c>
      <c r="M407" t="str">
        <f>IF(L407="","",IF(COUNTIF(L$10:L407,L407)=1,COUNTIF(L$10:L$609,"&lt;"&amp;L407)+1,""))</f>
        <v/>
      </c>
      <c r="N407" t="str">
        <f>IFERROR(INDEX(tblY10[Class],ROWS(N$10:N407))&amp;"","")</f>
        <v/>
      </c>
      <c r="O407" t="str">
        <f>IF(N407="","",IF(COUNTIF(N$10:N407,N407)=1,COUNTIF(N$10:N$609,"&lt;"&amp;N407)+1,""))</f>
        <v/>
      </c>
      <c r="P407" t="str">
        <f>IFERROR(INDEX(tblY11[Class],ROWS(P$10:P407))&amp;"","")</f>
        <v/>
      </c>
      <c r="Q407" t="str">
        <f>IF(P407="","",IF(COUNTIF(P$10:P407,P407)=1,COUNTIF(P$10:P$609,"&lt;"&amp;P407)+1,""))</f>
        <v/>
      </c>
      <c r="BA407" t="str">
        <f>IFERROR(INDEX(wLast,338)&amp;"","")</f>
        <v/>
      </c>
      <c r="BB407" t="str">
        <f>IF(BA407="","",IFERROR(INDEX(wFirst,338)&amp;"",""))</f>
        <v/>
      </c>
      <c r="BC407" t="str">
        <f>IF(BA407="","",IFERROR(INDEX(wClass,338)&amp;"",""))</f>
        <v/>
      </c>
      <c r="BD407" t="str">
        <f>IF(BA407="","",IFERROR(INDEX(wKS2,338)+0,""))</f>
        <v/>
      </c>
      <c r="BE407" t="str">
        <f>IF(BA407="","",IFERROR(INDEX(wTests,338)+0,0))</f>
        <v/>
      </c>
      <c r="BF407" t="str">
        <f>IF(BA407="","",IFERROR(INDEX(wMean,338)+0,""))</f>
        <v/>
      </c>
      <c r="BG407" t="str">
        <f>IF(BA407="","",IFERROR(INDEX(wVs,338)+0,""))</f>
        <v/>
      </c>
      <c r="BH407" t="str">
        <f>IF(OR(BA407="",wLatest=""),"",IFERROR(INDEX(wData,338,MATCH(wLatest&amp;CHAR(10)&amp;"Stanine",wHdr,0))+0,""))</f>
        <v/>
      </c>
      <c r="BI407" t="str">
        <f>IF(BA407="","",IF(AND(ISNUMBER(BG407),N(BE407)&gt;=WlMinTests,BG407&lt;=-WlGap),"Below KS2 starting point",IF(AND(NOT(ISNUMBER(BD407)),ISNUMBER(BF407),N(BE407)&gt;=WlMinTests,BF407&lt;=WlLowMean),"Low results, no KS2 data","")))</f>
        <v/>
      </c>
      <c r="BJ407" t="str">
        <f>IF(BI407="","",IF(BI407="Below KS2 starting point",BG407,100+BF407)+ROW()/1000000)</f>
        <v/>
      </c>
    </row>
    <row r="408">
      <c r="H408" t="str">
        <f>IFERROR(INDEX(tblY7[Class],ROWS(H$10:H408))&amp;"","")</f>
        <v/>
      </c>
      <c r="I408" t="str">
        <f>IF(H408="","",IF(COUNTIF(H$10:H408,H408)=1,COUNTIF(H$10:H$609,"&lt;"&amp;H408)+1,""))</f>
        <v/>
      </c>
      <c r="J408" t="str">
        <f>IFERROR(INDEX(tblY8[Class],ROWS(J$10:J408))&amp;"","")</f>
        <v/>
      </c>
      <c r="K408" t="str">
        <f>IF(J408="","",IF(COUNTIF(J$10:J408,J408)=1,COUNTIF(J$10:J$609,"&lt;"&amp;J408)+1,""))</f>
        <v/>
      </c>
      <c r="L408" t="str">
        <f>IFERROR(INDEX(tblY9[Class],ROWS(L$10:L408))&amp;"","")</f>
        <v/>
      </c>
      <c r="M408" t="str">
        <f>IF(L408="","",IF(COUNTIF(L$10:L408,L408)=1,COUNTIF(L$10:L$609,"&lt;"&amp;L408)+1,""))</f>
        <v/>
      </c>
      <c r="N408" t="str">
        <f>IFERROR(INDEX(tblY10[Class],ROWS(N$10:N408))&amp;"","")</f>
        <v/>
      </c>
      <c r="O408" t="str">
        <f>IF(N408="","",IF(COUNTIF(N$10:N408,N408)=1,COUNTIF(N$10:N$609,"&lt;"&amp;N408)+1,""))</f>
        <v/>
      </c>
      <c r="P408" t="str">
        <f>IFERROR(INDEX(tblY11[Class],ROWS(P$10:P408))&amp;"","")</f>
        <v/>
      </c>
      <c r="Q408" t="str">
        <f>IF(P408="","",IF(COUNTIF(P$10:P408,P408)=1,COUNTIF(P$10:P$609,"&lt;"&amp;P408)+1,""))</f>
        <v/>
      </c>
      <c r="BA408" t="str">
        <f>IFERROR(INDEX(wLast,339)&amp;"","")</f>
        <v/>
      </c>
      <c r="BB408" t="str">
        <f>IF(BA408="","",IFERROR(INDEX(wFirst,339)&amp;"",""))</f>
        <v/>
      </c>
      <c r="BC408" t="str">
        <f>IF(BA408="","",IFERROR(INDEX(wClass,339)&amp;"",""))</f>
        <v/>
      </c>
      <c r="BD408" t="str">
        <f>IF(BA408="","",IFERROR(INDEX(wKS2,339)+0,""))</f>
        <v/>
      </c>
      <c r="BE408" t="str">
        <f>IF(BA408="","",IFERROR(INDEX(wTests,339)+0,0))</f>
        <v/>
      </c>
      <c r="BF408" t="str">
        <f>IF(BA408="","",IFERROR(INDEX(wMean,339)+0,""))</f>
        <v/>
      </c>
      <c r="BG408" t="str">
        <f>IF(BA408="","",IFERROR(INDEX(wVs,339)+0,""))</f>
        <v/>
      </c>
      <c r="BH408" t="str">
        <f>IF(OR(BA408="",wLatest=""),"",IFERROR(INDEX(wData,339,MATCH(wLatest&amp;CHAR(10)&amp;"Stanine",wHdr,0))+0,""))</f>
        <v/>
      </c>
      <c r="BI408" t="str">
        <f>IF(BA408="","",IF(AND(ISNUMBER(BG408),N(BE408)&gt;=WlMinTests,BG408&lt;=-WlGap),"Below KS2 starting point",IF(AND(NOT(ISNUMBER(BD408)),ISNUMBER(BF408),N(BE408)&gt;=WlMinTests,BF408&lt;=WlLowMean),"Low results, no KS2 data","")))</f>
        <v/>
      </c>
      <c r="BJ408" t="str">
        <f>IF(BI408="","",IF(BI408="Below KS2 starting point",BG408,100+BF408)+ROW()/1000000)</f>
        <v/>
      </c>
    </row>
    <row r="409">
      <c r="H409" t="str">
        <f>IFERROR(INDEX(tblY7[Class],ROWS(H$10:H409))&amp;"","")</f>
        <v/>
      </c>
      <c r="I409" t="str">
        <f>IF(H409="","",IF(COUNTIF(H$10:H409,H409)=1,COUNTIF(H$10:H$609,"&lt;"&amp;H409)+1,""))</f>
        <v/>
      </c>
      <c r="J409" t="str">
        <f>IFERROR(INDEX(tblY8[Class],ROWS(J$10:J409))&amp;"","")</f>
        <v/>
      </c>
      <c r="K409" t="str">
        <f>IF(J409="","",IF(COUNTIF(J$10:J409,J409)=1,COUNTIF(J$10:J$609,"&lt;"&amp;J409)+1,""))</f>
        <v/>
      </c>
      <c r="L409" t="str">
        <f>IFERROR(INDEX(tblY9[Class],ROWS(L$10:L409))&amp;"","")</f>
        <v/>
      </c>
      <c r="M409" t="str">
        <f>IF(L409="","",IF(COUNTIF(L$10:L409,L409)=1,COUNTIF(L$10:L$609,"&lt;"&amp;L409)+1,""))</f>
        <v/>
      </c>
      <c r="N409" t="str">
        <f>IFERROR(INDEX(tblY10[Class],ROWS(N$10:N409))&amp;"","")</f>
        <v/>
      </c>
      <c r="O409" t="str">
        <f>IF(N409="","",IF(COUNTIF(N$10:N409,N409)=1,COUNTIF(N$10:N$609,"&lt;"&amp;N409)+1,""))</f>
        <v/>
      </c>
      <c r="P409" t="str">
        <f>IFERROR(INDEX(tblY11[Class],ROWS(P$10:P409))&amp;"","")</f>
        <v/>
      </c>
      <c r="Q409" t="str">
        <f>IF(P409="","",IF(COUNTIF(P$10:P409,P409)=1,COUNTIF(P$10:P$609,"&lt;"&amp;P409)+1,""))</f>
        <v/>
      </c>
      <c r="BA409" t="str">
        <f>IFERROR(INDEX(wLast,340)&amp;"","")</f>
        <v/>
      </c>
      <c r="BB409" t="str">
        <f>IF(BA409="","",IFERROR(INDEX(wFirst,340)&amp;"",""))</f>
        <v/>
      </c>
      <c r="BC409" t="str">
        <f>IF(BA409="","",IFERROR(INDEX(wClass,340)&amp;"",""))</f>
        <v/>
      </c>
      <c r="BD409" t="str">
        <f>IF(BA409="","",IFERROR(INDEX(wKS2,340)+0,""))</f>
        <v/>
      </c>
      <c r="BE409" t="str">
        <f>IF(BA409="","",IFERROR(INDEX(wTests,340)+0,0))</f>
        <v/>
      </c>
      <c r="BF409" t="str">
        <f>IF(BA409="","",IFERROR(INDEX(wMean,340)+0,""))</f>
        <v/>
      </c>
      <c r="BG409" t="str">
        <f>IF(BA409="","",IFERROR(INDEX(wVs,340)+0,""))</f>
        <v/>
      </c>
      <c r="BH409" t="str">
        <f>IF(OR(BA409="",wLatest=""),"",IFERROR(INDEX(wData,340,MATCH(wLatest&amp;CHAR(10)&amp;"Stanine",wHdr,0))+0,""))</f>
        <v/>
      </c>
      <c r="BI409" t="str">
        <f>IF(BA409="","",IF(AND(ISNUMBER(BG409),N(BE409)&gt;=WlMinTests,BG409&lt;=-WlGap),"Below KS2 starting point",IF(AND(NOT(ISNUMBER(BD409)),ISNUMBER(BF409),N(BE409)&gt;=WlMinTests,BF409&lt;=WlLowMean),"Low results, no KS2 data","")))</f>
        <v/>
      </c>
      <c r="BJ409" t="str">
        <f>IF(BI409="","",IF(BI409="Below KS2 starting point",BG409,100+BF409)+ROW()/1000000)</f>
        <v/>
      </c>
    </row>
    <row r="410">
      <c r="H410" t="str">
        <f>IFERROR(INDEX(tblY7[Class],ROWS(H$10:H410))&amp;"","")</f>
        <v/>
      </c>
      <c r="I410" t="str">
        <f>IF(H410="","",IF(COUNTIF(H$10:H410,H410)=1,COUNTIF(H$10:H$609,"&lt;"&amp;H410)+1,""))</f>
        <v/>
      </c>
      <c r="J410" t="str">
        <f>IFERROR(INDEX(tblY8[Class],ROWS(J$10:J410))&amp;"","")</f>
        <v/>
      </c>
      <c r="K410" t="str">
        <f>IF(J410="","",IF(COUNTIF(J$10:J410,J410)=1,COUNTIF(J$10:J$609,"&lt;"&amp;J410)+1,""))</f>
        <v/>
      </c>
      <c r="L410" t="str">
        <f>IFERROR(INDEX(tblY9[Class],ROWS(L$10:L410))&amp;"","")</f>
        <v/>
      </c>
      <c r="M410" t="str">
        <f>IF(L410="","",IF(COUNTIF(L$10:L410,L410)=1,COUNTIF(L$10:L$609,"&lt;"&amp;L410)+1,""))</f>
        <v/>
      </c>
      <c r="N410" t="str">
        <f>IFERROR(INDEX(tblY10[Class],ROWS(N$10:N410))&amp;"","")</f>
        <v/>
      </c>
      <c r="O410" t="str">
        <f>IF(N410="","",IF(COUNTIF(N$10:N410,N410)=1,COUNTIF(N$10:N$609,"&lt;"&amp;N410)+1,""))</f>
        <v/>
      </c>
      <c r="P410" t="str">
        <f>IFERROR(INDEX(tblY11[Class],ROWS(P$10:P410))&amp;"","")</f>
        <v/>
      </c>
      <c r="Q410" t="str">
        <f>IF(P410="","",IF(COUNTIF(P$10:P410,P410)=1,COUNTIF(P$10:P$609,"&lt;"&amp;P410)+1,""))</f>
        <v/>
      </c>
      <c r="BA410" t="str">
        <f>IFERROR(INDEX(wLast,341)&amp;"","")</f>
        <v/>
      </c>
      <c r="BB410" t="str">
        <f>IF(BA410="","",IFERROR(INDEX(wFirst,341)&amp;"",""))</f>
        <v/>
      </c>
      <c r="BC410" t="str">
        <f>IF(BA410="","",IFERROR(INDEX(wClass,341)&amp;"",""))</f>
        <v/>
      </c>
      <c r="BD410" t="str">
        <f>IF(BA410="","",IFERROR(INDEX(wKS2,341)+0,""))</f>
        <v/>
      </c>
      <c r="BE410" t="str">
        <f>IF(BA410="","",IFERROR(INDEX(wTests,341)+0,0))</f>
        <v/>
      </c>
      <c r="BF410" t="str">
        <f>IF(BA410="","",IFERROR(INDEX(wMean,341)+0,""))</f>
        <v/>
      </c>
      <c r="BG410" t="str">
        <f>IF(BA410="","",IFERROR(INDEX(wVs,341)+0,""))</f>
        <v/>
      </c>
      <c r="BH410" t="str">
        <f>IF(OR(BA410="",wLatest=""),"",IFERROR(INDEX(wData,341,MATCH(wLatest&amp;CHAR(10)&amp;"Stanine",wHdr,0))+0,""))</f>
        <v/>
      </c>
      <c r="BI410" t="str">
        <f>IF(BA410="","",IF(AND(ISNUMBER(BG410),N(BE410)&gt;=WlMinTests,BG410&lt;=-WlGap),"Below KS2 starting point",IF(AND(NOT(ISNUMBER(BD410)),ISNUMBER(BF410),N(BE410)&gt;=WlMinTests,BF410&lt;=WlLowMean),"Low results, no KS2 data","")))</f>
        <v/>
      </c>
      <c r="BJ410" t="str">
        <f>IF(BI410="","",IF(BI410="Below KS2 starting point",BG410,100+BF410)+ROW()/1000000)</f>
        <v/>
      </c>
    </row>
    <row r="411">
      <c r="H411" t="str">
        <f>IFERROR(INDEX(tblY7[Class],ROWS(H$10:H411))&amp;"","")</f>
        <v/>
      </c>
      <c r="I411" t="str">
        <f>IF(H411="","",IF(COUNTIF(H$10:H411,H411)=1,COUNTIF(H$10:H$609,"&lt;"&amp;H411)+1,""))</f>
        <v/>
      </c>
      <c r="J411" t="str">
        <f>IFERROR(INDEX(tblY8[Class],ROWS(J$10:J411))&amp;"","")</f>
        <v/>
      </c>
      <c r="K411" t="str">
        <f>IF(J411="","",IF(COUNTIF(J$10:J411,J411)=1,COUNTIF(J$10:J$609,"&lt;"&amp;J411)+1,""))</f>
        <v/>
      </c>
      <c r="L411" t="str">
        <f>IFERROR(INDEX(tblY9[Class],ROWS(L$10:L411))&amp;"","")</f>
        <v/>
      </c>
      <c r="M411" t="str">
        <f>IF(L411="","",IF(COUNTIF(L$10:L411,L411)=1,COUNTIF(L$10:L$609,"&lt;"&amp;L411)+1,""))</f>
        <v/>
      </c>
      <c r="N411" t="str">
        <f>IFERROR(INDEX(tblY10[Class],ROWS(N$10:N411))&amp;"","")</f>
        <v/>
      </c>
      <c r="O411" t="str">
        <f>IF(N411="","",IF(COUNTIF(N$10:N411,N411)=1,COUNTIF(N$10:N$609,"&lt;"&amp;N411)+1,""))</f>
        <v/>
      </c>
      <c r="P411" t="str">
        <f>IFERROR(INDEX(tblY11[Class],ROWS(P$10:P411))&amp;"","")</f>
        <v/>
      </c>
      <c r="Q411" t="str">
        <f>IF(P411="","",IF(COUNTIF(P$10:P411,P411)=1,COUNTIF(P$10:P$609,"&lt;"&amp;P411)+1,""))</f>
        <v/>
      </c>
      <c r="BA411" t="str">
        <f>IFERROR(INDEX(wLast,342)&amp;"","")</f>
        <v/>
      </c>
      <c r="BB411" t="str">
        <f>IF(BA411="","",IFERROR(INDEX(wFirst,342)&amp;"",""))</f>
        <v/>
      </c>
      <c r="BC411" t="str">
        <f>IF(BA411="","",IFERROR(INDEX(wClass,342)&amp;"",""))</f>
        <v/>
      </c>
      <c r="BD411" t="str">
        <f>IF(BA411="","",IFERROR(INDEX(wKS2,342)+0,""))</f>
        <v/>
      </c>
      <c r="BE411" t="str">
        <f>IF(BA411="","",IFERROR(INDEX(wTests,342)+0,0))</f>
        <v/>
      </c>
      <c r="BF411" t="str">
        <f>IF(BA411="","",IFERROR(INDEX(wMean,342)+0,""))</f>
        <v/>
      </c>
      <c r="BG411" t="str">
        <f>IF(BA411="","",IFERROR(INDEX(wVs,342)+0,""))</f>
        <v/>
      </c>
      <c r="BH411" t="str">
        <f>IF(OR(BA411="",wLatest=""),"",IFERROR(INDEX(wData,342,MATCH(wLatest&amp;CHAR(10)&amp;"Stanine",wHdr,0))+0,""))</f>
        <v/>
      </c>
      <c r="BI411" t="str">
        <f>IF(BA411="","",IF(AND(ISNUMBER(BG411),N(BE411)&gt;=WlMinTests,BG411&lt;=-WlGap),"Below KS2 starting point",IF(AND(NOT(ISNUMBER(BD411)),ISNUMBER(BF411),N(BE411)&gt;=WlMinTests,BF411&lt;=WlLowMean),"Low results, no KS2 data","")))</f>
        <v/>
      </c>
      <c r="BJ411" t="str">
        <f>IF(BI411="","",IF(BI411="Below KS2 starting point",BG411,100+BF411)+ROW()/1000000)</f>
        <v/>
      </c>
    </row>
    <row r="412">
      <c r="H412" t="str">
        <f>IFERROR(INDEX(tblY7[Class],ROWS(H$10:H412))&amp;"","")</f>
        <v/>
      </c>
      <c r="I412" t="str">
        <f>IF(H412="","",IF(COUNTIF(H$10:H412,H412)=1,COUNTIF(H$10:H$609,"&lt;"&amp;H412)+1,""))</f>
        <v/>
      </c>
      <c r="J412" t="str">
        <f>IFERROR(INDEX(tblY8[Class],ROWS(J$10:J412))&amp;"","")</f>
        <v/>
      </c>
      <c r="K412" t="str">
        <f>IF(J412="","",IF(COUNTIF(J$10:J412,J412)=1,COUNTIF(J$10:J$609,"&lt;"&amp;J412)+1,""))</f>
        <v/>
      </c>
      <c r="L412" t="str">
        <f>IFERROR(INDEX(tblY9[Class],ROWS(L$10:L412))&amp;"","")</f>
        <v/>
      </c>
      <c r="M412" t="str">
        <f>IF(L412="","",IF(COUNTIF(L$10:L412,L412)=1,COUNTIF(L$10:L$609,"&lt;"&amp;L412)+1,""))</f>
        <v/>
      </c>
      <c r="N412" t="str">
        <f>IFERROR(INDEX(tblY10[Class],ROWS(N$10:N412))&amp;"","")</f>
        <v/>
      </c>
      <c r="O412" t="str">
        <f>IF(N412="","",IF(COUNTIF(N$10:N412,N412)=1,COUNTIF(N$10:N$609,"&lt;"&amp;N412)+1,""))</f>
        <v/>
      </c>
      <c r="P412" t="str">
        <f>IFERROR(INDEX(tblY11[Class],ROWS(P$10:P412))&amp;"","")</f>
        <v/>
      </c>
      <c r="Q412" t="str">
        <f>IF(P412="","",IF(COUNTIF(P$10:P412,P412)=1,COUNTIF(P$10:P$609,"&lt;"&amp;P412)+1,""))</f>
        <v/>
      </c>
      <c r="BA412" t="str">
        <f>IFERROR(INDEX(wLast,343)&amp;"","")</f>
        <v/>
      </c>
      <c r="BB412" t="str">
        <f>IF(BA412="","",IFERROR(INDEX(wFirst,343)&amp;"",""))</f>
        <v/>
      </c>
      <c r="BC412" t="str">
        <f>IF(BA412="","",IFERROR(INDEX(wClass,343)&amp;"",""))</f>
        <v/>
      </c>
      <c r="BD412" t="str">
        <f>IF(BA412="","",IFERROR(INDEX(wKS2,343)+0,""))</f>
        <v/>
      </c>
      <c r="BE412" t="str">
        <f>IF(BA412="","",IFERROR(INDEX(wTests,343)+0,0))</f>
        <v/>
      </c>
      <c r="BF412" t="str">
        <f>IF(BA412="","",IFERROR(INDEX(wMean,343)+0,""))</f>
        <v/>
      </c>
      <c r="BG412" t="str">
        <f>IF(BA412="","",IFERROR(INDEX(wVs,343)+0,""))</f>
        <v/>
      </c>
      <c r="BH412" t="str">
        <f>IF(OR(BA412="",wLatest=""),"",IFERROR(INDEX(wData,343,MATCH(wLatest&amp;CHAR(10)&amp;"Stanine",wHdr,0))+0,""))</f>
        <v/>
      </c>
      <c r="BI412" t="str">
        <f>IF(BA412="","",IF(AND(ISNUMBER(BG412),N(BE412)&gt;=WlMinTests,BG412&lt;=-WlGap),"Below KS2 starting point",IF(AND(NOT(ISNUMBER(BD412)),ISNUMBER(BF412),N(BE412)&gt;=WlMinTests,BF412&lt;=WlLowMean),"Low results, no KS2 data","")))</f>
        <v/>
      </c>
      <c r="BJ412" t="str">
        <f>IF(BI412="","",IF(BI412="Below KS2 starting point",BG412,100+BF412)+ROW()/1000000)</f>
        <v/>
      </c>
    </row>
    <row r="413">
      <c r="H413" t="str">
        <f>IFERROR(INDEX(tblY7[Class],ROWS(H$10:H413))&amp;"","")</f>
        <v/>
      </c>
      <c r="I413" t="str">
        <f>IF(H413="","",IF(COUNTIF(H$10:H413,H413)=1,COUNTIF(H$10:H$609,"&lt;"&amp;H413)+1,""))</f>
        <v/>
      </c>
      <c r="J413" t="str">
        <f>IFERROR(INDEX(tblY8[Class],ROWS(J$10:J413))&amp;"","")</f>
        <v/>
      </c>
      <c r="K413" t="str">
        <f>IF(J413="","",IF(COUNTIF(J$10:J413,J413)=1,COUNTIF(J$10:J$609,"&lt;"&amp;J413)+1,""))</f>
        <v/>
      </c>
      <c r="L413" t="str">
        <f>IFERROR(INDEX(tblY9[Class],ROWS(L$10:L413))&amp;"","")</f>
        <v/>
      </c>
      <c r="M413" t="str">
        <f>IF(L413="","",IF(COUNTIF(L$10:L413,L413)=1,COUNTIF(L$10:L$609,"&lt;"&amp;L413)+1,""))</f>
        <v/>
      </c>
      <c r="N413" t="str">
        <f>IFERROR(INDEX(tblY10[Class],ROWS(N$10:N413))&amp;"","")</f>
        <v/>
      </c>
      <c r="O413" t="str">
        <f>IF(N413="","",IF(COUNTIF(N$10:N413,N413)=1,COUNTIF(N$10:N$609,"&lt;"&amp;N413)+1,""))</f>
        <v/>
      </c>
      <c r="P413" t="str">
        <f>IFERROR(INDEX(tblY11[Class],ROWS(P$10:P413))&amp;"","")</f>
        <v/>
      </c>
      <c r="Q413" t="str">
        <f>IF(P413="","",IF(COUNTIF(P$10:P413,P413)=1,COUNTIF(P$10:P$609,"&lt;"&amp;P413)+1,""))</f>
        <v/>
      </c>
      <c r="BA413" t="str">
        <f>IFERROR(INDEX(wLast,344)&amp;"","")</f>
        <v/>
      </c>
      <c r="BB413" t="str">
        <f>IF(BA413="","",IFERROR(INDEX(wFirst,344)&amp;"",""))</f>
        <v/>
      </c>
      <c r="BC413" t="str">
        <f>IF(BA413="","",IFERROR(INDEX(wClass,344)&amp;"",""))</f>
        <v/>
      </c>
      <c r="BD413" t="str">
        <f>IF(BA413="","",IFERROR(INDEX(wKS2,344)+0,""))</f>
        <v/>
      </c>
      <c r="BE413" t="str">
        <f>IF(BA413="","",IFERROR(INDEX(wTests,344)+0,0))</f>
        <v/>
      </c>
      <c r="BF413" t="str">
        <f>IF(BA413="","",IFERROR(INDEX(wMean,344)+0,""))</f>
        <v/>
      </c>
      <c r="BG413" t="str">
        <f>IF(BA413="","",IFERROR(INDEX(wVs,344)+0,""))</f>
        <v/>
      </c>
      <c r="BH413" t="str">
        <f>IF(OR(BA413="",wLatest=""),"",IFERROR(INDEX(wData,344,MATCH(wLatest&amp;CHAR(10)&amp;"Stanine",wHdr,0))+0,""))</f>
        <v/>
      </c>
      <c r="BI413" t="str">
        <f>IF(BA413="","",IF(AND(ISNUMBER(BG413),N(BE413)&gt;=WlMinTests,BG413&lt;=-WlGap),"Below KS2 starting point",IF(AND(NOT(ISNUMBER(BD413)),ISNUMBER(BF413),N(BE413)&gt;=WlMinTests,BF413&lt;=WlLowMean),"Low results, no KS2 data","")))</f>
        <v/>
      </c>
      <c r="BJ413" t="str">
        <f>IF(BI413="","",IF(BI413="Below KS2 starting point",BG413,100+BF413)+ROW()/1000000)</f>
        <v/>
      </c>
    </row>
    <row r="414">
      <c r="H414" t="str">
        <f>IFERROR(INDEX(tblY7[Class],ROWS(H$10:H414))&amp;"","")</f>
        <v/>
      </c>
      <c r="I414" t="str">
        <f>IF(H414="","",IF(COUNTIF(H$10:H414,H414)=1,COUNTIF(H$10:H$609,"&lt;"&amp;H414)+1,""))</f>
        <v/>
      </c>
      <c r="J414" t="str">
        <f>IFERROR(INDEX(tblY8[Class],ROWS(J$10:J414))&amp;"","")</f>
        <v/>
      </c>
      <c r="K414" t="str">
        <f>IF(J414="","",IF(COUNTIF(J$10:J414,J414)=1,COUNTIF(J$10:J$609,"&lt;"&amp;J414)+1,""))</f>
        <v/>
      </c>
      <c r="L414" t="str">
        <f>IFERROR(INDEX(tblY9[Class],ROWS(L$10:L414))&amp;"","")</f>
        <v/>
      </c>
      <c r="M414" t="str">
        <f>IF(L414="","",IF(COUNTIF(L$10:L414,L414)=1,COUNTIF(L$10:L$609,"&lt;"&amp;L414)+1,""))</f>
        <v/>
      </c>
      <c r="N414" t="str">
        <f>IFERROR(INDEX(tblY10[Class],ROWS(N$10:N414))&amp;"","")</f>
        <v/>
      </c>
      <c r="O414" t="str">
        <f>IF(N414="","",IF(COUNTIF(N$10:N414,N414)=1,COUNTIF(N$10:N$609,"&lt;"&amp;N414)+1,""))</f>
        <v/>
      </c>
      <c r="P414" t="str">
        <f>IFERROR(INDEX(tblY11[Class],ROWS(P$10:P414))&amp;"","")</f>
        <v/>
      </c>
      <c r="Q414" t="str">
        <f>IF(P414="","",IF(COUNTIF(P$10:P414,P414)=1,COUNTIF(P$10:P$609,"&lt;"&amp;P414)+1,""))</f>
        <v/>
      </c>
      <c r="BA414" t="str">
        <f>IFERROR(INDEX(wLast,345)&amp;"","")</f>
        <v/>
      </c>
      <c r="BB414" t="str">
        <f>IF(BA414="","",IFERROR(INDEX(wFirst,345)&amp;"",""))</f>
        <v/>
      </c>
      <c r="BC414" t="str">
        <f>IF(BA414="","",IFERROR(INDEX(wClass,345)&amp;"",""))</f>
        <v/>
      </c>
      <c r="BD414" t="str">
        <f>IF(BA414="","",IFERROR(INDEX(wKS2,345)+0,""))</f>
        <v/>
      </c>
      <c r="BE414" t="str">
        <f>IF(BA414="","",IFERROR(INDEX(wTests,345)+0,0))</f>
        <v/>
      </c>
      <c r="BF414" t="str">
        <f>IF(BA414="","",IFERROR(INDEX(wMean,345)+0,""))</f>
        <v/>
      </c>
      <c r="BG414" t="str">
        <f>IF(BA414="","",IFERROR(INDEX(wVs,345)+0,""))</f>
        <v/>
      </c>
      <c r="BH414" t="str">
        <f>IF(OR(BA414="",wLatest=""),"",IFERROR(INDEX(wData,345,MATCH(wLatest&amp;CHAR(10)&amp;"Stanine",wHdr,0))+0,""))</f>
        <v/>
      </c>
      <c r="BI414" t="str">
        <f>IF(BA414="","",IF(AND(ISNUMBER(BG414),N(BE414)&gt;=WlMinTests,BG414&lt;=-WlGap),"Below KS2 starting point",IF(AND(NOT(ISNUMBER(BD414)),ISNUMBER(BF414),N(BE414)&gt;=WlMinTests,BF414&lt;=WlLowMean),"Low results, no KS2 data","")))</f>
        <v/>
      </c>
      <c r="BJ414" t="str">
        <f>IF(BI414="","",IF(BI414="Below KS2 starting point",BG414,100+BF414)+ROW()/1000000)</f>
        <v/>
      </c>
    </row>
    <row r="415">
      <c r="H415" t="str">
        <f>IFERROR(INDEX(tblY7[Class],ROWS(H$10:H415))&amp;"","")</f>
        <v/>
      </c>
      <c r="I415" t="str">
        <f>IF(H415="","",IF(COUNTIF(H$10:H415,H415)=1,COUNTIF(H$10:H$609,"&lt;"&amp;H415)+1,""))</f>
        <v/>
      </c>
      <c r="J415" t="str">
        <f>IFERROR(INDEX(tblY8[Class],ROWS(J$10:J415))&amp;"","")</f>
        <v/>
      </c>
      <c r="K415" t="str">
        <f>IF(J415="","",IF(COUNTIF(J$10:J415,J415)=1,COUNTIF(J$10:J$609,"&lt;"&amp;J415)+1,""))</f>
        <v/>
      </c>
      <c r="L415" t="str">
        <f>IFERROR(INDEX(tblY9[Class],ROWS(L$10:L415))&amp;"","")</f>
        <v/>
      </c>
      <c r="M415" t="str">
        <f>IF(L415="","",IF(COUNTIF(L$10:L415,L415)=1,COUNTIF(L$10:L$609,"&lt;"&amp;L415)+1,""))</f>
        <v/>
      </c>
      <c r="N415" t="str">
        <f>IFERROR(INDEX(tblY10[Class],ROWS(N$10:N415))&amp;"","")</f>
        <v/>
      </c>
      <c r="O415" t="str">
        <f>IF(N415="","",IF(COUNTIF(N$10:N415,N415)=1,COUNTIF(N$10:N$609,"&lt;"&amp;N415)+1,""))</f>
        <v/>
      </c>
      <c r="P415" t="str">
        <f>IFERROR(INDEX(tblY11[Class],ROWS(P$10:P415))&amp;"","")</f>
        <v/>
      </c>
      <c r="Q415" t="str">
        <f>IF(P415="","",IF(COUNTIF(P$10:P415,P415)=1,COUNTIF(P$10:P$609,"&lt;"&amp;P415)+1,""))</f>
        <v/>
      </c>
      <c r="BA415" t="str">
        <f>IFERROR(INDEX(wLast,346)&amp;"","")</f>
        <v/>
      </c>
      <c r="BB415" t="str">
        <f>IF(BA415="","",IFERROR(INDEX(wFirst,346)&amp;"",""))</f>
        <v/>
      </c>
      <c r="BC415" t="str">
        <f>IF(BA415="","",IFERROR(INDEX(wClass,346)&amp;"",""))</f>
        <v/>
      </c>
      <c r="BD415" t="str">
        <f>IF(BA415="","",IFERROR(INDEX(wKS2,346)+0,""))</f>
        <v/>
      </c>
      <c r="BE415" t="str">
        <f>IF(BA415="","",IFERROR(INDEX(wTests,346)+0,0))</f>
        <v/>
      </c>
      <c r="BF415" t="str">
        <f>IF(BA415="","",IFERROR(INDEX(wMean,346)+0,""))</f>
        <v/>
      </c>
      <c r="BG415" t="str">
        <f>IF(BA415="","",IFERROR(INDEX(wVs,346)+0,""))</f>
        <v/>
      </c>
      <c r="BH415" t="str">
        <f>IF(OR(BA415="",wLatest=""),"",IFERROR(INDEX(wData,346,MATCH(wLatest&amp;CHAR(10)&amp;"Stanine",wHdr,0))+0,""))</f>
        <v/>
      </c>
      <c r="BI415" t="str">
        <f>IF(BA415="","",IF(AND(ISNUMBER(BG415),N(BE415)&gt;=WlMinTests,BG415&lt;=-WlGap),"Below KS2 starting point",IF(AND(NOT(ISNUMBER(BD415)),ISNUMBER(BF415),N(BE415)&gt;=WlMinTests,BF415&lt;=WlLowMean),"Low results, no KS2 data","")))</f>
        <v/>
      </c>
      <c r="BJ415" t="str">
        <f>IF(BI415="","",IF(BI415="Below KS2 starting point",BG415,100+BF415)+ROW()/1000000)</f>
        <v/>
      </c>
    </row>
    <row r="416">
      <c r="H416" t="str">
        <f>IFERROR(INDEX(tblY7[Class],ROWS(H$10:H416))&amp;"","")</f>
        <v/>
      </c>
      <c r="I416" t="str">
        <f>IF(H416="","",IF(COUNTIF(H$10:H416,H416)=1,COUNTIF(H$10:H$609,"&lt;"&amp;H416)+1,""))</f>
        <v/>
      </c>
      <c r="J416" t="str">
        <f>IFERROR(INDEX(tblY8[Class],ROWS(J$10:J416))&amp;"","")</f>
        <v/>
      </c>
      <c r="K416" t="str">
        <f>IF(J416="","",IF(COUNTIF(J$10:J416,J416)=1,COUNTIF(J$10:J$609,"&lt;"&amp;J416)+1,""))</f>
        <v/>
      </c>
      <c r="L416" t="str">
        <f>IFERROR(INDEX(tblY9[Class],ROWS(L$10:L416))&amp;"","")</f>
        <v/>
      </c>
      <c r="M416" t="str">
        <f>IF(L416="","",IF(COUNTIF(L$10:L416,L416)=1,COUNTIF(L$10:L$609,"&lt;"&amp;L416)+1,""))</f>
        <v/>
      </c>
      <c r="N416" t="str">
        <f>IFERROR(INDEX(tblY10[Class],ROWS(N$10:N416))&amp;"","")</f>
        <v/>
      </c>
      <c r="O416" t="str">
        <f>IF(N416="","",IF(COUNTIF(N$10:N416,N416)=1,COUNTIF(N$10:N$609,"&lt;"&amp;N416)+1,""))</f>
        <v/>
      </c>
      <c r="P416" t="str">
        <f>IFERROR(INDEX(tblY11[Class],ROWS(P$10:P416))&amp;"","")</f>
        <v/>
      </c>
      <c r="Q416" t="str">
        <f>IF(P416="","",IF(COUNTIF(P$10:P416,P416)=1,COUNTIF(P$10:P$609,"&lt;"&amp;P416)+1,""))</f>
        <v/>
      </c>
      <c r="BA416" t="str">
        <f>IFERROR(INDEX(wLast,347)&amp;"","")</f>
        <v/>
      </c>
      <c r="BB416" t="str">
        <f>IF(BA416="","",IFERROR(INDEX(wFirst,347)&amp;"",""))</f>
        <v/>
      </c>
      <c r="BC416" t="str">
        <f>IF(BA416="","",IFERROR(INDEX(wClass,347)&amp;"",""))</f>
        <v/>
      </c>
      <c r="BD416" t="str">
        <f>IF(BA416="","",IFERROR(INDEX(wKS2,347)+0,""))</f>
        <v/>
      </c>
      <c r="BE416" t="str">
        <f>IF(BA416="","",IFERROR(INDEX(wTests,347)+0,0))</f>
        <v/>
      </c>
      <c r="BF416" t="str">
        <f>IF(BA416="","",IFERROR(INDEX(wMean,347)+0,""))</f>
        <v/>
      </c>
      <c r="BG416" t="str">
        <f>IF(BA416="","",IFERROR(INDEX(wVs,347)+0,""))</f>
        <v/>
      </c>
      <c r="BH416" t="str">
        <f>IF(OR(BA416="",wLatest=""),"",IFERROR(INDEX(wData,347,MATCH(wLatest&amp;CHAR(10)&amp;"Stanine",wHdr,0))+0,""))</f>
        <v/>
      </c>
      <c r="BI416" t="str">
        <f>IF(BA416="","",IF(AND(ISNUMBER(BG416),N(BE416)&gt;=WlMinTests,BG416&lt;=-WlGap),"Below KS2 starting point",IF(AND(NOT(ISNUMBER(BD416)),ISNUMBER(BF416),N(BE416)&gt;=WlMinTests,BF416&lt;=WlLowMean),"Low results, no KS2 data","")))</f>
        <v/>
      </c>
      <c r="BJ416" t="str">
        <f>IF(BI416="","",IF(BI416="Below KS2 starting point",BG416,100+BF416)+ROW()/1000000)</f>
        <v/>
      </c>
    </row>
    <row r="417">
      <c r="H417" t="str">
        <f>IFERROR(INDEX(tblY7[Class],ROWS(H$10:H417))&amp;"","")</f>
        <v/>
      </c>
      <c r="I417" t="str">
        <f>IF(H417="","",IF(COUNTIF(H$10:H417,H417)=1,COUNTIF(H$10:H$609,"&lt;"&amp;H417)+1,""))</f>
        <v/>
      </c>
      <c r="J417" t="str">
        <f>IFERROR(INDEX(tblY8[Class],ROWS(J$10:J417))&amp;"","")</f>
        <v/>
      </c>
      <c r="K417" t="str">
        <f>IF(J417="","",IF(COUNTIF(J$10:J417,J417)=1,COUNTIF(J$10:J$609,"&lt;"&amp;J417)+1,""))</f>
        <v/>
      </c>
      <c r="L417" t="str">
        <f>IFERROR(INDEX(tblY9[Class],ROWS(L$10:L417))&amp;"","")</f>
        <v/>
      </c>
      <c r="M417" t="str">
        <f>IF(L417="","",IF(COUNTIF(L$10:L417,L417)=1,COUNTIF(L$10:L$609,"&lt;"&amp;L417)+1,""))</f>
        <v/>
      </c>
      <c r="N417" t="str">
        <f>IFERROR(INDEX(tblY10[Class],ROWS(N$10:N417))&amp;"","")</f>
        <v/>
      </c>
      <c r="O417" t="str">
        <f>IF(N417="","",IF(COUNTIF(N$10:N417,N417)=1,COUNTIF(N$10:N$609,"&lt;"&amp;N417)+1,""))</f>
        <v/>
      </c>
      <c r="P417" t="str">
        <f>IFERROR(INDEX(tblY11[Class],ROWS(P$10:P417))&amp;"","")</f>
        <v/>
      </c>
      <c r="Q417" t="str">
        <f>IF(P417="","",IF(COUNTIF(P$10:P417,P417)=1,COUNTIF(P$10:P$609,"&lt;"&amp;P417)+1,""))</f>
        <v/>
      </c>
      <c r="BA417" t="str">
        <f>IFERROR(INDEX(wLast,348)&amp;"","")</f>
        <v/>
      </c>
      <c r="BB417" t="str">
        <f>IF(BA417="","",IFERROR(INDEX(wFirst,348)&amp;"",""))</f>
        <v/>
      </c>
      <c r="BC417" t="str">
        <f>IF(BA417="","",IFERROR(INDEX(wClass,348)&amp;"",""))</f>
        <v/>
      </c>
      <c r="BD417" t="str">
        <f>IF(BA417="","",IFERROR(INDEX(wKS2,348)+0,""))</f>
        <v/>
      </c>
      <c r="BE417" t="str">
        <f>IF(BA417="","",IFERROR(INDEX(wTests,348)+0,0))</f>
        <v/>
      </c>
      <c r="BF417" t="str">
        <f>IF(BA417="","",IFERROR(INDEX(wMean,348)+0,""))</f>
        <v/>
      </c>
      <c r="BG417" t="str">
        <f>IF(BA417="","",IFERROR(INDEX(wVs,348)+0,""))</f>
        <v/>
      </c>
      <c r="BH417" t="str">
        <f>IF(OR(BA417="",wLatest=""),"",IFERROR(INDEX(wData,348,MATCH(wLatest&amp;CHAR(10)&amp;"Stanine",wHdr,0))+0,""))</f>
        <v/>
      </c>
      <c r="BI417" t="str">
        <f>IF(BA417="","",IF(AND(ISNUMBER(BG417),N(BE417)&gt;=WlMinTests,BG417&lt;=-WlGap),"Below KS2 starting point",IF(AND(NOT(ISNUMBER(BD417)),ISNUMBER(BF417),N(BE417)&gt;=WlMinTests,BF417&lt;=WlLowMean),"Low results, no KS2 data","")))</f>
        <v/>
      </c>
      <c r="BJ417" t="str">
        <f>IF(BI417="","",IF(BI417="Below KS2 starting point",BG417,100+BF417)+ROW()/1000000)</f>
        <v/>
      </c>
    </row>
    <row r="418">
      <c r="H418" t="str">
        <f>IFERROR(INDEX(tblY7[Class],ROWS(H$10:H418))&amp;"","")</f>
        <v/>
      </c>
      <c r="I418" t="str">
        <f>IF(H418="","",IF(COUNTIF(H$10:H418,H418)=1,COUNTIF(H$10:H$609,"&lt;"&amp;H418)+1,""))</f>
        <v/>
      </c>
      <c r="J418" t="str">
        <f>IFERROR(INDEX(tblY8[Class],ROWS(J$10:J418))&amp;"","")</f>
        <v/>
      </c>
      <c r="K418" t="str">
        <f>IF(J418="","",IF(COUNTIF(J$10:J418,J418)=1,COUNTIF(J$10:J$609,"&lt;"&amp;J418)+1,""))</f>
        <v/>
      </c>
      <c r="L418" t="str">
        <f>IFERROR(INDEX(tblY9[Class],ROWS(L$10:L418))&amp;"","")</f>
        <v/>
      </c>
      <c r="M418" t="str">
        <f>IF(L418="","",IF(COUNTIF(L$10:L418,L418)=1,COUNTIF(L$10:L$609,"&lt;"&amp;L418)+1,""))</f>
        <v/>
      </c>
      <c r="N418" t="str">
        <f>IFERROR(INDEX(tblY10[Class],ROWS(N$10:N418))&amp;"","")</f>
        <v/>
      </c>
      <c r="O418" t="str">
        <f>IF(N418="","",IF(COUNTIF(N$10:N418,N418)=1,COUNTIF(N$10:N$609,"&lt;"&amp;N418)+1,""))</f>
        <v/>
      </c>
      <c r="P418" t="str">
        <f>IFERROR(INDEX(tblY11[Class],ROWS(P$10:P418))&amp;"","")</f>
        <v/>
      </c>
      <c r="Q418" t="str">
        <f>IF(P418="","",IF(COUNTIF(P$10:P418,P418)=1,COUNTIF(P$10:P$609,"&lt;"&amp;P418)+1,""))</f>
        <v/>
      </c>
      <c r="BA418" t="str">
        <f>IFERROR(INDEX(wLast,349)&amp;"","")</f>
        <v/>
      </c>
      <c r="BB418" t="str">
        <f>IF(BA418="","",IFERROR(INDEX(wFirst,349)&amp;"",""))</f>
        <v/>
      </c>
      <c r="BC418" t="str">
        <f>IF(BA418="","",IFERROR(INDEX(wClass,349)&amp;"",""))</f>
        <v/>
      </c>
      <c r="BD418" t="str">
        <f>IF(BA418="","",IFERROR(INDEX(wKS2,349)+0,""))</f>
        <v/>
      </c>
      <c r="BE418" t="str">
        <f>IF(BA418="","",IFERROR(INDEX(wTests,349)+0,0))</f>
        <v/>
      </c>
      <c r="BF418" t="str">
        <f>IF(BA418="","",IFERROR(INDEX(wMean,349)+0,""))</f>
        <v/>
      </c>
      <c r="BG418" t="str">
        <f>IF(BA418="","",IFERROR(INDEX(wVs,349)+0,""))</f>
        <v/>
      </c>
      <c r="BH418" t="str">
        <f>IF(OR(BA418="",wLatest=""),"",IFERROR(INDEX(wData,349,MATCH(wLatest&amp;CHAR(10)&amp;"Stanine",wHdr,0))+0,""))</f>
        <v/>
      </c>
      <c r="BI418" t="str">
        <f>IF(BA418="","",IF(AND(ISNUMBER(BG418),N(BE418)&gt;=WlMinTests,BG418&lt;=-WlGap),"Below KS2 starting point",IF(AND(NOT(ISNUMBER(BD418)),ISNUMBER(BF418),N(BE418)&gt;=WlMinTests,BF418&lt;=WlLowMean),"Low results, no KS2 data","")))</f>
        <v/>
      </c>
      <c r="BJ418" t="str">
        <f>IF(BI418="","",IF(BI418="Below KS2 starting point",BG418,100+BF418)+ROW()/1000000)</f>
        <v/>
      </c>
    </row>
    <row r="419">
      <c r="H419" t="str">
        <f>IFERROR(INDEX(tblY7[Class],ROWS(H$10:H419))&amp;"","")</f>
        <v/>
      </c>
      <c r="I419" t="str">
        <f>IF(H419="","",IF(COUNTIF(H$10:H419,H419)=1,COUNTIF(H$10:H$609,"&lt;"&amp;H419)+1,""))</f>
        <v/>
      </c>
      <c r="J419" t="str">
        <f>IFERROR(INDEX(tblY8[Class],ROWS(J$10:J419))&amp;"","")</f>
        <v/>
      </c>
      <c r="K419" t="str">
        <f>IF(J419="","",IF(COUNTIF(J$10:J419,J419)=1,COUNTIF(J$10:J$609,"&lt;"&amp;J419)+1,""))</f>
        <v/>
      </c>
      <c r="L419" t="str">
        <f>IFERROR(INDEX(tblY9[Class],ROWS(L$10:L419))&amp;"","")</f>
        <v/>
      </c>
      <c r="M419" t="str">
        <f>IF(L419="","",IF(COUNTIF(L$10:L419,L419)=1,COUNTIF(L$10:L$609,"&lt;"&amp;L419)+1,""))</f>
        <v/>
      </c>
      <c r="N419" t="str">
        <f>IFERROR(INDEX(tblY10[Class],ROWS(N$10:N419))&amp;"","")</f>
        <v/>
      </c>
      <c r="O419" t="str">
        <f>IF(N419="","",IF(COUNTIF(N$10:N419,N419)=1,COUNTIF(N$10:N$609,"&lt;"&amp;N419)+1,""))</f>
        <v/>
      </c>
      <c r="P419" t="str">
        <f>IFERROR(INDEX(tblY11[Class],ROWS(P$10:P419))&amp;"","")</f>
        <v/>
      </c>
      <c r="Q419" t="str">
        <f>IF(P419="","",IF(COUNTIF(P$10:P419,P419)=1,COUNTIF(P$10:P$609,"&lt;"&amp;P419)+1,""))</f>
        <v/>
      </c>
      <c r="BA419" t="str">
        <f>IFERROR(INDEX(wLast,350)&amp;"","")</f>
        <v/>
      </c>
      <c r="BB419" t="str">
        <f>IF(BA419="","",IFERROR(INDEX(wFirst,350)&amp;"",""))</f>
        <v/>
      </c>
      <c r="BC419" t="str">
        <f>IF(BA419="","",IFERROR(INDEX(wClass,350)&amp;"",""))</f>
        <v/>
      </c>
      <c r="BD419" t="str">
        <f>IF(BA419="","",IFERROR(INDEX(wKS2,350)+0,""))</f>
        <v/>
      </c>
      <c r="BE419" t="str">
        <f>IF(BA419="","",IFERROR(INDEX(wTests,350)+0,0))</f>
        <v/>
      </c>
      <c r="BF419" t="str">
        <f>IF(BA419="","",IFERROR(INDEX(wMean,350)+0,""))</f>
        <v/>
      </c>
      <c r="BG419" t="str">
        <f>IF(BA419="","",IFERROR(INDEX(wVs,350)+0,""))</f>
        <v/>
      </c>
      <c r="BH419" t="str">
        <f>IF(OR(BA419="",wLatest=""),"",IFERROR(INDEX(wData,350,MATCH(wLatest&amp;CHAR(10)&amp;"Stanine",wHdr,0))+0,""))</f>
        <v/>
      </c>
      <c r="BI419" t="str">
        <f>IF(BA419="","",IF(AND(ISNUMBER(BG419),N(BE419)&gt;=WlMinTests,BG419&lt;=-WlGap),"Below KS2 starting point",IF(AND(NOT(ISNUMBER(BD419)),ISNUMBER(BF419),N(BE419)&gt;=WlMinTests,BF419&lt;=WlLowMean),"Low results, no KS2 data","")))</f>
        <v/>
      </c>
      <c r="BJ419" t="str">
        <f>IF(BI419="","",IF(BI419="Below KS2 starting point",BG419,100+BF419)+ROW()/1000000)</f>
        <v/>
      </c>
    </row>
    <row r="420">
      <c r="H420" t="str">
        <f>IFERROR(INDEX(tblY7[Class],ROWS(H$10:H420))&amp;"","")</f>
        <v/>
      </c>
      <c r="I420" t="str">
        <f>IF(H420="","",IF(COUNTIF(H$10:H420,H420)=1,COUNTIF(H$10:H$609,"&lt;"&amp;H420)+1,""))</f>
        <v/>
      </c>
      <c r="J420" t="str">
        <f>IFERROR(INDEX(tblY8[Class],ROWS(J$10:J420))&amp;"","")</f>
        <v/>
      </c>
      <c r="K420" t="str">
        <f>IF(J420="","",IF(COUNTIF(J$10:J420,J420)=1,COUNTIF(J$10:J$609,"&lt;"&amp;J420)+1,""))</f>
        <v/>
      </c>
      <c r="L420" t="str">
        <f>IFERROR(INDEX(tblY9[Class],ROWS(L$10:L420))&amp;"","")</f>
        <v/>
      </c>
      <c r="M420" t="str">
        <f>IF(L420="","",IF(COUNTIF(L$10:L420,L420)=1,COUNTIF(L$10:L$609,"&lt;"&amp;L420)+1,""))</f>
        <v/>
      </c>
      <c r="N420" t="str">
        <f>IFERROR(INDEX(tblY10[Class],ROWS(N$10:N420))&amp;"","")</f>
        <v/>
      </c>
      <c r="O420" t="str">
        <f>IF(N420="","",IF(COUNTIF(N$10:N420,N420)=1,COUNTIF(N$10:N$609,"&lt;"&amp;N420)+1,""))</f>
        <v/>
      </c>
      <c r="P420" t="str">
        <f>IFERROR(INDEX(tblY11[Class],ROWS(P$10:P420))&amp;"","")</f>
        <v/>
      </c>
      <c r="Q420" t="str">
        <f>IF(P420="","",IF(COUNTIF(P$10:P420,P420)=1,COUNTIF(P$10:P$609,"&lt;"&amp;P420)+1,""))</f>
        <v/>
      </c>
      <c r="BA420" t="str">
        <f>IFERROR(INDEX(wLast,351)&amp;"","")</f>
        <v/>
      </c>
      <c r="BB420" t="str">
        <f>IF(BA420="","",IFERROR(INDEX(wFirst,351)&amp;"",""))</f>
        <v/>
      </c>
      <c r="BC420" t="str">
        <f>IF(BA420="","",IFERROR(INDEX(wClass,351)&amp;"",""))</f>
        <v/>
      </c>
      <c r="BD420" t="str">
        <f>IF(BA420="","",IFERROR(INDEX(wKS2,351)+0,""))</f>
        <v/>
      </c>
      <c r="BE420" t="str">
        <f>IF(BA420="","",IFERROR(INDEX(wTests,351)+0,0))</f>
        <v/>
      </c>
      <c r="BF420" t="str">
        <f>IF(BA420="","",IFERROR(INDEX(wMean,351)+0,""))</f>
        <v/>
      </c>
      <c r="BG420" t="str">
        <f>IF(BA420="","",IFERROR(INDEX(wVs,351)+0,""))</f>
        <v/>
      </c>
      <c r="BH420" t="str">
        <f>IF(OR(BA420="",wLatest=""),"",IFERROR(INDEX(wData,351,MATCH(wLatest&amp;CHAR(10)&amp;"Stanine",wHdr,0))+0,""))</f>
        <v/>
      </c>
      <c r="BI420" t="str">
        <f>IF(BA420="","",IF(AND(ISNUMBER(BG420),N(BE420)&gt;=WlMinTests,BG420&lt;=-WlGap),"Below KS2 starting point",IF(AND(NOT(ISNUMBER(BD420)),ISNUMBER(BF420),N(BE420)&gt;=WlMinTests,BF420&lt;=WlLowMean),"Low results, no KS2 data","")))</f>
        <v/>
      </c>
      <c r="BJ420" t="str">
        <f>IF(BI420="","",IF(BI420="Below KS2 starting point",BG420,100+BF420)+ROW()/1000000)</f>
        <v/>
      </c>
    </row>
    <row r="421">
      <c r="H421" t="str">
        <f>IFERROR(INDEX(tblY7[Class],ROWS(H$10:H421))&amp;"","")</f>
        <v/>
      </c>
      <c r="I421" t="str">
        <f>IF(H421="","",IF(COUNTIF(H$10:H421,H421)=1,COUNTIF(H$10:H$609,"&lt;"&amp;H421)+1,""))</f>
        <v/>
      </c>
      <c r="J421" t="str">
        <f>IFERROR(INDEX(tblY8[Class],ROWS(J$10:J421))&amp;"","")</f>
        <v/>
      </c>
      <c r="K421" t="str">
        <f>IF(J421="","",IF(COUNTIF(J$10:J421,J421)=1,COUNTIF(J$10:J$609,"&lt;"&amp;J421)+1,""))</f>
        <v/>
      </c>
      <c r="L421" t="str">
        <f>IFERROR(INDEX(tblY9[Class],ROWS(L$10:L421))&amp;"","")</f>
        <v/>
      </c>
      <c r="M421" t="str">
        <f>IF(L421="","",IF(COUNTIF(L$10:L421,L421)=1,COUNTIF(L$10:L$609,"&lt;"&amp;L421)+1,""))</f>
        <v/>
      </c>
      <c r="N421" t="str">
        <f>IFERROR(INDEX(tblY10[Class],ROWS(N$10:N421))&amp;"","")</f>
        <v/>
      </c>
      <c r="O421" t="str">
        <f>IF(N421="","",IF(COUNTIF(N$10:N421,N421)=1,COUNTIF(N$10:N$609,"&lt;"&amp;N421)+1,""))</f>
        <v/>
      </c>
      <c r="P421" t="str">
        <f>IFERROR(INDEX(tblY11[Class],ROWS(P$10:P421))&amp;"","")</f>
        <v/>
      </c>
      <c r="Q421" t="str">
        <f>IF(P421="","",IF(COUNTIF(P$10:P421,P421)=1,COUNTIF(P$10:P$609,"&lt;"&amp;P421)+1,""))</f>
        <v/>
      </c>
      <c r="BA421" t="str">
        <f>IFERROR(INDEX(wLast,352)&amp;"","")</f>
        <v/>
      </c>
      <c r="BB421" t="str">
        <f>IF(BA421="","",IFERROR(INDEX(wFirst,352)&amp;"",""))</f>
        <v/>
      </c>
      <c r="BC421" t="str">
        <f>IF(BA421="","",IFERROR(INDEX(wClass,352)&amp;"",""))</f>
        <v/>
      </c>
      <c r="BD421" t="str">
        <f>IF(BA421="","",IFERROR(INDEX(wKS2,352)+0,""))</f>
        <v/>
      </c>
      <c r="BE421" t="str">
        <f>IF(BA421="","",IFERROR(INDEX(wTests,352)+0,0))</f>
        <v/>
      </c>
      <c r="BF421" t="str">
        <f>IF(BA421="","",IFERROR(INDEX(wMean,352)+0,""))</f>
        <v/>
      </c>
      <c r="BG421" t="str">
        <f>IF(BA421="","",IFERROR(INDEX(wVs,352)+0,""))</f>
        <v/>
      </c>
      <c r="BH421" t="str">
        <f>IF(OR(BA421="",wLatest=""),"",IFERROR(INDEX(wData,352,MATCH(wLatest&amp;CHAR(10)&amp;"Stanine",wHdr,0))+0,""))</f>
        <v/>
      </c>
      <c r="BI421" t="str">
        <f>IF(BA421="","",IF(AND(ISNUMBER(BG421),N(BE421)&gt;=WlMinTests,BG421&lt;=-WlGap),"Below KS2 starting point",IF(AND(NOT(ISNUMBER(BD421)),ISNUMBER(BF421),N(BE421)&gt;=WlMinTests,BF421&lt;=WlLowMean),"Low results, no KS2 data","")))</f>
        <v/>
      </c>
      <c r="BJ421" t="str">
        <f>IF(BI421="","",IF(BI421="Below KS2 starting point",BG421,100+BF421)+ROW()/1000000)</f>
        <v/>
      </c>
    </row>
    <row r="422">
      <c r="H422" t="str">
        <f>IFERROR(INDEX(tblY7[Class],ROWS(H$10:H422))&amp;"","")</f>
        <v/>
      </c>
      <c r="I422" t="str">
        <f>IF(H422="","",IF(COUNTIF(H$10:H422,H422)=1,COUNTIF(H$10:H$609,"&lt;"&amp;H422)+1,""))</f>
        <v/>
      </c>
      <c r="J422" t="str">
        <f>IFERROR(INDEX(tblY8[Class],ROWS(J$10:J422))&amp;"","")</f>
        <v/>
      </c>
      <c r="K422" t="str">
        <f>IF(J422="","",IF(COUNTIF(J$10:J422,J422)=1,COUNTIF(J$10:J$609,"&lt;"&amp;J422)+1,""))</f>
        <v/>
      </c>
      <c r="L422" t="str">
        <f>IFERROR(INDEX(tblY9[Class],ROWS(L$10:L422))&amp;"","")</f>
        <v/>
      </c>
      <c r="M422" t="str">
        <f>IF(L422="","",IF(COUNTIF(L$10:L422,L422)=1,COUNTIF(L$10:L$609,"&lt;"&amp;L422)+1,""))</f>
        <v/>
      </c>
      <c r="N422" t="str">
        <f>IFERROR(INDEX(tblY10[Class],ROWS(N$10:N422))&amp;"","")</f>
        <v/>
      </c>
      <c r="O422" t="str">
        <f>IF(N422="","",IF(COUNTIF(N$10:N422,N422)=1,COUNTIF(N$10:N$609,"&lt;"&amp;N422)+1,""))</f>
        <v/>
      </c>
      <c r="P422" t="str">
        <f>IFERROR(INDEX(tblY11[Class],ROWS(P$10:P422))&amp;"","")</f>
        <v/>
      </c>
      <c r="Q422" t="str">
        <f>IF(P422="","",IF(COUNTIF(P$10:P422,P422)=1,COUNTIF(P$10:P$609,"&lt;"&amp;P422)+1,""))</f>
        <v/>
      </c>
      <c r="BA422" t="str">
        <f>IFERROR(INDEX(wLast,353)&amp;"","")</f>
        <v/>
      </c>
      <c r="BB422" t="str">
        <f>IF(BA422="","",IFERROR(INDEX(wFirst,353)&amp;"",""))</f>
        <v/>
      </c>
      <c r="BC422" t="str">
        <f>IF(BA422="","",IFERROR(INDEX(wClass,353)&amp;"",""))</f>
        <v/>
      </c>
      <c r="BD422" t="str">
        <f>IF(BA422="","",IFERROR(INDEX(wKS2,353)+0,""))</f>
        <v/>
      </c>
      <c r="BE422" t="str">
        <f>IF(BA422="","",IFERROR(INDEX(wTests,353)+0,0))</f>
        <v/>
      </c>
      <c r="BF422" t="str">
        <f>IF(BA422="","",IFERROR(INDEX(wMean,353)+0,""))</f>
        <v/>
      </c>
      <c r="BG422" t="str">
        <f>IF(BA422="","",IFERROR(INDEX(wVs,353)+0,""))</f>
        <v/>
      </c>
      <c r="BH422" t="str">
        <f>IF(OR(BA422="",wLatest=""),"",IFERROR(INDEX(wData,353,MATCH(wLatest&amp;CHAR(10)&amp;"Stanine",wHdr,0))+0,""))</f>
        <v/>
      </c>
      <c r="BI422" t="str">
        <f>IF(BA422="","",IF(AND(ISNUMBER(BG422),N(BE422)&gt;=WlMinTests,BG422&lt;=-WlGap),"Below KS2 starting point",IF(AND(NOT(ISNUMBER(BD422)),ISNUMBER(BF422),N(BE422)&gt;=WlMinTests,BF422&lt;=WlLowMean),"Low results, no KS2 data","")))</f>
        <v/>
      </c>
      <c r="BJ422" t="str">
        <f>IF(BI422="","",IF(BI422="Below KS2 starting point",BG422,100+BF422)+ROW()/1000000)</f>
        <v/>
      </c>
    </row>
    <row r="423">
      <c r="H423" t="str">
        <f>IFERROR(INDEX(tblY7[Class],ROWS(H$10:H423))&amp;"","")</f>
        <v/>
      </c>
      <c r="I423" t="str">
        <f>IF(H423="","",IF(COUNTIF(H$10:H423,H423)=1,COUNTIF(H$10:H$609,"&lt;"&amp;H423)+1,""))</f>
        <v/>
      </c>
      <c r="J423" t="str">
        <f>IFERROR(INDEX(tblY8[Class],ROWS(J$10:J423))&amp;"","")</f>
        <v/>
      </c>
      <c r="K423" t="str">
        <f>IF(J423="","",IF(COUNTIF(J$10:J423,J423)=1,COUNTIF(J$10:J$609,"&lt;"&amp;J423)+1,""))</f>
        <v/>
      </c>
      <c r="L423" t="str">
        <f>IFERROR(INDEX(tblY9[Class],ROWS(L$10:L423))&amp;"","")</f>
        <v/>
      </c>
      <c r="M423" t="str">
        <f>IF(L423="","",IF(COUNTIF(L$10:L423,L423)=1,COUNTIF(L$10:L$609,"&lt;"&amp;L423)+1,""))</f>
        <v/>
      </c>
      <c r="N423" t="str">
        <f>IFERROR(INDEX(tblY10[Class],ROWS(N$10:N423))&amp;"","")</f>
        <v/>
      </c>
      <c r="O423" t="str">
        <f>IF(N423="","",IF(COUNTIF(N$10:N423,N423)=1,COUNTIF(N$10:N$609,"&lt;"&amp;N423)+1,""))</f>
        <v/>
      </c>
      <c r="P423" t="str">
        <f>IFERROR(INDEX(tblY11[Class],ROWS(P$10:P423))&amp;"","")</f>
        <v/>
      </c>
      <c r="Q423" t="str">
        <f>IF(P423="","",IF(COUNTIF(P$10:P423,P423)=1,COUNTIF(P$10:P$609,"&lt;"&amp;P423)+1,""))</f>
        <v/>
      </c>
      <c r="BA423" t="str">
        <f>IFERROR(INDEX(wLast,354)&amp;"","")</f>
        <v/>
      </c>
      <c r="BB423" t="str">
        <f>IF(BA423="","",IFERROR(INDEX(wFirst,354)&amp;"",""))</f>
        <v/>
      </c>
      <c r="BC423" t="str">
        <f>IF(BA423="","",IFERROR(INDEX(wClass,354)&amp;"",""))</f>
        <v/>
      </c>
      <c r="BD423" t="str">
        <f>IF(BA423="","",IFERROR(INDEX(wKS2,354)+0,""))</f>
        <v/>
      </c>
      <c r="BE423" t="str">
        <f>IF(BA423="","",IFERROR(INDEX(wTests,354)+0,0))</f>
        <v/>
      </c>
      <c r="BF423" t="str">
        <f>IF(BA423="","",IFERROR(INDEX(wMean,354)+0,""))</f>
        <v/>
      </c>
      <c r="BG423" t="str">
        <f>IF(BA423="","",IFERROR(INDEX(wVs,354)+0,""))</f>
        <v/>
      </c>
      <c r="BH423" t="str">
        <f>IF(OR(BA423="",wLatest=""),"",IFERROR(INDEX(wData,354,MATCH(wLatest&amp;CHAR(10)&amp;"Stanine",wHdr,0))+0,""))</f>
        <v/>
      </c>
      <c r="BI423" t="str">
        <f>IF(BA423="","",IF(AND(ISNUMBER(BG423),N(BE423)&gt;=WlMinTests,BG423&lt;=-WlGap),"Below KS2 starting point",IF(AND(NOT(ISNUMBER(BD423)),ISNUMBER(BF423),N(BE423)&gt;=WlMinTests,BF423&lt;=WlLowMean),"Low results, no KS2 data","")))</f>
        <v/>
      </c>
      <c r="BJ423" t="str">
        <f>IF(BI423="","",IF(BI423="Below KS2 starting point",BG423,100+BF423)+ROW()/1000000)</f>
        <v/>
      </c>
    </row>
    <row r="424">
      <c r="H424" t="str">
        <f>IFERROR(INDEX(tblY7[Class],ROWS(H$10:H424))&amp;"","")</f>
        <v/>
      </c>
      <c r="I424" t="str">
        <f>IF(H424="","",IF(COUNTIF(H$10:H424,H424)=1,COUNTIF(H$10:H$609,"&lt;"&amp;H424)+1,""))</f>
        <v/>
      </c>
      <c r="J424" t="str">
        <f>IFERROR(INDEX(tblY8[Class],ROWS(J$10:J424))&amp;"","")</f>
        <v/>
      </c>
      <c r="K424" t="str">
        <f>IF(J424="","",IF(COUNTIF(J$10:J424,J424)=1,COUNTIF(J$10:J$609,"&lt;"&amp;J424)+1,""))</f>
        <v/>
      </c>
      <c r="L424" t="str">
        <f>IFERROR(INDEX(tblY9[Class],ROWS(L$10:L424))&amp;"","")</f>
        <v/>
      </c>
      <c r="M424" t="str">
        <f>IF(L424="","",IF(COUNTIF(L$10:L424,L424)=1,COUNTIF(L$10:L$609,"&lt;"&amp;L424)+1,""))</f>
        <v/>
      </c>
      <c r="N424" t="str">
        <f>IFERROR(INDEX(tblY10[Class],ROWS(N$10:N424))&amp;"","")</f>
        <v/>
      </c>
      <c r="O424" t="str">
        <f>IF(N424="","",IF(COUNTIF(N$10:N424,N424)=1,COUNTIF(N$10:N$609,"&lt;"&amp;N424)+1,""))</f>
        <v/>
      </c>
      <c r="P424" t="str">
        <f>IFERROR(INDEX(tblY11[Class],ROWS(P$10:P424))&amp;"","")</f>
        <v/>
      </c>
      <c r="Q424" t="str">
        <f>IF(P424="","",IF(COUNTIF(P$10:P424,P424)=1,COUNTIF(P$10:P$609,"&lt;"&amp;P424)+1,""))</f>
        <v/>
      </c>
      <c r="BA424" t="str">
        <f>IFERROR(INDEX(wLast,355)&amp;"","")</f>
        <v/>
      </c>
      <c r="BB424" t="str">
        <f>IF(BA424="","",IFERROR(INDEX(wFirst,355)&amp;"",""))</f>
        <v/>
      </c>
      <c r="BC424" t="str">
        <f>IF(BA424="","",IFERROR(INDEX(wClass,355)&amp;"",""))</f>
        <v/>
      </c>
      <c r="BD424" t="str">
        <f>IF(BA424="","",IFERROR(INDEX(wKS2,355)+0,""))</f>
        <v/>
      </c>
      <c r="BE424" t="str">
        <f>IF(BA424="","",IFERROR(INDEX(wTests,355)+0,0))</f>
        <v/>
      </c>
      <c r="BF424" t="str">
        <f>IF(BA424="","",IFERROR(INDEX(wMean,355)+0,""))</f>
        <v/>
      </c>
      <c r="BG424" t="str">
        <f>IF(BA424="","",IFERROR(INDEX(wVs,355)+0,""))</f>
        <v/>
      </c>
      <c r="BH424" t="str">
        <f>IF(OR(BA424="",wLatest=""),"",IFERROR(INDEX(wData,355,MATCH(wLatest&amp;CHAR(10)&amp;"Stanine",wHdr,0))+0,""))</f>
        <v/>
      </c>
      <c r="BI424" t="str">
        <f>IF(BA424="","",IF(AND(ISNUMBER(BG424),N(BE424)&gt;=WlMinTests,BG424&lt;=-WlGap),"Below KS2 starting point",IF(AND(NOT(ISNUMBER(BD424)),ISNUMBER(BF424),N(BE424)&gt;=WlMinTests,BF424&lt;=WlLowMean),"Low results, no KS2 data","")))</f>
        <v/>
      </c>
      <c r="BJ424" t="str">
        <f>IF(BI424="","",IF(BI424="Below KS2 starting point",BG424,100+BF424)+ROW()/1000000)</f>
        <v/>
      </c>
    </row>
    <row r="425">
      <c r="H425" t="str">
        <f>IFERROR(INDEX(tblY7[Class],ROWS(H$10:H425))&amp;"","")</f>
        <v/>
      </c>
      <c r="I425" t="str">
        <f>IF(H425="","",IF(COUNTIF(H$10:H425,H425)=1,COUNTIF(H$10:H$609,"&lt;"&amp;H425)+1,""))</f>
        <v/>
      </c>
      <c r="J425" t="str">
        <f>IFERROR(INDEX(tblY8[Class],ROWS(J$10:J425))&amp;"","")</f>
        <v/>
      </c>
      <c r="K425" t="str">
        <f>IF(J425="","",IF(COUNTIF(J$10:J425,J425)=1,COUNTIF(J$10:J$609,"&lt;"&amp;J425)+1,""))</f>
        <v/>
      </c>
      <c r="L425" t="str">
        <f>IFERROR(INDEX(tblY9[Class],ROWS(L$10:L425))&amp;"","")</f>
        <v/>
      </c>
      <c r="M425" t="str">
        <f>IF(L425="","",IF(COUNTIF(L$10:L425,L425)=1,COUNTIF(L$10:L$609,"&lt;"&amp;L425)+1,""))</f>
        <v/>
      </c>
      <c r="N425" t="str">
        <f>IFERROR(INDEX(tblY10[Class],ROWS(N$10:N425))&amp;"","")</f>
        <v/>
      </c>
      <c r="O425" t="str">
        <f>IF(N425="","",IF(COUNTIF(N$10:N425,N425)=1,COUNTIF(N$10:N$609,"&lt;"&amp;N425)+1,""))</f>
        <v/>
      </c>
      <c r="P425" t="str">
        <f>IFERROR(INDEX(tblY11[Class],ROWS(P$10:P425))&amp;"","")</f>
        <v/>
      </c>
      <c r="Q425" t="str">
        <f>IF(P425="","",IF(COUNTIF(P$10:P425,P425)=1,COUNTIF(P$10:P$609,"&lt;"&amp;P425)+1,""))</f>
        <v/>
      </c>
      <c r="BA425" t="str">
        <f>IFERROR(INDEX(wLast,356)&amp;"","")</f>
        <v/>
      </c>
      <c r="BB425" t="str">
        <f>IF(BA425="","",IFERROR(INDEX(wFirst,356)&amp;"",""))</f>
        <v/>
      </c>
      <c r="BC425" t="str">
        <f>IF(BA425="","",IFERROR(INDEX(wClass,356)&amp;"",""))</f>
        <v/>
      </c>
      <c r="BD425" t="str">
        <f>IF(BA425="","",IFERROR(INDEX(wKS2,356)+0,""))</f>
        <v/>
      </c>
      <c r="BE425" t="str">
        <f>IF(BA425="","",IFERROR(INDEX(wTests,356)+0,0))</f>
        <v/>
      </c>
      <c r="BF425" t="str">
        <f>IF(BA425="","",IFERROR(INDEX(wMean,356)+0,""))</f>
        <v/>
      </c>
      <c r="BG425" t="str">
        <f>IF(BA425="","",IFERROR(INDEX(wVs,356)+0,""))</f>
        <v/>
      </c>
      <c r="BH425" t="str">
        <f>IF(OR(BA425="",wLatest=""),"",IFERROR(INDEX(wData,356,MATCH(wLatest&amp;CHAR(10)&amp;"Stanine",wHdr,0))+0,""))</f>
        <v/>
      </c>
      <c r="BI425" t="str">
        <f>IF(BA425="","",IF(AND(ISNUMBER(BG425),N(BE425)&gt;=WlMinTests,BG425&lt;=-WlGap),"Below KS2 starting point",IF(AND(NOT(ISNUMBER(BD425)),ISNUMBER(BF425),N(BE425)&gt;=WlMinTests,BF425&lt;=WlLowMean),"Low results, no KS2 data","")))</f>
        <v/>
      </c>
      <c r="BJ425" t="str">
        <f>IF(BI425="","",IF(BI425="Below KS2 starting point",BG425,100+BF425)+ROW()/1000000)</f>
        <v/>
      </c>
    </row>
    <row r="426">
      <c r="H426" t="str">
        <f>IFERROR(INDEX(tblY7[Class],ROWS(H$10:H426))&amp;"","")</f>
        <v/>
      </c>
      <c r="I426" t="str">
        <f>IF(H426="","",IF(COUNTIF(H$10:H426,H426)=1,COUNTIF(H$10:H$609,"&lt;"&amp;H426)+1,""))</f>
        <v/>
      </c>
      <c r="J426" t="str">
        <f>IFERROR(INDEX(tblY8[Class],ROWS(J$10:J426))&amp;"","")</f>
        <v/>
      </c>
      <c r="K426" t="str">
        <f>IF(J426="","",IF(COUNTIF(J$10:J426,J426)=1,COUNTIF(J$10:J$609,"&lt;"&amp;J426)+1,""))</f>
        <v/>
      </c>
      <c r="L426" t="str">
        <f>IFERROR(INDEX(tblY9[Class],ROWS(L$10:L426))&amp;"","")</f>
        <v/>
      </c>
      <c r="M426" t="str">
        <f>IF(L426="","",IF(COUNTIF(L$10:L426,L426)=1,COUNTIF(L$10:L$609,"&lt;"&amp;L426)+1,""))</f>
        <v/>
      </c>
      <c r="N426" t="str">
        <f>IFERROR(INDEX(tblY10[Class],ROWS(N$10:N426))&amp;"","")</f>
        <v/>
      </c>
      <c r="O426" t="str">
        <f>IF(N426="","",IF(COUNTIF(N$10:N426,N426)=1,COUNTIF(N$10:N$609,"&lt;"&amp;N426)+1,""))</f>
        <v/>
      </c>
      <c r="P426" t="str">
        <f>IFERROR(INDEX(tblY11[Class],ROWS(P$10:P426))&amp;"","")</f>
        <v/>
      </c>
      <c r="Q426" t="str">
        <f>IF(P426="","",IF(COUNTIF(P$10:P426,P426)=1,COUNTIF(P$10:P$609,"&lt;"&amp;P426)+1,""))</f>
        <v/>
      </c>
      <c r="BA426" t="str">
        <f>IFERROR(INDEX(wLast,357)&amp;"","")</f>
        <v/>
      </c>
      <c r="BB426" t="str">
        <f>IF(BA426="","",IFERROR(INDEX(wFirst,357)&amp;"",""))</f>
        <v/>
      </c>
      <c r="BC426" t="str">
        <f>IF(BA426="","",IFERROR(INDEX(wClass,357)&amp;"",""))</f>
        <v/>
      </c>
      <c r="BD426" t="str">
        <f>IF(BA426="","",IFERROR(INDEX(wKS2,357)+0,""))</f>
        <v/>
      </c>
      <c r="BE426" t="str">
        <f>IF(BA426="","",IFERROR(INDEX(wTests,357)+0,0))</f>
        <v/>
      </c>
      <c r="BF426" t="str">
        <f>IF(BA426="","",IFERROR(INDEX(wMean,357)+0,""))</f>
        <v/>
      </c>
      <c r="BG426" t="str">
        <f>IF(BA426="","",IFERROR(INDEX(wVs,357)+0,""))</f>
        <v/>
      </c>
      <c r="BH426" t="str">
        <f>IF(OR(BA426="",wLatest=""),"",IFERROR(INDEX(wData,357,MATCH(wLatest&amp;CHAR(10)&amp;"Stanine",wHdr,0))+0,""))</f>
        <v/>
      </c>
      <c r="BI426" t="str">
        <f>IF(BA426="","",IF(AND(ISNUMBER(BG426),N(BE426)&gt;=WlMinTests,BG426&lt;=-WlGap),"Below KS2 starting point",IF(AND(NOT(ISNUMBER(BD426)),ISNUMBER(BF426),N(BE426)&gt;=WlMinTests,BF426&lt;=WlLowMean),"Low results, no KS2 data","")))</f>
        <v/>
      </c>
      <c r="BJ426" t="str">
        <f>IF(BI426="","",IF(BI426="Below KS2 starting point",BG426,100+BF426)+ROW()/1000000)</f>
        <v/>
      </c>
    </row>
    <row r="427">
      <c r="H427" t="str">
        <f>IFERROR(INDEX(tblY7[Class],ROWS(H$10:H427))&amp;"","")</f>
        <v/>
      </c>
      <c r="I427" t="str">
        <f>IF(H427="","",IF(COUNTIF(H$10:H427,H427)=1,COUNTIF(H$10:H$609,"&lt;"&amp;H427)+1,""))</f>
        <v/>
      </c>
      <c r="J427" t="str">
        <f>IFERROR(INDEX(tblY8[Class],ROWS(J$10:J427))&amp;"","")</f>
        <v/>
      </c>
      <c r="K427" t="str">
        <f>IF(J427="","",IF(COUNTIF(J$10:J427,J427)=1,COUNTIF(J$10:J$609,"&lt;"&amp;J427)+1,""))</f>
        <v/>
      </c>
      <c r="L427" t="str">
        <f>IFERROR(INDEX(tblY9[Class],ROWS(L$10:L427))&amp;"","")</f>
        <v/>
      </c>
      <c r="M427" t="str">
        <f>IF(L427="","",IF(COUNTIF(L$10:L427,L427)=1,COUNTIF(L$10:L$609,"&lt;"&amp;L427)+1,""))</f>
        <v/>
      </c>
      <c r="N427" t="str">
        <f>IFERROR(INDEX(tblY10[Class],ROWS(N$10:N427))&amp;"","")</f>
        <v/>
      </c>
      <c r="O427" t="str">
        <f>IF(N427="","",IF(COUNTIF(N$10:N427,N427)=1,COUNTIF(N$10:N$609,"&lt;"&amp;N427)+1,""))</f>
        <v/>
      </c>
      <c r="P427" t="str">
        <f>IFERROR(INDEX(tblY11[Class],ROWS(P$10:P427))&amp;"","")</f>
        <v/>
      </c>
      <c r="Q427" t="str">
        <f>IF(P427="","",IF(COUNTIF(P$10:P427,P427)=1,COUNTIF(P$10:P$609,"&lt;"&amp;P427)+1,""))</f>
        <v/>
      </c>
      <c r="BA427" t="str">
        <f>IFERROR(INDEX(wLast,358)&amp;"","")</f>
        <v/>
      </c>
      <c r="BB427" t="str">
        <f>IF(BA427="","",IFERROR(INDEX(wFirst,358)&amp;"",""))</f>
        <v/>
      </c>
      <c r="BC427" t="str">
        <f>IF(BA427="","",IFERROR(INDEX(wClass,358)&amp;"",""))</f>
        <v/>
      </c>
      <c r="BD427" t="str">
        <f>IF(BA427="","",IFERROR(INDEX(wKS2,358)+0,""))</f>
        <v/>
      </c>
      <c r="BE427" t="str">
        <f>IF(BA427="","",IFERROR(INDEX(wTests,358)+0,0))</f>
        <v/>
      </c>
      <c r="BF427" t="str">
        <f>IF(BA427="","",IFERROR(INDEX(wMean,358)+0,""))</f>
        <v/>
      </c>
      <c r="BG427" t="str">
        <f>IF(BA427="","",IFERROR(INDEX(wVs,358)+0,""))</f>
        <v/>
      </c>
      <c r="BH427" t="str">
        <f>IF(OR(BA427="",wLatest=""),"",IFERROR(INDEX(wData,358,MATCH(wLatest&amp;CHAR(10)&amp;"Stanine",wHdr,0))+0,""))</f>
        <v/>
      </c>
      <c r="BI427" t="str">
        <f>IF(BA427="","",IF(AND(ISNUMBER(BG427),N(BE427)&gt;=WlMinTests,BG427&lt;=-WlGap),"Below KS2 starting point",IF(AND(NOT(ISNUMBER(BD427)),ISNUMBER(BF427),N(BE427)&gt;=WlMinTests,BF427&lt;=WlLowMean),"Low results, no KS2 data","")))</f>
        <v/>
      </c>
      <c r="BJ427" t="str">
        <f>IF(BI427="","",IF(BI427="Below KS2 starting point",BG427,100+BF427)+ROW()/1000000)</f>
        <v/>
      </c>
    </row>
    <row r="428">
      <c r="H428" t="str">
        <f>IFERROR(INDEX(tblY7[Class],ROWS(H$10:H428))&amp;"","")</f>
        <v/>
      </c>
      <c r="I428" t="str">
        <f>IF(H428="","",IF(COUNTIF(H$10:H428,H428)=1,COUNTIF(H$10:H$609,"&lt;"&amp;H428)+1,""))</f>
        <v/>
      </c>
      <c r="J428" t="str">
        <f>IFERROR(INDEX(tblY8[Class],ROWS(J$10:J428))&amp;"","")</f>
        <v/>
      </c>
      <c r="K428" t="str">
        <f>IF(J428="","",IF(COUNTIF(J$10:J428,J428)=1,COUNTIF(J$10:J$609,"&lt;"&amp;J428)+1,""))</f>
        <v/>
      </c>
      <c r="L428" t="str">
        <f>IFERROR(INDEX(tblY9[Class],ROWS(L$10:L428))&amp;"","")</f>
        <v/>
      </c>
      <c r="M428" t="str">
        <f>IF(L428="","",IF(COUNTIF(L$10:L428,L428)=1,COUNTIF(L$10:L$609,"&lt;"&amp;L428)+1,""))</f>
        <v/>
      </c>
      <c r="N428" t="str">
        <f>IFERROR(INDEX(tblY10[Class],ROWS(N$10:N428))&amp;"","")</f>
        <v/>
      </c>
      <c r="O428" t="str">
        <f>IF(N428="","",IF(COUNTIF(N$10:N428,N428)=1,COUNTIF(N$10:N$609,"&lt;"&amp;N428)+1,""))</f>
        <v/>
      </c>
      <c r="P428" t="str">
        <f>IFERROR(INDEX(tblY11[Class],ROWS(P$10:P428))&amp;"","")</f>
        <v/>
      </c>
      <c r="Q428" t="str">
        <f>IF(P428="","",IF(COUNTIF(P$10:P428,P428)=1,COUNTIF(P$10:P$609,"&lt;"&amp;P428)+1,""))</f>
        <v/>
      </c>
      <c r="BA428" t="str">
        <f>IFERROR(INDEX(wLast,359)&amp;"","")</f>
        <v/>
      </c>
      <c r="BB428" t="str">
        <f>IF(BA428="","",IFERROR(INDEX(wFirst,359)&amp;"",""))</f>
        <v/>
      </c>
      <c r="BC428" t="str">
        <f>IF(BA428="","",IFERROR(INDEX(wClass,359)&amp;"",""))</f>
        <v/>
      </c>
      <c r="BD428" t="str">
        <f>IF(BA428="","",IFERROR(INDEX(wKS2,359)+0,""))</f>
        <v/>
      </c>
      <c r="BE428" t="str">
        <f>IF(BA428="","",IFERROR(INDEX(wTests,359)+0,0))</f>
        <v/>
      </c>
      <c r="BF428" t="str">
        <f>IF(BA428="","",IFERROR(INDEX(wMean,359)+0,""))</f>
        <v/>
      </c>
      <c r="BG428" t="str">
        <f>IF(BA428="","",IFERROR(INDEX(wVs,359)+0,""))</f>
        <v/>
      </c>
      <c r="BH428" t="str">
        <f>IF(OR(BA428="",wLatest=""),"",IFERROR(INDEX(wData,359,MATCH(wLatest&amp;CHAR(10)&amp;"Stanine",wHdr,0))+0,""))</f>
        <v/>
      </c>
      <c r="BI428" t="str">
        <f>IF(BA428="","",IF(AND(ISNUMBER(BG428),N(BE428)&gt;=WlMinTests,BG428&lt;=-WlGap),"Below KS2 starting point",IF(AND(NOT(ISNUMBER(BD428)),ISNUMBER(BF428),N(BE428)&gt;=WlMinTests,BF428&lt;=WlLowMean),"Low results, no KS2 data","")))</f>
        <v/>
      </c>
      <c r="BJ428" t="str">
        <f>IF(BI428="","",IF(BI428="Below KS2 starting point",BG428,100+BF428)+ROW()/1000000)</f>
        <v/>
      </c>
    </row>
    <row r="429">
      <c r="H429" t="str">
        <f>IFERROR(INDEX(tblY7[Class],ROWS(H$10:H429))&amp;"","")</f>
        <v/>
      </c>
      <c r="I429" t="str">
        <f>IF(H429="","",IF(COUNTIF(H$10:H429,H429)=1,COUNTIF(H$10:H$609,"&lt;"&amp;H429)+1,""))</f>
        <v/>
      </c>
      <c r="J429" t="str">
        <f>IFERROR(INDEX(tblY8[Class],ROWS(J$10:J429))&amp;"","")</f>
        <v/>
      </c>
      <c r="K429" t="str">
        <f>IF(J429="","",IF(COUNTIF(J$10:J429,J429)=1,COUNTIF(J$10:J$609,"&lt;"&amp;J429)+1,""))</f>
        <v/>
      </c>
      <c r="L429" t="str">
        <f>IFERROR(INDEX(tblY9[Class],ROWS(L$10:L429))&amp;"","")</f>
        <v/>
      </c>
      <c r="M429" t="str">
        <f>IF(L429="","",IF(COUNTIF(L$10:L429,L429)=1,COUNTIF(L$10:L$609,"&lt;"&amp;L429)+1,""))</f>
        <v/>
      </c>
      <c r="N429" t="str">
        <f>IFERROR(INDEX(tblY10[Class],ROWS(N$10:N429))&amp;"","")</f>
        <v/>
      </c>
      <c r="O429" t="str">
        <f>IF(N429="","",IF(COUNTIF(N$10:N429,N429)=1,COUNTIF(N$10:N$609,"&lt;"&amp;N429)+1,""))</f>
        <v/>
      </c>
      <c r="P429" t="str">
        <f>IFERROR(INDEX(tblY11[Class],ROWS(P$10:P429))&amp;"","")</f>
        <v/>
      </c>
      <c r="Q429" t="str">
        <f>IF(P429="","",IF(COUNTIF(P$10:P429,P429)=1,COUNTIF(P$10:P$609,"&lt;"&amp;P429)+1,""))</f>
        <v/>
      </c>
      <c r="BA429" t="str">
        <f>IFERROR(INDEX(wLast,360)&amp;"","")</f>
        <v/>
      </c>
      <c r="BB429" t="str">
        <f>IF(BA429="","",IFERROR(INDEX(wFirst,360)&amp;"",""))</f>
        <v/>
      </c>
      <c r="BC429" t="str">
        <f>IF(BA429="","",IFERROR(INDEX(wClass,360)&amp;"",""))</f>
        <v/>
      </c>
      <c r="BD429" t="str">
        <f>IF(BA429="","",IFERROR(INDEX(wKS2,360)+0,""))</f>
        <v/>
      </c>
      <c r="BE429" t="str">
        <f>IF(BA429="","",IFERROR(INDEX(wTests,360)+0,0))</f>
        <v/>
      </c>
      <c r="BF429" t="str">
        <f>IF(BA429="","",IFERROR(INDEX(wMean,360)+0,""))</f>
        <v/>
      </c>
      <c r="BG429" t="str">
        <f>IF(BA429="","",IFERROR(INDEX(wVs,360)+0,""))</f>
        <v/>
      </c>
      <c r="BH429" t="str">
        <f>IF(OR(BA429="",wLatest=""),"",IFERROR(INDEX(wData,360,MATCH(wLatest&amp;CHAR(10)&amp;"Stanine",wHdr,0))+0,""))</f>
        <v/>
      </c>
      <c r="BI429" t="str">
        <f>IF(BA429="","",IF(AND(ISNUMBER(BG429),N(BE429)&gt;=WlMinTests,BG429&lt;=-WlGap),"Below KS2 starting point",IF(AND(NOT(ISNUMBER(BD429)),ISNUMBER(BF429),N(BE429)&gt;=WlMinTests,BF429&lt;=WlLowMean),"Low results, no KS2 data","")))</f>
        <v/>
      </c>
      <c r="BJ429" t="str">
        <f>IF(BI429="","",IF(BI429="Below KS2 starting point",BG429,100+BF429)+ROW()/1000000)</f>
        <v/>
      </c>
    </row>
    <row r="430">
      <c r="H430" t="str">
        <f>IFERROR(INDEX(tblY7[Class],ROWS(H$10:H430))&amp;"","")</f>
        <v/>
      </c>
      <c r="I430" t="str">
        <f>IF(H430="","",IF(COUNTIF(H$10:H430,H430)=1,COUNTIF(H$10:H$609,"&lt;"&amp;H430)+1,""))</f>
        <v/>
      </c>
      <c r="J430" t="str">
        <f>IFERROR(INDEX(tblY8[Class],ROWS(J$10:J430))&amp;"","")</f>
        <v/>
      </c>
      <c r="K430" t="str">
        <f>IF(J430="","",IF(COUNTIF(J$10:J430,J430)=1,COUNTIF(J$10:J$609,"&lt;"&amp;J430)+1,""))</f>
        <v/>
      </c>
      <c r="L430" t="str">
        <f>IFERROR(INDEX(tblY9[Class],ROWS(L$10:L430))&amp;"","")</f>
        <v/>
      </c>
      <c r="M430" t="str">
        <f>IF(L430="","",IF(COUNTIF(L$10:L430,L430)=1,COUNTIF(L$10:L$609,"&lt;"&amp;L430)+1,""))</f>
        <v/>
      </c>
      <c r="N430" t="str">
        <f>IFERROR(INDEX(tblY10[Class],ROWS(N$10:N430))&amp;"","")</f>
        <v/>
      </c>
      <c r="O430" t="str">
        <f>IF(N430="","",IF(COUNTIF(N$10:N430,N430)=1,COUNTIF(N$10:N$609,"&lt;"&amp;N430)+1,""))</f>
        <v/>
      </c>
      <c r="P430" t="str">
        <f>IFERROR(INDEX(tblY11[Class],ROWS(P$10:P430))&amp;"","")</f>
        <v/>
      </c>
      <c r="Q430" t="str">
        <f>IF(P430="","",IF(COUNTIF(P$10:P430,P430)=1,COUNTIF(P$10:P$609,"&lt;"&amp;P430)+1,""))</f>
        <v/>
      </c>
      <c r="BA430" t="str">
        <f>IFERROR(INDEX(wLast,361)&amp;"","")</f>
        <v/>
      </c>
      <c r="BB430" t="str">
        <f>IF(BA430="","",IFERROR(INDEX(wFirst,361)&amp;"",""))</f>
        <v/>
      </c>
      <c r="BC430" t="str">
        <f>IF(BA430="","",IFERROR(INDEX(wClass,361)&amp;"",""))</f>
        <v/>
      </c>
      <c r="BD430" t="str">
        <f>IF(BA430="","",IFERROR(INDEX(wKS2,361)+0,""))</f>
        <v/>
      </c>
      <c r="BE430" t="str">
        <f>IF(BA430="","",IFERROR(INDEX(wTests,361)+0,0))</f>
        <v/>
      </c>
      <c r="BF430" t="str">
        <f>IF(BA430="","",IFERROR(INDEX(wMean,361)+0,""))</f>
        <v/>
      </c>
      <c r="BG430" t="str">
        <f>IF(BA430="","",IFERROR(INDEX(wVs,361)+0,""))</f>
        <v/>
      </c>
      <c r="BH430" t="str">
        <f>IF(OR(BA430="",wLatest=""),"",IFERROR(INDEX(wData,361,MATCH(wLatest&amp;CHAR(10)&amp;"Stanine",wHdr,0))+0,""))</f>
        <v/>
      </c>
      <c r="BI430" t="str">
        <f>IF(BA430="","",IF(AND(ISNUMBER(BG430),N(BE430)&gt;=WlMinTests,BG430&lt;=-WlGap),"Below KS2 starting point",IF(AND(NOT(ISNUMBER(BD430)),ISNUMBER(BF430),N(BE430)&gt;=WlMinTests,BF430&lt;=WlLowMean),"Low results, no KS2 data","")))</f>
        <v/>
      </c>
      <c r="BJ430" t="str">
        <f>IF(BI430="","",IF(BI430="Below KS2 starting point",BG430,100+BF430)+ROW()/1000000)</f>
        <v/>
      </c>
    </row>
    <row r="431">
      <c r="H431" t="str">
        <f>IFERROR(INDEX(tblY7[Class],ROWS(H$10:H431))&amp;"","")</f>
        <v/>
      </c>
      <c r="I431" t="str">
        <f>IF(H431="","",IF(COUNTIF(H$10:H431,H431)=1,COUNTIF(H$10:H$609,"&lt;"&amp;H431)+1,""))</f>
        <v/>
      </c>
      <c r="J431" t="str">
        <f>IFERROR(INDEX(tblY8[Class],ROWS(J$10:J431))&amp;"","")</f>
        <v/>
      </c>
      <c r="K431" t="str">
        <f>IF(J431="","",IF(COUNTIF(J$10:J431,J431)=1,COUNTIF(J$10:J$609,"&lt;"&amp;J431)+1,""))</f>
        <v/>
      </c>
      <c r="L431" t="str">
        <f>IFERROR(INDEX(tblY9[Class],ROWS(L$10:L431))&amp;"","")</f>
        <v/>
      </c>
      <c r="M431" t="str">
        <f>IF(L431="","",IF(COUNTIF(L$10:L431,L431)=1,COUNTIF(L$10:L$609,"&lt;"&amp;L431)+1,""))</f>
        <v/>
      </c>
      <c r="N431" t="str">
        <f>IFERROR(INDEX(tblY10[Class],ROWS(N$10:N431))&amp;"","")</f>
        <v/>
      </c>
      <c r="O431" t="str">
        <f>IF(N431="","",IF(COUNTIF(N$10:N431,N431)=1,COUNTIF(N$10:N$609,"&lt;"&amp;N431)+1,""))</f>
        <v/>
      </c>
      <c r="P431" t="str">
        <f>IFERROR(INDEX(tblY11[Class],ROWS(P$10:P431))&amp;"","")</f>
        <v/>
      </c>
      <c r="Q431" t="str">
        <f>IF(P431="","",IF(COUNTIF(P$10:P431,P431)=1,COUNTIF(P$10:P$609,"&lt;"&amp;P431)+1,""))</f>
        <v/>
      </c>
      <c r="BA431" t="str">
        <f>IFERROR(INDEX(wLast,362)&amp;"","")</f>
        <v/>
      </c>
      <c r="BB431" t="str">
        <f>IF(BA431="","",IFERROR(INDEX(wFirst,362)&amp;"",""))</f>
        <v/>
      </c>
      <c r="BC431" t="str">
        <f>IF(BA431="","",IFERROR(INDEX(wClass,362)&amp;"",""))</f>
        <v/>
      </c>
      <c r="BD431" t="str">
        <f>IF(BA431="","",IFERROR(INDEX(wKS2,362)+0,""))</f>
        <v/>
      </c>
      <c r="BE431" t="str">
        <f>IF(BA431="","",IFERROR(INDEX(wTests,362)+0,0))</f>
        <v/>
      </c>
      <c r="BF431" t="str">
        <f>IF(BA431="","",IFERROR(INDEX(wMean,362)+0,""))</f>
        <v/>
      </c>
      <c r="BG431" t="str">
        <f>IF(BA431="","",IFERROR(INDEX(wVs,362)+0,""))</f>
        <v/>
      </c>
      <c r="BH431" t="str">
        <f>IF(OR(BA431="",wLatest=""),"",IFERROR(INDEX(wData,362,MATCH(wLatest&amp;CHAR(10)&amp;"Stanine",wHdr,0))+0,""))</f>
        <v/>
      </c>
      <c r="BI431" t="str">
        <f>IF(BA431="","",IF(AND(ISNUMBER(BG431),N(BE431)&gt;=WlMinTests,BG431&lt;=-WlGap),"Below KS2 starting point",IF(AND(NOT(ISNUMBER(BD431)),ISNUMBER(BF431),N(BE431)&gt;=WlMinTests,BF431&lt;=WlLowMean),"Low results, no KS2 data","")))</f>
        <v/>
      </c>
      <c r="BJ431" t="str">
        <f>IF(BI431="","",IF(BI431="Below KS2 starting point",BG431,100+BF431)+ROW()/1000000)</f>
        <v/>
      </c>
    </row>
    <row r="432">
      <c r="H432" t="str">
        <f>IFERROR(INDEX(tblY7[Class],ROWS(H$10:H432))&amp;"","")</f>
        <v/>
      </c>
      <c r="I432" t="str">
        <f>IF(H432="","",IF(COUNTIF(H$10:H432,H432)=1,COUNTIF(H$10:H$609,"&lt;"&amp;H432)+1,""))</f>
        <v/>
      </c>
      <c r="J432" t="str">
        <f>IFERROR(INDEX(tblY8[Class],ROWS(J$10:J432))&amp;"","")</f>
        <v/>
      </c>
      <c r="K432" t="str">
        <f>IF(J432="","",IF(COUNTIF(J$10:J432,J432)=1,COUNTIF(J$10:J$609,"&lt;"&amp;J432)+1,""))</f>
        <v/>
      </c>
      <c r="L432" t="str">
        <f>IFERROR(INDEX(tblY9[Class],ROWS(L$10:L432))&amp;"","")</f>
        <v/>
      </c>
      <c r="M432" t="str">
        <f>IF(L432="","",IF(COUNTIF(L$10:L432,L432)=1,COUNTIF(L$10:L$609,"&lt;"&amp;L432)+1,""))</f>
        <v/>
      </c>
      <c r="N432" t="str">
        <f>IFERROR(INDEX(tblY10[Class],ROWS(N$10:N432))&amp;"","")</f>
        <v/>
      </c>
      <c r="O432" t="str">
        <f>IF(N432="","",IF(COUNTIF(N$10:N432,N432)=1,COUNTIF(N$10:N$609,"&lt;"&amp;N432)+1,""))</f>
        <v/>
      </c>
      <c r="P432" t="str">
        <f>IFERROR(INDEX(tblY11[Class],ROWS(P$10:P432))&amp;"","")</f>
        <v/>
      </c>
      <c r="Q432" t="str">
        <f>IF(P432="","",IF(COUNTIF(P$10:P432,P432)=1,COUNTIF(P$10:P$609,"&lt;"&amp;P432)+1,""))</f>
        <v/>
      </c>
      <c r="BA432" t="str">
        <f>IFERROR(INDEX(wLast,363)&amp;"","")</f>
        <v/>
      </c>
      <c r="BB432" t="str">
        <f>IF(BA432="","",IFERROR(INDEX(wFirst,363)&amp;"",""))</f>
        <v/>
      </c>
      <c r="BC432" t="str">
        <f>IF(BA432="","",IFERROR(INDEX(wClass,363)&amp;"",""))</f>
        <v/>
      </c>
      <c r="BD432" t="str">
        <f>IF(BA432="","",IFERROR(INDEX(wKS2,363)+0,""))</f>
        <v/>
      </c>
      <c r="BE432" t="str">
        <f>IF(BA432="","",IFERROR(INDEX(wTests,363)+0,0))</f>
        <v/>
      </c>
      <c r="BF432" t="str">
        <f>IF(BA432="","",IFERROR(INDEX(wMean,363)+0,""))</f>
        <v/>
      </c>
      <c r="BG432" t="str">
        <f>IF(BA432="","",IFERROR(INDEX(wVs,363)+0,""))</f>
        <v/>
      </c>
      <c r="BH432" t="str">
        <f>IF(OR(BA432="",wLatest=""),"",IFERROR(INDEX(wData,363,MATCH(wLatest&amp;CHAR(10)&amp;"Stanine",wHdr,0))+0,""))</f>
        <v/>
      </c>
      <c r="BI432" t="str">
        <f>IF(BA432="","",IF(AND(ISNUMBER(BG432),N(BE432)&gt;=WlMinTests,BG432&lt;=-WlGap),"Below KS2 starting point",IF(AND(NOT(ISNUMBER(BD432)),ISNUMBER(BF432),N(BE432)&gt;=WlMinTests,BF432&lt;=WlLowMean),"Low results, no KS2 data","")))</f>
        <v/>
      </c>
      <c r="BJ432" t="str">
        <f>IF(BI432="","",IF(BI432="Below KS2 starting point",BG432,100+BF432)+ROW()/1000000)</f>
        <v/>
      </c>
    </row>
    <row r="433">
      <c r="H433" t="str">
        <f>IFERROR(INDEX(tblY7[Class],ROWS(H$10:H433))&amp;"","")</f>
        <v/>
      </c>
      <c r="I433" t="str">
        <f>IF(H433="","",IF(COUNTIF(H$10:H433,H433)=1,COUNTIF(H$10:H$609,"&lt;"&amp;H433)+1,""))</f>
        <v/>
      </c>
      <c r="J433" t="str">
        <f>IFERROR(INDEX(tblY8[Class],ROWS(J$10:J433))&amp;"","")</f>
        <v/>
      </c>
      <c r="K433" t="str">
        <f>IF(J433="","",IF(COUNTIF(J$10:J433,J433)=1,COUNTIF(J$10:J$609,"&lt;"&amp;J433)+1,""))</f>
        <v/>
      </c>
      <c r="L433" t="str">
        <f>IFERROR(INDEX(tblY9[Class],ROWS(L$10:L433))&amp;"","")</f>
        <v/>
      </c>
      <c r="M433" t="str">
        <f>IF(L433="","",IF(COUNTIF(L$10:L433,L433)=1,COUNTIF(L$10:L$609,"&lt;"&amp;L433)+1,""))</f>
        <v/>
      </c>
      <c r="N433" t="str">
        <f>IFERROR(INDEX(tblY10[Class],ROWS(N$10:N433))&amp;"","")</f>
        <v/>
      </c>
      <c r="O433" t="str">
        <f>IF(N433="","",IF(COUNTIF(N$10:N433,N433)=1,COUNTIF(N$10:N$609,"&lt;"&amp;N433)+1,""))</f>
        <v/>
      </c>
      <c r="P433" t="str">
        <f>IFERROR(INDEX(tblY11[Class],ROWS(P$10:P433))&amp;"","")</f>
        <v/>
      </c>
      <c r="Q433" t="str">
        <f>IF(P433="","",IF(COUNTIF(P$10:P433,P433)=1,COUNTIF(P$10:P$609,"&lt;"&amp;P433)+1,""))</f>
        <v/>
      </c>
      <c r="BA433" t="str">
        <f>IFERROR(INDEX(wLast,364)&amp;"","")</f>
        <v/>
      </c>
      <c r="BB433" t="str">
        <f>IF(BA433="","",IFERROR(INDEX(wFirst,364)&amp;"",""))</f>
        <v/>
      </c>
      <c r="BC433" t="str">
        <f>IF(BA433="","",IFERROR(INDEX(wClass,364)&amp;"",""))</f>
        <v/>
      </c>
      <c r="BD433" t="str">
        <f>IF(BA433="","",IFERROR(INDEX(wKS2,364)+0,""))</f>
        <v/>
      </c>
      <c r="BE433" t="str">
        <f>IF(BA433="","",IFERROR(INDEX(wTests,364)+0,0))</f>
        <v/>
      </c>
      <c r="BF433" t="str">
        <f>IF(BA433="","",IFERROR(INDEX(wMean,364)+0,""))</f>
        <v/>
      </c>
      <c r="BG433" t="str">
        <f>IF(BA433="","",IFERROR(INDEX(wVs,364)+0,""))</f>
        <v/>
      </c>
      <c r="BH433" t="str">
        <f>IF(OR(BA433="",wLatest=""),"",IFERROR(INDEX(wData,364,MATCH(wLatest&amp;CHAR(10)&amp;"Stanine",wHdr,0))+0,""))</f>
        <v/>
      </c>
      <c r="BI433" t="str">
        <f>IF(BA433="","",IF(AND(ISNUMBER(BG433),N(BE433)&gt;=WlMinTests,BG433&lt;=-WlGap),"Below KS2 starting point",IF(AND(NOT(ISNUMBER(BD433)),ISNUMBER(BF433),N(BE433)&gt;=WlMinTests,BF433&lt;=WlLowMean),"Low results, no KS2 data","")))</f>
        <v/>
      </c>
      <c r="BJ433" t="str">
        <f>IF(BI433="","",IF(BI433="Below KS2 starting point",BG433,100+BF433)+ROW()/1000000)</f>
        <v/>
      </c>
    </row>
    <row r="434">
      <c r="H434" t="str">
        <f>IFERROR(INDEX(tblY7[Class],ROWS(H$10:H434))&amp;"","")</f>
        <v/>
      </c>
      <c r="I434" t="str">
        <f>IF(H434="","",IF(COUNTIF(H$10:H434,H434)=1,COUNTIF(H$10:H$609,"&lt;"&amp;H434)+1,""))</f>
        <v/>
      </c>
      <c r="J434" t="str">
        <f>IFERROR(INDEX(tblY8[Class],ROWS(J$10:J434))&amp;"","")</f>
        <v/>
      </c>
      <c r="K434" t="str">
        <f>IF(J434="","",IF(COUNTIF(J$10:J434,J434)=1,COUNTIF(J$10:J$609,"&lt;"&amp;J434)+1,""))</f>
        <v/>
      </c>
      <c r="L434" t="str">
        <f>IFERROR(INDEX(tblY9[Class],ROWS(L$10:L434))&amp;"","")</f>
        <v/>
      </c>
      <c r="M434" t="str">
        <f>IF(L434="","",IF(COUNTIF(L$10:L434,L434)=1,COUNTIF(L$10:L$609,"&lt;"&amp;L434)+1,""))</f>
        <v/>
      </c>
      <c r="N434" t="str">
        <f>IFERROR(INDEX(tblY10[Class],ROWS(N$10:N434))&amp;"","")</f>
        <v/>
      </c>
      <c r="O434" t="str">
        <f>IF(N434="","",IF(COUNTIF(N$10:N434,N434)=1,COUNTIF(N$10:N$609,"&lt;"&amp;N434)+1,""))</f>
        <v/>
      </c>
      <c r="P434" t="str">
        <f>IFERROR(INDEX(tblY11[Class],ROWS(P$10:P434))&amp;"","")</f>
        <v/>
      </c>
      <c r="Q434" t="str">
        <f>IF(P434="","",IF(COUNTIF(P$10:P434,P434)=1,COUNTIF(P$10:P$609,"&lt;"&amp;P434)+1,""))</f>
        <v/>
      </c>
      <c r="BA434" t="str">
        <f>IFERROR(INDEX(wLast,365)&amp;"","")</f>
        <v/>
      </c>
      <c r="BB434" t="str">
        <f>IF(BA434="","",IFERROR(INDEX(wFirst,365)&amp;"",""))</f>
        <v/>
      </c>
      <c r="BC434" t="str">
        <f>IF(BA434="","",IFERROR(INDEX(wClass,365)&amp;"",""))</f>
        <v/>
      </c>
      <c r="BD434" t="str">
        <f>IF(BA434="","",IFERROR(INDEX(wKS2,365)+0,""))</f>
        <v/>
      </c>
      <c r="BE434" t="str">
        <f>IF(BA434="","",IFERROR(INDEX(wTests,365)+0,0))</f>
        <v/>
      </c>
      <c r="BF434" t="str">
        <f>IF(BA434="","",IFERROR(INDEX(wMean,365)+0,""))</f>
        <v/>
      </c>
      <c r="BG434" t="str">
        <f>IF(BA434="","",IFERROR(INDEX(wVs,365)+0,""))</f>
        <v/>
      </c>
      <c r="BH434" t="str">
        <f>IF(OR(BA434="",wLatest=""),"",IFERROR(INDEX(wData,365,MATCH(wLatest&amp;CHAR(10)&amp;"Stanine",wHdr,0))+0,""))</f>
        <v/>
      </c>
      <c r="BI434" t="str">
        <f>IF(BA434="","",IF(AND(ISNUMBER(BG434),N(BE434)&gt;=WlMinTests,BG434&lt;=-WlGap),"Below KS2 starting point",IF(AND(NOT(ISNUMBER(BD434)),ISNUMBER(BF434),N(BE434)&gt;=WlMinTests,BF434&lt;=WlLowMean),"Low results, no KS2 data","")))</f>
        <v/>
      </c>
      <c r="BJ434" t="str">
        <f>IF(BI434="","",IF(BI434="Below KS2 starting point",BG434,100+BF434)+ROW()/1000000)</f>
        <v/>
      </c>
    </row>
    <row r="435">
      <c r="H435" t="str">
        <f>IFERROR(INDEX(tblY7[Class],ROWS(H$10:H435))&amp;"","")</f>
        <v/>
      </c>
      <c r="I435" t="str">
        <f>IF(H435="","",IF(COUNTIF(H$10:H435,H435)=1,COUNTIF(H$10:H$609,"&lt;"&amp;H435)+1,""))</f>
        <v/>
      </c>
      <c r="J435" t="str">
        <f>IFERROR(INDEX(tblY8[Class],ROWS(J$10:J435))&amp;"","")</f>
        <v/>
      </c>
      <c r="K435" t="str">
        <f>IF(J435="","",IF(COUNTIF(J$10:J435,J435)=1,COUNTIF(J$10:J$609,"&lt;"&amp;J435)+1,""))</f>
        <v/>
      </c>
      <c r="L435" t="str">
        <f>IFERROR(INDEX(tblY9[Class],ROWS(L$10:L435))&amp;"","")</f>
        <v/>
      </c>
      <c r="M435" t="str">
        <f>IF(L435="","",IF(COUNTIF(L$10:L435,L435)=1,COUNTIF(L$10:L$609,"&lt;"&amp;L435)+1,""))</f>
        <v/>
      </c>
      <c r="N435" t="str">
        <f>IFERROR(INDEX(tblY10[Class],ROWS(N$10:N435))&amp;"","")</f>
        <v/>
      </c>
      <c r="O435" t="str">
        <f>IF(N435="","",IF(COUNTIF(N$10:N435,N435)=1,COUNTIF(N$10:N$609,"&lt;"&amp;N435)+1,""))</f>
        <v/>
      </c>
      <c r="P435" t="str">
        <f>IFERROR(INDEX(tblY11[Class],ROWS(P$10:P435))&amp;"","")</f>
        <v/>
      </c>
      <c r="Q435" t="str">
        <f>IF(P435="","",IF(COUNTIF(P$10:P435,P435)=1,COUNTIF(P$10:P$609,"&lt;"&amp;P435)+1,""))</f>
        <v/>
      </c>
      <c r="BA435" t="str">
        <f>IFERROR(INDEX(wLast,366)&amp;"","")</f>
        <v/>
      </c>
      <c r="BB435" t="str">
        <f>IF(BA435="","",IFERROR(INDEX(wFirst,366)&amp;"",""))</f>
        <v/>
      </c>
      <c r="BC435" t="str">
        <f>IF(BA435="","",IFERROR(INDEX(wClass,366)&amp;"",""))</f>
        <v/>
      </c>
      <c r="BD435" t="str">
        <f>IF(BA435="","",IFERROR(INDEX(wKS2,366)+0,""))</f>
        <v/>
      </c>
      <c r="BE435" t="str">
        <f>IF(BA435="","",IFERROR(INDEX(wTests,366)+0,0))</f>
        <v/>
      </c>
      <c r="BF435" t="str">
        <f>IF(BA435="","",IFERROR(INDEX(wMean,366)+0,""))</f>
        <v/>
      </c>
      <c r="BG435" t="str">
        <f>IF(BA435="","",IFERROR(INDEX(wVs,366)+0,""))</f>
        <v/>
      </c>
      <c r="BH435" t="str">
        <f>IF(OR(BA435="",wLatest=""),"",IFERROR(INDEX(wData,366,MATCH(wLatest&amp;CHAR(10)&amp;"Stanine",wHdr,0))+0,""))</f>
        <v/>
      </c>
      <c r="BI435" t="str">
        <f>IF(BA435="","",IF(AND(ISNUMBER(BG435),N(BE435)&gt;=WlMinTests,BG435&lt;=-WlGap),"Below KS2 starting point",IF(AND(NOT(ISNUMBER(BD435)),ISNUMBER(BF435),N(BE435)&gt;=WlMinTests,BF435&lt;=WlLowMean),"Low results, no KS2 data","")))</f>
        <v/>
      </c>
      <c r="BJ435" t="str">
        <f>IF(BI435="","",IF(BI435="Below KS2 starting point",BG435,100+BF435)+ROW()/1000000)</f>
        <v/>
      </c>
    </row>
    <row r="436">
      <c r="H436" t="str">
        <f>IFERROR(INDEX(tblY7[Class],ROWS(H$10:H436))&amp;"","")</f>
        <v/>
      </c>
      <c r="I436" t="str">
        <f>IF(H436="","",IF(COUNTIF(H$10:H436,H436)=1,COUNTIF(H$10:H$609,"&lt;"&amp;H436)+1,""))</f>
        <v/>
      </c>
      <c r="J436" t="str">
        <f>IFERROR(INDEX(tblY8[Class],ROWS(J$10:J436))&amp;"","")</f>
        <v/>
      </c>
      <c r="K436" t="str">
        <f>IF(J436="","",IF(COUNTIF(J$10:J436,J436)=1,COUNTIF(J$10:J$609,"&lt;"&amp;J436)+1,""))</f>
        <v/>
      </c>
      <c r="L436" t="str">
        <f>IFERROR(INDEX(tblY9[Class],ROWS(L$10:L436))&amp;"","")</f>
        <v/>
      </c>
      <c r="M436" t="str">
        <f>IF(L436="","",IF(COUNTIF(L$10:L436,L436)=1,COUNTIF(L$10:L$609,"&lt;"&amp;L436)+1,""))</f>
        <v/>
      </c>
      <c r="N436" t="str">
        <f>IFERROR(INDEX(tblY10[Class],ROWS(N$10:N436))&amp;"","")</f>
        <v/>
      </c>
      <c r="O436" t="str">
        <f>IF(N436="","",IF(COUNTIF(N$10:N436,N436)=1,COUNTIF(N$10:N$609,"&lt;"&amp;N436)+1,""))</f>
        <v/>
      </c>
      <c r="P436" t="str">
        <f>IFERROR(INDEX(tblY11[Class],ROWS(P$10:P436))&amp;"","")</f>
        <v/>
      </c>
      <c r="Q436" t="str">
        <f>IF(P436="","",IF(COUNTIF(P$10:P436,P436)=1,COUNTIF(P$10:P$609,"&lt;"&amp;P436)+1,""))</f>
        <v/>
      </c>
      <c r="BA436" t="str">
        <f>IFERROR(INDEX(wLast,367)&amp;"","")</f>
        <v/>
      </c>
      <c r="BB436" t="str">
        <f>IF(BA436="","",IFERROR(INDEX(wFirst,367)&amp;"",""))</f>
        <v/>
      </c>
      <c r="BC436" t="str">
        <f>IF(BA436="","",IFERROR(INDEX(wClass,367)&amp;"",""))</f>
        <v/>
      </c>
      <c r="BD436" t="str">
        <f>IF(BA436="","",IFERROR(INDEX(wKS2,367)+0,""))</f>
        <v/>
      </c>
      <c r="BE436" t="str">
        <f>IF(BA436="","",IFERROR(INDEX(wTests,367)+0,0))</f>
        <v/>
      </c>
      <c r="BF436" t="str">
        <f>IF(BA436="","",IFERROR(INDEX(wMean,367)+0,""))</f>
        <v/>
      </c>
      <c r="BG436" t="str">
        <f>IF(BA436="","",IFERROR(INDEX(wVs,367)+0,""))</f>
        <v/>
      </c>
      <c r="BH436" t="str">
        <f>IF(OR(BA436="",wLatest=""),"",IFERROR(INDEX(wData,367,MATCH(wLatest&amp;CHAR(10)&amp;"Stanine",wHdr,0))+0,""))</f>
        <v/>
      </c>
      <c r="BI436" t="str">
        <f>IF(BA436="","",IF(AND(ISNUMBER(BG436),N(BE436)&gt;=WlMinTests,BG436&lt;=-WlGap),"Below KS2 starting point",IF(AND(NOT(ISNUMBER(BD436)),ISNUMBER(BF436),N(BE436)&gt;=WlMinTests,BF436&lt;=WlLowMean),"Low results, no KS2 data","")))</f>
        <v/>
      </c>
      <c r="BJ436" t="str">
        <f>IF(BI436="","",IF(BI436="Below KS2 starting point",BG436,100+BF436)+ROW()/1000000)</f>
        <v/>
      </c>
    </row>
    <row r="437">
      <c r="H437" t="str">
        <f>IFERROR(INDEX(tblY7[Class],ROWS(H$10:H437))&amp;"","")</f>
        <v/>
      </c>
      <c r="I437" t="str">
        <f>IF(H437="","",IF(COUNTIF(H$10:H437,H437)=1,COUNTIF(H$10:H$609,"&lt;"&amp;H437)+1,""))</f>
        <v/>
      </c>
      <c r="J437" t="str">
        <f>IFERROR(INDEX(tblY8[Class],ROWS(J$10:J437))&amp;"","")</f>
        <v/>
      </c>
      <c r="K437" t="str">
        <f>IF(J437="","",IF(COUNTIF(J$10:J437,J437)=1,COUNTIF(J$10:J$609,"&lt;"&amp;J437)+1,""))</f>
        <v/>
      </c>
      <c r="L437" t="str">
        <f>IFERROR(INDEX(tblY9[Class],ROWS(L$10:L437))&amp;"","")</f>
        <v/>
      </c>
      <c r="M437" t="str">
        <f>IF(L437="","",IF(COUNTIF(L$10:L437,L437)=1,COUNTIF(L$10:L$609,"&lt;"&amp;L437)+1,""))</f>
        <v/>
      </c>
      <c r="N437" t="str">
        <f>IFERROR(INDEX(tblY10[Class],ROWS(N$10:N437))&amp;"","")</f>
        <v/>
      </c>
      <c r="O437" t="str">
        <f>IF(N437="","",IF(COUNTIF(N$10:N437,N437)=1,COUNTIF(N$10:N$609,"&lt;"&amp;N437)+1,""))</f>
        <v/>
      </c>
      <c r="P437" t="str">
        <f>IFERROR(INDEX(tblY11[Class],ROWS(P$10:P437))&amp;"","")</f>
        <v/>
      </c>
      <c r="Q437" t="str">
        <f>IF(P437="","",IF(COUNTIF(P$10:P437,P437)=1,COUNTIF(P$10:P$609,"&lt;"&amp;P437)+1,""))</f>
        <v/>
      </c>
      <c r="BA437" t="str">
        <f>IFERROR(INDEX(wLast,368)&amp;"","")</f>
        <v/>
      </c>
      <c r="BB437" t="str">
        <f>IF(BA437="","",IFERROR(INDEX(wFirst,368)&amp;"",""))</f>
        <v/>
      </c>
      <c r="BC437" t="str">
        <f>IF(BA437="","",IFERROR(INDEX(wClass,368)&amp;"",""))</f>
        <v/>
      </c>
      <c r="BD437" t="str">
        <f>IF(BA437="","",IFERROR(INDEX(wKS2,368)+0,""))</f>
        <v/>
      </c>
      <c r="BE437" t="str">
        <f>IF(BA437="","",IFERROR(INDEX(wTests,368)+0,0))</f>
        <v/>
      </c>
      <c r="BF437" t="str">
        <f>IF(BA437="","",IFERROR(INDEX(wMean,368)+0,""))</f>
        <v/>
      </c>
      <c r="BG437" t="str">
        <f>IF(BA437="","",IFERROR(INDEX(wVs,368)+0,""))</f>
        <v/>
      </c>
      <c r="BH437" t="str">
        <f>IF(OR(BA437="",wLatest=""),"",IFERROR(INDEX(wData,368,MATCH(wLatest&amp;CHAR(10)&amp;"Stanine",wHdr,0))+0,""))</f>
        <v/>
      </c>
      <c r="BI437" t="str">
        <f>IF(BA437="","",IF(AND(ISNUMBER(BG437),N(BE437)&gt;=WlMinTests,BG437&lt;=-WlGap),"Below KS2 starting point",IF(AND(NOT(ISNUMBER(BD437)),ISNUMBER(BF437),N(BE437)&gt;=WlMinTests,BF437&lt;=WlLowMean),"Low results, no KS2 data","")))</f>
        <v/>
      </c>
      <c r="BJ437" t="str">
        <f>IF(BI437="","",IF(BI437="Below KS2 starting point",BG437,100+BF437)+ROW()/1000000)</f>
        <v/>
      </c>
    </row>
    <row r="438">
      <c r="H438" t="str">
        <f>IFERROR(INDEX(tblY7[Class],ROWS(H$10:H438))&amp;"","")</f>
        <v/>
      </c>
      <c r="I438" t="str">
        <f>IF(H438="","",IF(COUNTIF(H$10:H438,H438)=1,COUNTIF(H$10:H$609,"&lt;"&amp;H438)+1,""))</f>
        <v/>
      </c>
      <c r="J438" t="str">
        <f>IFERROR(INDEX(tblY8[Class],ROWS(J$10:J438))&amp;"","")</f>
        <v/>
      </c>
      <c r="K438" t="str">
        <f>IF(J438="","",IF(COUNTIF(J$10:J438,J438)=1,COUNTIF(J$10:J$609,"&lt;"&amp;J438)+1,""))</f>
        <v/>
      </c>
      <c r="L438" t="str">
        <f>IFERROR(INDEX(tblY9[Class],ROWS(L$10:L438))&amp;"","")</f>
        <v/>
      </c>
      <c r="M438" t="str">
        <f>IF(L438="","",IF(COUNTIF(L$10:L438,L438)=1,COUNTIF(L$10:L$609,"&lt;"&amp;L438)+1,""))</f>
        <v/>
      </c>
      <c r="N438" t="str">
        <f>IFERROR(INDEX(tblY10[Class],ROWS(N$10:N438))&amp;"","")</f>
        <v/>
      </c>
      <c r="O438" t="str">
        <f>IF(N438="","",IF(COUNTIF(N$10:N438,N438)=1,COUNTIF(N$10:N$609,"&lt;"&amp;N438)+1,""))</f>
        <v/>
      </c>
      <c r="P438" t="str">
        <f>IFERROR(INDEX(tblY11[Class],ROWS(P$10:P438))&amp;"","")</f>
        <v/>
      </c>
      <c r="Q438" t="str">
        <f>IF(P438="","",IF(COUNTIF(P$10:P438,P438)=1,COUNTIF(P$10:P$609,"&lt;"&amp;P438)+1,""))</f>
        <v/>
      </c>
      <c r="BA438" t="str">
        <f>IFERROR(INDEX(wLast,369)&amp;"","")</f>
        <v/>
      </c>
      <c r="BB438" t="str">
        <f>IF(BA438="","",IFERROR(INDEX(wFirst,369)&amp;"",""))</f>
        <v/>
      </c>
      <c r="BC438" t="str">
        <f>IF(BA438="","",IFERROR(INDEX(wClass,369)&amp;"",""))</f>
        <v/>
      </c>
      <c r="BD438" t="str">
        <f>IF(BA438="","",IFERROR(INDEX(wKS2,369)+0,""))</f>
        <v/>
      </c>
      <c r="BE438" t="str">
        <f>IF(BA438="","",IFERROR(INDEX(wTests,369)+0,0))</f>
        <v/>
      </c>
      <c r="BF438" t="str">
        <f>IF(BA438="","",IFERROR(INDEX(wMean,369)+0,""))</f>
        <v/>
      </c>
      <c r="BG438" t="str">
        <f>IF(BA438="","",IFERROR(INDEX(wVs,369)+0,""))</f>
        <v/>
      </c>
      <c r="BH438" t="str">
        <f>IF(OR(BA438="",wLatest=""),"",IFERROR(INDEX(wData,369,MATCH(wLatest&amp;CHAR(10)&amp;"Stanine",wHdr,0))+0,""))</f>
        <v/>
      </c>
      <c r="BI438" t="str">
        <f>IF(BA438="","",IF(AND(ISNUMBER(BG438),N(BE438)&gt;=WlMinTests,BG438&lt;=-WlGap),"Below KS2 starting point",IF(AND(NOT(ISNUMBER(BD438)),ISNUMBER(BF438),N(BE438)&gt;=WlMinTests,BF438&lt;=WlLowMean),"Low results, no KS2 data","")))</f>
        <v/>
      </c>
      <c r="BJ438" t="str">
        <f>IF(BI438="","",IF(BI438="Below KS2 starting point",BG438,100+BF438)+ROW()/1000000)</f>
        <v/>
      </c>
    </row>
    <row r="439">
      <c r="H439" t="str">
        <f>IFERROR(INDEX(tblY7[Class],ROWS(H$10:H439))&amp;"","")</f>
        <v/>
      </c>
      <c r="I439" t="str">
        <f>IF(H439="","",IF(COUNTIF(H$10:H439,H439)=1,COUNTIF(H$10:H$609,"&lt;"&amp;H439)+1,""))</f>
        <v/>
      </c>
      <c r="J439" t="str">
        <f>IFERROR(INDEX(tblY8[Class],ROWS(J$10:J439))&amp;"","")</f>
        <v/>
      </c>
      <c r="K439" t="str">
        <f>IF(J439="","",IF(COUNTIF(J$10:J439,J439)=1,COUNTIF(J$10:J$609,"&lt;"&amp;J439)+1,""))</f>
        <v/>
      </c>
      <c r="L439" t="str">
        <f>IFERROR(INDEX(tblY9[Class],ROWS(L$10:L439))&amp;"","")</f>
        <v/>
      </c>
      <c r="M439" t="str">
        <f>IF(L439="","",IF(COUNTIF(L$10:L439,L439)=1,COUNTIF(L$10:L$609,"&lt;"&amp;L439)+1,""))</f>
        <v/>
      </c>
      <c r="N439" t="str">
        <f>IFERROR(INDEX(tblY10[Class],ROWS(N$10:N439))&amp;"","")</f>
        <v/>
      </c>
      <c r="O439" t="str">
        <f>IF(N439="","",IF(COUNTIF(N$10:N439,N439)=1,COUNTIF(N$10:N$609,"&lt;"&amp;N439)+1,""))</f>
        <v/>
      </c>
      <c r="P439" t="str">
        <f>IFERROR(INDEX(tblY11[Class],ROWS(P$10:P439))&amp;"","")</f>
        <v/>
      </c>
      <c r="Q439" t="str">
        <f>IF(P439="","",IF(COUNTIF(P$10:P439,P439)=1,COUNTIF(P$10:P$609,"&lt;"&amp;P439)+1,""))</f>
        <v/>
      </c>
      <c r="BA439" t="str">
        <f>IFERROR(INDEX(wLast,370)&amp;"","")</f>
        <v/>
      </c>
      <c r="BB439" t="str">
        <f>IF(BA439="","",IFERROR(INDEX(wFirst,370)&amp;"",""))</f>
        <v/>
      </c>
      <c r="BC439" t="str">
        <f>IF(BA439="","",IFERROR(INDEX(wClass,370)&amp;"",""))</f>
        <v/>
      </c>
      <c r="BD439" t="str">
        <f>IF(BA439="","",IFERROR(INDEX(wKS2,370)+0,""))</f>
        <v/>
      </c>
      <c r="BE439" t="str">
        <f>IF(BA439="","",IFERROR(INDEX(wTests,370)+0,0))</f>
        <v/>
      </c>
      <c r="BF439" t="str">
        <f>IF(BA439="","",IFERROR(INDEX(wMean,370)+0,""))</f>
        <v/>
      </c>
      <c r="BG439" t="str">
        <f>IF(BA439="","",IFERROR(INDEX(wVs,370)+0,""))</f>
        <v/>
      </c>
      <c r="BH439" t="str">
        <f>IF(OR(BA439="",wLatest=""),"",IFERROR(INDEX(wData,370,MATCH(wLatest&amp;CHAR(10)&amp;"Stanine",wHdr,0))+0,""))</f>
        <v/>
      </c>
      <c r="BI439" t="str">
        <f>IF(BA439="","",IF(AND(ISNUMBER(BG439),N(BE439)&gt;=WlMinTests,BG439&lt;=-WlGap),"Below KS2 starting point",IF(AND(NOT(ISNUMBER(BD439)),ISNUMBER(BF439),N(BE439)&gt;=WlMinTests,BF439&lt;=WlLowMean),"Low results, no KS2 data","")))</f>
        <v/>
      </c>
      <c r="BJ439" t="str">
        <f>IF(BI439="","",IF(BI439="Below KS2 starting point",BG439,100+BF439)+ROW()/1000000)</f>
        <v/>
      </c>
    </row>
    <row r="440">
      <c r="H440" t="str">
        <f>IFERROR(INDEX(tblY7[Class],ROWS(H$10:H440))&amp;"","")</f>
        <v/>
      </c>
      <c r="I440" t="str">
        <f>IF(H440="","",IF(COUNTIF(H$10:H440,H440)=1,COUNTIF(H$10:H$609,"&lt;"&amp;H440)+1,""))</f>
        <v/>
      </c>
      <c r="J440" t="str">
        <f>IFERROR(INDEX(tblY8[Class],ROWS(J$10:J440))&amp;"","")</f>
        <v/>
      </c>
      <c r="K440" t="str">
        <f>IF(J440="","",IF(COUNTIF(J$10:J440,J440)=1,COUNTIF(J$10:J$609,"&lt;"&amp;J440)+1,""))</f>
        <v/>
      </c>
      <c r="L440" t="str">
        <f>IFERROR(INDEX(tblY9[Class],ROWS(L$10:L440))&amp;"","")</f>
        <v/>
      </c>
      <c r="M440" t="str">
        <f>IF(L440="","",IF(COUNTIF(L$10:L440,L440)=1,COUNTIF(L$10:L$609,"&lt;"&amp;L440)+1,""))</f>
        <v/>
      </c>
      <c r="N440" t="str">
        <f>IFERROR(INDEX(tblY10[Class],ROWS(N$10:N440))&amp;"","")</f>
        <v/>
      </c>
      <c r="O440" t="str">
        <f>IF(N440="","",IF(COUNTIF(N$10:N440,N440)=1,COUNTIF(N$10:N$609,"&lt;"&amp;N440)+1,""))</f>
        <v/>
      </c>
      <c r="P440" t="str">
        <f>IFERROR(INDEX(tblY11[Class],ROWS(P$10:P440))&amp;"","")</f>
        <v/>
      </c>
      <c r="Q440" t="str">
        <f>IF(P440="","",IF(COUNTIF(P$10:P440,P440)=1,COUNTIF(P$10:P$609,"&lt;"&amp;P440)+1,""))</f>
        <v/>
      </c>
      <c r="BA440" t="str">
        <f>IFERROR(INDEX(wLast,371)&amp;"","")</f>
        <v/>
      </c>
      <c r="BB440" t="str">
        <f>IF(BA440="","",IFERROR(INDEX(wFirst,371)&amp;"",""))</f>
        <v/>
      </c>
      <c r="BC440" t="str">
        <f>IF(BA440="","",IFERROR(INDEX(wClass,371)&amp;"",""))</f>
        <v/>
      </c>
      <c r="BD440" t="str">
        <f>IF(BA440="","",IFERROR(INDEX(wKS2,371)+0,""))</f>
        <v/>
      </c>
      <c r="BE440" t="str">
        <f>IF(BA440="","",IFERROR(INDEX(wTests,371)+0,0))</f>
        <v/>
      </c>
      <c r="BF440" t="str">
        <f>IF(BA440="","",IFERROR(INDEX(wMean,371)+0,""))</f>
        <v/>
      </c>
      <c r="BG440" t="str">
        <f>IF(BA440="","",IFERROR(INDEX(wVs,371)+0,""))</f>
        <v/>
      </c>
      <c r="BH440" t="str">
        <f>IF(OR(BA440="",wLatest=""),"",IFERROR(INDEX(wData,371,MATCH(wLatest&amp;CHAR(10)&amp;"Stanine",wHdr,0))+0,""))</f>
        <v/>
      </c>
      <c r="BI440" t="str">
        <f>IF(BA440="","",IF(AND(ISNUMBER(BG440),N(BE440)&gt;=WlMinTests,BG440&lt;=-WlGap),"Below KS2 starting point",IF(AND(NOT(ISNUMBER(BD440)),ISNUMBER(BF440),N(BE440)&gt;=WlMinTests,BF440&lt;=WlLowMean),"Low results, no KS2 data","")))</f>
        <v/>
      </c>
      <c r="BJ440" t="str">
        <f>IF(BI440="","",IF(BI440="Below KS2 starting point",BG440,100+BF440)+ROW()/1000000)</f>
        <v/>
      </c>
    </row>
    <row r="441">
      <c r="H441" t="str">
        <f>IFERROR(INDEX(tblY7[Class],ROWS(H$10:H441))&amp;"","")</f>
        <v/>
      </c>
      <c r="I441" t="str">
        <f>IF(H441="","",IF(COUNTIF(H$10:H441,H441)=1,COUNTIF(H$10:H$609,"&lt;"&amp;H441)+1,""))</f>
        <v/>
      </c>
      <c r="J441" t="str">
        <f>IFERROR(INDEX(tblY8[Class],ROWS(J$10:J441))&amp;"","")</f>
        <v/>
      </c>
      <c r="K441" t="str">
        <f>IF(J441="","",IF(COUNTIF(J$10:J441,J441)=1,COUNTIF(J$10:J$609,"&lt;"&amp;J441)+1,""))</f>
        <v/>
      </c>
      <c r="L441" t="str">
        <f>IFERROR(INDEX(tblY9[Class],ROWS(L$10:L441))&amp;"","")</f>
        <v/>
      </c>
      <c r="M441" t="str">
        <f>IF(L441="","",IF(COUNTIF(L$10:L441,L441)=1,COUNTIF(L$10:L$609,"&lt;"&amp;L441)+1,""))</f>
        <v/>
      </c>
      <c r="N441" t="str">
        <f>IFERROR(INDEX(tblY10[Class],ROWS(N$10:N441))&amp;"","")</f>
        <v/>
      </c>
      <c r="O441" t="str">
        <f>IF(N441="","",IF(COUNTIF(N$10:N441,N441)=1,COUNTIF(N$10:N$609,"&lt;"&amp;N441)+1,""))</f>
        <v/>
      </c>
      <c r="P441" t="str">
        <f>IFERROR(INDEX(tblY11[Class],ROWS(P$10:P441))&amp;"","")</f>
        <v/>
      </c>
      <c r="Q441" t="str">
        <f>IF(P441="","",IF(COUNTIF(P$10:P441,P441)=1,COUNTIF(P$10:P$609,"&lt;"&amp;P441)+1,""))</f>
        <v/>
      </c>
      <c r="BA441" t="str">
        <f>IFERROR(INDEX(wLast,372)&amp;"","")</f>
        <v/>
      </c>
      <c r="BB441" t="str">
        <f>IF(BA441="","",IFERROR(INDEX(wFirst,372)&amp;"",""))</f>
        <v/>
      </c>
      <c r="BC441" t="str">
        <f>IF(BA441="","",IFERROR(INDEX(wClass,372)&amp;"",""))</f>
        <v/>
      </c>
      <c r="BD441" t="str">
        <f>IF(BA441="","",IFERROR(INDEX(wKS2,372)+0,""))</f>
        <v/>
      </c>
      <c r="BE441" t="str">
        <f>IF(BA441="","",IFERROR(INDEX(wTests,372)+0,0))</f>
        <v/>
      </c>
      <c r="BF441" t="str">
        <f>IF(BA441="","",IFERROR(INDEX(wMean,372)+0,""))</f>
        <v/>
      </c>
      <c r="BG441" t="str">
        <f>IF(BA441="","",IFERROR(INDEX(wVs,372)+0,""))</f>
        <v/>
      </c>
      <c r="BH441" t="str">
        <f>IF(OR(BA441="",wLatest=""),"",IFERROR(INDEX(wData,372,MATCH(wLatest&amp;CHAR(10)&amp;"Stanine",wHdr,0))+0,""))</f>
        <v/>
      </c>
      <c r="BI441" t="str">
        <f>IF(BA441="","",IF(AND(ISNUMBER(BG441),N(BE441)&gt;=WlMinTests,BG441&lt;=-WlGap),"Below KS2 starting point",IF(AND(NOT(ISNUMBER(BD441)),ISNUMBER(BF441),N(BE441)&gt;=WlMinTests,BF441&lt;=WlLowMean),"Low results, no KS2 data","")))</f>
        <v/>
      </c>
      <c r="BJ441" t="str">
        <f>IF(BI441="","",IF(BI441="Below KS2 starting point",BG441,100+BF441)+ROW()/1000000)</f>
        <v/>
      </c>
    </row>
    <row r="442">
      <c r="H442" t="str">
        <f>IFERROR(INDEX(tblY7[Class],ROWS(H$10:H442))&amp;"","")</f>
        <v/>
      </c>
      <c r="I442" t="str">
        <f>IF(H442="","",IF(COUNTIF(H$10:H442,H442)=1,COUNTIF(H$10:H$609,"&lt;"&amp;H442)+1,""))</f>
        <v/>
      </c>
      <c r="J442" t="str">
        <f>IFERROR(INDEX(tblY8[Class],ROWS(J$10:J442))&amp;"","")</f>
        <v/>
      </c>
      <c r="K442" t="str">
        <f>IF(J442="","",IF(COUNTIF(J$10:J442,J442)=1,COUNTIF(J$10:J$609,"&lt;"&amp;J442)+1,""))</f>
        <v/>
      </c>
      <c r="L442" t="str">
        <f>IFERROR(INDEX(tblY9[Class],ROWS(L$10:L442))&amp;"","")</f>
        <v/>
      </c>
      <c r="M442" t="str">
        <f>IF(L442="","",IF(COUNTIF(L$10:L442,L442)=1,COUNTIF(L$10:L$609,"&lt;"&amp;L442)+1,""))</f>
        <v/>
      </c>
      <c r="N442" t="str">
        <f>IFERROR(INDEX(tblY10[Class],ROWS(N$10:N442))&amp;"","")</f>
        <v/>
      </c>
      <c r="O442" t="str">
        <f>IF(N442="","",IF(COUNTIF(N$10:N442,N442)=1,COUNTIF(N$10:N$609,"&lt;"&amp;N442)+1,""))</f>
        <v/>
      </c>
      <c r="P442" t="str">
        <f>IFERROR(INDEX(tblY11[Class],ROWS(P$10:P442))&amp;"","")</f>
        <v/>
      </c>
      <c r="Q442" t="str">
        <f>IF(P442="","",IF(COUNTIF(P$10:P442,P442)=1,COUNTIF(P$10:P$609,"&lt;"&amp;P442)+1,""))</f>
        <v/>
      </c>
      <c r="BA442" t="str">
        <f>IFERROR(INDEX(wLast,373)&amp;"","")</f>
        <v/>
      </c>
      <c r="BB442" t="str">
        <f>IF(BA442="","",IFERROR(INDEX(wFirst,373)&amp;"",""))</f>
        <v/>
      </c>
      <c r="BC442" t="str">
        <f>IF(BA442="","",IFERROR(INDEX(wClass,373)&amp;"",""))</f>
        <v/>
      </c>
      <c r="BD442" t="str">
        <f>IF(BA442="","",IFERROR(INDEX(wKS2,373)+0,""))</f>
        <v/>
      </c>
      <c r="BE442" t="str">
        <f>IF(BA442="","",IFERROR(INDEX(wTests,373)+0,0))</f>
        <v/>
      </c>
      <c r="BF442" t="str">
        <f>IF(BA442="","",IFERROR(INDEX(wMean,373)+0,""))</f>
        <v/>
      </c>
      <c r="BG442" t="str">
        <f>IF(BA442="","",IFERROR(INDEX(wVs,373)+0,""))</f>
        <v/>
      </c>
      <c r="BH442" t="str">
        <f>IF(OR(BA442="",wLatest=""),"",IFERROR(INDEX(wData,373,MATCH(wLatest&amp;CHAR(10)&amp;"Stanine",wHdr,0))+0,""))</f>
        <v/>
      </c>
      <c r="BI442" t="str">
        <f>IF(BA442="","",IF(AND(ISNUMBER(BG442),N(BE442)&gt;=WlMinTests,BG442&lt;=-WlGap),"Below KS2 starting point",IF(AND(NOT(ISNUMBER(BD442)),ISNUMBER(BF442),N(BE442)&gt;=WlMinTests,BF442&lt;=WlLowMean),"Low results, no KS2 data","")))</f>
        <v/>
      </c>
      <c r="BJ442" t="str">
        <f>IF(BI442="","",IF(BI442="Below KS2 starting point",BG442,100+BF442)+ROW()/1000000)</f>
        <v/>
      </c>
    </row>
    <row r="443">
      <c r="H443" t="str">
        <f>IFERROR(INDEX(tblY7[Class],ROWS(H$10:H443))&amp;"","")</f>
        <v/>
      </c>
      <c r="I443" t="str">
        <f>IF(H443="","",IF(COUNTIF(H$10:H443,H443)=1,COUNTIF(H$10:H$609,"&lt;"&amp;H443)+1,""))</f>
        <v/>
      </c>
      <c r="J443" t="str">
        <f>IFERROR(INDEX(tblY8[Class],ROWS(J$10:J443))&amp;"","")</f>
        <v/>
      </c>
      <c r="K443" t="str">
        <f>IF(J443="","",IF(COUNTIF(J$10:J443,J443)=1,COUNTIF(J$10:J$609,"&lt;"&amp;J443)+1,""))</f>
        <v/>
      </c>
      <c r="L443" t="str">
        <f>IFERROR(INDEX(tblY9[Class],ROWS(L$10:L443))&amp;"","")</f>
        <v/>
      </c>
      <c r="M443" t="str">
        <f>IF(L443="","",IF(COUNTIF(L$10:L443,L443)=1,COUNTIF(L$10:L$609,"&lt;"&amp;L443)+1,""))</f>
        <v/>
      </c>
      <c r="N443" t="str">
        <f>IFERROR(INDEX(tblY10[Class],ROWS(N$10:N443))&amp;"","")</f>
        <v/>
      </c>
      <c r="O443" t="str">
        <f>IF(N443="","",IF(COUNTIF(N$10:N443,N443)=1,COUNTIF(N$10:N$609,"&lt;"&amp;N443)+1,""))</f>
        <v/>
      </c>
      <c r="P443" t="str">
        <f>IFERROR(INDEX(tblY11[Class],ROWS(P$10:P443))&amp;"","")</f>
        <v/>
      </c>
      <c r="Q443" t="str">
        <f>IF(P443="","",IF(COUNTIF(P$10:P443,P443)=1,COUNTIF(P$10:P$609,"&lt;"&amp;P443)+1,""))</f>
        <v/>
      </c>
      <c r="BA443" t="str">
        <f>IFERROR(INDEX(wLast,374)&amp;"","")</f>
        <v/>
      </c>
      <c r="BB443" t="str">
        <f>IF(BA443="","",IFERROR(INDEX(wFirst,374)&amp;"",""))</f>
        <v/>
      </c>
      <c r="BC443" t="str">
        <f>IF(BA443="","",IFERROR(INDEX(wClass,374)&amp;"",""))</f>
        <v/>
      </c>
      <c r="BD443" t="str">
        <f>IF(BA443="","",IFERROR(INDEX(wKS2,374)+0,""))</f>
        <v/>
      </c>
      <c r="BE443" t="str">
        <f>IF(BA443="","",IFERROR(INDEX(wTests,374)+0,0))</f>
        <v/>
      </c>
      <c r="BF443" t="str">
        <f>IF(BA443="","",IFERROR(INDEX(wMean,374)+0,""))</f>
        <v/>
      </c>
      <c r="BG443" t="str">
        <f>IF(BA443="","",IFERROR(INDEX(wVs,374)+0,""))</f>
        <v/>
      </c>
      <c r="BH443" t="str">
        <f>IF(OR(BA443="",wLatest=""),"",IFERROR(INDEX(wData,374,MATCH(wLatest&amp;CHAR(10)&amp;"Stanine",wHdr,0))+0,""))</f>
        <v/>
      </c>
      <c r="BI443" t="str">
        <f>IF(BA443="","",IF(AND(ISNUMBER(BG443),N(BE443)&gt;=WlMinTests,BG443&lt;=-WlGap),"Below KS2 starting point",IF(AND(NOT(ISNUMBER(BD443)),ISNUMBER(BF443),N(BE443)&gt;=WlMinTests,BF443&lt;=WlLowMean),"Low results, no KS2 data","")))</f>
        <v/>
      </c>
      <c r="BJ443" t="str">
        <f>IF(BI443="","",IF(BI443="Below KS2 starting point",BG443,100+BF443)+ROW()/1000000)</f>
        <v/>
      </c>
    </row>
    <row r="444">
      <c r="H444" t="str">
        <f>IFERROR(INDEX(tblY7[Class],ROWS(H$10:H444))&amp;"","")</f>
        <v/>
      </c>
      <c r="I444" t="str">
        <f>IF(H444="","",IF(COUNTIF(H$10:H444,H444)=1,COUNTIF(H$10:H$609,"&lt;"&amp;H444)+1,""))</f>
        <v/>
      </c>
      <c r="J444" t="str">
        <f>IFERROR(INDEX(tblY8[Class],ROWS(J$10:J444))&amp;"","")</f>
        <v/>
      </c>
      <c r="K444" t="str">
        <f>IF(J444="","",IF(COUNTIF(J$10:J444,J444)=1,COUNTIF(J$10:J$609,"&lt;"&amp;J444)+1,""))</f>
        <v/>
      </c>
      <c r="L444" t="str">
        <f>IFERROR(INDEX(tblY9[Class],ROWS(L$10:L444))&amp;"","")</f>
        <v/>
      </c>
      <c r="M444" t="str">
        <f>IF(L444="","",IF(COUNTIF(L$10:L444,L444)=1,COUNTIF(L$10:L$609,"&lt;"&amp;L444)+1,""))</f>
        <v/>
      </c>
      <c r="N444" t="str">
        <f>IFERROR(INDEX(tblY10[Class],ROWS(N$10:N444))&amp;"","")</f>
        <v/>
      </c>
      <c r="O444" t="str">
        <f>IF(N444="","",IF(COUNTIF(N$10:N444,N444)=1,COUNTIF(N$10:N$609,"&lt;"&amp;N444)+1,""))</f>
        <v/>
      </c>
      <c r="P444" t="str">
        <f>IFERROR(INDEX(tblY11[Class],ROWS(P$10:P444))&amp;"","")</f>
        <v/>
      </c>
      <c r="Q444" t="str">
        <f>IF(P444="","",IF(COUNTIF(P$10:P444,P444)=1,COUNTIF(P$10:P$609,"&lt;"&amp;P444)+1,""))</f>
        <v/>
      </c>
      <c r="BA444" t="str">
        <f>IFERROR(INDEX(wLast,375)&amp;"","")</f>
        <v/>
      </c>
      <c r="BB444" t="str">
        <f>IF(BA444="","",IFERROR(INDEX(wFirst,375)&amp;"",""))</f>
        <v/>
      </c>
      <c r="BC444" t="str">
        <f>IF(BA444="","",IFERROR(INDEX(wClass,375)&amp;"",""))</f>
        <v/>
      </c>
      <c r="BD444" t="str">
        <f>IF(BA444="","",IFERROR(INDEX(wKS2,375)+0,""))</f>
        <v/>
      </c>
      <c r="BE444" t="str">
        <f>IF(BA444="","",IFERROR(INDEX(wTests,375)+0,0))</f>
        <v/>
      </c>
      <c r="BF444" t="str">
        <f>IF(BA444="","",IFERROR(INDEX(wMean,375)+0,""))</f>
        <v/>
      </c>
      <c r="BG444" t="str">
        <f>IF(BA444="","",IFERROR(INDEX(wVs,375)+0,""))</f>
        <v/>
      </c>
      <c r="BH444" t="str">
        <f>IF(OR(BA444="",wLatest=""),"",IFERROR(INDEX(wData,375,MATCH(wLatest&amp;CHAR(10)&amp;"Stanine",wHdr,0))+0,""))</f>
        <v/>
      </c>
      <c r="BI444" t="str">
        <f>IF(BA444="","",IF(AND(ISNUMBER(BG444),N(BE444)&gt;=WlMinTests,BG444&lt;=-WlGap),"Below KS2 starting point",IF(AND(NOT(ISNUMBER(BD444)),ISNUMBER(BF444),N(BE444)&gt;=WlMinTests,BF444&lt;=WlLowMean),"Low results, no KS2 data","")))</f>
        <v/>
      </c>
      <c r="BJ444" t="str">
        <f>IF(BI444="","",IF(BI444="Below KS2 starting point",BG444,100+BF444)+ROW()/1000000)</f>
        <v/>
      </c>
    </row>
    <row r="445">
      <c r="H445" t="str">
        <f>IFERROR(INDEX(tblY7[Class],ROWS(H$10:H445))&amp;"","")</f>
        <v/>
      </c>
      <c r="I445" t="str">
        <f>IF(H445="","",IF(COUNTIF(H$10:H445,H445)=1,COUNTIF(H$10:H$609,"&lt;"&amp;H445)+1,""))</f>
        <v/>
      </c>
      <c r="J445" t="str">
        <f>IFERROR(INDEX(tblY8[Class],ROWS(J$10:J445))&amp;"","")</f>
        <v/>
      </c>
      <c r="K445" t="str">
        <f>IF(J445="","",IF(COUNTIF(J$10:J445,J445)=1,COUNTIF(J$10:J$609,"&lt;"&amp;J445)+1,""))</f>
        <v/>
      </c>
      <c r="L445" t="str">
        <f>IFERROR(INDEX(tblY9[Class],ROWS(L$10:L445))&amp;"","")</f>
        <v/>
      </c>
      <c r="M445" t="str">
        <f>IF(L445="","",IF(COUNTIF(L$10:L445,L445)=1,COUNTIF(L$10:L$609,"&lt;"&amp;L445)+1,""))</f>
        <v/>
      </c>
      <c r="N445" t="str">
        <f>IFERROR(INDEX(tblY10[Class],ROWS(N$10:N445))&amp;"","")</f>
        <v/>
      </c>
      <c r="O445" t="str">
        <f>IF(N445="","",IF(COUNTIF(N$10:N445,N445)=1,COUNTIF(N$10:N$609,"&lt;"&amp;N445)+1,""))</f>
        <v/>
      </c>
      <c r="P445" t="str">
        <f>IFERROR(INDEX(tblY11[Class],ROWS(P$10:P445))&amp;"","")</f>
        <v/>
      </c>
      <c r="Q445" t="str">
        <f>IF(P445="","",IF(COUNTIF(P$10:P445,P445)=1,COUNTIF(P$10:P$609,"&lt;"&amp;P445)+1,""))</f>
        <v/>
      </c>
      <c r="BA445" t="str">
        <f>IFERROR(INDEX(wLast,376)&amp;"","")</f>
        <v/>
      </c>
      <c r="BB445" t="str">
        <f>IF(BA445="","",IFERROR(INDEX(wFirst,376)&amp;"",""))</f>
        <v/>
      </c>
      <c r="BC445" t="str">
        <f>IF(BA445="","",IFERROR(INDEX(wClass,376)&amp;"",""))</f>
        <v/>
      </c>
      <c r="BD445" t="str">
        <f>IF(BA445="","",IFERROR(INDEX(wKS2,376)+0,""))</f>
        <v/>
      </c>
      <c r="BE445" t="str">
        <f>IF(BA445="","",IFERROR(INDEX(wTests,376)+0,0))</f>
        <v/>
      </c>
      <c r="BF445" t="str">
        <f>IF(BA445="","",IFERROR(INDEX(wMean,376)+0,""))</f>
        <v/>
      </c>
      <c r="BG445" t="str">
        <f>IF(BA445="","",IFERROR(INDEX(wVs,376)+0,""))</f>
        <v/>
      </c>
      <c r="BH445" t="str">
        <f>IF(OR(BA445="",wLatest=""),"",IFERROR(INDEX(wData,376,MATCH(wLatest&amp;CHAR(10)&amp;"Stanine",wHdr,0))+0,""))</f>
        <v/>
      </c>
      <c r="BI445" t="str">
        <f>IF(BA445="","",IF(AND(ISNUMBER(BG445),N(BE445)&gt;=WlMinTests,BG445&lt;=-WlGap),"Below KS2 starting point",IF(AND(NOT(ISNUMBER(BD445)),ISNUMBER(BF445),N(BE445)&gt;=WlMinTests,BF445&lt;=WlLowMean),"Low results, no KS2 data","")))</f>
        <v/>
      </c>
      <c r="BJ445" t="str">
        <f>IF(BI445="","",IF(BI445="Below KS2 starting point",BG445,100+BF445)+ROW()/1000000)</f>
        <v/>
      </c>
    </row>
    <row r="446">
      <c r="H446" t="str">
        <f>IFERROR(INDEX(tblY7[Class],ROWS(H$10:H446))&amp;"","")</f>
        <v/>
      </c>
      <c r="I446" t="str">
        <f>IF(H446="","",IF(COUNTIF(H$10:H446,H446)=1,COUNTIF(H$10:H$609,"&lt;"&amp;H446)+1,""))</f>
        <v/>
      </c>
      <c r="J446" t="str">
        <f>IFERROR(INDEX(tblY8[Class],ROWS(J$10:J446))&amp;"","")</f>
        <v/>
      </c>
      <c r="K446" t="str">
        <f>IF(J446="","",IF(COUNTIF(J$10:J446,J446)=1,COUNTIF(J$10:J$609,"&lt;"&amp;J446)+1,""))</f>
        <v/>
      </c>
      <c r="L446" t="str">
        <f>IFERROR(INDEX(tblY9[Class],ROWS(L$10:L446))&amp;"","")</f>
        <v/>
      </c>
      <c r="M446" t="str">
        <f>IF(L446="","",IF(COUNTIF(L$10:L446,L446)=1,COUNTIF(L$10:L$609,"&lt;"&amp;L446)+1,""))</f>
        <v/>
      </c>
      <c r="N446" t="str">
        <f>IFERROR(INDEX(tblY10[Class],ROWS(N$10:N446))&amp;"","")</f>
        <v/>
      </c>
      <c r="O446" t="str">
        <f>IF(N446="","",IF(COUNTIF(N$10:N446,N446)=1,COUNTIF(N$10:N$609,"&lt;"&amp;N446)+1,""))</f>
        <v/>
      </c>
      <c r="P446" t="str">
        <f>IFERROR(INDEX(tblY11[Class],ROWS(P$10:P446))&amp;"","")</f>
        <v/>
      </c>
      <c r="Q446" t="str">
        <f>IF(P446="","",IF(COUNTIF(P$10:P446,P446)=1,COUNTIF(P$10:P$609,"&lt;"&amp;P446)+1,""))</f>
        <v/>
      </c>
      <c r="BA446" t="str">
        <f>IFERROR(INDEX(wLast,377)&amp;"","")</f>
        <v/>
      </c>
      <c r="BB446" t="str">
        <f>IF(BA446="","",IFERROR(INDEX(wFirst,377)&amp;"",""))</f>
        <v/>
      </c>
      <c r="BC446" t="str">
        <f>IF(BA446="","",IFERROR(INDEX(wClass,377)&amp;"",""))</f>
        <v/>
      </c>
      <c r="BD446" t="str">
        <f>IF(BA446="","",IFERROR(INDEX(wKS2,377)+0,""))</f>
        <v/>
      </c>
      <c r="BE446" t="str">
        <f>IF(BA446="","",IFERROR(INDEX(wTests,377)+0,0))</f>
        <v/>
      </c>
      <c r="BF446" t="str">
        <f>IF(BA446="","",IFERROR(INDEX(wMean,377)+0,""))</f>
        <v/>
      </c>
      <c r="BG446" t="str">
        <f>IF(BA446="","",IFERROR(INDEX(wVs,377)+0,""))</f>
        <v/>
      </c>
      <c r="BH446" t="str">
        <f>IF(OR(BA446="",wLatest=""),"",IFERROR(INDEX(wData,377,MATCH(wLatest&amp;CHAR(10)&amp;"Stanine",wHdr,0))+0,""))</f>
        <v/>
      </c>
      <c r="BI446" t="str">
        <f>IF(BA446="","",IF(AND(ISNUMBER(BG446),N(BE446)&gt;=WlMinTests,BG446&lt;=-WlGap),"Below KS2 starting point",IF(AND(NOT(ISNUMBER(BD446)),ISNUMBER(BF446),N(BE446)&gt;=WlMinTests,BF446&lt;=WlLowMean),"Low results, no KS2 data","")))</f>
        <v/>
      </c>
      <c r="BJ446" t="str">
        <f>IF(BI446="","",IF(BI446="Below KS2 starting point",BG446,100+BF446)+ROW()/1000000)</f>
        <v/>
      </c>
    </row>
    <row r="447">
      <c r="H447" t="str">
        <f>IFERROR(INDEX(tblY7[Class],ROWS(H$10:H447))&amp;"","")</f>
        <v/>
      </c>
      <c r="I447" t="str">
        <f>IF(H447="","",IF(COUNTIF(H$10:H447,H447)=1,COUNTIF(H$10:H$609,"&lt;"&amp;H447)+1,""))</f>
        <v/>
      </c>
      <c r="J447" t="str">
        <f>IFERROR(INDEX(tblY8[Class],ROWS(J$10:J447))&amp;"","")</f>
        <v/>
      </c>
      <c r="K447" t="str">
        <f>IF(J447="","",IF(COUNTIF(J$10:J447,J447)=1,COUNTIF(J$10:J$609,"&lt;"&amp;J447)+1,""))</f>
        <v/>
      </c>
      <c r="L447" t="str">
        <f>IFERROR(INDEX(tblY9[Class],ROWS(L$10:L447))&amp;"","")</f>
        <v/>
      </c>
      <c r="M447" t="str">
        <f>IF(L447="","",IF(COUNTIF(L$10:L447,L447)=1,COUNTIF(L$10:L$609,"&lt;"&amp;L447)+1,""))</f>
        <v/>
      </c>
      <c r="N447" t="str">
        <f>IFERROR(INDEX(tblY10[Class],ROWS(N$10:N447))&amp;"","")</f>
        <v/>
      </c>
      <c r="O447" t="str">
        <f>IF(N447="","",IF(COUNTIF(N$10:N447,N447)=1,COUNTIF(N$10:N$609,"&lt;"&amp;N447)+1,""))</f>
        <v/>
      </c>
      <c r="P447" t="str">
        <f>IFERROR(INDEX(tblY11[Class],ROWS(P$10:P447))&amp;"","")</f>
        <v/>
      </c>
      <c r="Q447" t="str">
        <f>IF(P447="","",IF(COUNTIF(P$10:P447,P447)=1,COUNTIF(P$10:P$609,"&lt;"&amp;P447)+1,""))</f>
        <v/>
      </c>
      <c r="BA447" t="str">
        <f>IFERROR(INDEX(wLast,378)&amp;"","")</f>
        <v/>
      </c>
      <c r="BB447" t="str">
        <f>IF(BA447="","",IFERROR(INDEX(wFirst,378)&amp;"",""))</f>
        <v/>
      </c>
      <c r="BC447" t="str">
        <f>IF(BA447="","",IFERROR(INDEX(wClass,378)&amp;"",""))</f>
        <v/>
      </c>
      <c r="BD447" t="str">
        <f>IF(BA447="","",IFERROR(INDEX(wKS2,378)+0,""))</f>
        <v/>
      </c>
      <c r="BE447" t="str">
        <f>IF(BA447="","",IFERROR(INDEX(wTests,378)+0,0))</f>
        <v/>
      </c>
      <c r="BF447" t="str">
        <f>IF(BA447="","",IFERROR(INDEX(wMean,378)+0,""))</f>
        <v/>
      </c>
      <c r="BG447" t="str">
        <f>IF(BA447="","",IFERROR(INDEX(wVs,378)+0,""))</f>
        <v/>
      </c>
      <c r="BH447" t="str">
        <f>IF(OR(BA447="",wLatest=""),"",IFERROR(INDEX(wData,378,MATCH(wLatest&amp;CHAR(10)&amp;"Stanine",wHdr,0))+0,""))</f>
        <v/>
      </c>
      <c r="BI447" t="str">
        <f>IF(BA447="","",IF(AND(ISNUMBER(BG447),N(BE447)&gt;=WlMinTests,BG447&lt;=-WlGap),"Below KS2 starting point",IF(AND(NOT(ISNUMBER(BD447)),ISNUMBER(BF447),N(BE447)&gt;=WlMinTests,BF447&lt;=WlLowMean),"Low results, no KS2 data","")))</f>
        <v/>
      </c>
      <c r="BJ447" t="str">
        <f>IF(BI447="","",IF(BI447="Below KS2 starting point",BG447,100+BF447)+ROW()/1000000)</f>
        <v/>
      </c>
    </row>
    <row r="448">
      <c r="H448" t="str">
        <f>IFERROR(INDEX(tblY7[Class],ROWS(H$10:H448))&amp;"","")</f>
        <v/>
      </c>
      <c r="I448" t="str">
        <f>IF(H448="","",IF(COUNTIF(H$10:H448,H448)=1,COUNTIF(H$10:H$609,"&lt;"&amp;H448)+1,""))</f>
        <v/>
      </c>
      <c r="J448" t="str">
        <f>IFERROR(INDEX(tblY8[Class],ROWS(J$10:J448))&amp;"","")</f>
        <v/>
      </c>
      <c r="K448" t="str">
        <f>IF(J448="","",IF(COUNTIF(J$10:J448,J448)=1,COUNTIF(J$10:J$609,"&lt;"&amp;J448)+1,""))</f>
        <v/>
      </c>
      <c r="L448" t="str">
        <f>IFERROR(INDEX(tblY9[Class],ROWS(L$10:L448))&amp;"","")</f>
        <v/>
      </c>
      <c r="M448" t="str">
        <f>IF(L448="","",IF(COUNTIF(L$10:L448,L448)=1,COUNTIF(L$10:L$609,"&lt;"&amp;L448)+1,""))</f>
        <v/>
      </c>
      <c r="N448" t="str">
        <f>IFERROR(INDEX(tblY10[Class],ROWS(N$10:N448))&amp;"","")</f>
        <v/>
      </c>
      <c r="O448" t="str">
        <f>IF(N448="","",IF(COUNTIF(N$10:N448,N448)=1,COUNTIF(N$10:N$609,"&lt;"&amp;N448)+1,""))</f>
        <v/>
      </c>
      <c r="P448" t="str">
        <f>IFERROR(INDEX(tblY11[Class],ROWS(P$10:P448))&amp;"","")</f>
        <v/>
      </c>
      <c r="Q448" t="str">
        <f>IF(P448="","",IF(COUNTIF(P$10:P448,P448)=1,COUNTIF(P$10:P$609,"&lt;"&amp;P448)+1,""))</f>
        <v/>
      </c>
      <c r="BA448" t="str">
        <f>IFERROR(INDEX(wLast,379)&amp;"","")</f>
        <v/>
      </c>
      <c r="BB448" t="str">
        <f>IF(BA448="","",IFERROR(INDEX(wFirst,379)&amp;"",""))</f>
        <v/>
      </c>
      <c r="BC448" t="str">
        <f>IF(BA448="","",IFERROR(INDEX(wClass,379)&amp;"",""))</f>
        <v/>
      </c>
      <c r="BD448" t="str">
        <f>IF(BA448="","",IFERROR(INDEX(wKS2,379)+0,""))</f>
        <v/>
      </c>
      <c r="BE448" t="str">
        <f>IF(BA448="","",IFERROR(INDEX(wTests,379)+0,0))</f>
        <v/>
      </c>
      <c r="BF448" t="str">
        <f>IF(BA448="","",IFERROR(INDEX(wMean,379)+0,""))</f>
        <v/>
      </c>
      <c r="BG448" t="str">
        <f>IF(BA448="","",IFERROR(INDEX(wVs,379)+0,""))</f>
        <v/>
      </c>
      <c r="BH448" t="str">
        <f>IF(OR(BA448="",wLatest=""),"",IFERROR(INDEX(wData,379,MATCH(wLatest&amp;CHAR(10)&amp;"Stanine",wHdr,0))+0,""))</f>
        <v/>
      </c>
      <c r="BI448" t="str">
        <f>IF(BA448="","",IF(AND(ISNUMBER(BG448),N(BE448)&gt;=WlMinTests,BG448&lt;=-WlGap),"Below KS2 starting point",IF(AND(NOT(ISNUMBER(BD448)),ISNUMBER(BF448),N(BE448)&gt;=WlMinTests,BF448&lt;=WlLowMean),"Low results, no KS2 data","")))</f>
        <v/>
      </c>
      <c r="BJ448" t="str">
        <f>IF(BI448="","",IF(BI448="Below KS2 starting point",BG448,100+BF448)+ROW()/1000000)</f>
        <v/>
      </c>
    </row>
    <row r="449">
      <c r="H449" t="str">
        <f>IFERROR(INDEX(tblY7[Class],ROWS(H$10:H449))&amp;"","")</f>
        <v/>
      </c>
      <c r="I449" t="str">
        <f>IF(H449="","",IF(COUNTIF(H$10:H449,H449)=1,COUNTIF(H$10:H$609,"&lt;"&amp;H449)+1,""))</f>
        <v/>
      </c>
      <c r="J449" t="str">
        <f>IFERROR(INDEX(tblY8[Class],ROWS(J$10:J449))&amp;"","")</f>
        <v/>
      </c>
      <c r="K449" t="str">
        <f>IF(J449="","",IF(COUNTIF(J$10:J449,J449)=1,COUNTIF(J$10:J$609,"&lt;"&amp;J449)+1,""))</f>
        <v/>
      </c>
      <c r="L449" t="str">
        <f>IFERROR(INDEX(tblY9[Class],ROWS(L$10:L449))&amp;"","")</f>
        <v/>
      </c>
      <c r="M449" t="str">
        <f>IF(L449="","",IF(COUNTIF(L$10:L449,L449)=1,COUNTIF(L$10:L$609,"&lt;"&amp;L449)+1,""))</f>
        <v/>
      </c>
      <c r="N449" t="str">
        <f>IFERROR(INDEX(tblY10[Class],ROWS(N$10:N449))&amp;"","")</f>
        <v/>
      </c>
      <c r="O449" t="str">
        <f>IF(N449="","",IF(COUNTIF(N$10:N449,N449)=1,COUNTIF(N$10:N$609,"&lt;"&amp;N449)+1,""))</f>
        <v/>
      </c>
      <c r="P449" t="str">
        <f>IFERROR(INDEX(tblY11[Class],ROWS(P$10:P449))&amp;"","")</f>
        <v/>
      </c>
      <c r="Q449" t="str">
        <f>IF(P449="","",IF(COUNTIF(P$10:P449,P449)=1,COUNTIF(P$10:P$609,"&lt;"&amp;P449)+1,""))</f>
        <v/>
      </c>
      <c r="BA449" t="str">
        <f>IFERROR(INDEX(wLast,380)&amp;"","")</f>
        <v/>
      </c>
      <c r="BB449" t="str">
        <f>IF(BA449="","",IFERROR(INDEX(wFirst,380)&amp;"",""))</f>
        <v/>
      </c>
      <c r="BC449" t="str">
        <f>IF(BA449="","",IFERROR(INDEX(wClass,380)&amp;"",""))</f>
        <v/>
      </c>
      <c r="BD449" t="str">
        <f>IF(BA449="","",IFERROR(INDEX(wKS2,380)+0,""))</f>
        <v/>
      </c>
      <c r="BE449" t="str">
        <f>IF(BA449="","",IFERROR(INDEX(wTests,380)+0,0))</f>
        <v/>
      </c>
      <c r="BF449" t="str">
        <f>IF(BA449="","",IFERROR(INDEX(wMean,380)+0,""))</f>
        <v/>
      </c>
      <c r="BG449" t="str">
        <f>IF(BA449="","",IFERROR(INDEX(wVs,380)+0,""))</f>
        <v/>
      </c>
      <c r="BH449" t="str">
        <f>IF(OR(BA449="",wLatest=""),"",IFERROR(INDEX(wData,380,MATCH(wLatest&amp;CHAR(10)&amp;"Stanine",wHdr,0))+0,""))</f>
        <v/>
      </c>
      <c r="BI449" t="str">
        <f>IF(BA449="","",IF(AND(ISNUMBER(BG449),N(BE449)&gt;=WlMinTests,BG449&lt;=-WlGap),"Below KS2 starting point",IF(AND(NOT(ISNUMBER(BD449)),ISNUMBER(BF449),N(BE449)&gt;=WlMinTests,BF449&lt;=WlLowMean),"Low results, no KS2 data","")))</f>
        <v/>
      </c>
      <c r="BJ449" t="str">
        <f>IF(BI449="","",IF(BI449="Below KS2 starting point",BG449,100+BF449)+ROW()/1000000)</f>
        <v/>
      </c>
    </row>
    <row r="450">
      <c r="H450" t="str">
        <f>IFERROR(INDEX(tblY7[Class],ROWS(H$10:H450))&amp;"","")</f>
        <v/>
      </c>
      <c r="I450" t="str">
        <f>IF(H450="","",IF(COUNTIF(H$10:H450,H450)=1,COUNTIF(H$10:H$609,"&lt;"&amp;H450)+1,""))</f>
        <v/>
      </c>
      <c r="J450" t="str">
        <f>IFERROR(INDEX(tblY8[Class],ROWS(J$10:J450))&amp;"","")</f>
        <v/>
      </c>
      <c r="K450" t="str">
        <f>IF(J450="","",IF(COUNTIF(J$10:J450,J450)=1,COUNTIF(J$10:J$609,"&lt;"&amp;J450)+1,""))</f>
        <v/>
      </c>
      <c r="L450" t="str">
        <f>IFERROR(INDEX(tblY9[Class],ROWS(L$10:L450))&amp;"","")</f>
        <v/>
      </c>
      <c r="M450" t="str">
        <f>IF(L450="","",IF(COUNTIF(L$10:L450,L450)=1,COUNTIF(L$10:L$609,"&lt;"&amp;L450)+1,""))</f>
        <v/>
      </c>
      <c r="N450" t="str">
        <f>IFERROR(INDEX(tblY10[Class],ROWS(N$10:N450))&amp;"","")</f>
        <v/>
      </c>
      <c r="O450" t="str">
        <f>IF(N450="","",IF(COUNTIF(N$10:N450,N450)=1,COUNTIF(N$10:N$609,"&lt;"&amp;N450)+1,""))</f>
        <v/>
      </c>
      <c r="P450" t="str">
        <f>IFERROR(INDEX(tblY11[Class],ROWS(P$10:P450))&amp;"","")</f>
        <v/>
      </c>
      <c r="Q450" t="str">
        <f>IF(P450="","",IF(COUNTIF(P$10:P450,P450)=1,COUNTIF(P$10:P$609,"&lt;"&amp;P450)+1,""))</f>
        <v/>
      </c>
      <c r="BA450" t="str">
        <f>IFERROR(INDEX(wLast,381)&amp;"","")</f>
        <v/>
      </c>
      <c r="BB450" t="str">
        <f>IF(BA450="","",IFERROR(INDEX(wFirst,381)&amp;"",""))</f>
        <v/>
      </c>
      <c r="BC450" t="str">
        <f>IF(BA450="","",IFERROR(INDEX(wClass,381)&amp;"",""))</f>
        <v/>
      </c>
      <c r="BD450" t="str">
        <f>IF(BA450="","",IFERROR(INDEX(wKS2,381)+0,""))</f>
        <v/>
      </c>
      <c r="BE450" t="str">
        <f>IF(BA450="","",IFERROR(INDEX(wTests,381)+0,0))</f>
        <v/>
      </c>
      <c r="BF450" t="str">
        <f>IF(BA450="","",IFERROR(INDEX(wMean,381)+0,""))</f>
        <v/>
      </c>
      <c r="BG450" t="str">
        <f>IF(BA450="","",IFERROR(INDEX(wVs,381)+0,""))</f>
        <v/>
      </c>
      <c r="BH450" t="str">
        <f>IF(OR(BA450="",wLatest=""),"",IFERROR(INDEX(wData,381,MATCH(wLatest&amp;CHAR(10)&amp;"Stanine",wHdr,0))+0,""))</f>
        <v/>
      </c>
      <c r="BI450" t="str">
        <f>IF(BA450="","",IF(AND(ISNUMBER(BG450),N(BE450)&gt;=WlMinTests,BG450&lt;=-WlGap),"Below KS2 starting point",IF(AND(NOT(ISNUMBER(BD450)),ISNUMBER(BF450),N(BE450)&gt;=WlMinTests,BF450&lt;=WlLowMean),"Low results, no KS2 data","")))</f>
        <v/>
      </c>
      <c r="BJ450" t="str">
        <f>IF(BI450="","",IF(BI450="Below KS2 starting point",BG450,100+BF450)+ROW()/1000000)</f>
        <v/>
      </c>
    </row>
    <row r="451">
      <c r="H451" t="str">
        <f>IFERROR(INDEX(tblY7[Class],ROWS(H$10:H451))&amp;"","")</f>
        <v/>
      </c>
      <c r="I451" t="str">
        <f>IF(H451="","",IF(COUNTIF(H$10:H451,H451)=1,COUNTIF(H$10:H$609,"&lt;"&amp;H451)+1,""))</f>
        <v/>
      </c>
      <c r="J451" t="str">
        <f>IFERROR(INDEX(tblY8[Class],ROWS(J$10:J451))&amp;"","")</f>
        <v/>
      </c>
      <c r="K451" t="str">
        <f>IF(J451="","",IF(COUNTIF(J$10:J451,J451)=1,COUNTIF(J$10:J$609,"&lt;"&amp;J451)+1,""))</f>
        <v/>
      </c>
      <c r="L451" t="str">
        <f>IFERROR(INDEX(tblY9[Class],ROWS(L$10:L451))&amp;"","")</f>
        <v/>
      </c>
      <c r="M451" t="str">
        <f>IF(L451="","",IF(COUNTIF(L$10:L451,L451)=1,COUNTIF(L$10:L$609,"&lt;"&amp;L451)+1,""))</f>
        <v/>
      </c>
      <c r="N451" t="str">
        <f>IFERROR(INDEX(tblY10[Class],ROWS(N$10:N451))&amp;"","")</f>
        <v/>
      </c>
      <c r="O451" t="str">
        <f>IF(N451="","",IF(COUNTIF(N$10:N451,N451)=1,COUNTIF(N$10:N$609,"&lt;"&amp;N451)+1,""))</f>
        <v/>
      </c>
      <c r="P451" t="str">
        <f>IFERROR(INDEX(tblY11[Class],ROWS(P$10:P451))&amp;"","")</f>
        <v/>
      </c>
      <c r="Q451" t="str">
        <f>IF(P451="","",IF(COUNTIF(P$10:P451,P451)=1,COUNTIF(P$10:P$609,"&lt;"&amp;P451)+1,""))</f>
        <v/>
      </c>
      <c r="BA451" t="str">
        <f>IFERROR(INDEX(wLast,382)&amp;"","")</f>
        <v/>
      </c>
      <c r="BB451" t="str">
        <f>IF(BA451="","",IFERROR(INDEX(wFirst,382)&amp;"",""))</f>
        <v/>
      </c>
      <c r="BC451" t="str">
        <f>IF(BA451="","",IFERROR(INDEX(wClass,382)&amp;"",""))</f>
        <v/>
      </c>
      <c r="BD451" t="str">
        <f>IF(BA451="","",IFERROR(INDEX(wKS2,382)+0,""))</f>
        <v/>
      </c>
      <c r="BE451" t="str">
        <f>IF(BA451="","",IFERROR(INDEX(wTests,382)+0,0))</f>
        <v/>
      </c>
      <c r="BF451" t="str">
        <f>IF(BA451="","",IFERROR(INDEX(wMean,382)+0,""))</f>
        <v/>
      </c>
      <c r="BG451" t="str">
        <f>IF(BA451="","",IFERROR(INDEX(wVs,382)+0,""))</f>
        <v/>
      </c>
      <c r="BH451" t="str">
        <f>IF(OR(BA451="",wLatest=""),"",IFERROR(INDEX(wData,382,MATCH(wLatest&amp;CHAR(10)&amp;"Stanine",wHdr,0))+0,""))</f>
        <v/>
      </c>
      <c r="BI451" t="str">
        <f>IF(BA451="","",IF(AND(ISNUMBER(BG451),N(BE451)&gt;=WlMinTests,BG451&lt;=-WlGap),"Below KS2 starting point",IF(AND(NOT(ISNUMBER(BD451)),ISNUMBER(BF451),N(BE451)&gt;=WlMinTests,BF451&lt;=WlLowMean),"Low results, no KS2 data","")))</f>
        <v/>
      </c>
      <c r="BJ451" t="str">
        <f>IF(BI451="","",IF(BI451="Below KS2 starting point",BG451,100+BF451)+ROW()/1000000)</f>
        <v/>
      </c>
    </row>
    <row r="452">
      <c r="H452" t="str">
        <f>IFERROR(INDEX(tblY7[Class],ROWS(H$10:H452))&amp;"","")</f>
        <v/>
      </c>
      <c r="I452" t="str">
        <f>IF(H452="","",IF(COUNTIF(H$10:H452,H452)=1,COUNTIF(H$10:H$609,"&lt;"&amp;H452)+1,""))</f>
        <v/>
      </c>
      <c r="J452" t="str">
        <f>IFERROR(INDEX(tblY8[Class],ROWS(J$10:J452))&amp;"","")</f>
        <v/>
      </c>
      <c r="K452" t="str">
        <f>IF(J452="","",IF(COUNTIF(J$10:J452,J452)=1,COUNTIF(J$10:J$609,"&lt;"&amp;J452)+1,""))</f>
        <v/>
      </c>
      <c r="L452" t="str">
        <f>IFERROR(INDEX(tblY9[Class],ROWS(L$10:L452))&amp;"","")</f>
        <v/>
      </c>
      <c r="M452" t="str">
        <f>IF(L452="","",IF(COUNTIF(L$10:L452,L452)=1,COUNTIF(L$10:L$609,"&lt;"&amp;L452)+1,""))</f>
        <v/>
      </c>
      <c r="N452" t="str">
        <f>IFERROR(INDEX(tblY10[Class],ROWS(N$10:N452))&amp;"","")</f>
        <v/>
      </c>
      <c r="O452" t="str">
        <f>IF(N452="","",IF(COUNTIF(N$10:N452,N452)=1,COUNTIF(N$10:N$609,"&lt;"&amp;N452)+1,""))</f>
        <v/>
      </c>
      <c r="P452" t="str">
        <f>IFERROR(INDEX(tblY11[Class],ROWS(P$10:P452))&amp;"","")</f>
        <v/>
      </c>
      <c r="Q452" t="str">
        <f>IF(P452="","",IF(COUNTIF(P$10:P452,P452)=1,COUNTIF(P$10:P$609,"&lt;"&amp;P452)+1,""))</f>
        <v/>
      </c>
      <c r="BA452" t="str">
        <f>IFERROR(INDEX(wLast,383)&amp;"","")</f>
        <v/>
      </c>
      <c r="BB452" t="str">
        <f>IF(BA452="","",IFERROR(INDEX(wFirst,383)&amp;"",""))</f>
        <v/>
      </c>
      <c r="BC452" t="str">
        <f>IF(BA452="","",IFERROR(INDEX(wClass,383)&amp;"",""))</f>
        <v/>
      </c>
      <c r="BD452" t="str">
        <f>IF(BA452="","",IFERROR(INDEX(wKS2,383)+0,""))</f>
        <v/>
      </c>
      <c r="BE452" t="str">
        <f>IF(BA452="","",IFERROR(INDEX(wTests,383)+0,0))</f>
        <v/>
      </c>
      <c r="BF452" t="str">
        <f>IF(BA452="","",IFERROR(INDEX(wMean,383)+0,""))</f>
        <v/>
      </c>
      <c r="BG452" t="str">
        <f>IF(BA452="","",IFERROR(INDEX(wVs,383)+0,""))</f>
        <v/>
      </c>
      <c r="BH452" t="str">
        <f>IF(OR(BA452="",wLatest=""),"",IFERROR(INDEX(wData,383,MATCH(wLatest&amp;CHAR(10)&amp;"Stanine",wHdr,0))+0,""))</f>
        <v/>
      </c>
      <c r="BI452" t="str">
        <f>IF(BA452="","",IF(AND(ISNUMBER(BG452),N(BE452)&gt;=WlMinTests,BG452&lt;=-WlGap),"Below KS2 starting point",IF(AND(NOT(ISNUMBER(BD452)),ISNUMBER(BF452),N(BE452)&gt;=WlMinTests,BF452&lt;=WlLowMean),"Low results, no KS2 data","")))</f>
        <v/>
      </c>
      <c r="BJ452" t="str">
        <f>IF(BI452="","",IF(BI452="Below KS2 starting point",BG452,100+BF452)+ROW()/1000000)</f>
        <v/>
      </c>
    </row>
    <row r="453">
      <c r="H453" t="str">
        <f>IFERROR(INDEX(tblY7[Class],ROWS(H$10:H453))&amp;"","")</f>
        <v/>
      </c>
      <c r="I453" t="str">
        <f>IF(H453="","",IF(COUNTIF(H$10:H453,H453)=1,COUNTIF(H$10:H$609,"&lt;"&amp;H453)+1,""))</f>
        <v/>
      </c>
      <c r="J453" t="str">
        <f>IFERROR(INDEX(tblY8[Class],ROWS(J$10:J453))&amp;"","")</f>
        <v/>
      </c>
      <c r="K453" t="str">
        <f>IF(J453="","",IF(COUNTIF(J$10:J453,J453)=1,COUNTIF(J$10:J$609,"&lt;"&amp;J453)+1,""))</f>
        <v/>
      </c>
      <c r="L453" t="str">
        <f>IFERROR(INDEX(tblY9[Class],ROWS(L$10:L453))&amp;"","")</f>
        <v/>
      </c>
      <c r="M453" t="str">
        <f>IF(L453="","",IF(COUNTIF(L$10:L453,L453)=1,COUNTIF(L$10:L$609,"&lt;"&amp;L453)+1,""))</f>
        <v/>
      </c>
      <c r="N453" t="str">
        <f>IFERROR(INDEX(tblY10[Class],ROWS(N$10:N453))&amp;"","")</f>
        <v/>
      </c>
      <c r="O453" t="str">
        <f>IF(N453="","",IF(COUNTIF(N$10:N453,N453)=1,COUNTIF(N$10:N$609,"&lt;"&amp;N453)+1,""))</f>
        <v/>
      </c>
      <c r="P453" t="str">
        <f>IFERROR(INDEX(tblY11[Class],ROWS(P$10:P453))&amp;"","")</f>
        <v/>
      </c>
      <c r="Q453" t="str">
        <f>IF(P453="","",IF(COUNTIF(P$10:P453,P453)=1,COUNTIF(P$10:P$609,"&lt;"&amp;P453)+1,""))</f>
        <v/>
      </c>
      <c r="BA453" t="str">
        <f>IFERROR(INDEX(wLast,384)&amp;"","")</f>
        <v/>
      </c>
      <c r="BB453" t="str">
        <f>IF(BA453="","",IFERROR(INDEX(wFirst,384)&amp;"",""))</f>
        <v/>
      </c>
      <c r="BC453" t="str">
        <f>IF(BA453="","",IFERROR(INDEX(wClass,384)&amp;"",""))</f>
        <v/>
      </c>
      <c r="BD453" t="str">
        <f>IF(BA453="","",IFERROR(INDEX(wKS2,384)+0,""))</f>
        <v/>
      </c>
      <c r="BE453" t="str">
        <f>IF(BA453="","",IFERROR(INDEX(wTests,384)+0,0))</f>
        <v/>
      </c>
      <c r="BF453" t="str">
        <f>IF(BA453="","",IFERROR(INDEX(wMean,384)+0,""))</f>
        <v/>
      </c>
      <c r="BG453" t="str">
        <f>IF(BA453="","",IFERROR(INDEX(wVs,384)+0,""))</f>
        <v/>
      </c>
      <c r="BH453" t="str">
        <f>IF(OR(BA453="",wLatest=""),"",IFERROR(INDEX(wData,384,MATCH(wLatest&amp;CHAR(10)&amp;"Stanine",wHdr,0))+0,""))</f>
        <v/>
      </c>
      <c r="BI453" t="str">
        <f>IF(BA453="","",IF(AND(ISNUMBER(BG453),N(BE453)&gt;=WlMinTests,BG453&lt;=-WlGap),"Below KS2 starting point",IF(AND(NOT(ISNUMBER(BD453)),ISNUMBER(BF453),N(BE453)&gt;=WlMinTests,BF453&lt;=WlLowMean),"Low results, no KS2 data","")))</f>
        <v/>
      </c>
      <c r="BJ453" t="str">
        <f>IF(BI453="","",IF(BI453="Below KS2 starting point",BG453,100+BF453)+ROW()/1000000)</f>
        <v/>
      </c>
    </row>
    <row r="454">
      <c r="H454" t="str">
        <f>IFERROR(INDEX(tblY7[Class],ROWS(H$10:H454))&amp;"","")</f>
        <v/>
      </c>
      <c r="I454" t="str">
        <f>IF(H454="","",IF(COUNTIF(H$10:H454,H454)=1,COUNTIF(H$10:H$609,"&lt;"&amp;H454)+1,""))</f>
        <v/>
      </c>
      <c r="J454" t="str">
        <f>IFERROR(INDEX(tblY8[Class],ROWS(J$10:J454))&amp;"","")</f>
        <v/>
      </c>
      <c r="K454" t="str">
        <f>IF(J454="","",IF(COUNTIF(J$10:J454,J454)=1,COUNTIF(J$10:J$609,"&lt;"&amp;J454)+1,""))</f>
        <v/>
      </c>
      <c r="L454" t="str">
        <f>IFERROR(INDEX(tblY9[Class],ROWS(L$10:L454))&amp;"","")</f>
        <v/>
      </c>
      <c r="M454" t="str">
        <f>IF(L454="","",IF(COUNTIF(L$10:L454,L454)=1,COUNTIF(L$10:L$609,"&lt;"&amp;L454)+1,""))</f>
        <v/>
      </c>
      <c r="N454" t="str">
        <f>IFERROR(INDEX(tblY10[Class],ROWS(N$10:N454))&amp;"","")</f>
        <v/>
      </c>
      <c r="O454" t="str">
        <f>IF(N454="","",IF(COUNTIF(N$10:N454,N454)=1,COUNTIF(N$10:N$609,"&lt;"&amp;N454)+1,""))</f>
        <v/>
      </c>
      <c r="P454" t="str">
        <f>IFERROR(INDEX(tblY11[Class],ROWS(P$10:P454))&amp;"","")</f>
        <v/>
      </c>
      <c r="Q454" t="str">
        <f>IF(P454="","",IF(COUNTIF(P$10:P454,P454)=1,COUNTIF(P$10:P$609,"&lt;"&amp;P454)+1,""))</f>
        <v/>
      </c>
      <c r="BA454" t="str">
        <f>IFERROR(INDEX(wLast,385)&amp;"","")</f>
        <v/>
      </c>
      <c r="BB454" t="str">
        <f>IF(BA454="","",IFERROR(INDEX(wFirst,385)&amp;"",""))</f>
        <v/>
      </c>
      <c r="BC454" t="str">
        <f>IF(BA454="","",IFERROR(INDEX(wClass,385)&amp;"",""))</f>
        <v/>
      </c>
      <c r="BD454" t="str">
        <f>IF(BA454="","",IFERROR(INDEX(wKS2,385)+0,""))</f>
        <v/>
      </c>
      <c r="BE454" t="str">
        <f>IF(BA454="","",IFERROR(INDEX(wTests,385)+0,0))</f>
        <v/>
      </c>
      <c r="BF454" t="str">
        <f>IF(BA454="","",IFERROR(INDEX(wMean,385)+0,""))</f>
        <v/>
      </c>
      <c r="BG454" t="str">
        <f>IF(BA454="","",IFERROR(INDEX(wVs,385)+0,""))</f>
        <v/>
      </c>
      <c r="BH454" t="str">
        <f>IF(OR(BA454="",wLatest=""),"",IFERROR(INDEX(wData,385,MATCH(wLatest&amp;CHAR(10)&amp;"Stanine",wHdr,0))+0,""))</f>
        <v/>
      </c>
      <c r="BI454" t="str">
        <f>IF(BA454="","",IF(AND(ISNUMBER(BG454),N(BE454)&gt;=WlMinTests,BG454&lt;=-WlGap),"Below KS2 starting point",IF(AND(NOT(ISNUMBER(BD454)),ISNUMBER(BF454),N(BE454)&gt;=WlMinTests,BF454&lt;=WlLowMean),"Low results, no KS2 data","")))</f>
        <v/>
      </c>
      <c r="BJ454" t="str">
        <f>IF(BI454="","",IF(BI454="Below KS2 starting point",BG454,100+BF454)+ROW()/1000000)</f>
        <v/>
      </c>
    </row>
    <row r="455">
      <c r="H455" t="str">
        <f>IFERROR(INDEX(tblY7[Class],ROWS(H$10:H455))&amp;"","")</f>
        <v/>
      </c>
      <c r="I455" t="str">
        <f>IF(H455="","",IF(COUNTIF(H$10:H455,H455)=1,COUNTIF(H$10:H$609,"&lt;"&amp;H455)+1,""))</f>
        <v/>
      </c>
      <c r="J455" t="str">
        <f>IFERROR(INDEX(tblY8[Class],ROWS(J$10:J455))&amp;"","")</f>
        <v/>
      </c>
      <c r="K455" t="str">
        <f>IF(J455="","",IF(COUNTIF(J$10:J455,J455)=1,COUNTIF(J$10:J$609,"&lt;"&amp;J455)+1,""))</f>
        <v/>
      </c>
      <c r="L455" t="str">
        <f>IFERROR(INDEX(tblY9[Class],ROWS(L$10:L455))&amp;"","")</f>
        <v/>
      </c>
      <c r="M455" t="str">
        <f>IF(L455="","",IF(COUNTIF(L$10:L455,L455)=1,COUNTIF(L$10:L$609,"&lt;"&amp;L455)+1,""))</f>
        <v/>
      </c>
      <c r="N455" t="str">
        <f>IFERROR(INDEX(tblY10[Class],ROWS(N$10:N455))&amp;"","")</f>
        <v/>
      </c>
      <c r="O455" t="str">
        <f>IF(N455="","",IF(COUNTIF(N$10:N455,N455)=1,COUNTIF(N$10:N$609,"&lt;"&amp;N455)+1,""))</f>
        <v/>
      </c>
      <c r="P455" t="str">
        <f>IFERROR(INDEX(tblY11[Class],ROWS(P$10:P455))&amp;"","")</f>
        <v/>
      </c>
      <c r="Q455" t="str">
        <f>IF(P455="","",IF(COUNTIF(P$10:P455,P455)=1,COUNTIF(P$10:P$609,"&lt;"&amp;P455)+1,""))</f>
        <v/>
      </c>
      <c r="BA455" t="str">
        <f>IFERROR(INDEX(wLast,386)&amp;"","")</f>
        <v/>
      </c>
      <c r="BB455" t="str">
        <f>IF(BA455="","",IFERROR(INDEX(wFirst,386)&amp;"",""))</f>
        <v/>
      </c>
      <c r="BC455" t="str">
        <f>IF(BA455="","",IFERROR(INDEX(wClass,386)&amp;"",""))</f>
        <v/>
      </c>
      <c r="BD455" t="str">
        <f>IF(BA455="","",IFERROR(INDEX(wKS2,386)+0,""))</f>
        <v/>
      </c>
      <c r="BE455" t="str">
        <f>IF(BA455="","",IFERROR(INDEX(wTests,386)+0,0))</f>
        <v/>
      </c>
      <c r="BF455" t="str">
        <f>IF(BA455="","",IFERROR(INDEX(wMean,386)+0,""))</f>
        <v/>
      </c>
      <c r="BG455" t="str">
        <f>IF(BA455="","",IFERROR(INDEX(wVs,386)+0,""))</f>
        <v/>
      </c>
      <c r="BH455" t="str">
        <f>IF(OR(BA455="",wLatest=""),"",IFERROR(INDEX(wData,386,MATCH(wLatest&amp;CHAR(10)&amp;"Stanine",wHdr,0))+0,""))</f>
        <v/>
      </c>
      <c r="BI455" t="str">
        <f>IF(BA455="","",IF(AND(ISNUMBER(BG455),N(BE455)&gt;=WlMinTests,BG455&lt;=-WlGap),"Below KS2 starting point",IF(AND(NOT(ISNUMBER(BD455)),ISNUMBER(BF455),N(BE455)&gt;=WlMinTests,BF455&lt;=WlLowMean),"Low results, no KS2 data","")))</f>
        <v/>
      </c>
      <c r="BJ455" t="str">
        <f>IF(BI455="","",IF(BI455="Below KS2 starting point",BG455,100+BF455)+ROW()/1000000)</f>
        <v/>
      </c>
    </row>
    <row r="456">
      <c r="H456" t="str">
        <f>IFERROR(INDEX(tblY7[Class],ROWS(H$10:H456))&amp;"","")</f>
        <v/>
      </c>
      <c r="I456" t="str">
        <f>IF(H456="","",IF(COUNTIF(H$10:H456,H456)=1,COUNTIF(H$10:H$609,"&lt;"&amp;H456)+1,""))</f>
        <v/>
      </c>
      <c r="J456" t="str">
        <f>IFERROR(INDEX(tblY8[Class],ROWS(J$10:J456))&amp;"","")</f>
        <v/>
      </c>
      <c r="K456" t="str">
        <f>IF(J456="","",IF(COUNTIF(J$10:J456,J456)=1,COUNTIF(J$10:J$609,"&lt;"&amp;J456)+1,""))</f>
        <v/>
      </c>
      <c r="L456" t="str">
        <f>IFERROR(INDEX(tblY9[Class],ROWS(L$10:L456))&amp;"","")</f>
        <v/>
      </c>
      <c r="M456" t="str">
        <f>IF(L456="","",IF(COUNTIF(L$10:L456,L456)=1,COUNTIF(L$10:L$609,"&lt;"&amp;L456)+1,""))</f>
        <v/>
      </c>
      <c r="N456" t="str">
        <f>IFERROR(INDEX(tblY10[Class],ROWS(N$10:N456))&amp;"","")</f>
        <v/>
      </c>
      <c r="O456" t="str">
        <f>IF(N456="","",IF(COUNTIF(N$10:N456,N456)=1,COUNTIF(N$10:N$609,"&lt;"&amp;N456)+1,""))</f>
        <v/>
      </c>
      <c r="P456" t="str">
        <f>IFERROR(INDEX(tblY11[Class],ROWS(P$10:P456))&amp;"","")</f>
        <v/>
      </c>
      <c r="Q456" t="str">
        <f>IF(P456="","",IF(COUNTIF(P$10:P456,P456)=1,COUNTIF(P$10:P$609,"&lt;"&amp;P456)+1,""))</f>
        <v/>
      </c>
      <c r="BA456" t="str">
        <f>IFERROR(INDEX(wLast,387)&amp;"","")</f>
        <v/>
      </c>
      <c r="BB456" t="str">
        <f>IF(BA456="","",IFERROR(INDEX(wFirst,387)&amp;"",""))</f>
        <v/>
      </c>
      <c r="BC456" t="str">
        <f>IF(BA456="","",IFERROR(INDEX(wClass,387)&amp;"",""))</f>
        <v/>
      </c>
      <c r="BD456" t="str">
        <f>IF(BA456="","",IFERROR(INDEX(wKS2,387)+0,""))</f>
        <v/>
      </c>
      <c r="BE456" t="str">
        <f>IF(BA456="","",IFERROR(INDEX(wTests,387)+0,0))</f>
        <v/>
      </c>
      <c r="BF456" t="str">
        <f>IF(BA456="","",IFERROR(INDEX(wMean,387)+0,""))</f>
        <v/>
      </c>
      <c r="BG456" t="str">
        <f>IF(BA456="","",IFERROR(INDEX(wVs,387)+0,""))</f>
        <v/>
      </c>
      <c r="BH456" t="str">
        <f>IF(OR(BA456="",wLatest=""),"",IFERROR(INDEX(wData,387,MATCH(wLatest&amp;CHAR(10)&amp;"Stanine",wHdr,0))+0,""))</f>
        <v/>
      </c>
      <c r="BI456" t="str">
        <f>IF(BA456="","",IF(AND(ISNUMBER(BG456),N(BE456)&gt;=WlMinTests,BG456&lt;=-WlGap),"Below KS2 starting point",IF(AND(NOT(ISNUMBER(BD456)),ISNUMBER(BF456),N(BE456)&gt;=WlMinTests,BF456&lt;=WlLowMean),"Low results, no KS2 data","")))</f>
        <v/>
      </c>
      <c r="BJ456" t="str">
        <f>IF(BI456="","",IF(BI456="Below KS2 starting point",BG456,100+BF456)+ROW()/1000000)</f>
        <v/>
      </c>
    </row>
    <row r="457">
      <c r="H457" t="str">
        <f>IFERROR(INDEX(tblY7[Class],ROWS(H$10:H457))&amp;"","")</f>
        <v/>
      </c>
      <c r="I457" t="str">
        <f>IF(H457="","",IF(COUNTIF(H$10:H457,H457)=1,COUNTIF(H$10:H$609,"&lt;"&amp;H457)+1,""))</f>
        <v/>
      </c>
      <c r="J457" t="str">
        <f>IFERROR(INDEX(tblY8[Class],ROWS(J$10:J457))&amp;"","")</f>
        <v/>
      </c>
      <c r="K457" t="str">
        <f>IF(J457="","",IF(COUNTIF(J$10:J457,J457)=1,COUNTIF(J$10:J$609,"&lt;"&amp;J457)+1,""))</f>
        <v/>
      </c>
      <c r="L457" t="str">
        <f>IFERROR(INDEX(tblY9[Class],ROWS(L$10:L457))&amp;"","")</f>
        <v/>
      </c>
      <c r="M457" t="str">
        <f>IF(L457="","",IF(COUNTIF(L$10:L457,L457)=1,COUNTIF(L$10:L$609,"&lt;"&amp;L457)+1,""))</f>
        <v/>
      </c>
      <c r="N457" t="str">
        <f>IFERROR(INDEX(tblY10[Class],ROWS(N$10:N457))&amp;"","")</f>
        <v/>
      </c>
      <c r="O457" t="str">
        <f>IF(N457="","",IF(COUNTIF(N$10:N457,N457)=1,COUNTIF(N$10:N$609,"&lt;"&amp;N457)+1,""))</f>
        <v/>
      </c>
      <c r="P457" t="str">
        <f>IFERROR(INDEX(tblY11[Class],ROWS(P$10:P457))&amp;"","")</f>
        <v/>
      </c>
      <c r="Q457" t="str">
        <f>IF(P457="","",IF(COUNTIF(P$10:P457,P457)=1,COUNTIF(P$10:P$609,"&lt;"&amp;P457)+1,""))</f>
        <v/>
      </c>
      <c r="BA457" t="str">
        <f>IFERROR(INDEX(wLast,388)&amp;"","")</f>
        <v/>
      </c>
      <c r="BB457" t="str">
        <f>IF(BA457="","",IFERROR(INDEX(wFirst,388)&amp;"",""))</f>
        <v/>
      </c>
      <c r="BC457" t="str">
        <f>IF(BA457="","",IFERROR(INDEX(wClass,388)&amp;"",""))</f>
        <v/>
      </c>
      <c r="BD457" t="str">
        <f>IF(BA457="","",IFERROR(INDEX(wKS2,388)+0,""))</f>
        <v/>
      </c>
      <c r="BE457" t="str">
        <f>IF(BA457="","",IFERROR(INDEX(wTests,388)+0,0))</f>
        <v/>
      </c>
      <c r="BF457" t="str">
        <f>IF(BA457="","",IFERROR(INDEX(wMean,388)+0,""))</f>
        <v/>
      </c>
      <c r="BG457" t="str">
        <f>IF(BA457="","",IFERROR(INDEX(wVs,388)+0,""))</f>
        <v/>
      </c>
      <c r="BH457" t="str">
        <f>IF(OR(BA457="",wLatest=""),"",IFERROR(INDEX(wData,388,MATCH(wLatest&amp;CHAR(10)&amp;"Stanine",wHdr,0))+0,""))</f>
        <v/>
      </c>
      <c r="BI457" t="str">
        <f>IF(BA457="","",IF(AND(ISNUMBER(BG457),N(BE457)&gt;=WlMinTests,BG457&lt;=-WlGap),"Below KS2 starting point",IF(AND(NOT(ISNUMBER(BD457)),ISNUMBER(BF457),N(BE457)&gt;=WlMinTests,BF457&lt;=WlLowMean),"Low results, no KS2 data","")))</f>
        <v/>
      </c>
      <c r="BJ457" t="str">
        <f>IF(BI457="","",IF(BI457="Below KS2 starting point",BG457,100+BF457)+ROW()/1000000)</f>
        <v/>
      </c>
    </row>
    <row r="458">
      <c r="H458" t="str">
        <f>IFERROR(INDEX(tblY7[Class],ROWS(H$10:H458))&amp;"","")</f>
        <v/>
      </c>
      <c r="I458" t="str">
        <f>IF(H458="","",IF(COUNTIF(H$10:H458,H458)=1,COUNTIF(H$10:H$609,"&lt;"&amp;H458)+1,""))</f>
        <v/>
      </c>
      <c r="J458" t="str">
        <f>IFERROR(INDEX(tblY8[Class],ROWS(J$10:J458))&amp;"","")</f>
        <v/>
      </c>
      <c r="K458" t="str">
        <f>IF(J458="","",IF(COUNTIF(J$10:J458,J458)=1,COUNTIF(J$10:J$609,"&lt;"&amp;J458)+1,""))</f>
        <v/>
      </c>
      <c r="L458" t="str">
        <f>IFERROR(INDEX(tblY9[Class],ROWS(L$10:L458))&amp;"","")</f>
        <v/>
      </c>
      <c r="M458" t="str">
        <f>IF(L458="","",IF(COUNTIF(L$10:L458,L458)=1,COUNTIF(L$10:L$609,"&lt;"&amp;L458)+1,""))</f>
        <v/>
      </c>
      <c r="N458" t="str">
        <f>IFERROR(INDEX(tblY10[Class],ROWS(N$10:N458))&amp;"","")</f>
        <v/>
      </c>
      <c r="O458" t="str">
        <f>IF(N458="","",IF(COUNTIF(N$10:N458,N458)=1,COUNTIF(N$10:N$609,"&lt;"&amp;N458)+1,""))</f>
        <v/>
      </c>
      <c r="P458" t="str">
        <f>IFERROR(INDEX(tblY11[Class],ROWS(P$10:P458))&amp;"","")</f>
        <v/>
      </c>
      <c r="Q458" t="str">
        <f>IF(P458="","",IF(COUNTIF(P$10:P458,P458)=1,COUNTIF(P$10:P$609,"&lt;"&amp;P458)+1,""))</f>
        <v/>
      </c>
      <c r="BA458" t="str">
        <f>IFERROR(INDEX(wLast,389)&amp;"","")</f>
        <v/>
      </c>
      <c r="BB458" t="str">
        <f>IF(BA458="","",IFERROR(INDEX(wFirst,389)&amp;"",""))</f>
        <v/>
      </c>
      <c r="BC458" t="str">
        <f>IF(BA458="","",IFERROR(INDEX(wClass,389)&amp;"",""))</f>
        <v/>
      </c>
      <c r="BD458" t="str">
        <f>IF(BA458="","",IFERROR(INDEX(wKS2,389)+0,""))</f>
        <v/>
      </c>
      <c r="BE458" t="str">
        <f>IF(BA458="","",IFERROR(INDEX(wTests,389)+0,0))</f>
        <v/>
      </c>
      <c r="BF458" t="str">
        <f>IF(BA458="","",IFERROR(INDEX(wMean,389)+0,""))</f>
        <v/>
      </c>
      <c r="BG458" t="str">
        <f>IF(BA458="","",IFERROR(INDEX(wVs,389)+0,""))</f>
        <v/>
      </c>
      <c r="BH458" t="str">
        <f>IF(OR(BA458="",wLatest=""),"",IFERROR(INDEX(wData,389,MATCH(wLatest&amp;CHAR(10)&amp;"Stanine",wHdr,0))+0,""))</f>
        <v/>
      </c>
      <c r="BI458" t="str">
        <f>IF(BA458="","",IF(AND(ISNUMBER(BG458),N(BE458)&gt;=WlMinTests,BG458&lt;=-WlGap),"Below KS2 starting point",IF(AND(NOT(ISNUMBER(BD458)),ISNUMBER(BF458),N(BE458)&gt;=WlMinTests,BF458&lt;=WlLowMean),"Low results, no KS2 data","")))</f>
        <v/>
      </c>
      <c r="BJ458" t="str">
        <f>IF(BI458="","",IF(BI458="Below KS2 starting point",BG458,100+BF458)+ROW()/1000000)</f>
        <v/>
      </c>
    </row>
    <row r="459">
      <c r="H459" t="str">
        <f>IFERROR(INDEX(tblY7[Class],ROWS(H$10:H459))&amp;"","")</f>
        <v/>
      </c>
      <c r="I459" t="str">
        <f>IF(H459="","",IF(COUNTIF(H$10:H459,H459)=1,COUNTIF(H$10:H$609,"&lt;"&amp;H459)+1,""))</f>
        <v/>
      </c>
      <c r="J459" t="str">
        <f>IFERROR(INDEX(tblY8[Class],ROWS(J$10:J459))&amp;"","")</f>
        <v/>
      </c>
      <c r="K459" t="str">
        <f>IF(J459="","",IF(COUNTIF(J$10:J459,J459)=1,COUNTIF(J$10:J$609,"&lt;"&amp;J459)+1,""))</f>
        <v/>
      </c>
      <c r="L459" t="str">
        <f>IFERROR(INDEX(tblY9[Class],ROWS(L$10:L459))&amp;"","")</f>
        <v/>
      </c>
      <c r="M459" t="str">
        <f>IF(L459="","",IF(COUNTIF(L$10:L459,L459)=1,COUNTIF(L$10:L$609,"&lt;"&amp;L459)+1,""))</f>
        <v/>
      </c>
      <c r="N459" t="str">
        <f>IFERROR(INDEX(tblY10[Class],ROWS(N$10:N459))&amp;"","")</f>
        <v/>
      </c>
      <c r="O459" t="str">
        <f>IF(N459="","",IF(COUNTIF(N$10:N459,N459)=1,COUNTIF(N$10:N$609,"&lt;"&amp;N459)+1,""))</f>
        <v/>
      </c>
      <c r="P459" t="str">
        <f>IFERROR(INDEX(tblY11[Class],ROWS(P$10:P459))&amp;"","")</f>
        <v/>
      </c>
      <c r="Q459" t="str">
        <f>IF(P459="","",IF(COUNTIF(P$10:P459,P459)=1,COUNTIF(P$10:P$609,"&lt;"&amp;P459)+1,""))</f>
        <v/>
      </c>
      <c r="BA459" t="str">
        <f>IFERROR(INDEX(wLast,390)&amp;"","")</f>
        <v/>
      </c>
      <c r="BB459" t="str">
        <f>IF(BA459="","",IFERROR(INDEX(wFirst,390)&amp;"",""))</f>
        <v/>
      </c>
      <c r="BC459" t="str">
        <f>IF(BA459="","",IFERROR(INDEX(wClass,390)&amp;"",""))</f>
        <v/>
      </c>
      <c r="BD459" t="str">
        <f>IF(BA459="","",IFERROR(INDEX(wKS2,390)+0,""))</f>
        <v/>
      </c>
      <c r="BE459" t="str">
        <f>IF(BA459="","",IFERROR(INDEX(wTests,390)+0,0))</f>
        <v/>
      </c>
      <c r="BF459" t="str">
        <f>IF(BA459="","",IFERROR(INDEX(wMean,390)+0,""))</f>
        <v/>
      </c>
      <c r="BG459" t="str">
        <f>IF(BA459="","",IFERROR(INDEX(wVs,390)+0,""))</f>
        <v/>
      </c>
      <c r="BH459" t="str">
        <f>IF(OR(BA459="",wLatest=""),"",IFERROR(INDEX(wData,390,MATCH(wLatest&amp;CHAR(10)&amp;"Stanine",wHdr,0))+0,""))</f>
        <v/>
      </c>
      <c r="BI459" t="str">
        <f>IF(BA459="","",IF(AND(ISNUMBER(BG459),N(BE459)&gt;=WlMinTests,BG459&lt;=-WlGap),"Below KS2 starting point",IF(AND(NOT(ISNUMBER(BD459)),ISNUMBER(BF459),N(BE459)&gt;=WlMinTests,BF459&lt;=WlLowMean),"Low results, no KS2 data","")))</f>
        <v/>
      </c>
      <c r="BJ459" t="str">
        <f>IF(BI459="","",IF(BI459="Below KS2 starting point",BG459,100+BF459)+ROW()/1000000)</f>
        <v/>
      </c>
    </row>
    <row r="460">
      <c r="H460" t="str">
        <f>IFERROR(INDEX(tblY7[Class],ROWS(H$10:H460))&amp;"","")</f>
        <v/>
      </c>
      <c r="I460" t="str">
        <f>IF(H460="","",IF(COUNTIF(H$10:H460,H460)=1,COUNTIF(H$10:H$609,"&lt;"&amp;H460)+1,""))</f>
        <v/>
      </c>
      <c r="J460" t="str">
        <f>IFERROR(INDEX(tblY8[Class],ROWS(J$10:J460))&amp;"","")</f>
        <v/>
      </c>
      <c r="K460" t="str">
        <f>IF(J460="","",IF(COUNTIF(J$10:J460,J460)=1,COUNTIF(J$10:J$609,"&lt;"&amp;J460)+1,""))</f>
        <v/>
      </c>
      <c r="L460" t="str">
        <f>IFERROR(INDEX(tblY9[Class],ROWS(L$10:L460))&amp;"","")</f>
        <v/>
      </c>
      <c r="M460" t="str">
        <f>IF(L460="","",IF(COUNTIF(L$10:L460,L460)=1,COUNTIF(L$10:L$609,"&lt;"&amp;L460)+1,""))</f>
        <v/>
      </c>
      <c r="N460" t="str">
        <f>IFERROR(INDEX(tblY10[Class],ROWS(N$10:N460))&amp;"","")</f>
        <v/>
      </c>
      <c r="O460" t="str">
        <f>IF(N460="","",IF(COUNTIF(N$10:N460,N460)=1,COUNTIF(N$10:N$609,"&lt;"&amp;N460)+1,""))</f>
        <v/>
      </c>
      <c r="P460" t="str">
        <f>IFERROR(INDEX(tblY11[Class],ROWS(P$10:P460))&amp;"","")</f>
        <v/>
      </c>
      <c r="Q460" t="str">
        <f>IF(P460="","",IF(COUNTIF(P$10:P460,P460)=1,COUNTIF(P$10:P$609,"&lt;"&amp;P460)+1,""))</f>
        <v/>
      </c>
      <c r="BA460" t="str">
        <f>IFERROR(INDEX(wLast,391)&amp;"","")</f>
        <v/>
      </c>
      <c r="BB460" t="str">
        <f>IF(BA460="","",IFERROR(INDEX(wFirst,391)&amp;"",""))</f>
        <v/>
      </c>
      <c r="BC460" t="str">
        <f>IF(BA460="","",IFERROR(INDEX(wClass,391)&amp;"",""))</f>
        <v/>
      </c>
      <c r="BD460" t="str">
        <f>IF(BA460="","",IFERROR(INDEX(wKS2,391)+0,""))</f>
        <v/>
      </c>
      <c r="BE460" t="str">
        <f>IF(BA460="","",IFERROR(INDEX(wTests,391)+0,0))</f>
        <v/>
      </c>
      <c r="BF460" t="str">
        <f>IF(BA460="","",IFERROR(INDEX(wMean,391)+0,""))</f>
        <v/>
      </c>
      <c r="BG460" t="str">
        <f>IF(BA460="","",IFERROR(INDEX(wVs,391)+0,""))</f>
        <v/>
      </c>
      <c r="BH460" t="str">
        <f>IF(OR(BA460="",wLatest=""),"",IFERROR(INDEX(wData,391,MATCH(wLatest&amp;CHAR(10)&amp;"Stanine",wHdr,0))+0,""))</f>
        <v/>
      </c>
      <c r="BI460" t="str">
        <f>IF(BA460="","",IF(AND(ISNUMBER(BG460),N(BE460)&gt;=WlMinTests,BG460&lt;=-WlGap),"Below KS2 starting point",IF(AND(NOT(ISNUMBER(BD460)),ISNUMBER(BF460),N(BE460)&gt;=WlMinTests,BF460&lt;=WlLowMean),"Low results, no KS2 data","")))</f>
        <v/>
      </c>
      <c r="BJ460" t="str">
        <f>IF(BI460="","",IF(BI460="Below KS2 starting point",BG460,100+BF460)+ROW()/1000000)</f>
        <v/>
      </c>
    </row>
    <row r="461">
      <c r="H461" t="str">
        <f>IFERROR(INDEX(tblY7[Class],ROWS(H$10:H461))&amp;"","")</f>
        <v/>
      </c>
      <c r="I461" t="str">
        <f>IF(H461="","",IF(COUNTIF(H$10:H461,H461)=1,COUNTIF(H$10:H$609,"&lt;"&amp;H461)+1,""))</f>
        <v/>
      </c>
      <c r="J461" t="str">
        <f>IFERROR(INDEX(tblY8[Class],ROWS(J$10:J461))&amp;"","")</f>
        <v/>
      </c>
      <c r="K461" t="str">
        <f>IF(J461="","",IF(COUNTIF(J$10:J461,J461)=1,COUNTIF(J$10:J$609,"&lt;"&amp;J461)+1,""))</f>
        <v/>
      </c>
      <c r="L461" t="str">
        <f>IFERROR(INDEX(tblY9[Class],ROWS(L$10:L461))&amp;"","")</f>
        <v/>
      </c>
      <c r="M461" t="str">
        <f>IF(L461="","",IF(COUNTIF(L$10:L461,L461)=1,COUNTIF(L$10:L$609,"&lt;"&amp;L461)+1,""))</f>
        <v/>
      </c>
      <c r="N461" t="str">
        <f>IFERROR(INDEX(tblY10[Class],ROWS(N$10:N461))&amp;"","")</f>
        <v/>
      </c>
      <c r="O461" t="str">
        <f>IF(N461="","",IF(COUNTIF(N$10:N461,N461)=1,COUNTIF(N$10:N$609,"&lt;"&amp;N461)+1,""))</f>
        <v/>
      </c>
      <c r="P461" t="str">
        <f>IFERROR(INDEX(tblY11[Class],ROWS(P$10:P461))&amp;"","")</f>
        <v/>
      </c>
      <c r="Q461" t="str">
        <f>IF(P461="","",IF(COUNTIF(P$10:P461,P461)=1,COUNTIF(P$10:P$609,"&lt;"&amp;P461)+1,""))</f>
        <v/>
      </c>
      <c r="BA461" t="str">
        <f>IFERROR(INDEX(wLast,392)&amp;"","")</f>
        <v/>
      </c>
      <c r="BB461" t="str">
        <f>IF(BA461="","",IFERROR(INDEX(wFirst,392)&amp;"",""))</f>
        <v/>
      </c>
      <c r="BC461" t="str">
        <f>IF(BA461="","",IFERROR(INDEX(wClass,392)&amp;"",""))</f>
        <v/>
      </c>
      <c r="BD461" t="str">
        <f>IF(BA461="","",IFERROR(INDEX(wKS2,392)+0,""))</f>
        <v/>
      </c>
      <c r="BE461" t="str">
        <f>IF(BA461="","",IFERROR(INDEX(wTests,392)+0,0))</f>
        <v/>
      </c>
      <c r="BF461" t="str">
        <f>IF(BA461="","",IFERROR(INDEX(wMean,392)+0,""))</f>
        <v/>
      </c>
      <c r="BG461" t="str">
        <f>IF(BA461="","",IFERROR(INDEX(wVs,392)+0,""))</f>
        <v/>
      </c>
      <c r="BH461" t="str">
        <f>IF(OR(BA461="",wLatest=""),"",IFERROR(INDEX(wData,392,MATCH(wLatest&amp;CHAR(10)&amp;"Stanine",wHdr,0))+0,""))</f>
        <v/>
      </c>
      <c r="BI461" t="str">
        <f>IF(BA461="","",IF(AND(ISNUMBER(BG461),N(BE461)&gt;=WlMinTests,BG461&lt;=-WlGap),"Below KS2 starting point",IF(AND(NOT(ISNUMBER(BD461)),ISNUMBER(BF461),N(BE461)&gt;=WlMinTests,BF461&lt;=WlLowMean),"Low results, no KS2 data","")))</f>
        <v/>
      </c>
      <c r="BJ461" t="str">
        <f>IF(BI461="","",IF(BI461="Below KS2 starting point",BG461,100+BF461)+ROW()/1000000)</f>
        <v/>
      </c>
    </row>
    <row r="462">
      <c r="H462" t="str">
        <f>IFERROR(INDEX(tblY7[Class],ROWS(H$10:H462))&amp;"","")</f>
        <v/>
      </c>
      <c r="I462" t="str">
        <f>IF(H462="","",IF(COUNTIF(H$10:H462,H462)=1,COUNTIF(H$10:H$609,"&lt;"&amp;H462)+1,""))</f>
        <v/>
      </c>
      <c r="J462" t="str">
        <f>IFERROR(INDEX(tblY8[Class],ROWS(J$10:J462))&amp;"","")</f>
        <v/>
      </c>
      <c r="K462" t="str">
        <f>IF(J462="","",IF(COUNTIF(J$10:J462,J462)=1,COUNTIF(J$10:J$609,"&lt;"&amp;J462)+1,""))</f>
        <v/>
      </c>
      <c r="L462" t="str">
        <f>IFERROR(INDEX(tblY9[Class],ROWS(L$10:L462))&amp;"","")</f>
        <v/>
      </c>
      <c r="M462" t="str">
        <f>IF(L462="","",IF(COUNTIF(L$10:L462,L462)=1,COUNTIF(L$10:L$609,"&lt;"&amp;L462)+1,""))</f>
        <v/>
      </c>
      <c r="N462" t="str">
        <f>IFERROR(INDEX(tblY10[Class],ROWS(N$10:N462))&amp;"","")</f>
        <v/>
      </c>
      <c r="O462" t="str">
        <f>IF(N462="","",IF(COUNTIF(N$10:N462,N462)=1,COUNTIF(N$10:N$609,"&lt;"&amp;N462)+1,""))</f>
        <v/>
      </c>
      <c r="P462" t="str">
        <f>IFERROR(INDEX(tblY11[Class],ROWS(P$10:P462))&amp;"","")</f>
        <v/>
      </c>
      <c r="Q462" t="str">
        <f>IF(P462="","",IF(COUNTIF(P$10:P462,P462)=1,COUNTIF(P$10:P$609,"&lt;"&amp;P462)+1,""))</f>
        <v/>
      </c>
      <c r="BA462" t="str">
        <f>IFERROR(INDEX(wLast,393)&amp;"","")</f>
        <v/>
      </c>
      <c r="BB462" t="str">
        <f>IF(BA462="","",IFERROR(INDEX(wFirst,393)&amp;"",""))</f>
        <v/>
      </c>
      <c r="BC462" t="str">
        <f>IF(BA462="","",IFERROR(INDEX(wClass,393)&amp;"",""))</f>
        <v/>
      </c>
      <c r="BD462" t="str">
        <f>IF(BA462="","",IFERROR(INDEX(wKS2,393)+0,""))</f>
        <v/>
      </c>
      <c r="BE462" t="str">
        <f>IF(BA462="","",IFERROR(INDEX(wTests,393)+0,0))</f>
        <v/>
      </c>
      <c r="BF462" t="str">
        <f>IF(BA462="","",IFERROR(INDEX(wMean,393)+0,""))</f>
        <v/>
      </c>
      <c r="BG462" t="str">
        <f>IF(BA462="","",IFERROR(INDEX(wVs,393)+0,""))</f>
        <v/>
      </c>
      <c r="BH462" t="str">
        <f>IF(OR(BA462="",wLatest=""),"",IFERROR(INDEX(wData,393,MATCH(wLatest&amp;CHAR(10)&amp;"Stanine",wHdr,0))+0,""))</f>
        <v/>
      </c>
      <c r="BI462" t="str">
        <f>IF(BA462="","",IF(AND(ISNUMBER(BG462),N(BE462)&gt;=WlMinTests,BG462&lt;=-WlGap),"Below KS2 starting point",IF(AND(NOT(ISNUMBER(BD462)),ISNUMBER(BF462),N(BE462)&gt;=WlMinTests,BF462&lt;=WlLowMean),"Low results, no KS2 data","")))</f>
        <v/>
      </c>
      <c r="BJ462" t="str">
        <f>IF(BI462="","",IF(BI462="Below KS2 starting point",BG462,100+BF462)+ROW()/1000000)</f>
        <v/>
      </c>
    </row>
    <row r="463">
      <c r="H463" t="str">
        <f>IFERROR(INDEX(tblY7[Class],ROWS(H$10:H463))&amp;"","")</f>
        <v/>
      </c>
      <c r="I463" t="str">
        <f>IF(H463="","",IF(COUNTIF(H$10:H463,H463)=1,COUNTIF(H$10:H$609,"&lt;"&amp;H463)+1,""))</f>
        <v/>
      </c>
      <c r="J463" t="str">
        <f>IFERROR(INDEX(tblY8[Class],ROWS(J$10:J463))&amp;"","")</f>
        <v/>
      </c>
      <c r="K463" t="str">
        <f>IF(J463="","",IF(COUNTIF(J$10:J463,J463)=1,COUNTIF(J$10:J$609,"&lt;"&amp;J463)+1,""))</f>
        <v/>
      </c>
      <c r="L463" t="str">
        <f>IFERROR(INDEX(tblY9[Class],ROWS(L$10:L463))&amp;"","")</f>
        <v/>
      </c>
      <c r="M463" t="str">
        <f>IF(L463="","",IF(COUNTIF(L$10:L463,L463)=1,COUNTIF(L$10:L$609,"&lt;"&amp;L463)+1,""))</f>
        <v/>
      </c>
      <c r="N463" t="str">
        <f>IFERROR(INDEX(tblY10[Class],ROWS(N$10:N463))&amp;"","")</f>
        <v/>
      </c>
      <c r="O463" t="str">
        <f>IF(N463="","",IF(COUNTIF(N$10:N463,N463)=1,COUNTIF(N$10:N$609,"&lt;"&amp;N463)+1,""))</f>
        <v/>
      </c>
      <c r="P463" t="str">
        <f>IFERROR(INDEX(tblY11[Class],ROWS(P$10:P463))&amp;"","")</f>
        <v/>
      </c>
      <c r="Q463" t="str">
        <f>IF(P463="","",IF(COUNTIF(P$10:P463,P463)=1,COUNTIF(P$10:P$609,"&lt;"&amp;P463)+1,""))</f>
        <v/>
      </c>
      <c r="BA463" t="str">
        <f>IFERROR(INDEX(wLast,394)&amp;"","")</f>
        <v/>
      </c>
      <c r="BB463" t="str">
        <f>IF(BA463="","",IFERROR(INDEX(wFirst,394)&amp;"",""))</f>
        <v/>
      </c>
      <c r="BC463" t="str">
        <f>IF(BA463="","",IFERROR(INDEX(wClass,394)&amp;"",""))</f>
        <v/>
      </c>
      <c r="BD463" t="str">
        <f>IF(BA463="","",IFERROR(INDEX(wKS2,394)+0,""))</f>
        <v/>
      </c>
      <c r="BE463" t="str">
        <f>IF(BA463="","",IFERROR(INDEX(wTests,394)+0,0))</f>
        <v/>
      </c>
      <c r="BF463" t="str">
        <f>IF(BA463="","",IFERROR(INDEX(wMean,394)+0,""))</f>
        <v/>
      </c>
      <c r="BG463" t="str">
        <f>IF(BA463="","",IFERROR(INDEX(wVs,394)+0,""))</f>
        <v/>
      </c>
      <c r="BH463" t="str">
        <f>IF(OR(BA463="",wLatest=""),"",IFERROR(INDEX(wData,394,MATCH(wLatest&amp;CHAR(10)&amp;"Stanine",wHdr,0))+0,""))</f>
        <v/>
      </c>
      <c r="BI463" t="str">
        <f>IF(BA463="","",IF(AND(ISNUMBER(BG463),N(BE463)&gt;=WlMinTests,BG463&lt;=-WlGap),"Below KS2 starting point",IF(AND(NOT(ISNUMBER(BD463)),ISNUMBER(BF463),N(BE463)&gt;=WlMinTests,BF463&lt;=WlLowMean),"Low results, no KS2 data","")))</f>
        <v/>
      </c>
      <c r="BJ463" t="str">
        <f>IF(BI463="","",IF(BI463="Below KS2 starting point",BG463,100+BF463)+ROW()/1000000)</f>
        <v/>
      </c>
    </row>
    <row r="464">
      <c r="H464" t="str">
        <f>IFERROR(INDEX(tblY7[Class],ROWS(H$10:H464))&amp;"","")</f>
        <v/>
      </c>
      <c r="I464" t="str">
        <f>IF(H464="","",IF(COUNTIF(H$10:H464,H464)=1,COUNTIF(H$10:H$609,"&lt;"&amp;H464)+1,""))</f>
        <v/>
      </c>
      <c r="J464" t="str">
        <f>IFERROR(INDEX(tblY8[Class],ROWS(J$10:J464))&amp;"","")</f>
        <v/>
      </c>
      <c r="K464" t="str">
        <f>IF(J464="","",IF(COUNTIF(J$10:J464,J464)=1,COUNTIF(J$10:J$609,"&lt;"&amp;J464)+1,""))</f>
        <v/>
      </c>
      <c r="L464" t="str">
        <f>IFERROR(INDEX(tblY9[Class],ROWS(L$10:L464))&amp;"","")</f>
        <v/>
      </c>
      <c r="M464" t="str">
        <f>IF(L464="","",IF(COUNTIF(L$10:L464,L464)=1,COUNTIF(L$10:L$609,"&lt;"&amp;L464)+1,""))</f>
        <v/>
      </c>
      <c r="N464" t="str">
        <f>IFERROR(INDEX(tblY10[Class],ROWS(N$10:N464))&amp;"","")</f>
        <v/>
      </c>
      <c r="O464" t="str">
        <f>IF(N464="","",IF(COUNTIF(N$10:N464,N464)=1,COUNTIF(N$10:N$609,"&lt;"&amp;N464)+1,""))</f>
        <v/>
      </c>
      <c r="P464" t="str">
        <f>IFERROR(INDEX(tblY11[Class],ROWS(P$10:P464))&amp;"","")</f>
        <v/>
      </c>
      <c r="Q464" t="str">
        <f>IF(P464="","",IF(COUNTIF(P$10:P464,P464)=1,COUNTIF(P$10:P$609,"&lt;"&amp;P464)+1,""))</f>
        <v/>
      </c>
      <c r="BA464" t="str">
        <f>IFERROR(INDEX(wLast,395)&amp;"","")</f>
        <v/>
      </c>
      <c r="BB464" t="str">
        <f>IF(BA464="","",IFERROR(INDEX(wFirst,395)&amp;"",""))</f>
        <v/>
      </c>
      <c r="BC464" t="str">
        <f>IF(BA464="","",IFERROR(INDEX(wClass,395)&amp;"",""))</f>
        <v/>
      </c>
      <c r="BD464" t="str">
        <f>IF(BA464="","",IFERROR(INDEX(wKS2,395)+0,""))</f>
        <v/>
      </c>
      <c r="BE464" t="str">
        <f>IF(BA464="","",IFERROR(INDEX(wTests,395)+0,0))</f>
        <v/>
      </c>
      <c r="BF464" t="str">
        <f>IF(BA464="","",IFERROR(INDEX(wMean,395)+0,""))</f>
        <v/>
      </c>
      <c r="BG464" t="str">
        <f>IF(BA464="","",IFERROR(INDEX(wVs,395)+0,""))</f>
        <v/>
      </c>
      <c r="BH464" t="str">
        <f>IF(OR(BA464="",wLatest=""),"",IFERROR(INDEX(wData,395,MATCH(wLatest&amp;CHAR(10)&amp;"Stanine",wHdr,0))+0,""))</f>
        <v/>
      </c>
      <c r="BI464" t="str">
        <f>IF(BA464="","",IF(AND(ISNUMBER(BG464),N(BE464)&gt;=WlMinTests,BG464&lt;=-WlGap),"Below KS2 starting point",IF(AND(NOT(ISNUMBER(BD464)),ISNUMBER(BF464),N(BE464)&gt;=WlMinTests,BF464&lt;=WlLowMean),"Low results, no KS2 data","")))</f>
        <v/>
      </c>
      <c r="BJ464" t="str">
        <f>IF(BI464="","",IF(BI464="Below KS2 starting point",BG464,100+BF464)+ROW()/1000000)</f>
        <v/>
      </c>
    </row>
    <row r="465">
      <c r="H465" t="str">
        <f>IFERROR(INDEX(tblY7[Class],ROWS(H$10:H465))&amp;"","")</f>
        <v/>
      </c>
      <c r="I465" t="str">
        <f>IF(H465="","",IF(COUNTIF(H$10:H465,H465)=1,COUNTIF(H$10:H$609,"&lt;"&amp;H465)+1,""))</f>
        <v/>
      </c>
      <c r="J465" t="str">
        <f>IFERROR(INDEX(tblY8[Class],ROWS(J$10:J465))&amp;"","")</f>
        <v/>
      </c>
      <c r="K465" t="str">
        <f>IF(J465="","",IF(COUNTIF(J$10:J465,J465)=1,COUNTIF(J$10:J$609,"&lt;"&amp;J465)+1,""))</f>
        <v/>
      </c>
      <c r="L465" t="str">
        <f>IFERROR(INDEX(tblY9[Class],ROWS(L$10:L465))&amp;"","")</f>
        <v/>
      </c>
      <c r="M465" t="str">
        <f>IF(L465="","",IF(COUNTIF(L$10:L465,L465)=1,COUNTIF(L$10:L$609,"&lt;"&amp;L465)+1,""))</f>
        <v/>
      </c>
      <c r="N465" t="str">
        <f>IFERROR(INDEX(tblY10[Class],ROWS(N$10:N465))&amp;"","")</f>
        <v/>
      </c>
      <c r="O465" t="str">
        <f>IF(N465="","",IF(COUNTIF(N$10:N465,N465)=1,COUNTIF(N$10:N$609,"&lt;"&amp;N465)+1,""))</f>
        <v/>
      </c>
      <c r="P465" t="str">
        <f>IFERROR(INDEX(tblY11[Class],ROWS(P$10:P465))&amp;"","")</f>
        <v/>
      </c>
      <c r="Q465" t="str">
        <f>IF(P465="","",IF(COUNTIF(P$10:P465,P465)=1,COUNTIF(P$10:P$609,"&lt;"&amp;P465)+1,""))</f>
        <v/>
      </c>
      <c r="BA465" t="str">
        <f>IFERROR(INDEX(wLast,396)&amp;"","")</f>
        <v/>
      </c>
      <c r="BB465" t="str">
        <f>IF(BA465="","",IFERROR(INDEX(wFirst,396)&amp;"",""))</f>
        <v/>
      </c>
      <c r="BC465" t="str">
        <f>IF(BA465="","",IFERROR(INDEX(wClass,396)&amp;"",""))</f>
        <v/>
      </c>
      <c r="BD465" t="str">
        <f>IF(BA465="","",IFERROR(INDEX(wKS2,396)+0,""))</f>
        <v/>
      </c>
      <c r="BE465" t="str">
        <f>IF(BA465="","",IFERROR(INDEX(wTests,396)+0,0))</f>
        <v/>
      </c>
      <c r="BF465" t="str">
        <f>IF(BA465="","",IFERROR(INDEX(wMean,396)+0,""))</f>
        <v/>
      </c>
      <c r="BG465" t="str">
        <f>IF(BA465="","",IFERROR(INDEX(wVs,396)+0,""))</f>
        <v/>
      </c>
      <c r="BH465" t="str">
        <f>IF(OR(BA465="",wLatest=""),"",IFERROR(INDEX(wData,396,MATCH(wLatest&amp;CHAR(10)&amp;"Stanine",wHdr,0))+0,""))</f>
        <v/>
      </c>
      <c r="BI465" t="str">
        <f>IF(BA465="","",IF(AND(ISNUMBER(BG465),N(BE465)&gt;=WlMinTests,BG465&lt;=-WlGap),"Below KS2 starting point",IF(AND(NOT(ISNUMBER(BD465)),ISNUMBER(BF465),N(BE465)&gt;=WlMinTests,BF465&lt;=WlLowMean),"Low results, no KS2 data","")))</f>
        <v/>
      </c>
      <c r="BJ465" t="str">
        <f>IF(BI465="","",IF(BI465="Below KS2 starting point",BG465,100+BF465)+ROW()/1000000)</f>
        <v/>
      </c>
    </row>
    <row r="466">
      <c r="H466" t="str">
        <f>IFERROR(INDEX(tblY7[Class],ROWS(H$10:H466))&amp;"","")</f>
        <v/>
      </c>
      <c r="I466" t="str">
        <f>IF(H466="","",IF(COUNTIF(H$10:H466,H466)=1,COUNTIF(H$10:H$609,"&lt;"&amp;H466)+1,""))</f>
        <v/>
      </c>
      <c r="J466" t="str">
        <f>IFERROR(INDEX(tblY8[Class],ROWS(J$10:J466))&amp;"","")</f>
        <v/>
      </c>
      <c r="K466" t="str">
        <f>IF(J466="","",IF(COUNTIF(J$10:J466,J466)=1,COUNTIF(J$10:J$609,"&lt;"&amp;J466)+1,""))</f>
        <v/>
      </c>
      <c r="L466" t="str">
        <f>IFERROR(INDEX(tblY9[Class],ROWS(L$10:L466))&amp;"","")</f>
        <v/>
      </c>
      <c r="M466" t="str">
        <f>IF(L466="","",IF(COUNTIF(L$10:L466,L466)=1,COUNTIF(L$10:L$609,"&lt;"&amp;L466)+1,""))</f>
        <v/>
      </c>
      <c r="N466" t="str">
        <f>IFERROR(INDEX(tblY10[Class],ROWS(N$10:N466))&amp;"","")</f>
        <v/>
      </c>
      <c r="O466" t="str">
        <f>IF(N466="","",IF(COUNTIF(N$10:N466,N466)=1,COUNTIF(N$10:N$609,"&lt;"&amp;N466)+1,""))</f>
        <v/>
      </c>
      <c r="P466" t="str">
        <f>IFERROR(INDEX(tblY11[Class],ROWS(P$10:P466))&amp;"","")</f>
        <v/>
      </c>
      <c r="Q466" t="str">
        <f>IF(P466="","",IF(COUNTIF(P$10:P466,P466)=1,COUNTIF(P$10:P$609,"&lt;"&amp;P466)+1,""))</f>
        <v/>
      </c>
      <c r="BA466" t="str">
        <f>IFERROR(INDEX(wLast,397)&amp;"","")</f>
        <v/>
      </c>
      <c r="BB466" t="str">
        <f>IF(BA466="","",IFERROR(INDEX(wFirst,397)&amp;"",""))</f>
        <v/>
      </c>
      <c r="BC466" t="str">
        <f>IF(BA466="","",IFERROR(INDEX(wClass,397)&amp;"",""))</f>
        <v/>
      </c>
      <c r="BD466" t="str">
        <f>IF(BA466="","",IFERROR(INDEX(wKS2,397)+0,""))</f>
        <v/>
      </c>
      <c r="BE466" t="str">
        <f>IF(BA466="","",IFERROR(INDEX(wTests,397)+0,0))</f>
        <v/>
      </c>
      <c r="BF466" t="str">
        <f>IF(BA466="","",IFERROR(INDEX(wMean,397)+0,""))</f>
        <v/>
      </c>
      <c r="BG466" t="str">
        <f>IF(BA466="","",IFERROR(INDEX(wVs,397)+0,""))</f>
        <v/>
      </c>
      <c r="BH466" t="str">
        <f>IF(OR(BA466="",wLatest=""),"",IFERROR(INDEX(wData,397,MATCH(wLatest&amp;CHAR(10)&amp;"Stanine",wHdr,0))+0,""))</f>
        <v/>
      </c>
      <c r="BI466" t="str">
        <f>IF(BA466="","",IF(AND(ISNUMBER(BG466),N(BE466)&gt;=WlMinTests,BG466&lt;=-WlGap),"Below KS2 starting point",IF(AND(NOT(ISNUMBER(BD466)),ISNUMBER(BF466),N(BE466)&gt;=WlMinTests,BF466&lt;=WlLowMean),"Low results, no KS2 data","")))</f>
        <v/>
      </c>
      <c r="BJ466" t="str">
        <f>IF(BI466="","",IF(BI466="Below KS2 starting point",BG466,100+BF466)+ROW()/1000000)</f>
        <v/>
      </c>
    </row>
    <row r="467">
      <c r="H467" t="str">
        <f>IFERROR(INDEX(tblY7[Class],ROWS(H$10:H467))&amp;"","")</f>
        <v/>
      </c>
      <c r="I467" t="str">
        <f>IF(H467="","",IF(COUNTIF(H$10:H467,H467)=1,COUNTIF(H$10:H$609,"&lt;"&amp;H467)+1,""))</f>
        <v/>
      </c>
      <c r="J467" t="str">
        <f>IFERROR(INDEX(tblY8[Class],ROWS(J$10:J467))&amp;"","")</f>
        <v/>
      </c>
      <c r="K467" t="str">
        <f>IF(J467="","",IF(COUNTIF(J$10:J467,J467)=1,COUNTIF(J$10:J$609,"&lt;"&amp;J467)+1,""))</f>
        <v/>
      </c>
      <c r="L467" t="str">
        <f>IFERROR(INDEX(tblY9[Class],ROWS(L$10:L467))&amp;"","")</f>
        <v/>
      </c>
      <c r="M467" t="str">
        <f>IF(L467="","",IF(COUNTIF(L$10:L467,L467)=1,COUNTIF(L$10:L$609,"&lt;"&amp;L467)+1,""))</f>
        <v/>
      </c>
      <c r="N467" t="str">
        <f>IFERROR(INDEX(tblY10[Class],ROWS(N$10:N467))&amp;"","")</f>
        <v/>
      </c>
      <c r="O467" t="str">
        <f>IF(N467="","",IF(COUNTIF(N$10:N467,N467)=1,COUNTIF(N$10:N$609,"&lt;"&amp;N467)+1,""))</f>
        <v/>
      </c>
      <c r="P467" t="str">
        <f>IFERROR(INDEX(tblY11[Class],ROWS(P$10:P467))&amp;"","")</f>
        <v/>
      </c>
      <c r="Q467" t="str">
        <f>IF(P467="","",IF(COUNTIF(P$10:P467,P467)=1,COUNTIF(P$10:P$609,"&lt;"&amp;P467)+1,""))</f>
        <v/>
      </c>
      <c r="BA467" t="str">
        <f>IFERROR(INDEX(wLast,398)&amp;"","")</f>
        <v/>
      </c>
      <c r="BB467" t="str">
        <f>IF(BA467="","",IFERROR(INDEX(wFirst,398)&amp;"",""))</f>
        <v/>
      </c>
      <c r="BC467" t="str">
        <f>IF(BA467="","",IFERROR(INDEX(wClass,398)&amp;"",""))</f>
        <v/>
      </c>
      <c r="BD467" t="str">
        <f>IF(BA467="","",IFERROR(INDEX(wKS2,398)+0,""))</f>
        <v/>
      </c>
      <c r="BE467" t="str">
        <f>IF(BA467="","",IFERROR(INDEX(wTests,398)+0,0))</f>
        <v/>
      </c>
      <c r="BF467" t="str">
        <f>IF(BA467="","",IFERROR(INDEX(wMean,398)+0,""))</f>
        <v/>
      </c>
      <c r="BG467" t="str">
        <f>IF(BA467="","",IFERROR(INDEX(wVs,398)+0,""))</f>
        <v/>
      </c>
      <c r="BH467" t="str">
        <f>IF(OR(BA467="",wLatest=""),"",IFERROR(INDEX(wData,398,MATCH(wLatest&amp;CHAR(10)&amp;"Stanine",wHdr,0))+0,""))</f>
        <v/>
      </c>
      <c r="BI467" t="str">
        <f>IF(BA467="","",IF(AND(ISNUMBER(BG467),N(BE467)&gt;=WlMinTests,BG467&lt;=-WlGap),"Below KS2 starting point",IF(AND(NOT(ISNUMBER(BD467)),ISNUMBER(BF467),N(BE467)&gt;=WlMinTests,BF467&lt;=WlLowMean),"Low results, no KS2 data","")))</f>
        <v/>
      </c>
      <c r="BJ467" t="str">
        <f>IF(BI467="","",IF(BI467="Below KS2 starting point",BG467,100+BF467)+ROW()/1000000)</f>
        <v/>
      </c>
    </row>
    <row r="468">
      <c r="H468" t="str">
        <f>IFERROR(INDEX(tblY7[Class],ROWS(H$10:H468))&amp;"","")</f>
        <v/>
      </c>
      <c r="I468" t="str">
        <f>IF(H468="","",IF(COUNTIF(H$10:H468,H468)=1,COUNTIF(H$10:H$609,"&lt;"&amp;H468)+1,""))</f>
        <v/>
      </c>
      <c r="J468" t="str">
        <f>IFERROR(INDEX(tblY8[Class],ROWS(J$10:J468))&amp;"","")</f>
        <v/>
      </c>
      <c r="K468" t="str">
        <f>IF(J468="","",IF(COUNTIF(J$10:J468,J468)=1,COUNTIF(J$10:J$609,"&lt;"&amp;J468)+1,""))</f>
        <v/>
      </c>
      <c r="L468" t="str">
        <f>IFERROR(INDEX(tblY9[Class],ROWS(L$10:L468))&amp;"","")</f>
        <v/>
      </c>
      <c r="M468" t="str">
        <f>IF(L468="","",IF(COUNTIF(L$10:L468,L468)=1,COUNTIF(L$10:L$609,"&lt;"&amp;L468)+1,""))</f>
        <v/>
      </c>
      <c r="N468" t="str">
        <f>IFERROR(INDEX(tblY10[Class],ROWS(N$10:N468))&amp;"","")</f>
        <v/>
      </c>
      <c r="O468" t="str">
        <f>IF(N468="","",IF(COUNTIF(N$10:N468,N468)=1,COUNTIF(N$10:N$609,"&lt;"&amp;N468)+1,""))</f>
        <v/>
      </c>
      <c r="P468" t="str">
        <f>IFERROR(INDEX(tblY11[Class],ROWS(P$10:P468))&amp;"","")</f>
        <v/>
      </c>
      <c r="Q468" t="str">
        <f>IF(P468="","",IF(COUNTIF(P$10:P468,P468)=1,COUNTIF(P$10:P$609,"&lt;"&amp;P468)+1,""))</f>
        <v/>
      </c>
      <c r="BA468" t="str">
        <f>IFERROR(INDEX(wLast,399)&amp;"","")</f>
        <v/>
      </c>
      <c r="BB468" t="str">
        <f>IF(BA468="","",IFERROR(INDEX(wFirst,399)&amp;"",""))</f>
        <v/>
      </c>
      <c r="BC468" t="str">
        <f>IF(BA468="","",IFERROR(INDEX(wClass,399)&amp;"",""))</f>
        <v/>
      </c>
      <c r="BD468" t="str">
        <f>IF(BA468="","",IFERROR(INDEX(wKS2,399)+0,""))</f>
        <v/>
      </c>
      <c r="BE468" t="str">
        <f>IF(BA468="","",IFERROR(INDEX(wTests,399)+0,0))</f>
        <v/>
      </c>
      <c r="BF468" t="str">
        <f>IF(BA468="","",IFERROR(INDEX(wMean,399)+0,""))</f>
        <v/>
      </c>
      <c r="BG468" t="str">
        <f>IF(BA468="","",IFERROR(INDEX(wVs,399)+0,""))</f>
        <v/>
      </c>
      <c r="BH468" t="str">
        <f>IF(OR(BA468="",wLatest=""),"",IFERROR(INDEX(wData,399,MATCH(wLatest&amp;CHAR(10)&amp;"Stanine",wHdr,0))+0,""))</f>
        <v/>
      </c>
      <c r="BI468" t="str">
        <f>IF(BA468="","",IF(AND(ISNUMBER(BG468),N(BE468)&gt;=WlMinTests,BG468&lt;=-WlGap),"Below KS2 starting point",IF(AND(NOT(ISNUMBER(BD468)),ISNUMBER(BF468),N(BE468)&gt;=WlMinTests,BF468&lt;=WlLowMean),"Low results, no KS2 data","")))</f>
        <v/>
      </c>
      <c r="BJ468" t="str">
        <f>IF(BI468="","",IF(BI468="Below KS2 starting point",BG468,100+BF468)+ROW()/1000000)</f>
        <v/>
      </c>
    </row>
    <row r="469">
      <c r="H469" t="str">
        <f>IFERROR(INDEX(tblY7[Class],ROWS(H$10:H469))&amp;"","")</f>
        <v/>
      </c>
      <c r="I469" t="str">
        <f>IF(H469="","",IF(COUNTIF(H$10:H469,H469)=1,COUNTIF(H$10:H$609,"&lt;"&amp;H469)+1,""))</f>
        <v/>
      </c>
      <c r="J469" t="str">
        <f>IFERROR(INDEX(tblY8[Class],ROWS(J$10:J469))&amp;"","")</f>
        <v/>
      </c>
      <c r="K469" t="str">
        <f>IF(J469="","",IF(COUNTIF(J$10:J469,J469)=1,COUNTIF(J$10:J$609,"&lt;"&amp;J469)+1,""))</f>
        <v/>
      </c>
      <c r="L469" t="str">
        <f>IFERROR(INDEX(tblY9[Class],ROWS(L$10:L469))&amp;"","")</f>
        <v/>
      </c>
      <c r="M469" t="str">
        <f>IF(L469="","",IF(COUNTIF(L$10:L469,L469)=1,COUNTIF(L$10:L$609,"&lt;"&amp;L469)+1,""))</f>
        <v/>
      </c>
      <c r="N469" t="str">
        <f>IFERROR(INDEX(tblY10[Class],ROWS(N$10:N469))&amp;"","")</f>
        <v/>
      </c>
      <c r="O469" t="str">
        <f>IF(N469="","",IF(COUNTIF(N$10:N469,N469)=1,COUNTIF(N$10:N$609,"&lt;"&amp;N469)+1,""))</f>
        <v/>
      </c>
      <c r="P469" t="str">
        <f>IFERROR(INDEX(tblY11[Class],ROWS(P$10:P469))&amp;"","")</f>
        <v/>
      </c>
      <c r="Q469" t="str">
        <f>IF(P469="","",IF(COUNTIF(P$10:P469,P469)=1,COUNTIF(P$10:P$609,"&lt;"&amp;P469)+1,""))</f>
        <v/>
      </c>
      <c r="BA469" t="str">
        <f>IFERROR(INDEX(wLast,400)&amp;"","")</f>
        <v/>
      </c>
      <c r="BB469" t="str">
        <f>IF(BA469="","",IFERROR(INDEX(wFirst,400)&amp;"",""))</f>
        <v/>
      </c>
      <c r="BC469" t="str">
        <f>IF(BA469="","",IFERROR(INDEX(wClass,400)&amp;"",""))</f>
        <v/>
      </c>
      <c r="BD469" t="str">
        <f>IF(BA469="","",IFERROR(INDEX(wKS2,400)+0,""))</f>
        <v/>
      </c>
      <c r="BE469" t="str">
        <f>IF(BA469="","",IFERROR(INDEX(wTests,400)+0,0))</f>
        <v/>
      </c>
      <c r="BF469" t="str">
        <f>IF(BA469="","",IFERROR(INDEX(wMean,400)+0,""))</f>
        <v/>
      </c>
      <c r="BG469" t="str">
        <f>IF(BA469="","",IFERROR(INDEX(wVs,400)+0,""))</f>
        <v/>
      </c>
      <c r="BH469" t="str">
        <f>IF(OR(BA469="",wLatest=""),"",IFERROR(INDEX(wData,400,MATCH(wLatest&amp;CHAR(10)&amp;"Stanine",wHdr,0))+0,""))</f>
        <v/>
      </c>
      <c r="BI469" t="str">
        <f>IF(BA469="","",IF(AND(ISNUMBER(BG469),N(BE469)&gt;=WlMinTests,BG469&lt;=-WlGap),"Below KS2 starting point",IF(AND(NOT(ISNUMBER(BD469)),ISNUMBER(BF469),N(BE469)&gt;=WlMinTests,BF469&lt;=WlLowMean),"Low results, no KS2 data","")))</f>
        <v/>
      </c>
      <c r="BJ469" t="str">
        <f>IF(BI469="","",IF(BI469="Below KS2 starting point",BG469,100+BF469)+ROW()/1000000)</f>
        <v/>
      </c>
    </row>
    <row r="470">
      <c r="H470" t="str">
        <f>IFERROR(INDEX(tblY7[Class],ROWS(H$10:H470))&amp;"","")</f>
        <v/>
      </c>
      <c r="I470" t="str">
        <f>IF(H470="","",IF(COUNTIF(H$10:H470,H470)=1,COUNTIF(H$10:H$609,"&lt;"&amp;H470)+1,""))</f>
        <v/>
      </c>
      <c r="J470" t="str">
        <f>IFERROR(INDEX(tblY8[Class],ROWS(J$10:J470))&amp;"","")</f>
        <v/>
      </c>
      <c r="K470" t="str">
        <f>IF(J470="","",IF(COUNTIF(J$10:J470,J470)=1,COUNTIF(J$10:J$609,"&lt;"&amp;J470)+1,""))</f>
        <v/>
      </c>
      <c r="L470" t="str">
        <f>IFERROR(INDEX(tblY9[Class],ROWS(L$10:L470))&amp;"","")</f>
        <v/>
      </c>
      <c r="M470" t="str">
        <f>IF(L470="","",IF(COUNTIF(L$10:L470,L470)=1,COUNTIF(L$10:L$609,"&lt;"&amp;L470)+1,""))</f>
        <v/>
      </c>
      <c r="N470" t="str">
        <f>IFERROR(INDEX(tblY10[Class],ROWS(N$10:N470))&amp;"","")</f>
        <v/>
      </c>
      <c r="O470" t="str">
        <f>IF(N470="","",IF(COUNTIF(N$10:N470,N470)=1,COUNTIF(N$10:N$609,"&lt;"&amp;N470)+1,""))</f>
        <v/>
      </c>
      <c r="P470" t="str">
        <f>IFERROR(INDEX(tblY11[Class],ROWS(P$10:P470))&amp;"","")</f>
        <v/>
      </c>
      <c r="Q470" t="str">
        <f>IF(P470="","",IF(COUNTIF(P$10:P470,P470)=1,COUNTIF(P$10:P$609,"&lt;"&amp;P470)+1,""))</f>
        <v/>
      </c>
      <c r="BA470" t="str">
        <f>IFERROR(INDEX(wLast,401)&amp;"","")</f>
        <v/>
      </c>
      <c r="BB470" t="str">
        <f>IF(BA470="","",IFERROR(INDEX(wFirst,401)&amp;"",""))</f>
        <v/>
      </c>
      <c r="BC470" t="str">
        <f>IF(BA470="","",IFERROR(INDEX(wClass,401)&amp;"",""))</f>
        <v/>
      </c>
      <c r="BD470" t="str">
        <f>IF(BA470="","",IFERROR(INDEX(wKS2,401)+0,""))</f>
        <v/>
      </c>
      <c r="BE470" t="str">
        <f>IF(BA470="","",IFERROR(INDEX(wTests,401)+0,0))</f>
        <v/>
      </c>
      <c r="BF470" t="str">
        <f>IF(BA470="","",IFERROR(INDEX(wMean,401)+0,""))</f>
        <v/>
      </c>
      <c r="BG470" t="str">
        <f>IF(BA470="","",IFERROR(INDEX(wVs,401)+0,""))</f>
        <v/>
      </c>
      <c r="BH470" t="str">
        <f>IF(OR(BA470="",wLatest=""),"",IFERROR(INDEX(wData,401,MATCH(wLatest&amp;CHAR(10)&amp;"Stanine",wHdr,0))+0,""))</f>
        <v/>
      </c>
      <c r="BI470" t="str">
        <f>IF(BA470="","",IF(AND(ISNUMBER(BG470),N(BE470)&gt;=WlMinTests,BG470&lt;=-WlGap),"Below KS2 starting point",IF(AND(NOT(ISNUMBER(BD470)),ISNUMBER(BF470),N(BE470)&gt;=WlMinTests,BF470&lt;=WlLowMean),"Low results, no KS2 data","")))</f>
        <v/>
      </c>
      <c r="BJ470" t="str">
        <f>IF(BI470="","",IF(BI470="Below KS2 starting point",BG470,100+BF470)+ROW()/1000000)</f>
        <v/>
      </c>
    </row>
    <row r="471">
      <c r="H471" t="str">
        <f>IFERROR(INDEX(tblY7[Class],ROWS(H$10:H471))&amp;"","")</f>
        <v/>
      </c>
      <c r="I471" t="str">
        <f>IF(H471="","",IF(COUNTIF(H$10:H471,H471)=1,COUNTIF(H$10:H$609,"&lt;"&amp;H471)+1,""))</f>
        <v/>
      </c>
      <c r="J471" t="str">
        <f>IFERROR(INDEX(tblY8[Class],ROWS(J$10:J471))&amp;"","")</f>
        <v/>
      </c>
      <c r="K471" t="str">
        <f>IF(J471="","",IF(COUNTIF(J$10:J471,J471)=1,COUNTIF(J$10:J$609,"&lt;"&amp;J471)+1,""))</f>
        <v/>
      </c>
      <c r="L471" t="str">
        <f>IFERROR(INDEX(tblY9[Class],ROWS(L$10:L471))&amp;"","")</f>
        <v/>
      </c>
      <c r="M471" t="str">
        <f>IF(L471="","",IF(COUNTIF(L$10:L471,L471)=1,COUNTIF(L$10:L$609,"&lt;"&amp;L471)+1,""))</f>
        <v/>
      </c>
      <c r="N471" t="str">
        <f>IFERROR(INDEX(tblY10[Class],ROWS(N$10:N471))&amp;"","")</f>
        <v/>
      </c>
      <c r="O471" t="str">
        <f>IF(N471="","",IF(COUNTIF(N$10:N471,N471)=1,COUNTIF(N$10:N$609,"&lt;"&amp;N471)+1,""))</f>
        <v/>
      </c>
      <c r="P471" t="str">
        <f>IFERROR(INDEX(tblY11[Class],ROWS(P$10:P471))&amp;"","")</f>
        <v/>
      </c>
      <c r="Q471" t="str">
        <f>IF(P471="","",IF(COUNTIF(P$10:P471,P471)=1,COUNTIF(P$10:P$609,"&lt;"&amp;P471)+1,""))</f>
        <v/>
      </c>
      <c r="BA471" t="str">
        <f>IFERROR(INDEX(wLast,402)&amp;"","")</f>
        <v/>
      </c>
      <c r="BB471" t="str">
        <f>IF(BA471="","",IFERROR(INDEX(wFirst,402)&amp;"",""))</f>
        <v/>
      </c>
      <c r="BC471" t="str">
        <f>IF(BA471="","",IFERROR(INDEX(wClass,402)&amp;"",""))</f>
        <v/>
      </c>
      <c r="BD471" t="str">
        <f>IF(BA471="","",IFERROR(INDEX(wKS2,402)+0,""))</f>
        <v/>
      </c>
      <c r="BE471" t="str">
        <f>IF(BA471="","",IFERROR(INDEX(wTests,402)+0,0))</f>
        <v/>
      </c>
      <c r="BF471" t="str">
        <f>IF(BA471="","",IFERROR(INDEX(wMean,402)+0,""))</f>
        <v/>
      </c>
      <c r="BG471" t="str">
        <f>IF(BA471="","",IFERROR(INDEX(wVs,402)+0,""))</f>
        <v/>
      </c>
      <c r="BH471" t="str">
        <f>IF(OR(BA471="",wLatest=""),"",IFERROR(INDEX(wData,402,MATCH(wLatest&amp;CHAR(10)&amp;"Stanine",wHdr,0))+0,""))</f>
        <v/>
      </c>
      <c r="BI471" t="str">
        <f>IF(BA471="","",IF(AND(ISNUMBER(BG471),N(BE471)&gt;=WlMinTests,BG471&lt;=-WlGap),"Below KS2 starting point",IF(AND(NOT(ISNUMBER(BD471)),ISNUMBER(BF471),N(BE471)&gt;=WlMinTests,BF471&lt;=WlLowMean),"Low results, no KS2 data","")))</f>
        <v/>
      </c>
      <c r="BJ471" t="str">
        <f>IF(BI471="","",IF(BI471="Below KS2 starting point",BG471,100+BF471)+ROW()/1000000)</f>
        <v/>
      </c>
    </row>
    <row r="472">
      <c r="H472" t="str">
        <f>IFERROR(INDEX(tblY7[Class],ROWS(H$10:H472))&amp;"","")</f>
        <v/>
      </c>
      <c r="I472" t="str">
        <f>IF(H472="","",IF(COUNTIF(H$10:H472,H472)=1,COUNTIF(H$10:H$609,"&lt;"&amp;H472)+1,""))</f>
        <v/>
      </c>
      <c r="J472" t="str">
        <f>IFERROR(INDEX(tblY8[Class],ROWS(J$10:J472))&amp;"","")</f>
        <v/>
      </c>
      <c r="K472" t="str">
        <f>IF(J472="","",IF(COUNTIF(J$10:J472,J472)=1,COUNTIF(J$10:J$609,"&lt;"&amp;J472)+1,""))</f>
        <v/>
      </c>
      <c r="L472" t="str">
        <f>IFERROR(INDEX(tblY9[Class],ROWS(L$10:L472))&amp;"","")</f>
        <v/>
      </c>
      <c r="M472" t="str">
        <f>IF(L472="","",IF(COUNTIF(L$10:L472,L472)=1,COUNTIF(L$10:L$609,"&lt;"&amp;L472)+1,""))</f>
        <v/>
      </c>
      <c r="N472" t="str">
        <f>IFERROR(INDEX(tblY10[Class],ROWS(N$10:N472))&amp;"","")</f>
        <v/>
      </c>
      <c r="O472" t="str">
        <f>IF(N472="","",IF(COUNTIF(N$10:N472,N472)=1,COUNTIF(N$10:N$609,"&lt;"&amp;N472)+1,""))</f>
        <v/>
      </c>
      <c r="P472" t="str">
        <f>IFERROR(INDEX(tblY11[Class],ROWS(P$10:P472))&amp;"","")</f>
        <v/>
      </c>
      <c r="Q472" t="str">
        <f>IF(P472="","",IF(COUNTIF(P$10:P472,P472)=1,COUNTIF(P$10:P$609,"&lt;"&amp;P472)+1,""))</f>
        <v/>
      </c>
      <c r="BA472" t="str">
        <f>IFERROR(INDEX(wLast,403)&amp;"","")</f>
        <v/>
      </c>
      <c r="BB472" t="str">
        <f>IF(BA472="","",IFERROR(INDEX(wFirst,403)&amp;"",""))</f>
        <v/>
      </c>
      <c r="BC472" t="str">
        <f>IF(BA472="","",IFERROR(INDEX(wClass,403)&amp;"",""))</f>
        <v/>
      </c>
      <c r="BD472" t="str">
        <f>IF(BA472="","",IFERROR(INDEX(wKS2,403)+0,""))</f>
        <v/>
      </c>
      <c r="BE472" t="str">
        <f>IF(BA472="","",IFERROR(INDEX(wTests,403)+0,0))</f>
        <v/>
      </c>
      <c r="BF472" t="str">
        <f>IF(BA472="","",IFERROR(INDEX(wMean,403)+0,""))</f>
        <v/>
      </c>
      <c r="BG472" t="str">
        <f>IF(BA472="","",IFERROR(INDEX(wVs,403)+0,""))</f>
        <v/>
      </c>
      <c r="BH472" t="str">
        <f>IF(OR(BA472="",wLatest=""),"",IFERROR(INDEX(wData,403,MATCH(wLatest&amp;CHAR(10)&amp;"Stanine",wHdr,0))+0,""))</f>
        <v/>
      </c>
      <c r="BI472" t="str">
        <f>IF(BA472="","",IF(AND(ISNUMBER(BG472),N(BE472)&gt;=WlMinTests,BG472&lt;=-WlGap),"Below KS2 starting point",IF(AND(NOT(ISNUMBER(BD472)),ISNUMBER(BF472),N(BE472)&gt;=WlMinTests,BF472&lt;=WlLowMean),"Low results, no KS2 data","")))</f>
        <v/>
      </c>
      <c r="BJ472" t="str">
        <f>IF(BI472="","",IF(BI472="Below KS2 starting point",BG472,100+BF472)+ROW()/1000000)</f>
        <v/>
      </c>
    </row>
    <row r="473">
      <c r="H473" t="str">
        <f>IFERROR(INDEX(tblY7[Class],ROWS(H$10:H473))&amp;"","")</f>
        <v/>
      </c>
      <c r="I473" t="str">
        <f>IF(H473="","",IF(COUNTIF(H$10:H473,H473)=1,COUNTIF(H$10:H$609,"&lt;"&amp;H473)+1,""))</f>
        <v/>
      </c>
      <c r="J473" t="str">
        <f>IFERROR(INDEX(tblY8[Class],ROWS(J$10:J473))&amp;"","")</f>
        <v/>
      </c>
      <c r="K473" t="str">
        <f>IF(J473="","",IF(COUNTIF(J$10:J473,J473)=1,COUNTIF(J$10:J$609,"&lt;"&amp;J473)+1,""))</f>
        <v/>
      </c>
      <c r="L473" t="str">
        <f>IFERROR(INDEX(tblY9[Class],ROWS(L$10:L473))&amp;"","")</f>
        <v/>
      </c>
      <c r="M473" t="str">
        <f>IF(L473="","",IF(COUNTIF(L$10:L473,L473)=1,COUNTIF(L$10:L$609,"&lt;"&amp;L473)+1,""))</f>
        <v/>
      </c>
      <c r="N473" t="str">
        <f>IFERROR(INDEX(tblY10[Class],ROWS(N$10:N473))&amp;"","")</f>
        <v/>
      </c>
      <c r="O473" t="str">
        <f>IF(N473="","",IF(COUNTIF(N$10:N473,N473)=1,COUNTIF(N$10:N$609,"&lt;"&amp;N473)+1,""))</f>
        <v/>
      </c>
      <c r="P473" t="str">
        <f>IFERROR(INDEX(tblY11[Class],ROWS(P$10:P473))&amp;"","")</f>
        <v/>
      </c>
      <c r="Q473" t="str">
        <f>IF(P473="","",IF(COUNTIF(P$10:P473,P473)=1,COUNTIF(P$10:P$609,"&lt;"&amp;P473)+1,""))</f>
        <v/>
      </c>
      <c r="BA473" t="str">
        <f>IFERROR(INDEX(wLast,404)&amp;"","")</f>
        <v/>
      </c>
      <c r="BB473" t="str">
        <f>IF(BA473="","",IFERROR(INDEX(wFirst,404)&amp;"",""))</f>
        <v/>
      </c>
      <c r="BC473" t="str">
        <f>IF(BA473="","",IFERROR(INDEX(wClass,404)&amp;"",""))</f>
        <v/>
      </c>
      <c r="BD473" t="str">
        <f>IF(BA473="","",IFERROR(INDEX(wKS2,404)+0,""))</f>
        <v/>
      </c>
      <c r="BE473" t="str">
        <f>IF(BA473="","",IFERROR(INDEX(wTests,404)+0,0))</f>
        <v/>
      </c>
      <c r="BF473" t="str">
        <f>IF(BA473="","",IFERROR(INDEX(wMean,404)+0,""))</f>
        <v/>
      </c>
      <c r="BG473" t="str">
        <f>IF(BA473="","",IFERROR(INDEX(wVs,404)+0,""))</f>
        <v/>
      </c>
      <c r="BH473" t="str">
        <f>IF(OR(BA473="",wLatest=""),"",IFERROR(INDEX(wData,404,MATCH(wLatest&amp;CHAR(10)&amp;"Stanine",wHdr,0))+0,""))</f>
        <v/>
      </c>
      <c r="BI473" t="str">
        <f>IF(BA473="","",IF(AND(ISNUMBER(BG473),N(BE473)&gt;=WlMinTests,BG473&lt;=-WlGap),"Below KS2 starting point",IF(AND(NOT(ISNUMBER(BD473)),ISNUMBER(BF473),N(BE473)&gt;=WlMinTests,BF473&lt;=WlLowMean),"Low results, no KS2 data","")))</f>
        <v/>
      </c>
      <c r="BJ473" t="str">
        <f>IF(BI473="","",IF(BI473="Below KS2 starting point",BG473,100+BF473)+ROW()/1000000)</f>
        <v/>
      </c>
    </row>
    <row r="474">
      <c r="H474" t="str">
        <f>IFERROR(INDEX(tblY7[Class],ROWS(H$10:H474))&amp;"","")</f>
        <v/>
      </c>
      <c r="I474" t="str">
        <f>IF(H474="","",IF(COUNTIF(H$10:H474,H474)=1,COUNTIF(H$10:H$609,"&lt;"&amp;H474)+1,""))</f>
        <v/>
      </c>
      <c r="J474" t="str">
        <f>IFERROR(INDEX(tblY8[Class],ROWS(J$10:J474))&amp;"","")</f>
        <v/>
      </c>
      <c r="K474" t="str">
        <f>IF(J474="","",IF(COUNTIF(J$10:J474,J474)=1,COUNTIF(J$10:J$609,"&lt;"&amp;J474)+1,""))</f>
        <v/>
      </c>
      <c r="L474" t="str">
        <f>IFERROR(INDEX(tblY9[Class],ROWS(L$10:L474))&amp;"","")</f>
        <v/>
      </c>
      <c r="M474" t="str">
        <f>IF(L474="","",IF(COUNTIF(L$10:L474,L474)=1,COUNTIF(L$10:L$609,"&lt;"&amp;L474)+1,""))</f>
        <v/>
      </c>
      <c r="N474" t="str">
        <f>IFERROR(INDEX(tblY10[Class],ROWS(N$10:N474))&amp;"","")</f>
        <v/>
      </c>
      <c r="O474" t="str">
        <f>IF(N474="","",IF(COUNTIF(N$10:N474,N474)=1,COUNTIF(N$10:N$609,"&lt;"&amp;N474)+1,""))</f>
        <v/>
      </c>
      <c r="P474" t="str">
        <f>IFERROR(INDEX(tblY11[Class],ROWS(P$10:P474))&amp;"","")</f>
        <v/>
      </c>
      <c r="Q474" t="str">
        <f>IF(P474="","",IF(COUNTIF(P$10:P474,P474)=1,COUNTIF(P$10:P$609,"&lt;"&amp;P474)+1,""))</f>
        <v/>
      </c>
      <c r="BA474" t="str">
        <f>IFERROR(INDEX(wLast,405)&amp;"","")</f>
        <v/>
      </c>
      <c r="BB474" t="str">
        <f>IF(BA474="","",IFERROR(INDEX(wFirst,405)&amp;"",""))</f>
        <v/>
      </c>
      <c r="BC474" t="str">
        <f>IF(BA474="","",IFERROR(INDEX(wClass,405)&amp;"",""))</f>
        <v/>
      </c>
      <c r="BD474" t="str">
        <f>IF(BA474="","",IFERROR(INDEX(wKS2,405)+0,""))</f>
        <v/>
      </c>
      <c r="BE474" t="str">
        <f>IF(BA474="","",IFERROR(INDEX(wTests,405)+0,0))</f>
        <v/>
      </c>
      <c r="BF474" t="str">
        <f>IF(BA474="","",IFERROR(INDEX(wMean,405)+0,""))</f>
        <v/>
      </c>
      <c r="BG474" t="str">
        <f>IF(BA474="","",IFERROR(INDEX(wVs,405)+0,""))</f>
        <v/>
      </c>
      <c r="BH474" t="str">
        <f>IF(OR(BA474="",wLatest=""),"",IFERROR(INDEX(wData,405,MATCH(wLatest&amp;CHAR(10)&amp;"Stanine",wHdr,0))+0,""))</f>
        <v/>
      </c>
      <c r="BI474" t="str">
        <f>IF(BA474="","",IF(AND(ISNUMBER(BG474),N(BE474)&gt;=WlMinTests,BG474&lt;=-WlGap),"Below KS2 starting point",IF(AND(NOT(ISNUMBER(BD474)),ISNUMBER(BF474),N(BE474)&gt;=WlMinTests,BF474&lt;=WlLowMean),"Low results, no KS2 data","")))</f>
        <v/>
      </c>
      <c r="BJ474" t="str">
        <f>IF(BI474="","",IF(BI474="Below KS2 starting point",BG474,100+BF474)+ROW()/1000000)</f>
        <v/>
      </c>
    </row>
    <row r="475">
      <c r="H475" t="str">
        <f>IFERROR(INDEX(tblY7[Class],ROWS(H$10:H475))&amp;"","")</f>
        <v/>
      </c>
      <c r="I475" t="str">
        <f>IF(H475="","",IF(COUNTIF(H$10:H475,H475)=1,COUNTIF(H$10:H$609,"&lt;"&amp;H475)+1,""))</f>
        <v/>
      </c>
      <c r="J475" t="str">
        <f>IFERROR(INDEX(tblY8[Class],ROWS(J$10:J475))&amp;"","")</f>
        <v/>
      </c>
      <c r="K475" t="str">
        <f>IF(J475="","",IF(COUNTIF(J$10:J475,J475)=1,COUNTIF(J$10:J$609,"&lt;"&amp;J475)+1,""))</f>
        <v/>
      </c>
      <c r="L475" t="str">
        <f>IFERROR(INDEX(tblY9[Class],ROWS(L$10:L475))&amp;"","")</f>
        <v/>
      </c>
      <c r="M475" t="str">
        <f>IF(L475="","",IF(COUNTIF(L$10:L475,L475)=1,COUNTIF(L$10:L$609,"&lt;"&amp;L475)+1,""))</f>
        <v/>
      </c>
      <c r="N475" t="str">
        <f>IFERROR(INDEX(tblY10[Class],ROWS(N$10:N475))&amp;"","")</f>
        <v/>
      </c>
      <c r="O475" t="str">
        <f>IF(N475="","",IF(COUNTIF(N$10:N475,N475)=1,COUNTIF(N$10:N$609,"&lt;"&amp;N475)+1,""))</f>
        <v/>
      </c>
      <c r="P475" t="str">
        <f>IFERROR(INDEX(tblY11[Class],ROWS(P$10:P475))&amp;"","")</f>
        <v/>
      </c>
      <c r="Q475" t="str">
        <f>IF(P475="","",IF(COUNTIF(P$10:P475,P475)=1,COUNTIF(P$10:P$609,"&lt;"&amp;P475)+1,""))</f>
        <v/>
      </c>
      <c r="BA475" t="str">
        <f>IFERROR(INDEX(wLast,406)&amp;"","")</f>
        <v/>
      </c>
      <c r="BB475" t="str">
        <f>IF(BA475="","",IFERROR(INDEX(wFirst,406)&amp;"",""))</f>
        <v/>
      </c>
      <c r="BC475" t="str">
        <f>IF(BA475="","",IFERROR(INDEX(wClass,406)&amp;"",""))</f>
        <v/>
      </c>
      <c r="BD475" t="str">
        <f>IF(BA475="","",IFERROR(INDEX(wKS2,406)+0,""))</f>
        <v/>
      </c>
      <c r="BE475" t="str">
        <f>IF(BA475="","",IFERROR(INDEX(wTests,406)+0,0))</f>
        <v/>
      </c>
      <c r="BF475" t="str">
        <f>IF(BA475="","",IFERROR(INDEX(wMean,406)+0,""))</f>
        <v/>
      </c>
      <c r="BG475" t="str">
        <f>IF(BA475="","",IFERROR(INDEX(wVs,406)+0,""))</f>
        <v/>
      </c>
      <c r="BH475" t="str">
        <f>IF(OR(BA475="",wLatest=""),"",IFERROR(INDEX(wData,406,MATCH(wLatest&amp;CHAR(10)&amp;"Stanine",wHdr,0))+0,""))</f>
        <v/>
      </c>
      <c r="BI475" t="str">
        <f>IF(BA475="","",IF(AND(ISNUMBER(BG475),N(BE475)&gt;=WlMinTests,BG475&lt;=-WlGap),"Below KS2 starting point",IF(AND(NOT(ISNUMBER(BD475)),ISNUMBER(BF475),N(BE475)&gt;=WlMinTests,BF475&lt;=WlLowMean),"Low results, no KS2 data","")))</f>
        <v/>
      </c>
      <c r="BJ475" t="str">
        <f>IF(BI475="","",IF(BI475="Below KS2 starting point",BG475,100+BF475)+ROW()/1000000)</f>
        <v/>
      </c>
    </row>
    <row r="476">
      <c r="H476" t="str">
        <f>IFERROR(INDEX(tblY7[Class],ROWS(H$10:H476))&amp;"","")</f>
        <v/>
      </c>
      <c r="I476" t="str">
        <f>IF(H476="","",IF(COUNTIF(H$10:H476,H476)=1,COUNTIF(H$10:H$609,"&lt;"&amp;H476)+1,""))</f>
        <v/>
      </c>
      <c r="J476" t="str">
        <f>IFERROR(INDEX(tblY8[Class],ROWS(J$10:J476))&amp;"","")</f>
        <v/>
      </c>
      <c r="K476" t="str">
        <f>IF(J476="","",IF(COUNTIF(J$10:J476,J476)=1,COUNTIF(J$10:J$609,"&lt;"&amp;J476)+1,""))</f>
        <v/>
      </c>
      <c r="L476" t="str">
        <f>IFERROR(INDEX(tblY9[Class],ROWS(L$10:L476))&amp;"","")</f>
        <v/>
      </c>
      <c r="M476" t="str">
        <f>IF(L476="","",IF(COUNTIF(L$10:L476,L476)=1,COUNTIF(L$10:L$609,"&lt;"&amp;L476)+1,""))</f>
        <v/>
      </c>
      <c r="N476" t="str">
        <f>IFERROR(INDEX(tblY10[Class],ROWS(N$10:N476))&amp;"","")</f>
        <v/>
      </c>
      <c r="O476" t="str">
        <f>IF(N476="","",IF(COUNTIF(N$10:N476,N476)=1,COUNTIF(N$10:N$609,"&lt;"&amp;N476)+1,""))</f>
        <v/>
      </c>
      <c r="P476" t="str">
        <f>IFERROR(INDEX(tblY11[Class],ROWS(P$10:P476))&amp;"","")</f>
        <v/>
      </c>
      <c r="Q476" t="str">
        <f>IF(P476="","",IF(COUNTIF(P$10:P476,P476)=1,COUNTIF(P$10:P$609,"&lt;"&amp;P476)+1,""))</f>
        <v/>
      </c>
      <c r="BA476" t="str">
        <f>IFERROR(INDEX(wLast,407)&amp;"","")</f>
        <v/>
      </c>
      <c r="BB476" t="str">
        <f>IF(BA476="","",IFERROR(INDEX(wFirst,407)&amp;"",""))</f>
        <v/>
      </c>
      <c r="BC476" t="str">
        <f>IF(BA476="","",IFERROR(INDEX(wClass,407)&amp;"",""))</f>
        <v/>
      </c>
      <c r="BD476" t="str">
        <f>IF(BA476="","",IFERROR(INDEX(wKS2,407)+0,""))</f>
        <v/>
      </c>
      <c r="BE476" t="str">
        <f>IF(BA476="","",IFERROR(INDEX(wTests,407)+0,0))</f>
        <v/>
      </c>
      <c r="BF476" t="str">
        <f>IF(BA476="","",IFERROR(INDEX(wMean,407)+0,""))</f>
        <v/>
      </c>
      <c r="BG476" t="str">
        <f>IF(BA476="","",IFERROR(INDEX(wVs,407)+0,""))</f>
        <v/>
      </c>
      <c r="BH476" t="str">
        <f>IF(OR(BA476="",wLatest=""),"",IFERROR(INDEX(wData,407,MATCH(wLatest&amp;CHAR(10)&amp;"Stanine",wHdr,0))+0,""))</f>
        <v/>
      </c>
      <c r="BI476" t="str">
        <f>IF(BA476="","",IF(AND(ISNUMBER(BG476),N(BE476)&gt;=WlMinTests,BG476&lt;=-WlGap),"Below KS2 starting point",IF(AND(NOT(ISNUMBER(BD476)),ISNUMBER(BF476),N(BE476)&gt;=WlMinTests,BF476&lt;=WlLowMean),"Low results, no KS2 data","")))</f>
        <v/>
      </c>
      <c r="BJ476" t="str">
        <f>IF(BI476="","",IF(BI476="Below KS2 starting point",BG476,100+BF476)+ROW()/1000000)</f>
        <v/>
      </c>
    </row>
    <row r="477">
      <c r="H477" t="str">
        <f>IFERROR(INDEX(tblY7[Class],ROWS(H$10:H477))&amp;"","")</f>
        <v/>
      </c>
      <c r="I477" t="str">
        <f>IF(H477="","",IF(COUNTIF(H$10:H477,H477)=1,COUNTIF(H$10:H$609,"&lt;"&amp;H477)+1,""))</f>
        <v/>
      </c>
      <c r="J477" t="str">
        <f>IFERROR(INDEX(tblY8[Class],ROWS(J$10:J477))&amp;"","")</f>
        <v/>
      </c>
      <c r="K477" t="str">
        <f>IF(J477="","",IF(COUNTIF(J$10:J477,J477)=1,COUNTIF(J$10:J$609,"&lt;"&amp;J477)+1,""))</f>
        <v/>
      </c>
      <c r="L477" t="str">
        <f>IFERROR(INDEX(tblY9[Class],ROWS(L$10:L477))&amp;"","")</f>
        <v/>
      </c>
      <c r="M477" t="str">
        <f>IF(L477="","",IF(COUNTIF(L$10:L477,L477)=1,COUNTIF(L$10:L$609,"&lt;"&amp;L477)+1,""))</f>
        <v/>
      </c>
      <c r="N477" t="str">
        <f>IFERROR(INDEX(tblY10[Class],ROWS(N$10:N477))&amp;"","")</f>
        <v/>
      </c>
      <c r="O477" t="str">
        <f>IF(N477="","",IF(COUNTIF(N$10:N477,N477)=1,COUNTIF(N$10:N$609,"&lt;"&amp;N477)+1,""))</f>
        <v/>
      </c>
      <c r="P477" t="str">
        <f>IFERROR(INDEX(tblY11[Class],ROWS(P$10:P477))&amp;"","")</f>
        <v/>
      </c>
      <c r="Q477" t="str">
        <f>IF(P477="","",IF(COUNTIF(P$10:P477,P477)=1,COUNTIF(P$10:P$609,"&lt;"&amp;P477)+1,""))</f>
        <v/>
      </c>
      <c r="BA477" t="str">
        <f>IFERROR(INDEX(wLast,408)&amp;"","")</f>
        <v/>
      </c>
      <c r="BB477" t="str">
        <f>IF(BA477="","",IFERROR(INDEX(wFirst,408)&amp;"",""))</f>
        <v/>
      </c>
      <c r="BC477" t="str">
        <f>IF(BA477="","",IFERROR(INDEX(wClass,408)&amp;"",""))</f>
        <v/>
      </c>
      <c r="BD477" t="str">
        <f>IF(BA477="","",IFERROR(INDEX(wKS2,408)+0,""))</f>
        <v/>
      </c>
      <c r="BE477" t="str">
        <f>IF(BA477="","",IFERROR(INDEX(wTests,408)+0,0))</f>
        <v/>
      </c>
      <c r="BF477" t="str">
        <f>IF(BA477="","",IFERROR(INDEX(wMean,408)+0,""))</f>
        <v/>
      </c>
      <c r="BG477" t="str">
        <f>IF(BA477="","",IFERROR(INDEX(wVs,408)+0,""))</f>
        <v/>
      </c>
      <c r="BH477" t="str">
        <f>IF(OR(BA477="",wLatest=""),"",IFERROR(INDEX(wData,408,MATCH(wLatest&amp;CHAR(10)&amp;"Stanine",wHdr,0))+0,""))</f>
        <v/>
      </c>
      <c r="BI477" t="str">
        <f>IF(BA477="","",IF(AND(ISNUMBER(BG477),N(BE477)&gt;=WlMinTests,BG477&lt;=-WlGap),"Below KS2 starting point",IF(AND(NOT(ISNUMBER(BD477)),ISNUMBER(BF477),N(BE477)&gt;=WlMinTests,BF477&lt;=WlLowMean),"Low results, no KS2 data","")))</f>
        <v/>
      </c>
      <c r="BJ477" t="str">
        <f>IF(BI477="","",IF(BI477="Below KS2 starting point",BG477,100+BF477)+ROW()/1000000)</f>
        <v/>
      </c>
    </row>
    <row r="478">
      <c r="H478" t="str">
        <f>IFERROR(INDEX(tblY7[Class],ROWS(H$10:H478))&amp;"","")</f>
        <v/>
      </c>
      <c r="I478" t="str">
        <f>IF(H478="","",IF(COUNTIF(H$10:H478,H478)=1,COUNTIF(H$10:H$609,"&lt;"&amp;H478)+1,""))</f>
        <v/>
      </c>
      <c r="J478" t="str">
        <f>IFERROR(INDEX(tblY8[Class],ROWS(J$10:J478))&amp;"","")</f>
        <v/>
      </c>
      <c r="K478" t="str">
        <f>IF(J478="","",IF(COUNTIF(J$10:J478,J478)=1,COUNTIF(J$10:J$609,"&lt;"&amp;J478)+1,""))</f>
        <v/>
      </c>
      <c r="L478" t="str">
        <f>IFERROR(INDEX(tblY9[Class],ROWS(L$10:L478))&amp;"","")</f>
        <v/>
      </c>
      <c r="M478" t="str">
        <f>IF(L478="","",IF(COUNTIF(L$10:L478,L478)=1,COUNTIF(L$10:L$609,"&lt;"&amp;L478)+1,""))</f>
        <v/>
      </c>
      <c r="N478" t="str">
        <f>IFERROR(INDEX(tblY10[Class],ROWS(N$10:N478))&amp;"","")</f>
        <v/>
      </c>
      <c r="O478" t="str">
        <f>IF(N478="","",IF(COUNTIF(N$10:N478,N478)=1,COUNTIF(N$10:N$609,"&lt;"&amp;N478)+1,""))</f>
        <v/>
      </c>
      <c r="P478" t="str">
        <f>IFERROR(INDEX(tblY11[Class],ROWS(P$10:P478))&amp;"","")</f>
        <v/>
      </c>
      <c r="Q478" t="str">
        <f>IF(P478="","",IF(COUNTIF(P$10:P478,P478)=1,COUNTIF(P$10:P$609,"&lt;"&amp;P478)+1,""))</f>
        <v/>
      </c>
      <c r="BA478" t="str">
        <f>IFERROR(INDEX(wLast,409)&amp;"","")</f>
        <v/>
      </c>
      <c r="BB478" t="str">
        <f>IF(BA478="","",IFERROR(INDEX(wFirst,409)&amp;"",""))</f>
        <v/>
      </c>
      <c r="BC478" t="str">
        <f>IF(BA478="","",IFERROR(INDEX(wClass,409)&amp;"",""))</f>
        <v/>
      </c>
      <c r="BD478" t="str">
        <f>IF(BA478="","",IFERROR(INDEX(wKS2,409)+0,""))</f>
        <v/>
      </c>
      <c r="BE478" t="str">
        <f>IF(BA478="","",IFERROR(INDEX(wTests,409)+0,0))</f>
        <v/>
      </c>
      <c r="BF478" t="str">
        <f>IF(BA478="","",IFERROR(INDEX(wMean,409)+0,""))</f>
        <v/>
      </c>
      <c r="BG478" t="str">
        <f>IF(BA478="","",IFERROR(INDEX(wVs,409)+0,""))</f>
        <v/>
      </c>
      <c r="BH478" t="str">
        <f>IF(OR(BA478="",wLatest=""),"",IFERROR(INDEX(wData,409,MATCH(wLatest&amp;CHAR(10)&amp;"Stanine",wHdr,0))+0,""))</f>
        <v/>
      </c>
      <c r="BI478" t="str">
        <f>IF(BA478="","",IF(AND(ISNUMBER(BG478),N(BE478)&gt;=WlMinTests,BG478&lt;=-WlGap),"Below KS2 starting point",IF(AND(NOT(ISNUMBER(BD478)),ISNUMBER(BF478),N(BE478)&gt;=WlMinTests,BF478&lt;=WlLowMean),"Low results, no KS2 data","")))</f>
        <v/>
      </c>
      <c r="BJ478" t="str">
        <f>IF(BI478="","",IF(BI478="Below KS2 starting point",BG478,100+BF478)+ROW()/1000000)</f>
        <v/>
      </c>
    </row>
    <row r="479">
      <c r="H479" t="str">
        <f>IFERROR(INDEX(tblY7[Class],ROWS(H$10:H479))&amp;"","")</f>
        <v/>
      </c>
      <c r="I479" t="str">
        <f>IF(H479="","",IF(COUNTIF(H$10:H479,H479)=1,COUNTIF(H$10:H$609,"&lt;"&amp;H479)+1,""))</f>
        <v/>
      </c>
      <c r="J479" t="str">
        <f>IFERROR(INDEX(tblY8[Class],ROWS(J$10:J479))&amp;"","")</f>
        <v/>
      </c>
      <c r="K479" t="str">
        <f>IF(J479="","",IF(COUNTIF(J$10:J479,J479)=1,COUNTIF(J$10:J$609,"&lt;"&amp;J479)+1,""))</f>
        <v/>
      </c>
      <c r="L479" t="str">
        <f>IFERROR(INDEX(tblY9[Class],ROWS(L$10:L479))&amp;"","")</f>
        <v/>
      </c>
      <c r="M479" t="str">
        <f>IF(L479="","",IF(COUNTIF(L$10:L479,L479)=1,COUNTIF(L$10:L$609,"&lt;"&amp;L479)+1,""))</f>
        <v/>
      </c>
      <c r="N479" t="str">
        <f>IFERROR(INDEX(tblY10[Class],ROWS(N$10:N479))&amp;"","")</f>
        <v/>
      </c>
      <c r="O479" t="str">
        <f>IF(N479="","",IF(COUNTIF(N$10:N479,N479)=1,COUNTIF(N$10:N$609,"&lt;"&amp;N479)+1,""))</f>
        <v/>
      </c>
      <c r="P479" t="str">
        <f>IFERROR(INDEX(tblY11[Class],ROWS(P$10:P479))&amp;"","")</f>
        <v/>
      </c>
      <c r="Q479" t="str">
        <f>IF(P479="","",IF(COUNTIF(P$10:P479,P479)=1,COUNTIF(P$10:P$609,"&lt;"&amp;P479)+1,""))</f>
        <v/>
      </c>
      <c r="BA479" t="str">
        <f>IFERROR(INDEX(wLast,410)&amp;"","")</f>
        <v/>
      </c>
      <c r="BB479" t="str">
        <f>IF(BA479="","",IFERROR(INDEX(wFirst,410)&amp;"",""))</f>
        <v/>
      </c>
      <c r="BC479" t="str">
        <f>IF(BA479="","",IFERROR(INDEX(wClass,410)&amp;"",""))</f>
        <v/>
      </c>
      <c r="BD479" t="str">
        <f>IF(BA479="","",IFERROR(INDEX(wKS2,410)+0,""))</f>
        <v/>
      </c>
      <c r="BE479" t="str">
        <f>IF(BA479="","",IFERROR(INDEX(wTests,410)+0,0))</f>
        <v/>
      </c>
      <c r="BF479" t="str">
        <f>IF(BA479="","",IFERROR(INDEX(wMean,410)+0,""))</f>
        <v/>
      </c>
      <c r="BG479" t="str">
        <f>IF(BA479="","",IFERROR(INDEX(wVs,410)+0,""))</f>
        <v/>
      </c>
      <c r="BH479" t="str">
        <f>IF(OR(BA479="",wLatest=""),"",IFERROR(INDEX(wData,410,MATCH(wLatest&amp;CHAR(10)&amp;"Stanine",wHdr,0))+0,""))</f>
        <v/>
      </c>
      <c r="BI479" t="str">
        <f>IF(BA479="","",IF(AND(ISNUMBER(BG479),N(BE479)&gt;=WlMinTests,BG479&lt;=-WlGap),"Below KS2 starting point",IF(AND(NOT(ISNUMBER(BD479)),ISNUMBER(BF479),N(BE479)&gt;=WlMinTests,BF479&lt;=WlLowMean),"Low results, no KS2 data","")))</f>
        <v/>
      </c>
      <c r="BJ479" t="str">
        <f>IF(BI479="","",IF(BI479="Below KS2 starting point",BG479,100+BF479)+ROW()/1000000)</f>
        <v/>
      </c>
    </row>
    <row r="480">
      <c r="H480" t="str">
        <f>IFERROR(INDEX(tblY7[Class],ROWS(H$10:H480))&amp;"","")</f>
        <v/>
      </c>
      <c r="I480" t="str">
        <f>IF(H480="","",IF(COUNTIF(H$10:H480,H480)=1,COUNTIF(H$10:H$609,"&lt;"&amp;H480)+1,""))</f>
        <v/>
      </c>
      <c r="J480" t="str">
        <f>IFERROR(INDEX(tblY8[Class],ROWS(J$10:J480))&amp;"","")</f>
        <v/>
      </c>
      <c r="K480" t="str">
        <f>IF(J480="","",IF(COUNTIF(J$10:J480,J480)=1,COUNTIF(J$10:J$609,"&lt;"&amp;J480)+1,""))</f>
        <v/>
      </c>
      <c r="L480" t="str">
        <f>IFERROR(INDEX(tblY9[Class],ROWS(L$10:L480))&amp;"","")</f>
        <v/>
      </c>
      <c r="M480" t="str">
        <f>IF(L480="","",IF(COUNTIF(L$10:L480,L480)=1,COUNTIF(L$10:L$609,"&lt;"&amp;L480)+1,""))</f>
        <v/>
      </c>
      <c r="N480" t="str">
        <f>IFERROR(INDEX(tblY10[Class],ROWS(N$10:N480))&amp;"","")</f>
        <v/>
      </c>
      <c r="O480" t="str">
        <f>IF(N480="","",IF(COUNTIF(N$10:N480,N480)=1,COUNTIF(N$10:N$609,"&lt;"&amp;N480)+1,""))</f>
        <v/>
      </c>
      <c r="P480" t="str">
        <f>IFERROR(INDEX(tblY11[Class],ROWS(P$10:P480))&amp;"","")</f>
        <v/>
      </c>
      <c r="Q480" t="str">
        <f>IF(P480="","",IF(COUNTIF(P$10:P480,P480)=1,COUNTIF(P$10:P$609,"&lt;"&amp;P480)+1,""))</f>
        <v/>
      </c>
      <c r="BA480" t="str">
        <f>IFERROR(INDEX(wLast,411)&amp;"","")</f>
        <v/>
      </c>
      <c r="BB480" t="str">
        <f>IF(BA480="","",IFERROR(INDEX(wFirst,411)&amp;"",""))</f>
        <v/>
      </c>
      <c r="BC480" t="str">
        <f>IF(BA480="","",IFERROR(INDEX(wClass,411)&amp;"",""))</f>
        <v/>
      </c>
      <c r="BD480" t="str">
        <f>IF(BA480="","",IFERROR(INDEX(wKS2,411)+0,""))</f>
        <v/>
      </c>
      <c r="BE480" t="str">
        <f>IF(BA480="","",IFERROR(INDEX(wTests,411)+0,0))</f>
        <v/>
      </c>
      <c r="BF480" t="str">
        <f>IF(BA480="","",IFERROR(INDEX(wMean,411)+0,""))</f>
        <v/>
      </c>
      <c r="BG480" t="str">
        <f>IF(BA480="","",IFERROR(INDEX(wVs,411)+0,""))</f>
        <v/>
      </c>
      <c r="BH480" t="str">
        <f>IF(OR(BA480="",wLatest=""),"",IFERROR(INDEX(wData,411,MATCH(wLatest&amp;CHAR(10)&amp;"Stanine",wHdr,0))+0,""))</f>
        <v/>
      </c>
      <c r="BI480" t="str">
        <f>IF(BA480="","",IF(AND(ISNUMBER(BG480),N(BE480)&gt;=WlMinTests,BG480&lt;=-WlGap),"Below KS2 starting point",IF(AND(NOT(ISNUMBER(BD480)),ISNUMBER(BF480),N(BE480)&gt;=WlMinTests,BF480&lt;=WlLowMean),"Low results, no KS2 data","")))</f>
        <v/>
      </c>
      <c r="BJ480" t="str">
        <f>IF(BI480="","",IF(BI480="Below KS2 starting point",BG480,100+BF480)+ROW()/1000000)</f>
        <v/>
      </c>
    </row>
    <row r="481">
      <c r="H481" t="str">
        <f>IFERROR(INDEX(tblY7[Class],ROWS(H$10:H481))&amp;"","")</f>
        <v/>
      </c>
      <c r="I481" t="str">
        <f>IF(H481="","",IF(COUNTIF(H$10:H481,H481)=1,COUNTIF(H$10:H$609,"&lt;"&amp;H481)+1,""))</f>
        <v/>
      </c>
      <c r="J481" t="str">
        <f>IFERROR(INDEX(tblY8[Class],ROWS(J$10:J481))&amp;"","")</f>
        <v/>
      </c>
      <c r="K481" t="str">
        <f>IF(J481="","",IF(COUNTIF(J$10:J481,J481)=1,COUNTIF(J$10:J$609,"&lt;"&amp;J481)+1,""))</f>
        <v/>
      </c>
      <c r="L481" t="str">
        <f>IFERROR(INDEX(tblY9[Class],ROWS(L$10:L481))&amp;"","")</f>
        <v/>
      </c>
      <c r="M481" t="str">
        <f>IF(L481="","",IF(COUNTIF(L$10:L481,L481)=1,COUNTIF(L$10:L$609,"&lt;"&amp;L481)+1,""))</f>
        <v/>
      </c>
      <c r="N481" t="str">
        <f>IFERROR(INDEX(tblY10[Class],ROWS(N$10:N481))&amp;"","")</f>
        <v/>
      </c>
      <c r="O481" t="str">
        <f>IF(N481="","",IF(COUNTIF(N$10:N481,N481)=1,COUNTIF(N$10:N$609,"&lt;"&amp;N481)+1,""))</f>
        <v/>
      </c>
      <c r="P481" t="str">
        <f>IFERROR(INDEX(tblY11[Class],ROWS(P$10:P481))&amp;"","")</f>
        <v/>
      </c>
      <c r="Q481" t="str">
        <f>IF(P481="","",IF(COUNTIF(P$10:P481,P481)=1,COUNTIF(P$10:P$609,"&lt;"&amp;P481)+1,""))</f>
        <v/>
      </c>
      <c r="BA481" t="str">
        <f>IFERROR(INDEX(wLast,412)&amp;"","")</f>
        <v/>
      </c>
      <c r="BB481" t="str">
        <f>IF(BA481="","",IFERROR(INDEX(wFirst,412)&amp;"",""))</f>
        <v/>
      </c>
      <c r="BC481" t="str">
        <f>IF(BA481="","",IFERROR(INDEX(wClass,412)&amp;"",""))</f>
        <v/>
      </c>
      <c r="BD481" t="str">
        <f>IF(BA481="","",IFERROR(INDEX(wKS2,412)+0,""))</f>
        <v/>
      </c>
      <c r="BE481" t="str">
        <f>IF(BA481="","",IFERROR(INDEX(wTests,412)+0,0))</f>
        <v/>
      </c>
      <c r="BF481" t="str">
        <f>IF(BA481="","",IFERROR(INDEX(wMean,412)+0,""))</f>
        <v/>
      </c>
      <c r="BG481" t="str">
        <f>IF(BA481="","",IFERROR(INDEX(wVs,412)+0,""))</f>
        <v/>
      </c>
      <c r="BH481" t="str">
        <f>IF(OR(BA481="",wLatest=""),"",IFERROR(INDEX(wData,412,MATCH(wLatest&amp;CHAR(10)&amp;"Stanine",wHdr,0))+0,""))</f>
        <v/>
      </c>
      <c r="BI481" t="str">
        <f>IF(BA481="","",IF(AND(ISNUMBER(BG481),N(BE481)&gt;=WlMinTests,BG481&lt;=-WlGap),"Below KS2 starting point",IF(AND(NOT(ISNUMBER(BD481)),ISNUMBER(BF481),N(BE481)&gt;=WlMinTests,BF481&lt;=WlLowMean),"Low results, no KS2 data","")))</f>
        <v/>
      </c>
      <c r="BJ481" t="str">
        <f>IF(BI481="","",IF(BI481="Below KS2 starting point",BG481,100+BF481)+ROW()/1000000)</f>
        <v/>
      </c>
    </row>
    <row r="482">
      <c r="H482" t="str">
        <f>IFERROR(INDEX(tblY7[Class],ROWS(H$10:H482))&amp;"","")</f>
        <v/>
      </c>
      <c r="I482" t="str">
        <f>IF(H482="","",IF(COUNTIF(H$10:H482,H482)=1,COUNTIF(H$10:H$609,"&lt;"&amp;H482)+1,""))</f>
        <v/>
      </c>
      <c r="J482" t="str">
        <f>IFERROR(INDEX(tblY8[Class],ROWS(J$10:J482))&amp;"","")</f>
        <v/>
      </c>
      <c r="K482" t="str">
        <f>IF(J482="","",IF(COUNTIF(J$10:J482,J482)=1,COUNTIF(J$10:J$609,"&lt;"&amp;J482)+1,""))</f>
        <v/>
      </c>
      <c r="L482" t="str">
        <f>IFERROR(INDEX(tblY9[Class],ROWS(L$10:L482))&amp;"","")</f>
        <v/>
      </c>
      <c r="M482" t="str">
        <f>IF(L482="","",IF(COUNTIF(L$10:L482,L482)=1,COUNTIF(L$10:L$609,"&lt;"&amp;L482)+1,""))</f>
        <v/>
      </c>
      <c r="N482" t="str">
        <f>IFERROR(INDEX(tblY10[Class],ROWS(N$10:N482))&amp;"","")</f>
        <v/>
      </c>
      <c r="O482" t="str">
        <f>IF(N482="","",IF(COUNTIF(N$10:N482,N482)=1,COUNTIF(N$10:N$609,"&lt;"&amp;N482)+1,""))</f>
        <v/>
      </c>
      <c r="P482" t="str">
        <f>IFERROR(INDEX(tblY11[Class],ROWS(P$10:P482))&amp;"","")</f>
        <v/>
      </c>
      <c r="Q482" t="str">
        <f>IF(P482="","",IF(COUNTIF(P$10:P482,P482)=1,COUNTIF(P$10:P$609,"&lt;"&amp;P482)+1,""))</f>
        <v/>
      </c>
      <c r="BA482" t="str">
        <f>IFERROR(INDEX(wLast,413)&amp;"","")</f>
        <v/>
      </c>
      <c r="BB482" t="str">
        <f>IF(BA482="","",IFERROR(INDEX(wFirst,413)&amp;"",""))</f>
        <v/>
      </c>
      <c r="BC482" t="str">
        <f>IF(BA482="","",IFERROR(INDEX(wClass,413)&amp;"",""))</f>
        <v/>
      </c>
      <c r="BD482" t="str">
        <f>IF(BA482="","",IFERROR(INDEX(wKS2,413)+0,""))</f>
        <v/>
      </c>
      <c r="BE482" t="str">
        <f>IF(BA482="","",IFERROR(INDEX(wTests,413)+0,0))</f>
        <v/>
      </c>
      <c r="BF482" t="str">
        <f>IF(BA482="","",IFERROR(INDEX(wMean,413)+0,""))</f>
        <v/>
      </c>
      <c r="BG482" t="str">
        <f>IF(BA482="","",IFERROR(INDEX(wVs,413)+0,""))</f>
        <v/>
      </c>
      <c r="BH482" t="str">
        <f>IF(OR(BA482="",wLatest=""),"",IFERROR(INDEX(wData,413,MATCH(wLatest&amp;CHAR(10)&amp;"Stanine",wHdr,0))+0,""))</f>
        <v/>
      </c>
      <c r="BI482" t="str">
        <f>IF(BA482="","",IF(AND(ISNUMBER(BG482),N(BE482)&gt;=WlMinTests,BG482&lt;=-WlGap),"Below KS2 starting point",IF(AND(NOT(ISNUMBER(BD482)),ISNUMBER(BF482),N(BE482)&gt;=WlMinTests,BF482&lt;=WlLowMean),"Low results, no KS2 data","")))</f>
        <v/>
      </c>
      <c r="BJ482" t="str">
        <f>IF(BI482="","",IF(BI482="Below KS2 starting point",BG482,100+BF482)+ROW()/1000000)</f>
        <v/>
      </c>
    </row>
    <row r="483">
      <c r="H483" t="str">
        <f>IFERROR(INDEX(tblY7[Class],ROWS(H$10:H483))&amp;"","")</f>
        <v/>
      </c>
      <c r="I483" t="str">
        <f>IF(H483="","",IF(COUNTIF(H$10:H483,H483)=1,COUNTIF(H$10:H$609,"&lt;"&amp;H483)+1,""))</f>
        <v/>
      </c>
      <c r="J483" t="str">
        <f>IFERROR(INDEX(tblY8[Class],ROWS(J$10:J483))&amp;"","")</f>
        <v/>
      </c>
      <c r="K483" t="str">
        <f>IF(J483="","",IF(COUNTIF(J$10:J483,J483)=1,COUNTIF(J$10:J$609,"&lt;"&amp;J483)+1,""))</f>
        <v/>
      </c>
      <c r="L483" t="str">
        <f>IFERROR(INDEX(tblY9[Class],ROWS(L$10:L483))&amp;"","")</f>
        <v/>
      </c>
      <c r="M483" t="str">
        <f>IF(L483="","",IF(COUNTIF(L$10:L483,L483)=1,COUNTIF(L$10:L$609,"&lt;"&amp;L483)+1,""))</f>
        <v/>
      </c>
      <c r="N483" t="str">
        <f>IFERROR(INDEX(tblY10[Class],ROWS(N$10:N483))&amp;"","")</f>
        <v/>
      </c>
      <c r="O483" t="str">
        <f>IF(N483="","",IF(COUNTIF(N$10:N483,N483)=1,COUNTIF(N$10:N$609,"&lt;"&amp;N483)+1,""))</f>
        <v/>
      </c>
      <c r="P483" t="str">
        <f>IFERROR(INDEX(tblY11[Class],ROWS(P$10:P483))&amp;"","")</f>
        <v/>
      </c>
      <c r="Q483" t="str">
        <f>IF(P483="","",IF(COUNTIF(P$10:P483,P483)=1,COUNTIF(P$10:P$609,"&lt;"&amp;P483)+1,""))</f>
        <v/>
      </c>
      <c r="BA483" t="str">
        <f>IFERROR(INDEX(wLast,414)&amp;"","")</f>
        <v/>
      </c>
      <c r="BB483" t="str">
        <f>IF(BA483="","",IFERROR(INDEX(wFirst,414)&amp;"",""))</f>
        <v/>
      </c>
      <c r="BC483" t="str">
        <f>IF(BA483="","",IFERROR(INDEX(wClass,414)&amp;"",""))</f>
        <v/>
      </c>
      <c r="BD483" t="str">
        <f>IF(BA483="","",IFERROR(INDEX(wKS2,414)+0,""))</f>
        <v/>
      </c>
      <c r="BE483" t="str">
        <f>IF(BA483="","",IFERROR(INDEX(wTests,414)+0,0))</f>
        <v/>
      </c>
      <c r="BF483" t="str">
        <f>IF(BA483="","",IFERROR(INDEX(wMean,414)+0,""))</f>
        <v/>
      </c>
      <c r="BG483" t="str">
        <f>IF(BA483="","",IFERROR(INDEX(wVs,414)+0,""))</f>
        <v/>
      </c>
      <c r="BH483" t="str">
        <f>IF(OR(BA483="",wLatest=""),"",IFERROR(INDEX(wData,414,MATCH(wLatest&amp;CHAR(10)&amp;"Stanine",wHdr,0))+0,""))</f>
        <v/>
      </c>
      <c r="BI483" t="str">
        <f>IF(BA483="","",IF(AND(ISNUMBER(BG483),N(BE483)&gt;=WlMinTests,BG483&lt;=-WlGap),"Below KS2 starting point",IF(AND(NOT(ISNUMBER(BD483)),ISNUMBER(BF483),N(BE483)&gt;=WlMinTests,BF483&lt;=WlLowMean),"Low results, no KS2 data","")))</f>
        <v/>
      </c>
      <c r="BJ483" t="str">
        <f>IF(BI483="","",IF(BI483="Below KS2 starting point",BG483,100+BF483)+ROW()/1000000)</f>
        <v/>
      </c>
    </row>
    <row r="484">
      <c r="H484" t="str">
        <f>IFERROR(INDEX(tblY7[Class],ROWS(H$10:H484))&amp;"","")</f>
        <v/>
      </c>
      <c r="I484" t="str">
        <f>IF(H484="","",IF(COUNTIF(H$10:H484,H484)=1,COUNTIF(H$10:H$609,"&lt;"&amp;H484)+1,""))</f>
        <v/>
      </c>
      <c r="J484" t="str">
        <f>IFERROR(INDEX(tblY8[Class],ROWS(J$10:J484))&amp;"","")</f>
        <v/>
      </c>
      <c r="K484" t="str">
        <f>IF(J484="","",IF(COUNTIF(J$10:J484,J484)=1,COUNTIF(J$10:J$609,"&lt;"&amp;J484)+1,""))</f>
        <v/>
      </c>
      <c r="L484" t="str">
        <f>IFERROR(INDEX(tblY9[Class],ROWS(L$10:L484))&amp;"","")</f>
        <v/>
      </c>
      <c r="M484" t="str">
        <f>IF(L484="","",IF(COUNTIF(L$10:L484,L484)=1,COUNTIF(L$10:L$609,"&lt;"&amp;L484)+1,""))</f>
        <v/>
      </c>
      <c r="N484" t="str">
        <f>IFERROR(INDEX(tblY10[Class],ROWS(N$10:N484))&amp;"","")</f>
        <v/>
      </c>
      <c r="O484" t="str">
        <f>IF(N484="","",IF(COUNTIF(N$10:N484,N484)=1,COUNTIF(N$10:N$609,"&lt;"&amp;N484)+1,""))</f>
        <v/>
      </c>
      <c r="P484" t="str">
        <f>IFERROR(INDEX(tblY11[Class],ROWS(P$10:P484))&amp;"","")</f>
        <v/>
      </c>
      <c r="Q484" t="str">
        <f>IF(P484="","",IF(COUNTIF(P$10:P484,P484)=1,COUNTIF(P$10:P$609,"&lt;"&amp;P484)+1,""))</f>
        <v/>
      </c>
      <c r="BA484" t="str">
        <f>IFERROR(INDEX(wLast,415)&amp;"","")</f>
        <v/>
      </c>
      <c r="BB484" t="str">
        <f>IF(BA484="","",IFERROR(INDEX(wFirst,415)&amp;"",""))</f>
        <v/>
      </c>
      <c r="BC484" t="str">
        <f>IF(BA484="","",IFERROR(INDEX(wClass,415)&amp;"",""))</f>
        <v/>
      </c>
      <c r="BD484" t="str">
        <f>IF(BA484="","",IFERROR(INDEX(wKS2,415)+0,""))</f>
        <v/>
      </c>
      <c r="BE484" t="str">
        <f>IF(BA484="","",IFERROR(INDEX(wTests,415)+0,0))</f>
        <v/>
      </c>
      <c r="BF484" t="str">
        <f>IF(BA484="","",IFERROR(INDEX(wMean,415)+0,""))</f>
        <v/>
      </c>
      <c r="BG484" t="str">
        <f>IF(BA484="","",IFERROR(INDEX(wVs,415)+0,""))</f>
        <v/>
      </c>
      <c r="BH484" t="str">
        <f>IF(OR(BA484="",wLatest=""),"",IFERROR(INDEX(wData,415,MATCH(wLatest&amp;CHAR(10)&amp;"Stanine",wHdr,0))+0,""))</f>
        <v/>
      </c>
      <c r="BI484" t="str">
        <f>IF(BA484="","",IF(AND(ISNUMBER(BG484),N(BE484)&gt;=WlMinTests,BG484&lt;=-WlGap),"Below KS2 starting point",IF(AND(NOT(ISNUMBER(BD484)),ISNUMBER(BF484),N(BE484)&gt;=WlMinTests,BF484&lt;=WlLowMean),"Low results, no KS2 data","")))</f>
        <v/>
      </c>
      <c r="BJ484" t="str">
        <f>IF(BI484="","",IF(BI484="Below KS2 starting point",BG484,100+BF484)+ROW()/1000000)</f>
        <v/>
      </c>
    </row>
    <row r="485">
      <c r="H485" t="str">
        <f>IFERROR(INDEX(tblY7[Class],ROWS(H$10:H485))&amp;"","")</f>
        <v/>
      </c>
      <c r="I485" t="str">
        <f>IF(H485="","",IF(COUNTIF(H$10:H485,H485)=1,COUNTIF(H$10:H$609,"&lt;"&amp;H485)+1,""))</f>
        <v/>
      </c>
      <c r="J485" t="str">
        <f>IFERROR(INDEX(tblY8[Class],ROWS(J$10:J485))&amp;"","")</f>
        <v/>
      </c>
      <c r="K485" t="str">
        <f>IF(J485="","",IF(COUNTIF(J$10:J485,J485)=1,COUNTIF(J$10:J$609,"&lt;"&amp;J485)+1,""))</f>
        <v/>
      </c>
      <c r="L485" t="str">
        <f>IFERROR(INDEX(tblY9[Class],ROWS(L$10:L485))&amp;"","")</f>
        <v/>
      </c>
      <c r="M485" t="str">
        <f>IF(L485="","",IF(COUNTIF(L$10:L485,L485)=1,COUNTIF(L$10:L$609,"&lt;"&amp;L485)+1,""))</f>
        <v/>
      </c>
      <c r="N485" t="str">
        <f>IFERROR(INDEX(tblY10[Class],ROWS(N$10:N485))&amp;"","")</f>
        <v/>
      </c>
      <c r="O485" t="str">
        <f>IF(N485="","",IF(COUNTIF(N$10:N485,N485)=1,COUNTIF(N$10:N$609,"&lt;"&amp;N485)+1,""))</f>
        <v/>
      </c>
      <c r="P485" t="str">
        <f>IFERROR(INDEX(tblY11[Class],ROWS(P$10:P485))&amp;"","")</f>
        <v/>
      </c>
      <c r="Q485" t="str">
        <f>IF(P485="","",IF(COUNTIF(P$10:P485,P485)=1,COUNTIF(P$10:P$609,"&lt;"&amp;P485)+1,""))</f>
        <v/>
      </c>
      <c r="BA485" t="str">
        <f>IFERROR(INDEX(wLast,416)&amp;"","")</f>
        <v/>
      </c>
      <c r="BB485" t="str">
        <f>IF(BA485="","",IFERROR(INDEX(wFirst,416)&amp;"",""))</f>
        <v/>
      </c>
      <c r="BC485" t="str">
        <f>IF(BA485="","",IFERROR(INDEX(wClass,416)&amp;"",""))</f>
        <v/>
      </c>
      <c r="BD485" t="str">
        <f>IF(BA485="","",IFERROR(INDEX(wKS2,416)+0,""))</f>
        <v/>
      </c>
      <c r="BE485" t="str">
        <f>IF(BA485="","",IFERROR(INDEX(wTests,416)+0,0))</f>
        <v/>
      </c>
      <c r="BF485" t="str">
        <f>IF(BA485="","",IFERROR(INDEX(wMean,416)+0,""))</f>
        <v/>
      </c>
      <c r="BG485" t="str">
        <f>IF(BA485="","",IFERROR(INDEX(wVs,416)+0,""))</f>
        <v/>
      </c>
      <c r="BH485" t="str">
        <f>IF(OR(BA485="",wLatest=""),"",IFERROR(INDEX(wData,416,MATCH(wLatest&amp;CHAR(10)&amp;"Stanine",wHdr,0))+0,""))</f>
        <v/>
      </c>
      <c r="BI485" t="str">
        <f>IF(BA485="","",IF(AND(ISNUMBER(BG485),N(BE485)&gt;=WlMinTests,BG485&lt;=-WlGap),"Below KS2 starting point",IF(AND(NOT(ISNUMBER(BD485)),ISNUMBER(BF485),N(BE485)&gt;=WlMinTests,BF485&lt;=WlLowMean),"Low results, no KS2 data","")))</f>
        <v/>
      </c>
      <c r="BJ485" t="str">
        <f>IF(BI485="","",IF(BI485="Below KS2 starting point",BG485,100+BF485)+ROW()/1000000)</f>
        <v/>
      </c>
    </row>
    <row r="486">
      <c r="H486" t="str">
        <f>IFERROR(INDEX(tblY7[Class],ROWS(H$10:H486))&amp;"","")</f>
        <v/>
      </c>
      <c r="I486" t="str">
        <f>IF(H486="","",IF(COUNTIF(H$10:H486,H486)=1,COUNTIF(H$10:H$609,"&lt;"&amp;H486)+1,""))</f>
        <v/>
      </c>
      <c r="J486" t="str">
        <f>IFERROR(INDEX(tblY8[Class],ROWS(J$10:J486))&amp;"","")</f>
        <v/>
      </c>
      <c r="K486" t="str">
        <f>IF(J486="","",IF(COUNTIF(J$10:J486,J486)=1,COUNTIF(J$10:J$609,"&lt;"&amp;J486)+1,""))</f>
        <v/>
      </c>
      <c r="L486" t="str">
        <f>IFERROR(INDEX(tblY9[Class],ROWS(L$10:L486))&amp;"","")</f>
        <v/>
      </c>
      <c r="M486" t="str">
        <f>IF(L486="","",IF(COUNTIF(L$10:L486,L486)=1,COUNTIF(L$10:L$609,"&lt;"&amp;L486)+1,""))</f>
        <v/>
      </c>
      <c r="N486" t="str">
        <f>IFERROR(INDEX(tblY10[Class],ROWS(N$10:N486))&amp;"","")</f>
        <v/>
      </c>
      <c r="O486" t="str">
        <f>IF(N486="","",IF(COUNTIF(N$10:N486,N486)=1,COUNTIF(N$10:N$609,"&lt;"&amp;N486)+1,""))</f>
        <v/>
      </c>
      <c r="P486" t="str">
        <f>IFERROR(INDEX(tblY11[Class],ROWS(P$10:P486))&amp;"","")</f>
        <v/>
      </c>
      <c r="Q486" t="str">
        <f>IF(P486="","",IF(COUNTIF(P$10:P486,P486)=1,COUNTIF(P$10:P$609,"&lt;"&amp;P486)+1,""))</f>
        <v/>
      </c>
      <c r="BA486" t="str">
        <f>IFERROR(INDEX(wLast,417)&amp;"","")</f>
        <v/>
      </c>
      <c r="BB486" t="str">
        <f>IF(BA486="","",IFERROR(INDEX(wFirst,417)&amp;"",""))</f>
        <v/>
      </c>
      <c r="BC486" t="str">
        <f>IF(BA486="","",IFERROR(INDEX(wClass,417)&amp;"",""))</f>
        <v/>
      </c>
      <c r="BD486" t="str">
        <f>IF(BA486="","",IFERROR(INDEX(wKS2,417)+0,""))</f>
        <v/>
      </c>
      <c r="BE486" t="str">
        <f>IF(BA486="","",IFERROR(INDEX(wTests,417)+0,0))</f>
        <v/>
      </c>
      <c r="BF486" t="str">
        <f>IF(BA486="","",IFERROR(INDEX(wMean,417)+0,""))</f>
        <v/>
      </c>
      <c r="BG486" t="str">
        <f>IF(BA486="","",IFERROR(INDEX(wVs,417)+0,""))</f>
        <v/>
      </c>
      <c r="BH486" t="str">
        <f>IF(OR(BA486="",wLatest=""),"",IFERROR(INDEX(wData,417,MATCH(wLatest&amp;CHAR(10)&amp;"Stanine",wHdr,0))+0,""))</f>
        <v/>
      </c>
      <c r="BI486" t="str">
        <f>IF(BA486="","",IF(AND(ISNUMBER(BG486),N(BE486)&gt;=WlMinTests,BG486&lt;=-WlGap),"Below KS2 starting point",IF(AND(NOT(ISNUMBER(BD486)),ISNUMBER(BF486),N(BE486)&gt;=WlMinTests,BF486&lt;=WlLowMean),"Low results, no KS2 data","")))</f>
        <v/>
      </c>
      <c r="BJ486" t="str">
        <f>IF(BI486="","",IF(BI486="Below KS2 starting point",BG486,100+BF486)+ROW()/1000000)</f>
        <v/>
      </c>
    </row>
    <row r="487">
      <c r="H487" t="str">
        <f>IFERROR(INDEX(tblY7[Class],ROWS(H$10:H487))&amp;"","")</f>
        <v/>
      </c>
      <c r="I487" t="str">
        <f>IF(H487="","",IF(COUNTIF(H$10:H487,H487)=1,COUNTIF(H$10:H$609,"&lt;"&amp;H487)+1,""))</f>
        <v/>
      </c>
      <c r="J487" t="str">
        <f>IFERROR(INDEX(tblY8[Class],ROWS(J$10:J487))&amp;"","")</f>
        <v/>
      </c>
      <c r="K487" t="str">
        <f>IF(J487="","",IF(COUNTIF(J$10:J487,J487)=1,COUNTIF(J$10:J$609,"&lt;"&amp;J487)+1,""))</f>
        <v/>
      </c>
      <c r="L487" t="str">
        <f>IFERROR(INDEX(tblY9[Class],ROWS(L$10:L487))&amp;"","")</f>
        <v/>
      </c>
      <c r="M487" t="str">
        <f>IF(L487="","",IF(COUNTIF(L$10:L487,L487)=1,COUNTIF(L$10:L$609,"&lt;"&amp;L487)+1,""))</f>
        <v/>
      </c>
      <c r="N487" t="str">
        <f>IFERROR(INDEX(tblY10[Class],ROWS(N$10:N487))&amp;"","")</f>
        <v/>
      </c>
      <c r="O487" t="str">
        <f>IF(N487="","",IF(COUNTIF(N$10:N487,N487)=1,COUNTIF(N$10:N$609,"&lt;"&amp;N487)+1,""))</f>
        <v/>
      </c>
      <c r="P487" t="str">
        <f>IFERROR(INDEX(tblY11[Class],ROWS(P$10:P487))&amp;"","")</f>
        <v/>
      </c>
      <c r="Q487" t="str">
        <f>IF(P487="","",IF(COUNTIF(P$10:P487,P487)=1,COUNTIF(P$10:P$609,"&lt;"&amp;P487)+1,""))</f>
        <v/>
      </c>
      <c r="BA487" t="str">
        <f>IFERROR(INDEX(wLast,418)&amp;"","")</f>
        <v/>
      </c>
      <c r="BB487" t="str">
        <f>IF(BA487="","",IFERROR(INDEX(wFirst,418)&amp;"",""))</f>
        <v/>
      </c>
      <c r="BC487" t="str">
        <f>IF(BA487="","",IFERROR(INDEX(wClass,418)&amp;"",""))</f>
        <v/>
      </c>
      <c r="BD487" t="str">
        <f>IF(BA487="","",IFERROR(INDEX(wKS2,418)+0,""))</f>
        <v/>
      </c>
      <c r="BE487" t="str">
        <f>IF(BA487="","",IFERROR(INDEX(wTests,418)+0,0))</f>
        <v/>
      </c>
      <c r="BF487" t="str">
        <f>IF(BA487="","",IFERROR(INDEX(wMean,418)+0,""))</f>
        <v/>
      </c>
      <c r="BG487" t="str">
        <f>IF(BA487="","",IFERROR(INDEX(wVs,418)+0,""))</f>
        <v/>
      </c>
      <c r="BH487" t="str">
        <f>IF(OR(BA487="",wLatest=""),"",IFERROR(INDEX(wData,418,MATCH(wLatest&amp;CHAR(10)&amp;"Stanine",wHdr,0))+0,""))</f>
        <v/>
      </c>
      <c r="BI487" t="str">
        <f>IF(BA487="","",IF(AND(ISNUMBER(BG487),N(BE487)&gt;=WlMinTests,BG487&lt;=-WlGap),"Below KS2 starting point",IF(AND(NOT(ISNUMBER(BD487)),ISNUMBER(BF487),N(BE487)&gt;=WlMinTests,BF487&lt;=WlLowMean),"Low results, no KS2 data","")))</f>
        <v/>
      </c>
      <c r="BJ487" t="str">
        <f>IF(BI487="","",IF(BI487="Below KS2 starting point",BG487,100+BF487)+ROW()/1000000)</f>
        <v/>
      </c>
    </row>
    <row r="488">
      <c r="H488" t="str">
        <f>IFERROR(INDEX(tblY7[Class],ROWS(H$10:H488))&amp;"","")</f>
        <v/>
      </c>
      <c r="I488" t="str">
        <f>IF(H488="","",IF(COUNTIF(H$10:H488,H488)=1,COUNTIF(H$10:H$609,"&lt;"&amp;H488)+1,""))</f>
        <v/>
      </c>
      <c r="J488" t="str">
        <f>IFERROR(INDEX(tblY8[Class],ROWS(J$10:J488))&amp;"","")</f>
        <v/>
      </c>
      <c r="K488" t="str">
        <f>IF(J488="","",IF(COUNTIF(J$10:J488,J488)=1,COUNTIF(J$10:J$609,"&lt;"&amp;J488)+1,""))</f>
        <v/>
      </c>
      <c r="L488" t="str">
        <f>IFERROR(INDEX(tblY9[Class],ROWS(L$10:L488))&amp;"","")</f>
        <v/>
      </c>
      <c r="M488" t="str">
        <f>IF(L488="","",IF(COUNTIF(L$10:L488,L488)=1,COUNTIF(L$10:L$609,"&lt;"&amp;L488)+1,""))</f>
        <v/>
      </c>
      <c r="N488" t="str">
        <f>IFERROR(INDEX(tblY10[Class],ROWS(N$10:N488))&amp;"","")</f>
        <v/>
      </c>
      <c r="O488" t="str">
        <f>IF(N488="","",IF(COUNTIF(N$10:N488,N488)=1,COUNTIF(N$10:N$609,"&lt;"&amp;N488)+1,""))</f>
        <v/>
      </c>
      <c r="P488" t="str">
        <f>IFERROR(INDEX(tblY11[Class],ROWS(P$10:P488))&amp;"","")</f>
        <v/>
      </c>
      <c r="Q488" t="str">
        <f>IF(P488="","",IF(COUNTIF(P$10:P488,P488)=1,COUNTIF(P$10:P$609,"&lt;"&amp;P488)+1,""))</f>
        <v/>
      </c>
      <c r="BA488" t="str">
        <f>IFERROR(INDEX(wLast,419)&amp;"","")</f>
        <v/>
      </c>
      <c r="BB488" t="str">
        <f>IF(BA488="","",IFERROR(INDEX(wFirst,419)&amp;"",""))</f>
        <v/>
      </c>
      <c r="BC488" t="str">
        <f>IF(BA488="","",IFERROR(INDEX(wClass,419)&amp;"",""))</f>
        <v/>
      </c>
      <c r="BD488" t="str">
        <f>IF(BA488="","",IFERROR(INDEX(wKS2,419)+0,""))</f>
        <v/>
      </c>
      <c r="BE488" t="str">
        <f>IF(BA488="","",IFERROR(INDEX(wTests,419)+0,0))</f>
        <v/>
      </c>
      <c r="BF488" t="str">
        <f>IF(BA488="","",IFERROR(INDEX(wMean,419)+0,""))</f>
        <v/>
      </c>
      <c r="BG488" t="str">
        <f>IF(BA488="","",IFERROR(INDEX(wVs,419)+0,""))</f>
        <v/>
      </c>
      <c r="BH488" t="str">
        <f>IF(OR(BA488="",wLatest=""),"",IFERROR(INDEX(wData,419,MATCH(wLatest&amp;CHAR(10)&amp;"Stanine",wHdr,0))+0,""))</f>
        <v/>
      </c>
      <c r="BI488" t="str">
        <f>IF(BA488="","",IF(AND(ISNUMBER(BG488),N(BE488)&gt;=WlMinTests,BG488&lt;=-WlGap),"Below KS2 starting point",IF(AND(NOT(ISNUMBER(BD488)),ISNUMBER(BF488),N(BE488)&gt;=WlMinTests,BF488&lt;=WlLowMean),"Low results, no KS2 data","")))</f>
        <v/>
      </c>
      <c r="BJ488" t="str">
        <f>IF(BI488="","",IF(BI488="Below KS2 starting point",BG488,100+BF488)+ROW()/1000000)</f>
        <v/>
      </c>
    </row>
    <row r="489">
      <c r="H489" t="str">
        <f>IFERROR(INDEX(tblY7[Class],ROWS(H$10:H489))&amp;"","")</f>
        <v/>
      </c>
      <c r="I489" t="str">
        <f>IF(H489="","",IF(COUNTIF(H$10:H489,H489)=1,COUNTIF(H$10:H$609,"&lt;"&amp;H489)+1,""))</f>
        <v/>
      </c>
      <c r="J489" t="str">
        <f>IFERROR(INDEX(tblY8[Class],ROWS(J$10:J489))&amp;"","")</f>
        <v/>
      </c>
      <c r="K489" t="str">
        <f>IF(J489="","",IF(COUNTIF(J$10:J489,J489)=1,COUNTIF(J$10:J$609,"&lt;"&amp;J489)+1,""))</f>
        <v/>
      </c>
      <c r="L489" t="str">
        <f>IFERROR(INDEX(tblY9[Class],ROWS(L$10:L489))&amp;"","")</f>
        <v/>
      </c>
      <c r="M489" t="str">
        <f>IF(L489="","",IF(COUNTIF(L$10:L489,L489)=1,COUNTIF(L$10:L$609,"&lt;"&amp;L489)+1,""))</f>
        <v/>
      </c>
      <c r="N489" t="str">
        <f>IFERROR(INDEX(tblY10[Class],ROWS(N$10:N489))&amp;"","")</f>
        <v/>
      </c>
      <c r="O489" t="str">
        <f>IF(N489="","",IF(COUNTIF(N$10:N489,N489)=1,COUNTIF(N$10:N$609,"&lt;"&amp;N489)+1,""))</f>
        <v/>
      </c>
      <c r="P489" t="str">
        <f>IFERROR(INDEX(tblY11[Class],ROWS(P$10:P489))&amp;"","")</f>
        <v/>
      </c>
      <c r="Q489" t="str">
        <f>IF(P489="","",IF(COUNTIF(P$10:P489,P489)=1,COUNTIF(P$10:P$609,"&lt;"&amp;P489)+1,""))</f>
        <v/>
      </c>
      <c r="BA489" t="str">
        <f>IFERROR(INDEX(wLast,420)&amp;"","")</f>
        <v/>
      </c>
      <c r="BB489" t="str">
        <f>IF(BA489="","",IFERROR(INDEX(wFirst,420)&amp;"",""))</f>
        <v/>
      </c>
      <c r="BC489" t="str">
        <f>IF(BA489="","",IFERROR(INDEX(wClass,420)&amp;"",""))</f>
        <v/>
      </c>
      <c r="BD489" t="str">
        <f>IF(BA489="","",IFERROR(INDEX(wKS2,420)+0,""))</f>
        <v/>
      </c>
      <c r="BE489" t="str">
        <f>IF(BA489="","",IFERROR(INDEX(wTests,420)+0,0))</f>
        <v/>
      </c>
      <c r="BF489" t="str">
        <f>IF(BA489="","",IFERROR(INDEX(wMean,420)+0,""))</f>
        <v/>
      </c>
      <c r="BG489" t="str">
        <f>IF(BA489="","",IFERROR(INDEX(wVs,420)+0,""))</f>
        <v/>
      </c>
      <c r="BH489" t="str">
        <f>IF(OR(BA489="",wLatest=""),"",IFERROR(INDEX(wData,420,MATCH(wLatest&amp;CHAR(10)&amp;"Stanine",wHdr,0))+0,""))</f>
        <v/>
      </c>
      <c r="BI489" t="str">
        <f>IF(BA489="","",IF(AND(ISNUMBER(BG489),N(BE489)&gt;=WlMinTests,BG489&lt;=-WlGap),"Below KS2 starting point",IF(AND(NOT(ISNUMBER(BD489)),ISNUMBER(BF489),N(BE489)&gt;=WlMinTests,BF489&lt;=WlLowMean),"Low results, no KS2 data","")))</f>
        <v/>
      </c>
      <c r="BJ489" t="str">
        <f>IF(BI489="","",IF(BI489="Below KS2 starting point",BG489,100+BF489)+ROW()/1000000)</f>
        <v/>
      </c>
    </row>
    <row r="490">
      <c r="H490" t="str">
        <f>IFERROR(INDEX(tblY7[Class],ROWS(H$10:H490))&amp;"","")</f>
        <v/>
      </c>
      <c r="I490" t="str">
        <f>IF(H490="","",IF(COUNTIF(H$10:H490,H490)=1,COUNTIF(H$10:H$609,"&lt;"&amp;H490)+1,""))</f>
        <v/>
      </c>
      <c r="J490" t="str">
        <f>IFERROR(INDEX(tblY8[Class],ROWS(J$10:J490))&amp;"","")</f>
        <v/>
      </c>
      <c r="K490" t="str">
        <f>IF(J490="","",IF(COUNTIF(J$10:J490,J490)=1,COUNTIF(J$10:J$609,"&lt;"&amp;J490)+1,""))</f>
        <v/>
      </c>
      <c r="L490" t="str">
        <f>IFERROR(INDEX(tblY9[Class],ROWS(L$10:L490))&amp;"","")</f>
        <v/>
      </c>
      <c r="M490" t="str">
        <f>IF(L490="","",IF(COUNTIF(L$10:L490,L490)=1,COUNTIF(L$10:L$609,"&lt;"&amp;L490)+1,""))</f>
        <v/>
      </c>
      <c r="N490" t="str">
        <f>IFERROR(INDEX(tblY10[Class],ROWS(N$10:N490))&amp;"","")</f>
        <v/>
      </c>
      <c r="O490" t="str">
        <f>IF(N490="","",IF(COUNTIF(N$10:N490,N490)=1,COUNTIF(N$10:N$609,"&lt;"&amp;N490)+1,""))</f>
        <v/>
      </c>
      <c r="P490" t="str">
        <f>IFERROR(INDEX(tblY11[Class],ROWS(P$10:P490))&amp;"","")</f>
        <v/>
      </c>
      <c r="Q490" t="str">
        <f>IF(P490="","",IF(COUNTIF(P$10:P490,P490)=1,COUNTIF(P$10:P$609,"&lt;"&amp;P490)+1,""))</f>
        <v/>
      </c>
      <c r="BA490" t="str">
        <f>IFERROR(INDEX(wLast,421)&amp;"","")</f>
        <v/>
      </c>
      <c r="BB490" t="str">
        <f>IF(BA490="","",IFERROR(INDEX(wFirst,421)&amp;"",""))</f>
        <v/>
      </c>
      <c r="BC490" t="str">
        <f>IF(BA490="","",IFERROR(INDEX(wClass,421)&amp;"",""))</f>
        <v/>
      </c>
      <c r="BD490" t="str">
        <f>IF(BA490="","",IFERROR(INDEX(wKS2,421)+0,""))</f>
        <v/>
      </c>
      <c r="BE490" t="str">
        <f>IF(BA490="","",IFERROR(INDEX(wTests,421)+0,0))</f>
        <v/>
      </c>
      <c r="BF490" t="str">
        <f>IF(BA490="","",IFERROR(INDEX(wMean,421)+0,""))</f>
        <v/>
      </c>
      <c r="BG490" t="str">
        <f>IF(BA490="","",IFERROR(INDEX(wVs,421)+0,""))</f>
        <v/>
      </c>
      <c r="BH490" t="str">
        <f>IF(OR(BA490="",wLatest=""),"",IFERROR(INDEX(wData,421,MATCH(wLatest&amp;CHAR(10)&amp;"Stanine",wHdr,0))+0,""))</f>
        <v/>
      </c>
      <c r="BI490" t="str">
        <f>IF(BA490="","",IF(AND(ISNUMBER(BG490),N(BE490)&gt;=WlMinTests,BG490&lt;=-WlGap),"Below KS2 starting point",IF(AND(NOT(ISNUMBER(BD490)),ISNUMBER(BF490),N(BE490)&gt;=WlMinTests,BF490&lt;=WlLowMean),"Low results, no KS2 data","")))</f>
        <v/>
      </c>
      <c r="BJ490" t="str">
        <f>IF(BI490="","",IF(BI490="Below KS2 starting point",BG490,100+BF490)+ROW()/1000000)</f>
        <v/>
      </c>
    </row>
    <row r="491">
      <c r="H491" t="str">
        <f>IFERROR(INDEX(tblY7[Class],ROWS(H$10:H491))&amp;"","")</f>
        <v/>
      </c>
      <c r="I491" t="str">
        <f>IF(H491="","",IF(COUNTIF(H$10:H491,H491)=1,COUNTIF(H$10:H$609,"&lt;"&amp;H491)+1,""))</f>
        <v/>
      </c>
      <c r="J491" t="str">
        <f>IFERROR(INDEX(tblY8[Class],ROWS(J$10:J491))&amp;"","")</f>
        <v/>
      </c>
      <c r="K491" t="str">
        <f>IF(J491="","",IF(COUNTIF(J$10:J491,J491)=1,COUNTIF(J$10:J$609,"&lt;"&amp;J491)+1,""))</f>
        <v/>
      </c>
      <c r="L491" t="str">
        <f>IFERROR(INDEX(tblY9[Class],ROWS(L$10:L491))&amp;"","")</f>
        <v/>
      </c>
      <c r="M491" t="str">
        <f>IF(L491="","",IF(COUNTIF(L$10:L491,L491)=1,COUNTIF(L$10:L$609,"&lt;"&amp;L491)+1,""))</f>
        <v/>
      </c>
      <c r="N491" t="str">
        <f>IFERROR(INDEX(tblY10[Class],ROWS(N$10:N491))&amp;"","")</f>
        <v/>
      </c>
      <c r="O491" t="str">
        <f>IF(N491="","",IF(COUNTIF(N$10:N491,N491)=1,COUNTIF(N$10:N$609,"&lt;"&amp;N491)+1,""))</f>
        <v/>
      </c>
      <c r="P491" t="str">
        <f>IFERROR(INDEX(tblY11[Class],ROWS(P$10:P491))&amp;"","")</f>
        <v/>
      </c>
      <c r="Q491" t="str">
        <f>IF(P491="","",IF(COUNTIF(P$10:P491,P491)=1,COUNTIF(P$10:P$609,"&lt;"&amp;P491)+1,""))</f>
        <v/>
      </c>
      <c r="BA491" t="str">
        <f>IFERROR(INDEX(wLast,422)&amp;"","")</f>
        <v/>
      </c>
      <c r="BB491" t="str">
        <f>IF(BA491="","",IFERROR(INDEX(wFirst,422)&amp;"",""))</f>
        <v/>
      </c>
      <c r="BC491" t="str">
        <f>IF(BA491="","",IFERROR(INDEX(wClass,422)&amp;"",""))</f>
        <v/>
      </c>
      <c r="BD491" t="str">
        <f>IF(BA491="","",IFERROR(INDEX(wKS2,422)+0,""))</f>
        <v/>
      </c>
      <c r="BE491" t="str">
        <f>IF(BA491="","",IFERROR(INDEX(wTests,422)+0,0))</f>
        <v/>
      </c>
      <c r="BF491" t="str">
        <f>IF(BA491="","",IFERROR(INDEX(wMean,422)+0,""))</f>
        <v/>
      </c>
      <c r="BG491" t="str">
        <f>IF(BA491="","",IFERROR(INDEX(wVs,422)+0,""))</f>
        <v/>
      </c>
      <c r="BH491" t="str">
        <f>IF(OR(BA491="",wLatest=""),"",IFERROR(INDEX(wData,422,MATCH(wLatest&amp;CHAR(10)&amp;"Stanine",wHdr,0))+0,""))</f>
        <v/>
      </c>
      <c r="BI491" t="str">
        <f>IF(BA491="","",IF(AND(ISNUMBER(BG491),N(BE491)&gt;=WlMinTests,BG491&lt;=-WlGap),"Below KS2 starting point",IF(AND(NOT(ISNUMBER(BD491)),ISNUMBER(BF491),N(BE491)&gt;=WlMinTests,BF491&lt;=WlLowMean),"Low results, no KS2 data","")))</f>
        <v/>
      </c>
      <c r="BJ491" t="str">
        <f>IF(BI491="","",IF(BI491="Below KS2 starting point",BG491,100+BF491)+ROW()/1000000)</f>
        <v/>
      </c>
    </row>
    <row r="492">
      <c r="H492" t="str">
        <f>IFERROR(INDEX(tblY7[Class],ROWS(H$10:H492))&amp;"","")</f>
        <v/>
      </c>
      <c r="I492" t="str">
        <f>IF(H492="","",IF(COUNTIF(H$10:H492,H492)=1,COUNTIF(H$10:H$609,"&lt;"&amp;H492)+1,""))</f>
        <v/>
      </c>
      <c r="J492" t="str">
        <f>IFERROR(INDEX(tblY8[Class],ROWS(J$10:J492))&amp;"","")</f>
        <v/>
      </c>
      <c r="K492" t="str">
        <f>IF(J492="","",IF(COUNTIF(J$10:J492,J492)=1,COUNTIF(J$10:J$609,"&lt;"&amp;J492)+1,""))</f>
        <v/>
      </c>
      <c r="L492" t="str">
        <f>IFERROR(INDEX(tblY9[Class],ROWS(L$10:L492))&amp;"","")</f>
        <v/>
      </c>
      <c r="M492" t="str">
        <f>IF(L492="","",IF(COUNTIF(L$10:L492,L492)=1,COUNTIF(L$10:L$609,"&lt;"&amp;L492)+1,""))</f>
        <v/>
      </c>
      <c r="N492" t="str">
        <f>IFERROR(INDEX(tblY10[Class],ROWS(N$10:N492))&amp;"","")</f>
        <v/>
      </c>
      <c r="O492" t="str">
        <f>IF(N492="","",IF(COUNTIF(N$10:N492,N492)=1,COUNTIF(N$10:N$609,"&lt;"&amp;N492)+1,""))</f>
        <v/>
      </c>
      <c r="P492" t="str">
        <f>IFERROR(INDEX(tblY11[Class],ROWS(P$10:P492))&amp;"","")</f>
        <v/>
      </c>
      <c r="Q492" t="str">
        <f>IF(P492="","",IF(COUNTIF(P$10:P492,P492)=1,COUNTIF(P$10:P$609,"&lt;"&amp;P492)+1,""))</f>
        <v/>
      </c>
      <c r="BA492" t="str">
        <f>IFERROR(INDEX(wLast,423)&amp;"","")</f>
        <v/>
      </c>
      <c r="BB492" t="str">
        <f>IF(BA492="","",IFERROR(INDEX(wFirst,423)&amp;"",""))</f>
        <v/>
      </c>
      <c r="BC492" t="str">
        <f>IF(BA492="","",IFERROR(INDEX(wClass,423)&amp;"",""))</f>
        <v/>
      </c>
      <c r="BD492" t="str">
        <f>IF(BA492="","",IFERROR(INDEX(wKS2,423)+0,""))</f>
        <v/>
      </c>
      <c r="BE492" t="str">
        <f>IF(BA492="","",IFERROR(INDEX(wTests,423)+0,0))</f>
        <v/>
      </c>
      <c r="BF492" t="str">
        <f>IF(BA492="","",IFERROR(INDEX(wMean,423)+0,""))</f>
        <v/>
      </c>
      <c r="BG492" t="str">
        <f>IF(BA492="","",IFERROR(INDEX(wVs,423)+0,""))</f>
        <v/>
      </c>
      <c r="BH492" t="str">
        <f>IF(OR(BA492="",wLatest=""),"",IFERROR(INDEX(wData,423,MATCH(wLatest&amp;CHAR(10)&amp;"Stanine",wHdr,0))+0,""))</f>
        <v/>
      </c>
      <c r="BI492" t="str">
        <f>IF(BA492="","",IF(AND(ISNUMBER(BG492),N(BE492)&gt;=WlMinTests,BG492&lt;=-WlGap),"Below KS2 starting point",IF(AND(NOT(ISNUMBER(BD492)),ISNUMBER(BF492),N(BE492)&gt;=WlMinTests,BF492&lt;=WlLowMean),"Low results, no KS2 data","")))</f>
        <v/>
      </c>
      <c r="BJ492" t="str">
        <f>IF(BI492="","",IF(BI492="Below KS2 starting point",BG492,100+BF492)+ROW()/1000000)</f>
        <v/>
      </c>
    </row>
    <row r="493">
      <c r="H493" t="str">
        <f>IFERROR(INDEX(tblY7[Class],ROWS(H$10:H493))&amp;"","")</f>
        <v/>
      </c>
      <c r="I493" t="str">
        <f>IF(H493="","",IF(COUNTIF(H$10:H493,H493)=1,COUNTIF(H$10:H$609,"&lt;"&amp;H493)+1,""))</f>
        <v/>
      </c>
      <c r="J493" t="str">
        <f>IFERROR(INDEX(tblY8[Class],ROWS(J$10:J493))&amp;"","")</f>
        <v/>
      </c>
      <c r="K493" t="str">
        <f>IF(J493="","",IF(COUNTIF(J$10:J493,J493)=1,COUNTIF(J$10:J$609,"&lt;"&amp;J493)+1,""))</f>
        <v/>
      </c>
      <c r="L493" t="str">
        <f>IFERROR(INDEX(tblY9[Class],ROWS(L$10:L493))&amp;"","")</f>
        <v/>
      </c>
      <c r="M493" t="str">
        <f>IF(L493="","",IF(COUNTIF(L$10:L493,L493)=1,COUNTIF(L$10:L$609,"&lt;"&amp;L493)+1,""))</f>
        <v/>
      </c>
      <c r="N493" t="str">
        <f>IFERROR(INDEX(tblY10[Class],ROWS(N$10:N493))&amp;"","")</f>
        <v/>
      </c>
      <c r="O493" t="str">
        <f>IF(N493="","",IF(COUNTIF(N$10:N493,N493)=1,COUNTIF(N$10:N$609,"&lt;"&amp;N493)+1,""))</f>
        <v/>
      </c>
      <c r="P493" t="str">
        <f>IFERROR(INDEX(tblY11[Class],ROWS(P$10:P493))&amp;"","")</f>
        <v/>
      </c>
      <c r="Q493" t="str">
        <f>IF(P493="","",IF(COUNTIF(P$10:P493,P493)=1,COUNTIF(P$10:P$609,"&lt;"&amp;P493)+1,""))</f>
        <v/>
      </c>
      <c r="BA493" t="str">
        <f>IFERROR(INDEX(wLast,424)&amp;"","")</f>
        <v/>
      </c>
      <c r="BB493" t="str">
        <f>IF(BA493="","",IFERROR(INDEX(wFirst,424)&amp;"",""))</f>
        <v/>
      </c>
      <c r="BC493" t="str">
        <f>IF(BA493="","",IFERROR(INDEX(wClass,424)&amp;"",""))</f>
        <v/>
      </c>
      <c r="BD493" t="str">
        <f>IF(BA493="","",IFERROR(INDEX(wKS2,424)+0,""))</f>
        <v/>
      </c>
      <c r="BE493" t="str">
        <f>IF(BA493="","",IFERROR(INDEX(wTests,424)+0,0))</f>
        <v/>
      </c>
      <c r="BF493" t="str">
        <f>IF(BA493="","",IFERROR(INDEX(wMean,424)+0,""))</f>
        <v/>
      </c>
      <c r="BG493" t="str">
        <f>IF(BA493="","",IFERROR(INDEX(wVs,424)+0,""))</f>
        <v/>
      </c>
      <c r="BH493" t="str">
        <f>IF(OR(BA493="",wLatest=""),"",IFERROR(INDEX(wData,424,MATCH(wLatest&amp;CHAR(10)&amp;"Stanine",wHdr,0))+0,""))</f>
        <v/>
      </c>
      <c r="BI493" t="str">
        <f>IF(BA493="","",IF(AND(ISNUMBER(BG493),N(BE493)&gt;=WlMinTests,BG493&lt;=-WlGap),"Below KS2 starting point",IF(AND(NOT(ISNUMBER(BD493)),ISNUMBER(BF493),N(BE493)&gt;=WlMinTests,BF493&lt;=WlLowMean),"Low results, no KS2 data","")))</f>
        <v/>
      </c>
      <c r="BJ493" t="str">
        <f>IF(BI493="","",IF(BI493="Below KS2 starting point",BG493,100+BF493)+ROW()/1000000)</f>
        <v/>
      </c>
    </row>
    <row r="494">
      <c r="H494" t="str">
        <f>IFERROR(INDEX(tblY7[Class],ROWS(H$10:H494))&amp;"","")</f>
        <v/>
      </c>
      <c r="I494" t="str">
        <f>IF(H494="","",IF(COUNTIF(H$10:H494,H494)=1,COUNTIF(H$10:H$609,"&lt;"&amp;H494)+1,""))</f>
        <v/>
      </c>
      <c r="J494" t="str">
        <f>IFERROR(INDEX(tblY8[Class],ROWS(J$10:J494))&amp;"","")</f>
        <v/>
      </c>
      <c r="K494" t="str">
        <f>IF(J494="","",IF(COUNTIF(J$10:J494,J494)=1,COUNTIF(J$10:J$609,"&lt;"&amp;J494)+1,""))</f>
        <v/>
      </c>
      <c r="L494" t="str">
        <f>IFERROR(INDEX(tblY9[Class],ROWS(L$10:L494))&amp;"","")</f>
        <v/>
      </c>
      <c r="M494" t="str">
        <f>IF(L494="","",IF(COUNTIF(L$10:L494,L494)=1,COUNTIF(L$10:L$609,"&lt;"&amp;L494)+1,""))</f>
        <v/>
      </c>
      <c r="N494" t="str">
        <f>IFERROR(INDEX(tblY10[Class],ROWS(N$10:N494))&amp;"","")</f>
        <v/>
      </c>
      <c r="O494" t="str">
        <f>IF(N494="","",IF(COUNTIF(N$10:N494,N494)=1,COUNTIF(N$10:N$609,"&lt;"&amp;N494)+1,""))</f>
        <v/>
      </c>
      <c r="P494" t="str">
        <f>IFERROR(INDEX(tblY11[Class],ROWS(P$10:P494))&amp;"","")</f>
        <v/>
      </c>
      <c r="Q494" t="str">
        <f>IF(P494="","",IF(COUNTIF(P$10:P494,P494)=1,COUNTIF(P$10:P$609,"&lt;"&amp;P494)+1,""))</f>
        <v/>
      </c>
      <c r="BA494" t="str">
        <f>IFERROR(INDEX(wLast,425)&amp;"","")</f>
        <v/>
      </c>
      <c r="BB494" t="str">
        <f>IF(BA494="","",IFERROR(INDEX(wFirst,425)&amp;"",""))</f>
        <v/>
      </c>
      <c r="BC494" t="str">
        <f>IF(BA494="","",IFERROR(INDEX(wClass,425)&amp;"",""))</f>
        <v/>
      </c>
      <c r="BD494" t="str">
        <f>IF(BA494="","",IFERROR(INDEX(wKS2,425)+0,""))</f>
        <v/>
      </c>
      <c r="BE494" t="str">
        <f>IF(BA494="","",IFERROR(INDEX(wTests,425)+0,0))</f>
        <v/>
      </c>
      <c r="BF494" t="str">
        <f>IF(BA494="","",IFERROR(INDEX(wMean,425)+0,""))</f>
        <v/>
      </c>
      <c r="BG494" t="str">
        <f>IF(BA494="","",IFERROR(INDEX(wVs,425)+0,""))</f>
        <v/>
      </c>
      <c r="BH494" t="str">
        <f>IF(OR(BA494="",wLatest=""),"",IFERROR(INDEX(wData,425,MATCH(wLatest&amp;CHAR(10)&amp;"Stanine",wHdr,0))+0,""))</f>
        <v/>
      </c>
      <c r="BI494" t="str">
        <f>IF(BA494="","",IF(AND(ISNUMBER(BG494),N(BE494)&gt;=WlMinTests,BG494&lt;=-WlGap),"Below KS2 starting point",IF(AND(NOT(ISNUMBER(BD494)),ISNUMBER(BF494),N(BE494)&gt;=WlMinTests,BF494&lt;=WlLowMean),"Low results, no KS2 data","")))</f>
        <v/>
      </c>
      <c r="BJ494" t="str">
        <f>IF(BI494="","",IF(BI494="Below KS2 starting point",BG494,100+BF494)+ROW()/1000000)</f>
        <v/>
      </c>
    </row>
    <row r="495">
      <c r="H495" t="str">
        <f>IFERROR(INDEX(tblY7[Class],ROWS(H$10:H495))&amp;"","")</f>
        <v/>
      </c>
      <c r="I495" t="str">
        <f>IF(H495="","",IF(COUNTIF(H$10:H495,H495)=1,COUNTIF(H$10:H$609,"&lt;"&amp;H495)+1,""))</f>
        <v/>
      </c>
      <c r="J495" t="str">
        <f>IFERROR(INDEX(tblY8[Class],ROWS(J$10:J495))&amp;"","")</f>
        <v/>
      </c>
      <c r="K495" t="str">
        <f>IF(J495="","",IF(COUNTIF(J$10:J495,J495)=1,COUNTIF(J$10:J$609,"&lt;"&amp;J495)+1,""))</f>
        <v/>
      </c>
      <c r="L495" t="str">
        <f>IFERROR(INDEX(tblY9[Class],ROWS(L$10:L495))&amp;"","")</f>
        <v/>
      </c>
      <c r="M495" t="str">
        <f>IF(L495="","",IF(COUNTIF(L$10:L495,L495)=1,COUNTIF(L$10:L$609,"&lt;"&amp;L495)+1,""))</f>
        <v/>
      </c>
      <c r="N495" t="str">
        <f>IFERROR(INDEX(tblY10[Class],ROWS(N$10:N495))&amp;"","")</f>
        <v/>
      </c>
      <c r="O495" t="str">
        <f>IF(N495="","",IF(COUNTIF(N$10:N495,N495)=1,COUNTIF(N$10:N$609,"&lt;"&amp;N495)+1,""))</f>
        <v/>
      </c>
      <c r="P495" t="str">
        <f>IFERROR(INDEX(tblY11[Class],ROWS(P$10:P495))&amp;"","")</f>
        <v/>
      </c>
      <c r="Q495" t="str">
        <f>IF(P495="","",IF(COUNTIF(P$10:P495,P495)=1,COUNTIF(P$10:P$609,"&lt;"&amp;P495)+1,""))</f>
        <v/>
      </c>
      <c r="BA495" t="str">
        <f>IFERROR(INDEX(wLast,426)&amp;"","")</f>
        <v/>
      </c>
      <c r="BB495" t="str">
        <f>IF(BA495="","",IFERROR(INDEX(wFirst,426)&amp;"",""))</f>
        <v/>
      </c>
      <c r="BC495" t="str">
        <f>IF(BA495="","",IFERROR(INDEX(wClass,426)&amp;"",""))</f>
        <v/>
      </c>
      <c r="BD495" t="str">
        <f>IF(BA495="","",IFERROR(INDEX(wKS2,426)+0,""))</f>
        <v/>
      </c>
      <c r="BE495" t="str">
        <f>IF(BA495="","",IFERROR(INDEX(wTests,426)+0,0))</f>
        <v/>
      </c>
      <c r="BF495" t="str">
        <f>IF(BA495="","",IFERROR(INDEX(wMean,426)+0,""))</f>
        <v/>
      </c>
      <c r="BG495" t="str">
        <f>IF(BA495="","",IFERROR(INDEX(wVs,426)+0,""))</f>
        <v/>
      </c>
      <c r="BH495" t="str">
        <f>IF(OR(BA495="",wLatest=""),"",IFERROR(INDEX(wData,426,MATCH(wLatest&amp;CHAR(10)&amp;"Stanine",wHdr,0))+0,""))</f>
        <v/>
      </c>
      <c r="BI495" t="str">
        <f>IF(BA495="","",IF(AND(ISNUMBER(BG495),N(BE495)&gt;=WlMinTests,BG495&lt;=-WlGap),"Below KS2 starting point",IF(AND(NOT(ISNUMBER(BD495)),ISNUMBER(BF495),N(BE495)&gt;=WlMinTests,BF495&lt;=WlLowMean),"Low results, no KS2 data","")))</f>
        <v/>
      </c>
      <c r="BJ495" t="str">
        <f>IF(BI495="","",IF(BI495="Below KS2 starting point",BG495,100+BF495)+ROW()/1000000)</f>
        <v/>
      </c>
    </row>
    <row r="496">
      <c r="H496" t="str">
        <f>IFERROR(INDEX(tblY7[Class],ROWS(H$10:H496))&amp;"","")</f>
        <v/>
      </c>
      <c r="I496" t="str">
        <f>IF(H496="","",IF(COUNTIF(H$10:H496,H496)=1,COUNTIF(H$10:H$609,"&lt;"&amp;H496)+1,""))</f>
        <v/>
      </c>
      <c r="J496" t="str">
        <f>IFERROR(INDEX(tblY8[Class],ROWS(J$10:J496))&amp;"","")</f>
        <v/>
      </c>
      <c r="K496" t="str">
        <f>IF(J496="","",IF(COUNTIF(J$10:J496,J496)=1,COUNTIF(J$10:J$609,"&lt;"&amp;J496)+1,""))</f>
        <v/>
      </c>
      <c r="L496" t="str">
        <f>IFERROR(INDEX(tblY9[Class],ROWS(L$10:L496))&amp;"","")</f>
        <v/>
      </c>
      <c r="M496" t="str">
        <f>IF(L496="","",IF(COUNTIF(L$10:L496,L496)=1,COUNTIF(L$10:L$609,"&lt;"&amp;L496)+1,""))</f>
        <v/>
      </c>
      <c r="N496" t="str">
        <f>IFERROR(INDEX(tblY10[Class],ROWS(N$10:N496))&amp;"","")</f>
        <v/>
      </c>
      <c r="O496" t="str">
        <f>IF(N496="","",IF(COUNTIF(N$10:N496,N496)=1,COUNTIF(N$10:N$609,"&lt;"&amp;N496)+1,""))</f>
        <v/>
      </c>
      <c r="P496" t="str">
        <f>IFERROR(INDEX(tblY11[Class],ROWS(P$10:P496))&amp;"","")</f>
        <v/>
      </c>
      <c r="Q496" t="str">
        <f>IF(P496="","",IF(COUNTIF(P$10:P496,P496)=1,COUNTIF(P$10:P$609,"&lt;"&amp;P496)+1,""))</f>
        <v/>
      </c>
      <c r="BA496" t="str">
        <f>IFERROR(INDEX(wLast,427)&amp;"","")</f>
        <v/>
      </c>
      <c r="BB496" t="str">
        <f>IF(BA496="","",IFERROR(INDEX(wFirst,427)&amp;"",""))</f>
        <v/>
      </c>
      <c r="BC496" t="str">
        <f>IF(BA496="","",IFERROR(INDEX(wClass,427)&amp;"",""))</f>
        <v/>
      </c>
      <c r="BD496" t="str">
        <f>IF(BA496="","",IFERROR(INDEX(wKS2,427)+0,""))</f>
        <v/>
      </c>
      <c r="BE496" t="str">
        <f>IF(BA496="","",IFERROR(INDEX(wTests,427)+0,0))</f>
        <v/>
      </c>
      <c r="BF496" t="str">
        <f>IF(BA496="","",IFERROR(INDEX(wMean,427)+0,""))</f>
        <v/>
      </c>
      <c r="BG496" t="str">
        <f>IF(BA496="","",IFERROR(INDEX(wVs,427)+0,""))</f>
        <v/>
      </c>
      <c r="BH496" t="str">
        <f>IF(OR(BA496="",wLatest=""),"",IFERROR(INDEX(wData,427,MATCH(wLatest&amp;CHAR(10)&amp;"Stanine",wHdr,0))+0,""))</f>
        <v/>
      </c>
      <c r="BI496" t="str">
        <f>IF(BA496="","",IF(AND(ISNUMBER(BG496),N(BE496)&gt;=WlMinTests,BG496&lt;=-WlGap),"Below KS2 starting point",IF(AND(NOT(ISNUMBER(BD496)),ISNUMBER(BF496),N(BE496)&gt;=WlMinTests,BF496&lt;=WlLowMean),"Low results, no KS2 data","")))</f>
        <v/>
      </c>
      <c r="BJ496" t="str">
        <f>IF(BI496="","",IF(BI496="Below KS2 starting point",BG496,100+BF496)+ROW()/1000000)</f>
        <v/>
      </c>
    </row>
    <row r="497">
      <c r="H497" t="str">
        <f>IFERROR(INDEX(tblY7[Class],ROWS(H$10:H497))&amp;"","")</f>
        <v/>
      </c>
      <c r="I497" t="str">
        <f>IF(H497="","",IF(COUNTIF(H$10:H497,H497)=1,COUNTIF(H$10:H$609,"&lt;"&amp;H497)+1,""))</f>
        <v/>
      </c>
      <c r="J497" t="str">
        <f>IFERROR(INDEX(tblY8[Class],ROWS(J$10:J497))&amp;"","")</f>
        <v/>
      </c>
      <c r="K497" t="str">
        <f>IF(J497="","",IF(COUNTIF(J$10:J497,J497)=1,COUNTIF(J$10:J$609,"&lt;"&amp;J497)+1,""))</f>
        <v/>
      </c>
      <c r="L497" t="str">
        <f>IFERROR(INDEX(tblY9[Class],ROWS(L$10:L497))&amp;"","")</f>
        <v/>
      </c>
      <c r="M497" t="str">
        <f>IF(L497="","",IF(COUNTIF(L$10:L497,L497)=1,COUNTIF(L$10:L$609,"&lt;"&amp;L497)+1,""))</f>
        <v/>
      </c>
      <c r="N497" t="str">
        <f>IFERROR(INDEX(tblY10[Class],ROWS(N$10:N497))&amp;"","")</f>
        <v/>
      </c>
      <c r="O497" t="str">
        <f>IF(N497="","",IF(COUNTIF(N$10:N497,N497)=1,COUNTIF(N$10:N$609,"&lt;"&amp;N497)+1,""))</f>
        <v/>
      </c>
      <c r="P497" t="str">
        <f>IFERROR(INDEX(tblY11[Class],ROWS(P$10:P497))&amp;"","")</f>
        <v/>
      </c>
      <c r="Q497" t="str">
        <f>IF(P497="","",IF(COUNTIF(P$10:P497,P497)=1,COUNTIF(P$10:P$609,"&lt;"&amp;P497)+1,""))</f>
        <v/>
      </c>
      <c r="BA497" t="str">
        <f>IFERROR(INDEX(wLast,428)&amp;"","")</f>
        <v/>
      </c>
      <c r="BB497" t="str">
        <f>IF(BA497="","",IFERROR(INDEX(wFirst,428)&amp;"",""))</f>
        <v/>
      </c>
      <c r="BC497" t="str">
        <f>IF(BA497="","",IFERROR(INDEX(wClass,428)&amp;"",""))</f>
        <v/>
      </c>
      <c r="BD497" t="str">
        <f>IF(BA497="","",IFERROR(INDEX(wKS2,428)+0,""))</f>
        <v/>
      </c>
      <c r="BE497" t="str">
        <f>IF(BA497="","",IFERROR(INDEX(wTests,428)+0,0))</f>
        <v/>
      </c>
      <c r="BF497" t="str">
        <f>IF(BA497="","",IFERROR(INDEX(wMean,428)+0,""))</f>
        <v/>
      </c>
      <c r="BG497" t="str">
        <f>IF(BA497="","",IFERROR(INDEX(wVs,428)+0,""))</f>
        <v/>
      </c>
      <c r="BH497" t="str">
        <f>IF(OR(BA497="",wLatest=""),"",IFERROR(INDEX(wData,428,MATCH(wLatest&amp;CHAR(10)&amp;"Stanine",wHdr,0))+0,""))</f>
        <v/>
      </c>
      <c r="BI497" t="str">
        <f>IF(BA497="","",IF(AND(ISNUMBER(BG497),N(BE497)&gt;=WlMinTests,BG497&lt;=-WlGap),"Below KS2 starting point",IF(AND(NOT(ISNUMBER(BD497)),ISNUMBER(BF497),N(BE497)&gt;=WlMinTests,BF497&lt;=WlLowMean),"Low results, no KS2 data","")))</f>
        <v/>
      </c>
      <c r="BJ497" t="str">
        <f>IF(BI497="","",IF(BI497="Below KS2 starting point",BG497,100+BF497)+ROW()/1000000)</f>
        <v/>
      </c>
    </row>
    <row r="498">
      <c r="H498" t="str">
        <f>IFERROR(INDEX(tblY7[Class],ROWS(H$10:H498))&amp;"","")</f>
        <v/>
      </c>
      <c r="I498" t="str">
        <f>IF(H498="","",IF(COUNTIF(H$10:H498,H498)=1,COUNTIF(H$10:H$609,"&lt;"&amp;H498)+1,""))</f>
        <v/>
      </c>
      <c r="J498" t="str">
        <f>IFERROR(INDEX(tblY8[Class],ROWS(J$10:J498))&amp;"","")</f>
        <v/>
      </c>
      <c r="K498" t="str">
        <f>IF(J498="","",IF(COUNTIF(J$10:J498,J498)=1,COUNTIF(J$10:J$609,"&lt;"&amp;J498)+1,""))</f>
        <v/>
      </c>
      <c r="L498" t="str">
        <f>IFERROR(INDEX(tblY9[Class],ROWS(L$10:L498))&amp;"","")</f>
        <v/>
      </c>
      <c r="M498" t="str">
        <f>IF(L498="","",IF(COUNTIF(L$10:L498,L498)=1,COUNTIF(L$10:L$609,"&lt;"&amp;L498)+1,""))</f>
        <v/>
      </c>
      <c r="N498" t="str">
        <f>IFERROR(INDEX(tblY10[Class],ROWS(N$10:N498))&amp;"","")</f>
        <v/>
      </c>
      <c r="O498" t="str">
        <f>IF(N498="","",IF(COUNTIF(N$10:N498,N498)=1,COUNTIF(N$10:N$609,"&lt;"&amp;N498)+1,""))</f>
        <v/>
      </c>
      <c r="P498" t="str">
        <f>IFERROR(INDEX(tblY11[Class],ROWS(P$10:P498))&amp;"","")</f>
        <v/>
      </c>
      <c r="Q498" t="str">
        <f>IF(P498="","",IF(COUNTIF(P$10:P498,P498)=1,COUNTIF(P$10:P$609,"&lt;"&amp;P498)+1,""))</f>
        <v/>
      </c>
      <c r="BA498" t="str">
        <f>IFERROR(INDEX(wLast,429)&amp;"","")</f>
        <v/>
      </c>
      <c r="BB498" t="str">
        <f>IF(BA498="","",IFERROR(INDEX(wFirst,429)&amp;"",""))</f>
        <v/>
      </c>
      <c r="BC498" t="str">
        <f>IF(BA498="","",IFERROR(INDEX(wClass,429)&amp;"",""))</f>
        <v/>
      </c>
      <c r="BD498" t="str">
        <f>IF(BA498="","",IFERROR(INDEX(wKS2,429)+0,""))</f>
        <v/>
      </c>
      <c r="BE498" t="str">
        <f>IF(BA498="","",IFERROR(INDEX(wTests,429)+0,0))</f>
        <v/>
      </c>
      <c r="BF498" t="str">
        <f>IF(BA498="","",IFERROR(INDEX(wMean,429)+0,""))</f>
        <v/>
      </c>
      <c r="BG498" t="str">
        <f>IF(BA498="","",IFERROR(INDEX(wVs,429)+0,""))</f>
        <v/>
      </c>
      <c r="BH498" t="str">
        <f>IF(OR(BA498="",wLatest=""),"",IFERROR(INDEX(wData,429,MATCH(wLatest&amp;CHAR(10)&amp;"Stanine",wHdr,0))+0,""))</f>
        <v/>
      </c>
      <c r="BI498" t="str">
        <f>IF(BA498="","",IF(AND(ISNUMBER(BG498),N(BE498)&gt;=WlMinTests,BG498&lt;=-WlGap),"Below KS2 starting point",IF(AND(NOT(ISNUMBER(BD498)),ISNUMBER(BF498),N(BE498)&gt;=WlMinTests,BF498&lt;=WlLowMean),"Low results, no KS2 data","")))</f>
        <v/>
      </c>
      <c r="BJ498" t="str">
        <f>IF(BI498="","",IF(BI498="Below KS2 starting point",BG498,100+BF498)+ROW()/1000000)</f>
        <v/>
      </c>
    </row>
    <row r="499">
      <c r="H499" t="str">
        <f>IFERROR(INDEX(tblY7[Class],ROWS(H$10:H499))&amp;"","")</f>
        <v/>
      </c>
      <c r="I499" t="str">
        <f>IF(H499="","",IF(COUNTIF(H$10:H499,H499)=1,COUNTIF(H$10:H$609,"&lt;"&amp;H499)+1,""))</f>
        <v/>
      </c>
      <c r="J499" t="str">
        <f>IFERROR(INDEX(tblY8[Class],ROWS(J$10:J499))&amp;"","")</f>
        <v/>
      </c>
      <c r="K499" t="str">
        <f>IF(J499="","",IF(COUNTIF(J$10:J499,J499)=1,COUNTIF(J$10:J$609,"&lt;"&amp;J499)+1,""))</f>
        <v/>
      </c>
      <c r="L499" t="str">
        <f>IFERROR(INDEX(tblY9[Class],ROWS(L$10:L499))&amp;"","")</f>
        <v/>
      </c>
      <c r="M499" t="str">
        <f>IF(L499="","",IF(COUNTIF(L$10:L499,L499)=1,COUNTIF(L$10:L$609,"&lt;"&amp;L499)+1,""))</f>
        <v/>
      </c>
      <c r="N499" t="str">
        <f>IFERROR(INDEX(tblY10[Class],ROWS(N$10:N499))&amp;"","")</f>
        <v/>
      </c>
      <c r="O499" t="str">
        <f>IF(N499="","",IF(COUNTIF(N$10:N499,N499)=1,COUNTIF(N$10:N$609,"&lt;"&amp;N499)+1,""))</f>
        <v/>
      </c>
      <c r="P499" t="str">
        <f>IFERROR(INDEX(tblY11[Class],ROWS(P$10:P499))&amp;"","")</f>
        <v/>
      </c>
      <c r="Q499" t="str">
        <f>IF(P499="","",IF(COUNTIF(P$10:P499,P499)=1,COUNTIF(P$10:P$609,"&lt;"&amp;P499)+1,""))</f>
        <v/>
      </c>
      <c r="BA499" t="str">
        <f>IFERROR(INDEX(wLast,430)&amp;"","")</f>
        <v/>
      </c>
      <c r="BB499" t="str">
        <f>IF(BA499="","",IFERROR(INDEX(wFirst,430)&amp;"",""))</f>
        <v/>
      </c>
      <c r="BC499" t="str">
        <f>IF(BA499="","",IFERROR(INDEX(wClass,430)&amp;"",""))</f>
        <v/>
      </c>
      <c r="BD499" t="str">
        <f>IF(BA499="","",IFERROR(INDEX(wKS2,430)+0,""))</f>
        <v/>
      </c>
      <c r="BE499" t="str">
        <f>IF(BA499="","",IFERROR(INDEX(wTests,430)+0,0))</f>
        <v/>
      </c>
      <c r="BF499" t="str">
        <f>IF(BA499="","",IFERROR(INDEX(wMean,430)+0,""))</f>
        <v/>
      </c>
      <c r="BG499" t="str">
        <f>IF(BA499="","",IFERROR(INDEX(wVs,430)+0,""))</f>
        <v/>
      </c>
      <c r="BH499" t="str">
        <f>IF(OR(BA499="",wLatest=""),"",IFERROR(INDEX(wData,430,MATCH(wLatest&amp;CHAR(10)&amp;"Stanine",wHdr,0))+0,""))</f>
        <v/>
      </c>
      <c r="BI499" t="str">
        <f>IF(BA499="","",IF(AND(ISNUMBER(BG499),N(BE499)&gt;=WlMinTests,BG499&lt;=-WlGap),"Below KS2 starting point",IF(AND(NOT(ISNUMBER(BD499)),ISNUMBER(BF499),N(BE499)&gt;=WlMinTests,BF499&lt;=WlLowMean),"Low results, no KS2 data","")))</f>
        <v/>
      </c>
      <c r="BJ499" t="str">
        <f>IF(BI499="","",IF(BI499="Below KS2 starting point",BG499,100+BF499)+ROW()/1000000)</f>
        <v/>
      </c>
    </row>
    <row r="500">
      <c r="H500" t="str">
        <f>IFERROR(INDEX(tblY7[Class],ROWS(H$10:H500))&amp;"","")</f>
        <v/>
      </c>
      <c r="I500" t="str">
        <f>IF(H500="","",IF(COUNTIF(H$10:H500,H500)=1,COUNTIF(H$10:H$609,"&lt;"&amp;H500)+1,""))</f>
        <v/>
      </c>
      <c r="J500" t="str">
        <f>IFERROR(INDEX(tblY8[Class],ROWS(J$10:J500))&amp;"","")</f>
        <v/>
      </c>
      <c r="K500" t="str">
        <f>IF(J500="","",IF(COUNTIF(J$10:J500,J500)=1,COUNTIF(J$10:J$609,"&lt;"&amp;J500)+1,""))</f>
        <v/>
      </c>
      <c r="L500" t="str">
        <f>IFERROR(INDEX(tblY9[Class],ROWS(L$10:L500))&amp;"","")</f>
        <v/>
      </c>
      <c r="M500" t="str">
        <f>IF(L500="","",IF(COUNTIF(L$10:L500,L500)=1,COUNTIF(L$10:L$609,"&lt;"&amp;L500)+1,""))</f>
        <v/>
      </c>
      <c r="N500" t="str">
        <f>IFERROR(INDEX(tblY10[Class],ROWS(N$10:N500))&amp;"","")</f>
        <v/>
      </c>
      <c r="O500" t="str">
        <f>IF(N500="","",IF(COUNTIF(N$10:N500,N500)=1,COUNTIF(N$10:N$609,"&lt;"&amp;N500)+1,""))</f>
        <v/>
      </c>
      <c r="P500" t="str">
        <f>IFERROR(INDEX(tblY11[Class],ROWS(P$10:P500))&amp;"","")</f>
        <v/>
      </c>
      <c r="Q500" t="str">
        <f>IF(P500="","",IF(COUNTIF(P$10:P500,P500)=1,COUNTIF(P$10:P$609,"&lt;"&amp;P500)+1,""))</f>
        <v/>
      </c>
      <c r="BA500" t="str">
        <f>IFERROR(INDEX(wLast,431)&amp;"","")</f>
        <v/>
      </c>
      <c r="BB500" t="str">
        <f>IF(BA500="","",IFERROR(INDEX(wFirst,431)&amp;"",""))</f>
        <v/>
      </c>
      <c r="BC500" t="str">
        <f>IF(BA500="","",IFERROR(INDEX(wClass,431)&amp;"",""))</f>
        <v/>
      </c>
      <c r="BD500" t="str">
        <f>IF(BA500="","",IFERROR(INDEX(wKS2,431)+0,""))</f>
        <v/>
      </c>
      <c r="BE500" t="str">
        <f>IF(BA500="","",IFERROR(INDEX(wTests,431)+0,0))</f>
        <v/>
      </c>
      <c r="BF500" t="str">
        <f>IF(BA500="","",IFERROR(INDEX(wMean,431)+0,""))</f>
        <v/>
      </c>
      <c r="BG500" t="str">
        <f>IF(BA500="","",IFERROR(INDEX(wVs,431)+0,""))</f>
        <v/>
      </c>
      <c r="BH500" t="str">
        <f>IF(OR(BA500="",wLatest=""),"",IFERROR(INDEX(wData,431,MATCH(wLatest&amp;CHAR(10)&amp;"Stanine",wHdr,0))+0,""))</f>
        <v/>
      </c>
      <c r="BI500" t="str">
        <f>IF(BA500="","",IF(AND(ISNUMBER(BG500),N(BE500)&gt;=WlMinTests,BG500&lt;=-WlGap),"Below KS2 starting point",IF(AND(NOT(ISNUMBER(BD500)),ISNUMBER(BF500),N(BE500)&gt;=WlMinTests,BF500&lt;=WlLowMean),"Low results, no KS2 data","")))</f>
        <v/>
      </c>
      <c r="BJ500" t="str">
        <f>IF(BI500="","",IF(BI500="Below KS2 starting point",BG500,100+BF500)+ROW()/1000000)</f>
        <v/>
      </c>
    </row>
    <row r="501">
      <c r="H501" t="str">
        <f>IFERROR(INDEX(tblY7[Class],ROWS(H$10:H501))&amp;"","")</f>
        <v/>
      </c>
      <c r="I501" t="str">
        <f>IF(H501="","",IF(COUNTIF(H$10:H501,H501)=1,COUNTIF(H$10:H$609,"&lt;"&amp;H501)+1,""))</f>
        <v/>
      </c>
      <c r="J501" t="str">
        <f>IFERROR(INDEX(tblY8[Class],ROWS(J$10:J501))&amp;"","")</f>
        <v/>
      </c>
      <c r="K501" t="str">
        <f>IF(J501="","",IF(COUNTIF(J$10:J501,J501)=1,COUNTIF(J$10:J$609,"&lt;"&amp;J501)+1,""))</f>
        <v/>
      </c>
      <c r="L501" t="str">
        <f>IFERROR(INDEX(tblY9[Class],ROWS(L$10:L501))&amp;"","")</f>
        <v/>
      </c>
      <c r="M501" t="str">
        <f>IF(L501="","",IF(COUNTIF(L$10:L501,L501)=1,COUNTIF(L$10:L$609,"&lt;"&amp;L501)+1,""))</f>
        <v/>
      </c>
      <c r="N501" t="str">
        <f>IFERROR(INDEX(tblY10[Class],ROWS(N$10:N501))&amp;"","")</f>
        <v/>
      </c>
      <c r="O501" t="str">
        <f>IF(N501="","",IF(COUNTIF(N$10:N501,N501)=1,COUNTIF(N$10:N$609,"&lt;"&amp;N501)+1,""))</f>
        <v/>
      </c>
      <c r="P501" t="str">
        <f>IFERROR(INDEX(tblY11[Class],ROWS(P$10:P501))&amp;"","")</f>
        <v/>
      </c>
      <c r="Q501" t="str">
        <f>IF(P501="","",IF(COUNTIF(P$10:P501,P501)=1,COUNTIF(P$10:P$609,"&lt;"&amp;P501)+1,""))</f>
        <v/>
      </c>
      <c r="BA501" t="str">
        <f>IFERROR(INDEX(wLast,432)&amp;"","")</f>
        <v/>
      </c>
      <c r="BB501" t="str">
        <f>IF(BA501="","",IFERROR(INDEX(wFirst,432)&amp;"",""))</f>
        <v/>
      </c>
      <c r="BC501" t="str">
        <f>IF(BA501="","",IFERROR(INDEX(wClass,432)&amp;"",""))</f>
        <v/>
      </c>
      <c r="BD501" t="str">
        <f>IF(BA501="","",IFERROR(INDEX(wKS2,432)+0,""))</f>
        <v/>
      </c>
      <c r="BE501" t="str">
        <f>IF(BA501="","",IFERROR(INDEX(wTests,432)+0,0))</f>
        <v/>
      </c>
      <c r="BF501" t="str">
        <f>IF(BA501="","",IFERROR(INDEX(wMean,432)+0,""))</f>
        <v/>
      </c>
      <c r="BG501" t="str">
        <f>IF(BA501="","",IFERROR(INDEX(wVs,432)+0,""))</f>
        <v/>
      </c>
      <c r="BH501" t="str">
        <f>IF(OR(BA501="",wLatest=""),"",IFERROR(INDEX(wData,432,MATCH(wLatest&amp;CHAR(10)&amp;"Stanine",wHdr,0))+0,""))</f>
        <v/>
      </c>
      <c r="BI501" t="str">
        <f>IF(BA501="","",IF(AND(ISNUMBER(BG501),N(BE501)&gt;=WlMinTests,BG501&lt;=-WlGap),"Below KS2 starting point",IF(AND(NOT(ISNUMBER(BD501)),ISNUMBER(BF501),N(BE501)&gt;=WlMinTests,BF501&lt;=WlLowMean),"Low results, no KS2 data","")))</f>
        <v/>
      </c>
      <c r="BJ501" t="str">
        <f>IF(BI501="","",IF(BI501="Below KS2 starting point",BG501,100+BF501)+ROW()/1000000)</f>
        <v/>
      </c>
    </row>
    <row r="502">
      <c r="H502" t="str">
        <f>IFERROR(INDEX(tblY7[Class],ROWS(H$10:H502))&amp;"","")</f>
        <v/>
      </c>
      <c r="I502" t="str">
        <f>IF(H502="","",IF(COUNTIF(H$10:H502,H502)=1,COUNTIF(H$10:H$609,"&lt;"&amp;H502)+1,""))</f>
        <v/>
      </c>
      <c r="J502" t="str">
        <f>IFERROR(INDEX(tblY8[Class],ROWS(J$10:J502))&amp;"","")</f>
        <v/>
      </c>
      <c r="K502" t="str">
        <f>IF(J502="","",IF(COUNTIF(J$10:J502,J502)=1,COUNTIF(J$10:J$609,"&lt;"&amp;J502)+1,""))</f>
        <v/>
      </c>
      <c r="L502" t="str">
        <f>IFERROR(INDEX(tblY9[Class],ROWS(L$10:L502))&amp;"","")</f>
        <v/>
      </c>
      <c r="M502" t="str">
        <f>IF(L502="","",IF(COUNTIF(L$10:L502,L502)=1,COUNTIF(L$10:L$609,"&lt;"&amp;L502)+1,""))</f>
        <v/>
      </c>
      <c r="N502" t="str">
        <f>IFERROR(INDEX(tblY10[Class],ROWS(N$10:N502))&amp;"","")</f>
        <v/>
      </c>
      <c r="O502" t="str">
        <f>IF(N502="","",IF(COUNTIF(N$10:N502,N502)=1,COUNTIF(N$10:N$609,"&lt;"&amp;N502)+1,""))</f>
        <v/>
      </c>
      <c r="P502" t="str">
        <f>IFERROR(INDEX(tblY11[Class],ROWS(P$10:P502))&amp;"","")</f>
        <v/>
      </c>
      <c r="Q502" t="str">
        <f>IF(P502="","",IF(COUNTIF(P$10:P502,P502)=1,COUNTIF(P$10:P$609,"&lt;"&amp;P502)+1,""))</f>
        <v/>
      </c>
      <c r="BA502" t="str">
        <f>IFERROR(INDEX(wLast,433)&amp;"","")</f>
        <v/>
      </c>
      <c r="BB502" t="str">
        <f>IF(BA502="","",IFERROR(INDEX(wFirst,433)&amp;"",""))</f>
        <v/>
      </c>
      <c r="BC502" t="str">
        <f>IF(BA502="","",IFERROR(INDEX(wClass,433)&amp;"",""))</f>
        <v/>
      </c>
      <c r="BD502" t="str">
        <f>IF(BA502="","",IFERROR(INDEX(wKS2,433)+0,""))</f>
        <v/>
      </c>
      <c r="BE502" t="str">
        <f>IF(BA502="","",IFERROR(INDEX(wTests,433)+0,0))</f>
        <v/>
      </c>
      <c r="BF502" t="str">
        <f>IF(BA502="","",IFERROR(INDEX(wMean,433)+0,""))</f>
        <v/>
      </c>
      <c r="BG502" t="str">
        <f>IF(BA502="","",IFERROR(INDEX(wVs,433)+0,""))</f>
        <v/>
      </c>
      <c r="BH502" t="str">
        <f>IF(OR(BA502="",wLatest=""),"",IFERROR(INDEX(wData,433,MATCH(wLatest&amp;CHAR(10)&amp;"Stanine",wHdr,0))+0,""))</f>
        <v/>
      </c>
      <c r="BI502" t="str">
        <f>IF(BA502="","",IF(AND(ISNUMBER(BG502),N(BE502)&gt;=WlMinTests,BG502&lt;=-WlGap),"Below KS2 starting point",IF(AND(NOT(ISNUMBER(BD502)),ISNUMBER(BF502),N(BE502)&gt;=WlMinTests,BF502&lt;=WlLowMean),"Low results, no KS2 data","")))</f>
        <v/>
      </c>
      <c r="BJ502" t="str">
        <f>IF(BI502="","",IF(BI502="Below KS2 starting point",BG502,100+BF502)+ROW()/1000000)</f>
        <v/>
      </c>
    </row>
    <row r="503">
      <c r="H503" t="str">
        <f>IFERROR(INDEX(tblY7[Class],ROWS(H$10:H503))&amp;"","")</f>
        <v/>
      </c>
      <c r="I503" t="str">
        <f>IF(H503="","",IF(COUNTIF(H$10:H503,H503)=1,COUNTIF(H$10:H$609,"&lt;"&amp;H503)+1,""))</f>
        <v/>
      </c>
      <c r="J503" t="str">
        <f>IFERROR(INDEX(tblY8[Class],ROWS(J$10:J503))&amp;"","")</f>
        <v/>
      </c>
      <c r="K503" t="str">
        <f>IF(J503="","",IF(COUNTIF(J$10:J503,J503)=1,COUNTIF(J$10:J$609,"&lt;"&amp;J503)+1,""))</f>
        <v/>
      </c>
      <c r="L503" t="str">
        <f>IFERROR(INDEX(tblY9[Class],ROWS(L$10:L503))&amp;"","")</f>
        <v/>
      </c>
      <c r="M503" t="str">
        <f>IF(L503="","",IF(COUNTIF(L$10:L503,L503)=1,COUNTIF(L$10:L$609,"&lt;"&amp;L503)+1,""))</f>
        <v/>
      </c>
      <c r="N503" t="str">
        <f>IFERROR(INDEX(tblY10[Class],ROWS(N$10:N503))&amp;"","")</f>
        <v/>
      </c>
      <c r="O503" t="str">
        <f>IF(N503="","",IF(COUNTIF(N$10:N503,N503)=1,COUNTIF(N$10:N$609,"&lt;"&amp;N503)+1,""))</f>
        <v/>
      </c>
      <c r="P503" t="str">
        <f>IFERROR(INDEX(tblY11[Class],ROWS(P$10:P503))&amp;"","")</f>
        <v/>
      </c>
      <c r="Q503" t="str">
        <f>IF(P503="","",IF(COUNTIF(P$10:P503,P503)=1,COUNTIF(P$10:P$609,"&lt;"&amp;P503)+1,""))</f>
        <v/>
      </c>
      <c r="BA503" t="str">
        <f>IFERROR(INDEX(wLast,434)&amp;"","")</f>
        <v/>
      </c>
      <c r="BB503" t="str">
        <f>IF(BA503="","",IFERROR(INDEX(wFirst,434)&amp;"",""))</f>
        <v/>
      </c>
      <c r="BC503" t="str">
        <f>IF(BA503="","",IFERROR(INDEX(wClass,434)&amp;"",""))</f>
        <v/>
      </c>
      <c r="BD503" t="str">
        <f>IF(BA503="","",IFERROR(INDEX(wKS2,434)+0,""))</f>
        <v/>
      </c>
      <c r="BE503" t="str">
        <f>IF(BA503="","",IFERROR(INDEX(wTests,434)+0,0))</f>
        <v/>
      </c>
      <c r="BF503" t="str">
        <f>IF(BA503="","",IFERROR(INDEX(wMean,434)+0,""))</f>
        <v/>
      </c>
      <c r="BG503" t="str">
        <f>IF(BA503="","",IFERROR(INDEX(wVs,434)+0,""))</f>
        <v/>
      </c>
      <c r="BH503" t="str">
        <f>IF(OR(BA503="",wLatest=""),"",IFERROR(INDEX(wData,434,MATCH(wLatest&amp;CHAR(10)&amp;"Stanine",wHdr,0))+0,""))</f>
        <v/>
      </c>
      <c r="BI503" t="str">
        <f>IF(BA503="","",IF(AND(ISNUMBER(BG503),N(BE503)&gt;=WlMinTests,BG503&lt;=-WlGap),"Below KS2 starting point",IF(AND(NOT(ISNUMBER(BD503)),ISNUMBER(BF503),N(BE503)&gt;=WlMinTests,BF503&lt;=WlLowMean),"Low results, no KS2 data","")))</f>
        <v/>
      </c>
      <c r="BJ503" t="str">
        <f>IF(BI503="","",IF(BI503="Below KS2 starting point",BG503,100+BF503)+ROW()/1000000)</f>
        <v/>
      </c>
    </row>
    <row r="504">
      <c r="H504" t="str">
        <f>IFERROR(INDEX(tblY7[Class],ROWS(H$10:H504))&amp;"","")</f>
        <v/>
      </c>
      <c r="I504" t="str">
        <f>IF(H504="","",IF(COUNTIF(H$10:H504,H504)=1,COUNTIF(H$10:H$609,"&lt;"&amp;H504)+1,""))</f>
        <v/>
      </c>
      <c r="J504" t="str">
        <f>IFERROR(INDEX(tblY8[Class],ROWS(J$10:J504))&amp;"","")</f>
        <v/>
      </c>
      <c r="K504" t="str">
        <f>IF(J504="","",IF(COUNTIF(J$10:J504,J504)=1,COUNTIF(J$10:J$609,"&lt;"&amp;J504)+1,""))</f>
        <v/>
      </c>
      <c r="L504" t="str">
        <f>IFERROR(INDEX(tblY9[Class],ROWS(L$10:L504))&amp;"","")</f>
        <v/>
      </c>
      <c r="M504" t="str">
        <f>IF(L504="","",IF(COUNTIF(L$10:L504,L504)=1,COUNTIF(L$10:L$609,"&lt;"&amp;L504)+1,""))</f>
        <v/>
      </c>
      <c r="N504" t="str">
        <f>IFERROR(INDEX(tblY10[Class],ROWS(N$10:N504))&amp;"","")</f>
        <v/>
      </c>
      <c r="O504" t="str">
        <f>IF(N504="","",IF(COUNTIF(N$10:N504,N504)=1,COUNTIF(N$10:N$609,"&lt;"&amp;N504)+1,""))</f>
        <v/>
      </c>
      <c r="P504" t="str">
        <f>IFERROR(INDEX(tblY11[Class],ROWS(P$10:P504))&amp;"","")</f>
        <v/>
      </c>
      <c r="Q504" t="str">
        <f>IF(P504="","",IF(COUNTIF(P$10:P504,P504)=1,COUNTIF(P$10:P$609,"&lt;"&amp;P504)+1,""))</f>
        <v/>
      </c>
      <c r="BA504" t="str">
        <f>IFERROR(INDEX(wLast,435)&amp;"","")</f>
        <v/>
      </c>
      <c r="BB504" t="str">
        <f>IF(BA504="","",IFERROR(INDEX(wFirst,435)&amp;"",""))</f>
        <v/>
      </c>
      <c r="BC504" t="str">
        <f>IF(BA504="","",IFERROR(INDEX(wClass,435)&amp;"",""))</f>
        <v/>
      </c>
      <c r="BD504" t="str">
        <f>IF(BA504="","",IFERROR(INDEX(wKS2,435)+0,""))</f>
        <v/>
      </c>
      <c r="BE504" t="str">
        <f>IF(BA504="","",IFERROR(INDEX(wTests,435)+0,0))</f>
        <v/>
      </c>
      <c r="BF504" t="str">
        <f>IF(BA504="","",IFERROR(INDEX(wMean,435)+0,""))</f>
        <v/>
      </c>
      <c r="BG504" t="str">
        <f>IF(BA504="","",IFERROR(INDEX(wVs,435)+0,""))</f>
        <v/>
      </c>
      <c r="BH504" t="str">
        <f>IF(OR(BA504="",wLatest=""),"",IFERROR(INDEX(wData,435,MATCH(wLatest&amp;CHAR(10)&amp;"Stanine",wHdr,0))+0,""))</f>
        <v/>
      </c>
      <c r="BI504" t="str">
        <f>IF(BA504="","",IF(AND(ISNUMBER(BG504),N(BE504)&gt;=WlMinTests,BG504&lt;=-WlGap),"Below KS2 starting point",IF(AND(NOT(ISNUMBER(BD504)),ISNUMBER(BF504),N(BE504)&gt;=WlMinTests,BF504&lt;=WlLowMean),"Low results, no KS2 data","")))</f>
        <v/>
      </c>
      <c r="BJ504" t="str">
        <f>IF(BI504="","",IF(BI504="Below KS2 starting point",BG504,100+BF504)+ROW()/1000000)</f>
        <v/>
      </c>
    </row>
    <row r="505">
      <c r="H505" t="str">
        <f>IFERROR(INDEX(tblY7[Class],ROWS(H$10:H505))&amp;"","")</f>
        <v/>
      </c>
      <c r="I505" t="str">
        <f>IF(H505="","",IF(COUNTIF(H$10:H505,H505)=1,COUNTIF(H$10:H$609,"&lt;"&amp;H505)+1,""))</f>
        <v/>
      </c>
      <c r="J505" t="str">
        <f>IFERROR(INDEX(tblY8[Class],ROWS(J$10:J505))&amp;"","")</f>
        <v/>
      </c>
      <c r="K505" t="str">
        <f>IF(J505="","",IF(COUNTIF(J$10:J505,J505)=1,COUNTIF(J$10:J$609,"&lt;"&amp;J505)+1,""))</f>
        <v/>
      </c>
      <c r="L505" t="str">
        <f>IFERROR(INDEX(tblY9[Class],ROWS(L$10:L505))&amp;"","")</f>
        <v/>
      </c>
      <c r="M505" t="str">
        <f>IF(L505="","",IF(COUNTIF(L$10:L505,L505)=1,COUNTIF(L$10:L$609,"&lt;"&amp;L505)+1,""))</f>
        <v/>
      </c>
      <c r="N505" t="str">
        <f>IFERROR(INDEX(tblY10[Class],ROWS(N$10:N505))&amp;"","")</f>
        <v/>
      </c>
      <c r="O505" t="str">
        <f>IF(N505="","",IF(COUNTIF(N$10:N505,N505)=1,COUNTIF(N$10:N$609,"&lt;"&amp;N505)+1,""))</f>
        <v/>
      </c>
      <c r="P505" t="str">
        <f>IFERROR(INDEX(tblY11[Class],ROWS(P$10:P505))&amp;"","")</f>
        <v/>
      </c>
      <c r="Q505" t="str">
        <f>IF(P505="","",IF(COUNTIF(P$10:P505,P505)=1,COUNTIF(P$10:P$609,"&lt;"&amp;P505)+1,""))</f>
        <v/>
      </c>
      <c r="BA505" t="str">
        <f>IFERROR(INDEX(wLast,436)&amp;"","")</f>
        <v/>
      </c>
      <c r="BB505" t="str">
        <f>IF(BA505="","",IFERROR(INDEX(wFirst,436)&amp;"",""))</f>
        <v/>
      </c>
      <c r="BC505" t="str">
        <f>IF(BA505="","",IFERROR(INDEX(wClass,436)&amp;"",""))</f>
        <v/>
      </c>
      <c r="BD505" t="str">
        <f>IF(BA505="","",IFERROR(INDEX(wKS2,436)+0,""))</f>
        <v/>
      </c>
      <c r="BE505" t="str">
        <f>IF(BA505="","",IFERROR(INDEX(wTests,436)+0,0))</f>
        <v/>
      </c>
      <c r="BF505" t="str">
        <f>IF(BA505="","",IFERROR(INDEX(wMean,436)+0,""))</f>
        <v/>
      </c>
      <c r="BG505" t="str">
        <f>IF(BA505="","",IFERROR(INDEX(wVs,436)+0,""))</f>
        <v/>
      </c>
      <c r="BH505" t="str">
        <f>IF(OR(BA505="",wLatest=""),"",IFERROR(INDEX(wData,436,MATCH(wLatest&amp;CHAR(10)&amp;"Stanine",wHdr,0))+0,""))</f>
        <v/>
      </c>
      <c r="BI505" t="str">
        <f>IF(BA505="","",IF(AND(ISNUMBER(BG505),N(BE505)&gt;=WlMinTests,BG505&lt;=-WlGap),"Below KS2 starting point",IF(AND(NOT(ISNUMBER(BD505)),ISNUMBER(BF505),N(BE505)&gt;=WlMinTests,BF505&lt;=WlLowMean),"Low results, no KS2 data","")))</f>
        <v/>
      </c>
      <c r="BJ505" t="str">
        <f>IF(BI505="","",IF(BI505="Below KS2 starting point",BG505,100+BF505)+ROW()/1000000)</f>
        <v/>
      </c>
    </row>
    <row r="506">
      <c r="H506" t="str">
        <f>IFERROR(INDEX(tblY7[Class],ROWS(H$10:H506))&amp;"","")</f>
        <v/>
      </c>
      <c r="I506" t="str">
        <f>IF(H506="","",IF(COUNTIF(H$10:H506,H506)=1,COUNTIF(H$10:H$609,"&lt;"&amp;H506)+1,""))</f>
        <v/>
      </c>
      <c r="J506" t="str">
        <f>IFERROR(INDEX(tblY8[Class],ROWS(J$10:J506))&amp;"","")</f>
        <v/>
      </c>
      <c r="K506" t="str">
        <f>IF(J506="","",IF(COUNTIF(J$10:J506,J506)=1,COUNTIF(J$10:J$609,"&lt;"&amp;J506)+1,""))</f>
        <v/>
      </c>
      <c r="L506" t="str">
        <f>IFERROR(INDEX(tblY9[Class],ROWS(L$10:L506))&amp;"","")</f>
        <v/>
      </c>
      <c r="M506" t="str">
        <f>IF(L506="","",IF(COUNTIF(L$10:L506,L506)=1,COUNTIF(L$10:L$609,"&lt;"&amp;L506)+1,""))</f>
        <v/>
      </c>
      <c r="N506" t="str">
        <f>IFERROR(INDEX(tblY10[Class],ROWS(N$10:N506))&amp;"","")</f>
        <v/>
      </c>
      <c r="O506" t="str">
        <f>IF(N506="","",IF(COUNTIF(N$10:N506,N506)=1,COUNTIF(N$10:N$609,"&lt;"&amp;N506)+1,""))</f>
        <v/>
      </c>
      <c r="P506" t="str">
        <f>IFERROR(INDEX(tblY11[Class],ROWS(P$10:P506))&amp;"","")</f>
        <v/>
      </c>
      <c r="Q506" t="str">
        <f>IF(P506="","",IF(COUNTIF(P$10:P506,P506)=1,COUNTIF(P$10:P$609,"&lt;"&amp;P506)+1,""))</f>
        <v/>
      </c>
      <c r="BA506" t="str">
        <f>IFERROR(INDEX(wLast,437)&amp;"","")</f>
        <v/>
      </c>
      <c r="BB506" t="str">
        <f>IF(BA506="","",IFERROR(INDEX(wFirst,437)&amp;"",""))</f>
        <v/>
      </c>
      <c r="BC506" t="str">
        <f>IF(BA506="","",IFERROR(INDEX(wClass,437)&amp;"",""))</f>
        <v/>
      </c>
      <c r="BD506" t="str">
        <f>IF(BA506="","",IFERROR(INDEX(wKS2,437)+0,""))</f>
        <v/>
      </c>
      <c r="BE506" t="str">
        <f>IF(BA506="","",IFERROR(INDEX(wTests,437)+0,0))</f>
        <v/>
      </c>
      <c r="BF506" t="str">
        <f>IF(BA506="","",IFERROR(INDEX(wMean,437)+0,""))</f>
        <v/>
      </c>
      <c r="BG506" t="str">
        <f>IF(BA506="","",IFERROR(INDEX(wVs,437)+0,""))</f>
        <v/>
      </c>
      <c r="BH506" t="str">
        <f>IF(OR(BA506="",wLatest=""),"",IFERROR(INDEX(wData,437,MATCH(wLatest&amp;CHAR(10)&amp;"Stanine",wHdr,0))+0,""))</f>
        <v/>
      </c>
      <c r="BI506" t="str">
        <f>IF(BA506="","",IF(AND(ISNUMBER(BG506),N(BE506)&gt;=WlMinTests,BG506&lt;=-WlGap),"Below KS2 starting point",IF(AND(NOT(ISNUMBER(BD506)),ISNUMBER(BF506),N(BE506)&gt;=WlMinTests,BF506&lt;=WlLowMean),"Low results, no KS2 data","")))</f>
        <v/>
      </c>
      <c r="BJ506" t="str">
        <f>IF(BI506="","",IF(BI506="Below KS2 starting point",BG506,100+BF506)+ROW()/1000000)</f>
        <v/>
      </c>
    </row>
    <row r="507">
      <c r="H507" t="str">
        <f>IFERROR(INDEX(tblY7[Class],ROWS(H$10:H507))&amp;"","")</f>
        <v/>
      </c>
      <c r="I507" t="str">
        <f>IF(H507="","",IF(COUNTIF(H$10:H507,H507)=1,COUNTIF(H$10:H$609,"&lt;"&amp;H507)+1,""))</f>
        <v/>
      </c>
      <c r="J507" t="str">
        <f>IFERROR(INDEX(tblY8[Class],ROWS(J$10:J507))&amp;"","")</f>
        <v/>
      </c>
      <c r="K507" t="str">
        <f>IF(J507="","",IF(COUNTIF(J$10:J507,J507)=1,COUNTIF(J$10:J$609,"&lt;"&amp;J507)+1,""))</f>
        <v/>
      </c>
      <c r="L507" t="str">
        <f>IFERROR(INDEX(tblY9[Class],ROWS(L$10:L507))&amp;"","")</f>
        <v/>
      </c>
      <c r="M507" t="str">
        <f>IF(L507="","",IF(COUNTIF(L$10:L507,L507)=1,COUNTIF(L$10:L$609,"&lt;"&amp;L507)+1,""))</f>
        <v/>
      </c>
      <c r="N507" t="str">
        <f>IFERROR(INDEX(tblY10[Class],ROWS(N$10:N507))&amp;"","")</f>
        <v/>
      </c>
      <c r="O507" t="str">
        <f>IF(N507="","",IF(COUNTIF(N$10:N507,N507)=1,COUNTIF(N$10:N$609,"&lt;"&amp;N507)+1,""))</f>
        <v/>
      </c>
      <c r="P507" t="str">
        <f>IFERROR(INDEX(tblY11[Class],ROWS(P$10:P507))&amp;"","")</f>
        <v/>
      </c>
      <c r="Q507" t="str">
        <f>IF(P507="","",IF(COUNTIF(P$10:P507,P507)=1,COUNTIF(P$10:P$609,"&lt;"&amp;P507)+1,""))</f>
        <v/>
      </c>
      <c r="BA507" t="str">
        <f>IFERROR(INDEX(wLast,438)&amp;"","")</f>
        <v/>
      </c>
      <c r="BB507" t="str">
        <f>IF(BA507="","",IFERROR(INDEX(wFirst,438)&amp;"",""))</f>
        <v/>
      </c>
      <c r="BC507" t="str">
        <f>IF(BA507="","",IFERROR(INDEX(wClass,438)&amp;"",""))</f>
        <v/>
      </c>
      <c r="BD507" t="str">
        <f>IF(BA507="","",IFERROR(INDEX(wKS2,438)+0,""))</f>
        <v/>
      </c>
      <c r="BE507" t="str">
        <f>IF(BA507="","",IFERROR(INDEX(wTests,438)+0,0))</f>
        <v/>
      </c>
      <c r="BF507" t="str">
        <f>IF(BA507="","",IFERROR(INDEX(wMean,438)+0,""))</f>
        <v/>
      </c>
      <c r="BG507" t="str">
        <f>IF(BA507="","",IFERROR(INDEX(wVs,438)+0,""))</f>
        <v/>
      </c>
      <c r="BH507" t="str">
        <f>IF(OR(BA507="",wLatest=""),"",IFERROR(INDEX(wData,438,MATCH(wLatest&amp;CHAR(10)&amp;"Stanine",wHdr,0))+0,""))</f>
        <v/>
      </c>
      <c r="BI507" t="str">
        <f>IF(BA507="","",IF(AND(ISNUMBER(BG507),N(BE507)&gt;=WlMinTests,BG507&lt;=-WlGap),"Below KS2 starting point",IF(AND(NOT(ISNUMBER(BD507)),ISNUMBER(BF507),N(BE507)&gt;=WlMinTests,BF507&lt;=WlLowMean),"Low results, no KS2 data","")))</f>
        <v/>
      </c>
      <c r="BJ507" t="str">
        <f>IF(BI507="","",IF(BI507="Below KS2 starting point",BG507,100+BF507)+ROW()/1000000)</f>
        <v/>
      </c>
    </row>
    <row r="508">
      <c r="H508" t="str">
        <f>IFERROR(INDEX(tblY7[Class],ROWS(H$10:H508))&amp;"","")</f>
        <v/>
      </c>
      <c r="I508" t="str">
        <f>IF(H508="","",IF(COUNTIF(H$10:H508,H508)=1,COUNTIF(H$10:H$609,"&lt;"&amp;H508)+1,""))</f>
        <v/>
      </c>
      <c r="J508" t="str">
        <f>IFERROR(INDEX(tblY8[Class],ROWS(J$10:J508))&amp;"","")</f>
        <v/>
      </c>
      <c r="K508" t="str">
        <f>IF(J508="","",IF(COUNTIF(J$10:J508,J508)=1,COUNTIF(J$10:J$609,"&lt;"&amp;J508)+1,""))</f>
        <v/>
      </c>
      <c r="L508" t="str">
        <f>IFERROR(INDEX(tblY9[Class],ROWS(L$10:L508))&amp;"","")</f>
        <v/>
      </c>
      <c r="M508" t="str">
        <f>IF(L508="","",IF(COUNTIF(L$10:L508,L508)=1,COUNTIF(L$10:L$609,"&lt;"&amp;L508)+1,""))</f>
        <v/>
      </c>
      <c r="N508" t="str">
        <f>IFERROR(INDEX(tblY10[Class],ROWS(N$10:N508))&amp;"","")</f>
        <v/>
      </c>
      <c r="O508" t="str">
        <f>IF(N508="","",IF(COUNTIF(N$10:N508,N508)=1,COUNTIF(N$10:N$609,"&lt;"&amp;N508)+1,""))</f>
        <v/>
      </c>
      <c r="P508" t="str">
        <f>IFERROR(INDEX(tblY11[Class],ROWS(P$10:P508))&amp;"","")</f>
        <v/>
      </c>
      <c r="Q508" t="str">
        <f>IF(P508="","",IF(COUNTIF(P$10:P508,P508)=1,COUNTIF(P$10:P$609,"&lt;"&amp;P508)+1,""))</f>
        <v/>
      </c>
      <c r="BA508" t="str">
        <f>IFERROR(INDEX(wLast,439)&amp;"","")</f>
        <v/>
      </c>
      <c r="BB508" t="str">
        <f>IF(BA508="","",IFERROR(INDEX(wFirst,439)&amp;"",""))</f>
        <v/>
      </c>
      <c r="BC508" t="str">
        <f>IF(BA508="","",IFERROR(INDEX(wClass,439)&amp;"",""))</f>
        <v/>
      </c>
      <c r="BD508" t="str">
        <f>IF(BA508="","",IFERROR(INDEX(wKS2,439)+0,""))</f>
        <v/>
      </c>
      <c r="BE508" t="str">
        <f>IF(BA508="","",IFERROR(INDEX(wTests,439)+0,0))</f>
        <v/>
      </c>
      <c r="BF508" t="str">
        <f>IF(BA508="","",IFERROR(INDEX(wMean,439)+0,""))</f>
        <v/>
      </c>
      <c r="BG508" t="str">
        <f>IF(BA508="","",IFERROR(INDEX(wVs,439)+0,""))</f>
        <v/>
      </c>
      <c r="BH508" t="str">
        <f>IF(OR(BA508="",wLatest=""),"",IFERROR(INDEX(wData,439,MATCH(wLatest&amp;CHAR(10)&amp;"Stanine",wHdr,0))+0,""))</f>
        <v/>
      </c>
      <c r="BI508" t="str">
        <f>IF(BA508="","",IF(AND(ISNUMBER(BG508),N(BE508)&gt;=WlMinTests,BG508&lt;=-WlGap),"Below KS2 starting point",IF(AND(NOT(ISNUMBER(BD508)),ISNUMBER(BF508),N(BE508)&gt;=WlMinTests,BF508&lt;=WlLowMean),"Low results, no KS2 data","")))</f>
        <v/>
      </c>
      <c r="BJ508" t="str">
        <f>IF(BI508="","",IF(BI508="Below KS2 starting point",BG508,100+BF508)+ROW()/1000000)</f>
        <v/>
      </c>
    </row>
    <row r="509">
      <c r="H509" t="str">
        <f>IFERROR(INDEX(tblY7[Class],ROWS(H$10:H509))&amp;"","")</f>
        <v/>
      </c>
      <c r="I509" t="str">
        <f>IF(H509="","",IF(COUNTIF(H$10:H509,H509)=1,COUNTIF(H$10:H$609,"&lt;"&amp;H509)+1,""))</f>
        <v/>
      </c>
      <c r="J509" t="str">
        <f>IFERROR(INDEX(tblY8[Class],ROWS(J$10:J509))&amp;"","")</f>
        <v/>
      </c>
      <c r="K509" t="str">
        <f>IF(J509="","",IF(COUNTIF(J$10:J509,J509)=1,COUNTIF(J$10:J$609,"&lt;"&amp;J509)+1,""))</f>
        <v/>
      </c>
      <c r="L509" t="str">
        <f>IFERROR(INDEX(tblY9[Class],ROWS(L$10:L509))&amp;"","")</f>
        <v/>
      </c>
      <c r="M509" t="str">
        <f>IF(L509="","",IF(COUNTIF(L$10:L509,L509)=1,COUNTIF(L$10:L$609,"&lt;"&amp;L509)+1,""))</f>
        <v/>
      </c>
      <c r="N509" t="str">
        <f>IFERROR(INDEX(tblY10[Class],ROWS(N$10:N509))&amp;"","")</f>
        <v/>
      </c>
      <c r="O509" t="str">
        <f>IF(N509="","",IF(COUNTIF(N$10:N509,N509)=1,COUNTIF(N$10:N$609,"&lt;"&amp;N509)+1,""))</f>
        <v/>
      </c>
      <c r="P509" t="str">
        <f>IFERROR(INDEX(tblY11[Class],ROWS(P$10:P509))&amp;"","")</f>
        <v/>
      </c>
      <c r="Q509" t="str">
        <f>IF(P509="","",IF(COUNTIF(P$10:P509,P509)=1,COUNTIF(P$10:P$609,"&lt;"&amp;P509)+1,""))</f>
        <v/>
      </c>
      <c r="BA509" t="str">
        <f>IFERROR(INDEX(wLast,440)&amp;"","")</f>
        <v/>
      </c>
      <c r="BB509" t="str">
        <f>IF(BA509="","",IFERROR(INDEX(wFirst,440)&amp;"",""))</f>
        <v/>
      </c>
      <c r="BC509" t="str">
        <f>IF(BA509="","",IFERROR(INDEX(wClass,440)&amp;"",""))</f>
        <v/>
      </c>
      <c r="BD509" t="str">
        <f>IF(BA509="","",IFERROR(INDEX(wKS2,440)+0,""))</f>
        <v/>
      </c>
      <c r="BE509" t="str">
        <f>IF(BA509="","",IFERROR(INDEX(wTests,440)+0,0))</f>
        <v/>
      </c>
      <c r="BF509" t="str">
        <f>IF(BA509="","",IFERROR(INDEX(wMean,440)+0,""))</f>
        <v/>
      </c>
      <c r="BG509" t="str">
        <f>IF(BA509="","",IFERROR(INDEX(wVs,440)+0,""))</f>
        <v/>
      </c>
      <c r="BH509" t="str">
        <f>IF(OR(BA509="",wLatest=""),"",IFERROR(INDEX(wData,440,MATCH(wLatest&amp;CHAR(10)&amp;"Stanine",wHdr,0))+0,""))</f>
        <v/>
      </c>
      <c r="BI509" t="str">
        <f>IF(BA509="","",IF(AND(ISNUMBER(BG509),N(BE509)&gt;=WlMinTests,BG509&lt;=-WlGap),"Below KS2 starting point",IF(AND(NOT(ISNUMBER(BD509)),ISNUMBER(BF509),N(BE509)&gt;=WlMinTests,BF509&lt;=WlLowMean),"Low results, no KS2 data","")))</f>
        <v/>
      </c>
      <c r="BJ509" t="str">
        <f>IF(BI509="","",IF(BI509="Below KS2 starting point",BG509,100+BF509)+ROW()/1000000)</f>
        <v/>
      </c>
    </row>
    <row r="510">
      <c r="H510" t="str">
        <f>IFERROR(INDEX(tblY7[Class],ROWS(H$10:H510))&amp;"","")</f>
        <v/>
      </c>
      <c r="I510" t="str">
        <f>IF(H510="","",IF(COUNTIF(H$10:H510,H510)=1,COUNTIF(H$10:H$609,"&lt;"&amp;H510)+1,""))</f>
        <v/>
      </c>
      <c r="J510" t="str">
        <f>IFERROR(INDEX(tblY8[Class],ROWS(J$10:J510))&amp;"","")</f>
        <v/>
      </c>
      <c r="K510" t="str">
        <f>IF(J510="","",IF(COUNTIF(J$10:J510,J510)=1,COUNTIF(J$10:J$609,"&lt;"&amp;J510)+1,""))</f>
        <v/>
      </c>
      <c r="L510" t="str">
        <f>IFERROR(INDEX(tblY9[Class],ROWS(L$10:L510))&amp;"","")</f>
        <v/>
      </c>
      <c r="M510" t="str">
        <f>IF(L510="","",IF(COUNTIF(L$10:L510,L510)=1,COUNTIF(L$10:L$609,"&lt;"&amp;L510)+1,""))</f>
        <v/>
      </c>
      <c r="N510" t="str">
        <f>IFERROR(INDEX(tblY10[Class],ROWS(N$10:N510))&amp;"","")</f>
        <v/>
      </c>
      <c r="O510" t="str">
        <f>IF(N510="","",IF(COUNTIF(N$10:N510,N510)=1,COUNTIF(N$10:N$609,"&lt;"&amp;N510)+1,""))</f>
        <v/>
      </c>
      <c r="P510" t="str">
        <f>IFERROR(INDEX(tblY11[Class],ROWS(P$10:P510))&amp;"","")</f>
        <v/>
      </c>
      <c r="Q510" t="str">
        <f>IF(P510="","",IF(COUNTIF(P$10:P510,P510)=1,COUNTIF(P$10:P$609,"&lt;"&amp;P510)+1,""))</f>
        <v/>
      </c>
      <c r="BA510" t="str">
        <f>IFERROR(INDEX(wLast,441)&amp;"","")</f>
        <v/>
      </c>
      <c r="BB510" t="str">
        <f>IF(BA510="","",IFERROR(INDEX(wFirst,441)&amp;"",""))</f>
        <v/>
      </c>
      <c r="BC510" t="str">
        <f>IF(BA510="","",IFERROR(INDEX(wClass,441)&amp;"",""))</f>
        <v/>
      </c>
      <c r="BD510" t="str">
        <f>IF(BA510="","",IFERROR(INDEX(wKS2,441)+0,""))</f>
        <v/>
      </c>
      <c r="BE510" t="str">
        <f>IF(BA510="","",IFERROR(INDEX(wTests,441)+0,0))</f>
        <v/>
      </c>
      <c r="BF510" t="str">
        <f>IF(BA510="","",IFERROR(INDEX(wMean,441)+0,""))</f>
        <v/>
      </c>
      <c r="BG510" t="str">
        <f>IF(BA510="","",IFERROR(INDEX(wVs,441)+0,""))</f>
        <v/>
      </c>
      <c r="BH510" t="str">
        <f>IF(OR(BA510="",wLatest=""),"",IFERROR(INDEX(wData,441,MATCH(wLatest&amp;CHAR(10)&amp;"Stanine",wHdr,0))+0,""))</f>
        <v/>
      </c>
      <c r="BI510" t="str">
        <f>IF(BA510="","",IF(AND(ISNUMBER(BG510),N(BE510)&gt;=WlMinTests,BG510&lt;=-WlGap),"Below KS2 starting point",IF(AND(NOT(ISNUMBER(BD510)),ISNUMBER(BF510),N(BE510)&gt;=WlMinTests,BF510&lt;=WlLowMean),"Low results, no KS2 data","")))</f>
        <v/>
      </c>
      <c r="BJ510" t="str">
        <f>IF(BI510="","",IF(BI510="Below KS2 starting point",BG510,100+BF510)+ROW()/1000000)</f>
        <v/>
      </c>
    </row>
    <row r="511">
      <c r="H511" t="str">
        <f>IFERROR(INDEX(tblY7[Class],ROWS(H$10:H511))&amp;"","")</f>
        <v/>
      </c>
      <c r="I511" t="str">
        <f>IF(H511="","",IF(COUNTIF(H$10:H511,H511)=1,COUNTIF(H$10:H$609,"&lt;"&amp;H511)+1,""))</f>
        <v/>
      </c>
      <c r="J511" t="str">
        <f>IFERROR(INDEX(tblY8[Class],ROWS(J$10:J511))&amp;"","")</f>
        <v/>
      </c>
      <c r="K511" t="str">
        <f>IF(J511="","",IF(COUNTIF(J$10:J511,J511)=1,COUNTIF(J$10:J$609,"&lt;"&amp;J511)+1,""))</f>
        <v/>
      </c>
      <c r="L511" t="str">
        <f>IFERROR(INDEX(tblY9[Class],ROWS(L$10:L511))&amp;"","")</f>
        <v/>
      </c>
      <c r="M511" t="str">
        <f>IF(L511="","",IF(COUNTIF(L$10:L511,L511)=1,COUNTIF(L$10:L$609,"&lt;"&amp;L511)+1,""))</f>
        <v/>
      </c>
      <c r="N511" t="str">
        <f>IFERROR(INDEX(tblY10[Class],ROWS(N$10:N511))&amp;"","")</f>
        <v/>
      </c>
      <c r="O511" t="str">
        <f>IF(N511="","",IF(COUNTIF(N$10:N511,N511)=1,COUNTIF(N$10:N$609,"&lt;"&amp;N511)+1,""))</f>
        <v/>
      </c>
      <c r="P511" t="str">
        <f>IFERROR(INDEX(tblY11[Class],ROWS(P$10:P511))&amp;"","")</f>
        <v/>
      </c>
      <c r="Q511" t="str">
        <f>IF(P511="","",IF(COUNTIF(P$10:P511,P511)=1,COUNTIF(P$10:P$609,"&lt;"&amp;P511)+1,""))</f>
        <v/>
      </c>
      <c r="BA511" t="str">
        <f>IFERROR(INDEX(wLast,442)&amp;"","")</f>
        <v/>
      </c>
      <c r="BB511" t="str">
        <f>IF(BA511="","",IFERROR(INDEX(wFirst,442)&amp;"",""))</f>
        <v/>
      </c>
      <c r="BC511" t="str">
        <f>IF(BA511="","",IFERROR(INDEX(wClass,442)&amp;"",""))</f>
        <v/>
      </c>
      <c r="BD511" t="str">
        <f>IF(BA511="","",IFERROR(INDEX(wKS2,442)+0,""))</f>
        <v/>
      </c>
      <c r="BE511" t="str">
        <f>IF(BA511="","",IFERROR(INDEX(wTests,442)+0,0))</f>
        <v/>
      </c>
      <c r="BF511" t="str">
        <f>IF(BA511="","",IFERROR(INDEX(wMean,442)+0,""))</f>
        <v/>
      </c>
      <c r="BG511" t="str">
        <f>IF(BA511="","",IFERROR(INDEX(wVs,442)+0,""))</f>
        <v/>
      </c>
      <c r="BH511" t="str">
        <f>IF(OR(BA511="",wLatest=""),"",IFERROR(INDEX(wData,442,MATCH(wLatest&amp;CHAR(10)&amp;"Stanine",wHdr,0))+0,""))</f>
        <v/>
      </c>
      <c r="BI511" t="str">
        <f>IF(BA511="","",IF(AND(ISNUMBER(BG511),N(BE511)&gt;=WlMinTests,BG511&lt;=-WlGap),"Below KS2 starting point",IF(AND(NOT(ISNUMBER(BD511)),ISNUMBER(BF511),N(BE511)&gt;=WlMinTests,BF511&lt;=WlLowMean),"Low results, no KS2 data","")))</f>
        <v/>
      </c>
      <c r="BJ511" t="str">
        <f>IF(BI511="","",IF(BI511="Below KS2 starting point",BG511,100+BF511)+ROW()/1000000)</f>
        <v/>
      </c>
    </row>
    <row r="512">
      <c r="H512" t="str">
        <f>IFERROR(INDEX(tblY7[Class],ROWS(H$10:H512))&amp;"","")</f>
        <v/>
      </c>
      <c r="I512" t="str">
        <f>IF(H512="","",IF(COUNTIF(H$10:H512,H512)=1,COUNTIF(H$10:H$609,"&lt;"&amp;H512)+1,""))</f>
        <v/>
      </c>
      <c r="J512" t="str">
        <f>IFERROR(INDEX(tblY8[Class],ROWS(J$10:J512))&amp;"","")</f>
        <v/>
      </c>
      <c r="K512" t="str">
        <f>IF(J512="","",IF(COUNTIF(J$10:J512,J512)=1,COUNTIF(J$10:J$609,"&lt;"&amp;J512)+1,""))</f>
        <v/>
      </c>
      <c r="L512" t="str">
        <f>IFERROR(INDEX(tblY9[Class],ROWS(L$10:L512))&amp;"","")</f>
        <v/>
      </c>
      <c r="M512" t="str">
        <f>IF(L512="","",IF(COUNTIF(L$10:L512,L512)=1,COUNTIF(L$10:L$609,"&lt;"&amp;L512)+1,""))</f>
        <v/>
      </c>
      <c r="N512" t="str">
        <f>IFERROR(INDEX(tblY10[Class],ROWS(N$10:N512))&amp;"","")</f>
        <v/>
      </c>
      <c r="O512" t="str">
        <f>IF(N512="","",IF(COUNTIF(N$10:N512,N512)=1,COUNTIF(N$10:N$609,"&lt;"&amp;N512)+1,""))</f>
        <v/>
      </c>
      <c r="P512" t="str">
        <f>IFERROR(INDEX(tblY11[Class],ROWS(P$10:P512))&amp;"","")</f>
        <v/>
      </c>
      <c r="Q512" t="str">
        <f>IF(P512="","",IF(COUNTIF(P$10:P512,P512)=1,COUNTIF(P$10:P$609,"&lt;"&amp;P512)+1,""))</f>
        <v/>
      </c>
      <c r="BA512" t="str">
        <f>IFERROR(INDEX(wLast,443)&amp;"","")</f>
        <v/>
      </c>
      <c r="BB512" t="str">
        <f>IF(BA512="","",IFERROR(INDEX(wFirst,443)&amp;"",""))</f>
        <v/>
      </c>
      <c r="BC512" t="str">
        <f>IF(BA512="","",IFERROR(INDEX(wClass,443)&amp;"",""))</f>
        <v/>
      </c>
      <c r="BD512" t="str">
        <f>IF(BA512="","",IFERROR(INDEX(wKS2,443)+0,""))</f>
        <v/>
      </c>
      <c r="BE512" t="str">
        <f>IF(BA512="","",IFERROR(INDEX(wTests,443)+0,0))</f>
        <v/>
      </c>
      <c r="BF512" t="str">
        <f>IF(BA512="","",IFERROR(INDEX(wMean,443)+0,""))</f>
        <v/>
      </c>
      <c r="BG512" t="str">
        <f>IF(BA512="","",IFERROR(INDEX(wVs,443)+0,""))</f>
        <v/>
      </c>
      <c r="BH512" t="str">
        <f>IF(OR(BA512="",wLatest=""),"",IFERROR(INDEX(wData,443,MATCH(wLatest&amp;CHAR(10)&amp;"Stanine",wHdr,0))+0,""))</f>
        <v/>
      </c>
      <c r="BI512" t="str">
        <f>IF(BA512="","",IF(AND(ISNUMBER(BG512),N(BE512)&gt;=WlMinTests,BG512&lt;=-WlGap),"Below KS2 starting point",IF(AND(NOT(ISNUMBER(BD512)),ISNUMBER(BF512),N(BE512)&gt;=WlMinTests,BF512&lt;=WlLowMean),"Low results, no KS2 data","")))</f>
        <v/>
      </c>
      <c r="BJ512" t="str">
        <f>IF(BI512="","",IF(BI512="Below KS2 starting point",BG512,100+BF512)+ROW()/1000000)</f>
        <v/>
      </c>
    </row>
    <row r="513">
      <c r="H513" t="str">
        <f>IFERROR(INDEX(tblY7[Class],ROWS(H$10:H513))&amp;"","")</f>
        <v/>
      </c>
      <c r="I513" t="str">
        <f>IF(H513="","",IF(COUNTIF(H$10:H513,H513)=1,COUNTIF(H$10:H$609,"&lt;"&amp;H513)+1,""))</f>
        <v/>
      </c>
      <c r="J513" t="str">
        <f>IFERROR(INDEX(tblY8[Class],ROWS(J$10:J513))&amp;"","")</f>
        <v/>
      </c>
      <c r="K513" t="str">
        <f>IF(J513="","",IF(COUNTIF(J$10:J513,J513)=1,COUNTIF(J$10:J$609,"&lt;"&amp;J513)+1,""))</f>
        <v/>
      </c>
      <c r="L513" t="str">
        <f>IFERROR(INDEX(tblY9[Class],ROWS(L$10:L513))&amp;"","")</f>
        <v/>
      </c>
      <c r="M513" t="str">
        <f>IF(L513="","",IF(COUNTIF(L$10:L513,L513)=1,COUNTIF(L$10:L$609,"&lt;"&amp;L513)+1,""))</f>
        <v/>
      </c>
      <c r="N513" t="str">
        <f>IFERROR(INDEX(tblY10[Class],ROWS(N$10:N513))&amp;"","")</f>
        <v/>
      </c>
      <c r="O513" t="str">
        <f>IF(N513="","",IF(COUNTIF(N$10:N513,N513)=1,COUNTIF(N$10:N$609,"&lt;"&amp;N513)+1,""))</f>
        <v/>
      </c>
      <c r="P513" t="str">
        <f>IFERROR(INDEX(tblY11[Class],ROWS(P$10:P513))&amp;"","")</f>
        <v/>
      </c>
      <c r="Q513" t="str">
        <f>IF(P513="","",IF(COUNTIF(P$10:P513,P513)=1,COUNTIF(P$10:P$609,"&lt;"&amp;P513)+1,""))</f>
        <v/>
      </c>
      <c r="BA513" t="str">
        <f>IFERROR(INDEX(wLast,444)&amp;"","")</f>
        <v/>
      </c>
      <c r="BB513" t="str">
        <f>IF(BA513="","",IFERROR(INDEX(wFirst,444)&amp;"",""))</f>
        <v/>
      </c>
      <c r="BC513" t="str">
        <f>IF(BA513="","",IFERROR(INDEX(wClass,444)&amp;"",""))</f>
        <v/>
      </c>
      <c r="BD513" t="str">
        <f>IF(BA513="","",IFERROR(INDEX(wKS2,444)+0,""))</f>
        <v/>
      </c>
      <c r="BE513" t="str">
        <f>IF(BA513="","",IFERROR(INDEX(wTests,444)+0,0))</f>
        <v/>
      </c>
      <c r="BF513" t="str">
        <f>IF(BA513="","",IFERROR(INDEX(wMean,444)+0,""))</f>
        <v/>
      </c>
      <c r="BG513" t="str">
        <f>IF(BA513="","",IFERROR(INDEX(wVs,444)+0,""))</f>
        <v/>
      </c>
      <c r="BH513" t="str">
        <f>IF(OR(BA513="",wLatest=""),"",IFERROR(INDEX(wData,444,MATCH(wLatest&amp;CHAR(10)&amp;"Stanine",wHdr,0))+0,""))</f>
        <v/>
      </c>
      <c r="BI513" t="str">
        <f>IF(BA513="","",IF(AND(ISNUMBER(BG513),N(BE513)&gt;=WlMinTests,BG513&lt;=-WlGap),"Below KS2 starting point",IF(AND(NOT(ISNUMBER(BD513)),ISNUMBER(BF513),N(BE513)&gt;=WlMinTests,BF513&lt;=WlLowMean),"Low results, no KS2 data","")))</f>
        <v/>
      </c>
      <c r="BJ513" t="str">
        <f>IF(BI513="","",IF(BI513="Below KS2 starting point",BG513,100+BF513)+ROW()/1000000)</f>
        <v/>
      </c>
    </row>
    <row r="514">
      <c r="H514" t="str">
        <f>IFERROR(INDEX(tblY7[Class],ROWS(H$10:H514))&amp;"","")</f>
        <v/>
      </c>
      <c r="I514" t="str">
        <f>IF(H514="","",IF(COUNTIF(H$10:H514,H514)=1,COUNTIF(H$10:H$609,"&lt;"&amp;H514)+1,""))</f>
        <v/>
      </c>
      <c r="J514" t="str">
        <f>IFERROR(INDEX(tblY8[Class],ROWS(J$10:J514))&amp;"","")</f>
        <v/>
      </c>
      <c r="K514" t="str">
        <f>IF(J514="","",IF(COUNTIF(J$10:J514,J514)=1,COUNTIF(J$10:J$609,"&lt;"&amp;J514)+1,""))</f>
        <v/>
      </c>
      <c r="L514" t="str">
        <f>IFERROR(INDEX(tblY9[Class],ROWS(L$10:L514))&amp;"","")</f>
        <v/>
      </c>
      <c r="M514" t="str">
        <f>IF(L514="","",IF(COUNTIF(L$10:L514,L514)=1,COUNTIF(L$10:L$609,"&lt;"&amp;L514)+1,""))</f>
        <v/>
      </c>
      <c r="N514" t="str">
        <f>IFERROR(INDEX(tblY10[Class],ROWS(N$10:N514))&amp;"","")</f>
        <v/>
      </c>
      <c r="O514" t="str">
        <f>IF(N514="","",IF(COUNTIF(N$10:N514,N514)=1,COUNTIF(N$10:N$609,"&lt;"&amp;N514)+1,""))</f>
        <v/>
      </c>
      <c r="P514" t="str">
        <f>IFERROR(INDEX(tblY11[Class],ROWS(P$10:P514))&amp;"","")</f>
        <v/>
      </c>
      <c r="Q514" t="str">
        <f>IF(P514="","",IF(COUNTIF(P$10:P514,P514)=1,COUNTIF(P$10:P$609,"&lt;"&amp;P514)+1,""))</f>
        <v/>
      </c>
      <c r="BA514" t="str">
        <f>IFERROR(INDEX(wLast,445)&amp;"","")</f>
        <v/>
      </c>
      <c r="BB514" t="str">
        <f>IF(BA514="","",IFERROR(INDEX(wFirst,445)&amp;"",""))</f>
        <v/>
      </c>
      <c r="BC514" t="str">
        <f>IF(BA514="","",IFERROR(INDEX(wClass,445)&amp;"",""))</f>
        <v/>
      </c>
      <c r="BD514" t="str">
        <f>IF(BA514="","",IFERROR(INDEX(wKS2,445)+0,""))</f>
        <v/>
      </c>
      <c r="BE514" t="str">
        <f>IF(BA514="","",IFERROR(INDEX(wTests,445)+0,0))</f>
        <v/>
      </c>
      <c r="BF514" t="str">
        <f>IF(BA514="","",IFERROR(INDEX(wMean,445)+0,""))</f>
        <v/>
      </c>
      <c r="BG514" t="str">
        <f>IF(BA514="","",IFERROR(INDEX(wVs,445)+0,""))</f>
        <v/>
      </c>
      <c r="BH514" t="str">
        <f>IF(OR(BA514="",wLatest=""),"",IFERROR(INDEX(wData,445,MATCH(wLatest&amp;CHAR(10)&amp;"Stanine",wHdr,0))+0,""))</f>
        <v/>
      </c>
      <c r="BI514" t="str">
        <f>IF(BA514="","",IF(AND(ISNUMBER(BG514),N(BE514)&gt;=WlMinTests,BG514&lt;=-WlGap),"Below KS2 starting point",IF(AND(NOT(ISNUMBER(BD514)),ISNUMBER(BF514),N(BE514)&gt;=WlMinTests,BF514&lt;=WlLowMean),"Low results, no KS2 data","")))</f>
        <v/>
      </c>
      <c r="BJ514" t="str">
        <f>IF(BI514="","",IF(BI514="Below KS2 starting point",BG514,100+BF514)+ROW()/1000000)</f>
        <v/>
      </c>
    </row>
    <row r="515">
      <c r="H515" t="str">
        <f>IFERROR(INDEX(tblY7[Class],ROWS(H$10:H515))&amp;"","")</f>
        <v/>
      </c>
      <c r="I515" t="str">
        <f>IF(H515="","",IF(COUNTIF(H$10:H515,H515)=1,COUNTIF(H$10:H$609,"&lt;"&amp;H515)+1,""))</f>
        <v/>
      </c>
      <c r="J515" t="str">
        <f>IFERROR(INDEX(tblY8[Class],ROWS(J$10:J515))&amp;"","")</f>
        <v/>
      </c>
      <c r="K515" t="str">
        <f>IF(J515="","",IF(COUNTIF(J$10:J515,J515)=1,COUNTIF(J$10:J$609,"&lt;"&amp;J515)+1,""))</f>
        <v/>
      </c>
      <c r="L515" t="str">
        <f>IFERROR(INDEX(tblY9[Class],ROWS(L$10:L515))&amp;"","")</f>
        <v/>
      </c>
      <c r="M515" t="str">
        <f>IF(L515="","",IF(COUNTIF(L$10:L515,L515)=1,COUNTIF(L$10:L$609,"&lt;"&amp;L515)+1,""))</f>
        <v/>
      </c>
      <c r="N515" t="str">
        <f>IFERROR(INDEX(tblY10[Class],ROWS(N$10:N515))&amp;"","")</f>
        <v/>
      </c>
      <c r="O515" t="str">
        <f>IF(N515="","",IF(COUNTIF(N$10:N515,N515)=1,COUNTIF(N$10:N$609,"&lt;"&amp;N515)+1,""))</f>
        <v/>
      </c>
      <c r="P515" t="str">
        <f>IFERROR(INDEX(tblY11[Class],ROWS(P$10:P515))&amp;"","")</f>
        <v/>
      </c>
      <c r="Q515" t="str">
        <f>IF(P515="","",IF(COUNTIF(P$10:P515,P515)=1,COUNTIF(P$10:P$609,"&lt;"&amp;P515)+1,""))</f>
        <v/>
      </c>
      <c r="BA515" t="str">
        <f>IFERROR(INDEX(wLast,446)&amp;"","")</f>
        <v/>
      </c>
      <c r="BB515" t="str">
        <f>IF(BA515="","",IFERROR(INDEX(wFirst,446)&amp;"",""))</f>
        <v/>
      </c>
      <c r="BC515" t="str">
        <f>IF(BA515="","",IFERROR(INDEX(wClass,446)&amp;"",""))</f>
        <v/>
      </c>
      <c r="BD515" t="str">
        <f>IF(BA515="","",IFERROR(INDEX(wKS2,446)+0,""))</f>
        <v/>
      </c>
      <c r="BE515" t="str">
        <f>IF(BA515="","",IFERROR(INDEX(wTests,446)+0,0))</f>
        <v/>
      </c>
      <c r="BF515" t="str">
        <f>IF(BA515="","",IFERROR(INDEX(wMean,446)+0,""))</f>
        <v/>
      </c>
      <c r="BG515" t="str">
        <f>IF(BA515="","",IFERROR(INDEX(wVs,446)+0,""))</f>
        <v/>
      </c>
      <c r="BH515" t="str">
        <f>IF(OR(BA515="",wLatest=""),"",IFERROR(INDEX(wData,446,MATCH(wLatest&amp;CHAR(10)&amp;"Stanine",wHdr,0))+0,""))</f>
        <v/>
      </c>
      <c r="BI515" t="str">
        <f>IF(BA515="","",IF(AND(ISNUMBER(BG515),N(BE515)&gt;=WlMinTests,BG515&lt;=-WlGap),"Below KS2 starting point",IF(AND(NOT(ISNUMBER(BD515)),ISNUMBER(BF515),N(BE515)&gt;=WlMinTests,BF515&lt;=WlLowMean),"Low results, no KS2 data","")))</f>
        <v/>
      </c>
      <c r="BJ515" t="str">
        <f>IF(BI515="","",IF(BI515="Below KS2 starting point",BG515,100+BF515)+ROW()/1000000)</f>
        <v/>
      </c>
    </row>
    <row r="516">
      <c r="H516" t="str">
        <f>IFERROR(INDEX(tblY7[Class],ROWS(H$10:H516))&amp;"","")</f>
        <v/>
      </c>
      <c r="I516" t="str">
        <f>IF(H516="","",IF(COUNTIF(H$10:H516,H516)=1,COUNTIF(H$10:H$609,"&lt;"&amp;H516)+1,""))</f>
        <v/>
      </c>
      <c r="J516" t="str">
        <f>IFERROR(INDEX(tblY8[Class],ROWS(J$10:J516))&amp;"","")</f>
        <v/>
      </c>
      <c r="K516" t="str">
        <f>IF(J516="","",IF(COUNTIF(J$10:J516,J516)=1,COUNTIF(J$10:J$609,"&lt;"&amp;J516)+1,""))</f>
        <v/>
      </c>
      <c r="L516" t="str">
        <f>IFERROR(INDEX(tblY9[Class],ROWS(L$10:L516))&amp;"","")</f>
        <v/>
      </c>
      <c r="M516" t="str">
        <f>IF(L516="","",IF(COUNTIF(L$10:L516,L516)=1,COUNTIF(L$10:L$609,"&lt;"&amp;L516)+1,""))</f>
        <v/>
      </c>
      <c r="N516" t="str">
        <f>IFERROR(INDEX(tblY10[Class],ROWS(N$10:N516))&amp;"","")</f>
        <v/>
      </c>
      <c r="O516" t="str">
        <f>IF(N516="","",IF(COUNTIF(N$10:N516,N516)=1,COUNTIF(N$10:N$609,"&lt;"&amp;N516)+1,""))</f>
        <v/>
      </c>
      <c r="P516" t="str">
        <f>IFERROR(INDEX(tblY11[Class],ROWS(P$10:P516))&amp;"","")</f>
        <v/>
      </c>
      <c r="Q516" t="str">
        <f>IF(P516="","",IF(COUNTIF(P$10:P516,P516)=1,COUNTIF(P$10:P$609,"&lt;"&amp;P516)+1,""))</f>
        <v/>
      </c>
      <c r="BA516" t="str">
        <f>IFERROR(INDEX(wLast,447)&amp;"","")</f>
        <v/>
      </c>
      <c r="BB516" t="str">
        <f>IF(BA516="","",IFERROR(INDEX(wFirst,447)&amp;"",""))</f>
        <v/>
      </c>
      <c r="BC516" t="str">
        <f>IF(BA516="","",IFERROR(INDEX(wClass,447)&amp;"",""))</f>
        <v/>
      </c>
      <c r="BD516" t="str">
        <f>IF(BA516="","",IFERROR(INDEX(wKS2,447)+0,""))</f>
        <v/>
      </c>
      <c r="BE516" t="str">
        <f>IF(BA516="","",IFERROR(INDEX(wTests,447)+0,0))</f>
        <v/>
      </c>
      <c r="BF516" t="str">
        <f>IF(BA516="","",IFERROR(INDEX(wMean,447)+0,""))</f>
        <v/>
      </c>
      <c r="BG516" t="str">
        <f>IF(BA516="","",IFERROR(INDEX(wVs,447)+0,""))</f>
        <v/>
      </c>
      <c r="BH516" t="str">
        <f>IF(OR(BA516="",wLatest=""),"",IFERROR(INDEX(wData,447,MATCH(wLatest&amp;CHAR(10)&amp;"Stanine",wHdr,0))+0,""))</f>
        <v/>
      </c>
      <c r="BI516" t="str">
        <f>IF(BA516="","",IF(AND(ISNUMBER(BG516),N(BE516)&gt;=WlMinTests,BG516&lt;=-WlGap),"Below KS2 starting point",IF(AND(NOT(ISNUMBER(BD516)),ISNUMBER(BF516),N(BE516)&gt;=WlMinTests,BF516&lt;=WlLowMean),"Low results, no KS2 data","")))</f>
        <v/>
      </c>
      <c r="BJ516" t="str">
        <f>IF(BI516="","",IF(BI516="Below KS2 starting point",BG516,100+BF516)+ROW()/1000000)</f>
        <v/>
      </c>
    </row>
    <row r="517">
      <c r="H517" t="str">
        <f>IFERROR(INDEX(tblY7[Class],ROWS(H$10:H517))&amp;"","")</f>
        <v/>
      </c>
      <c r="I517" t="str">
        <f>IF(H517="","",IF(COUNTIF(H$10:H517,H517)=1,COUNTIF(H$10:H$609,"&lt;"&amp;H517)+1,""))</f>
        <v/>
      </c>
      <c r="J517" t="str">
        <f>IFERROR(INDEX(tblY8[Class],ROWS(J$10:J517))&amp;"","")</f>
        <v/>
      </c>
      <c r="K517" t="str">
        <f>IF(J517="","",IF(COUNTIF(J$10:J517,J517)=1,COUNTIF(J$10:J$609,"&lt;"&amp;J517)+1,""))</f>
        <v/>
      </c>
      <c r="L517" t="str">
        <f>IFERROR(INDEX(tblY9[Class],ROWS(L$10:L517))&amp;"","")</f>
        <v/>
      </c>
      <c r="M517" t="str">
        <f>IF(L517="","",IF(COUNTIF(L$10:L517,L517)=1,COUNTIF(L$10:L$609,"&lt;"&amp;L517)+1,""))</f>
        <v/>
      </c>
      <c r="N517" t="str">
        <f>IFERROR(INDEX(tblY10[Class],ROWS(N$10:N517))&amp;"","")</f>
        <v/>
      </c>
      <c r="O517" t="str">
        <f>IF(N517="","",IF(COUNTIF(N$10:N517,N517)=1,COUNTIF(N$10:N$609,"&lt;"&amp;N517)+1,""))</f>
        <v/>
      </c>
      <c r="P517" t="str">
        <f>IFERROR(INDEX(tblY11[Class],ROWS(P$10:P517))&amp;"","")</f>
        <v/>
      </c>
      <c r="Q517" t="str">
        <f>IF(P517="","",IF(COUNTIF(P$10:P517,P517)=1,COUNTIF(P$10:P$609,"&lt;"&amp;P517)+1,""))</f>
        <v/>
      </c>
      <c r="BA517" t="str">
        <f>IFERROR(INDEX(wLast,448)&amp;"","")</f>
        <v/>
      </c>
      <c r="BB517" t="str">
        <f>IF(BA517="","",IFERROR(INDEX(wFirst,448)&amp;"",""))</f>
        <v/>
      </c>
      <c r="BC517" t="str">
        <f>IF(BA517="","",IFERROR(INDEX(wClass,448)&amp;"",""))</f>
        <v/>
      </c>
      <c r="BD517" t="str">
        <f>IF(BA517="","",IFERROR(INDEX(wKS2,448)+0,""))</f>
        <v/>
      </c>
      <c r="BE517" t="str">
        <f>IF(BA517="","",IFERROR(INDEX(wTests,448)+0,0))</f>
        <v/>
      </c>
      <c r="BF517" t="str">
        <f>IF(BA517="","",IFERROR(INDEX(wMean,448)+0,""))</f>
        <v/>
      </c>
      <c r="BG517" t="str">
        <f>IF(BA517="","",IFERROR(INDEX(wVs,448)+0,""))</f>
        <v/>
      </c>
      <c r="BH517" t="str">
        <f>IF(OR(BA517="",wLatest=""),"",IFERROR(INDEX(wData,448,MATCH(wLatest&amp;CHAR(10)&amp;"Stanine",wHdr,0))+0,""))</f>
        <v/>
      </c>
      <c r="BI517" t="str">
        <f>IF(BA517="","",IF(AND(ISNUMBER(BG517),N(BE517)&gt;=WlMinTests,BG517&lt;=-WlGap),"Below KS2 starting point",IF(AND(NOT(ISNUMBER(BD517)),ISNUMBER(BF517),N(BE517)&gt;=WlMinTests,BF517&lt;=WlLowMean),"Low results, no KS2 data","")))</f>
        <v/>
      </c>
      <c r="BJ517" t="str">
        <f>IF(BI517="","",IF(BI517="Below KS2 starting point",BG517,100+BF517)+ROW()/1000000)</f>
        <v/>
      </c>
    </row>
    <row r="518">
      <c r="H518" t="str">
        <f>IFERROR(INDEX(tblY7[Class],ROWS(H$10:H518))&amp;"","")</f>
        <v/>
      </c>
      <c r="I518" t="str">
        <f>IF(H518="","",IF(COUNTIF(H$10:H518,H518)=1,COUNTIF(H$10:H$609,"&lt;"&amp;H518)+1,""))</f>
        <v/>
      </c>
      <c r="J518" t="str">
        <f>IFERROR(INDEX(tblY8[Class],ROWS(J$10:J518))&amp;"","")</f>
        <v/>
      </c>
      <c r="K518" t="str">
        <f>IF(J518="","",IF(COUNTIF(J$10:J518,J518)=1,COUNTIF(J$10:J$609,"&lt;"&amp;J518)+1,""))</f>
        <v/>
      </c>
      <c r="L518" t="str">
        <f>IFERROR(INDEX(tblY9[Class],ROWS(L$10:L518))&amp;"","")</f>
        <v/>
      </c>
      <c r="M518" t="str">
        <f>IF(L518="","",IF(COUNTIF(L$10:L518,L518)=1,COUNTIF(L$10:L$609,"&lt;"&amp;L518)+1,""))</f>
        <v/>
      </c>
      <c r="N518" t="str">
        <f>IFERROR(INDEX(tblY10[Class],ROWS(N$10:N518))&amp;"","")</f>
        <v/>
      </c>
      <c r="O518" t="str">
        <f>IF(N518="","",IF(COUNTIF(N$10:N518,N518)=1,COUNTIF(N$10:N$609,"&lt;"&amp;N518)+1,""))</f>
        <v/>
      </c>
      <c r="P518" t="str">
        <f>IFERROR(INDEX(tblY11[Class],ROWS(P$10:P518))&amp;"","")</f>
        <v/>
      </c>
      <c r="Q518" t="str">
        <f>IF(P518="","",IF(COUNTIF(P$10:P518,P518)=1,COUNTIF(P$10:P$609,"&lt;"&amp;P518)+1,""))</f>
        <v/>
      </c>
      <c r="BA518" t="str">
        <f>IFERROR(INDEX(wLast,449)&amp;"","")</f>
        <v/>
      </c>
      <c r="BB518" t="str">
        <f>IF(BA518="","",IFERROR(INDEX(wFirst,449)&amp;"",""))</f>
        <v/>
      </c>
      <c r="BC518" t="str">
        <f>IF(BA518="","",IFERROR(INDEX(wClass,449)&amp;"",""))</f>
        <v/>
      </c>
      <c r="BD518" t="str">
        <f>IF(BA518="","",IFERROR(INDEX(wKS2,449)+0,""))</f>
        <v/>
      </c>
      <c r="BE518" t="str">
        <f>IF(BA518="","",IFERROR(INDEX(wTests,449)+0,0))</f>
        <v/>
      </c>
      <c r="BF518" t="str">
        <f>IF(BA518="","",IFERROR(INDEX(wMean,449)+0,""))</f>
        <v/>
      </c>
      <c r="BG518" t="str">
        <f>IF(BA518="","",IFERROR(INDEX(wVs,449)+0,""))</f>
        <v/>
      </c>
      <c r="BH518" t="str">
        <f>IF(OR(BA518="",wLatest=""),"",IFERROR(INDEX(wData,449,MATCH(wLatest&amp;CHAR(10)&amp;"Stanine",wHdr,0))+0,""))</f>
        <v/>
      </c>
      <c r="BI518" t="str">
        <f>IF(BA518="","",IF(AND(ISNUMBER(BG518),N(BE518)&gt;=WlMinTests,BG518&lt;=-WlGap),"Below KS2 starting point",IF(AND(NOT(ISNUMBER(BD518)),ISNUMBER(BF518),N(BE518)&gt;=WlMinTests,BF518&lt;=WlLowMean),"Low results, no KS2 data","")))</f>
        <v/>
      </c>
      <c r="BJ518" t="str">
        <f>IF(BI518="","",IF(BI518="Below KS2 starting point",BG518,100+BF518)+ROW()/1000000)</f>
        <v/>
      </c>
    </row>
    <row r="519">
      <c r="H519" t="str">
        <f>IFERROR(INDEX(tblY7[Class],ROWS(H$10:H519))&amp;"","")</f>
        <v/>
      </c>
      <c r="I519" t="str">
        <f>IF(H519="","",IF(COUNTIF(H$10:H519,H519)=1,COUNTIF(H$10:H$609,"&lt;"&amp;H519)+1,""))</f>
        <v/>
      </c>
      <c r="J519" t="str">
        <f>IFERROR(INDEX(tblY8[Class],ROWS(J$10:J519))&amp;"","")</f>
        <v/>
      </c>
      <c r="K519" t="str">
        <f>IF(J519="","",IF(COUNTIF(J$10:J519,J519)=1,COUNTIF(J$10:J$609,"&lt;"&amp;J519)+1,""))</f>
        <v/>
      </c>
      <c r="L519" t="str">
        <f>IFERROR(INDEX(tblY9[Class],ROWS(L$10:L519))&amp;"","")</f>
        <v/>
      </c>
      <c r="M519" t="str">
        <f>IF(L519="","",IF(COUNTIF(L$10:L519,L519)=1,COUNTIF(L$10:L$609,"&lt;"&amp;L519)+1,""))</f>
        <v/>
      </c>
      <c r="N519" t="str">
        <f>IFERROR(INDEX(tblY10[Class],ROWS(N$10:N519))&amp;"","")</f>
        <v/>
      </c>
      <c r="O519" t="str">
        <f>IF(N519="","",IF(COUNTIF(N$10:N519,N519)=1,COUNTIF(N$10:N$609,"&lt;"&amp;N519)+1,""))</f>
        <v/>
      </c>
      <c r="P519" t="str">
        <f>IFERROR(INDEX(tblY11[Class],ROWS(P$10:P519))&amp;"","")</f>
        <v/>
      </c>
      <c r="Q519" t="str">
        <f>IF(P519="","",IF(COUNTIF(P$10:P519,P519)=1,COUNTIF(P$10:P$609,"&lt;"&amp;P519)+1,""))</f>
        <v/>
      </c>
      <c r="BA519" t="str">
        <f>IFERROR(INDEX(wLast,450)&amp;"","")</f>
        <v/>
      </c>
      <c r="BB519" t="str">
        <f>IF(BA519="","",IFERROR(INDEX(wFirst,450)&amp;"",""))</f>
        <v/>
      </c>
      <c r="BC519" t="str">
        <f>IF(BA519="","",IFERROR(INDEX(wClass,450)&amp;"",""))</f>
        <v/>
      </c>
      <c r="BD519" t="str">
        <f>IF(BA519="","",IFERROR(INDEX(wKS2,450)+0,""))</f>
        <v/>
      </c>
      <c r="BE519" t="str">
        <f>IF(BA519="","",IFERROR(INDEX(wTests,450)+0,0))</f>
        <v/>
      </c>
      <c r="BF519" t="str">
        <f>IF(BA519="","",IFERROR(INDEX(wMean,450)+0,""))</f>
        <v/>
      </c>
      <c r="BG519" t="str">
        <f>IF(BA519="","",IFERROR(INDEX(wVs,450)+0,""))</f>
        <v/>
      </c>
      <c r="BH519" t="str">
        <f>IF(OR(BA519="",wLatest=""),"",IFERROR(INDEX(wData,450,MATCH(wLatest&amp;CHAR(10)&amp;"Stanine",wHdr,0))+0,""))</f>
        <v/>
      </c>
      <c r="BI519" t="str">
        <f>IF(BA519="","",IF(AND(ISNUMBER(BG519),N(BE519)&gt;=WlMinTests,BG519&lt;=-WlGap),"Below KS2 starting point",IF(AND(NOT(ISNUMBER(BD519)),ISNUMBER(BF519),N(BE519)&gt;=WlMinTests,BF519&lt;=WlLowMean),"Low results, no KS2 data","")))</f>
        <v/>
      </c>
      <c r="BJ519" t="str">
        <f>IF(BI519="","",IF(BI519="Below KS2 starting point",BG519,100+BF519)+ROW()/1000000)</f>
        <v/>
      </c>
    </row>
    <row r="520">
      <c r="H520" t="str">
        <f>IFERROR(INDEX(tblY7[Class],ROWS(H$10:H520))&amp;"","")</f>
        <v/>
      </c>
      <c r="I520" t="str">
        <f>IF(H520="","",IF(COUNTIF(H$10:H520,H520)=1,COUNTIF(H$10:H$609,"&lt;"&amp;H520)+1,""))</f>
        <v/>
      </c>
      <c r="J520" t="str">
        <f>IFERROR(INDEX(tblY8[Class],ROWS(J$10:J520))&amp;"","")</f>
        <v/>
      </c>
      <c r="K520" t="str">
        <f>IF(J520="","",IF(COUNTIF(J$10:J520,J520)=1,COUNTIF(J$10:J$609,"&lt;"&amp;J520)+1,""))</f>
        <v/>
      </c>
      <c r="L520" t="str">
        <f>IFERROR(INDEX(tblY9[Class],ROWS(L$10:L520))&amp;"","")</f>
        <v/>
      </c>
      <c r="M520" t="str">
        <f>IF(L520="","",IF(COUNTIF(L$10:L520,L520)=1,COUNTIF(L$10:L$609,"&lt;"&amp;L520)+1,""))</f>
        <v/>
      </c>
      <c r="N520" t="str">
        <f>IFERROR(INDEX(tblY10[Class],ROWS(N$10:N520))&amp;"","")</f>
        <v/>
      </c>
      <c r="O520" t="str">
        <f>IF(N520="","",IF(COUNTIF(N$10:N520,N520)=1,COUNTIF(N$10:N$609,"&lt;"&amp;N520)+1,""))</f>
        <v/>
      </c>
      <c r="P520" t="str">
        <f>IFERROR(INDEX(tblY11[Class],ROWS(P$10:P520))&amp;"","")</f>
        <v/>
      </c>
      <c r="Q520" t="str">
        <f>IF(P520="","",IF(COUNTIF(P$10:P520,P520)=1,COUNTIF(P$10:P$609,"&lt;"&amp;P520)+1,""))</f>
        <v/>
      </c>
      <c r="BA520" t="str">
        <f>IFERROR(INDEX(wLast,451)&amp;"","")</f>
        <v/>
      </c>
      <c r="BB520" t="str">
        <f>IF(BA520="","",IFERROR(INDEX(wFirst,451)&amp;"",""))</f>
        <v/>
      </c>
      <c r="BC520" t="str">
        <f>IF(BA520="","",IFERROR(INDEX(wClass,451)&amp;"",""))</f>
        <v/>
      </c>
      <c r="BD520" t="str">
        <f>IF(BA520="","",IFERROR(INDEX(wKS2,451)+0,""))</f>
        <v/>
      </c>
      <c r="BE520" t="str">
        <f>IF(BA520="","",IFERROR(INDEX(wTests,451)+0,0))</f>
        <v/>
      </c>
      <c r="BF520" t="str">
        <f>IF(BA520="","",IFERROR(INDEX(wMean,451)+0,""))</f>
        <v/>
      </c>
      <c r="BG520" t="str">
        <f>IF(BA520="","",IFERROR(INDEX(wVs,451)+0,""))</f>
        <v/>
      </c>
      <c r="BH520" t="str">
        <f>IF(OR(BA520="",wLatest=""),"",IFERROR(INDEX(wData,451,MATCH(wLatest&amp;CHAR(10)&amp;"Stanine",wHdr,0))+0,""))</f>
        <v/>
      </c>
      <c r="BI520" t="str">
        <f>IF(BA520="","",IF(AND(ISNUMBER(BG520),N(BE520)&gt;=WlMinTests,BG520&lt;=-WlGap),"Below KS2 starting point",IF(AND(NOT(ISNUMBER(BD520)),ISNUMBER(BF520),N(BE520)&gt;=WlMinTests,BF520&lt;=WlLowMean),"Low results, no KS2 data","")))</f>
        <v/>
      </c>
      <c r="BJ520" t="str">
        <f>IF(BI520="","",IF(BI520="Below KS2 starting point",BG520,100+BF520)+ROW()/1000000)</f>
        <v/>
      </c>
    </row>
    <row r="521">
      <c r="H521" t="str">
        <f>IFERROR(INDEX(tblY7[Class],ROWS(H$10:H521))&amp;"","")</f>
        <v/>
      </c>
      <c r="I521" t="str">
        <f>IF(H521="","",IF(COUNTIF(H$10:H521,H521)=1,COUNTIF(H$10:H$609,"&lt;"&amp;H521)+1,""))</f>
        <v/>
      </c>
      <c r="J521" t="str">
        <f>IFERROR(INDEX(tblY8[Class],ROWS(J$10:J521))&amp;"","")</f>
        <v/>
      </c>
      <c r="K521" t="str">
        <f>IF(J521="","",IF(COUNTIF(J$10:J521,J521)=1,COUNTIF(J$10:J$609,"&lt;"&amp;J521)+1,""))</f>
        <v/>
      </c>
      <c r="L521" t="str">
        <f>IFERROR(INDEX(tblY9[Class],ROWS(L$10:L521))&amp;"","")</f>
        <v/>
      </c>
      <c r="M521" t="str">
        <f>IF(L521="","",IF(COUNTIF(L$10:L521,L521)=1,COUNTIF(L$10:L$609,"&lt;"&amp;L521)+1,""))</f>
        <v/>
      </c>
      <c r="N521" t="str">
        <f>IFERROR(INDEX(tblY10[Class],ROWS(N$10:N521))&amp;"","")</f>
        <v/>
      </c>
      <c r="O521" t="str">
        <f>IF(N521="","",IF(COUNTIF(N$10:N521,N521)=1,COUNTIF(N$10:N$609,"&lt;"&amp;N521)+1,""))</f>
        <v/>
      </c>
      <c r="P521" t="str">
        <f>IFERROR(INDEX(tblY11[Class],ROWS(P$10:P521))&amp;"","")</f>
        <v/>
      </c>
      <c r="Q521" t="str">
        <f>IF(P521="","",IF(COUNTIF(P$10:P521,P521)=1,COUNTIF(P$10:P$609,"&lt;"&amp;P521)+1,""))</f>
        <v/>
      </c>
      <c r="BA521" t="str">
        <f>IFERROR(INDEX(wLast,452)&amp;"","")</f>
        <v/>
      </c>
      <c r="BB521" t="str">
        <f>IF(BA521="","",IFERROR(INDEX(wFirst,452)&amp;"",""))</f>
        <v/>
      </c>
      <c r="BC521" t="str">
        <f>IF(BA521="","",IFERROR(INDEX(wClass,452)&amp;"",""))</f>
        <v/>
      </c>
      <c r="BD521" t="str">
        <f>IF(BA521="","",IFERROR(INDEX(wKS2,452)+0,""))</f>
        <v/>
      </c>
      <c r="BE521" t="str">
        <f>IF(BA521="","",IFERROR(INDEX(wTests,452)+0,0))</f>
        <v/>
      </c>
      <c r="BF521" t="str">
        <f>IF(BA521="","",IFERROR(INDEX(wMean,452)+0,""))</f>
        <v/>
      </c>
      <c r="BG521" t="str">
        <f>IF(BA521="","",IFERROR(INDEX(wVs,452)+0,""))</f>
        <v/>
      </c>
      <c r="BH521" t="str">
        <f>IF(OR(BA521="",wLatest=""),"",IFERROR(INDEX(wData,452,MATCH(wLatest&amp;CHAR(10)&amp;"Stanine",wHdr,0))+0,""))</f>
        <v/>
      </c>
      <c r="BI521" t="str">
        <f>IF(BA521="","",IF(AND(ISNUMBER(BG521),N(BE521)&gt;=WlMinTests,BG521&lt;=-WlGap),"Below KS2 starting point",IF(AND(NOT(ISNUMBER(BD521)),ISNUMBER(BF521),N(BE521)&gt;=WlMinTests,BF521&lt;=WlLowMean),"Low results, no KS2 data","")))</f>
        <v/>
      </c>
      <c r="BJ521" t="str">
        <f>IF(BI521="","",IF(BI521="Below KS2 starting point",BG521,100+BF521)+ROW()/1000000)</f>
        <v/>
      </c>
    </row>
    <row r="522">
      <c r="H522" t="str">
        <f>IFERROR(INDEX(tblY7[Class],ROWS(H$10:H522))&amp;"","")</f>
        <v/>
      </c>
      <c r="I522" t="str">
        <f>IF(H522="","",IF(COUNTIF(H$10:H522,H522)=1,COUNTIF(H$10:H$609,"&lt;"&amp;H522)+1,""))</f>
        <v/>
      </c>
      <c r="J522" t="str">
        <f>IFERROR(INDEX(tblY8[Class],ROWS(J$10:J522))&amp;"","")</f>
        <v/>
      </c>
      <c r="K522" t="str">
        <f>IF(J522="","",IF(COUNTIF(J$10:J522,J522)=1,COUNTIF(J$10:J$609,"&lt;"&amp;J522)+1,""))</f>
        <v/>
      </c>
      <c r="L522" t="str">
        <f>IFERROR(INDEX(tblY9[Class],ROWS(L$10:L522))&amp;"","")</f>
        <v/>
      </c>
      <c r="M522" t="str">
        <f>IF(L522="","",IF(COUNTIF(L$10:L522,L522)=1,COUNTIF(L$10:L$609,"&lt;"&amp;L522)+1,""))</f>
        <v/>
      </c>
      <c r="N522" t="str">
        <f>IFERROR(INDEX(tblY10[Class],ROWS(N$10:N522))&amp;"","")</f>
        <v/>
      </c>
      <c r="O522" t="str">
        <f>IF(N522="","",IF(COUNTIF(N$10:N522,N522)=1,COUNTIF(N$10:N$609,"&lt;"&amp;N522)+1,""))</f>
        <v/>
      </c>
      <c r="P522" t="str">
        <f>IFERROR(INDEX(tblY11[Class],ROWS(P$10:P522))&amp;"","")</f>
        <v/>
      </c>
      <c r="Q522" t="str">
        <f>IF(P522="","",IF(COUNTIF(P$10:P522,P522)=1,COUNTIF(P$10:P$609,"&lt;"&amp;P522)+1,""))</f>
        <v/>
      </c>
      <c r="BA522" t="str">
        <f>IFERROR(INDEX(wLast,453)&amp;"","")</f>
        <v/>
      </c>
      <c r="BB522" t="str">
        <f>IF(BA522="","",IFERROR(INDEX(wFirst,453)&amp;"",""))</f>
        <v/>
      </c>
      <c r="BC522" t="str">
        <f>IF(BA522="","",IFERROR(INDEX(wClass,453)&amp;"",""))</f>
        <v/>
      </c>
      <c r="BD522" t="str">
        <f>IF(BA522="","",IFERROR(INDEX(wKS2,453)+0,""))</f>
        <v/>
      </c>
      <c r="BE522" t="str">
        <f>IF(BA522="","",IFERROR(INDEX(wTests,453)+0,0))</f>
        <v/>
      </c>
      <c r="BF522" t="str">
        <f>IF(BA522="","",IFERROR(INDEX(wMean,453)+0,""))</f>
        <v/>
      </c>
      <c r="BG522" t="str">
        <f>IF(BA522="","",IFERROR(INDEX(wVs,453)+0,""))</f>
        <v/>
      </c>
      <c r="BH522" t="str">
        <f>IF(OR(BA522="",wLatest=""),"",IFERROR(INDEX(wData,453,MATCH(wLatest&amp;CHAR(10)&amp;"Stanine",wHdr,0))+0,""))</f>
        <v/>
      </c>
      <c r="BI522" t="str">
        <f>IF(BA522="","",IF(AND(ISNUMBER(BG522),N(BE522)&gt;=WlMinTests,BG522&lt;=-WlGap),"Below KS2 starting point",IF(AND(NOT(ISNUMBER(BD522)),ISNUMBER(BF522),N(BE522)&gt;=WlMinTests,BF522&lt;=WlLowMean),"Low results, no KS2 data","")))</f>
        <v/>
      </c>
      <c r="BJ522" t="str">
        <f>IF(BI522="","",IF(BI522="Below KS2 starting point",BG522,100+BF522)+ROW()/1000000)</f>
        <v/>
      </c>
    </row>
    <row r="523">
      <c r="H523" t="str">
        <f>IFERROR(INDEX(tblY7[Class],ROWS(H$10:H523))&amp;"","")</f>
        <v/>
      </c>
      <c r="I523" t="str">
        <f>IF(H523="","",IF(COUNTIF(H$10:H523,H523)=1,COUNTIF(H$10:H$609,"&lt;"&amp;H523)+1,""))</f>
        <v/>
      </c>
      <c r="J523" t="str">
        <f>IFERROR(INDEX(tblY8[Class],ROWS(J$10:J523))&amp;"","")</f>
        <v/>
      </c>
      <c r="K523" t="str">
        <f>IF(J523="","",IF(COUNTIF(J$10:J523,J523)=1,COUNTIF(J$10:J$609,"&lt;"&amp;J523)+1,""))</f>
        <v/>
      </c>
      <c r="L523" t="str">
        <f>IFERROR(INDEX(tblY9[Class],ROWS(L$10:L523))&amp;"","")</f>
        <v/>
      </c>
      <c r="M523" t="str">
        <f>IF(L523="","",IF(COUNTIF(L$10:L523,L523)=1,COUNTIF(L$10:L$609,"&lt;"&amp;L523)+1,""))</f>
        <v/>
      </c>
      <c r="N523" t="str">
        <f>IFERROR(INDEX(tblY10[Class],ROWS(N$10:N523))&amp;"","")</f>
        <v/>
      </c>
      <c r="O523" t="str">
        <f>IF(N523="","",IF(COUNTIF(N$10:N523,N523)=1,COUNTIF(N$10:N$609,"&lt;"&amp;N523)+1,""))</f>
        <v/>
      </c>
      <c r="P523" t="str">
        <f>IFERROR(INDEX(tblY11[Class],ROWS(P$10:P523))&amp;"","")</f>
        <v/>
      </c>
      <c r="Q523" t="str">
        <f>IF(P523="","",IF(COUNTIF(P$10:P523,P523)=1,COUNTIF(P$10:P$609,"&lt;"&amp;P523)+1,""))</f>
        <v/>
      </c>
      <c r="BA523" t="str">
        <f>IFERROR(INDEX(wLast,454)&amp;"","")</f>
        <v/>
      </c>
      <c r="BB523" t="str">
        <f>IF(BA523="","",IFERROR(INDEX(wFirst,454)&amp;"",""))</f>
        <v/>
      </c>
      <c r="BC523" t="str">
        <f>IF(BA523="","",IFERROR(INDEX(wClass,454)&amp;"",""))</f>
        <v/>
      </c>
      <c r="BD523" t="str">
        <f>IF(BA523="","",IFERROR(INDEX(wKS2,454)+0,""))</f>
        <v/>
      </c>
      <c r="BE523" t="str">
        <f>IF(BA523="","",IFERROR(INDEX(wTests,454)+0,0))</f>
        <v/>
      </c>
      <c r="BF523" t="str">
        <f>IF(BA523="","",IFERROR(INDEX(wMean,454)+0,""))</f>
        <v/>
      </c>
      <c r="BG523" t="str">
        <f>IF(BA523="","",IFERROR(INDEX(wVs,454)+0,""))</f>
        <v/>
      </c>
      <c r="BH523" t="str">
        <f>IF(OR(BA523="",wLatest=""),"",IFERROR(INDEX(wData,454,MATCH(wLatest&amp;CHAR(10)&amp;"Stanine",wHdr,0))+0,""))</f>
        <v/>
      </c>
      <c r="BI523" t="str">
        <f>IF(BA523="","",IF(AND(ISNUMBER(BG523),N(BE523)&gt;=WlMinTests,BG523&lt;=-WlGap),"Below KS2 starting point",IF(AND(NOT(ISNUMBER(BD523)),ISNUMBER(BF523),N(BE523)&gt;=WlMinTests,BF523&lt;=WlLowMean),"Low results, no KS2 data","")))</f>
        <v/>
      </c>
      <c r="BJ523" t="str">
        <f>IF(BI523="","",IF(BI523="Below KS2 starting point",BG523,100+BF523)+ROW()/1000000)</f>
        <v/>
      </c>
    </row>
    <row r="524">
      <c r="H524" t="str">
        <f>IFERROR(INDEX(tblY7[Class],ROWS(H$10:H524))&amp;"","")</f>
        <v/>
      </c>
      <c r="I524" t="str">
        <f>IF(H524="","",IF(COUNTIF(H$10:H524,H524)=1,COUNTIF(H$10:H$609,"&lt;"&amp;H524)+1,""))</f>
        <v/>
      </c>
      <c r="J524" t="str">
        <f>IFERROR(INDEX(tblY8[Class],ROWS(J$10:J524))&amp;"","")</f>
        <v/>
      </c>
      <c r="K524" t="str">
        <f>IF(J524="","",IF(COUNTIF(J$10:J524,J524)=1,COUNTIF(J$10:J$609,"&lt;"&amp;J524)+1,""))</f>
        <v/>
      </c>
      <c r="L524" t="str">
        <f>IFERROR(INDEX(tblY9[Class],ROWS(L$10:L524))&amp;"","")</f>
        <v/>
      </c>
      <c r="M524" t="str">
        <f>IF(L524="","",IF(COUNTIF(L$10:L524,L524)=1,COUNTIF(L$10:L$609,"&lt;"&amp;L524)+1,""))</f>
        <v/>
      </c>
      <c r="N524" t="str">
        <f>IFERROR(INDEX(tblY10[Class],ROWS(N$10:N524))&amp;"","")</f>
        <v/>
      </c>
      <c r="O524" t="str">
        <f>IF(N524="","",IF(COUNTIF(N$10:N524,N524)=1,COUNTIF(N$10:N$609,"&lt;"&amp;N524)+1,""))</f>
        <v/>
      </c>
      <c r="P524" t="str">
        <f>IFERROR(INDEX(tblY11[Class],ROWS(P$10:P524))&amp;"","")</f>
        <v/>
      </c>
      <c r="Q524" t="str">
        <f>IF(P524="","",IF(COUNTIF(P$10:P524,P524)=1,COUNTIF(P$10:P$609,"&lt;"&amp;P524)+1,""))</f>
        <v/>
      </c>
      <c r="BA524" t="str">
        <f>IFERROR(INDEX(wLast,455)&amp;"","")</f>
        <v/>
      </c>
      <c r="BB524" t="str">
        <f>IF(BA524="","",IFERROR(INDEX(wFirst,455)&amp;"",""))</f>
        <v/>
      </c>
      <c r="BC524" t="str">
        <f>IF(BA524="","",IFERROR(INDEX(wClass,455)&amp;"",""))</f>
        <v/>
      </c>
      <c r="BD524" t="str">
        <f>IF(BA524="","",IFERROR(INDEX(wKS2,455)+0,""))</f>
        <v/>
      </c>
      <c r="BE524" t="str">
        <f>IF(BA524="","",IFERROR(INDEX(wTests,455)+0,0))</f>
        <v/>
      </c>
      <c r="BF524" t="str">
        <f>IF(BA524="","",IFERROR(INDEX(wMean,455)+0,""))</f>
        <v/>
      </c>
      <c r="BG524" t="str">
        <f>IF(BA524="","",IFERROR(INDEX(wVs,455)+0,""))</f>
        <v/>
      </c>
      <c r="BH524" t="str">
        <f>IF(OR(BA524="",wLatest=""),"",IFERROR(INDEX(wData,455,MATCH(wLatest&amp;CHAR(10)&amp;"Stanine",wHdr,0))+0,""))</f>
        <v/>
      </c>
      <c r="BI524" t="str">
        <f>IF(BA524="","",IF(AND(ISNUMBER(BG524),N(BE524)&gt;=WlMinTests,BG524&lt;=-WlGap),"Below KS2 starting point",IF(AND(NOT(ISNUMBER(BD524)),ISNUMBER(BF524),N(BE524)&gt;=WlMinTests,BF524&lt;=WlLowMean),"Low results, no KS2 data","")))</f>
        <v/>
      </c>
      <c r="BJ524" t="str">
        <f>IF(BI524="","",IF(BI524="Below KS2 starting point",BG524,100+BF524)+ROW()/1000000)</f>
        <v/>
      </c>
    </row>
    <row r="525">
      <c r="H525" t="str">
        <f>IFERROR(INDEX(tblY7[Class],ROWS(H$10:H525))&amp;"","")</f>
        <v/>
      </c>
      <c r="I525" t="str">
        <f>IF(H525="","",IF(COUNTIF(H$10:H525,H525)=1,COUNTIF(H$10:H$609,"&lt;"&amp;H525)+1,""))</f>
        <v/>
      </c>
      <c r="J525" t="str">
        <f>IFERROR(INDEX(tblY8[Class],ROWS(J$10:J525))&amp;"","")</f>
        <v/>
      </c>
      <c r="K525" t="str">
        <f>IF(J525="","",IF(COUNTIF(J$10:J525,J525)=1,COUNTIF(J$10:J$609,"&lt;"&amp;J525)+1,""))</f>
        <v/>
      </c>
      <c r="L525" t="str">
        <f>IFERROR(INDEX(tblY9[Class],ROWS(L$10:L525))&amp;"","")</f>
        <v/>
      </c>
      <c r="M525" t="str">
        <f>IF(L525="","",IF(COUNTIF(L$10:L525,L525)=1,COUNTIF(L$10:L$609,"&lt;"&amp;L525)+1,""))</f>
        <v/>
      </c>
      <c r="N525" t="str">
        <f>IFERROR(INDEX(tblY10[Class],ROWS(N$10:N525))&amp;"","")</f>
        <v/>
      </c>
      <c r="O525" t="str">
        <f>IF(N525="","",IF(COUNTIF(N$10:N525,N525)=1,COUNTIF(N$10:N$609,"&lt;"&amp;N525)+1,""))</f>
        <v/>
      </c>
      <c r="P525" t="str">
        <f>IFERROR(INDEX(tblY11[Class],ROWS(P$10:P525))&amp;"","")</f>
        <v/>
      </c>
      <c r="Q525" t="str">
        <f>IF(P525="","",IF(COUNTIF(P$10:P525,P525)=1,COUNTIF(P$10:P$609,"&lt;"&amp;P525)+1,""))</f>
        <v/>
      </c>
      <c r="BA525" t="str">
        <f>IFERROR(INDEX(wLast,456)&amp;"","")</f>
        <v/>
      </c>
      <c r="BB525" t="str">
        <f>IF(BA525="","",IFERROR(INDEX(wFirst,456)&amp;"",""))</f>
        <v/>
      </c>
      <c r="BC525" t="str">
        <f>IF(BA525="","",IFERROR(INDEX(wClass,456)&amp;"",""))</f>
        <v/>
      </c>
      <c r="BD525" t="str">
        <f>IF(BA525="","",IFERROR(INDEX(wKS2,456)+0,""))</f>
        <v/>
      </c>
      <c r="BE525" t="str">
        <f>IF(BA525="","",IFERROR(INDEX(wTests,456)+0,0))</f>
        <v/>
      </c>
      <c r="BF525" t="str">
        <f>IF(BA525="","",IFERROR(INDEX(wMean,456)+0,""))</f>
        <v/>
      </c>
      <c r="BG525" t="str">
        <f>IF(BA525="","",IFERROR(INDEX(wVs,456)+0,""))</f>
        <v/>
      </c>
      <c r="BH525" t="str">
        <f>IF(OR(BA525="",wLatest=""),"",IFERROR(INDEX(wData,456,MATCH(wLatest&amp;CHAR(10)&amp;"Stanine",wHdr,0))+0,""))</f>
        <v/>
      </c>
      <c r="BI525" t="str">
        <f>IF(BA525="","",IF(AND(ISNUMBER(BG525),N(BE525)&gt;=WlMinTests,BG525&lt;=-WlGap),"Below KS2 starting point",IF(AND(NOT(ISNUMBER(BD525)),ISNUMBER(BF525),N(BE525)&gt;=WlMinTests,BF525&lt;=WlLowMean),"Low results, no KS2 data","")))</f>
        <v/>
      </c>
      <c r="BJ525" t="str">
        <f>IF(BI525="","",IF(BI525="Below KS2 starting point",BG525,100+BF525)+ROW()/1000000)</f>
        <v/>
      </c>
    </row>
    <row r="526">
      <c r="H526" t="str">
        <f>IFERROR(INDEX(tblY7[Class],ROWS(H$10:H526))&amp;"","")</f>
        <v/>
      </c>
      <c r="I526" t="str">
        <f>IF(H526="","",IF(COUNTIF(H$10:H526,H526)=1,COUNTIF(H$10:H$609,"&lt;"&amp;H526)+1,""))</f>
        <v/>
      </c>
      <c r="J526" t="str">
        <f>IFERROR(INDEX(tblY8[Class],ROWS(J$10:J526))&amp;"","")</f>
        <v/>
      </c>
      <c r="K526" t="str">
        <f>IF(J526="","",IF(COUNTIF(J$10:J526,J526)=1,COUNTIF(J$10:J$609,"&lt;"&amp;J526)+1,""))</f>
        <v/>
      </c>
      <c r="L526" t="str">
        <f>IFERROR(INDEX(tblY9[Class],ROWS(L$10:L526))&amp;"","")</f>
        <v/>
      </c>
      <c r="M526" t="str">
        <f>IF(L526="","",IF(COUNTIF(L$10:L526,L526)=1,COUNTIF(L$10:L$609,"&lt;"&amp;L526)+1,""))</f>
        <v/>
      </c>
      <c r="N526" t="str">
        <f>IFERROR(INDEX(tblY10[Class],ROWS(N$10:N526))&amp;"","")</f>
        <v/>
      </c>
      <c r="O526" t="str">
        <f>IF(N526="","",IF(COUNTIF(N$10:N526,N526)=1,COUNTIF(N$10:N$609,"&lt;"&amp;N526)+1,""))</f>
        <v/>
      </c>
      <c r="P526" t="str">
        <f>IFERROR(INDEX(tblY11[Class],ROWS(P$10:P526))&amp;"","")</f>
        <v/>
      </c>
      <c r="Q526" t="str">
        <f>IF(P526="","",IF(COUNTIF(P$10:P526,P526)=1,COUNTIF(P$10:P$609,"&lt;"&amp;P526)+1,""))</f>
        <v/>
      </c>
      <c r="BA526" t="str">
        <f>IFERROR(INDEX(wLast,457)&amp;"","")</f>
        <v/>
      </c>
      <c r="BB526" t="str">
        <f>IF(BA526="","",IFERROR(INDEX(wFirst,457)&amp;"",""))</f>
        <v/>
      </c>
      <c r="BC526" t="str">
        <f>IF(BA526="","",IFERROR(INDEX(wClass,457)&amp;"",""))</f>
        <v/>
      </c>
      <c r="BD526" t="str">
        <f>IF(BA526="","",IFERROR(INDEX(wKS2,457)+0,""))</f>
        <v/>
      </c>
      <c r="BE526" t="str">
        <f>IF(BA526="","",IFERROR(INDEX(wTests,457)+0,0))</f>
        <v/>
      </c>
      <c r="BF526" t="str">
        <f>IF(BA526="","",IFERROR(INDEX(wMean,457)+0,""))</f>
        <v/>
      </c>
      <c r="BG526" t="str">
        <f>IF(BA526="","",IFERROR(INDEX(wVs,457)+0,""))</f>
        <v/>
      </c>
      <c r="BH526" t="str">
        <f>IF(OR(BA526="",wLatest=""),"",IFERROR(INDEX(wData,457,MATCH(wLatest&amp;CHAR(10)&amp;"Stanine",wHdr,0))+0,""))</f>
        <v/>
      </c>
      <c r="BI526" t="str">
        <f>IF(BA526="","",IF(AND(ISNUMBER(BG526),N(BE526)&gt;=WlMinTests,BG526&lt;=-WlGap),"Below KS2 starting point",IF(AND(NOT(ISNUMBER(BD526)),ISNUMBER(BF526),N(BE526)&gt;=WlMinTests,BF526&lt;=WlLowMean),"Low results, no KS2 data","")))</f>
        <v/>
      </c>
      <c r="BJ526" t="str">
        <f>IF(BI526="","",IF(BI526="Below KS2 starting point",BG526,100+BF526)+ROW()/1000000)</f>
        <v/>
      </c>
    </row>
    <row r="527">
      <c r="H527" t="str">
        <f>IFERROR(INDEX(tblY7[Class],ROWS(H$10:H527))&amp;"","")</f>
        <v/>
      </c>
      <c r="I527" t="str">
        <f>IF(H527="","",IF(COUNTIF(H$10:H527,H527)=1,COUNTIF(H$10:H$609,"&lt;"&amp;H527)+1,""))</f>
        <v/>
      </c>
      <c r="J527" t="str">
        <f>IFERROR(INDEX(tblY8[Class],ROWS(J$10:J527))&amp;"","")</f>
        <v/>
      </c>
      <c r="K527" t="str">
        <f>IF(J527="","",IF(COUNTIF(J$10:J527,J527)=1,COUNTIF(J$10:J$609,"&lt;"&amp;J527)+1,""))</f>
        <v/>
      </c>
      <c r="L527" t="str">
        <f>IFERROR(INDEX(tblY9[Class],ROWS(L$10:L527))&amp;"","")</f>
        <v/>
      </c>
      <c r="M527" t="str">
        <f>IF(L527="","",IF(COUNTIF(L$10:L527,L527)=1,COUNTIF(L$10:L$609,"&lt;"&amp;L527)+1,""))</f>
        <v/>
      </c>
      <c r="N527" t="str">
        <f>IFERROR(INDEX(tblY10[Class],ROWS(N$10:N527))&amp;"","")</f>
        <v/>
      </c>
      <c r="O527" t="str">
        <f>IF(N527="","",IF(COUNTIF(N$10:N527,N527)=1,COUNTIF(N$10:N$609,"&lt;"&amp;N527)+1,""))</f>
        <v/>
      </c>
      <c r="P527" t="str">
        <f>IFERROR(INDEX(tblY11[Class],ROWS(P$10:P527))&amp;"","")</f>
        <v/>
      </c>
      <c r="Q527" t="str">
        <f>IF(P527="","",IF(COUNTIF(P$10:P527,P527)=1,COUNTIF(P$10:P$609,"&lt;"&amp;P527)+1,""))</f>
        <v/>
      </c>
      <c r="BA527" t="str">
        <f>IFERROR(INDEX(wLast,458)&amp;"","")</f>
        <v/>
      </c>
      <c r="BB527" t="str">
        <f>IF(BA527="","",IFERROR(INDEX(wFirst,458)&amp;"",""))</f>
        <v/>
      </c>
      <c r="BC527" t="str">
        <f>IF(BA527="","",IFERROR(INDEX(wClass,458)&amp;"",""))</f>
        <v/>
      </c>
      <c r="BD527" t="str">
        <f>IF(BA527="","",IFERROR(INDEX(wKS2,458)+0,""))</f>
        <v/>
      </c>
      <c r="BE527" t="str">
        <f>IF(BA527="","",IFERROR(INDEX(wTests,458)+0,0))</f>
        <v/>
      </c>
      <c r="BF527" t="str">
        <f>IF(BA527="","",IFERROR(INDEX(wMean,458)+0,""))</f>
        <v/>
      </c>
      <c r="BG527" t="str">
        <f>IF(BA527="","",IFERROR(INDEX(wVs,458)+0,""))</f>
        <v/>
      </c>
      <c r="BH527" t="str">
        <f>IF(OR(BA527="",wLatest=""),"",IFERROR(INDEX(wData,458,MATCH(wLatest&amp;CHAR(10)&amp;"Stanine",wHdr,0))+0,""))</f>
        <v/>
      </c>
      <c r="BI527" t="str">
        <f>IF(BA527="","",IF(AND(ISNUMBER(BG527),N(BE527)&gt;=WlMinTests,BG527&lt;=-WlGap),"Below KS2 starting point",IF(AND(NOT(ISNUMBER(BD527)),ISNUMBER(BF527),N(BE527)&gt;=WlMinTests,BF527&lt;=WlLowMean),"Low results, no KS2 data","")))</f>
        <v/>
      </c>
      <c r="BJ527" t="str">
        <f>IF(BI527="","",IF(BI527="Below KS2 starting point",BG527,100+BF527)+ROW()/1000000)</f>
        <v/>
      </c>
    </row>
    <row r="528">
      <c r="H528" t="str">
        <f>IFERROR(INDEX(tblY7[Class],ROWS(H$10:H528))&amp;"","")</f>
        <v/>
      </c>
      <c r="I528" t="str">
        <f>IF(H528="","",IF(COUNTIF(H$10:H528,H528)=1,COUNTIF(H$10:H$609,"&lt;"&amp;H528)+1,""))</f>
        <v/>
      </c>
      <c r="J528" t="str">
        <f>IFERROR(INDEX(tblY8[Class],ROWS(J$10:J528))&amp;"","")</f>
        <v/>
      </c>
      <c r="K528" t="str">
        <f>IF(J528="","",IF(COUNTIF(J$10:J528,J528)=1,COUNTIF(J$10:J$609,"&lt;"&amp;J528)+1,""))</f>
        <v/>
      </c>
      <c r="L528" t="str">
        <f>IFERROR(INDEX(tblY9[Class],ROWS(L$10:L528))&amp;"","")</f>
        <v/>
      </c>
      <c r="M528" t="str">
        <f>IF(L528="","",IF(COUNTIF(L$10:L528,L528)=1,COUNTIF(L$10:L$609,"&lt;"&amp;L528)+1,""))</f>
        <v/>
      </c>
      <c r="N528" t="str">
        <f>IFERROR(INDEX(tblY10[Class],ROWS(N$10:N528))&amp;"","")</f>
        <v/>
      </c>
      <c r="O528" t="str">
        <f>IF(N528="","",IF(COUNTIF(N$10:N528,N528)=1,COUNTIF(N$10:N$609,"&lt;"&amp;N528)+1,""))</f>
        <v/>
      </c>
      <c r="P528" t="str">
        <f>IFERROR(INDEX(tblY11[Class],ROWS(P$10:P528))&amp;"","")</f>
        <v/>
      </c>
      <c r="Q528" t="str">
        <f>IF(P528="","",IF(COUNTIF(P$10:P528,P528)=1,COUNTIF(P$10:P$609,"&lt;"&amp;P528)+1,""))</f>
        <v/>
      </c>
      <c r="BA528" t="str">
        <f>IFERROR(INDEX(wLast,459)&amp;"","")</f>
        <v/>
      </c>
      <c r="BB528" t="str">
        <f>IF(BA528="","",IFERROR(INDEX(wFirst,459)&amp;"",""))</f>
        <v/>
      </c>
      <c r="BC528" t="str">
        <f>IF(BA528="","",IFERROR(INDEX(wClass,459)&amp;"",""))</f>
        <v/>
      </c>
      <c r="BD528" t="str">
        <f>IF(BA528="","",IFERROR(INDEX(wKS2,459)+0,""))</f>
        <v/>
      </c>
      <c r="BE528" t="str">
        <f>IF(BA528="","",IFERROR(INDEX(wTests,459)+0,0))</f>
        <v/>
      </c>
      <c r="BF528" t="str">
        <f>IF(BA528="","",IFERROR(INDEX(wMean,459)+0,""))</f>
        <v/>
      </c>
      <c r="BG528" t="str">
        <f>IF(BA528="","",IFERROR(INDEX(wVs,459)+0,""))</f>
        <v/>
      </c>
      <c r="BH528" t="str">
        <f>IF(OR(BA528="",wLatest=""),"",IFERROR(INDEX(wData,459,MATCH(wLatest&amp;CHAR(10)&amp;"Stanine",wHdr,0))+0,""))</f>
        <v/>
      </c>
      <c r="BI528" t="str">
        <f>IF(BA528="","",IF(AND(ISNUMBER(BG528),N(BE528)&gt;=WlMinTests,BG528&lt;=-WlGap),"Below KS2 starting point",IF(AND(NOT(ISNUMBER(BD528)),ISNUMBER(BF528),N(BE528)&gt;=WlMinTests,BF528&lt;=WlLowMean),"Low results, no KS2 data","")))</f>
        <v/>
      </c>
      <c r="BJ528" t="str">
        <f>IF(BI528="","",IF(BI528="Below KS2 starting point",BG528,100+BF528)+ROW()/1000000)</f>
        <v/>
      </c>
    </row>
    <row r="529">
      <c r="H529" t="str">
        <f>IFERROR(INDEX(tblY7[Class],ROWS(H$10:H529))&amp;"","")</f>
        <v/>
      </c>
      <c r="I529" t="str">
        <f>IF(H529="","",IF(COUNTIF(H$10:H529,H529)=1,COUNTIF(H$10:H$609,"&lt;"&amp;H529)+1,""))</f>
        <v/>
      </c>
      <c r="J529" t="str">
        <f>IFERROR(INDEX(tblY8[Class],ROWS(J$10:J529))&amp;"","")</f>
        <v/>
      </c>
      <c r="K529" t="str">
        <f>IF(J529="","",IF(COUNTIF(J$10:J529,J529)=1,COUNTIF(J$10:J$609,"&lt;"&amp;J529)+1,""))</f>
        <v/>
      </c>
      <c r="L529" t="str">
        <f>IFERROR(INDEX(tblY9[Class],ROWS(L$10:L529))&amp;"","")</f>
        <v/>
      </c>
      <c r="M529" t="str">
        <f>IF(L529="","",IF(COUNTIF(L$10:L529,L529)=1,COUNTIF(L$10:L$609,"&lt;"&amp;L529)+1,""))</f>
        <v/>
      </c>
      <c r="N529" t="str">
        <f>IFERROR(INDEX(tblY10[Class],ROWS(N$10:N529))&amp;"","")</f>
        <v/>
      </c>
      <c r="O529" t="str">
        <f>IF(N529="","",IF(COUNTIF(N$10:N529,N529)=1,COUNTIF(N$10:N$609,"&lt;"&amp;N529)+1,""))</f>
        <v/>
      </c>
      <c r="P529" t="str">
        <f>IFERROR(INDEX(tblY11[Class],ROWS(P$10:P529))&amp;"","")</f>
        <v/>
      </c>
      <c r="Q529" t="str">
        <f>IF(P529="","",IF(COUNTIF(P$10:P529,P529)=1,COUNTIF(P$10:P$609,"&lt;"&amp;P529)+1,""))</f>
        <v/>
      </c>
      <c r="BA529" t="str">
        <f>IFERROR(INDEX(wLast,460)&amp;"","")</f>
        <v/>
      </c>
      <c r="BB529" t="str">
        <f>IF(BA529="","",IFERROR(INDEX(wFirst,460)&amp;"",""))</f>
        <v/>
      </c>
      <c r="BC529" t="str">
        <f>IF(BA529="","",IFERROR(INDEX(wClass,460)&amp;"",""))</f>
        <v/>
      </c>
      <c r="BD529" t="str">
        <f>IF(BA529="","",IFERROR(INDEX(wKS2,460)+0,""))</f>
        <v/>
      </c>
      <c r="BE529" t="str">
        <f>IF(BA529="","",IFERROR(INDEX(wTests,460)+0,0))</f>
        <v/>
      </c>
      <c r="BF529" t="str">
        <f>IF(BA529="","",IFERROR(INDEX(wMean,460)+0,""))</f>
        <v/>
      </c>
      <c r="BG529" t="str">
        <f>IF(BA529="","",IFERROR(INDEX(wVs,460)+0,""))</f>
        <v/>
      </c>
      <c r="BH529" t="str">
        <f>IF(OR(BA529="",wLatest=""),"",IFERROR(INDEX(wData,460,MATCH(wLatest&amp;CHAR(10)&amp;"Stanine",wHdr,0))+0,""))</f>
        <v/>
      </c>
      <c r="BI529" t="str">
        <f>IF(BA529="","",IF(AND(ISNUMBER(BG529),N(BE529)&gt;=WlMinTests,BG529&lt;=-WlGap),"Below KS2 starting point",IF(AND(NOT(ISNUMBER(BD529)),ISNUMBER(BF529),N(BE529)&gt;=WlMinTests,BF529&lt;=WlLowMean),"Low results, no KS2 data","")))</f>
        <v/>
      </c>
      <c r="BJ529" t="str">
        <f>IF(BI529="","",IF(BI529="Below KS2 starting point",BG529,100+BF529)+ROW()/1000000)</f>
        <v/>
      </c>
    </row>
    <row r="530">
      <c r="H530" t="str">
        <f>IFERROR(INDEX(tblY7[Class],ROWS(H$10:H530))&amp;"","")</f>
        <v/>
      </c>
      <c r="I530" t="str">
        <f>IF(H530="","",IF(COUNTIF(H$10:H530,H530)=1,COUNTIF(H$10:H$609,"&lt;"&amp;H530)+1,""))</f>
        <v/>
      </c>
      <c r="J530" t="str">
        <f>IFERROR(INDEX(tblY8[Class],ROWS(J$10:J530))&amp;"","")</f>
        <v/>
      </c>
      <c r="K530" t="str">
        <f>IF(J530="","",IF(COUNTIF(J$10:J530,J530)=1,COUNTIF(J$10:J$609,"&lt;"&amp;J530)+1,""))</f>
        <v/>
      </c>
      <c r="L530" t="str">
        <f>IFERROR(INDEX(tblY9[Class],ROWS(L$10:L530))&amp;"","")</f>
        <v/>
      </c>
      <c r="M530" t="str">
        <f>IF(L530="","",IF(COUNTIF(L$10:L530,L530)=1,COUNTIF(L$10:L$609,"&lt;"&amp;L530)+1,""))</f>
        <v/>
      </c>
      <c r="N530" t="str">
        <f>IFERROR(INDEX(tblY10[Class],ROWS(N$10:N530))&amp;"","")</f>
        <v/>
      </c>
      <c r="O530" t="str">
        <f>IF(N530="","",IF(COUNTIF(N$10:N530,N530)=1,COUNTIF(N$10:N$609,"&lt;"&amp;N530)+1,""))</f>
        <v/>
      </c>
      <c r="P530" t="str">
        <f>IFERROR(INDEX(tblY11[Class],ROWS(P$10:P530))&amp;"","")</f>
        <v/>
      </c>
      <c r="Q530" t="str">
        <f>IF(P530="","",IF(COUNTIF(P$10:P530,P530)=1,COUNTIF(P$10:P$609,"&lt;"&amp;P530)+1,""))</f>
        <v/>
      </c>
      <c r="BA530" t="str">
        <f>IFERROR(INDEX(wLast,461)&amp;"","")</f>
        <v/>
      </c>
      <c r="BB530" t="str">
        <f>IF(BA530="","",IFERROR(INDEX(wFirst,461)&amp;"",""))</f>
        <v/>
      </c>
      <c r="BC530" t="str">
        <f>IF(BA530="","",IFERROR(INDEX(wClass,461)&amp;"",""))</f>
        <v/>
      </c>
      <c r="BD530" t="str">
        <f>IF(BA530="","",IFERROR(INDEX(wKS2,461)+0,""))</f>
        <v/>
      </c>
      <c r="BE530" t="str">
        <f>IF(BA530="","",IFERROR(INDEX(wTests,461)+0,0))</f>
        <v/>
      </c>
      <c r="BF530" t="str">
        <f>IF(BA530="","",IFERROR(INDEX(wMean,461)+0,""))</f>
        <v/>
      </c>
      <c r="BG530" t="str">
        <f>IF(BA530="","",IFERROR(INDEX(wVs,461)+0,""))</f>
        <v/>
      </c>
      <c r="BH530" t="str">
        <f>IF(OR(BA530="",wLatest=""),"",IFERROR(INDEX(wData,461,MATCH(wLatest&amp;CHAR(10)&amp;"Stanine",wHdr,0))+0,""))</f>
        <v/>
      </c>
      <c r="BI530" t="str">
        <f>IF(BA530="","",IF(AND(ISNUMBER(BG530),N(BE530)&gt;=WlMinTests,BG530&lt;=-WlGap),"Below KS2 starting point",IF(AND(NOT(ISNUMBER(BD530)),ISNUMBER(BF530),N(BE530)&gt;=WlMinTests,BF530&lt;=WlLowMean),"Low results, no KS2 data","")))</f>
        <v/>
      </c>
      <c r="BJ530" t="str">
        <f>IF(BI530="","",IF(BI530="Below KS2 starting point",BG530,100+BF530)+ROW()/1000000)</f>
        <v/>
      </c>
    </row>
    <row r="531">
      <c r="H531" t="str">
        <f>IFERROR(INDEX(tblY7[Class],ROWS(H$10:H531))&amp;"","")</f>
        <v/>
      </c>
      <c r="I531" t="str">
        <f>IF(H531="","",IF(COUNTIF(H$10:H531,H531)=1,COUNTIF(H$10:H$609,"&lt;"&amp;H531)+1,""))</f>
        <v/>
      </c>
      <c r="J531" t="str">
        <f>IFERROR(INDEX(tblY8[Class],ROWS(J$10:J531))&amp;"","")</f>
        <v/>
      </c>
      <c r="K531" t="str">
        <f>IF(J531="","",IF(COUNTIF(J$10:J531,J531)=1,COUNTIF(J$10:J$609,"&lt;"&amp;J531)+1,""))</f>
        <v/>
      </c>
      <c r="L531" t="str">
        <f>IFERROR(INDEX(tblY9[Class],ROWS(L$10:L531))&amp;"","")</f>
        <v/>
      </c>
      <c r="M531" t="str">
        <f>IF(L531="","",IF(COUNTIF(L$10:L531,L531)=1,COUNTIF(L$10:L$609,"&lt;"&amp;L531)+1,""))</f>
        <v/>
      </c>
      <c r="N531" t="str">
        <f>IFERROR(INDEX(tblY10[Class],ROWS(N$10:N531))&amp;"","")</f>
        <v/>
      </c>
      <c r="O531" t="str">
        <f>IF(N531="","",IF(COUNTIF(N$10:N531,N531)=1,COUNTIF(N$10:N$609,"&lt;"&amp;N531)+1,""))</f>
        <v/>
      </c>
      <c r="P531" t="str">
        <f>IFERROR(INDEX(tblY11[Class],ROWS(P$10:P531))&amp;"","")</f>
        <v/>
      </c>
      <c r="Q531" t="str">
        <f>IF(P531="","",IF(COUNTIF(P$10:P531,P531)=1,COUNTIF(P$10:P$609,"&lt;"&amp;P531)+1,""))</f>
        <v/>
      </c>
      <c r="BA531" t="str">
        <f>IFERROR(INDEX(wLast,462)&amp;"","")</f>
        <v/>
      </c>
      <c r="BB531" t="str">
        <f>IF(BA531="","",IFERROR(INDEX(wFirst,462)&amp;"",""))</f>
        <v/>
      </c>
      <c r="BC531" t="str">
        <f>IF(BA531="","",IFERROR(INDEX(wClass,462)&amp;"",""))</f>
        <v/>
      </c>
      <c r="BD531" t="str">
        <f>IF(BA531="","",IFERROR(INDEX(wKS2,462)+0,""))</f>
        <v/>
      </c>
      <c r="BE531" t="str">
        <f>IF(BA531="","",IFERROR(INDEX(wTests,462)+0,0))</f>
        <v/>
      </c>
      <c r="BF531" t="str">
        <f>IF(BA531="","",IFERROR(INDEX(wMean,462)+0,""))</f>
        <v/>
      </c>
      <c r="BG531" t="str">
        <f>IF(BA531="","",IFERROR(INDEX(wVs,462)+0,""))</f>
        <v/>
      </c>
      <c r="BH531" t="str">
        <f>IF(OR(BA531="",wLatest=""),"",IFERROR(INDEX(wData,462,MATCH(wLatest&amp;CHAR(10)&amp;"Stanine",wHdr,0))+0,""))</f>
        <v/>
      </c>
      <c r="BI531" t="str">
        <f>IF(BA531="","",IF(AND(ISNUMBER(BG531),N(BE531)&gt;=WlMinTests,BG531&lt;=-WlGap),"Below KS2 starting point",IF(AND(NOT(ISNUMBER(BD531)),ISNUMBER(BF531),N(BE531)&gt;=WlMinTests,BF531&lt;=WlLowMean),"Low results, no KS2 data","")))</f>
        <v/>
      </c>
      <c r="BJ531" t="str">
        <f>IF(BI531="","",IF(BI531="Below KS2 starting point",BG531,100+BF531)+ROW()/1000000)</f>
        <v/>
      </c>
    </row>
    <row r="532">
      <c r="H532" t="str">
        <f>IFERROR(INDEX(tblY7[Class],ROWS(H$10:H532))&amp;"","")</f>
        <v/>
      </c>
      <c r="I532" t="str">
        <f>IF(H532="","",IF(COUNTIF(H$10:H532,H532)=1,COUNTIF(H$10:H$609,"&lt;"&amp;H532)+1,""))</f>
        <v/>
      </c>
      <c r="J532" t="str">
        <f>IFERROR(INDEX(tblY8[Class],ROWS(J$10:J532))&amp;"","")</f>
        <v/>
      </c>
      <c r="K532" t="str">
        <f>IF(J532="","",IF(COUNTIF(J$10:J532,J532)=1,COUNTIF(J$10:J$609,"&lt;"&amp;J532)+1,""))</f>
        <v/>
      </c>
      <c r="L532" t="str">
        <f>IFERROR(INDEX(tblY9[Class],ROWS(L$10:L532))&amp;"","")</f>
        <v/>
      </c>
      <c r="M532" t="str">
        <f>IF(L532="","",IF(COUNTIF(L$10:L532,L532)=1,COUNTIF(L$10:L$609,"&lt;"&amp;L532)+1,""))</f>
        <v/>
      </c>
      <c r="N532" t="str">
        <f>IFERROR(INDEX(tblY10[Class],ROWS(N$10:N532))&amp;"","")</f>
        <v/>
      </c>
      <c r="O532" t="str">
        <f>IF(N532="","",IF(COUNTIF(N$10:N532,N532)=1,COUNTIF(N$10:N$609,"&lt;"&amp;N532)+1,""))</f>
        <v/>
      </c>
      <c r="P532" t="str">
        <f>IFERROR(INDEX(tblY11[Class],ROWS(P$10:P532))&amp;"","")</f>
        <v/>
      </c>
      <c r="Q532" t="str">
        <f>IF(P532="","",IF(COUNTIF(P$10:P532,P532)=1,COUNTIF(P$10:P$609,"&lt;"&amp;P532)+1,""))</f>
        <v/>
      </c>
      <c r="BA532" t="str">
        <f>IFERROR(INDEX(wLast,463)&amp;"","")</f>
        <v/>
      </c>
      <c r="BB532" t="str">
        <f>IF(BA532="","",IFERROR(INDEX(wFirst,463)&amp;"",""))</f>
        <v/>
      </c>
      <c r="BC532" t="str">
        <f>IF(BA532="","",IFERROR(INDEX(wClass,463)&amp;"",""))</f>
        <v/>
      </c>
      <c r="BD532" t="str">
        <f>IF(BA532="","",IFERROR(INDEX(wKS2,463)+0,""))</f>
        <v/>
      </c>
      <c r="BE532" t="str">
        <f>IF(BA532="","",IFERROR(INDEX(wTests,463)+0,0))</f>
        <v/>
      </c>
      <c r="BF532" t="str">
        <f>IF(BA532="","",IFERROR(INDEX(wMean,463)+0,""))</f>
        <v/>
      </c>
      <c r="BG532" t="str">
        <f>IF(BA532="","",IFERROR(INDEX(wVs,463)+0,""))</f>
        <v/>
      </c>
      <c r="BH532" t="str">
        <f>IF(OR(BA532="",wLatest=""),"",IFERROR(INDEX(wData,463,MATCH(wLatest&amp;CHAR(10)&amp;"Stanine",wHdr,0))+0,""))</f>
        <v/>
      </c>
      <c r="BI532" t="str">
        <f>IF(BA532="","",IF(AND(ISNUMBER(BG532),N(BE532)&gt;=WlMinTests,BG532&lt;=-WlGap),"Below KS2 starting point",IF(AND(NOT(ISNUMBER(BD532)),ISNUMBER(BF532),N(BE532)&gt;=WlMinTests,BF532&lt;=WlLowMean),"Low results, no KS2 data","")))</f>
        <v/>
      </c>
      <c r="BJ532" t="str">
        <f>IF(BI532="","",IF(BI532="Below KS2 starting point",BG532,100+BF532)+ROW()/1000000)</f>
        <v/>
      </c>
    </row>
    <row r="533">
      <c r="H533" t="str">
        <f>IFERROR(INDEX(tblY7[Class],ROWS(H$10:H533))&amp;"","")</f>
        <v/>
      </c>
      <c r="I533" t="str">
        <f>IF(H533="","",IF(COUNTIF(H$10:H533,H533)=1,COUNTIF(H$10:H$609,"&lt;"&amp;H533)+1,""))</f>
        <v/>
      </c>
      <c r="J533" t="str">
        <f>IFERROR(INDEX(tblY8[Class],ROWS(J$10:J533))&amp;"","")</f>
        <v/>
      </c>
      <c r="K533" t="str">
        <f>IF(J533="","",IF(COUNTIF(J$10:J533,J533)=1,COUNTIF(J$10:J$609,"&lt;"&amp;J533)+1,""))</f>
        <v/>
      </c>
      <c r="L533" t="str">
        <f>IFERROR(INDEX(tblY9[Class],ROWS(L$10:L533))&amp;"","")</f>
        <v/>
      </c>
      <c r="M533" t="str">
        <f>IF(L533="","",IF(COUNTIF(L$10:L533,L533)=1,COUNTIF(L$10:L$609,"&lt;"&amp;L533)+1,""))</f>
        <v/>
      </c>
      <c r="N533" t="str">
        <f>IFERROR(INDEX(tblY10[Class],ROWS(N$10:N533))&amp;"","")</f>
        <v/>
      </c>
      <c r="O533" t="str">
        <f>IF(N533="","",IF(COUNTIF(N$10:N533,N533)=1,COUNTIF(N$10:N$609,"&lt;"&amp;N533)+1,""))</f>
        <v/>
      </c>
      <c r="P533" t="str">
        <f>IFERROR(INDEX(tblY11[Class],ROWS(P$10:P533))&amp;"","")</f>
        <v/>
      </c>
      <c r="Q533" t="str">
        <f>IF(P533="","",IF(COUNTIF(P$10:P533,P533)=1,COUNTIF(P$10:P$609,"&lt;"&amp;P533)+1,""))</f>
        <v/>
      </c>
      <c r="BA533" t="str">
        <f>IFERROR(INDEX(wLast,464)&amp;"","")</f>
        <v/>
      </c>
      <c r="BB533" t="str">
        <f>IF(BA533="","",IFERROR(INDEX(wFirst,464)&amp;"",""))</f>
        <v/>
      </c>
      <c r="BC533" t="str">
        <f>IF(BA533="","",IFERROR(INDEX(wClass,464)&amp;"",""))</f>
        <v/>
      </c>
      <c r="BD533" t="str">
        <f>IF(BA533="","",IFERROR(INDEX(wKS2,464)+0,""))</f>
        <v/>
      </c>
      <c r="BE533" t="str">
        <f>IF(BA533="","",IFERROR(INDEX(wTests,464)+0,0))</f>
        <v/>
      </c>
      <c r="BF533" t="str">
        <f>IF(BA533="","",IFERROR(INDEX(wMean,464)+0,""))</f>
        <v/>
      </c>
      <c r="BG533" t="str">
        <f>IF(BA533="","",IFERROR(INDEX(wVs,464)+0,""))</f>
        <v/>
      </c>
      <c r="BH533" t="str">
        <f>IF(OR(BA533="",wLatest=""),"",IFERROR(INDEX(wData,464,MATCH(wLatest&amp;CHAR(10)&amp;"Stanine",wHdr,0))+0,""))</f>
        <v/>
      </c>
      <c r="BI533" t="str">
        <f>IF(BA533="","",IF(AND(ISNUMBER(BG533),N(BE533)&gt;=WlMinTests,BG533&lt;=-WlGap),"Below KS2 starting point",IF(AND(NOT(ISNUMBER(BD533)),ISNUMBER(BF533),N(BE533)&gt;=WlMinTests,BF533&lt;=WlLowMean),"Low results, no KS2 data","")))</f>
        <v/>
      </c>
      <c r="BJ533" t="str">
        <f>IF(BI533="","",IF(BI533="Below KS2 starting point",BG533,100+BF533)+ROW()/1000000)</f>
        <v/>
      </c>
    </row>
    <row r="534">
      <c r="H534" t="str">
        <f>IFERROR(INDEX(tblY7[Class],ROWS(H$10:H534))&amp;"","")</f>
        <v/>
      </c>
      <c r="I534" t="str">
        <f>IF(H534="","",IF(COUNTIF(H$10:H534,H534)=1,COUNTIF(H$10:H$609,"&lt;"&amp;H534)+1,""))</f>
        <v/>
      </c>
      <c r="J534" t="str">
        <f>IFERROR(INDEX(tblY8[Class],ROWS(J$10:J534))&amp;"","")</f>
        <v/>
      </c>
      <c r="K534" t="str">
        <f>IF(J534="","",IF(COUNTIF(J$10:J534,J534)=1,COUNTIF(J$10:J$609,"&lt;"&amp;J534)+1,""))</f>
        <v/>
      </c>
      <c r="L534" t="str">
        <f>IFERROR(INDEX(tblY9[Class],ROWS(L$10:L534))&amp;"","")</f>
        <v/>
      </c>
      <c r="M534" t="str">
        <f>IF(L534="","",IF(COUNTIF(L$10:L534,L534)=1,COUNTIF(L$10:L$609,"&lt;"&amp;L534)+1,""))</f>
        <v/>
      </c>
      <c r="N534" t="str">
        <f>IFERROR(INDEX(tblY10[Class],ROWS(N$10:N534))&amp;"","")</f>
        <v/>
      </c>
      <c r="O534" t="str">
        <f>IF(N534="","",IF(COUNTIF(N$10:N534,N534)=1,COUNTIF(N$10:N$609,"&lt;"&amp;N534)+1,""))</f>
        <v/>
      </c>
      <c r="P534" t="str">
        <f>IFERROR(INDEX(tblY11[Class],ROWS(P$10:P534))&amp;"","")</f>
        <v/>
      </c>
      <c r="Q534" t="str">
        <f>IF(P534="","",IF(COUNTIF(P$10:P534,P534)=1,COUNTIF(P$10:P$609,"&lt;"&amp;P534)+1,""))</f>
        <v/>
      </c>
      <c r="BA534" t="str">
        <f>IFERROR(INDEX(wLast,465)&amp;"","")</f>
        <v/>
      </c>
      <c r="BB534" t="str">
        <f>IF(BA534="","",IFERROR(INDEX(wFirst,465)&amp;"",""))</f>
        <v/>
      </c>
      <c r="BC534" t="str">
        <f>IF(BA534="","",IFERROR(INDEX(wClass,465)&amp;"",""))</f>
        <v/>
      </c>
      <c r="BD534" t="str">
        <f>IF(BA534="","",IFERROR(INDEX(wKS2,465)+0,""))</f>
        <v/>
      </c>
      <c r="BE534" t="str">
        <f>IF(BA534="","",IFERROR(INDEX(wTests,465)+0,0))</f>
        <v/>
      </c>
      <c r="BF534" t="str">
        <f>IF(BA534="","",IFERROR(INDEX(wMean,465)+0,""))</f>
        <v/>
      </c>
      <c r="BG534" t="str">
        <f>IF(BA534="","",IFERROR(INDEX(wVs,465)+0,""))</f>
        <v/>
      </c>
      <c r="BH534" t="str">
        <f>IF(OR(BA534="",wLatest=""),"",IFERROR(INDEX(wData,465,MATCH(wLatest&amp;CHAR(10)&amp;"Stanine",wHdr,0))+0,""))</f>
        <v/>
      </c>
      <c r="BI534" t="str">
        <f>IF(BA534="","",IF(AND(ISNUMBER(BG534),N(BE534)&gt;=WlMinTests,BG534&lt;=-WlGap),"Below KS2 starting point",IF(AND(NOT(ISNUMBER(BD534)),ISNUMBER(BF534),N(BE534)&gt;=WlMinTests,BF534&lt;=WlLowMean),"Low results, no KS2 data","")))</f>
        <v/>
      </c>
      <c r="BJ534" t="str">
        <f>IF(BI534="","",IF(BI534="Below KS2 starting point",BG534,100+BF534)+ROW()/1000000)</f>
        <v/>
      </c>
    </row>
    <row r="535">
      <c r="H535" t="str">
        <f>IFERROR(INDEX(tblY7[Class],ROWS(H$10:H535))&amp;"","")</f>
        <v/>
      </c>
      <c r="I535" t="str">
        <f>IF(H535="","",IF(COUNTIF(H$10:H535,H535)=1,COUNTIF(H$10:H$609,"&lt;"&amp;H535)+1,""))</f>
        <v/>
      </c>
      <c r="J535" t="str">
        <f>IFERROR(INDEX(tblY8[Class],ROWS(J$10:J535))&amp;"","")</f>
        <v/>
      </c>
      <c r="K535" t="str">
        <f>IF(J535="","",IF(COUNTIF(J$10:J535,J535)=1,COUNTIF(J$10:J$609,"&lt;"&amp;J535)+1,""))</f>
        <v/>
      </c>
      <c r="L535" t="str">
        <f>IFERROR(INDEX(tblY9[Class],ROWS(L$10:L535))&amp;"","")</f>
        <v/>
      </c>
      <c r="M535" t="str">
        <f>IF(L535="","",IF(COUNTIF(L$10:L535,L535)=1,COUNTIF(L$10:L$609,"&lt;"&amp;L535)+1,""))</f>
        <v/>
      </c>
      <c r="N535" t="str">
        <f>IFERROR(INDEX(tblY10[Class],ROWS(N$10:N535))&amp;"","")</f>
        <v/>
      </c>
      <c r="O535" t="str">
        <f>IF(N535="","",IF(COUNTIF(N$10:N535,N535)=1,COUNTIF(N$10:N$609,"&lt;"&amp;N535)+1,""))</f>
        <v/>
      </c>
      <c r="P535" t="str">
        <f>IFERROR(INDEX(tblY11[Class],ROWS(P$10:P535))&amp;"","")</f>
        <v/>
      </c>
      <c r="Q535" t="str">
        <f>IF(P535="","",IF(COUNTIF(P$10:P535,P535)=1,COUNTIF(P$10:P$609,"&lt;"&amp;P535)+1,""))</f>
        <v/>
      </c>
      <c r="BA535" t="str">
        <f>IFERROR(INDEX(wLast,466)&amp;"","")</f>
        <v/>
      </c>
      <c r="BB535" t="str">
        <f>IF(BA535="","",IFERROR(INDEX(wFirst,466)&amp;"",""))</f>
        <v/>
      </c>
      <c r="BC535" t="str">
        <f>IF(BA535="","",IFERROR(INDEX(wClass,466)&amp;"",""))</f>
        <v/>
      </c>
      <c r="BD535" t="str">
        <f>IF(BA535="","",IFERROR(INDEX(wKS2,466)+0,""))</f>
        <v/>
      </c>
      <c r="BE535" t="str">
        <f>IF(BA535="","",IFERROR(INDEX(wTests,466)+0,0))</f>
        <v/>
      </c>
      <c r="BF535" t="str">
        <f>IF(BA535="","",IFERROR(INDEX(wMean,466)+0,""))</f>
        <v/>
      </c>
      <c r="BG535" t="str">
        <f>IF(BA535="","",IFERROR(INDEX(wVs,466)+0,""))</f>
        <v/>
      </c>
      <c r="BH535" t="str">
        <f>IF(OR(BA535="",wLatest=""),"",IFERROR(INDEX(wData,466,MATCH(wLatest&amp;CHAR(10)&amp;"Stanine",wHdr,0))+0,""))</f>
        <v/>
      </c>
      <c r="BI535" t="str">
        <f>IF(BA535="","",IF(AND(ISNUMBER(BG535),N(BE535)&gt;=WlMinTests,BG535&lt;=-WlGap),"Below KS2 starting point",IF(AND(NOT(ISNUMBER(BD535)),ISNUMBER(BF535),N(BE535)&gt;=WlMinTests,BF535&lt;=WlLowMean),"Low results, no KS2 data","")))</f>
        <v/>
      </c>
      <c r="BJ535" t="str">
        <f>IF(BI535="","",IF(BI535="Below KS2 starting point",BG535,100+BF535)+ROW()/1000000)</f>
        <v/>
      </c>
    </row>
    <row r="536">
      <c r="H536" t="str">
        <f>IFERROR(INDEX(tblY7[Class],ROWS(H$10:H536))&amp;"","")</f>
        <v/>
      </c>
      <c r="I536" t="str">
        <f>IF(H536="","",IF(COUNTIF(H$10:H536,H536)=1,COUNTIF(H$10:H$609,"&lt;"&amp;H536)+1,""))</f>
        <v/>
      </c>
      <c r="J536" t="str">
        <f>IFERROR(INDEX(tblY8[Class],ROWS(J$10:J536))&amp;"","")</f>
        <v/>
      </c>
      <c r="K536" t="str">
        <f>IF(J536="","",IF(COUNTIF(J$10:J536,J536)=1,COUNTIF(J$10:J$609,"&lt;"&amp;J536)+1,""))</f>
        <v/>
      </c>
      <c r="L536" t="str">
        <f>IFERROR(INDEX(tblY9[Class],ROWS(L$10:L536))&amp;"","")</f>
        <v/>
      </c>
      <c r="M536" t="str">
        <f>IF(L536="","",IF(COUNTIF(L$10:L536,L536)=1,COUNTIF(L$10:L$609,"&lt;"&amp;L536)+1,""))</f>
        <v/>
      </c>
      <c r="N536" t="str">
        <f>IFERROR(INDEX(tblY10[Class],ROWS(N$10:N536))&amp;"","")</f>
        <v/>
      </c>
      <c r="O536" t="str">
        <f>IF(N536="","",IF(COUNTIF(N$10:N536,N536)=1,COUNTIF(N$10:N$609,"&lt;"&amp;N536)+1,""))</f>
        <v/>
      </c>
      <c r="P536" t="str">
        <f>IFERROR(INDEX(tblY11[Class],ROWS(P$10:P536))&amp;"","")</f>
        <v/>
      </c>
      <c r="Q536" t="str">
        <f>IF(P536="","",IF(COUNTIF(P$10:P536,P536)=1,COUNTIF(P$10:P$609,"&lt;"&amp;P536)+1,""))</f>
        <v/>
      </c>
      <c r="BA536" t="str">
        <f>IFERROR(INDEX(wLast,467)&amp;"","")</f>
        <v/>
      </c>
      <c r="BB536" t="str">
        <f>IF(BA536="","",IFERROR(INDEX(wFirst,467)&amp;"",""))</f>
        <v/>
      </c>
      <c r="BC536" t="str">
        <f>IF(BA536="","",IFERROR(INDEX(wClass,467)&amp;"",""))</f>
        <v/>
      </c>
      <c r="BD536" t="str">
        <f>IF(BA536="","",IFERROR(INDEX(wKS2,467)+0,""))</f>
        <v/>
      </c>
      <c r="BE536" t="str">
        <f>IF(BA536="","",IFERROR(INDEX(wTests,467)+0,0))</f>
        <v/>
      </c>
      <c r="BF536" t="str">
        <f>IF(BA536="","",IFERROR(INDEX(wMean,467)+0,""))</f>
        <v/>
      </c>
      <c r="BG536" t="str">
        <f>IF(BA536="","",IFERROR(INDEX(wVs,467)+0,""))</f>
        <v/>
      </c>
      <c r="BH536" t="str">
        <f>IF(OR(BA536="",wLatest=""),"",IFERROR(INDEX(wData,467,MATCH(wLatest&amp;CHAR(10)&amp;"Stanine",wHdr,0))+0,""))</f>
        <v/>
      </c>
      <c r="BI536" t="str">
        <f>IF(BA536="","",IF(AND(ISNUMBER(BG536),N(BE536)&gt;=WlMinTests,BG536&lt;=-WlGap),"Below KS2 starting point",IF(AND(NOT(ISNUMBER(BD536)),ISNUMBER(BF536),N(BE536)&gt;=WlMinTests,BF536&lt;=WlLowMean),"Low results, no KS2 data","")))</f>
        <v/>
      </c>
      <c r="BJ536" t="str">
        <f>IF(BI536="","",IF(BI536="Below KS2 starting point",BG536,100+BF536)+ROW()/1000000)</f>
        <v/>
      </c>
    </row>
    <row r="537">
      <c r="H537" t="str">
        <f>IFERROR(INDEX(tblY7[Class],ROWS(H$10:H537))&amp;"","")</f>
        <v/>
      </c>
      <c r="I537" t="str">
        <f>IF(H537="","",IF(COUNTIF(H$10:H537,H537)=1,COUNTIF(H$10:H$609,"&lt;"&amp;H537)+1,""))</f>
        <v/>
      </c>
      <c r="J537" t="str">
        <f>IFERROR(INDEX(tblY8[Class],ROWS(J$10:J537))&amp;"","")</f>
        <v/>
      </c>
      <c r="K537" t="str">
        <f>IF(J537="","",IF(COUNTIF(J$10:J537,J537)=1,COUNTIF(J$10:J$609,"&lt;"&amp;J537)+1,""))</f>
        <v/>
      </c>
      <c r="L537" t="str">
        <f>IFERROR(INDEX(tblY9[Class],ROWS(L$10:L537))&amp;"","")</f>
        <v/>
      </c>
      <c r="M537" t="str">
        <f>IF(L537="","",IF(COUNTIF(L$10:L537,L537)=1,COUNTIF(L$10:L$609,"&lt;"&amp;L537)+1,""))</f>
        <v/>
      </c>
      <c r="N537" t="str">
        <f>IFERROR(INDEX(tblY10[Class],ROWS(N$10:N537))&amp;"","")</f>
        <v/>
      </c>
      <c r="O537" t="str">
        <f>IF(N537="","",IF(COUNTIF(N$10:N537,N537)=1,COUNTIF(N$10:N$609,"&lt;"&amp;N537)+1,""))</f>
        <v/>
      </c>
      <c r="P537" t="str">
        <f>IFERROR(INDEX(tblY11[Class],ROWS(P$10:P537))&amp;"","")</f>
        <v/>
      </c>
      <c r="Q537" t="str">
        <f>IF(P537="","",IF(COUNTIF(P$10:P537,P537)=1,COUNTIF(P$10:P$609,"&lt;"&amp;P537)+1,""))</f>
        <v/>
      </c>
      <c r="BA537" t="str">
        <f>IFERROR(INDEX(wLast,468)&amp;"","")</f>
        <v/>
      </c>
      <c r="BB537" t="str">
        <f>IF(BA537="","",IFERROR(INDEX(wFirst,468)&amp;"",""))</f>
        <v/>
      </c>
      <c r="BC537" t="str">
        <f>IF(BA537="","",IFERROR(INDEX(wClass,468)&amp;"",""))</f>
        <v/>
      </c>
      <c r="BD537" t="str">
        <f>IF(BA537="","",IFERROR(INDEX(wKS2,468)+0,""))</f>
        <v/>
      </c>
      <c r="BE537" t="str">
        <f>IF(BA537="","",IFERROR(INDEX(wTests,468)+0,0))</f>
        <v/>
      </c>
      <c r="BF537" t="str">
        <f>IF(BA537="","",IFERROR(INDEX(wMean,468)+0,""))</f>
        <v/>
      </c>
      <c r="BG537" t="str">
        <f>IF(BA537="","",IFERROR(INDEX(wVs,468)+0,""))</f>
        <v/>
      </c>
      <c r="BH537" t="str">
        <f>IF(OR(BA537="",wLatest=""),"",IFERROR(INDEX(wData,468,MATCH(wLatest&amp;CHAR(10)&amp;"Stanine",wHdr,0))+0,""))</f>
        <v/>
      </c>
      <c r="BI537" t="str">
        <f>IF(BA537="","",IF(AND(ISNUMBER(BG537),N(BE537)&gt;=WlMinTests,BG537&lt;=-WlGap),"Below KS2 starting point",IF(AND(NOT(ISNUMBER(BD537)),ISNUMBER(BF537),N(BE537)&gt;=WlMinTests,BF537&lt;=WlLowMean),"Low results, no KS2 data","")))</f>
        <v/>
      </c>
      <c r="BJ537" t="str">
        <f>IF(BI537="","",IF(BI537="Below KS2 starting point",BG537,100+BF537)+ROW()/1000000)</f>
        <v/>
      </c>
    </row>
    <row r="538">
      <c r="H538" t="str">
        <f>IFERROR(INDEX(tblY7[Class],ROWS(H$10:H538))&amp;"","")</f>
        <v/>
      </c>
      <c r="I538" t="str">
        <f>IF(H538="","",IF(COUNTIF(H$10:H538,H538)=1,COUNTIF(H$10:H$609,"&lt;"&amp;H538)+1,""))</f>
        <v/>
      </c>
      <c r="J538" t="str">
        <f>IFERROR(INDEX(tblY8[Class],ROWS(J$10:J538))&amp;"","")</f>
        <v/>
      </c>
      <c r="K538" t="str">
        <f>IF(J538="","",IF(COUNTIF(J$10:J538,J538)=1,COUNTIF(J$10:J$609,"&lt;"&amp;J538)+1,""))</f>
        <v/>
      </c>
      <c r="L538" t="str">
        <f>IFERROR(INDEX(tblY9[Class],ROWS(L$10:L538))&amp;"","")</f>
        <v/>
      </c>
      <c r="M538" t="str">
        <f>IF(L538="","",IF(COUNTIF(L$10:L538,L538)=1,COUNTIF(L$10:L$609,"&lt;"&amp;L538)+1,""))</f>
        <v/>
      </c>
      <c r="N538" t="str">
        <f>IFERROR(INDEX(tblY10[Class],ROWS(N$10:N538))&amp;"","")</f>
        <v/>
      </c>
      <c r="O538" t="str">
        <f>IF(N538="","",IF(COUNTIF(N$10:N538,N538)=1,COUNTIF(N$10:N$609,"&lt;"&amp;N538)+1,""))</f>
        <v/>
      </c>
      <c r="P538" t="str">
        <f>IFERROR(INDEX(tblY11[Class],ROWS(P$10:P538))&amp;"","")</f>
        <v/>
      </c>
      <c r="Q538" t="str">
        <f>IF(P538="","",IF(COUNTIF(P$10:P538,P538)=1,COUNTIF(P$10:P$609,"&lt;"&amp;P538)+1,""))</f>
        <v/>
      </c>
      <c r="BA538" t="str">
        <f>IFERROR(INDEX(wLast,469)&amp;"","")</f>
        <v/>
      </c>
      <c r="BB538" t="str">
        <f>IF(BA538="","",IFERROR(INDEX(wFirst,469)&amp;"",""))</f>
        <v/>
      </c>
      <c r="BC538" t="str">
        <f>IF(BA538="","",IFERROR(INDEX(wClass,469)&amp;"",""))</f>
        <v/>
      </c>
      <c r="BD538" t="str">
        <f>IF(BA538="","",IFERROR(INDEX(wKS2,469)+0,""))</f>
        <v/>
      </c>
      <c r="BE538" t="str">
        <f>IF(BA538="","",IFERROR(INDEX(wTests,469)+0,0))</f>
        <v/>
      </c>
      <c r="BF538" t="str">
        <f>IF(BA538="","",IFERROR(INDEX(wMean,469)+0,""))</f>
        <v/>
      </c>
      <c r="BG538" t="str">
        <f>IF(BA538="","",IFERROR(INDEX(wVs,469)+0,""))</f>
        <v/>
      </c>
      <c r="BH538" t="str">
        <f>IF(OR(BA538="",wLatest=""),"",IFERROR(INDEX(wData,469,MATCH(wLatest&amp;CHAR(10)&amp;"Stanine",wHdr,0))+0,""))</f>
        <v/>
      </c>
      <c r="BI538" t="str">
        <f>IF(BA538="","",IF(AND(ISNUMBER(BG538),N(BE538)&gt;=WlMinTests,BG538&lt;=-WlGap),"Below KS2 starting point",IF(AND(NOT(ISNUMBER(BD538)),ISNUMBER(BF538),N(BE538)&gt;=WlMinTests,BF538&lt;=WlLowMean),"Low results, no KS2 data","")))</f>
        <v/>
      </c>
      <c r="BJ538" t="str">
        <f>IF(BI538="","",IF(BI538="Below KS2 starting point",BG538,100+BF538)+ROW()/1000000)</f>
        <v/>
      </c>
    </row>
    <row r="539">
      <c r="H539" t="str">
        <f>IFERROR(INDEX(tblY7[Class],ROWS(H$10:H539))&amp;"","")</f>
        <v/>
      </c>
      <c r="I539" t="str">
        <f>IF(H539="","",IF(COUNTIF(H$10:H539,H539)=1,COUNTIF(H$10:H$609,"&lt;"&amp;H539)+1,""))</f>
        <v/>
      </c>
      <c r="J539" t="str">
        <f>IFERROR(INDEX(tblY8[Class],ROWS(J$10:J539))&amp;"","")</f>
        <v/>
      </c>
      <c r="K539" t="str">
        <f>IF(J539="","",IF(COUNTIF(J$10:J539,J539)=1,COUNTIF(J$10:J$609,"&lt;"&amp;J539)+1,""))</f>
        <v/>
      </c>
      <c r="L539" t="str">
        <f>IFERROR(INDEX(tblY9[Class],ROWS(L$10:L539))&amp;"","")</f>
        <v/>
      </c>
      <c r="M539" t="str">
        <f>IF(L539="","",IF(COUNTIF(L$10:L539,L539)=1,COUNTIF(L$10:L$609,"&lt;"&amp;L539)+1,""))</f>
        <v/>
      </c>
      <c r="N539" t="str">
        <f>IFERROR(INDEX(tblY10[Class],ROWS(N$10:N539))&amp;"","")</f>
        <v/>
      </c>
      <c r="O539" t="str">
        <f>IF(N539="","",IF(COUNTIF(N$10:N539,N539)=1,COUNTIF(N$10:N$609,"&lt;"&amp;N539)+1,""))</f>
        <v/>
      </c>
      <c r="P539" t="str">
        <f>IFERROR(INDEX(tblY11[Class],ROWS(P$10:P539))&amp;"","")</f>
        <v/>
      </c>
      <c r="Q539" t="str">
        <f>IF(P539="","",IF(COUNTIF(P$10:P539,P539)=1,COUNTIF(P$10:P$609,"&lt;"&amp;P539)+1,""))</f>
        <v/>
      </c>
      <c r="BA539" t="str">
        <f>IFERROR(INDEX(wLast,470)&amp;"","")</f>
        <v/>
      </c>
      <c r="BB539" t="str">
        <f>IF(BA539="","",IFERROR(INDEX(wFirst,470)&amp;"",""))</f>
        <v/>
      </c>
      <c r="BC539" t="str">
        <f>IF(BA539="","",IFERROR(INDEX(wClass,470)&amp;"",""))</f>
        <v/>
      </c>
      <c r="BD539" t="str">
        <f>IF(BA539="","",IFERROR(INDEX(wKS2,470)+0,""))</f>
        <v/>
      </c>
      <c r="BE539" t="str">
        <f>IF(BA539="","",IFERROR(INDEX(wTests,470)+0,0))</f>
        <v/>
      </c>
      <c r="BF539" t="str">
        <f>IF(BA539="","",IFERROR(INDEX(wMean,470)+0,""))</f>
        <v/>
      </c>
      <c r="BG539" t="str">
        <f>IF(BA539="","",IFERROR(INDEX(wVs,470)+0,""))</f>
        <v/>
      </c>
      <c r="BH539" t="str">
        <f>IF(OR(BA539="",wLatest=""),"",IFERROR(INDEX(wData,470,MATCH(wLatest&amp;CHAR(10)&amp;"Stanine",wHdr,0))+0,""))</f>
        <v/>
      </c>
      <c r="BI539" t="str">
        <f>IF(BA539="","",IF(AND(ISNUMBER(BG539),N(BE539)&gt;=WlMinTests,BG539&lt;=-WlGap),"Below KS2 starting point",IF(AND(NOT(ISNUMBER(BD539)),ISNUMBER(BF539),N(BE539)&gt;=WlMinTests,BF539&lt;=WlLowMean),"Low results, no KS2 data","")))</f>
        <v/>
      </c>
      <c r="BJ539" t="str">
        <f>IF(BI539="","",IF(BI539="Below KS2 starting point",BG539,100+BF539)+ROW()/1000000)</f>
        <v/>
      </c>
    </row>
    <row r="540">
      <c r="H540" t="str">
        <f>IFERROR(INDEX(tblY7[Class],ROWS(H$10:H540))&amp;"","")</f>
        <v/>
      </c>
      <c r="I540" t="str">
        <f>IF(H540="","",IF(COUNTIF(H$10:H540,H540)=1,COUNTIF(H$10:H$609,"&lt;"&amp;H540)+1,""))</f>
        <v/>
      </c>
      <c r="J540" t="str">
        <f>IFERROR(INDEX(tblY8[Class],ROWS(J$10:J540))&amp;"","")</f>
        <v/>
      </c>
      <c r="K540" t="str">
        <f>IF(J540="","",IF(COUNTIF(J$10:J540,J540)=1,COUNTIF(J$10:J$609,"&lt;"&amp;J540)+1,""))</f>
        <v/>
      </c>
      <c r="L540" t="str">
        <f>IFERROR(INDEX(tblY9[Class],ROWS(L$10:L540))&amp;"","")</f>
        <v/>
      </c>
      <c r="M540" t="str">
        <f>IF(L540="","",IF(COUNTIF(L$10:L540,L540)=1,COUNTIF(L$10:L$609,"&lt;"&amp;L540)+1,""))</f>
        <v/>
      </c>
      <c r="N540" t="str">
        <f>IFERROR(INDEX(tblY10[Class],ROWS(N$10:N540))&amp;"","")</f>
        <v/>
      </c>
      <c r="O540" t="str">
        <f>IF(N540="","",IF(COUNTIF(N$10:N540,N540)=1,COUNTIF(N$10:N$609,"&lt;"&amp;N540)+1,""))</f>
        <v/>
      </c>
      <c r="P540" t="str">
        <f>IFERROR(INDEX(tblY11[Class],ROWS(P$10:P540))&amp;"","")</f>
        <v/>
      </c>
      <c r="Q540" t="str">
        <f>IF(P540="","",IF(COUNTIF(P$10:P540,P540)=1,COUNTIF(P$10:P$609,"&lt;"&amp;P540)+1,""))</f>
        <v/>
      </c>
      <c r="BA540" t="str">
        <f>IFERROR(INDEX(wLast,471)&amp;"","")</f>
        <v/>
      </c>
      <c r="BB540" t="str">
        <f>IF(BA540="","",IFERROR(INDEX(wFirst,471)&amp;"",""))</f>
        <v/>
      </c>
      <c r="BC540" t="str">
        <f>IF(BA540="","",IFERROR(INDEX(wClass,471)&amp;"",""))</f>
        <v/>
      </c>
      <c r="BD540" t="str">
        <f>IF(BA540="","",IFERROR(INDEX(wKS2,471)+0,""))</f>
        <v/>
      </c>
      <c r="BE540" t="str">
        <f>IF(BA540="","",IFERROR(INDEX(wTests,471)+0,0))</f>
        <v/>
      </c>
      <c r="BF540" t="str">
        <f>IF(BA540="","",IFERROR(INDEX(wMean,471)+0,""))</f>
        <v/>
      </c>
      <c r="BG540" t="str">
        <f>IF(BA540="","",IFERROR(INDEX(wVs,471)+0,""))</f>
        <v/>
      </c>
      <c r="BH540" t="str">
        <f>IF(OR(BA540="",wLatest=""),"",IFERROR(INDEX(wData,471,MATCH(wLatest&amp;CHAR(10)&amp;"Stanine",wHdr,0))+0,""))</f>
        <v/>
      </c>
      <c r="BI540" t="str">
        <f>IF(BA540="","",IF(AND(ISNUMBER(BG540),N(BE540)&gt;=WlMinTests,BG540&lt;=-WlGap),"Below KS2 starting point",IF(AND(NOT(ISNUMBER(BD540)),ISNUMBER(BF540),N(BE540)&gt;=WlMinTests,BF540&lt;=WlLowMean),"Low results, no KS2 data","")))</f>
        <v/>
      </c>
      <c r="BJ540" t="str">
        <f>IF(BI540="","",IF(BI540="Below KS2 starting point",BG540,100+BF540)+ROW()/1000000)</f>
        <v/>
      </c>
    </row>
    <row r="541">
      <c r="H541" t="str">
        <f>IFERROR(INDEX(tblY7[Class],ROWS(H$10:H541))&amp;"","")</f>
        <v/>
      </c>
      <c r="I541" t="str">
        <f>IF(H541="","",IF(COUNTIF(H$10:H541,H541)=1,COUNTIF(H$10:H$609,"&lt;"&amp;H541)+1,""))</f>
        <v/>
      </c>
      <c r="J541" t="str">
        <f>IFERROR(INDEX(tblY8[Class],ROWS(J$10:J541))&amp;"","")</f>
        <v/>
      </c>
      <c r="K541" t="str">
        <f>IF(J541="","",IF(COUNTIF(J$10:J541,J541)=1,COUNTIF(J$10:J$609,"&lt;"&amp;J541)+1,""))</f>
        <v/>
      </c>
      <c r="L541" t="str">
        <f>IFERROR(INDEX(tblY9[Class],ROWS(L$10:L541))&amp;"","")</f>
        <v/>
      </c>
      <c r="M541" t="str">
        <f>IF(L541="","",IF(COUNTIF(L$10:L541,L541)=1,COUNTIF(L$10:L$609,"&lt;"&amp;L541)+1,""))</f>
        <v/>
      </c>
      <c r="N541" t="str">
        <f>IFERROR(INDEX(tblY10[Class],ROWS(N$10:N541))&amp;"","")</f>
        <v/>
      </c>
      <c r="O541" t="str">
        <f>IF(N541="","",IF(COUNTIF(N$10:N541,N541)=1,COUNTIF(N$10:N$609,"&lt;"&amp;N541)+1,""))</f>
        <v/>
      </c>
      <c r="P541" t="str">
        <f>IFERROR(INDEX(tblY11[Class],ROWS(P$10:P541))&amp;"","")</f>
        <v/>
      </c>
      <c r="Q541" t="str">
        <f>IF(P541="","",IF(COUNTIF(P$10:P541,P541)=1,COUNTIF(P$10:P$609,"&lt;"&amp;P541)+1,""))</f>
        <v/>
      </c>
      <c r="BA541" t="str">
        <f>IFERROR(INDEX(wLast,472)&amp;"","")</f>
        <v/>
      </c>
      <c r="BB541" t="str">
        <f>IF(BA541="","",IFERROR(INDEX(wFirst,472)&amp;"",""))</f>
        <v/>
      </c>
      <c r="BC541" t="str">
        <f>IF(BA541="","",IFERROR(INDEX(wClass,472)&amp;"",""))</f>
        <v/>
      </c>
      <c r="BD541" t="str">
        <f>IF(BA541="","",IFERROR(INDEX(wKS2,472)+0,""))</f>
        <v/>
      </c>
      <c r="BE541" t="str">
        <f>IF(BA541="","",IFERROR(INDEX(wTests,472)+0,0))</f>
        <v/>
      </c>
      <c r="BF541" t="str">
        <f>IF(BA541="","",IFERROR(INDEX(wMean,472)+0,""))</f>
        <v/>
      </c>
      <c r="BG541" t="str">
        <f>IF(BA541="","",IFERROR(INDEX(wVs,472)+0,""))</f>
        <v/>
      </c>
      <c r="BH541" t="str">
        <f>IF(OR(BA541="",wLatest=""),"",IFERROR(INDEX(wData,472,MATCH(wLatest&amp;CHAR(10)&amp;"Stanine",wHdr,0))+0,""))</f>
        <v/>
      </c>
      <c r="BI541" t="str">
        <f>IF(BA541="","",IF(AND(ISNUMBER(BG541),N(BE541)&gt;=WlMinTests,BG541&lt;=-WlGap),"Below KS2 starting point",IF(AND(NOT(ISNUMBER(BD541)),ISNUMBER(BF541),N(BE541)&gt;=WlMinTests,BF541&lt;=WlLowMean),"Low results, no KS2 data","")))</f>
        <v/>
      </c>
      <c r="BJ541" t="str">
        <f>IF(BI541="","",IF(BI541="Below KS2 starting point",BG541,100+BF541)+ROW()/1000000)</f>
        <v/>
      </c>
    </row>
    <row r="542">
      <c r="H542" t="str">
        <f>IFERROR(INDEX(tblY7[Class],ROWS(H$10:H542))&amp;"","")</f>
        <v/>
      </c>
      <c r="I542" t="str">
        <f>IF(H542="","",IF(COUNTIF(H$10:H542,H542)=1,COUNTIF(H$10:H$609,"&lt;"&amp;H542)+1,""))</f>
        <v/>
      </c>
      <c r="J542" t="str">
        <f>IFERROR(INDEX(tblY8[Class],ROWS(J$10:J542))&amp;"","")</f>
        <v/>
      </c>
      <c r="K542" t="str">
        <f>IF(J542="","",IF(COUNTIF(J$10:J542,J542)=1,COUNTIF(J$10:J$609,"&lt;"&amp;J542)+1,""))</f>
        <v/>
      </c>
      <c r="L542" t="str">
        <f>IFERROR(INDEX(tblY9[Class],ROWS(L$10:L542))&amp;"","")</f>
        <v/>
      </c>
      <c r="M542" t="str">
        <f>IF(L542="","",IF(COUNTIF(L$10:L542,L542)=1,COUNTIF(L$10:L$609,"&lt;"&amp;L542)+1,""))</f>
        <v/>
      </c>
      <c r="N542" t="str">
        <f>IFERROR(INDEX(tblY10[Class],ROWS(N$10:N542))&amp;"","")</f>
        <v/>
      </c>
      <c r="O542" t="str">
        <f>IF(N542="","",IF(COUNTIF(N$10:N542,N542)=1,COUNTIF(N$10:N$609,"&lt;"&amp;N542)+1,""))</f>
        <v/>
      </c>
      <c r="P542" t="str">
        <f>IFERROR(INDEX(tblY11[Class],ROWS(P$10:P542))&amp;"","")</f>
        <v/>
      </c>
      <c r="Q542" t="str">
        <f>IF(P542="","",IF(COUNTIF(P$10:P542,P542)=1,COUNTIF(P$10:P$609,"&lt;"&amp;P542)+1,""))</f>
        <v/>
      </c>
      <c r="BA542" t="str">
        <f>IFERROR(INDEX(wLast,473)&amp;"","")</f>
        <v/>
      </c>
      <c r="BB542" t="str">
        <f>IF(BA542="","",IFERROR(INDEX(wFirst,473)&amp;"",""))</f>
        <v/>
      </c>
      <c r="BC542" t="str">
        <f>IF(BA542="","",IFERROR(INDEX(wClass,473)&amp;"",""))</f>
        <v/>
      </c>
      <c r="BD542" t="str">
        <f>IF(BA542="","",IFERROR(INDEX(wKS2,473)+0,""))</f>
        <v/>
      </c>
      <c r="BE542" t="str">
        <f>IF(BA542="","",IFERROR(INDEX(wTests,473)+0,0))</f>
        <v/>
      </c>
      <c r="BF542" t="str">
        <f>IF(BA542="","",IFERROR(INDEX(wMean,473)+0,""))</f>
        <v/>
      </c>
      <c r="BG542" t="str">
        <f>IF(BA542="","",IFERROR(INDEX(wVs,473)+0,""))</f>
        <v/>
      </c>
      <c r="BH542" t="str">
        <f>IF(OR(BA542="",wLatest=""),"",IFERROR(INDEX(wData,473,MATCH(wLatest&amp;CHAR(10)&amp;"Stanine",wHdr,0))+0,""))</f>
        <v/>
      </c>
      <c r="BI542" t="str">
        <f>IF(BA542="","",IF(AND(ISNUMBER(BG542),N(BE542)&gt;=WlMinTests,BG542&lt;=-WlGap),"Below KS2 starting point",IF(AND(NOT(ISNUMBER(BD542)),ISNUMBER(BF542),N(BE542)&gt;=WlMinTests,BF542&lt;=WlLowMean),"Low results, no KS2 data","")))</f>
        <v/>
      </c>
      <c r="BJ542" t="str">
        <f>IF(BI542="","",IF(BI542="Below KS2 starting point",BG542,100+BF542)+ROW()/1000000)</f>
        <v/>
      </c>
    </row>
    <row r="543">
      <c r="H543" t="str">
        <f>IFERROR(INDEX(tblY7[Class],ROWS(H$10:H543))&amp;"","")</f>
        <v/>
      </c>
      <c r="I543" t="str">
        <f>IF(H543="","",IF(COUNTIF(H$10:H543,H543)=1,COUNTIF(H$10:H$609,"&lt;"&amp;H543)+1,""))</f>
        <v/>
      </c>
      <c r="J543" t="str">
        <f>IFERROR(INDEX(tblY8[Class],ROWS(J$10:J543))&amp;"","")</f>
        <v/>
      </c>
      <c r="K543" t="str">
        <f>IF(J543="","",IF(COUNTIF(J$10:J543,J543)=1,COUNTIF(J$10:J$609,"&lt;"&amp;J543)+1,""))</f>
        <v/>
      </c>
      <c r="L543" t="str">
        <f>IFERROR(INDEX(tblY9[Class],ROWS(L$10:L543))&amp;"","")</f>
        <v/>
      </c>
      <c r="M543" t="str">
        <f>IF(L543="","",IF(COUNTIF(L$10:L543,L543)=1,COUNTIF(L$10:L$609,"&lt;"&amp;L543)+1,""))</f>
        <v/>
      </c>
      <c r="N543" t="str">
        <f>IFERROR(INDEX(tblY10[Class],ROWS(N$10:N543))&amp;"","")</f>
        <v/>
      </c>
      <c r="O543" t="str">
        <f>IF(N543="","",IF(COUNTIF(N$10:N543,N543)=1,COUNTIF(N$10:N$609,"&lt;"&amp;N543)+1,""))</f>
        <v/>
      </c>
      <c r="P543" t="str">
        <f>IFERROR(INDEX(tblY11[Class],ROWS(P$10:P543))&amp;"","")</f>
        <v/>
      </c>
      <c r="Q543" t="str">
        <f>IF(P543="","",IF(COUNTIF(P$10:P543,P543)=1,COUNTIF(P$10:P$609,"&lt;"&amp;P543)+1,""))</f>
        <v/>
      </c>
      <c r="BA543" t="str">
        <f>IFERROR(INDEX(wLast,474)&amp;"","")</f>
        <v/>
      </c>
      <c r="BB543" t="str">
        <f>IF(BA543="","",IFERROR(INDEX(wFirst,474)&amp;"",""))</f>
        <v/>
      </c>
      <c r="BC543" t="str">
        <f>IF(BA543="","",IFERROR(INDEX(wClass,474)&amp;"",""))</f>
        <v/>
      </c>
      <c r="BD543" t="str">
        <f>IF(BA543="","",IFERROR(INDEX(wKS2,474)+0,""))</f>
        <v/>
      </c>
      <c r="BE543" t="str">
        <f>IF(BA543="","",IFERROR(INDEX(wTests,474)+0,0))</f>
        <v/>
      </c>
      <c r="BF543" t="str">
        <f>IF(BA543="","",IFERROR(INDEX(wMean,474)+0,""))</f>
        <v/>
      </c>
      <c r="BG543" t="str">
        <f>IF(BA543="","",IFERROR(INDEX(wVs,474)+0,""))</f>
        <v/>
      </c>
      <c r="BH543" t="str">
        <f>IF(OR(BA543="",wLatest=""),"",IFERROR(INDEX(wData,474,MATCH(wLatest&amp;CHAR(10)&amp;"Stanine",wHdr,0))+0,""))</f>
        <v/>
      </c>
      <c r="BI543" t="str">
        <f>IF(BA543="","",IF(AND(ISNUMBER(BG543),N(BE543)&gt;=WlMinTests,BG543&lt;=-WlGap),"Below KS2 starting point",IF(AND(NOT(ISNUMBER(BD543)),ISNUMBER(BF543),N(BE543)&gt;=WlMinTests,BF543&lt;=WlLowMean),"Low results, no KS2 data","")))</f>
        <v/>
      </c>
      <c r="BJ543" t="str">
        <f>IF(BI543="","",IF(BI543="Below KS2 starting point",BG543,100+BF543)+ROW()/1000000)</f>
        <v/>
      </c>
    </row>
    <row r="544">
      <c r="H544" t="str">
        <f>IFERROR(INDEX(tblY7[Class],ROWS(H$10:H544))&amp;"","")</f>
        <v/>
      </c>
      <c r="I544" t="str">
        <f>IF(H544="","",IF(COUNTIF(H$10:H544,H544)=1,COUNTIF(H$10:H$609,"&lt;"&amp;H544)+1,""))</f>
        <v/>
      </c>
      <c r="J544" t="str">
        <f>IFERROR(INDEX(tblY8[Class],ROWS(J$10:J544))&amp;"","")</f>
        <v/>
      </c>
      <c r="K544" t="str">
        <f>IF(J544="","",IF(COUNTIF(J$10:J544,J544)=1,COUNTIF(J$10:J$609,"&lt;"&amp;J544)+1,""))</f>
        <v/>
      </c>
      <c r="L544" t="str">
        <f>IFERROR(INDEX(tblY9[Class],ROWS(L$10:L544))&amp;"","")</f>
        <v/>
      </c>
      <c r="M544" t="str">
        <f>IF(L544="","",IF(COUNTIF(L$10:L544,L544)=1,COUNTIF(L$10:L$609,"&lt;"&amp;L544)+1,""))</f>
        <v/>
      </c>
      <c r="N544" t="str">
        <f>IFERROR(INDEX(tblY10[Class],ROWS(N$10:N544))&amp;"","")</f>
        <v/>
      </c>
      <c r="O544" t="str">
        <f>IF(N544="","",IF(COUNTIF(N$10:N544,N544)=1,COUNTIF(N$10:N$609,"&lt;"&amp;N544)+1,""))</f>
        <v/>
      </c>
      <c r="P544" t="str">
        <f>IFERROR(INDEX(tblY11[Class],ROWS(P$10:P544))&amp;"","")</f>
        <v/>
      </c>
      <c r="Q544" t="str">
        <f>IF(P544="","",IF(COUNTIF(P$10:P544,P544)=1,COUNTIF(P$10:P$609,"&lt;"&amp;P544)+1,""))</f>
        <v/>
      </c>
      <c r="BA544" t="str">
        <f>IFERROR(INDEX(wLast,475)&amp;"","")</f>
        <v/>
      </c>
      <c r="BB544" t="str">
        <f>IF(BA544="","",IFERROR(INDEX(wFirst,475)&amp;"",""))</f>
        <v/>
      </c>
      <c r="BC544" t="str">
        <f>IF(BA544="","",IFERROR(INDEX(wClass,475)&amp;"",""))</f>
        <v/>
      </c>
      <c r="BD544" t="str">
        <f>IF(BA544="","",IFERROR(INDEX(wKS2,475)+0,""))</f>
        <v/>
      </c>
      <c r="BE544" t="str">
        <f>IF(BA544="","",IFERROR(INDEX(wTests,475)+0,0))</f>
        <v/>
      </c>
      <c r="BF544" t="str">
        <f>IF(BA544="","",IFERROR(INDEX(wMean,475)+0,""))</f>
        <v/>
      </c>
      <c r="BG544" t="str">
        <f>IF(BA544="","",IFERROR(INDEX(wVs,475)+0,""))</f>
        <v/>
      </c>
      <c r="BH544" t="str">
        <f>IF(OR(BA544="",wLatest=""),"",IFERROR(INDEX(wData,475,MATCH(wLatest&amp;CHAR(10)&amp;"Stanine",wHdr,0))+0,""))</f>
        <v/>
      </c>
      <c r="BI544" t="str">
        <f>IF(BA544="","",IF(AND(ISNUMBER(BG544),N(BE544)&gt;=WlMinTests,BG544&lt;=-WlGap),"Below KS2 starting point",IF(AND(NOT(ISNUMBER(BD544)),ISNUMBER(BF544),N(BE544)&gt;=WlMinTests,BF544&lt;=WlLowMean),"Low results, no KS2 data","")))</f>
        <v/>
      </c>
      <c r="BJ544" t="str">
        <f>IF(BI544="","",IF(BI544="Below KS2 starting point",BG544,100+BF544)+ROW()/1000000)</f>
        <v/>
      </c>
    </row>
    <row r="545">
      <c r="H545" t="str">
        <f>IFERROR(INDEX(tblY7[Class],ROWS(H$10:H545))&amp;"","")</f>
        <v/>
      </c>
      <c r="I545" t="str">
        <f>IF(H545="","",IF(COUNTIF(H$10:H545,H545)=1,COUNTIF(H$10:H$609,"&lt;"&amp;H545)+1,""))</f>
        <v/>
      </c>
      <c r="J545" t="str">
        <f>IFERROR(INDEX(tblY8[Class],ROWS(J$10:J545))&amp;"","")</f>
        <v/>
      </c>
      <c r="K545" t="str">
        <f>IF(J545="","",IF(COUNTIF(J$10:J545,J545)=1,COUNTIF(J$10:J$609,"&lt;"&amp;J545)+1,""))</f>
        <v/>
      </c>
      <c r="L545" t="str">
        <f>IFERROR(INDEX(tblY9[Class],ROWS(L$10:L545))&amp;"","")</f>
        <v/>
      </c>
      <c r="M545" t="str">
        <f>IF(L545="","",IF(COUNTIF(L$10:L545,L545)=1,COUNTIF(L$10:L$609,"&lt;"&amp;L545)+1,""))</f>
        <v/>
      </c>
      <c r="N545" t="str">
        <f>IFERROR(INDEX(tblY10[Class],ROWS(N$10:N545))&amp;"","")</f>
        <v/>
      </c>
      <c r="O545" t="str">
        <f>IF(N545="","",IF(COUNTIF(N$10:N545,N545)=1,COUNTIF(N$10:N$609,"&lt;"&amp;N545)+1,""))</f>
        <v/>
      </c>
      <c r="P545" t="str">
        <f>IFERROR(INDEX(tblY11[Class],ROWS(P$10:P545))&amp;"","")</f>
        <v/>
      </c>
      <c r="Q545" t="str">
        <f>IF(P545="","",IF(COUNTIF(P$10:P545,P545)=1,COUNTIF(P$10:P$609,"&lt;"&amp;P545)+1,""))</f>
        <v/>
      </c>
      <c r="BA545" t="str">
        <f>IFERROR(INDEX(wLast,476)&amp;"","")</f>
        <v/>
      </c>
      <c r="BB545" t="str">
        <f>IF(BA545="","",IFERROR(INDEX(wFirst,476)&amp;"",""))</f>
        <v/>
      </c>
      <c r="BC545" t="str">
        <f>IF(BA545="","",IFERROR(INDEX(wClass,476)&amp;"",""))</f>
        <v/>
      </c>
      <c r="BD545" t="str">
        <f>IF(BA545="","",IFERROR(INDEX(wKS2,476)+0,""))</f>
        <v/>
      </c>
      <c r="BE545" t="str">
        <f>IF(BA545="","",IFERROR(INDEX(wTests,476)+0,0))</f>
        <v/>
      </c>
      <c r="BF545" t="str">
        <f>IF(BA545="","",IFERROR(INDEX(wMean,476)+0,""))</f>
        <v/>
      </c>
      <c r="BG545" t="str">
        <f>IF(BA545="","",IFERROR(INDEX(wVs,476)+0,""))</f>
        <v/>
      </c>
      <c r="BH545" t="str">
        <f>IF(OR(BA545="",wLatest=""),"",IFERROR(INDEX(wData,476,MATCH(wLatest&amp;CHAR(10)&amp;"Stanine",wHdr,0))+0,""))</f>
        <v/>
      </c>
      <c r="BI545" t="str">
        <f>IF(BA545="","",IF(AND(ISNUMBER(BG545),N(BE545)&gt;=WlMinTests,BG545&lt;=-WlGap),"Below KS2 starting point",IF(AND(NOT(ISNUMBER(BD545)),ISNUMBER(BF545),N(BE545)&gt;=WlMinTests,BF545&lt;=WlLowMean),"Low results, no KS2 data","")))</f>
        <v/>
      </c>
      <c r="BJ545" t="str">
        <f>IF(BI545="","",IF(BI545="Below KS2 starting point",BG545,100+BF545)+ROW()/1000000)</f>
        <v/>
      </c>
    </row>
    <row r="546">
      <c r="H546" t="str">
        <f>IFERROR(INDEX(tblY7[Class],ROWS(H$10:H546))&amp;"","")</f>
        <v/>
      </c>
      <c r="I546" t="str">
        <f>IF(H546="","",IF(COUNTIF(H$10:H546,H546)=1,COUNTIF(H$10:H$609,"&lt;"&amp;H546)+1,""))</f>
        <v/>
      </c>
      <c r="J546" t="str">
        <f>IFERROR(INDEX(tblY8[Class],ROWS(J$10:J546))&amp;"","")</f>
        <v/>
      </c>
      <c r="K546" t="str">
        <f>IF(J546="","",IF(COUNTIF(J$10:J546,J546)=1,COUNTIF(J$10:J$609,"&lt;"&amp;J546)+1,""))</f>
        <v/>
      </c>
      <c r="L546" t="str">
        <f>IFERROR(INDEX(tblY9[Class],ROWS(L$10:L546))&amp;"","")</f>
        <v/>
      </c>
      <c r="M546" t="str">
        <f>IF(L546="","",IF(COUNTIF(L$10:L546,L546)=1,COUNTIF(L$10:L$609,"&lt;"&amp;L546)+1,""))</f>
        <v/>
      </c>
      <c r="N546" t="str">
        <f>IFERROR(INDEX(tblY10[Class],ROWS(N$10:N546))&amp;"","")</f>
        <v/>
      </c>
      <c r="O546" t="str">
        <f>IF(N546="","",IF(COUNTIF(N$10:N546,N546)=1,COUNTIF(N$10:N$609,"&lt;"&amp;N546)+1,""))</f>
        <v/>
      </c>
      <c r="P546" t="str">
        <f>IFERROR(INDEX(tblY11[Class],ROWS(P$10:P546))&amp;"","")</f>
        <v/>
      </c>
      <c r="Q546" t="str">
        <f>IF(P546="","",IF(COUNTIF(P$10:P546,P546)=1,COUNTIF(P$10:P$609,"&lt;"&amp;P546)+1,""))</f>
        <v/>
      </c>
      <c r="BA546" t="str">
        <f>IFERROR(INDEX(wLast,477)&amp;"","")</f>
        <v/>
      </c>
      <c r="BB546" t="str">
        <f>IF(BA546="","",IFERROR(INDEX(wFirst,477)&amp;"",""))</f>
        <v/>
      </c>
      <c r="BC546" t="str">
        <f>IF(BA546="","",IFERROR(INDEX(wClass,477)&amp;"",""))</f>
        <v/>
      </c>
      <c r="BD546" t="str">
        <f>IF(BA546="","",IFERROR(INDEX(wKS2,477)+0,""))</f>
        <v/>
      </c>
      <c r="BE546" t="str">
        <f>IF(BA546="","",IFERROR(INDEX(wTests,477)+0,0))</f>
        <v/>
      </c>
      <c r="BF546" t="str">
        <f>IF(BA546="","",IFERROR(INDEX(wMean,477)+0,""))</f>
        <v/>
      </c>
      <c r="BG546" t="str">
        <f>IF(BA546="","",IFERROR(INDEX(wVs,477)+0,""))</f>
        <v/>
      </c>
      <c r="BH546" t="str">
        <f>IF(OR(BA546="",wLatest=""),"",IFERROR(INDEX(wData,477,MATCH(wLatest&amp;CHAR(10)&amp;"Stanine",wHdr,0))+0,""))</f>
        <v/>
      </c>
      <c r="BI546" t="str">
        <f>IF(BA546="","",IF(AND(ISNUMBER(BG546),N(BE546)&gt;=WlMinTests,BG546&lt;=-WlGap),"Below KS2 starting point",IF(AND(NOT(ISNUMBER(BD546)),ISNUMBER(BF546),N(BE546)&gt;=WlMinTests,BF546&lt;=WlLowMean),"Low results, no KS2 data","")))</f>
        <v/>
      </c>
      <c r="BJ546" t="str">
        <f>IF(BI546="","",IF(BI546="Below KS2 starting point",BG546,100+BF546)+ROW()/1000000)</f>
        <v/>
      </c>
    </row>
    <row r="547">
      <c r="H547" t="str">
        <f>IFERROR(INDEX(tblY7[Class],ROWS(H$10:H547))&amp;"","")</f>
        <v/>
      </c>
      <c r="I547" t="str">
        <f>IF(H547="","",IF(COUNTIF(H$10:H547,H547)=1,COUNTIF(H$10:H$609,"&lt;"&amp;H547)+1,""))</f>
        <v/>
      </c>
      <c r="J547" t="str">
        <f>IFERROR(INDEX(tblY8[Class],ROWS(J$10:J547))&amp;"","")</f>
        <v/>
      </c>
      <c r="K547" t="str">
        <f>IF(J547="","",IF(COUNTIF(J$10:J547,J547)=1,COUNTIF(J$10:J$609,"&lt;"&amp;J547)+1,""))</f>
        <v/>
      </c>
      <c r="L547" t="str">
        <f>IFERROR(INDEX(tblY9[Class],ROWS(L$10:L547))&amp;"","")</f>
        <v/>
      </c>
      <c r="M547" t="str">
        <f>IF(L547="","",IF(COUNTIF(L$10:L547,L547)=1,COUNTIF(L$10:L$609,"&lt;"&amp;L547)+1,""))</f>
        <v/>
      </c>
      <c r="N547" t="str">
        <f>IFERROR(INDEX(tblY10[Class],ROWS(N$10:N547))&amp;"","")</f>
        <v/>
      </c>
      <c r="O547" t="str">
        <f>IF(N547="","",IF(COUNTIF(N$10:N547,N547)=1,COUNTIF(N$10:N$609,"&lt;"&amp;N547)+1,""))</f>
        <v/>
      </c>
      <c r="P547" t="str">
        <f>IFERROR(INDEX(tblY11[Class],ROWS(P$10:P547))&amp;"","")</f>
        <v/>
      </c>
      <c r="Q547" t="str">
        <f>IF(P547="","",IF(COUNTIF(P$10:P547,P547)=1,COUNTIF(P$10:P$609,"&lt;"&amp;P547)+1,""))</f>
        <v/>
      </c>
      <c r="BA547" t="str">
        <f>IFERROR(INDEX(wLast,478)&amp;"","")</f>
        <v/>
      </c>
      <c r="BB547" t="str">
        <f>IF(BA547="","",IFERROR(INDEX(wFirst,478)&amp;"",""))</f>
        <v/>
      </c>
      <c r="BC547" t="str">
        <f>IF(BA547="","",IFERROR(INDEX(wClass,478)&amp;"",""))</f>
        <v/>
      </c>
      <c r="BD547" t="str">
        <f>IF(BA547="","",IFERROR(INDEX(wKS2,478)+0,""))</f>
        <v/>
      </c>
      <c r="BE547" t="str">
        <f>IF(BA547="","",IFERROR(INDEX(wTests,478)+0,0))</f>
        <v/>
      </c>
      <c r="BF547" t="str">
        <f>IF(BA547="","",IFERROR(INDEX(wMean,478)+0,""))</f>
        <v/>
      </c>
      <c r="BG547" t="str">
        <f>IF(BA547="","",IFERROR(INDEX(wVs,478)+0,""))</f>
        <v/>
      </c>
      <c r="BH547" t="str">
        <f>IF(OR(BA547="",wLatest=""),"",IFERROR(INDEX(wData,478,MATCH(wLatest&amp;CHAR(10)&amp;"Stanine",wHdr,0))+0,""))</f>
        <v/>
      </c>
      <c r="BI547" t="str">
        <f>IF(BA547="","",IF(AND(ISNUMBER(BG547),N(BE547)&gt;=WlMinTests,BG547&lt;=-WlGap),"Below KS2 starting point",IF(AND(NOT(ISNUMBER(BD547)),ISNUMBER(BF547),N(BE547)&gt;=WlMinTests,BF547&lt;=WlLowMean),"Low results, no KS2 data","")))</f>
        <v/>
      </c>
      <c r="BJ547" t="str">
        <f>IF(BI547="","",IF(BI547="Below KS2 starting point",BG547,100+BF547)+ROW()/1000000)</f>
        <v/>
      </c>
    </row>
    <row r="548">
      <c r="H548" t="str">
        <f>IFERROR(INDEX(tblY7[Class],ROWS(H$10:H548))&amp;"","")</f>
        <v/>
      </c>
      <c r="I548" t="str">
        <f>IF(H548="","",IF(COUNTIF(H$10:H548,H548)=1,COUNTIF(H$10:H$609,"&lt;"&amp;H548)+1,""))</f>
        <v/>
      </c>
      <c r="J548" t="str">
        <f>IFERROR(INDEX(tblY8[Class],ROWS(J$10:J548))&amp;"","")</f>
        <v/>
      </c>
      <c r="K548" t="str">
        <f>IF(J548="","",IF(COUNTIF(J$10:J548,J548)=1,COUNTIF(J$10:J$609,"&lt;"&amp;J548)+1,""))</f>
        <v/>
      </c>
      <c r="L548" t="str">
        <f>IFERROR(INDEX(tblY9[Class],ROWS(L$10:L548))&amp;"","")</f>
        <v/>
      </c>
      <c r="M548" t="str">
        <f>IF(L548="","",IF(COUNTIF(L$10:L548,L548)=1,COUNTIF(L$10:L$609,"&lt;"&amp;L548)+1,""))</f>
        <v/>
      </c>
      <c r="N548" t="str">
        <f>IFERROR(INDEX(tblY10[Class],ROWS(N$10:N548))&amp;"","")</f>
        <v/>
      </c>
      <c r="O548" t="str">
        <f>IF(N548="","",IF(COUNTIF(N$10:N548,N548)=1,COUNTIF(N$10:N$609,"&lt;"&amp;N548)+1,""))</f>
        <v/>
      </c>
      <c r="P548" t="str">
        <f>IFERROR(INDEX(tblY11[Class],ROWS(P$10:P548))&amp;"","")</f>
        <v/>
      </c>
      <c r="Q548" t="str">
        <f>IF(P548="","",IF(COUNTIF(P$10:P548,P548)=1,COUNTIF(P$10:P$609,"&lt;"&amp;P548)+1,""))</f>
        <v/>
      </c>
      <c r="BA548" t="str">
        <f>IFERROR(INDEX(wLast,479)&amp;"","")</f>
        <v/>
      </c>
      <c r="BB548" t="str">
        <f>IF(BA548="","",IFERROR(INDEX(wFirst,479)&amp;"",""))</f>
        <v/>
      </c>
      <c r="BC548" t="str">
        <f>IF(BA548="","",IFERROR(INDEX(wClass,479)&amp;"",""))</f>
        <v/>
      </c>
      <c r="BD548" t="str">
        <f>IF(BA548="","",IFERROR(INDEX(wKS2,479)+0,""))</f>
        <v/>
      </c>
      <c r="BE548" t="str">
        <f>IF(BA548="","",IFERROR(INDEX(wTests,479)+0,0))</f>
        <v/>
      </c>
      <c r="BF548" t="str">
        <f>IF(BA548="","",IFERROR(INDEX(wMean,479)+0,""))</f>
        <v/>
      </c>
      <c r="BG548" t="str">
        <f>IF(BA548="","",IFERROR(INDEX(wVs,479)+0,""))</f>
        <v/>
      </c>
      <c r="BH548" t="str">
        <f>IF(OR(BA548="",wLatest=""),"",IFERROR(INDEX(wData,479,MATCH(wLatest&amp;CHAR(10)&amp;"Stanine",wHdr,0))+0,""))</f>
        <v/>
      </c>
      <c r="BI548" t="str">
        <f>IF(BA548="","",IF(AND(ISNUMBER(BG548),N(BE548)&gt;=WlMinTests,BG548&lt;=-WlGap),"Below KS2 starting point",IF(AND(NOT(ISNUMBER(BD548)),ISNUMBER(BF548),N(BE548)&gt;=WlMinTests,BF548&lt;=WlLowMean),"Low results, no KS2 data","")))</f>
        <v/>
      </c>
      <c r="BJ548" t="str">
        <f>IF(BI548="","",IF(BI548="Below KS2 starting point",BG548,100+BF548)+ROW()/1000000)</f>
        <v/>
      </c>
    </row>
    <row r="549">
      <c r="H549" t="str">
        <f>IFERROR(INDEX(tblY7[Class],ROWS(H$10:H549))&amp;"","")</f>
        <v/>
      </c>
      <c r="I549" t="str">
        <f>IF(H549="","",IF(COUNTIF(H$10:H549,H549)=1,COUNTIF(H$10:H$609,"&lt;"&amp;H549)+1,""))</f>
        <v/>
      </c>
      <c r="J549" t="str">
        <f>IFERROR(INDEX(tblY8[Class],ROWS(J$10:J549))&amp;"","")</f>
        <v/>
      </c>
      <c r="K549" t="str">
        <f>IF(J549="","",IF(COUNTIF(J$10:J549,J549)=1,COUNTIF(J$10:J$609,"&lt;"&amp;J549)+1,""))</f>
        <v/>
      </c>
      <c r="L549" t="str">
        <f>IFERROR(INDEX(tblY9[Class],ROWS(L$10:L549))&amp;"","")</f>
        <v/>
      </c>
      <c r="M549" t="str">
        <f>IF(L549="","",IF(COUNTIF(L$10:L549,L549)=1,COUNTIF(L$10:L$609,"&lt;"&amp;L549)+1,""))</f>
        <v/>
      </c>
      <c r="N549" t="str">
        <f>IFERROR(INDEX(tblY10[Class],ROWS(N$10:N549))&amp;"","")</f>
        <v/>
      </c>
      <c r="O549" t="str">
        <f>IF(N549="","",IF(COUNTIF(N$10:N549,N549)=1,COUNTIF(N$10:N$609,"&lt;"&amp;N549)+1,""))</f>
        <v/>
      </c>
      <c r="P549" t="str">
        <f>IFERROR(INDEX(tblY11[Class],ROWS(P$10:P549))&amp;"","")</f>
        <v/>
      </c>
      <c r="Q549" t="str">
        <f>IF(P549="","",IF(COUNTIF(P$10:P549,P549)=1,COUNTIF(P$10:P$609,"&lt;"&amp;P549)+1,""))</f>
        <v/>
      </c>
      <c r="BA549" t="str">
        <f>IFERROR(INDEX(wLast,480)&amp;"","")</f>
        <v/>
      </c>
      <c r="BB549" t="str">
        <f>IF(BA549="","",IFERROR(INDEX(wFirst,480)&amp;"",""))</f>
        <v/>
      </c>
      <c r="BC549" t="str">
        <f>IF(BA549="","",IFERROR(INDEX(wClass,480)&amp;"",""))</f>
        <v/>
      </c>
      <c r="BD549" t="str">
        <f>IF(BA549="","",IFERROR(INDEX(wKS2,480)+0,""))</f>
        <v/>
      </c>
      <c r="BE549" t="str">
        <f>IF(BA549="","",IFERROR(INDEX(wTests,480)+0,0))</f>
        <v/>
      </c>
      <c r="BF549" t="str">
        <f>IF(BA549="","",IFERROR(INDEX(wMean,480)+0,""))</f>
        <v/>
      </c>
      <c r="BG549" t="str">
        <f>IF(BA549="","",IFERROR(INDEX(wVs,480)+0,""))</f>
        <v/>
      </c>
      <c r="BH549" t="str">
        <f>IF(OR(BA549="",wLatest=""),"",IFERROR(INDEX(wData,480,MATCH(wLatest&amp;CHAR(10)&amp;"Stanine",wHdr,0))+0,""))</f>
        <v/>
      </c>
      <c r="BI549" t="str">
        <f>IF(BA549="","",IF(AND(ISNUMBER(BG549),N(BE549)&gt;=WlMinTests,BG549&lt;=-WlGap),"Below KS2 starting point",IF(AND(NOT(ISNUMBER(BD549)),ISNUMBER(BF549),N(BE549)&gt;=WlMinTests,BF549&lt;=WlLowMean),"Low results, no KS2 data","")))</f>
        <v/>
      </c>
      <c r="BJ549" t="str">
        <f>IF(BI549="","",IF(BI549="Below KS2 starting point",BG549,100+BF549)+ROW()/1000000)</f>
        <v/>
      </c>
    </row>
    <row r="550">
      <c r="H550" t="str">
        <f>IFERROR(INDEX(tblY7[Class],ROWS(H$10:H550))&amp;"","")</f>
        <v/>
      </c>
      <c r="I550" t="str">
        <f>IF(H550="","",IF(COUNTIF(H$10:H550,H550)=1,COUNTIF(H$10:H$609,"&lt;"&amp;H550)+1,""))</f>
        <v/>
      </c>
      <c r="J550" t="str">
        <f>IFERROR(INDEX(tblY8[Class],ROWS(J$10:J550))&amp;"","")</f>
        <v/>
      </c>
      <c r="K550" t="str">
        <f>IF(J550="","",IF(COUNTIF(J$10:J550,J550)=1,COUNTIF(J$10:J$609,"&lt;"&amp;J550)+1,""))</f>
        <v/>
      </c>
      <c r="L550" t="str">
        <f>IFERROR(INDEX(tblY9[Class],ROWS(L$10:L550))&amp;"","")</f>
        <v/>
      </c>
      <c r="M550" t="str">
        <f>IF(L550="","",IF(COUNTIF(L$10:L550,L550)=1,COUNTIF(L$10:L$609,"&lt;"&amp;L550)+1,""))</f>
        <v/>
      </c>
      <c r="N550" t="str">
        <f>IFERROR(INDEX(tblY10[Class],ROWS(N$10:N550))&amp;"","")</f>
        <v/>
      </c>
      <c r="O550" t="str">
        <f>IF(N550="","",IF(COUNTIF(N$10:N550,N550)=1,COUNTIF(N$10:N$609,"&lt;"&amp;N550)+1,""))</f>
        <v/>
      </c>
      <c r="P550" t="str">
        <f>IFERROR(INDEX(tblY11[Class],ROWS(P$10:P550))&amp;"","")</f>
        <v/>
      </c>
      <c r="Q550" t="str">
        <f>IF(P550="","",IF(COUNTIF(P$10:P550,P550)=1,COUNTIF(P$10:P$609,"&lt;"&amp;P550)+1,""))</f>
        <v/>
      </c>
      <c r="BA550" t="str">
        <f>IFERROR(INDEX(wLast,481)&amp;"","")</f>
        <v/>
      </c>
      <c r="BB550" t="str">
        <f>IF(BA550="","",IFERROR(INDEX(wFirst,481)&amp;"",""))</f>
        <v/>
      </c>
      <c r="BC550" t="str">
        <f>IF(BA550="","",IFERROR(INDEX(wClass,481)&amp;"",""))</f>
        <v/>
      </c>
      <c r="BD550" t="str">
        <f>IF(BA550="","",IFERROR(INDEX(wKS2,481)+0,""))</f>
        <v/>
      </c>
      <c r="BE550" t="str">
        <f>IF(BA550="","",IFERROR(INDEX(wTests,481)+0,0))</f>
        <v/>
      </c>
      <c r="BF550" t="str">
        <f>IF(BA550="","",IFERROR(INDEX(wMean,481)+0,""))</f>
        <v/>
      </c>
      <c r="BG550" t="str">
        <f>IF(BA550="","",IFERROR(INDEX(wVs,481)+0,""))</f>
        <v/>
      </c>
      <c r="BH550" t="str">
        <f>IF(OR(BA550="",wLatest=""),"",IFERROR(INDEX(wData,481,MATCH(wLatest&amp;CHAR(10)&amp;"Stanine",wHdr,0))+0,""))</f>
        <v/>
      </c>
      <c r="BI550" t="str">
        <f>IF(BA550="","",IF(AND(ISNUMBER(BG550),N(BE550)&gt;=WlMinTests,BG550&lt;=-WlGap),"Below KS2 starting point",IF(AND(NOT(ISNUMBER(BD550)),ISNUMBER(BF550),N(BE550)&gt;=WlMinTests,BF550&lt;=WlLowMean),"Low results, no KS2 data","")))</f>
        <v/>
      </c>
      <c r="BJ550" t="str">
        <f>IF(BI550="","",IF(BI550="Below KS2 starting point",BG550,100+BF550)+ROW()/1000000)</f>
        <v/>
      </c>
    </row>
    <row r="551">
      <c r="H551" t="str">
        <f>IFERROR(INDEX(tblY7[Class],ROWS(H$10:H551))&amp;"","")</f>
        <v/>
      </c>
      <c r="I551" t="str">
        <f>IF(H551="","",IF(COUNTIF(H$10:H551,H551)=1,COUNTIF(H$10:H$609,"&lt;"&amp;H551)+1,""))</f>
        <v/>
      </c>
      <c r="J551" t="str">
        <f>IFERROR(INDEX(tblY8[Class],ROWS(J$10:J551))&amp;"","")</f>
        <v/>
      </c>
      <c r="K551" t="str">
        <f>IF(J551="","",IF(COUNTIF(J$10:J551,J551)=1,COUNTIF(J$10:J$609,"&lt;"&amp;J551)+1,""))</f>
        <v/>
      </c>
      <c r="L551" t="str">
        <f>IFERROR(INDEX(tblY9[Class],ROWS(L$10:L551))&amp;"","")</f>
        <v/>
      </c>
      <c r="M551" t="str">
        <f>IF(L551="","",IF(COUNTIF(L$10:L551,L551)=1,COUNTIF(L$10:L$609,"&lt;"&amp;L551)+1,""))</f>
        <v/>
      </c>
      <c r="N551" t="str">
        <f>IFERROR(INDEX(tblY10[Class],ROWS(N$10:N551))&amp;"","")</f>
        <v/>
      </c>
      <c r="O551" t="str">
        <f>IF(N551="","",IF(COUNTIF(N$10:N551,N551)=1,COUNTIF(N$10:N$609,"&lt;"&amp;N551)+1,""))</f>
        <v/>
      </c>
      <c r="P551" t="str">
        <f>IFERROR(INDEX(tblY11[Class],ROWS(P$10:P551))&amp;"","")</f>
        <v/>
      </c>
      <c r="Q551" t="str">
        <f>IF(P551="","",IF(COUNTIF(P$10:P551,P551)=1,COUNTIF(P$10:P$609,"&lt;"&amp;P551)+1,""))</f>
        <v/>
      </c>
      <c r="BA551" t="str">
        <f>IFERROR(INDEX(wLast,482)&amp;"","")</f>
        <v/>
      </c>
      <c r="BB551" t="str">
        <f>IF(BA551="","",IFERROR(INDEX(wFirst,482)&amp;"",""))</f>
        <v/>
      </c>
      <c r="BC551" t="str">
        <f>IF(BA551="","",IFERROR(INDEX(wClass,482)&amp;"",""))</f>
        <v/>
      </c>
      <c r="BD551" t="str">
        <f>IF(BA551="","",IFERROR(INDEX(wKS2,482)+0,""))</f>
        <v/>
      </c>
      <c r="BE551" t="str">
        <f>IF(BA551="","",IFERROR(INDEX(wTests,482)+0,0))</f>
        <v/>
      </c>
      <c r="BF551" t="str">
        <f>IF(BA551="","",IFERROR(INDEX(wMean,482)+0,""))</f>
        <v/>
      </c>
      <c r="BG551" t="str">
        <f>IF(BA551="","",IFERROR(INDEX(wVs,482)+0,""))</f>
        <v/>
      </c>
      <c r="BH551" t="str">
        <f>IF(OR(BA551="",wLatest=""),"",IFERROR(INDEX(wData,482,MATCH(wLatest&amp;CHAR(10)&amp;"Stanine",wHdr,0))+0,""))</f>
        <v/>
      </c>
      <c r="BI551" t="str">
        <f>IF(BA551="","",IF(AND(ISNUMBER(BG551),N(BE551)&gt;=WlMinTests,BG551&lt;=-WlGap),"Below KS2 starting point",IF(AND(NOT(ISNUMBER(BD551)),ISNUMBER(BF551),N(BE551)&gt;=WlMinTests,BF551&lt;=WlLowMean),"Low results, no KS2 data","")))</f>
        <v/>
      </c>
      <c r="BJ551" t="str">
        <f>IF(BI551="","",IF(BI551="Below KS2 starting point",BG551,100+BF551)+ROW()/1000000)</f>
        <v/>
      </c>
    </row>
    <row r="552">
      <c r="H552" t="str">
        <f>IFERROR(INDEX(tblY7[Class],ROWS(H$10:H552))&amp;"","")</f>
        <v/>
      </c>
      <c r="I552" t="str">
        <f>IF(H552="","",IF(COUNTIF(H$10:H552,H552)=1,COUNTIF(H$10:H$609,"&lt;"&amp;H552)+1,""))</f>
        <v/>
      </c>
      <c r="J552" t="str">
        <f>IFERROR(INDEX(tblY8[Class],ROWS(J$10:J552))&amp;"","")</f>
        <v/>
      </c>
      <c r="K552" t="str">
        <f>IF(J552="","",IF(COUNTIF(J$10:J552,J552)=1,COUNTIF(J$10:J$609,"&lt;"&amp;J552)+1,""))</f>
        <v/>
      </c>
      <c r="L552" t="str">
        <f>IFERROR(INDEX(tblY9[Class],ROWS(L$10:L552))&amp;"","")</f>
        <v/>
      </c>
      <c r="M552" t="str">
        <f>IF(L552="","",IF(COUNTIF(L$10:L552,L552)=1,COUNTIF(L$10:L$609,"&lt;"&amp;L552)+1,""))</f>
        <v/>
      </c>
      <c r="N552" t="str">
        <f>IFERROR(INDEX(tblY10[Class],ROWS(N$10:N552))&amp;"","")</f>
        <v/>
      </c>
      <c r="O552" t="str">
        <f>IF(N552="","",IF(COUNTIF(N$10:N552,N552)=1,COUNTIF(N$10:N$609,"&lt;"&amp;N552)+1,""))</f>
        <v/>
      </c>
      <c r="P552" t="str">
        <f>IFERROR(INDEX(tblY11[Class],ROWS(P$10:P552))&amp;"","")</f>
        <v/>
      </c>
      <c r="Q552" t="str">
        <f>IF(P552="","",IF(COUNTIF(P$10:P552,P552)=1,COUNTIF(P$10:P$609,"&lt;"&amp;P552)+1,""))</f>
        <v/>
      </c>
      <c r="BA552" t="str">
        <f>IFERROR(INDEX(wLast,483)&amp;"","")</f>
        <v/>
      </c>
      <c r="BB552" t="str">
        <f>IF(BA552="","",IFERROR(INDEX(wFirst,483)&amp;"",""))</f>
        <v/>
      </c>
      <c r="BC552" t="str">
        <f>IF(BA552="","",IFERROR(INDEX(wClass,483)&amp;"",""))</f>
        <v/>
      </c>
      <c r="BD552" t="str">
        <f>IF(BA552="","",IFERROR(INDEX(wKS2,483)+0,""))</f>
        <v/>
      </c>
      <c r="BE552" t="str">
        <f>IF(BA552="","",IFERROR(INDEX(wTests,483)+0,0))</f>
        <v/>
      </c>
      <c r="BF552" t="str">
        <f>IF(BA552="","",IFERROR(INDEX(wMean,483)+0,""))</f>
        <v/>
      </c>
      <c r="BG552" t="str">
        <f>IF(BA552="","",IFERROR(INDEX(wVs,483)+0,""))</f>
        <v/>
      </c>
      <c r="BH552" t="str">
        <f>IF(OR(BA552="",wLatest=""),"",IFERROR(INDEX(wData,483,MATCH(wLatest&amp;CHAR(10)&amp;"Stanine",wHdr,0))+0,""))</f>
        <v/>
      </c>
      <c r="BI552" t="str">
        <f>IF(BA552="","",IF(AND(ISNUMBER(BG552),N(BE552)&gt;=WlMinTests,BG552&lt;=-WlGap),"Below KS2 starting point",IF(AND(NOT(ISNUMBER(BD552)),ISNUMBER(BF552),N(BE552)&gt;=WlMinTests,BF552&lt;=WlLowMean),"Low results, no KS2 data","")))</f>
        <v/>
      </c>
      <c r="BJ552" t="str">
        <f>IF(BI552="","",IF(BI552="Below KS2 starting point",BG552,100+BF552)+ROW()/1000000)</f>
        <v/>
      </c>
    </row>
    <row r="553">
      <c r="H553" t="str">
        <f>IFERROR(INDEX(tblY7[Class],ROWS(H$10:H553))&amp;"","")</f>
        <v/>
      </c>
      <c r="I553" t="str">
        <f>IF(H553="","",IF(COUNTIF(H$10:H553,H553)=1,COUNTIF(H$10:H$609,"&lt;"&amp;H553)+1,""))</f>
        <v/>
      </c>
      <c r="J553" t="str">
        <f>IFERROR(INDEX(tblY8[Class],ROWS(J$10:J553))&amp;"","")</f>
        <v/>
      </c>
      <c r="K553" t="str">
        <f>IF(J553="","",IF(COUNTIF(J$10:J553,J553)=1,COUNTIF(J$10:J$609,"&lt;"&amp;J553)+1,""))</f>
        <v/>
      </c>
      <c r="L553" t="str">
        <f>IFERROR(INDEX(tblY9[Class],ROWS(L$10:L553))&amp;"","")</f>
        <v/>
      </c>
      <c r="M553" t="str">
        <f>IF(L553="","",IF(COUNTIF(L$10:L553,L553)=1,COUNTIF(L$10:L$609,"&lt;"&amp;L553)+1,""))</f>
        <v/>
      </c>
      <c r="N553" t="str">
        <f>IFERROR(INDEX(tblY10[Class],ROWS(N$10:N553))&amp;"","")</f>
        <v/>
      </c>
      <c r="O553" t="str">
        <f>IF(N553="","",IF(COUNTIF(N$10:N553,N553)=1,COUNTIF(N$10:N$609,"&lt;"&amp;N553)+1,""))</f>
        <v/>
      </c>
      <c r="P553" t="str">
        <f>IFERROR(INDEX(tblY11[Class],ROWS(P$10:P553))&amp;"","")</f>
        <v/>
      </c>
      <c r="Q553" t="str">
        <f>IF(P553="","",IF(COUNTIF(P$10:P553,P553)=1,COUNTIF(P$10:P$609,"&lt;"&amp;P553)+1,""))</f>
        <v/>
      </c>
      <c r="BA553" t="str">
        <f>IFERROR(INDEX(wLast,484)&amp;"","")</f>
        <v/>
      </c>
      <c r="BB553" t="str">
        <f>IF(BA553="","",IFERROR(INDEX(wFirst,484)&amp;"",""))</f>
        <v/>
      </c>
      <c r="BC553" t="str">
        <f>IF(BA553="","",IFERROR(INDEX(wClass,484)&amp;"",""))</f>
        <v/>
      </c>
      <c r="BD553" t="str">
        <f>IF(BA553="","",IFERROR(INDEX(wKS2,484)+0,""))</f>
        <v/>
      </c>
      <c r="BE553" t="str">
        <f>IF(BA553="","",IFERROR(INDEX(wTests,484)+0,0))</f>
        <v/>
      </c>
      <c r="BF553" t="str">
        <f>IF(BA553="","",IFERROR(INDEX(wMean,484)+0,""))</f>
        <v/>
      </c>
      <c r="BG553" t="str">
        <f>IF(BA553="","",IFERROR(INDEX(wVs,484)+0,""))</f>
        <v/>
      </c>
      <c r="BH553" t="str">
        <f>IF(OR(BA553="",wLatest=""),"",IFERROR(INDEX(wData,484,MATCH(wLatest&amp;CHAR(10)&amp;"Stanine",wHdr,0))+0,""))</f>
        <v/>
      </c>
      <c r="BI553" t="str">
        <f>IF(BA553="","",IF(AND(ISNUMBER(BG553),N(BE553)&gt;=WlMinTests,BG553&lt;=-WlGap),"Below KS2 starting point",IF(AND(NOT(ISNUMBER(BD553)),ISNUMBER(BF553),N(BE553)&gt;=WlMinTests,BF553&lt;=WlLowMean),"Low results, no KS2 data","")))</f>
        <v/>
      </c>
      <c r="BJ553" t="str">
        <f>IF(BI553="","",IF(BI553="Below KS2 starting point",BG553,100+BF553)+ROW()/1000000)</f>
        <v/>
      </c>
    </row>
    <row r="554">
      <c r="H554" t="str">
        <f>IFERROR(INDEX(tblY7[Class],ROWS(H$10:H554))&amp;"","")</f>
        <v/>
      </c>
      <c r="I554" t="str">
        <f>IF(H554="","",IF(COUNTIF(H$10:H554,H554)=1,COUNTIF(H$10:H$609,"&lt;"&amp;H554)+1,""))</f>
        <v/>
      </c>
      <c r="J554" t="str">
        <f>IFERROR(INDEX(tblY8[Class],ROWS(J$10:J554))&amp;"","")</f>
        <v/>
      </c>
      <c r="K554" t="str">
        <f>IF(J554="","",IF(COUNTIF(J$10:J554,J554)=1,COUNTIF(J$10:J$609,"&lt;"&amp;J554)+1,""))</f>
        <v/>
      </c>
      <c r="L554" t="str">
        <f>IFERROR(INDEX(tblY9[Class],ROWS(L$10:L554))&amp;"","")</f>
        <v/>
      </c>
      <c r="M554" t="str">
        <f>IF(L554="","",IF(COUNTIF(L$10:L554,L554)=1,COUNTIF(L$10:L$609,"&lt;"&amp;L554)+1,""))</f>
        <v/>
      </c>
      <c r="N554" t="str">
        <f>IFERROR(INDEX(tblY10[Class],ROWS(N$10:N554))&amp;"","")</f>
        <v/>
      </c>
      <c r="O554" t="str">
        <f>IF(N554="","",IF(COUNTIF(N$10:N554,N554)=1,COUNTIF(N$10:N$609,"&lt;"&amp;N554)+1,""))</f>
        <v/>
      </c>
      <c r="P554" t="str">
        <f>IFERROR(INDEX(tblY11[Class],ROWS(P$10:P554))&amp;"","")</f>
        <v/>
      </c>
      <c r="Q554" t="str">
        <f>IF(P554="","",IF(COUNTIF(P$10:P554,P554)=1,COUNTIF(P$10:P$609,"&lt;"&amp;P554)+1,""))</f>
        <v/>
      </c>
      <c r="BA554" t="str">
        <f>IFERROR(INDEX(wLast,485)&amp;"","")</f>
        <v/>
      </c>
      <c r="BB554" t="str">
        <f>IF(BA554="","",IFERROR(INDEX(wFirst,485)&amp;"",""))</f>
        <v/>
      </c>
      <c r="BC554" t="str">
        <f>IF(BA554="","",IFERROR(INDEX(wClass,485)&amp;"",""))</f>
        <v/>
      </c>
      <c r="BD554" t="str">
        <f>IF(BA554="","",IFERROR(INDEX(wKS2,485)+0,""))</f>
        <v/>
      </c>
      <c r="BE554" t="str">
        <f>IF(BA554="","",IFERROR(INDEX(wTests,485)+0,0))</f>
        <v/>
      </c>
      <c r="BF554" t="str">
        <f>IF(BA554="","",IFERROR(INDEX(wMean,485)+0,""))</f>
        <v/>
      </c>
      <c r="BG554" t="str">
        <f>IF(BA554="","",IFERROR(INDEX(wVs,485)+0,""))</f>
        <v/>
      </c>
      <c r="BH554" t="str">
        <f>IF(OR(BA554="",wLatest=""),"",IFERROR(INDEX(wData,485,MATCH(wLatest&amp;CHAR(10)&amp;"Stanine",wHdr,0))+0,""))</f>
        <v/>
      </c>
      <c r="BI554" t="str">
        <f>IF(BA554="","",IF(AND(ISNUMBER(BG554),N(BE554)&gt;=WlMinTests,BG554&lt;=-WlGap),"Below KS2 starting point",IF(AND(NOT(ISNUMBER(BD554)),ISNUMBER(BF554),N(BE554)&gt;=WlMinTests,BF554&lt;=WlLowMean),"Low results, no KS2 data","")))</f>
        <v/>
      </c>
      <c r="BJ554" t="str">
        <f>IF(BI554="","",IF(BI554="Below KS2 starting point",BG554,100+BF554)+ROW()/1000000)</f>
        <v/>
      </c>
    </row>
    <row r="555">
      <c r="H555" t="str">
        <f>IFERROR(INDEX(tblY7[Class],ROWS(H$10:H555))&amp;"","")</f>
        <v/>
      </c>
      <c r="I555" t="str">
        <f>IF(H555="","",IF(COUNTIF(H$10:H555,H555)=1,COUNTIF(H$10:H$609,"&lt;"&amp;H555)+1,""))</f>
        <v/>
      </c>
      <c r="J555" t="str">
        <f>IFERROR(INDEX(tblY8[Class],ROWS(J$10:J555))&amp;"","")</f>
        <v/>
      </c>
      <c r="K555" t="str">
        <f>IF(J555="","",IF(COUNTIF(J$10:J555,J555)=1,COUNTIF(J$10:J$609,"&lt;"&amp;J555)+1,""))</f>
        <v/>
      </c>
      <c r="L555" t="str">
        <f>IFERROR(INDEX(tblY9[Class],ROWS(L$10:L555))&amp;"","")</f>
        <v/>
      </c>
      <c r="M555" t="str">
        <f>IF(L555="","",IF(COUNTIF(L$10:L555,L555)=1,COUNTIF(L$10:L$609,"&lt;"&amp;L555)+1,""))</f>
        <v/>
      </c>
      <c r="N555" t="str">
        <f>IFERROR(INDEX(tblY10[Class],ROWS(N$10:N555))&amp;"","")</f>
        <v/>
      </c>
      <c r="O555" t="str">
        <f>IF(N555="","",IF(COUNTIF(N$10:N555,N555)=1,COUNTIF(N$10:N$609,"&lt;"&amp;N555)+1,""))</f>
        <v/>
      </c>
      <c r="P555" t="str">
        <f>IFERROR(INDEX(tblY11[Class],ROWS(P$10:P555))&amp;"","")</f>
        <v/>
      </c>
      <c r="Q555" t="str">
        <f>IF(P555="","",IF(COUNTIF(P$10:P555,P555)=1,COUNTIF(P$10:P$609,"&lt;"&amp;P555)+1,""))</f>
        <v/>
      </c>
      <c r="BA555" t="str">
        <f>IFERROR(INDEX(wLast,486)&amp;"","")</f>
        <v/>
      </c>
      <c r="BB555" t="str">
        <f>IF(BA555="","",IFERROR(INDEX(wFirst,486)&amp;"",""))</f>
        <v/>
      </c>
      <c r="BC555" t="str">
        <f>IF(BA555="","",IFERROR(INDEX(wClass,486)&amp;"",""))</f>
        <v/>
      </c>
      <c r="BD555" t="str">
        <f>IF(BA555="","",IFERROR(INDEX(wKS2,486)+0,""))</f>
        <v/>
      </c>
      <c r="BE555" t="str">
        <f>IF(BA555="","",IFERROR(INDEX(wTests,486)+0,0))</f>
        <v/>
      </c>
      <c r="BF555" t="str">
        <f>IF(BA555="","",IFERROR(INDEX(wMean,486)+0,""))</f>
        <v/>
      </c>
      <c r="BG555" t="str">
        <f>IF(BA555="","",IFERROR(INDEX(wVs,486)+0,""))</f>
        <v/>
      </c>
      <c r="BH555" t="str">
        <f>IF(OR(BA555="",wLatest=""),"",IFERROR(INDEX(wData,486,MATCH(wLatest&amp;CHAR(10)&amp;"Stanine",wHdr,0))+0,""))</f>
        <v/>
      </c>
      <c r="BI555" t="str">
        <f>IF(BA555="","",IF(AND(ISNUMBER(BG555),N(BE555)&gt;=WlMinTests,BG555&lt;=-WlGap),"Below KS2 starting point",IF(AND(NOT(ISNUMBER(BD555)),ISNUMBER(BF555),N(BE555)&gt;=WlMinTests,BF555&lt;=WlLowMean),"Low results, no KS2 data","")))</f>
        <v/>
      </c>
      <c r="BJ555" t="str">
        <f>IF(BI555="","",IF(BI555="Below KS2 starting point",BG555,100+BF555)+ROW()/1000000)</f>
        <v/>
      </c>
    </row>
    <row r="556">
      <c r="H556" t="str">
        <f>IFERROR(INDEX(tblY7[Class],ROWS(H$10:H556))&amp;"","")</f>
        <v/>
      </c>
      <c r="I556" t="str">
        <f>IF(H556="","",IF(COUNTIF(H$10:H556,H556)=1,COUNTIF(H$10:H$609,"&lt;"&amp;H556)+1,""))</f>
        <v/>
      </c>
      <c r="J556" t="str">
        <f>IFERROR(INDEX(tblY8[Class],ROWS(J$10:J556))&amp;"","")</f>
        <v/>
      </c>
      <c r="K556" t="str">
        <f>IF(J556="","",IF(COUNTIF(J$10:J556,J556)=1,COUNTIF(J$10:J$609,"&lt;"&amp;J556)+1,""))</f>
        <v/>
      </c>
      <c r="L556" t="str">
        <f>IFERROR(INDEX(tblY9[Class],ROWS(L$10:L556))&amp;"","")</f>
        <v/>
      </c>
      <c r="M556" t="str">
        <f>IF(L556="","",IF(COUNTIF(L$10:L556,L556)=1,COUNTIF(L$10:L$609,"&lt;"&amp;L556)+1,""))</f>
        <v/>
      </c>
      <c r="N556" t="str">
        <f>IFERROR(INDEX(tblY10[Class],ROWS(N$10:N556))&amp;"","")</f>
        <v/>
      </c>
      <c r="O556" t="str">
        <f>IF(N556="","",IF(COUNTIF(N$10:N556,N556)=1,COUNTIF(N$10:N$609,"&lt;"&amp;N556)+1,""))</f>
        <v/>
      </c>
      <c r="P556" t="str">
        <f>IFERROR(INDEX(tblY11[Class],ROWS(P$10:P556))&amp;"","")</f>
        <v/>
      </c>
      <c r="Q556" t="str">
        <f>IF(P556="","",IF(COUNTIF(P$10:P556,P556)=1,COUNTIF(P$10:P$609,"&lt;"&amp;P556)+1,""))</f>
        <v/>
      </c>
      <c r="BA556" t="str">
        <f>IFERROR(INDEX(wLast,487)&amp;"","")</f>
        <v/>
      </c>
      <c r="BB556" t="str">
        <f>IF(BA556="","",IFERROR(INDEX(wFirst,487)&amp;"",""))</f>
        <v/>
      </c>
      <c r="BC556" t="str">
        <f>IF(BA556="","",IFERROR(INDEX(wClass,487)&amp;"",""))</f>
        <v/>
      </c>
      <c r="BD556" t="str">
        <f>IF(BA556="","",IFERROR(INDEX(wKS2,487)+0,""))</f>
        <v/>
      </c>
      <c r="BE556" t="str">
        <f>IF(BA556="","",IFERROR(INDEX(wTests,487)+0,0))</f>
        <v/>
      </c>
      <c r="BF556" t="str">
        <f>IF(BA556="","",IFERROR(INDEX(wMean,487)+0,""))</f>
        <v/>
      </c>
      <c r="BG556" t="str">
        <f>IF(BA556="","",IFERROR(INDEX(wVs,487)+0,""))</f>
        <v/>
      </c>
      <c r="BH556" t="str">
        <f>IF(OR(BA556="",wLatest=""),"",IFERROR(INDEX(wData,487,MATCH(wLatest&amp;CHAR(10)&amp;"Stanine",wHdr,0))+0,""))</f>
        <v/>
      </c>
      <c r="BI556" t="str">
        <f>IF(BA556="","",IF(AND(ISNUMBER(BG556),N(BE556)&gt;=WlMinTests,BG556&lt;=-WlGap),"Below KS2 starting point",IF(AND(NOT(ISNUMBER(BD556)),ISNUMBER(BF556),N(BE556)&gt;=WlMinTests,BF556&lt;=WlLowMean),"Low results, no KS2 data","")))</f>
        <v/>
      </c>
      <c r="BJ556" t="str">
        <f>IF(BI556="","",IF(BI556="Below KS2 starting point",BG556,100+BF556)+ROW()/1000000)</f>
        <v/>
      </c>
    </row>
    <row r="557">
      <c r="H557" t="str">
        <f>IFERROR(INDEX(tblY7[Class],ROWS(H$10:H557))&amp;"","")</f>
        <v/>
      </c>
      <c r="I557" t="str">
        <f>IF(H557="","",IF(COUNTIF(H$10:H557,H557)=1,COUNTIF(H$10:H$609,"&lt;"&amp;H557)+1,""))</f>
        <v/>
      </c>
      <c r="J557" t="str">
        <f>IFERROR(INDEX(tblY8[Class],ROWS(J$10:J557))&amp;"","")</f>
        <v/>
      </c>
      <c r="K557" t="str">
        <f>IF(J557="","",IF(COUNTIF(J$10:J557,J557)=1,COUNTIF(J$10:J$609,"&lt;"&amp;J557)+1,""))</f>
        <v/>
      </c>
      <c r="L557" t="str">
        <f>IFERROR(INDEX(tblY9[Class],ROWS(L$10:L557))&amp;"","")</f>
        <v/>
      </c>
      <c r="M557" t="str">
        <f>IF(L557="","",IF(COUNTIF(L$10:L557,L557)=1,COUNTIF(L$10:L$609,"&lt;"&amp;L557)+1,""))</f>
        <v/>
      </c>
      <c r="N557" t="str">
        <f>IFERROR(INDEX(tblY10[Class],ROWS(N$10:N557))&amp;"","")</f>
        <v/>
      </c>
      <c r="O557" t="str">
        <f>IF(N557="","",IF(COUNTIF(N$10:N557,N557)=1,COUNTIF(N$10:N$609,"&lt;"&amp;N557)+1,""))</f>
        <v/>
      </c>
      <c r="P557" t="str">
        <f>IFERROR(INDEX(tblY11[Class],ROWS(P$10:P557))&amp;"","")</f>
        <v/>
      </c>
      <c r="Q557" t="str">
        <f>IF(P557="","",IF(COUNTIF(P$10:P557,P557)=1,COUNTIF(P$10:P$609,"&lt;"&amp;P557)+1,""))</f>
        <v/>
      </c>
      <c r="BA557" t="str">
        <f>IFERROR(INDEX(wLast,488)&amp;"","")</f>
        <v/>
      </c>
      <c r="BB557" t="str">
        <f>IF(BA557="","",IFERROR(INDEX(wFirst,488)&amp;"",""))</f>
        <v/>
      </c>
      <c r="BC557" t="str">
        <f>IF(BA557="","",IFERROR(INDEX(wClass,488)&amp;"",""))</f>
        <v/>
      </c>
      <c r="BD557" t="str">
        <f>IF(BA557="","",IFERROR(INDEX(wKS2,488)+0,""))</f>
        <v/>
      </c>
      <c r="BE557" t="str">
        <f>IF(BA557="","",IFERROR(INDEX(wTests,488)+0,0))</f>
        <v/>
      </c>
      <c r="BF557" t="str">
        <f>IF(BA557="","",IFERROR(INDEX(wMean,488)+0,""))</f>
        <v/>
      </c>
      <c r="BG557" t="str">
        <f>IF(BA557="","",IFERROR(INDEX(wVs,488)+0,""))</f>
        <v/>
      </c>
      <c r="BH557" t="str">
        <f>IF(OR(BA557="",wLatest=""),"",IFERROR(INDEX(wData,488,MATCH(wLatest&amp;CHAR(10)&amp;"Stanine",wHdr,0))+0,""))</f>
        <v/>
      </c>
      <c r="BI557" t="str">
        <f>IF(BA557="","",IF(AND(ISNUMBER(BG557),N(BE557)&gt;=WlMinTests,BG557&lt;=-WlGap),"Below KS2 starting point",IF(AND(NOT(ISNUMBER(BD557)),ISNUMBER(BF557),N(BE557)&gt;=WlMinTests,BF557&lt;=WlLowMean),"Low results, no KS2 data","")))</f>
        <v/>
      </c>
      <c r="BJ557" t="str">
        <f>IF(BI557="","",IF(BI557="Below KS2 starting point",BG557,100+BF557)+ROW()/1000000)</f>
        <v/>
      </c>
    </row>
    <row r="558">
      <c r="H558" t="str">
        <f>IFERROR(INDEX(tblY7[Class],ROWS(H$10:H558))&amp;"","")</f>
        <v/>
      </c>
      <c r="I558" t="str">
        <f>IF(H558="","",IF(COUNTIF(H$10:H558,H558)=1,COUNTIF(H$10:H$609,"&lt;"&amp;H558)+1,""))</f>
        <v/>
      </c>
      <c r="J558" t="str">
        <f>IFERROR(INDEX(tblY8[Class],ROWS(J$10:J558))&amp;"","")</f>
        <v/>
      </c>
      <c r="K558" t="str">
        <f>IF(J558="","",IF(COUNTIF(J$10:J558,J558)=1,COUNTIF(J$10:J$609,"&lt;"&amp;J558)+1,""))</f>
        <v/>
      </c>
      <c r="L558" t="str">
        <f>IFERROR(INDEX(tblY9[Class],ROWS(L$10:L558))&amp;"","")</f>
        <v/>
      </c>
      <c r="M558" t="str">
        <f>IF(L558="","",IF(COUNTIF(L$10:L558,L558)=1,COUNTIF(L$10:L$609,"&lt;"&amp;L558)+1,""))</f>
        <v/>
      </c>
      <c r="N558" t="str">
        <f>IFERROR(INDEX(tblY10[Class],ROWS(N$10:N558))&amp;"","")</f>
        <v/>
      </c>
      <c r="O558" t="str">
        <f>IF(N558="","",IF(COUNTIF(N$10:N558,N558)=1,COUNTIF(N$10:N$609,"&lt;"&amp;N558)+1,""))</f>
        <v/>
      </c>
      <c r="P558" t="str">
        <f>IFERROR(INDEX(tblY11[Class],ROWS(P$10:P558))&amp;"","")</f>
        <v/>
      </c>
      <c r="Q558" t="str">
        <f>IF(P558="","",IF(COUNTIF(P$10:P558,P558)=1,COUNTIF(P$10:P$609,"&lt;"&amp;P558)+1,""))</f>
        <v/>
      </c>
      <c r="BA558" t="str">
        <f>IFERROR(INDEX(wLast,489)&amp;"","")</f>
        <v/>
      </c>
      <c r="BB558" t="str">
        <f>IF(BA558="","",IFERROR(INDEX(wFirst,489)&amp;"",""))</f>
        <v/>
      </c>
      <c r="BC558" t="str">
        <f>IF(BA558="","",IFERROR(INDEX(wClass,489)&amp;"",""))</f>
        <v/>
      </c>
      <c r="BD558" t="str">
        <f>IF(BA558="","",IFERROR(INDEX(wKS2,489)+0,""))</f>
        <v/>
      </c>
      <c r="BE558" t="str">
        <f>IF(BA558="","",IFERROR(INDEX(wTests,489)+0,0))</f>
        <v/>
      </c>
      <c r="BF558" t="str">
        <f>IF(BA558="","",IFERROR(INDEX(wMean,489)+0,""))</f>
        <v/>
      </c>
      <c r="BG558" t="str">
        <f>IF(BA558="","",IFERROR(INDEX(wVs,489)+0,""))</f>
        <v/>
      </c>
      <c r="BH558" t="str">
        <f>IF(OR(BA558="",wLatest=""),"",IFERROR(INDEX(wData,489,MATCH(wLatest&amp;CHAR(10)&amp;"Stanine",wHdr,0))+0,""))</f>
        <v/>
      </c>
      <c r="BI558" t="str">
        <f>IF(BA558="","",IF(AND(ISNUMBER(BG558),N(BE558)&gt;=WlMinTests,BG558&lt;=-WlGap),"Below KS2 starting point",IF(AND(NOT(ISNUMBER(BD558)),ISNUMBER(BF558),N(BE558)&gt;=WlMinTests,BF558&lt;=WlLowMean),"Low results, no KS2 data","")))</f>
        <v/>
      </c>
      <c r="BJ558" t="str">
        <f>IF(BI558="","",IF(BI558="Below KS2 starting point",BG558,100+BF558)+ROW()/1000000)</f>
        <v/>
      </c>
    </row>
    <row r="559">
      <c r="H559" t="str">
        <f>IFERROR(INDEX(tblY7[Class],ROWS(H$10:H559))&amp;"","")</f>
        <v/>
      </c>
      <c r="I559" t="str">
        <f>IF(H559="","",IF(COUNTIF(H$10:H559,H559)=1,COUNTIF(H$10:H$609,"&lt;"&amp;H559)+1,""))</f>
        <v/>
      </c>
      <c r="J559" t="str">
        <f>IFERROR(INDEX(tblY8[Class],ROWS(J$10:J559))&amp;"","")</f>
        <v/>
      </c>
      <c r="K559" t="str">
        <f>IF(J559="","",IF(COUNTIF(J$10:J559,J559)=1,COUNTIF(J$10:J$609,"&lt;"&amp;J559)+1,""))</f>
        <v/>
      </c>
      <c r="L559" t="str">
        <f>IFERROR(INDEX(tblY9[Class],ROWS(L$10:L559))&amp;"","")</f>
        <v/>
      </c>
      <c r="M559" t="str">
        <f>IF(L559="","",IF(COUNTIF(L$10:L559,L559)=1,COUNTIF(L$10:L$609,"&lt;"&amp;L559)+1,""))</f>
        <v/>
      </c>
      <c r="N559" t="str">
        <f>IFERROR(INDEX(tblY10[Class],ROWS(N$10:N559))&amp;"","")</f>
        <v/>
      </c>
      <c r="O559" t="str">
        <f>IF(N559="","",IF(COUNTIF(N$10:N559,N559)=1,COUNTIF(N$10:N$609,"&lt;"&amp;N559)+1,""))</f>
        <v/>
      </c>
      <c r="P559" t="str">
        <f>IFERROR(INDEX(tblY11[Class],ROWS(P$10:P559))&amp;"","")</f>
        <v/>
      </c>
      <c r="Q559" t="str">
        <f>IF(P559="","",IF(COUNTIF(P$10:P559,P559)=1,COUNTIF(P$10:P$609,"&lt;"&amp;P559)+1,""))</f>
        <v/>
      </c>
      <c r="BA559" t="str">
        <f>IFERROR(INDEX(wLast,490)&amp;"","")</f>
        <v/>
      </c>
      <c r="BB559" t="str">
        <f>IF(BA559="","",IFERROR(INDEX(wFirst,490)&amp;"",""))</f>
        <v/>
      </c>
      <c r="BC559" t="str">
        <f>IF(BA559="","",IFERROR(INDEX(wClass,490)&amp;"",""))</f>
        <v/>
      </c>
      <c r="BD559" t="str">
        <f>IF(BA559="","",IFERROR(INDEX(wKS2,490)+0,""))</f>
        <v/>
      </c>
      <c r="BE559" t="str">
        <f>IF(BA559="","",IFERROR(INDEX(wTests,490)+0,0))</f>
        <v/>
      </c>
      <c r="BF559" t="str">
        <f>IF(BA559="","",IFERROR(INDEX(wMean,490)+0,""))</f>
        <v/>
      </c>
      <c r="BG559" t="str">
        <f>IF(BA559="","",IFERROR(INDEX(wVs,490)+0,""))</f>
        <v/>
      </c>
      <c r="BH559" t="str">
        <f>IF(OR(BA559="",wLatest=""),"",IFERROR(INDEX(wData,490,MATCH(wLatest&amp;CHAR(10)&amp;"Stanine",wHdr,0))+0,""))</f>
        <v/>
      </c>
      <c r="BI559" t="str">
        <f>IF(BA559="","",IF(AND(ISNUMBER(BG559),N(BE559)&gt;=WlMinTests,BG559&lt;=-WlGap),"Below KS2 starting point",IF(AND(NOT(ISNUMBER(BD559)),ISNUMBER(BF559),N(BE559)&gt;=WlMinTests,BF559&lt;=WlLowMean),"Low results, no KS2 data","")))</f>
        <v/>
      </c>
      <c r="BJ559" t="str">
        <f>IF(BI559="","",IF(BI559="Below KS2 starting point",BG559,100+BF559)+ROW()/1000000)</f>
        <v/>
      </c>
    </row>
    <row r="560">
      <c r="H560" t="str">
        <f>IFERROR(INDEX(tblY7[Class],ROWS(H$10:H560))&amp;"","")</f>
        <v/>
      </c>
      <c r="I560" t="str">
        <f>IF(H560="","",IF(COUNTIF(H$10:H560,H560)=1,COUNTIF(H$10:H$609,"&lt;"&amp;H560)+1,""))</f>
        <v/>
      </c>
      <c r="J560" t="str">
        <f>IFERROR(INDEX(tblY8[Class],ROWS(J$10:J560))&amp;"","")</f>
        <v/>
      </c>
      <c r="K560" t="str">
        <f>IF(J560="","",IF(COUNTIF(J$10:J560,J560)=1,COUNTIF(J$10:J$609,"&lt;"&amp;J560)+1,""))</f>
        <v/>
      </c>
      <c r="L560" t="str">
        <f>IFERROR(INDEX(tblY9[Class],ROWS(L$10:L560))&amp;"","")</f>
        <v/>
      </c>
      <c r="M560" t="str">
        <f>IF(L560="","",IF(COUNTIF(L$10:L560,L560)=1,COUNTIF(L$10:L$609,"&lt;"&amp;L560)+1,""))</f>
        <v/>
      </c>
      <c r="N560" t="str">
        <f>IFERROR(INDEX(tblY10[Class],ROWS(N$10:N560))&amp;"","")</f>
        <v/>
      </c>
      <c r="O560" t="str">
        <f>IF(N560="","",IF(COUNTIF(N$10:N560,N560)=1,COUNTIF(N$10:N$609,"&lt;"&amp;N560)+1,""))</f>
        <v/>
      </c>
      <c r="P560" t="str">
        <f>IFERROR(INDEX(tblY11[Class],ROWS(P$10:P560))&amp;"","")</f>
        <v/>
      </c>
      <c r="Q560" t="str">
        <f>IF(P560="","",IF(COUNTIF(P$10:P560,P560)=1,COUNTIF(P$10:P$609,"&lt;"&amp;P560)+1,""))</f>
        <v/>
      </c>
      <c r="BA560" t="str">
        <f>IFERROR(INDEX(wLast,491)&amp;"","")</f>
        <v/>
      </c>
      <c r="BB560" t="str">
        <f>IF(BA560="","",IFERROR(INDEX(wFirst,491)&amp;"",""))</f>
        <v/>
      </c>
      <c r="BC560" t="str">
        <f>IF(BA560="","",IFERROR(INDEX(wClass,491)&amp;"",""))</f>
        <v/>
      </c>
      <c r="BD560" t="str">
        <f>IF(BA560="","",IFERROR(INDEX(wKS2,491)+0,""))</f>
        <v/>
      </c>
      <c r="BE560" t="str">
        <f>IF(BA560="","",IFERROR(INDEX(wTests,491)+0,0))</f>
        <v/>
      </c>
      <c r="BF560" t="str">
        <f>IF(BA560="","",IFERROR(INDEX(wMean,491)+0,""))</f>
        <v/>
      </c>
      <c r="BG560" t="str">
        <f>IF(BA560="","",IFERROR(INDEX(wVs,491)+0,""))</f>
        <v/>
      </c>
      <c r="BH560" t="str">
        <f>IF(OR(BA560="",wLatest=""),"",IFERROR(INDEX(wData,491,MATCH(wLatest&amp;CHAR(10)&amp;"Stanine",wHdr,0))+0,""))</f>
        <v/>
      </c>
      <c r="BI560" t="str">
        <f>IF(BA560="","",IF(AND(ISNUMBER(BG560),N(BE560)&gt;=WlMinTests,BG560&lt;=-WlGap),"Below KS2 starting point",IF(AND(NOT(ISNUMBER(BD560)),ISNUMBER(BF560),N(BE560)&gt;=WlMinTests,BF560&lt;=WlLowMean),"Low results, no KS2 data","")))</f>
        <v/>
      </c>
      <c r="BJ560" t="str">
        <f>IF(BI560="","",IF(BI560="Below KS2 starting point",BG560,100+BF560)+ROW()/1000000)</f>
        <v/>
      </c>
    </row>
    <row r="561">
      <c r="H561" t="str">
        <f>IFERROR(INDEX(tblY7[Class],ROWS(H$10:H561))&amp;"","")</f>
        <v/>
      </c>
      <c r="I561" t="str">
        <f>IF(H561="","",IF(COUNTIF(H$10:H561,H561)=1,COUNTIF(H$10:H$609,"&lt;"&amp;H561)+1,""))</f>
        <v/>
      </c>
      <c r="J561" t="str">
        <f>IFERROR(INDEX(tblY8[Class],ROWS(J$10:J561))&amp;"","")</f>
        <v/>
      </c>
      <c r="K561" t="str">
        <f>IF(J561="","",IF(COUNTIF(J$10:J561,J561)=1,COUNTIF(J$10:J$609,"&lt;"&amp;J561)+1,""))</f>
        <v/>
      </c>
      <c r="L561" t="str">
        <f>IFERROR(INDEX(tblY9[Class],ROWS(L$10:L561))&amp;"","")</f>
        <v/>
      </c>
      <c r="M561" t="str">
        <f>IF(L561="","",IF(COUNTIF(L$10:L561,L561)=1,COUNTIF(L$10:L$609,"&lt;"&amp;L561)+1,""))</f>
        <v/>
      </c>
      <c r="N561" t="str">
        <f>IFERROR(INDEX(tblY10[Class],ROWS(N$10:N561))&amp;"","")</f>
        <v/>
      </c>
      <c r="O561" t="str">
        <f>IF(N561="","",IF(COUNTIF(N$10:N561,N561)=1,COUNTIF(N$10:N$609,"&lt;"&amp;N561)+1,""))</f>
        <v/>
      </c>
      <c r="P561" t="str">
        <f>IFERROR(INDEX(tblY11[Class],ROWS(P$10:P561))&amp;"","")</f>
        <v/>
      </c>
      <c r="Q561" t="str">
        <f>IF(P561="","",IF(COUNTIF(P$10:P561,P561)=1,COUNTIF(P$10:P$609,"&lt;"&amp;P561)+1,""))</f>
        <v/>
      </c>
      <c r="BA561" t="str">
        <f>IFERROR(INDEX(wLast,492)&amp;"","")</f>
        <v/>
      </c>
      <c r="BB561" t="str">
        <f>IF(BA561="","",IFERROR(INDEX(wFirst,492)&amp;"",""))</f>
        <v/>
      </c>
      <c r="BC561" t="str">
        <f>IF(BA561="","",IFERROR(INDEX(wClass,492)&amp;"",""))</f>
        <v/>
      </c>
      <c r="BD561" t="str">
        <f>IF(BA561="","",IFERROR(INDEX(wKS2,492)+0,""))</f>
        <v/>
      </c>
      <c r="BE561" t="str">
        <f>IF(BA561="","",IFERROR(INDEX(wTests,492)+0,0))</f>
        <v/>
      </c>
      <c r="BF561" t="str">
        <f>IF(BA561="","",IFERROR(INDEX(wMean,492)+0,""))</f>
        <v/>
      </c>
      <c r="BG561" t="str">
        <f>IF(BA561="","",IFERROR(INDEX(wVs,492)+0,""))</f>
        <v/>
      </c>
      <c r="BH561" t="str">
        <f>IF(OR(BA561="",wLatest=""),"",IFERROR(INDEX(wData,492,MATCH(wLatest&amp;CHAR(10)&amp;"Stanine",wHdr,0))+0,""))</f>
        <v/>
      </c>
      <c r="BI561" t="str">
        <f>IF(BA561="","",IF(AND(ISNUMBER(BG561),N(BE561)&gt;=WlMinTests,BG561&lt;=-WlGap),"Below KS2 starting point",IF(AND(NOT(ISNUMBER(BD561)),ISNUMBER(BF561),N(BE561)&gt;=WlMinTests,BF561&lt;=WlLowMean),"Low results, no KS2 data","")))</f>
        <v/>
      </c>
      <c r="BJ561" t="str">
        <f>IF(BI561="","",IF(BI561="Below KS2 starting point",BG561,100+BF561)+ROW()/1000000)</f>
        <v/>
      </c>
    </row>
    <row r="562">
      <c r="H562" t="str">
        <f>IFERROR(INDEX(tblY7[Class],ROWS(H$10:H562))&amp;"","")</f>
        <v/>
      </c>
      <c r="I562" t="str">
        <f>IF(H562="","",IF(COUNTIF(H$10:H562,H562)=1,COUNTIF(H$10:H$609,"&lt;"&amp;H562)+1,""))</f>
        <v/>
      </c>
      <c r="J562" t="str">
        <f>IFERROR(INDEX(tblY8[Class],ROWS(J$10:J562))&amp;"","")</f>
        <v/>
      </c>
      <c r="K562" t="str">
        <f>IF(J562="","",IF(COUNTIF(J$10:J562,J562)=1,COUNTIF(J$10:J$609,"&lt;"&amp;J562)+1,""))</f>
        <v/>
      </c>
      <c r="L562" t="str">
        <f>IFERROR(INDEX(tblY9[Class],ROWS(L$10:L562))&amp;"","")</f>
        <v/>
      </c>
      <c r="M562" t="str">
        <f>IF(L562="","",IF(COUNTIF(L$10:L562,L562)=1,COUNTIF(L$10:L$609,"&lt;"&amp;L562)+1,""))</f>
        <v/>
      </c>
      <c r="N562" t="str">
        <f>IFERROR(INDEX(tblY10[Class],ROWS(N$10:N562))&amp;"","")</f>
        <v/>
      </c>
      <c r="O562" t="str">
        <f>IF(N562="","",IF(COUNTIF(N$10:N562,N562)=1,COUNTIF(N$10:N$609,"&lt;"&amp;N562)+1,""))</f>
        <v/>
      </c>
      <c r="P562" t="str">
        <f>IFERROR(INDEX(tblY11[Class],ROWS(P$10:P562))&amp;"","")</f>
        <v/>
      </c>
      <c r="Q562" t="str">
        <f>IF(P562="","",IF(COUNTIF(P$10:P562,P562)=1,COUNTIF(P$10:P$609,"&lt;"&amp;P562)+1,""))</f>
        <v/>
      </c>
      <c r="BA562" t="str">
        <f>IFERROR(INDEX(wLast,493)&amp;"","")</f>
        <v/>
      </c>
      <c r="BB562" t="str">
        <f>IF(BA562="","",IFERROR(INDEX(wFirst,493)&amp;"",""))</f>
        <v/>
      </c>
      <c r="BC562" t="str">
        <f>IF(BA562="","",IFERROR(INDEX(wClass,493)&amp;"",""))</f>
        <v/>
      </c>
      <c r="BD562" t="str">
        <f>IF(BA562="","",IFERROR(INDEX(wKS2,493)+0,""))</f>
        <v/>
      </c>
      <c r="BE562" t="str">
        <f>IF(BA562="","",IFERROR(INDEX(wTests,493)+0,0))</f>
        <v/>
      </c>
      <c r="BF562" t="str">
        <f>IF(BA562="","",IFERROR(INDEX(wMean,493)+0,""))</f>
        <v/>
      </c>
      <c r="BG562" t="str">
        <f>IF(BA562="","",IFERROR(INDEX(wVs,493)+0,""))</f>
        <v/>
      </c>
      <c r="BH562" t="str">
        <f>IF(OR(BA562="",wLatest=""),"",IFERROR(INDEX(wData,493,MATCH(wLatest&amp;CHAR(10)&amp;"Stanine",wHdr,0))+0,""))</f>
        <v/>
      </c>
      <c r="BI562" t="str">
        <f>IF(BA562="","",IF(AND(ISNUMBER(BG562),N(BE562)&gt;=WlMinTests,BG562&lt;=-WlGap),"Below KS2 starting point",IF(AND(NOT(ISNUMBER(BD562)),ISNUMBER(BF562),N(BE562)&gt;=WlMinTests,BF562&lt;=WlLowMean),"Low results, no KS2 data","")))</f>
        <v/>
      </c>
      <c r="BJ562" t="str">
        <f>IF(BI562="","",IF(BI562="Below KS2 starting point",BG562,100+BF562)+ROW()/1000000)</f>
        <v/>
      </c>
    </row>
    <row r="563">
      <c r="H563" t="str">
        <f>IFERROR(INDEX(tblY7[Class],ROWS(H$10:H563))&amp;"","")</f>
        <v/>
      </c>
      <c r="I563" t="str">
        <f>IF(H563="","",IF(COUNTIF(H$10:H563,H563)=1,COUNTIF(H$10:H$609,"&lt;"&amp;H563)+1,""))</f>
        <v/>
      </c>
      <c r="J563" t="str">
        <f>IFERROR(INDEX(tblY8[Class],ROWS(J$10:J563))&amp;"","")</f>
        <v/>
      </c>
      <c r="K563" t="str">
        <f>IF(J563="","",IF(COUNTIF(J$10:J563,J563)=1,COUNTIF(J$10:J$609,"&lt;"&amp;J563)+1,""))</f>
        <v/>
      </c>
      <c r="L563" t="str">
        <f>IFERROR(INDEX(tblY9[Class],ROWS(L$10:L563))&amp;"","")</f>
        <v/>
      </c>
      <c r="M563" t="str">
        <f>IF(L563="","",IF(COUNTIF(L$10:L563,L563)=1,COUNTIF(L$10:L$609,"&lt;"&amp;L563)+1,""))</f>
        <v/>
      </c>
      <c r="N563" t="str">
        <f>IFERROR(INDEX(tblY10[Class],ROWS(N$10:N563))&amp;"","")</f>
        <v/>
      </c>
      <c r="O563" t="str">
        <f>IF(N563="","",IF(COUNTIF(N$10:N563,N563)=1,COUNTIF(N$10:N$609,"&lt;"&amp;N563)+1,""))</f>
        <v/>
      </c>
      <c r="P563" t="str">
        <f>IFERROR(INDEX(tblY11[Class],ROWS(P$10:P563))&amp;"","")</f>
        <v/>
      </c>
      <c r="Q563" t="str">
        <f>IF(P563="","",IF(COUNTIF(P$10:P563,P563)=1,COUNTIF(P$10:P$609,"&lt;"&amp;P563)+1,""))</f>
        <v/>
      </c>
      <c r="BA563" t="str">
        <f>IFERROR(INDEX(wLast,494)&amp;"","")</f>
        <v/>
      </c>
      <c r="BB563" t="str">
        <f>IF(BA563="","",IFERROR(INDEX(wFirst,494)&amp;"",""))</f>
        <v/>
      </c>
      <c r="BC563" t="str">
        <f>IF(BA563="","",IFERROR(INDEX(wClass,494)&amp;"",""))</f>
        <v/>
      </c>
      <c r="BD563" t="str">
        <f>IF(BA563="","",IFERROR(INDEX(wKS2,494)+0,""))</f>
        <v/>
      </c>
      <c r="BE563" t="str">
        <f>IF(BA563="","",IFERROR(INDEX(wTests,494)+0,0))</f>
        <v/>
      </c>
      <c r="BF563" t="str">
        <f>IF(BA563="","",IFERROR(INDEX(wMean,494)+0,""))</f>
        <v/>
      </c>
      <c r="BG563" t="str">
        <f>IF(BA563="","",IFERROR(INDEX(wVs,494)+0,""))</f>
        <v/>
      </c>
      <c r="BH563" t="str">
        <f>IF(OR(BA563="",wLatest=""),"",IFERROR(INDEX(wData,494,MATCH(wLatest&amp;CHAR(10)&amp;"Stanine",wHdr,0))+0,""))</f>
        <v/>
      </c>
      <c r="BI563" t="str">
        <f>IF(BA563="","",IF(AND(ISNUMBER(BG563),N(BE563)&gt;=WlMinTests,BG563&lt;=-WlGap),"Below KS2 starting point",IF(AND(NOT(ISNUMBER(BD563)),ISNUMBER(BF563),N(BE563)&gt;=WlMinTests,BF563&lt;=WlLowMean),"Low results, no KS2 data","")))</f>
        <v/>
      </c>
      <c r="BJ563" t="str">
        <f>IF(BI563="","",IF(BI563="Below KS2 starting point",BG563,100+BF563)+ROW()/1000000)</f>
        <v/>
      </c>
    </row>
    <row r="564">
      <c r="H564" t="str">
        <f>IFERROR(INDEX(tblY7[Class],ROWS(H$10:H564))&amp;"","")</f>
        <v/>
      </c>
      <c r="I564" t="str">
        <f>IF(H564="","",IF(COUNTIF(H$10:H564,H564)=1,COUNTIF(H$10:H$609,"&lt;"&amp;H564)+1,""))</f>
        <v/>
      </c>
      <c r="J564" t="str">
        <f>IFERROR(INDEX(tblY8[Class],ROWS(J$10:J564))&amp;"","")</f>
        <v/>
      </c>
      <c r="K564" t="str">
        <f>IF(J564="","",IF(COUNTIF(J$10:J564,J564)=1,COUNTIF(J$10:J$609,"&lt;"&amp;J564)+1,""))</f>
        <v/>
      </c>
      <c r="L564" t="str">
        <f>IFERROR(INDEX(tblY9[Class],ROWS(L$10:L564))&amp;"","")</f>
        <v/>
      </c>
      <c r="M564" t="str">
        <f>IF(L564="","",IF(COUNTIF(L$10:L564,L564)=1,COUNTIF(L$10:L$609,"&lt;"&amp;L564)+1,""))</f>
        <v/>
      </c>
      <c r="N564" t="str">
        <f>IFERROR(INDEX(tblY10[Class],ROWS(N$10:N564))&amp;"","")</f>
        <v/>
      </c>
      <c r="O564" t="str">
        <f>IF(N564="","",IF(COUNTIF(N$10:N564,N564)=1,COUNTIF(N$10:N$609,"&lt;"&amp;N564)+1,""))</f>
        <v/>
      </c>
      <c r="P564" t="str">
        <f>IFERROR(INDEX(tblY11[Class],ROWS(P$10:P564))&amp;"","")</f>
        <v/>
      </c>
      <c r="Q564" t="str">
        <f>IF(P564="","",IF(COUNTIF(P$10:P564,P564)=1,COUNTIF(P$10:P$609,"&lt;"&amp;P564)+1,""))</f>
        <v/>
      </c>
      <c r="BA564" t="str">
        <f>IFERROR(INDEX(wLast,495)&amp;"","")</f>
        <v/>
      </c>
      <c r="BB564" t="str">
        <f>IF(BA564="","",IFERROR(INDEX(wFirst,495)&amp;"",""))</f>
        <v/>
      </c>
      <c r="BC564" t="str">
        <f>IF(BA564="","",IFERROR(INDEX(wClass,495)&amp;"",""))</f>
        <v/>
      </c>
      <c r="BD564" t="str">
        <f>IF(BA564="","",IFERROR(INDEX(wKS2,495)+0,""))</f>
        <v/>
      </c>
      <c r="BE564" t="str">
        <f>IF(BA564="","",IFERROR(INDEX(wTests,495)+0,0))</f>
        <v/>
      </c>
      <c r="BF564" t="str">
        <f>IF(BA564="","",IFERROR(INDEX(wMean,495)+0,""))</f>
        <v/>
      </c>
      <c r="BG564" t="str">
        <f>IF(BA564="","",IFERROR(INDEX(wVs,495)+0,""))</f>
        <v/>
      </c>
      <c r="BH564" t="str">
        <f>IF(OR(BA564="",wLatest=""),"",IFERROR(INDEX(wData,495,MATCH(wLatest&amp;CHAR(10)&amp;"Stanine",wHdr,0))+0,""))</f>
        <v/>
      </c>
      <c r="BI564" t="str">
        <f>IF(BA564="","",IF(AND(ISNUMBER(BG564),N(BE564)&gt;=WlMinTests,BG564&lt;=-WlGap),"Below KS2 starting point",IF(AND(NOT(ISNUMBER(BD564)),ISNUMBER(BF564),N(BE564)&gt;=WlMinTests,BF564&lt;=WlLowMean),"Low results, no KS2 data","")))</f>
        <v/>
      </c>
      <c r="BJ564" t="str">
        <f>IF(BI564="","",IF(BI564="Below KS2 starting point",BG564,100+BF564)+ROW()/1000000)</f>
        <v/>
      </c>
    </row>
    <row r="565">
      <c r="H565" t="str">
        <f>IFERROR(INDEX(tblY7[Class],ROWS(H$10:H565))&amp;"","")</f>
        <v/>
      </c>
      <c r="I565" t="str">
        <f>IF(H565="","",IF(COUNTIF(H$10:H565,H565)=1,COUNTIF(H$10:H$609,"&lt;"&amp;H565)+1,""))</f>
        <v/>
      </c>
      <c r="J565" t="str">
        <f>IFERROR(INDEX(tblY8[Class],ROWS(J$10:J565))&amp;"","")</f>
        <v/>
      </c>
      <c r="K565" t="str">
        <f>IF(J565="","",IF(COUNTIF(J$10:J565,J565)=1,COUNTIF(J$10:J$609,"&lt;"&amp;J565)+1,""))</f>
        <v/>
      </c>
      <c r="L565" t="str">
        <f>IFERROR(INDEX(tblY9[Class],ROWS(L$10:L565))&amp;"","")</f>
        <v/>
      </c>
      <c r="M565" t="str">
        <f>IF(L565="","",IF(COUNTIF(L$10:L565,L565)=1,COUNTIF(L$10:L$609,"&lt;"&amp;L565)+1,""))</f>
        <v/>
      </c>
      <c r="N565" t="str">
        <f>IFERROR(INDEX(tblY10[Class],ROWS(N$10:N565))&amp;"","")</f>
        <v/>
      </c>
      <c r="O565" t="str">
        <f>IF(N565="","",IF(COUNTIF(N$10:N565,N565)=1,COUNTIF(N$10:N$609,"&lt;"&amp;N565)+1,""))</f>
        <v/>
      </c>
      <c r="P565" t="str">
        <f>IFERROR(INDEX(tblY11[Class],ROWS(P$10:P565))&amp;"","")</f>
        <v/>
      </c>
      <c r="Q565" t="str">
        <f>IF(P565="","",IF(COUNTIF(P$10:P565,P565)=1,COUNTIF(P$10:P$609,"&lt;"&amp;P565)+1,""))</f>
        <v/>
      </c>
      <c r="BA565" t="str">
        <f>IFERROR(INDEX(wLast,496)&amp;"","")</f>
        <v/>
      </c>
      <c r="BB565" t="str">
        <f>IF(BA565="","",IFERROR(INDEX(wFirst,496)&amp;"",""))</f>
        <v/>
      </c>
      <c r="BC565" t="str">
        <f>IF(BA565="","",IFERROR(INDEX(wClass,496)&amp;"",""))</f>
        <v/>
      </c>
      <c r="BD565" t="str">
        <f>IF(BA565="","",IFERROR(INDEX(wKS2,496)+0,""))</f>
        <v/>
      </c>
      <c r="BE565" t="str">
        <f>IF(BA565="","",IFERROR(INDEX(wTests,496)+0,0))</f>
        <v/>
      </c>
      <c r="BF565" t="str">
        <f>IF(BA565="","",IFERROR(INDEX(wMean,496)+0,""))</f>
        <v/>
      </c>
      <c r="BG565" t="str">
        <f>IF(BA565="","",IFERROR(INDEX(wVs,496)+0,""))</f>
        <v/>
      </c>
      <c r="BH565" t="str">
        <f>IF(OR(BA565="",wLatest=""),"",IFERROR(INDEX(wData,496,MATCH(wLatest&amp;CHAR(10)&amp;"Stanine",wHdr,0))+0,""))</f>
        <v/>
      </c>
      <c r="BI565" t="str">
        <f>IF(BA565="","",IF(AND(ISNUMBER(BG565),N(BE565)&gt;=WlMinTests,BG565&lt;=-WlGap),"Below KS2 starting point",IF(AND(NOT(ISNUMBER(BD565)),ISNUMBER(BF565),N(BE565)&gt;=WlMinTests,BF565&lt;=WlLowMean),"Low results, no KS2 data","")))</f>
        <v/>
      </c>
      <c r="BJ565" t="str">
        <f>IF(BI565="","",IF(BI565="Below KS2 starting point",BG565,100+BF565)+ROW()/1000000)</f>
        <v/>
      </c>
    </row>
    <row r="566">
      <c r="H566" t="str">
        <f>IFERROR(INDEX(tblY7[Class],ROWS(H$10:H566))&amp;"","")</f>
        <v/>
      </c>
      <c r="I566" t="str">
        <f>IF(H566="","",IF(COUNTIF(H$10:H566,H566)=1,COUNTIF(H$10:H$609,"&lt;"&amp;H566)+1,""))</f>
        <v/>
      </c>
      <c r="J566" t="str">
        <f>IFERROR(INDEX(tblY8[Class],ROWS(J$10:J566))&amp;"","")</f>
        <v/>
      </c>
      <c r="K566" t="str">
        <f>IF(J566="","",IF(COUNTIF(J$10:J566,J566)=1,COUNTIF(J$10:J$609,"&lt;"&amp;J566)+1,""))</f>
        <v/>
      </c>
      <c r="L566" t="str">
        <f>IFERROR(INDEX(tblY9[Class],ROWS(L$10:L566))&amp;"","")</f>
        <v/>
      </c>
      <c r="M566" t="str">
        <f>IF(L566="","",IF(COUNTIF(L$10:L566,L566)=1,COUNTIF(L$10:L$609,"&lt;"&amp;L566)+1,""))</f>
        <v/>
      </c>
      <c r="N566" t="str">
        <f>IFERROR(INDEX(tblY10[Class],ROWS(N$10:N566))&amp;"","")</f>
        <v/>
      </c>
      <c r="O566" t="str">
        <f>IF(N566="","",IF(COUNTIF(N$10:N566,N566)=1,COUNTIF(N$10:N$609,"&lt;"&amp;N566)+1,""))</f>
        <v/>
      </c>
      <c r="P566" t="str">
        <f>IFERROR(INDEX(tblY11[Class],ROWS(P$10:P566))&amp;"","")</f>
        <v/>
      </c>
      <c r="Q566" t="str">
        <f>IF(P566="","",IF(COUNTIF(P$10:P566,P566)=1,COUNTIF(P$10:P$609,"&lt;"&amp;P566)+1,""))</f>
        <v/>
      </c>
      <c r="BA566" t="str">
        <f>IFERROR(INDEX(wLast,497)&amp;"","")</f>
        <v/>
      </c>
      <c r="BB566" t="str">
        <f>IF(BA566="","",IFERROR(INDEX(wFirst,497)&amp;"",""))</f>
        <v/>
      </c>
      <c r="BC566" t="str">
        <f>IF(BA566="","",IFERROR(INDEX(wClass,497)&amp;"",""))</f>
        <v/>
      </c>
      <c r="BD566" t="str">
        <f>IF(BA566="","",IFERROR(INDEX(wKS2,497)+0,""))</f>
        <v/>
      </c>
      <c r="BE566" t="str">
        <f>IF(BA566="","",IFERROR(INDEX(wTests,497)+0,0))</f>
        <v/>
      </c>
      <c r="BF566" t="str">
        <f>IF(BA566="","",IFERROR(INDEX(wMean,497)+0,""))</f>
        <v/>
      </c>
      <c r="BG566" t="str">
        <f>IF(BA566="","",IFERROR(INDEX(wVs,497)+0,""))</f>
        <v/>
      </c>
      <c r="BH566" t="str">
        <f>IF(OR(BA566="",wLatest=""),"",IFERROR(INDEX(wData,497,MATCH(wLatest&amp;CHAR(10)&amp;"Stanine",wHdr,0))+0,""))</f>
        <v/>
      </c>
      <c r="BI566" t="str">
        <f>IF(BA566="","",IF(AND(ISNUMBER(BG566),N(BE566)&gt;=WlMinTests,BG566&lt;=-WlGap),"Below KS2 starting point",IF(AND(NOT(ISNUMBER(BD566)),ISNUMBER(BF566),N(BE566)&gt;=WlMinTests,BF566&lt;=WlLowMean),"Low results, no KS2 data","")))</f>
        <v/>
      </c>
      <c r="BJ566" t="str">
        <f>IF(BI566="","",IF(BI566="Below KS2 starting point",BG566,100+BF566)+ROW()/1000000)</f>
        <v/>
      </c>
    </row>
    <row r="567">
      <c r="H567" t="str">
        <f>IFERROR(INDEX(tblY7[Class],ROWS(H$10:H567))&amp;"","")</f>
        <v/>
      </c>
      <c r="I567" t="str">
        <f>IF(H567="","",IF(COUNTIF(H$10:H567,H567)=1,COUNTIF(H$10:H$609,"&lt;"&amp;H567)+1,""))</f>
        <v/>
      </c>
      <c r="J567" t="str">
        <f>IFERROR(INDEX(tblY8[Class],ROWS(J$10:J567))&amp;"","")</f>
        <v/>
      </c>
      <c r="K567" t="str">
        <f>IF(J567="","",IF(COUNTIF(J$10:J567,J567)=1,COUNTIF(J$10:J$609,"&lt;"&amp;J567)+1,""))</f>
        <v/>
      </c>
      <c r="L567" t="str">
        <f>IFERROR(INDEX(tblY9[Class],ROWS(L$10:L567))&amp;"","")</f>
        <v/>
      </c>
      <c r="M567" t="str">
        <f>IF(L567="","",IF(COUNTIF(L$10:L567,L567)=1,COUNTIF(L$10:L$609,"&lt;"&amp;L567)+1,""))</f>
        <v/>
      </c>
      <c r="N567" t="str">
        <f>IFERROR(INDEX(tblY10[Class],ROWS(N$10:N567))&amp;"","")</f>
        <v/>
      </c>
      <c r="O567" t="str">
        <f>IF(N567="","",IF(COUNTIF(N$10:N567,N567)=1,COUNTIF(N$10:N$609,"&lt;"&amp;N567)+1,""))</f>
        <v/>
      </c>
      <c r="P567" t="str">
        <f>IFERROR(INDEX(tblY11[Class],ROWS(P$10:P567))&amp;"","")</f>
        <v/>
      </c>
      <c r="Q567" t="str">
        <f>IF(P567="","",IF(COUNTIF(P$10:P567,P567)=1,COUNTIF(P$10:P$609,"&lt;"&amp;P567)+1,""))</f>
        <v/>
      </c>
      <c r="BA567" t="str">
        <f>IFERROR(INDEX(wLast,498)&amp;"","")</f>
        <v/>
      </c>
      <c r="BB567" t="str">
        <f>IF(BA567="","",IFERROR(INDEX(wFirst,498)&amp;"",""))</f>
        <v/>
      </c>
      <c r="BC567" t="str">
        <f>IF(BA567="","",IFERROR(INDEX(wClass,498)&amp;"",""))</f>
        <v/>
      </c>
      <c r="BD567" t="str">
        <f>IF(BA567="","",IFERROR(INDEX(wKS2,498)+0,""))</f>
        <v/>
      </c>
      <c r="BE567" t="str">
        <f>IF(BA567="","",IFERROR(INDEX(wTests,498)+0,0))</f>
        <v/>
      </c>
      <c r="BF567" t="str">
        <f>IF(BA567="","",IFERROR(INDEX(wMean,498)+0,""))</f>
        <v/>
      </c>
      <c r="BG567" t="str">
        <f>IF(BA567="","",IFERROR(INDEX(wVs,498)+0,""))</f>
        <v/>
      </c>
      <c r="BH567" t="str">
        <f>IF(OR(BA567="",wLatest=""),"",IFERROR(INDEX(wData,498,MATCH(wLatest&amp;CHAR(10)&amp;"Stanine",wHdr,0))+0,""))</f>
        <v/>
      </c>
      <c r="BI567" t="str">
        <f>IF(BA567="","",IF(AND(ISNUMBER(BG567),N(BE567)&gt;=WlMinTests,BG567&lt;=-WlGap),"Below KS2 starting point",IF(AND(NOT(ISNUMBER(BD567)),ISNUMBER(BF567),N(BE567)&gt;=WlMinTests,BF567&lt;=WlLowMean),"Low results, no KS2 data","")))</f>
        <v/>
      </c>
      <c r="BJ567" t="str">
        <f>IF(BI567="","",IF(BI567="Below KS2 starting point",BG567,100+BF567)+ROW()/1000000)</f>
        <v/>
      </c>
    </row>
    <row r="568">
      <c r="H568" t="str">
        <f>IFERROR(INDEX(tblY7[Class],ROWS(H$10:H568))&amp;"","")</f>
        <v/>
      </c>
      <c r="I568" t="str">
        <f>IF(H568="","",IF(COUNTIF(H$10:H568,H568)=1,COUNTIF(H$10:H$609,"&lt;"&amp;H568)+1,""))</f>
        <v/>
      </c>
      <c r="J568" t="str">
        <f>IFERROR(INDEX(tblY8[Class],ROWS(J$10:J568))&amp;"","")</f>
        <v/>
      </c>
      <c r="K568" t="str">
        <f>IF(J568="","",IF(COUNTIF(J$10:J568,J568)=1,COUNTIF(J$10:J$609,"&lt;"&amp;J568)+1,""))</f>
        <v/>
      </c>
      <c r="L568" t="str">
        <f>IFERROR(INDEX(tblY9[Class],ROWS(L$10:L568))&amp;"","")</f>
        <v/>
      </c>
      <c r="M568" t="str">
        <f>IF(L568="","",IF(COUNTIF(L$10:L568,L568)=1,COUNTIF(L$10:L$609,"&lt;"&amp;L568)+1,""))</f>
        <v/>
      </c>
      <c r="N568" t="str">
        <f>IFERROR(INDEX(tblY10[Class],ROWS(N$10:N568))&amp;"","")</f>
        <v/>
      </c>
      <c r="O568" t="str">
        <f>IF(N568="","",IF(COUNTIF(N$10:N568,N568)=1,COUNTIF(N$10:N$609,"&lt;"&amp;N568)+1,""))</f>
        <v/>
      </c>
      <c r="P568" t="str">
        <f>IFERROR(INDEX(tblY11[Class],ROWS(P$10:P568))&amp;"","")</f>
        <v/>
      </c>
      <c r="Q568" t="str">
        <f>IF(P568="","",IF(COUNTIF(P$10:P568,P568)=1,COUNTIF(P$10:P$609,"&lt;"&amp;P568)+1,""))</f>
        <v/>
      </c>
      <c r="BA568" t="str">
        <f>IFERROR(INDEX(wLast,499)&amp;"","")</f>
        <v/>
      </c>
      <c r="BB568" t="str">
        <f>IF(BA568="","",IFERROR(INDEX(wFirst,499)&amp;"",""))</f>
        <v/>
      </c>
      <c r="BC568" t="str">
        <f>IF(BA568="","",IFERROR(INDEX(wClass,499)&amp;"",""))</f>
        <v/>
      </c>
      <c r="BD568" t="str">
        <f>IF(BA568="","",IFERROR(INDEX(wKS2,499)+0,""))</f>
        <v/>
      </c>
      <c r="BE568" t="str">
        <f>IF(BA568="","",IFERROR(INDEX(wTests,499)+0,0))</f>
        <v/>
      </c>
      <c r="BF568" t="str">
        <f>IF(BA568="","",IFERROR(INDEX(wMean,499)+0,""))</f>
        <v/>
      </c>
      <c r="BG568" t="str">
        <f>IF(BA568="","",IFERROR(INDEX(wVs,499)+0,""))</f>
        <v/>
      </c>
      <c r="BH568" t="str">
        <f>IF(OR(BA568="",wLatest=""),"",IFERROR(INDEX(wData,499,MATCH(wLatest&amp;CHAR(10)&amp;"Stanine",wHdr,0))+0,""))</f>
        <v/>
      </c>
      <c r="BI568" t="str">
        <f>IF(BA568="","",IF(AND(ISNUMBER(BG568),N(BE568)&gt;=WlMinTests,BG568&lt;=-WlGap),"Below KS2 starting point",IF(AND(NOT(ISNUMBER(BD568)),ISNUMBER(BF568),N(BE568)&gt;=WlMinTests,BF568&lt;=WlLowMean),"Low results, no KS2 data","")))</f>
        <v/>
      </c>
      <c r="BJ568" t="str">
        <f>IF(BI568="","",IF(BI568="Below KS2 starting point",BG568,100+BF568)+ROW()/1000000)</f>
        <v/>
      </c>
    </row>
    <row r="569">
      <c r="H569" t="str">
        <f>IFERROR(INDEX(tblY7[Class],ROWS(H$10:H569))&amp;"","")</f>
        <v/>
      </c>
      <c r="I569" t="str">
        <f>IF(H569="","",IF(COUNTIF(H$10:H569,H569)=1,COUNTIF(H$10:H$609,"&lt;"&amp;H569)+1,""))</f>
        <v/>
      </c>
      <c r="J569" t="str">
        <f>IFERROR(INDEX(tblY8[Class],ROWS(J$10:J569))&amp;"","")</f>
        <v/>
      </c>
      <c r="K569" t="str">
        <f>IF(J569="","",IF(COUNTIF(J$10:J569,J569)=1,COUNTIF(J$10:J$609,"&lt;"&amp;J569)+1,""))</f>
        <v/>
      </c>
      <c r="L569" t="str">
        <f>IFERROR(INDEX(tblY9[Class],ROWS(L$10:L569))&amp;"","")</f>
        <v/>
      </c>
      <c r="M569" t="str">
        <f>IF(L569="","",IF(COUNTIF(L$10:L569,L569)=1,COUNTIF(L$10:L$609,"&lt;"&amp;L569)+1,""))</f>
        <v/>
      </c>
      <c r="N569" t="str">
        <f>IFERROR(INDEX(tblY10[Class],ROWS(N$10:N569))&amp;"","")</f>
        <v/>
      </c>
      <c r="O569" t="str">
        <f>IF(N569="","",IF(COUNTIF(N$10:N569,N569)=1,COUNTIF(N$10:N$609,"&lt;"&amp;N569)+1,""))</f>
        <v/>
      </c>
      <c r="P569" t="str">
        <f>IFERROR(INDEX(tblY11[Class],ROWS(P$10:P569))&amp;"","")</f>
        <v/>
      </c>
      <c r="Q569" t="str">
        <f>IF(P569="","",IF(COUNTIF(P$10:P569,P569)=1,COUNTIF(P$10:P$609,"&lt;"&amp;P569)+1,""))</f>
        <v/>
      </c>
      <c r="BA569" t="str">
        <f>IFERROR(INDEX(wLast,500)&amp;"","")</f>
        <v/>
      </c>
      <c r="BB569" t="str">
        <f>IF(BA569="","",IFERROR(INDEX(wFirst,500)&amp;"",""))</f>
        <v/>
      </c>
      <c r="BC569" t="str">
        <f>IF(BA569="","",IFERROR(INDEX(wClass,500)&amp;"",""))</f>
        <v/>
      </c>
      <c r="BD569" t="str">
        <f>IF(BA569="","",IFERROR(INDEX(wKS2,500)+0,""))</f>
        <v/>
      </c>
      <c r="BE569" t="str">
        <f>IF(BA569="","",IFERROR(INDEX(wTests,500)+0,0))</f>
        <v/>
      </c>
      <c r="BF569" t="str">
        <f>IF(BA569="","",IFERROR(INDEX(wMean,500)+0,""))</f>
        <v/>
      </c>
      <c r="BG569" t="str">
        <f>IF(BA569="","",IFERROR(INDEX(wVs,500)+0,""))</f>
        <v/>
      </c>
      <c r="BH569" t="str">
        <f>IF(OR(BA569="",wLatest=""),"",IFERROR(INDEX(wData,500,MATCH(wLatest&amp;CHAR(10)&amp;"Stanine",wHdr,0))+0,""))</f>
        <v/>
      </c>
      <c r="BI569" t="str">
        <f>IF(BA569="","",IF(AND(ISNUMBER(BG569),N(BE569)&gt;=WlMinTests,BG569&lt;=-WlGap),"Below KS2 starting point",IF(AND(NOT(ISNUMBER(BD569)),ISNUMBER(BF569),N(BE569)&gt;=WlMinTests,BF569&lt;=WlLowMean),"Low results, no KS2 data","")))</f>
        <v/>
      </c>
      <c r="BJ569" t="str">
        <f>IF(BI569="","",IF(BI569="Below KS2 starting point",BG569,100+BF569)+ROW()/1000000)</f>
        <v/>
      </c>
    </row>
    <row r="570">
      <c r="H570" t="str">
        <f>IFERROR(INDEX(tblY7[Class],ROWS(H$10:H570))&amp;"","")</f>
        <v/>
      </c>
      <c r="I570" t="str">
        <f>IF(H570="","",IF(COUNTIF(H$10:H570,H570)=1,COUNTIF(H$10:H$609,"&lt;"&amp;H570)+1,""))</f>
        <v/>
      </c>
      <c r="J570" t="str">
        <f>IFERROR(INDEX(tblY8[Class],ROWS(J$10:J570))&amp;"","")</f>
        <v/>
      </c>
      <c r="K570" t="str">
        <f>IF(J570="","",IF(COUNTIF(J$10:J570,J570)=1,COUNTIF(J$10:J$609,"&lt;"&amp;J570)+1,""))</f>
        <v/>
      </c>
      <c r="L570" t="str">
        <f>IFERROR(INDEX(tblY9[Class],ROWS(L$10:L570))&amp;"","")</f>
        <v/>
      </c>
      <c r="M570" t="str">
        <f>IF(L570="","",IF(COUNTIF(L$10:L570,L570)=1,COUNTIF(L$10:L$609,"&lt;"&amp;L570)+1,""))</f>
        <v/>
      </c>
      <c r="N570" t="str">
        <f>IFERROR(INDEX(tblY10[Class],ROWS(N$10:N570))&amp;"","")</f>
        <v/>
      </c>
      <c r="O570" t="str">
        <f>IF(N570="","",IF(COUNTIF(N$10:N570,N570)=1,COUNTIF(N$10:N$609,"&lt;"&amp;N570)+1,""))</f>
        <v/>
      </c>
      <c r="P570" t="str">
        <f>IFERROR(INDEX(tblY11[Class],ROWS(P$10:P570))&amp;"","")</f>
        <v/>
      </c>
      <c r="Q570" t="str">
        <f>IF(P570="","",IF(COUNTIF(P$10:P570,P570)=1,COUNTIF(P$10:P$609,"&lt;"&amp;P570)+1,""))</f>
        <v/>
      </c>
      <c r="BA570" t="str">
        <f>IFERROR(INDEX(wLast,501)&amp;"","")</f>
        <v/>
      </c>
      <c r="BB570" t="str">
        <f>IF(BA570="","",IFERROR(INDEX(wFirst,501)&amp;"",""))</f>
        <v/>
      </c>
      <c r="BC570" t="str">
        <f>IF(BA570="","",IFERROR(INDEX(wClass,501)&amp;"",""))</f>
        <v/>
      </c>
      <c r="BD570" t="str">
        <f>IF(BA570="","",IFERROR(INDEX(wKS2,501)+0,""))</f>
        <v/>
      </c>
      <c r="BE570" t="str">
        <f>IF(BA570="","",IFERROR(INDEX(wTests,501)+0,0))</f>
        <v/>
      </c>
      <c r="BF570" t="str">
        <f>IF(BA570="","",IFERROR(INDEX(wMean,501)+0,""))</f>
        <v/>
      </c>
      <c r="BG570" t="str">
        <f>IF(BA570="","",IFERROR(INDEX(wVs,501)+0,""))</f>
        <v/>
      </c>
      <c r="BH570" t="str">
        <f>IF(OR(BA570="",wLatest=""),"",IFERROR(INDEX(wData,501,MATCH(wLatest&amp;CHAR(10)&amp;"Stanine",wHdr,0))+0,""))</f>
        <v/>
      </c>
      <c r="BI570" t="str">
        <f>IF(BA570="","",IF(AND(ISNUMBER(BG570),N(BE570)&gt;=WlMinTests,BG570&lt;=-WlGap),"Below KS2 starting point",IF(AND(NOT(ISNUMBER(BD570)),ISNUMBER(BF570),N(BE570)&gt;=WlMinTests,BF570&lt;=WlLowMean),"Low results, no KS2 data","")))</f>
        <v/>
      </c>
      <c r="BJ570" t="str">
        <f>IF(BI570="","",IF(BI570="Below KS2 starting point",BG570,100+BF570)+ROW()/1000000)</f>
        <v/>
      </c>
    </row>
    <row r="571">
      <c r="H571" t="str">
        <f>IFERROR(INDEX(tblY7[Class],ROWS(H$10:H571))&amp;"","")</f>
        <v/>
      </c>
      <c r="I571" t="str">
        <f>IF(H571="","",IF(COUNTIF(H$10:H571,H571)=1,COUNTIF(H$10:H$609,"&lt;"&amp;H571)+1,""))</f>
        <v/>
      </c>
      <c r="J571" t="str">
        <f>IFERROR(INDEX(tblY8[Class],ROWS(J$10:J571))&amp;"","")</f>
        <v/>
      </c>
      <c r="K571" t="str">
        <f>IF(J571="","",IF(COUNTIF(J$10:J571,J571)=1,COUNTIF(J$10:J$609,"&lt;"&amp;J571)+1,""))</f>
        <v/>
      </c>
      <c r="L571" t="str">
        <f>IFERROR(INDEX(tblY9[Class],ROWS(L$10:L571))&amp;"","")</f>
        <v/>
      </c>
      <c r="M571" t="str">
        <f>IF(L571="","",IF(COUNTIF(L$10:L571,L571)=1,COUNTIF(L$10:L$609,"&lt;"&amp;L571)+1,""))</f>
        <v/>
      </c>
      <c r="N571" t="str">
        <f>IFERROR(INDEX(tblY10[Class],ROWS(N$10:N571))&amp;"","")</f>
        <v/>
      </c>
      <c r="O571" t="str">
        <f>IF(N571="","",IF(COUNTIF(N$10:N571,N571)=1,COUNTIF(N$10:N$609,"&lt;"&amp;N571)+1,""))</f>
        <v/>
      </c>
      <c r="P571" t="str">
        <f>IFERROR(INDEX(tblY11[Class],ROWS(P$10:P571))&amp;"","")</f>
        <v/>
      </c>
      <c r="Q571" t="str">
        <f>IF(P571="","",IF(COUNTIF(P$10:P571,P571)=1,COUNTIF(P$10:P$609,"&lt;"&amp;P571)+1,""))</f>
        <v/>
      </c>
      <c r="BA571" t="str">
        <f>IFERROR(INDEX(wLast,502)&amp;"","")</f>
        <v/>
      </c>
      <c r="BB571" t="str">
        <f>IF(BA571="","",IFERROR(INDEX(wFirst,502)&amp;"",""))</f>
        <v/>
      </c>
      <c r="BC571" t="str">
        <f>IF(BA571="","",IFERROR(INDEX(wClass,502)&amp;"",""))</f>
        <v/>
      </c>
      <c r="BD571" t="str">
        <f>IF(BA571="","",IFERROR(INDEX(wKS2,502)+0,""))</f>
        <v/>
      </c>
      <c r="BE571" t="str">
        <f>IF(BA571="","",IFERROR(INDEX(wTests,502)+0,0))</f>
        <v/>
      </c>
      <c r="BF571" t="str">
        <f>IF(BA571="","",IFERROR(INDEX(wMean,502)+0,""))</f>
        <v/>
      </c>
      <c r="BG571" t="str">
        <f>IF(BA571="","",IFERROR(INDEX(wVs,502)+0,""))</f>
        <v/>
      </c>
      <c r="BH571" t="str">
        <f>IF(OR(BA571="",wLatest=""),"",IFERROR(INDEX(wData,502,MATCH(wLatest&amp;CHAR(10)&amp;"Stanine",wHdr,0))+0,""))</f>
        <v/>
      </c>
      <c r="BI571" t="str">
        <f>IF(BA571="","",IF(AND(ISNUMBER(BG571),N(BE571)&gt;=WlMinTests,BG571&lt;=-WlGap),"Below KS2 starting point",IF(AND(NOT(ISNUMBER(BD571)),ISNUMBER(BF571),N(BE571)&gt;=WlMinTests,BF571&lt;=WlLowMean),"Low results, no KS2 data","")))</f>
        <v/>
      </c>
      <c r="BJ571" t="str">
        <f>IF(BI571="","",IF(BI571="Below KS2 starting point",BG571,100+BF571)+ROW()/1000000)</f>
        <v/>
      </c>
    </row>
    <row r="572">
      <c r="H572" t="str">
        <f>IFERROR(INDEX(tblY7[Class],ROWS(H$10:H572))&amp;"","")</f>
        <v/>
      </c>
      <c r="I572" t="str">
        <f>IF(H572="","",IF(COUNTIF(H$10:H572,H572)=1,COUNTIF(H$10:H$609,"&lt;"&amp;H572)+1,""))</f>
        <v/>
      </c>
      <c r="J572" t="str">
        <f>IFERROR(INDEX(tblY8[Class],ROWS(J$10:J572))&amp;"","")</f>
        <v/>
      </c>
      <c r="K572" t="str">
        <f>IF(J572="","",IF(COUNTIF(J$10:J572,J572)=1,COUNTIF(J$10:J$609,"&lt;"&amp;J572)+1,""))</f>
        <v/>
      </c>
      <c r="L572" t="str">
        <f>IFERROR(INDEX(tblY9[Class],ROWS(L$10:L572))&amp;"","")</f>
        <v/>
      </c>
      <c r="M572" t="str">
        <f>IF(L572="","",IF(COUNTIF(L$10:L572,L572)=1,COUNTIF(L$10:L$609,"&lt;"&amp;L572)+1,""))</f>
        <v/>
      </c>
      <c r="N572" t="str">
        <f>IFERROR(INDEX(tblY10[Class],ROWS(N$10:N572))&amp;"","")</f>
        <v/>
      </c>
      <c r="O572" t="str">
        <f>IF(N572="","",IF(COUNTIF(N$10:N572,N572)=1,COUNTIF(N$10:N$609,"&lt;"&amp;N572)+1,""))</f>
        <v/>
      </c>
      <c r="P572" t="str">
        <f>IFERROR(INDEX(tblY11[Class],ROWS(P$10:P572))&amp;"","")</f>
        <v/>
      </c>
      <c r="Q572" t="str">
        <f>IF(P572="","",IF(COUNTIF(P$10:P572,P572)=1,COUNTIF(P$10:P$609,"&lt;"&amp;P572)+1,""))</f>
        <v/>
      </c>
      <c r="BA572" t="str">
        <f>IFERROR(INDEX(wLast,503)&amp;"","")</f>
        <v/>
      </c>
      <c r="BB572" t="str">
        <f>IF(BA572="","",IFERROR(INDEX(wFirst,503)&amp;"",""))</f>
        <v/>
      </c>
      <c r="BC572" t="str">
        <f>IF(BA572="","",IFERROR(INDEX(wClass,503)&amp;"",""))</f>
        <v/>
      </c>
      <c r="BD572" t="str">
        <f>IF(BA572="","",IFERROR(INDEX(wKS2,503)+0,""))</f>
        <v/>
      </c>
      <c r="BE572" t="str">
        <f>IF(BA572="","",IFERROR(INDEX(wTests,503)+0,0))</f>
        <v/>
      </c>
      <c r="BF572" t="str">
        <f>IF(BA572="","",IFERROR(INDEX(wMean,503)+0,""))</f>
        <v/>
      </c>
      <c r="BG572" t="str">
        <f>IF(BA572="","",IFERROR(INDEX(wVs,503)+0,""))</f>
        <v/>
      </c>
      <c r="BH572" t="str">
        <f>IF(OR(BA572="",wLatest=""),"",IFERROR(INDEX(wData,503,MATCH(wLatest&amp;CHAR(10)&amp;"Stanine",wHdr,0))+0,""))</f>
        <v/>
      </c>
      <c r="BI572" t="str">
        <f>IF(BA572="","",IF(AND(ISNUMBER(BG572),N(BE572)&gt;=WlMinTests,BG572&lt;=-WlGap),"Below KS2 starting point",IF(AND(NOT(ISNUMBER(BD572)),ISNUMBER(BF572),N(BE572)&gt;=WlMinTests,BF572&lt;=WlLowMean),"Low results, no KS2 data","")))</f>
        <v/>
      </c>
      <c r="BJ572" t="str">
        <f>IF(BI572="","",IF(BI572="Below KS2 starting point",BG572,100+BF572)+ROW()/1000000)</f>
        <v/>
      </c>
    </row>
    <row r="573">
      <c r="H573" t="str">
        <f>IFERROR(INDEX(tblY7[Class],ROWS(H$10:H573))&amp;"","")</f>
        <v/>
      </c>
      <c r="I573" t="str">
        <f>IF(H573="","",IF(COUNTIF(H$10:H573,H573)=1,COUNTIF(H$10:H$609,"&lt;"&amp;H573)+1,""))</f>
        <v/>
      </c>
      <c r="J573" t="str">
        <f>IFERROR(INDEX(tblY8[Class],ROWS(J$10:J573))&amp;"","")</f>
        <v/>
      </c>
      <c r="K573" t="str">
        <f>IF(J573="","",IF(COUNTIF(J$10:J573,J573)=1,COUNTIF(J$10:J$609,"&lt;"&amp;J573)+1,""))</f>
        <v/>
      </c>
      <c r="L573" t="str">
        <f>IFERROR(INDEX(tblY9[Class],ROWS(L$10:L573))&amp;"","")</f>
        <v/>
      </c>
      <c r="M573" t="str">
        <f>IF(L573="","",IF(COUNTIF(L$10:L573,L573)=1,COUNTIF(L$10:L$609,"&lt;"&amp;L573)+1,""))</f>
        <v/>
      </c>
      <c r="N573" t="str">
        <f>IFERROR(INDEX(tblY10[Class],ROWS(N$10:N573))&amp;"","")</f>
        <v/>
      </c>
      <c r="O573" t="str">
        <f>IF(N573="","",IF(COUNTIF(N$10:N573,N573)=1,COUNTIF(N$10:N$609,"&lt;"&amp;N573)+1,""))</f>
        <v/>
      </c>
      <c r="P573" t="str">
        <f>IFERROR(INDEX(tblY11[Class],ROWS(P$10:P573))&amp;"","")</f>
        <v/>
      </c>
      <c r="Q573" t="str">
        <f>IF(P573="","",IF(COUNTIF(P$10:P573,P573)=1,COUNTIF(P$10:P$609,"&lt;"&amp;P573)+1,""))</f>
        <v/>
      </c>
      <c r="BA573" t="str">
        <f>IFERROR(INDEX(wLast,504)&amp;"","")</f>
        <v/>
      </c>
      <c r="BB573" t="str">
        <f>IF(BA573="","",IFERROR(INDEX(wFirst,504)&amp;"",""))</f>
        <v/>
      </c>
      <c r="BC573" t="str">
        <f>IF(BA573="","",IFERROR(INDEX(wClass,504)&amp;"",""))</f>
        <v/>
      </c>
      <c r="BD573" t="str">
        <f>IF(BA573="","",IFERROR(INDEX(wKS2,504)+0,""))</f>
        <v/>
      </c>
      <c r="BE573" t="str">
        <f>IF(BA573="","",IFERROR(INDEX(wTests,504)+0,0))</f>
        <v/>
      </c>
      <c r="BF573" t="str">
        <f>IF(BA573="","",IFERROR(INDEX(wMean,504)+0,""))</f>
        <v/>
      </c>
      <c r="BG573" t="str">
        <f>IF(BA573="","",IFERROR(INDEX(wVs,504)+0,""))</f>
        <v/>
      </c>
      <c r="BH573" t="str">
        <f>IF(OR(BA573="",wLatest=""),"",IFERROR(INDEX(wData,504,MATCH(wLatest&amp;CHAR(10)&amp;"Stanine",wHdr,0))+0,""))</f>
        <v/>
      </c>
      <c r="BI573" t="str">
        <f>IF(BA573="","",IF(AND(ISNUMBER(BG573),N(BE573)&gt;=WlMinTests,BG573&lt;=-WlGap),"Below KS2 starting point",IF(AND(NOT(ISNUMBER(BD573)),ISNUMBER(BF573),N(BE573)&gt;=WlMinTests,BF573&lt;=WlLowMean),"Low results, no KS2 data","")))</f>
        <v/>
      </c>
      <c r="BJ573" t="str">
        <f>IF(BI573="","",IF(BI573="Below KS2 starting point",BG573,100+BF573)+ROW()/1000000)</f>
        <v/>
      </c>
    </row>
    <row r="574">
      <c r="H574" t="str">
        <f>IFERROR(INDEX(tblY7[Class],ROWS(H$10:H574))&amp;"","")</f>
        <v/>
      </c>
      <c r="I574" t="str">
        <f>IF(H574="","",IF(COUNTIF(H$10:H574,H574)=1,COUNTIF(H$10:H$609,"&lt;"&amp;H574)+1,""))</f>
        <v/>
      </c>
      <c r="J574" t="str">
        <f>IFERROR(INDEX(tblY8[Class],ROWS(J$10:J574))&amp;"","")</f>
        <v/>
      </c>
      <c r="K574" t="str">
        <f>IF(J574="","",IF(COUNTIF(J$10:J574,J574)=1,COUNTIF(J$10:J$609,"&lt;"&amp;J574)+1,""))</f>
        <v/>
      </c>
      <c r="L574" t="str">
        <f>IFERROR(INDEX(tblY9[Class],ROWS(L$10:L574))&amp;"","")</f>
        <v/>
      </c>
      <c r="M574" t="str">
        <f>IF(L574="","",IF(COUNTIF(L$10:L574,L574)=1,COUNTIF(L$10:L$609,"&lt;"&amp;L574)+1,""))</f>
        <v/>
      </c>
      <c r="N574" t="str">
        <f>IFERROR(INDEX(tblY10[Class],ROWS(N$10:N574))&amp;"","")</f>
        <v/>
      </c>
      <c r="O574" t="str">
        <f>IF(N574="","",IF(COUNTIF(N$10:N574,N574)=1,COUNTIF(N$10:N$609,"&lt;"&amp;N574)+1,""))</f>
        <v/>
      </c>
      <c r="P574" t="str">
        <f>IFERROR(INDEX(tblY11[Class],ROWS(P$10:P574))&amp;"","")</f>
        <v/>
      </c>
      <c r="Q574" t="str">
        <f>IF(P574="","",IF(COUNTIF(P$10:P574,P574)=1,COUNTIF(P$10:P$609,"&lt;"&amp;P574)+1,""))</f>
        <v/>
      </c>
      <c r="BA574" t="str">
        <f>IFERROR(INDEX(wLast,505)&amp;"","")</f>
        <v/>
      </c>
      <c r="BB574" t="str">
        <f>IF(BA574="","",IFERROR(INDEX(wFirst,505)&amp;"",""))</f>
        <v/>
      </c>
      <c r="BC574" t="str">
        <f>IF(BA574="","",IFERROR(INDEX(wClass,505)&amp;"",""))</f>
        <v/>
      </c>
      <c r="BD574" t="str">
        <f>IF(BA574="","",IFERROR(INDEX(wKS2,505)+0,""))</f>
        <v/>
      </c>
      <c r="BE574" t="str">
        <f>IF(BA574="","",IFERROR(INDEX(wTests,505)+0,0))</f>
        <v/>
      </c>
      <c r="BF574" t="str">
        <f>IF(BA574="","",IFERROR(INDEX(wMean,505)+0,""))</f>
        <v/>
      </c>
      <c r="BG574" t="str">
        <f>IF(BA574="","",IFERROR(INDEX(wVs,505)+0,""))</f>
        <v/>
      </c>
      <c r="BH574" t="str">
        <f>IF(OR(BA574="",wLatest=""),"",IFERROR(INDEX(wData,505,MATCH(wLatest&amp;CHAR(10)&amp;"Stanine",wHdr,0))+0,""))</f>
        <v/>
      </c>
      <c r="BI574" t="str">
        <f>IF(BA574="","",IF(AND(ISNUMBER(BG574),N(BE574)&gt;=WlMinTests,BG574&lt;=-WlGap),"Below KS2 starting point",IF(AND(NOT(ISNUMBER(BD574)),ISNUMBER(BF574),N(BE574)&gt;=WlMinTests,BF574&lt;=WlLowMean),"Low results, no KS2 data","")))</f>
        <v/>
      </c>
      <c r="BJ574" t="str">
        <f>IF(BI574="","",IF(BI574="Below KS2 starting point",BG574,100+BF574)+ROW()/1000000)</f>
        <v/>
      </c>
    </row>
    <row r="575">
      <c r="H575" t="str">
        <f>IFERROR(INDEX(tblY7[Class],ROWS(H$10:H575))&amp;"","")</f>
        <v/>
      </c>
      <c r="I575" t="str">
        <f>IF(H575="","",IF(COUNTIF(H$10:H575,H575)=1,COUNTIF(H$10:H$609,"&lt;"&amp;H575)+1,""))</f>
        <v/>
      </c>
      <c r="J575" t="str">
        <f>IFERROR(INDEX(tblY8[Class],ROWS(J$10:J575))&amp;"","")</f>
        <v/>
      </c>
      <c r="K575" t="str">
        <f>IF(J575="","",IF(COUNTIF(J$10:J575,J575)=1,COUNTIF(J$10:J$609,"&lt;"&amp;J575)+1,""))</f>
        <v/>
      </c>
      <c r="L575" t="str">
        <f>IFERROR(INDEX(tblY9[Class],ROWS(L$10:L575))&amp;"","")</f>
        <v/>
      </c>
      <c r="M575" t="str">
        <f>IF(L575="","",IF(COUNTIF(L$10:L575,L575)=1,COUNTIF(L$10:L$609,"&lt;"&amp;L575)+1,""))</f>
        <v/>
      </c>
      <c r="N575" t="str">
        <f>IFERROR(INDEX(tblY10[Class],ROWS(N$10:N575))&amp;"","")</f>
        <v/>
      </c>
      <c r="O575" t="str">
        <f>IF(N575="","",IF(COUNTIF(N$10:N575,N575)=1,COUNTIF(N$10:N$609,"&lt;"&amp;N575)+1,""))</f>
        <v/>
      </c>
      <c r="P575" t="str">
        <f>IFERROR(INDEX(tblY11[Class],ROWS(P$10:P575))&amp;"","")</f>
        <v/>
      </c>
      <c r="Q575" t="str">
        <f>IF(P575="","",IF(COUNTIF(P$10:P575,P575)=1,COUNTIF(P$10:P$609,"&lt;"&amp;P575)+1,""))</f>
        <v/>
      </c>
      <c r="BA575" t="str">
        <f>IFERROR(INDEX(wLast,506)&amp;"","")</f>
        <v/>
      </c>
      <c r="BB575" t="str">
        <f>IF(BA575="","",IFERROR(INDEX(wFirst,506)&amp;"",""))</f>
        <v/>
      </c>
      <c r="BC575" t="str">
        <f>IF(BA575="","",IFERROR(INDEX(wClass,506)&amp;"",""))</f>
        <v/>
      </c>
      <c r="BD575" t="str">
        <f>IF(BA575="","",IFERROR(INDEX(wKS2,506)+0,""))</f>
        <v/>
      </c>
      <c r="BE575" t="str">
        <f>IF(BA575="","",IFERROR(INDEX(wTests,506)+0,0))</f>
        <v/>
      </c>
      <c r="BF575" t="str">
        <f>IF(BA575="","",IFERROR(INDEX(wMean,506)+0,""))</f>
        <v/>
      </c>
      <c r="BG575" t="str">
        <f>IF(BA575="","",IFERROR(INDEX(wVs,506)+0,""))</f>
        <v/>
      </c>
      <c r="BH575" t="str">
        <f>IF(OR(BA575="",wLatest=""),"",IFERROR(INDEX(wData,506,MATCH(wLatest&amp;CHAR(10)&amp;"Stanine",wHdr,0))+0,""))</f>
        <v/>
      </c>
      <c r="BI575" t="str">
        <f>IF(BA575="","",IF(AND(ISNUMBER(BG575),N(BE575)&gt;=WlMinTests,BG575&lt;=-WlGap),"Below KS2 starting point",IF(AND(NOT(ISNUMBER(BD575)),ISNUMBER(BF575),N(BE575)&gt;=WlMinTests,BF575&lt;=WlLowMean),"Low results, no KS2 data","")))</f>
        <v/>
      </c>
      <c r="BJ575" t="str">
        <f>IF(BI575="","",IF(BI575="Below KS2 starting point",BG575,100+BF575)+ROW()/1000000)</f>
        <v/>
      </c>
    </row>
    <row r="576">
      <c r="H576" t="str">
        <f>IFERROR(INDEX(tblY7[Class],ROWS(H$10:H576))&amp;"","")</f>
        <v/>
      </c>
      <c r="I576" t="str">
        <f>IF(H576="","",IF(COUNTIF(H$10:H576,H576)=1,COUNTIF(H$10:H$609,"&lt;"&amp;H576)+1,""))</f>
        <v/>
      </c>
      <c r="J576" t="str">
        <f>IFERROR(INDEX(tblY8[Class],ROWS(J$10:J576))&amp;"","")</f>
        <v/>
      </c>
      <c r="K576" t="str">
        <f>IF(J576="","",IF(COUNTIF(J$10:J576,J576)=1,COUNTIF(J$10:J$609,"&lt;"&amp;J576)+1,""))</f>
        <v/>
      </c>
      <c r="L576" t="str">
        <f>IFERROR(INDEX(tblY9[Class],ROWS(L$10:L576))&amp;"","")</f>
        <v/>
      </c>
      <c r="M576" t="str">
        <f>IF(L576="","",IF(COUNTIF(L$10:L576,L576)=1,COUNTIF(L$10:L$609,"&lt;"&amp;L576)+1,""))</f>
        <v/>
      </c>
      <c r="N576" t="str">
        <f>IFERROR(INDEX(tblY10[Class],ROWS(N$10:N576))&amp;"","")</f>
        <v/>
      </c>
      <c r="O576" t="str">
        <f>IF(N576="","",IF(COUNTIF(N$10:N576,N576)=1,COUNTIF(N$10:N$609,"&lt;"&amp;N576)+1,""))</f>
        <v/>
      </c>
      <c r="P576" t="str">
        <f>IFERROR(INDEX(tblY11[Class],ROWS(P$10:P576))&amp;"","")</f>
        <v/>
      </c>
      <c r="Q576" t="str">
        <f>IF(P576="","",IF(COUNTIF(P$10:P576,P576)=1,COUNTIF(P$10:P$609,"&lt;"&amp;P576)+1,""))</f>
        <v/>
      </c>
      <c r="BA576" t="str">
        <f>IFERROR(INDEX(wLast,507)&amp;"","")</f>
        <v/>
      </c>
      <c r="BB576" t="str">
        <f>IF(BA576="","",IFERROR(INDEX(wFirst,507)&amp;"",""))</f>
        <v/>
      </c>
      <c r="BC576" t="str">
        <f>IF(BA576="","",IFERROR(INDEX(wClass,507)&amp;"",""))</f>
        <v/>
      </c>
      <c r="BD576" t="str">
        <f>IF(BA576="","",IFERROR(INDEX(wKS2,507)+0,""))</f>
        <v/>
      </c>
      <c r="BE576" t="str">
        <f>IF(BA576="","",IFERROR(INDEX(wTests,507)+0,0))</f>
        <v/>
      </c>
      <c r="BF576" t="str">
        <f>IF(BA576="","",IFERROR(INDEX(wMean,507)+0,""))</f>
        <v/>
      </c>
      <c r="BG576" t="str">
        <f>IF(BA576="","",IFERROR(INDEX(wVs,507)+0,""))</f>
        <v/>
      </c>
      <c r="BH576" t="str">
        <f>IF(OR(BA576="",wLatest=""),"",IFERROR(INDEX(wData,507,MATCH(wLatest&amp;CHAR(10)&amp;"Stanine",wHdr,0))+0,""))</f>
        <v/>
      </c>
      <c r="BI576" t="str">
        <f>IF(BA576="","",IF(AND(ISNUMBER(BG576),N(BE576)&gt;=WlMinTests,BG576&lt;=-WlGap),"Below KS2 starting point",IF(AND(NOT(ISNUMBER(BD576)),ISNUMBER(BF576),N(BE576)&gt;=WlMinTests,BF576&lt;=WlLowMean),"Low results, no KS2 data","")))</f>
        <v/>
      </c>
      <c r="BJ576" t="str">
        <f>IF(BI576="","",IF(BI576="Below KS2 starting point",BG576,100+BF576)+ROW()/1000000)</f>
        <v/>
      </c>
    </row>
    <row r="577">
      <c r="H577" t="str">
        <f>IFERROR(INDEX(tblY7[Class],ROWS(H$10:H577))&amp;"","")</f>
        <v/>
      </c>
      <c r="I577" t="str">
        <f>IF(H577="","",IF(COUNTIF(H$10:H577,H577)=1,COUNTIF(H$10:H$609,"&lt;"&amp;H577)+1,""))</f>
        <v/>
      </c>
      <c r="J577" t="str">
        <f>IFERROR(INDEX(tblY8[Class],ROWS(J$10:J577))&amp;"","")</f>
        <v/>
      </c>
      <c r="K577" t="str">
        <f>IF(J577="","",IF(COUNTIF(J$10:J577,J577)=1,COUNTIF(J$10:J$609,"&lt;"&amp;J577)+1,""))</f>
        <v/>
      </c>
      <c r="L577" t="str">
        <f>IFERROR(INDEX(tblY9[Class],ROWS(L$10:L577))&amp;"","")</f>
        <v/>
      </c>
      <c r="M577" t="str">
        <f>IF(L577="","",IF(COUNTIF(L$10:L577,L577)=1,COUNTIF(L$10:L$609,"&lt;"&amp;L577)+1,""))</f>
        <v/>
      </c>
      <c r="N577" t="str">
        <f>IFERROR(INDEX(tblY10[Class],ROWS(N$10:N577))&amp;"","")</f>
        <v/>
      </c>
      <c r="O577" t="str">
        <f>IF(N577="","",IF(COUNTIF(N$10:N577,N577)=1,COUNTIF(N$10:N$609,"&lt;"&amp;N577)+1,""))</f>
        <v/>
      </c>
      <c r="P577" t="str">
        <f>IFERROR(INDEX(tblY11[Class],ROWS(P$10:P577))&amp;"","")</f>
        <v/>
      </c>
      <c r="Q577" t="str">
        <f>IF(P577="","",IF(COUNTIF(P$10:P577,P577)=1,COUNTIF(P$10:P$609,"&lt;"&amp;P577)+1,""))</f>
        <v/>
      </c>
      <c r="BA577" t="str">
        <f>IFERROR(INDEX(wLast,508)&amp;"","")</f>
        <v/>
      </c>
      <c r="BB577" t="str">
        <f>IF(BA577="","",IFERROR(INDEX(wFirst,508)&amp;"",""))</f>
        <v/>
      </c>
      <c r="BC577" t="str">
        <f>IF(BA577="","",IFERROR(INDEX(wClass,508)&amp;"",""))</f>
        <v/>
      </c>
      <c r="BD577" t="str">
        <f>IF(BA577="","",IFERROR(INDEX(wKS2,508)+0,""))</f>
        <v/>
      </c>
      <c r="BE577" t="str">
        <f>IF(BA577="","",IFERROR(INDEX(wTests,508)+0,0))</f>
        <v/>
      </c>
      <c r="BF577" t="str">
        <f>IF(BA577="","",IFERROR(INDEX(wMean,508)+0,""))</f>
        <v/>
      </c>
      <c r="BG577" t="str">
        <f>IF(BA577="","",IFERROR(INDEX(wVs,508)+0,""))</f>
        <v/>
      </c>
      <c r="BH577" t="str">
        <f>IF(OR(BA577="",wLatest=""),"",IFERROR(INDEX(wData,508,MATCH(wLatest&amp;CHAR(10)&amp;"Stanine",wHdr,0))+0,""))</f>
        <v/>
      </c>
      <c r="BI577" t="str">
        <f>IF(BA577="","",IF(AND(ISNUMBER(BG577),N(BE577)&gt;=WlMinTests,BG577&lt;=-WlGap),"Below KS2 starting point",IF(AND(NOT(ISNUMBER(BD577)),ISNUMBER(BF577),N(BE577)&gt;=WlMinTests,BF577&lt;=WlLowMean),"Low results, no KS2 data","")))</f>
        <v/>
      </c>
      <c r="BJ577" t="str">
        <f>IF(BI577="","",IF(BI577="Below KS2 starting point",BG577,100+BF577)+ROW()/1000000)</f>
        <v/>
      </c>
    </row>
    <row r="578">
      <c r="H578" t="str">
        <f>IFERROR(INDEX(tblY7[Class],ROWS(H$10:H578))&amp;"","")</f>
        <v/>
      </c>
      <c r="I578" t="str">
        <f>IF(H578="","",IF(COUNTIF(H$10:H578,H578)=1,COUNTIF(H$10:H$609,"&lt;"&amp;H578)+1,""))</f>
        <v/>
      </c>
      <c r="J578" t="str">
        <f>IFERROR(INDEX(tblY8[Class],ROWS(J$10:J578))&amp;"","")</f>
        <v/>
      </c>
      <c r="K578" t="str">
        <f>IF(J578="","",IF(COUNTIF(J$10:J578,J578)=1,COUNTIF(J$10:J$609,"&lt;"&amp;J578)+1,""))</f>
        <v/>
      </c>
      <c r="L578" t="str">
        <f>IFERROR(INDEX(tblY9[Class],ROWS(L$10:L578))&amp;"","")</f>
        <v/>
      </c>
      <c r="M578" t="str">
        <f>IF(L578="","",IF(COUNTIF(L$10:L578,L578)=1,COUNTIF(L$10:L$609,"&lt;"&amp;L578)+1,""))</f>
        <v/>
      </c>
      <c r="N578" t="str">
        <f>IFERROR(INDEX(tblY10[Class],ROWS(N$10:N578))&amp;"","")</f>
        <v/>
      </c>
      <c r="O578" t="str">
        <f>IF(N578="","",IF(COUNTIF(N$10:N578,N578)=1,COUNTIF(N$10:N$609,"&lt;"&amp;N578)+1,""))</f>
        <v/>
      </c>
      <c r="P578" t="str">
        <f>IFERROR(INDEX(tblY11[Class],ROWS(P$10:P578))&amp;"","")</f>
        <v/>
      </c>
      <c r="Q578" t="str">
        <f>IF(P578="","",IF(COUNTIF(P$10:P578,P578)=1,COUNTIF(P$10:P$609,"&lt;"&amp;P578)+1,""))</f>
        <v/>
      </c>
      <c r="BA578" t="str">
        <f>IFERROR(INDEX(wLast,509)&amp;"","")</f>
        <v/>
      </c>
      <c r="BB578" t="str">
        <f>IF(BA578="","",IFERROR(INDEX(wFirst,509)&amp;"",""))</f>
        <v/>
      </c>
      <c r="BC578" t="str">
        <f>IF(BA578="","",IFERROR(INDEX(wClass,509)&amp;"",""))</f>
        <v/>
      </c>
      <c r="BD578" t="str">
        <f>IF(BA578="","",IFERROR(INDEX(wKS2,509)+0,""))</f>
        <v/>
      </c>
      <c r="BE578" t="str">
        <f>IF(BA578="","",IFERROR(INDEX(wTests,509)+0,0))</f>
        <v/>
      </c>
      <c r="BF578" t="str">
        <f>IF(BA578="","",IFERROR(INDEX(wMean,509)+0,""))</f>
        <v/>
      </c>
      <c r="BG578" t="str">
        <f>IF(BA578="","",IFERROR(INDEX(wVs,509)+0,""))</f>
        <v/>
      </c>
      <c r="BH578" t="str">
        <f>IF(OR(BA578="",wLatest=""),"",IFERROR(INDEX(wData,509,MATCH(wLatest&amp;CHAR(10)&amp;"Stanine",wHdr,0))+0,""))</f>
        <v/>
      </c>
      <c r="BI578" t="str">
        <f>IF(BA578="","",IF(AND(ISNUMBER(BG578),N(BE578)&gt;=WlMinTests,BG578&lt;=-WlGap),"Below KS2 starting point",IF(AND(NOT(ISNUMBER(BD578)),ISNUMBER(BF578),N(BE578)&gt;=WlMinTests,BF578&lt;=WlLowMean),"Low results, no KS2 data","")))</f>
        <v/>
      </c>
      <c r="BJ578" t="str">
        <f>IF(BI578="","",IF(BI578="Below KS2 starting point",BG578,100+BF578)+ROW()/1000000)</f>
        <v/>
      </c>
    </row>
    <row r="579">
      <c r="H579" t="str">
        <f>IFERROR(INDEX(tblY7[Class],ROWS(H$10:H579))&amp;"","")</f>
        <v/>
      </c>
      <c r="I579" t="str">
        <f>IF(H579="","",IF(COUNTIF(H$10:H579,H579)=1,COUNTIF(H$10:H$609,"&lt;"&amp;H579)+1,""))</f>
        <v/>
      </c>
      <c r="J579" t="str">
        <f>IFERROR(INDEX(tblY8[Class],ROWS(J$10:J579))&amp;"","")</f>
        <v/>
      </c>
      <c r="K579" t="str">
        <f>IF(J579="","",IF(COUNTIF(J$10:J579,J579)=1,COUNTIF(J$10:J$609,"&lt;"&amp;J579)+1,""))</f>
        <v/>
      </c>
      <c r="L579" t="str">
        <f>IFERROR(INDEX(tblY9[Class],ROWS(L$10:L579))&amp;"","")</f>
        <v/>
      </c>
      <c r="M579" t="str">
        <f>IF(L579="","",IF(COUNTIF(L$10:L579,L579)=1,COUNTIF(L$10:L$609,"&lt;"&amp;L579)+1,""))</f>
        <v/>
      </c>
      <c r="N579" t="str">
        <f>IFERROR(INDEX(tblY10[Class],ROWS(N$10:N579))&amp;"","")</f>
        <v/>
      </c>
      <c r="O579" t="str">
        <f>IF(N579="","",IF(COUNTIF(N$10:N579,N579)=1,COUNTIF(N$10:N$609,"&lt;"&amp;N579)+1,""))</f>
        <v/>
      </c>
      <c r="P579" t="str">
        <f>IFERROR(INDEX(tblY11[Class],ROWS(P$10:P579))&amp;"","")</f>
        <v/>
      </c>
      <c r="Q579" t="str">
        <f>IF(P579="","",IF(COUNTIF(P$10:P579,P579)=1,COUNTIF(P$10:P$609,"&lt;"&amp;P579)+1,""))</f>
        <v/>
      </c>
      <c r="BA579" t="str">
        <f>IFERROR(INDEX(wLast,510)&amp;"","")</f>
        <v/>
      </c>
      <c r="BB579" t="str">
        <f>IF(BA579="","",IFERROR(INDEX(wFirst,510)&amp;"",""))</f>
        <v/>
      </c>
      <c r="BC579" t="str">
        <f>IF(BA579="","",IFERROR(INDEX(wClass,510)&amp;"",""))</f>
        <v/>
      </c>
      <c r="BD579" t="str">
        <f>IF(BA579="","",IFERROR(INDEX(wKS2,510)+0,""))</f>
        <v/>
      </c>
      <c r="BE579" t="str">
        <f>IF(BA579="","",IFERROR(INDEX(wTests,510)+0,0))</f>
        <v/>
      </c>
      <c r="BF579" t="str">
        <f>IF(BA579="","",IFERROR(INDEX(wMean,510)+0,""))</f>
        <v/>
      </c>
      <c r="BG579" t="str">
        <f>IF(BA579="","",IFERROR(INDEX(wVs,510)+0,""))</f>
        <v/>
      </c>
      <c r="BH579" t="str">
        <f>IF(OR(BA579="",wLatest=""),"",IFERROR(INDEX(wData,510,MATCH(wLatest&amp;CHAR(10)&amp;"Stanine",wHdr,0))+0,""))</f>
        <v/>
      </c>
      <c r="BI579" t="str">
        <f>IF(BA579="","",IF(AND(ISNUMBER(BG579),N(BE579)&gt;=WlMinTests,BG579&lt;=-WlGap),"Below KS2 starting point",IF(AND(NOT(ISNUMBER(BD579)),ISNUMBER(BF579),N(BE579)&gt;=WlMinTests,BF579&lt;=WlLowMean),"Low results, no KS2 data","")))</f>
        <v/>
      </c>
      <c r="BJ579" t="str">
        <f>IF(BI579="","",IF(BI579="Below KS2 starting point",BG579,100+BF579)+ROW()/1000000)</f>
        <v/>
      </c>
    </row>
    <row r="580">
      <c r="H580" t="str">
        <f>IFERROR(INDEX(tblY7[Class],ROWS(H$10:H580))&amp;"","")</f>
        <v/>
      </c>
      <c r="I580" t="str">
        <f>IF(H580="","",IF(COUNTIF(H$10:H580,H580)=1,COUNTIF(H$10:H$609,"&lt;"&amp;H580)+1,""))</f>
        <v/>
      </c>
      <c r="J580" t="str">
        <f>IFERROR(INDEX(tblY8[Class],ROWS(J$10:J580))&amp;"","")</f>
        <v/>
      </c>
      <c r="K580" t="str">
        <f>IF(J580="","",IF(COUNTIF(J$10:J580,J580)=1,COUNTIF(J$10:J$609,"&lt;"&amp;J580)+1,""))</f>
        <v/>
      </c>
      <c r="L580" t="str">
        <f>IFERROR(INDEX(tblY9[Class],ROWS(L$10:L580))&amp;"","")</f>
        <v/>
      </c>
      <c r="M580" t="str">
        <f>IF(L580="","",IF(COUNTIF(L$10:L580,L580)=1,COUNTIF(L$10:L$609,"&lt;"&amp;L580)+1,""))</f>
        <v/>
      </c>
      <c r="N580" t="str">
        <f>IFERROR(INDEX(tblY10[Class],ROWS(N$10:N580))&amp;"","")</f>
        <v/>
      </c>
      <c r="O580" t="str">
        <f>IF(N580="","",IF(COUNTIF(N$10:N580,N580)=1,COUNTIF(N$10:N$609,"&lt;"&amp;N580)+1,""))</f>
        <v/>
      </c>
      <c r="P580" t="str">
        <f>IFERROR(INDEX(tblY11[Class],ROWS(P$10:P580))&amp;"","")</f>
        <v/>
      </c>
      <c r="Q580" t="str">
        <f>IF(P580="","",IF(COUNTIF(P$10:P580,P580)=1,COUNTIF(P$10:P$609,"&lt;"&amp;P580)+1,""))</f>
        <v/>
      </c>
      <c r="BA580" t="str">
        <f>IFERROR(INDEX(wLast,511)&amp;"","")</f>
        <v/>
      </c>
      <c r="BB580" t="str">
        <f>IF(BA580="","",IFERROR(INDEX(wFirst,511)&amp;"",""))</f>
        <v/>
      </c>
      <c r="BC580" t="str">
        <f>IF(BA580="","",IFERROR(INDEX(wClass,511)&amp;"",""))</f>
        <v/>
      </c>
      <c r="BD580" t="str">
        <f>IF(BA580="","",IFERROR(INDEX(wKS2,511)+0,""))</f>
        <v/>
      </c>
      <c r="BE580" t="str">
        <f>IF(BA580="","",IFERROR(INDEX(wTests,511)+0,0))</f>
        <v/>
      </c>
      <c r="BF580" t="str">
        <f>IF(BA580="","",IFERROR(INDEX(wMean,511)+0,""))</f>
        <v/>
      </c>
      <c r="BG580" t="str">
        <f>IF(BA580="","",IFERROR(INDEX(wVs,511)+0,""))</f>
        <v/>
      </c>
      <c r="BH580" t="str">
        <f>IF(OR(BA580="",wLatest=""),"",IFERROR(INDEX(wData,511,MATCH(wLatest&amp;CHAR(10)&amp;"Stanine",wHdr,0))+0,""))</f>
        <v/>
      </c>
      <c r="BI580" t="str">
        <f>IF(BA580="","",IF(AND(ISNUMBER(BG580),N(BE580)&gt;=WlMinTests,BG580&lt;=-WlGap),"Below KS2 starting point",IF(AND(NOT(ISNUMBER(BD580)),ISNUMBER(BF580),N(BE580)&gt;=WlMinTests,BF580&lt;=WlLowMean),"Low results, no KS2 data","")))</f>
        <v/>
      </c>
      <c r="BJ580" t="str">
        <f>IF(BI580="","",IF(BI580="Below KS2 starting point",BG580,100+BF580)+ROW()/1000000)</f>
        <v/>
      </c>
    </row>
    <row r="581">
      <c r="H581" t="str">
        <f>IFERROR(INDEX(tblY7[Class],ROWS(H$10:H581))&amp;"","")</f>
        <v/>
      </c>
      <c r="I581" t="str">
        <f>IF(H581="","",IF(COUNTIF(H$10:H581,H581)=1,COUNTIF(H$10:H$609,"&lt;"&amp;H581)+1,""))</f>
        <v/>
      </c>
      <c r="J581" t="str">
        <f>IFERROR(INDEX(tblY8[Class],ROWS(J$10:J581))&amp;"","")</f>
        <v/>
      </c>
      <c r="K581" t="str">
        <f>IF(J581="","",IF(COUNTIF(J$10:J581,J581)=1,COUNTIF(J$10:J$609,"&lt;"&amp;J581)+1,""))</f>
        <v/>
      </c>
      <c r="L581" t="str">
        <f>IFERROR(INDEX(tblY9[Class],ROWS(L$10:L581))&amp;"","")</f>
        <v/>
      </c>
      <c r="M581" t="str">
        <f>IF(L581="","",IF(COUNTIF(L$10:L581,L581)=1,COUNTIF(L$10:L$609,"&lt;"&amp;L581)+1,""))</f>
        <v/>
      </c>
      <c r="N581" t="str">
        <f>IFERROR(INDEX(tblY10[Class],ROWS(N$10:N581))&amp;"","")</f>
        <v/>
      </c>
      <c r="O581" t="str">
        <f>IF(N581="","",IF(COUNTIF(N$10:N581,N581)=1,COUNTIF(N$10:N$609,"&lt;"&amp;N581)+1,""))</f>
        <v/>
      </c>
      <c r="P581" t="str">
        <f>IFERROR(INDEX(tblY11[Class],ROWS(P$10:P581))&amp;"","")</f>
        <v/>
      </c>
      <c r="Q581" t="str">
        <f>IF(P581="","",IF(COUNTIF(P$10:P581,P581)=1,COUNTIF(P$10:P$609,"&lt;"&amp;P581)+1,""))</f>
        <v/>
      </c>
      <c r="BA581" t="str">
        <f>IFERROR(INDEX(wLast,512)&amp;"","")</f>
        <v/>
      </c>
      <c r="BB581" t="str">
        <f>IF(BA581="","",IFERROR(INDEX(wFirst,512)&amp;"",""))</f>
        <v/>
      </c>
      <c r="BC581" t="str">
        <f>IF(BA581="","",IFERROR(INDEX(wClass,512)&amp;"",""))</f>
        <v/>
      </c>
      <c r="BD581" t="str">
        <f>IF(BA581="","",IFERROR(INDEX(wKS2,512)+0,""))</f>
        <v/>
      </c>
      <c r="BE581" t="str">
        <f>IF(BA581="","",IFERROR(INDEX(wTests,512)+0,0))</f>
        <v/>
      </c>
      <c r="BF581" t="str">
        <f>IF(BA581="","",IFERROR(INDEX(wMean,512)+0,""))</f>
        <v/>
      </c>
      <c r="BG581" t="str">
        <f>IF(BA581="","",IFERROR(INDEX(wVs,512)+0,""))</f>
        <v/>
      </c>
      <c r="BH581" t="str">
        <f>IF(OR(BA581="",wLatest=""),"",IFERROR(INDEX(wData,512,MATCH(wLatest&amp;CHAR(10)&amp;"Stanine",wHdr,0))+0,""))</f>
        <v/>
      </c>
      <c r="BI581" t="str">
        <f>IF(BA581="","",IF(AND(ISNUMBER(BG581),N(BE581)&gt;=WlMinTests,BG581&lt;=-WlGap),"Below KS2 starting point",IF(AND(NOT(ISNUMBER(BD581)),ISNUMBER(BF581),N(BE581)&gt;=WlMinTests,BF581&lt;=WlLowMean),"Low results, no KS2 data","")))</f>
        <v/>
      </c>
      <c r="BJ581" t="str">
        <f>IF(BI581="","",IF(BI581="Below KS2 starting point",BG581,100+BF581)+ROW()/1000000)</f>
        <v/>
      </c>
    </row>
    <row r="582">
      <c r="H582" t="str">
        <f>IFERROR(INDEX(tblY7[Class],ROWS(H$10:H582))&amp;"","")</f>
        <v/>
      </c>
      <c r="I582" t="str">
        <f>IF(H582="","",IF(COUNTIF(H$10:H582,H582)=1,COUNTIF(H$10:H$609,"&lt;"&amp;H582)+1,""))</f>
        <v/>
      </c>
      <c r="J582" t="str">
        <f>IFERROR(INDEX(tblY8[Class],ROWS(J$10:J582))&amp;"","")</f>
        <v/>
      </c>
      <c r="K582" t="str">
        <f>IF(J582="","",IF(COUNTIF(J$10:J582,J582)=1,COUNTIF(J$10:J$609,"&lt;"&amp;J582)+1,""))</f>
        <v/>
      </c>
      <c r="L582" t="str">
        <f>IFERROR(INDEX(tblY9[Class],ROWS(L$10:L582))&amp;"","")</f>
        <v/>
      </c>
      <c r="M582" t="str">
        <f>IF(L582="","",IF(COUNTIF(L$10:L582,L582)=1,COUNTIF(L$10:L$609,"&lt;"&amp;L582)+1,""))</f>
        <v/>
      </c>
      <c r="N582" t="str">
        <f>IFERROR(INDEX(tblY10[Class],ROWS(N$10:N582))&amp;"","")</f>
        <v/>
      </c>
      <c r="O582" t="str">
        <f>IF(N582="","",IF(COUNTIF(N$10:N582,N582)=1,COUNTIF(N$10:N$609,"&lt;"&amp;N582)+1,""))</f>
        <v/>
      </c>
      <c r="P582" t="str">
        <f>IFERROR(INDEX(tblY11[Class],ROWS(P$10:P582))&amp;"","")</f>
        <v/>
      </c>
      <c r="Q582" t="str">
        <f>IF(P582="","",IF(COUNTIF(P$10:P582,P582)=1,COUNTIF(P$10:P$609,"&lt;"&amp;P582)+1,""))</f>
        <v/>
      </c>
      <c r="BA582" t="str">
        <f>IFERROR(INDEX(wLast,513)&amp;"","")</f>
        <v/>
      </c>
      <c r="BB582" t="str">
        <f>IF(BA582="","",IFERROR(INDEX(wFirst,513)&amp;"",""))</f>
        <v/>
      </c>
      <c r="BC582" t="str">
        <f>IF(BA582="","",IFERROR(INDEX(wClass,513)&amp;"",""))</f>
        <v/>
      </c>
      <c r="BD582" t="str">
        <f>IF(BA582="","",IFERROR(INDEX(wKS2,513)+0,""))</f>
        <v/>
      </c>
      <c r="BE582" t="str">
        <f>IF(BA582="","",IFERROR(INDEX(wTests,513)+0,0))</f>
        <v/>
      </c>
      <c r="BF582" t="str">
        <f>IF(BA582="","",IFERROR(INDEX(wMean,513)+0,""))</f>
        <v/>
      </c>
      <c r="BG582" t="str">
        <f>IF(BA582="","",IFERROR(INDEX(wVs,513)+0,""))</f>
        <v/>
      </c>
      <c r="BH582" t="str">
        <f>IF(OR(BA582="",wLatest=""),"",IFERROR(INDEX(wData,513,MATCH(wLatest&amp;CHAR(10)&amp;"Stanine",wHdr,0))+0,""))</f>
        <v/>
      </c>
      <c r="BI582" t="str">
        <f>IF(BA582="","",IF(AND(ISNUMBER(BG582),N(BE582)&gt;=WlMinTests,BG582&lt;=-WlGap),"Below KS2 starting point",IF(AND(NOT(ISNUMBER(BD582)),ISNUMBER(BF582),N(BE582)&gt;=WlMinTests,BF582&lt;=WlLowMean),"Low results, no KS2 data","")))</f>
        <v/>
      </c>
      <c r="BJ582" t="str">
        <f>IF(BI582="","",IF(BI582="Below KS2 starting point",BG582,100+BF582)+ROW()/1000000)</f>
        <v/>
      </c>
    </row>
    <row r="583">
      <c r="H583" t="str">
        <f>IFERROR(INDEX(tblY7[Class],ROWS(H$10:H583))&amp;"","")</f>
        <v/>
      </c>
      <c r="I583" t="str">
        <f>IF(H583="","",IF(COUNTIF(H$10:H583,H583)=1,COUNTIF(H$10:H$609,"&lt;"&amp;H583)+1,""))</f>
        <v/>
      </c>
      <c r="J583" t="str">
        <f>IFERROR(INDEX(tblY8[Class],ROWS(J$10:J583))&amp;"","")</f>
        <v/>
      </c>
      <c r="K583" t="str">
        <f>IF(J583="","",IF(COUNTIF(J$10:J583,J583)=1,COUNTIF(J$10:J$609,"&lt;"&amp;J583)+1,""))</f>
        <v/>
      </c>
      <c r="L583" t="str">
        <f>IFERROR(INDEX(tblY9[Class],ROWS(L$10:L583))&amp;"","")</f>
        <v/>
      </c>
      <c r="M583" t="str">
        <f>IF(L583="","",IF(COUNTIF(L$10:L583,L583)=1,COUNTIF(L$10:L$609,"&lt;"&amp;L583)+1,""))</f>
        <v/>
      </c>
      <c r="N583" t="str">
        <f>IFERROR(INDEX(tblY10[Class],ROWS(N$10:N583))&amp;"","")</f>
        <v/>
      </c>
      <c r="O583" t="str">
        <f>IF(N583="","",IF(COUNTIF(N$10:N583,N583)=1,COUNTIF(N$10:N$609,"&lt;"&amp;N583)+1,""))</f>
        <v/>
      </c>
      <c r="P583" t="str">
        <f>IFERROR(INDEX(tblY11[Class],ROWS(P$10:P583))&amp;"","")</f>
        <v/>
      </c>
      <c r="Q583" t="str">
        <f>IF(P583="","",IF(COUNTIF(P$10:P583,P583)=1,COUNTIF(P$10:P$609,"&lt;"&amp;P583)+1,""))</f>
        <v/>
      </c>
      <c r="BA583" t="str">
        <f>IFERROR(INDEX(wLast,514)&amp;"","")</f>
        <v/>
      </c>
      <c r="BB583" t="str">
        <f>IF(BA583="","",IFERROR(INDEX(wFirst,514)&amp;"",""))</f>
        <v/>
      </c>
      <c r="BC583" t="str">
        <f>IF(BA583="","",IFERROR(INDEX(wClass,514)&amp;"",""))</f>
        <v/>
      </c>
      <c r="BD583" t="str">
        <f>IF(BA583="","",IFERROR(INDEX(wKS2,514)+0,""))</f>
        <v/>
      </c>
      <c r="BE583" t="str">
        <f>IF(BA583="","",IFERROR(INDEX(wTests,514)+0,0))</f>
        <v/>
      </c>
      <c r="BF583" t="str">
        <f>IF(BA583="","",IFERROR(INDEX(wMean,514)+0,""))</f>
        <v/>
      </c>
      <c r="BG583" t="str">
        <f>IF(BA583="","",IFERROR(INDEX(wVs,514)+0,""))</f>
        <v/>
      </c>
      <c r="BH583" t="str">
        <f>IF(OR(BA583="",wLatest=""),"",IFERROR(INDEX(wData,514,MATCH(wLatest&amp;CHAR(10)&amp;"Stanine",wHdr,0))+0,""))</f>
        <v/>
      </c>
      <c r="BI583" t="str">
        <f>IF(BA583="","",IF(AND(ISNUMBER(BG583),N(BE583)&gt;=WlMinTests,BG583&lt;=-WlGap),"Below KS2 starting point",IF(AND(NOT(ISNUMBER(BD583)),ISNUMBER(BF583),N(BE583)&gt;=WlMinTests,BF583&lt;=WlLowMean),"Low results, no KS2 data","")))</f>
        <v/>
      </c>
      <c r="BJ583" t="str">
        <f>IF(BI583="","",IF(BI583="Below KS2 starting point",BG583,100+BF583)+ROW()/1000000)</f>
        <v/>
      </c>
    </row>
    <row r="584">
      <c r="H584" t="str">
        <f>IFERROR(INDEX(tblY7[Class],ROWS(H$10:H584))&amp;"","")</f>
        <v/>
      </c>
      <c r="I584" t="str">
        <f>IF(H584="","",IF(COUNTIF(H$10:H584,H584)=1,COUNTIF(H$10:H$609,"&lt;"&amp;H584)+1,""))</f>
        <v/>
      </c>
      <c r="J584" t="str">
        <f>IFERROR(INDEX(tblY8[Class],ROWS(J$10:J584))&amp;"","")</f>
        <v/>
      </c>
      <c r="K584" t="str">
        <f>IF(J584="","",IF(COUNTIF(J$10:J584,J584)=1,COUNTIF(J$10:J$609,"&lt;"&amp;J584)+1,""))</f>
        <v/>
      </c>
      <c r="L584" t="str">
        <f>IFERROR(INDEX(tblY9[Class],ROWS(L$10:L584))&amp;"","")</f>
        <v/>
      </c>
      <c r="M584" t="str">
        <f>IF(L584="","",IF(COUNTIF(L$10:L584,L584)=1,COUNTIF(L$10:L$609,"&lt;"&amp;L584)+1,""))</f>
        <v/>
      </c>
      <c r="N584" t="str">
        <f>IFERROR(INDEX(tblY10[Class],ROWS(N$10:N584))&amp;"","")</f>
        <v/>
      </c>
      <c r="O584" t="str">
        <f>IF(N584="","",IF(COUNTIF(N$10:N584,N584)=1,COUNTIF(N$10:N$609,"&lt;"&amp;N584)+1,""))</f>
        <v/>
      </c>
      <c r="P584" t="str">
        <f>IFERROR(INDEX(tblY11[Class],ROWS(P$10:P584))&amp;"","")</f>
        <v/>
      </c>
      <c r="Q584" t="str">
        <f>IF(P584="","",IF(COUNTIF(P$10:P584,P584)=1,COUNTIF(P$10:P$609,"&lt;"&amp;P584)+1,""))</f>
        <v/>
      </c>
      <c r="BA584" t="str">
        <f>IFERROR(INDEX(wLast,515)&amp;"","")</f>
        <v/>
      </c>
      <c r="BB584" t="str">
        <f>IF(BA584="","",IFERROR(INDEX(wFirst,515)&amp;"",""))</f>
        <v/>
      </c>
      <c r="BC584" t="str">
        <f>IF(BA584="","",IFERROR(INDEX(wClass,515)&amp;"",""))</f>
        <v/>
      </c>
      <c r="BD584" t="str">
        <f>IF(BA584="","",IFERROR(INDEX(wKS2,515)+0,""))</f>
        <v/>
      </c>
      <c r="BE584" t="str">
        <f>IF(BA584="","",IFERROR(INDEX(wTests,515)+0,0))</f>
        <v/>
      </c>
      <c r="BF584" t="str">
        <f>IF(BA584="","",IFERROR(INDEX(wMean,515)+0,""))</f>
        <v/>
      </c>
      <c r="BG584" t="str">
        <f>IF(BA584="","",IFERROR(INDEX(wVs,515)+0,""))</f>
        <v/>
      </c>
      <c r="BH584" t="str">
        <f>IF(OR(BA584="",wLatest=""),"",IFERROR(INDEX(wData,515,MATCH(wLatest&amp;CHAR(10)&amp;"Stanine",wHdr,0))+0,""))</f>
        <v/>
      </c>
      <c r="BI584" t="str">
        <f>IF(BA584="","",IF(AND(ISNUMBER(BG584),N(BE584)&gt;=WlMinTests,BG584&lt;=-WlGap),"Below KS2 starting point",IF(AND(NOT(ISNUMBER(BD584)),ISNUMBER(BF584),N(BE584)&gt;=WlMinTests,BF584&lt;=WlLowMean),"Low results, no KS2 data","")))</f>
        <v/>
      </c>
      <c r="BJ584" t="str">
        <f>IF(BI584="","",IF(BI584="Below KS2 starting point",BG584,100+BF584)+ROW()/1000000)</f>
        <v/>
      </c>
    </row>
    <row r="585">
      <c r="H585" t="str">
        <f>IFERROR(INDEX(tblY7[Class],ROWS(H$10:H585))&amp;"","")</f>
        <v/>
      </c>
      <c r="I585" t="str">
        <f>IF(H585="","",IF(COUNTIF(H$10:H585,H585)=1,COUNTIF(H$10:H$609,"&lt;"&amp;H585)+1,""))</f>
        <v/>
      </c>
      <c r="J585" t="str">
        <f>IFERROR(INDEX(tblY8[Class],ROWS(J$10:J585))&amp;"","")</f>
        <v/>
      </c>
      <c r="K585" t="str">
        <f>IF(J585="","",IF(COUNTIF(J$10:J585,J585)=1,COUNTIF(J$10:J$609,"&lt;"&amp;J585)+1,""))</f>
        <v/>
      </c>
      <c r="L585" t="str">
        <f>IFERROR(INDEX(tblY9[Class],ROWS(L$10:L585))&amp;"","")</f>
        <v/>
      </c>
      <c r="M585" t="str">
        <f>IF(L585="","",IF(COUNTIF(L$10:L585,L585)=1,COUNTIF(L$10:L$609,"&lt;"&amp;L585)+1,""))</f>
        <v/>
      </c>
      <c r="N585" t="str">
        <f>IFERROR(INDEX(tblY10[Class],ROWS(N$10:N585))&amp;"","")</f>
        <v/>
      </c>
      <c r="O585" t="str">
        <f>IF(N585="","",IF(COUNTIF(N$10:N585,N585)=1,COUNTIF(N$10:N$609,"&lt;"&amp;N585)+1,""))</f>
        <v/>
      </c>
      <c r="P585" t="str">
        <f>IFERROR(INDEX(tblY11[Class],ROWS(P$10:P585))&amp;"","")</f>
        <v/>
      </c>
      <c r="Q585" t="str">
        <f>IF(P585="","",IF(COUNTIF(P$10:P585,P585)=1,COUNTIF(P$10:P$609,"&lt;"&amp;P585)+1,""))</f>
        <v/>
      </c>
      <c r="BA585" t="str">
        <f>IFERROR(INDEX(wLast,516)&amp;"","")</f>
        <v/>
      </c>
      <c r="BB585" t="str">
        <f>IF(BA585="","",IFERROR(INDEX(wFirst,516)&amp;"",""))</f>
        <v/>
      </c>
      <c r="BC585" t="str">
        <f>IF(BA585="","",IFERROR(INDEX(wClass,516)&amp;"",""))</f>
        <v/>
      </c>
      <c r="BD585" t="str">
        <f>IF(BA585="","",IFERROR(INDEX(wKS2,516)+0,""))</f>
        <v/>
      </c>
      <c r="BE585" t="str">
        <f>IF(BA585="","",IFERROR(INDEX(wTests,516)+0,0))</f>
        <v/>
      </c>
      <c r="BF585" t="str">
        <f>IF(BA585="","",IFERROR(INDEX(wMean,516)+0,""))</f>
        <v/>
      </c>
      <c r="BG585" t="str">
        <f>IF(BA585="","",IFERROR(INDEX(wVs,516)+0,""))</f>
        <v/>
      </c>
      <c r="BH585" t="str">
        <f>IF(OR(BA585="",wLatest=""),"",IFERROR(INDEX(wData,516,MATCH(wLatest&amp;CHAR(10)&amp;"Stanine",wHdr,0))+0,""))</f>
        <v/>
      </c>
      <c r="BI585" t="str">
        <f>IF(BA585="","",IF(AND(ISNUMBER(BG585),N(BE585)&gt;=WlMinTests,BG585&lt;=-WlGap),"Below KS2 starting point",IF(AND(NOT(ISNUMBER(BD585)),ISNUMBER(BF585),N(BE585)&gt;=WlMinTests,BF585&lt;=WlLowMean),"Low results, no KS2 data","")))</f>
        <v/>
      </c>
      <c r="BJ585" t="str">
        <f>IF(BI585="","",IF(BI585="Below KS2 starting point",BG585,100+BF585)+ROW()/1000000)</f>
        <v/>
      </c>
    </row>
    <row r="586">
      <c r="H586" t="str">
        <f>IFERROR(INDEX(tblY7[Class],ROWS(H$10:H586))&amp;"","")</f>
        <v/>
      </c>
      <c r="I586" t="str">
        <f>IF(H586="","",IF(COUNTIF(H$10:H586,H586)=1,COUNTIF(H$10:H$609,"&lt;"&amp;H586)+1,""))</f>
        <v/>
      </c>
      <c r="J586" t="str">
        <f>IFERROR(INDEX(tblY8[Class],ROWS(J$10:J586))&amp;"","")</f>
        <v/>
      </c>
      <c r="K586" t="str">
        <f>IF(J586="","",IF(COUNTIF(J$10:J586,J586)=1,COUNTIF(J$10:J$609,"&lt;"&amp;J586)+1,""))</f>
        <v/>
      </c>
      <c r="L586" t="str">
        <f>IFERROR(INDEX(tblY9[Class],ROWS(L$10:L586))&amp;"","")</f>
        <v/>
      </c>
      <c r="M586" t="str">
        <f>IF(L586="","",IF(COUNTIF(L$10:L586,L586)=1,COUNTIF(L$10:L$609,"&lt;"&amp;L586)+1,""))</f>
        <v/>
      </c>
      <c r="N586" t="str">
        <f>IFERROR(INDEX(tblY10[Class],ROWS(N$10:N586))&amp;"","")</f>
        <v/>
      </c>
      <c r="O586" t="str">
        <f>IF(N586="","",IF(COUNTIF(N$10:N586,N586)=1,COUNTIF(N$10:N$609,"&lt;"&amp;N586)+1,""))</f>
        <v/>
      </c>
      <c r="P586" t="str">
        <f>IFERROR(INDEX(tblY11[Class],ROWS(P$10:P586))&amp;"","")</f>
        <v/>
      </c>
      <c r="Q586" t="str">
        <f>IF(P586="","",IF(COUNTIF(P$10:P586,P586)=1,COUNTIF(P$10:P$609,"&lt;"&amp;P586)+1,""))</f>
        <v/>
      </c>
      <c r="BA586" t="str">
        <f>IFERROR(INDEX(wLast,517)&amp;"","")</f>
        <v/>
      </c>
      <c r="BB586" t="str">
        <f>IF(BA586="","",IFERROR(INDEX(wFirst,517)&amp;"",""))</f>
        <v/>
      </c>
      <c r="BC586" t="str">
        <f>IF(BA586="","",IFERROR(INDEX(wClass,517)&amp;"",""))</f>
        <v/>
      </c>
      <c r="BD586" t="str">
        <f>IF(BA586="","",IFERROR(INDEX(wKS2,517)+0,""))</f>
        <v/>
      </c>
      <c r="BE586" t="str">
        <f>IF(BA586="","",IFERROR(INDEX(wTests,517)+0,0))</f>
        <v/>
      </c>
      <c r="BF586" t="str">
        <f>IF(BA586="","",IFERROR(INDEX(wMean,517)+0,""))</f>
        <v/>
      </c>
      <c r="BG586" t="str">
        <f>IF(BA586="","",IFERROR(INDEX(wVs,517)+0,""))</f>
        <v/>
      </c>
      <c r="BH586" t="str">
        <f>IF(OR(BA586="",wLatest=""),"",IFERROR(INDEX(wData,517,MATCH(wLatest&amp;CHAR(10)&amp;"Stanine",wHdr,0))+0,""))</f>
        <v/>
      </c>
      <c r="BI586" t="str">
        <f>IF(BA586="","",IF(AND(ISNUMBER(BG586),N(BE586)&gt;=WlMinTests,BG586&lt;=-WlGap),"Below KS2 starting point",IF(AND(NOT(ISNUMBER(BD586)),ISNUMBER(BF586),N(BE586)&gt;=WlMinTests,BF586&lt;=WlLowMean),"Low results, no KS2 data","")))</f>
        <v/>
      </c>
      <c r="BJ586" t="str">
        <f>IF(BI586="","",IF(BI586="Below KS2 starting point",BG586,100+BF586)+ROW()/1000000)</f>
        <v/>
      </c>
    </row>
    <row r="587">
      <c r="H587" t="str">
        <f>IFERROR(INDEX(tblY7[Class],ROWS(H$10:H587))&amp;"","")</f>
        <v/>
      </c>
      <c r="I587" t="str">
        <f>IF(H587="","",IF(COUNTIF(H$10:H587,H587)=1,COUNTIF(H$10:H$609,"&lt;"&amp;H587)+1,""))</f>
        <v/>
      </c>
      <c r="J587" t="str">
        <f>IFERROR(INDEX(tblY8[Class],ROWS(J$10:J587))&amp;"","")</f>
        <v/>
      </c>
      <c r="K587" t="str">
        <f>IF(J587="","",IF(COUNTIF(J$10:J587,J587)=1,COUNTIF(J$10:J$609,"&lt;"&amp;J587)+1,""))</f>
        <v/>
      </c>
      <c r="L587" t="str">
        <f>IFERROR(INDEX(tblY9[Class],ROWS(L$10:L587))&amp;"","")</f>
        <v/>
      </c>
      <c r="M587" t="str">
        <f>IF(L587="","",IF(COUNTIF(L$10:L587,L587)=1,COUNTIF(L$10:L$609,"&lt;"&amp;L587)+1,""))</f>
        <v/>
      </c>
      <c r="N587" t="str">
        <f>IFERROR(INDEX(tblY10[Class],ROWS(N$10:N587))&amp;"","")</f>
        <v/>
      </c>
      <c r="O587" t="str">
        <f>IF(N587="","",IF(COUNTIF(N$10:N587,N587)=1,COUNTIF(N$10:N$609,"&lt;"&amp;N587)+1,""))</f>
        <v/>
      </c>
      <c r="P587" t="str">
        <f>IFERROR(INDEX(tblY11[Class],ROWS(P$10:P587))&amp;"","")</f>
        <v/>
      </c>
      <c r="Q587" t="str">
        <f>IF(P587="","",IF(COUNTIF(P$10:P587,P587)=1,COUNTIF(P$10:P$609,"&lt;"&amp;P587)+1,""))</f>
        <v/>
      </c>
      <c r="BA587" t="str">
        <f>IFERROR(INDEX(wLast,518)&amp;"","")</f>
        <v/>
      </c>
      <c r="BB587" t="str">
        <f>IF(BA587="","",IFERROR(INDEX(wFirst,518)&amp;"",""))</f>
        <v/>
      </c>
      <c r="BC587" t="str">
        <f>IF(BA587="","",IFERROR(INDEX(wClass,518)&amp;"",""))</f>
        <v/>
      </c>
      <c r="BD587" t="str">
        <f>IF(BA587="","",IFERROR(INDEX(wKS2,518)+0,""))</f>
        <v/>
      </c>
      <c r="BE587" t="str">
        <f>IF(BA587="","",IFERROR(INDEX(wTests,518)+0,0))</f>
        <v/>
      </c>
      <c r="BF587" t="str">
        <f>IF(BA587="","",IFERROR(INDEX(wMean,518)+0,""))</f>
        <v/>
      </c>
      <c r="BG587" t="str">
        <f>IF(BA587="","",IFERROR(INDEX(wVs,518)+0,""))</f>
        <v/>
      </c>
      <c r="BH587" t="str">
        <f>IF(OR(BA587="",wLatest=""),"",IFERROR(INDEX(wData,518,MATCH(wLatest&amp;CHAR(10)&amp;"Stanine",wHdr,0))+0,""))</f>
        <v/>
      </c>
      <c r="BI587" t="str">
        <f>IF(BA587="","",IF(AND(ISNUMBER(BG587),N(BE587)&gt;=WlMinTests,BG587&lt;=-WlGap),"Below KS2 starting point",IF(AND(NOT(ISNUMBER(BD587)),ISNUMBER(BF587),N(BE587)&gt;=WlMinTests,BF587&lt;=WlLowMean),"Low results, no KS2 data","")))</f>
        <v/>
      </c>
      <c r="BJ587" t="str">
        <f>IF(BI587="","",IF(BI587="Below KS2 starting point",BG587,100+BF587)+ROW()/1000000)</f>
        <v/>
      </c>
    </row>
    <row r="588">
      <c r="H588" t="str">
        <f>IFERROR(INDEX(tblY7[Class],ROWS(H$10:H588))&amp;"","")</f>
        <v/>
      </c>
      <c r="I588" t="str">
        <f>IF(H588="","",IF(COUNTIF(H$10:H588,H588)=1,COUNTIF(H$10:H$609,"&lt;"&amp;H588)+1,""))</f>
        <v/>
      </c>
      <c r="J588" t="str">
        <f>IFERROR(INDEX(tblY8[Class],ROWS(J$10:J588))&amp;"","")</f>
        <v/>
      </c>
      <c r="K588" t="str">
        <f>IF(J588="","",IF(COUNTIF(J$10:J588,J588)=1,COUNTIF(J$10:J$609,"&lt;"&amp;J588)+1,""))</f>
        <v/>
      </c>
      <c r="L588" t="str">
        <f>IFERROR(INDEX(tblY9[Class],ROWS(L$10:L588))&amp;"","")</f>
        <v/>
      </c>
      <c r="M588" t="str">
        <f>IF(L588="","",IF(COUNTIF(L$10:L588,L588)=1,COUNTIF(L$10:L$609,"&lt;"&amp;L588)+1,""))</f>
        <v/>
      </c>
      <c r="N588" t="str">
        <f>IFERROR(INDEX(tblY10[Class],ROWS(N$10:N588))&amp;"","")</f>
        <v/>
      </c>
      <c r="O588" t="str">
        <f>IF(N588="","",IF(COUNTIF(N$10:N588,N588)=1,COUNTIF(N$10:N$609,"&lt;"&amp;N588)+1,""))</f>
        <v/>
      </c>
      <c r="P588" t="str">
        <f>IFERROR(INDEX(tblY11[Class],ROWS(P$10:P588))&amp;"","")</f>
        <v/>
      </c>
      <c r="Q588" t="str">
        <f>IF(P588="","",IF(COUNTIF(P$10:P588,P588)=1,COUNTIF(P$10:P$609,"&lt;"&amp;P588)+1,""))</f>
        <v/>
      </c>
      <c r="BA588" t="str">
        <f>IFERROR(INDEX(wLast,519)&amp;"","")</f>
        <v/>
      </c>
      <c r="BB588" t="str">
        <f>IF(BA588="","",IFERROR(INDEX(wFirst,519)&amp;"",""))</f>
        <v/>
      </c>
      <c r="BC588" t="str">
        <f>IF(BA588="","",IFERROR(INDEX(wClass,519)&amp;"",""))</f>
        <v/>
      </c>
      <c r="BD588" t="str">
        <f>IF(BA588="","",IFERROR(INDEX(wKS2,519)+0,""))</f>
        <v/>
      </c>
      <c r="BE588" t="str">
        <f>IF(BA588="","",IFERROR(INDEX(wTests,519)+0,0))</f>
        <v/>
      </c>
      <c r="BF588" t="str">
        <f>IF(BA588="","",IFERROR(INDEX(wMean,519)+0,""))</f>
        <v/>
      </c>
      <c r="BG588" t="str">
        <f>IF(BA588="","",IFERROR(INDEX(wVs,519)+0,""))</f>
        <v/>
      </c>
      <c r="BH588" t="str">
        <f>IF(OR(BA588="",wLatest=""),"",IFERROR(INDEX(wData,519,MATCH(wLatest&amp;CHAR(10)&amp;"Stanine",wHdr,0))+0,""))</f>
        <v/>
      </c>
      <c r="BI588" t="str">
        <f>IF(BA588="","",IF(AND(ISNUMBER(BG588),N(BE588)&gt;=WlMinTests,BG588&lt;=-WlGap),"Below KS2 starting point",IF(AND(NOT(ISNUMBER(BD588)),ISNUMBER(BF588),N(BE588)&gt;=WlMinTests,BF588&lt;=WlLowMean),"Low results, no KS2 data","")))</f>
        <v/>
      </c>
      <c r="BJ588" t="str">
        <f>IF(BI588="","",IF(BI588="Below KS2 starting point",BG588,100+BF588)+ROW()/1000000)</f>
        <v/>
      </c>
    </row>
    <row r="589">
      <c r="H589" t="str">
        <f>IFERROR(INDEX(tblY7[Class],ROWS(H$10:H589))&amp;"","")</f>
        <v/>
      </c>
      <c r="I589" t="str">
        <f>IF(H589="","",IF(COUNTIF(H$10:H589,H589)=1,COUNTIF(H$10:H$609,"&lt;"&amp;H589)+1,""))</f>
        <v/>
      </c>
      <c r="J589" t="str">
        <f>IFERROR(INDEX(tblY8[Class],ROWS(J$10:J589))&amp;"","")</f>
        <v/>
      </c>
      <c r="K589" t="str">
        <f>IF(J589="","",IF(COUNTIF(J$10:J589,J589)=1,COUNTIF(J$10:J$609,"&lt;"&amp;J589)+1,""))</f>
        <v/>
      </c>
      <c r="L589" t="str">
        <f>IFERROR(INDEX(tblY9[Class],ROWS(L$10:L589))&amp;"","")</f>
        <v/>
      </c>
      <c r="M589" t="str">
        <f>IF(L589="","",IF(COUNTIF(L$10:L589,L589)=1,COUNTIF(L$10:L$609,"&lt;"&amp;L589)+1,""))</f>
        <v/>
      </c>
      <c r="N589" t="str">
        <f>IFERROR(INDEX(tblY10[Class],ROWS(N$10:N589))&amp;"","")</f>
        <v/>
      </c>
      <c r="O589" t="str">
        <f>IF(N589="","",IF(COUNTIF(N$10:N589,N589)=1,COUNTIF(N$10:N$609,"&lt;"&amp;N589)+1,""))</f>
        <v/>
      </c>
      <c r="P589" t="str">
        <f>IFERROR(INDEX(tblY11[Class],ROWS(P$10:P589))&amp;"","")</f>
        <v/>
      </c>
      <c r="Q589" t="str">
        <f>IF(P589="","",IF(COUNTIF(P$10:P589,P589)=1,COUNTIF(P$10:P$609,"&lt;"&amp;P589)+1,""))</f>
        <v/>
      </c>
      <c r="BA589" t="str">
        <f>IFERROR(INDEX(wLast,520)&amp;"","")</f>
        <v/>
      </c>
      <c r="BB589" t="str">
        <f>IF(BA589="","",IFERROR(INDEX(wFirst,520)&amp;"",""))</f>
        <v/>
      </c>
      <c r="BC589" t="str">
        <f>IF(BA589="","",IFERROR(INDEX(wClass,520)&amp;"",""))</f>
        <v/>
      </c>
      <c r="BD589" t="str">
        <f>IF(BA589="","",IFERROR(INDEX(wKS2,520)+0,""))</f>
        <v/>
      </c>
      <c r="BE589" t="str">
        <f>IF(BA589="","",IFERROR(INDEX(wTests,520)+0,0))</f>
        <v/>
      </c>
      <c r="BF589" t="str">
        <f>IF(BA589="","",IFERROR(INDEX(wMean,520)+0,""))</f>
        <v/>
      </c>
      <c r="BG589" t="str">
        <f>IF(BA589="","",IFERROR(INDEX(wVs,520)+0,""))</f>
        <v/>
      </c>
      <c r="BH589" t="str">
        <f>IF(OR(BA589="",wLatest=""),"",IFERROR(INDEX(wData,520,MATCH(wLatest&amp;CHAR(10)&amp;"Stanine",wHdr,0))+0,""))</f>
        <v/>
      </c>
      <c r="BI589" t="str">
        <f>IF(BA589="","",IF(AND(ISNUMBER(BG589),N(BE589)&gt;=WlMinTests,BG589&lt;=-WlGap),"Below KS2 starting point",IF(AND(NOT(ISNUMBER(BD589)),ISNUMBER(BF589),N(BE589)&gt;=WlMinTests,BF589&lt;=WlLowMean),"Low results, no KS2 data","")))</f>
        <v/>
      </c>
      <c r="BJ589" t="str">
        <f>IF(BI589="","",IF(BI589="Below KS2 starting point",BG589,100+BF589)+ROW()/1000000)</f>
        <v/>
      </c>
    </row>
    <row r="590">
      <c r="H590" t="str">
        <f>IFERROR(INDEX(tblY7[Class],ROWS(H$10:H590))&amp;"","")</f>
        <v/>
      </c>
      <c r="I590" t="str">
        <f>IF(H590="","",IF(COUNTIF(H$10:H590,H590)=1,COUNTIF(H$10:H$609,"&lt;"&amp;H590)+1,""))</f>
        <v/>
      </c>
      <c r="J590" t="str">
        <f>IFERROR(INDEX(tblY8[Class],ROWS(J$10:J590))&amp;"","")</f>
        <v/>
      </c>
      <c r="K590" t="str">
        <f>IF(J590="","",IF(COUNTIF(J$10:J590,J590)=1,COUNTIF(J$10:J$609,"&lt;"&amp;J590)+1,""))</f>
        <v/>
      </c>
      <c r="L590" t="str">
        <f>IFERROR(INDEX(tblY9[Class],ROWS(L$10:L590))&amp;"","")</f>
        <v/>
      </c>
      <c r="M590" t="str">
        <f>IF(L590="","",IF(COUNTIF(L$10:L590,L590)=1,COUNTIF(L$10:L$609,"&lt;"&amp;L590)+1,""))</f>
        <v/>
      </c>
      <c r="N590" t="str">
        <f>IFERROR(INDEX(tblY10[Class],ROWS(N$10:N590))&amp;"","")</f>
        <v/>
      </c>
      <c r="O590" t="str">
        <f>IF(N590="","",IF(COUNTIF(N$10:N590,N590)=1,COUNTIF(N$10:N$609,"&lt;"&amp;N590)+1,""))</f>
        <v/>
      </c>
      <c r="P590" t="str">
        <f>IFERROR(INDEX(tblY11[Class],ROWS(P$10:P590))&amp;"","")</f>
        <v/>
      </c>
      <c r="Q590" t="str">
        <f>IF(P590="","",IF(COUNTIF(P$10:P590,P590)=1,COUNTIF(P$10:P$609,"&lt;"&amp;P590)+1,""))</f>
        <v/>
      </c>
      <c r="BA590" t="str">
        <f>IFERROR(INDEX(wLast,521)&amp;"","")</f>
        <v/>
      </c>
      <c r="BB590" t="str">
        <f>IF(BA590="","",IFERROR(INDEX(wFirst,521)&amp;"",""))</f>
        <v/>
      </c>
      <c r="BC590" t="str">
        <f>IF(BA590="","",IFERROR(INDEX(wClass,521)&amp;"",""))</f>
        <v/>
      </c>
      <c r="BD590" t="str">
        <f>IF(BA590="","",IFERROR(INDEX(wKS2,521)+0,""))</f>
        <v/>
      </c>
      <c r="BE590" t="str">
        <f>IF(BA590="","",IFERROR(INDEX(wTests,521)+0,0))</f>
        <v/>
      </c>
      <c r="BF590" t="str">
        <f>IF(BA590="","",IFERROR(INDEX(wMean,521)+0,""))</f>
        <v/>
      </c>
      <c r="BG590" t="str">
        <f>IF(BA590="","",IFERROR(INDEX(wVs,521)+0,""))</f>
        <v/>
      </c>
      <c r="BH590" t="str">
        <f>IF(OR(BA590="",wLatest=""),"",IFERROR(INDEX(wData,521,MATCH(wLatest&amp;CHAR(10)&amp;"Stanine",wHdr,0))+0,""))</f>
        <v/>
      </c>
      <c r="BI590" t="str">
        <f>IF(BA590="","",IF(AND(ISNUMBER(BG590),N(BE590)&gt;=WlMinTests,BG590&lt;=-WlGap),"Below KS2 starting point",IF(AND(NOT(ISNUMBER(BD590)),ISNUMBER(BF590),N(BE590)&gt;=WlMinTests,BF590&lt;=WlLowMean),"Low results, no KS2 data","")))</f>
        <v/>
      </c>
      <c r="BJ590" t="str">
        <f>IF(BI590="","",IF(BI590="Below KS2 starting point",BG590,100+BF590)+ROW()/1000000)</f>
        <v/>
      </c>
    </row>
    <row r="591">
      <c r="H591" t="str">
        <f>IFERROR(INDEX(tblY7[Class],ROWS(H$10:H591))&amp;"","")</f>
        <v/>
      </c>
      <c r="I591" t="str">
        <f>IF(H591="","",IF(COUNTIF(H$10:H591,H591)=1,COUNTIF(H$10:H$609,"&lt;"&amp;H591)+1,""))</f>
        <v/>
      </c>
      <c r="J591" t="str">
        <f>IFERROR(INDEX(tblY8[Class],ROWS(J$10:J591))&amp;"","")</f>
        <v/>
      </c>
      <c r="K591" t="str">
        <f>IF(J591="","",IF(COUNTIF(J$10:J591,J591)=1,COUNTIF(J$10:J$609,"&lt;"&amp;J591)+1,""))</f>
        <v/>
      </c>
      <c r="L591" t="str">
        <f>IFERROR(INDEX(tblY9[Class],ROWS(L$10:L591))&amp;"","")</f>
        <v/>
      </c>
      <c r="M591" t="str">
        <f>IF(L591="","",IF(COUNTIF(L$10:L591,L591)=1,COUNTIF(L$10:L$609,"&lt;"&amp;L591)+1,""))</f>
        <v/>
      </c>
      <c r="N591" t="str">
        <f>IFERROR(INDEX(tblY10[Class],ROWS(N$10:N591))&amp;"","")</f>
        <v/>
      </c>
      <c r="O591" t="str">
        <f>IF(N591="","",IF(COUNTIF(N$10:N591,N591)=1,COUNTIF(N$10:N$609,"&lt;"&amp;N591)+1,""))</f>
        <v/>
      </c>
      <c r="P591" t="str">
        <f>IFERROR(INDEX(tblY11[Class],ROWS(P$10:P591))&amp;"","")</f>
        <v/>
      </c>
      <c r="Q591" t="str">
        <f>IF(P591="","",IF(COUNTIF(P$10:P591,P591)=1,COUNTIF(P$10:P$609,"&lt;"&amp;P591)+1,""))</f>
        <v/>
      </c>
      <c r="BA591" t="str">
        <f>IFERROR(INDEX(wLast,522)&amp;"","")</f>
        <v/>
      </c>
      <c r="BB591" t="str">
        <f>IF(BA591="","",IFERROR(INDEX(wFirst,522)&amp;"",""))</f>
        <v/>
      </c>
      <c r="BC591" t="str">
        <f>IF(BA591="","",IFERROR(INDEX(wClass,522)&amp;"",""))</f>
        <v/>
      </c>
      <c r="BD591" t="str">
        <f>IF(BA591="","",IFERROR(INDEX(wKS2,522)+0,""))</f>
        <v/>
      </c>
      <c r="BE591" t="str">
        <f>IF(BA591="","",IFERROR(INDEX(wTests,522)+0,0))</f>
        <v/>
      </c>
      <c r="BF591" t="str">
        <f>IF(BA591="","",IFERROR(INDEX(wMean,522)+0,""))</f>
        <v/>
      </c>
      <c r="BG591" t="str">
        <f>IF(BA591="","",IFERROR(INDEX(wVs,522)+0,""))</f>
        <v/>
      </c>
      <c r="BH591" t="str">
        <f>IF(OR(BA591="",wLatest=""),"",IFERROR(INDEX(wData,522,MATCH(wLatest&amp;CHAR(10)&amp;"Stanine",wHdr,0))+0,""))</f>
        <v/>
      </c>
      <c r="BI591" t="str">
        <f>IF(BA591="","",IF(AND(ISNUMBER(BG591),N(BE591)&gt;=WlMinTests,BG591&lt;=-WlGap),"Below KS2 starting point",IF(AND(NOT(ISNUMBER(BD591)),ISNUMBER(BF591),N(BE591)&gt;=WlMinTests,BF591&lt;=WlLowMean),"Low results, no KS2 data","")))</f>
        <v/>
      </c>
      <c r="BJ591" t="str">
        <f>IF(BI591="","",IF(BI591="Below KS2 starting point",BG591,100+BF591)+ROW()/1000000)</f>
        <v/>
      </c>
    </row>
    <row r="592">
      <c r="H592" t="str">
        <f>IFERROR(INDEX(tblY7[Class],ROWS(H$10:H592))&amp;"","")</f>
        <v/>
      </c>
      <c r="I592" t="str">
        <f>IF(H592="","",IF(COUNTIF(H$10:H592,H592)=1,COUNTIF(H$10:H$609,"&lt;"&amp;H592)+1,""))</f>
        <v/>
      </c>
      <c r="J592" t="str">
        <f>IFERROR(INDEX(tblY8[Class],ROWS(J$10:J592))&amp;"","")</f>
        <v/>
      </c>
      <c r="K592" t="str">
        <f>IF(J592="","",IF(COUNTIF(J$10:J592,J592)=1,COUNTIF(J$10:J$609,"&lt;"&amp;J592)+1,""))</f>
        <v/>
      </c>
      <c r="L592" t="str">
        <f>IFERROR(INDEX(tblY9[Class],ROWS(L$10:L592))&amp;"","")</f>
        <v/>
      </c>
      <c r="M592" t="str">
        <f>IF(L592="","",IF(COUNTIF(L$10:L592,L592)=1,COUNTIF(L$10:L$609,"&lt;"&amp;L592)+1,""))</f>
        <v/>
      </c>
      <c r="N592" t="str">
        <f>IFERROR(INDEX(tblY10[Class],ROWS(N$10:N592))&amp;"","")</f>
        <v/>
      </c>
      <c r="O592" t="str">
        <f>IF(N592="","",IF(COUNTIF(N$10:N592,N592)=1,COUNTIF(N$10:N$609,"&lt;"&amp;N592)+1,""))</f>
        <v/>
      </c>
      <c r="P592" t="str">
        <f>IFERROR(INDEX(tblY11[Class],ROWS(P$10:P592))&amp;"","")</f>
        <v/>
      </c>
      <c r="Q592" t="str">
        <f>IF(P592="","",IF(COUNTIF(P$10:P592,P592)=1,COUNTIF(P$10:P$609,"&lt;"&amp;P592)+1,""))</f>
        <v/>
      </c>
      <c r="BA592" t="str">
        <f>IFERROR(INDEX(wLast,523)&amp;"","")</f>
        <v/>
      </c>
      <c r="BB592" t="str">
        <f>IF(BA592="","",IFERROR(INDEX(wFirst,523)&amp;"",""))</f>
        <v/>
      </c>
      <c r="BC592" t="str">
        <f>IF(BA592="","",IFERROR(INDEX(wClass,523)&amp;"",""))</f>
        <v/>
      </c>
      <c r="BD592" t="str">
        <f>IF(BA592="","",IFERROR(INDEX(wKS2,523)+0,""))</f>
        <v/>
      </c>
      <c r="BE592" t="str">
        <f>IF(BA592="","",IFERROR(INDEX(wTests,523)+0,0))</f>
        <v/>
      </c>
      <c r="BF592" t="str">
        <f>IF(BA592="","",IFERROR(INDEX(wMean,523)+0,""))</f>
        <v/>
      </c>
      <c r="BG592" t="str">
        <f>IF(BA592="","",IFERROR(INDEX(wVs,523)+0,""))</f>
        <v/>
      </c>
      <c r="BH592" t="str">
        <f>IF(OR(BA592="",wLatest=""),"",IFERROR(INDEX(wData,523,MATCH(wLatest&amp;CHAR(10)&amp;"Stanine",wHdr,0))+0,""))</f>
        <v/>
      </c>
      <c r="BI592" t="str">
        <f>IF(BA592="","",IF(AND(ISNUMBER(BG592),N(BE592)&gt;=WlMinTests,BG592&lt;=-WlGap),"Below KS2 starting point",IF(AND(NOT(ISNUMBER(BD592)),ISNUMBER(BF592),N(BE592)&gt;=WlMinTests,BF592&lt;=WlLowMean),"Low results, no KS2 data","")))</f>
        <v/>
      </c>
      <c r="BJ592" t="str">
        <f>IF(BI592="","",IF(BI592="Below KS2 starting point",BG592,100+BF592)+ROW()/1000000)</f>
        <v/>
      </c>
    </row>
    <row r="593">
      <c r="H593" t="str">
        <f>IFERROR(INDEX(tblY7[Class],ROWS(H$10:H593))&amp;"","")</f>
        <v/>
      </c>
      <c r="I593" t="str">
        <f>IF(H593="","",IF(COUNTIF(H$10:H593,H593)=1,COUNTIF(H$10:H$609,"&lt;"&amp;H593)+1,""))</f>
        <v/>
      </c>
      <c r="J593" t="str">
        <f>IFERROR(INDEX(tblY8[Class],ROWS(J$10:J593))&amp;"","")</f>
        <v/>
      </c>
      <c r="K593" t="str">
        <f>IF(J593="","",IF(COUNTIF(J$10:J593,J593)=1,COUNTIF(J$10:J$609,"&lt;"&amp;J593)+1,""))</f>
        <v/>
      </c>
      <c r="L593" t="str">
        <f>IFERROR(INDEX(tblY9[Class],ROWS(L$10:L593))&amp;"","")</f>
        <v/>
      </c>
      <c r="M593" t="str">
        <f>IF(L593="","",IF(COUNTIF(L$10:L593,L593)=1,COUNTIF(L$10:L$609,"&lt;"&amp;L593)+1,""))</f>
        <v/>
      </c>
      <c r="N593" t="str">
        <f>IFERROR(INDEX(tblY10[Class],ROWS(N$10:N593))&amp;"","")</f>
        <v/>
      </c>
      <c r="O593" t="str">
        <f>IF(N593="","",IF(COUNTIF(N$10:N593,N593)=1,COUNTIF(N$10:N$609,"&lt;"&amp;N593)+1,""))</f>
        <v/>
      </c>
      <c r="P593" t="str">
        <f>IFERROR(INDEX(tblY11[Class],ROWS(P$10:P593))&amp;"","")</f>
        <v/>
      </c>
      <c r="Q593" t="str">
        <f>IF(P593="","",IF(COUNTIF(P$10:P593,P593)=1,COUNTIF(P$10:P$609,"&lt;"&amp;P593)+1,""))</f>
        <v/>
      </c>
      <c r="BA593" t="str">
        <f>IFERROR(INDEX(wLast,524)&amp;"","")</f>
        <v/>
      </c>
      <c r="BB593" t="str">
        <f>IF(BA593="","",IFERROR(INDEX(wFirst,524)&amp;"",""))</f>
        <v/>
      </c>
      <c r="BC593" t="str">
        <f>IF(BA593="","",IFERROR(INDEX(wClass,524)&amp;"",""))</f>
        <v/>
      </c>
      <c r="BD593" t="str">
        <f>IF(BA593="","",IFERROR(INDEX(wKS2,524)+0,""))</f>
        <v/>
      </c>
      <c r="BE593" t="str">
        <f>IF(BA593="","",IFERROR(INDEX(wTests,524)+0,0))</f>
        <v/>
      </c>
      <c r="BF593" t="str">
        <f>IF(BA593="","",IFERROR(INDEX(wMean,524)+0,""))</f>
        <v/>
      </c>
      <c r="BG593" t="str">
        <f>IF(BA593="","",IFERROR(INDEX(wVs,524)+0,""))</f>
        <v/>
      </c>
      <c r="BH593" t="str">
        <f>IF(OR(BA593="",wLatest=""),"",IFERROR(INDEX(wData,524,MATCH(wLatest&amp;CHAR(10)&amp;"Stanine",wHdr,0))+0,""))</f>
        <v/>
      </c>
      <c r="BI593" t="str">
        <f>IF(BA593="","",IF(AND(ISNUMBER(BG593),N(BE593)&gt;=WlMinTests,BG593&lt;=-WlGap),"Below KS2 starting point",IF(AND(NOT(ISNUMBER(BD593)),ISNUMBER(BF593),N(BE593)&gt;=WlMinTests,BF593&lt;=WlLowMean),"Low results, no KS2 data","")))</f>
        <v/>
      </c>
      <c r="BJ593" t="str">
        <f>IF(BI593="","",IF(BI593="Below KS2 starting point",BG593,100+BF593)+ROW()/1000000)</f>
        <v/>
      </c>
    </row>
    <row r="594">
      <c r="H594" t="str">
        <f>IFERROR(INDEX(tblY7[Class],ROWS(H$10:H594))&amp;"","")</f>
        <v/>
      </c>
      <c r="I594" t="str">
        <f>IF(H594="","",IF(COUNTIF(H$10:H594,H594)=1,COUNTIF(H$10:H$609,"&lt;"&amp;H594)+1,""))</f>
        <v/>
      </c>
      <c r="J594" t="str">
        <f>IFERROR(INDEX(tblY8[Class],ROWS(J$10:J594))&amp;"","")</f>
        <v/>
      </c>
      <c r="K594" t="str">
        <f>IF(J594="","",IF(COUNTIF(J$10:J594,J594)=1,COUNTIF(J$10:J$609,"&lt;"&amp;J594)+1,""))</f>
        <v/>
      </c>
      <c r="L594" t="str">
        <f>IFERROR(INDEX(tblY9[Class],ROWS(L$10:L594))&amp;"","")</f>
        <v/>
      </c>
      <c r="M594" t="str">
        <f>IF(L594="","",IF(COUNTIF(L$10:L594,L594)=1,COUNTIF(L$10:L$609,"&lt;"&amp;L594)+1,""))</f>
        <v/>
      </c>
      <c r="N594" t="str">
        <f>IFERROR(INDEX(tblY10[Class],ROWS(N$10:N594))&amp;"","")</f>
        <v/>
      </c>
      <c r="O594" t="str">
        <f>IF(N594="","",IF(COUNTIF(N$10:N594,N594)=1,COUNTIF(N$10:N$609,"&lt;"&amp;N594)+1,""))</f>
        <v/>
      </c>
      <c r="P594" t="str">
        <f>IFERROR(INDEX(tblY11[Class],ROWS(P$10:P594))&amp;"","")</f>
        <v/>
      </c>
      <c r="Q594" t="str">
        <f>IF(P594="","",IF(COUNTIF(P$10:P594,P594)=1,COUNTIF(P$10:P$609,"&lt;"&amp;P594)+1,""))</f>
        <v/>
      </c>
      <c r="BA594" t="str">
        <f>IFERROR(INDEX(wLast,525)&amp;"","")</f>
        <v/>
      </c>
      <c r="BB594" t="str">
        <f>IF(BA594="","",IFERROR(INDEX(wFirst,525)&amp;"",""))</f>
        <v/>
      </c>
      <c r="BC594" t="str">
        <f>IF(BA594="","",IFERROR(INDEX(wClass,525)&amp;"",""))</f>
        <v/>
      </c>
      <c r="BD594" t="str">
        <f>IF(BA594="","",IFERROR(INDEX(wKS2,525)+0,""))</f>
        <v/>
      </c>
      <c r="BE594" t="str">
        <f>IF(BA594="","",IFERROR(INDEX(wTests,525)+0,0))</f>
        <v/>
      </c>
      <c r="BF594" t="str">
        <f>IF(BA594="","",IFERROR(INDEX(wMean,525)+0,""))</f>
        <v/>
      </c>
      <c r="BG594" t="str">
        <f>IF(BA594="","",IFERROR(INDEX(wVs,525)+0,""))</f>
        <v/>
      </c>
      <c r="BH594" t="str">
        <f>IF(OR(BA594="",wLatest=""),"",IFERROR(INDEX(wData,525,MATCH(wLatest&amp;CHAR(10)&amp;"Stanine",wHdr,0))+0,""))</f>
        <v/>
      </c>
      <c r="BI594" t="str">
        <f>IF(BA594="","",IF(AND(ISNUMBER(BG594),N(BE594)&gt;=WlMinTests,BG594&lt;=-WlGap),"Below KS2 starting point",IF(AND(NOT(ISNUMBER(BD594)),ISNUMBER(BF594),N(BE594)&gt;=WlMinTests,BF594&lt;=WlLowMean),"Low results, no KS2 data","")))</f>
        <v/>
      </c>
      <c r="BJ594" t="str">
        <f>IF(BI594="","",IF(BI594="Below KS2 starting point",BG594,100+BF594)+ROW()/1000000)</f>
        <v/>
      </c>
    </row>
    <row r="595">
      <c r="H595" t="str">
        <f>IFERROR(INDEX(tblY7[Class],ROWS(H$10:H595))&amp;"","")</f>
        <v/>
      </c>
      <c r="I595" t="str">
        <f>IF(H595="","",IF(COUNTIF(H$10:H595,H595)=1,COUNTIF(H$10:H$609,"&lt;"&amp;H595)+1,""))</f>
        <v/>
      </c>
      <c r="J595" t="str">
        <f>IFERROR(INDEX(tblY8[Class],ROWS(J$10:J595))&amp;"","")</f>
        <v/>
      </c>
      <c r="K595" t="str">
        <f>IF(J595="","",IF(COUNTIF(J$10:J595,J595)=1,COUNTIF(J$10:J$609,"&lt;"&amp;J595)+1,""))</f>
        <v/>
      </c>
      <c r="L595" t="str">
        <f>IFERROR(INDEX(tblY9[Class],ROWS(L$10:L595))&amp;"","")</f>
        <v/>
      </c>
      <c r="M595" t="str">
        <f>IF(L595="","",IF(COUNTIF(L$10:L595,L595)=1,COUNTIF(L$10:L$609,"&lt;"&amp;L595)+1,""))</f>
        <v/>
      </c>
      <c r="N595" t="str">
        <f>IFERROR(INDEX(tblY10[Class],ROWS(N$10:N595))&amp;"","")</f>
        <v/>
      </c>
      <c r="O595" t="str">
        <f>IF(N595="","",IF(COUNTIF(N$10:N595,N595)=1,COUNTIF(N$10:N$609,"&lt;"&amp;N595)+1,""))</f>
        <v/>
      </c>
      <c r="P595" t="str">
        <f>IFERROR(INDEX(tblY11[Class],ROWS(P$10:P595))&amp;"","")</f>
        <v/>
      </c>
      <c r="Q595" t="str">
        <f>IF(P595="","",IF(COUNTIF(P$10:P595,P595)=1,COUNTIF(P$10:P$609,"&lt;"&amp;P595)+1,""))</f>
        <v/>
      </c>
      <c r="BA595" t="str">
        <f>IFERROR(INDEX(wLast,526)&amp;"","")</f>
        <v/>
      </c>
      <c r="BB595" t="str">
        <f>IF(BA595="","",IFERROR(INDEX(wFirst,526)&amp;"",""))</f>
        <v/>
      </c>
      <c r="BC595" t="str">
        <f>IF(BA595="","",IFERROR(INDEX(wClass,526)&amp;"",""))</f>
        <v/>
      </c>
      <c r="BD595" t="str">
        <f>IF(BA595="","",IFERROR(INDEX(wKS2,526)+0,""))</f>
        <v/>
      </c>
      <c r="BE595" t="str">
        <f>IF(BA595="","",IFERROR(INDEX(wTests,526)+0,0))</f>
        <v/>
      </c>
      <c r="BF595" t="str">
        <f>IF(BA595="","",IFERROR(INDEX(wMean,526)+0,""))</f>
        <v/>
      </c>
      <c r="BG595" t="str">
        <f>IF(BA595="","",IFERROR(INDEX(wVs,526)+0,""))</f>
        <v/>
      </c>
      <c r="BH595" t="str">
        <f>IF(OR(BA595="",wLatest=""),"",IFERROR(INDEX(wData,526,MATCH(wLatest&amp;CHAR(10)&amp;"Stanine",wHdr,0))+0,""))</f>
        <v/>
      </c>
      <c r="BI595" t="str">
        <f>IF(BA595="","",IF(AND(ISNUMBER(BG595),N(BE595)&gt;=WlMinTests,BG595&lt;=-WlGap),"Below KS2 starting point",IF(AND(NOT(ISNUMBER(BD595)),ISNUMBER(BF595),N(BE595)&gt;=WlMinTests,BF595&lt;=WlLowMean),"Low results, no KS2 data","")))</f>
        <v/>
      </c>
      <c r="BJ595" t="str">
        <f>IF(BI595="","",IF(BI595="Below KS2 starting point",BG595,100+BF595)+ROW()/1000000)</f>
        <v/>
      </c>
    </row>
    <row r="596">
      <c r="H596" t="str">
        <f>IFERROR(INDEX(tblY7[Class],ROWS(H$10:H596))&amp;"","")</f>
        <v/>
      </c>
      <c r="I596" t="str">
        <f>IF(H596="","",IF(COUNTIF(H$10:H596,H596)=1,COUNTIF(H$10:H$609,"&lt;"&amp;H596)+1,""))</f>
        <v/>
      </c>
      <c r="J596" t="str">
        <f>IFERROR(INDEX(tblY8[Class],ROWS(J$10:J596))&amp;"","")</f>
        <v/>
      </c>
      <c r="K596" t="str">
        <f>IF(J596="","",IF(COUNTIF(J$10:J596,J596)=1,COUNTIF(J$10:J$609,"&lt;"&amp;J596)+1,""))</f>
        <v/>
      </c>
      <c r="L596" t="str">
        <f>IFERROR(INDEX(tblY9[Class],ROWS(L$10:L596))&amp;"","")</f>
        <v/>
      </c>
      <c r="M596" t="str">
        <f>IF(L596="","",IF(COUNTIF(L$10:L596,L596)=1,COUNTIF(L$10:L$609,"&lt;"&amp;L596)+1,""))</f>
        <v/>
      </c>
      <c r="N596" t="str">
        <f>IFERROR(INDEX(tblY10[Class],ROWS(N$10:N596))&amp;"","")</f>
        <v/>
      </c>
      <c r="O596" t="str">
        <f>IF(N596="","",IF(COUNTIF(N$10:N596,N596)=1,COUNTIF(N$10:N$609,"&lt;"&amp;N596)+1,""))</f>
        <v/>
      </c>
      <c r="P596" t="str">
        <f>IFERROR(INDEX(tblY11[Class],ROWS(P$10:P596))&amp;"","")</f>
        <v/>
      </c>
      <c r="Q596" t="str">
        <f>IF(P596="","",IF(COUNTIF(P$10:P596,P596)=1,COUNTIF(P$10:P$609,"&lt;"&amp;P596)+1,""))</f>
        <v/>
      </c>
      <c r="BA596" t="str">
        <f>IFERROR(INDEX(wLast,527)&amp;"","")</f>
        <v/>
      </c>
      <c r="BB596" t="str">
        <f>IF(BA596="","",IFERROR(INDEX(wFirst,527)&amp;"",""))</f>
        <v/>
      </c>
      <c r="BC596" t="str">
        <f>IF(BA596="","",IFERROR(INDEX(wClass,527)&amp;"",""))</f>
        <v/>
      </c>
      <c r="BD596" t="str">
        <f>IF(BA596="","",IFERROR(INDEX(wKS2,527)+0,""))</f>
        <v/>
      </c>
      <c r="BE596" t="str">
        <f>IF(BA596="","",IFERROR(INDEX(wTests,527)+0,0))</f>
        <v/>
      </c>
      <c r="BF596" t="str">
        <f>IF(BA596="","",IFERROR(INDEX(wMean,527)+0,""))</f>
        <v/>
      </c>
      <c r="BG596" t="str">
        <f>IF(BA596="","",IFERROR(INDEX(wVs,527)+0,""))</f>
        <v/>
      </c>
      <c r="BH596" t="str">
        <f>IF(OR(BA596="",wLatest=""),"",IFERROR(INDEX(wData,527,MATCH(wLatest&amp;CHAR(10)&amp;"Stanine",wHdr,0))+0,""))</f>
        <v/>
      </c>
      <c r="BI596" t="str">
        <f>IF(BA596="","",IF(AND(ISNUMBER(BG596),N(BE596)&gt;=WlMinTests,BG596&lt;=-WlGap),"Below KS2 starting point",IF(AND(NOT(ISNUMBER(BD596)),ISNUMBER(BF596),N(BE596)&gt;=WlMinTests,BF596&lt;=WlLowMean),"Low results, no KS2 data","")))</f>
        <v/>
      </c>
      <c r="BJ596" t="str">
        <f>IF(BI596="","",IF(BI596="Below KS2 starting point",BG596,100+BF596)+ROW()/1000000)</f>
        <v/>
      </c>
    </row>
    <row r="597">
      <c r="H597" t="str">
        <f>IFERROR(INDEX(tblY7[Class],ROWS(H$10:H597))&amp;"","")</f>
        <v/>
      </c>
      <c r="I597" t="str">
        <f>IF(H597="","",IF(COUNTIF(H$10:H597,H597)=1,COUNTIF(H$10:H$609,"&lt;"&amp;H597)+1,""))</f>
        <v/>
      </c>
      <c r="J597" t="str">
        <f>IFERROR(INDEX(tblY8[Class],ROWS(J$10:J597))&amp;"","")</f>
        <v/>
      </c>
      <c r="K597" t="str">
        <f>IF(J597="","",IF(COUNTIF(J$10:J597,J597)=1,COUNTIF(J$10:J$609,"&lt;"&amp;J597)+1,""))</f>
        <v/>
      </c>
      <c r="L597" t="str">
        <f>IFERROR(INDEX(tblY9[Class],ROWS(L$10:L597))&amp;"","")</f>
        <v/>
      </c>
      <c r="M597" t="str">
        <f>IF(L597="","",IF(COUNTIF(L$10:L597,L597)=1,COUNTIF(L$10:L$609,"&lt;"&amp;L597)+1,""))</f>
        <v/>
      </c>
      <c r="N597" t="str">
        <f>IFERROR(INDEX(tblY10[Class],ROWS(N$10:N597))&amp;"","")</f>
        <v/>
      </c>
      <c r="O597" t="str">
        <f>IF(N597="","",IF(COUNTIF(N$10:N597,N597)=1,COUNTIF(N$10:N$609,"&lt;"&amp;N597)+1,""))</f>
        <v/>
      </c>
      <c r="P597" t="str">
        <f>IFERROR(INDEX(tblY11[Class],ROWS(P$10:P597))&amp;"","")</f>
        <v/>
      </c>
      <c r="Q597" t="str">
        <f>IF(P597="","",IF(COUNTIF(P$10:P597,P597)=1,COUNTIF(P$10:P$609,"&lt;"&amp;P597)+1,""))</f>
        <v/>
      </c>
      <c r="BA597" t="str">
        <f>IFERROR(INDEX(wLast,528)&amp;"","")</f>
        <v/>
      </c>
      <c r="BB597" t="str">
        <f>IF(BA597="","",IFERROR(INDEX(wFirst,528)&amp;"",""))</f>
        <v/>
      </c>
      <c r="BC597" t="str">
        <f>IF(BA597="","",IFERROR(INDEX(wClass,528)&amp;"",""))</f>
        <v/>
      </c>
      <c r="BD597" t="str">
        <f>IF(BA597="","",IFERROR(INDEX(wKS2,528)+0,""))</f>
        <v/>
      </c>
      <c r="BE597" t="str">
        <f>IF(BA597="","",IFERROR(INDEX(wTests,528)+0,0))</f>
        <v/>
      </c>
      <c r="BF597" t="str">
        <f>IF(BA597="","",IFERROR(INDEX(wMean,528)+0,""))</f>
        <v/>
      </c>
      <c r="BG597" t="str">
        <f>IF(BA597="","",IFERROR(INDEX(wVs,528)+0,""))</f>
        <v/>
      </c>
      <c r="BH597" t="str">
        <f>IF(OR(BA597="",wLatest=""),"",IFERROR(INDEX(wData,528,MATCH(wLatest&amp;CHAR(10)&amp;"Stanine",wHdr,0))+0,""))</f>
        <v/>
      </c>
      <c r="BI597" t="str">
        <f>IF(BA597="","",IF(AND(ISNUMBER(BG597),N(BE597)&gt;=WlMinTests,BG597&lt;=-WlGap),"Below KS2 starting point",IF(AND(NOT(ISNUMBER(BD597)),ISNUMBER(BF597),N(BE597)&gt;=WlMinTests,BF597&lt;=WlLowMean),"Low results, no KS2 data","")))</f>
        <v/>
      </c>
      <c r="BJ597" t="str">
        <f>IF(BI597="","",IF(BI597="Below KS2 starting point",BG597,100+BF597)+ROW()/1000000)</f>
        <v/>
      </c>
    </row>
    <row r="598">
      <c r="H598" t="str">
        <f>IFERROR(INDEX(tblY7[Class],ROWS(H$10:H598))&amp;"","")</f>
        <v/>
      </c>
      <c r="I598" t="str">
        <f>IF(H598="","",IF(COUNTIF(H$10:H598,H598)=1,COUNTIF(H$10:H$609,"&lt;"&amp;H598)+1,""))</f>
        <v/>
      </c>
      <c r="J598" t="str">
        <f>IFERROR(INDEX(tblY8[Class],ROWS(J$10:J598))&amp;"","")</f>
        <v/>
      </c>
      <c r="K598" t="str">
        <f>IF(J598="","",IF(COUNTIF(J$10:J598,J598)=1,COUNTIF(J$10:J$609,"&lt;"&amp;J598)+1,""))</f>
        <v/>
      </c>
      <c r="L598" t="str">
        <f>IFERROR(INDEX(tblY9[Class],ROWS(L$10:L598))&amp;"","")</f>
        <v/>
      </c>
      <c r="M598" t="str">
        <f>IF(L598="","",IF(COUNTIF(L$10:L598,L598)=1,COUNTIF(L$10:L$609,"&lt;"&amp;L598)+1,""))</f>
        <v/>
      </c>
      <c r="N598" t="str">
        <f>IFERROR(INDEX(tblY10[Class],ROWS(N$10:N598))&amp;"","")</f>
        <v/>
      </c>
      <c r="O598" t="str">
        <f>IF(N598="","",IF(COUNTIF(N$10:N598,N598)=1,COUNTIF(N$10:N$609,"&lt;"&amp;N598)+1,""))</f>
        <v/>
      </c>
      <c r="P598" t="str">
        <f>IFERROR(INDEX(tblY11[Class],ROWS(P$10:P598))&amp;"","")</f>
        <v/>
      </c>
      <c r="Q598" t="str">
        <f>IF(P598="","",IF(COUNTIF(P$10:P598,P598)=1,COUNTIF(P$10:P$609,"&lt;"&amp;P598)+1,""))</f>
        <v/>
      </c>
      <c r="BA598" t="str">
        <f>IFERROR(INDEX(wLast,529)&amp;"","")</f>
        <v/>
      </c>
      <c r="BB598" t="str">
        <f>IF(BA598="","",IFERROR(INDEX(wFirst,529)&amp;"",""))</f>
        <v/>
      </c>
      <c r="BC598" t="str">
        <f>IF(BA598="","",IFERROR(INDEX(wClass,529)&amp;"",""))</f>
        <v/>
      </c>
      <c r="BD598" t="str">
        <f>IF(BA598="","",IFERROR(INDEX(wKS2,529)+0,""))</f>
        <v/>
      </c>
      <c r="BE598" t="str">
        <f>IF(BA598="","",IFERROR(INDEX(wTests,529)+0,0))</f>
        <v/>
      </c>
      <c r="BF598" t="str">
        <f>IF(BA598="","",IFERROR(INDEX(wMean,529)+0,""))</f>
        <v/>
      </c>
      <c r="BG598" t="str">
        <f>IF(BA598="","",IFERROR(INDEX(wVs,529)+0,""))</f>
        <v/>
      </c>
      <c r="BH598" t="str">
        <f>IF(OR(BA598="",wLatest=""),"",IFERROR(INDEX(wData,529,MATCH(wLatest&amp;CHAR(10)&amp;"Stanine",wHdr,0))+0,""))</f>
        <v/>
      </c>
      <c r="BI598" t="str">
        <f>IF(BA598="","",IF(AND(ISNUMBER(BG598),N(BE598)&gt;=WlMinTests,BG598&lt;=-WlGap),"Below KS2 starting point",IF(AND(NOT(ISNUMBER(BD598)),ISNUMBER(BF598),N(BE598)&gt;=WlMinTests,BF598&lt;=WlLowMean),"Low results, no KS2 data","")))</f>
        <v/>
      </c>
      <c r="BJ598" t="str">
        <f>IF(BI598="","",IF(BI598="Below KS2 starting point",BG598,100+BF598)+ROW()/1000000)</f>
        <v/>
      </c>
    </row>
    <row r="599">
      <c r="H599" t="str">
        <f>IFERROR(INDEX(tblY7[Class],ROWS(H$10:H599))&amp;"","")</f>
        <v/>
      </c>
      <c r="I599" t="str">
        <f>IF(H599="","",IF(COUNTIF(H$10:H599,H599)=1,COUNTIF(H$10:H$609,"&lt;"&amp;H599)+1,""))</f>
        <v/>
      </c>
      <c r="J599" t="str">
        <f>IFERROR(INDEX(tblY8[Class],ROWS(J$10:J599))&amp;"","")</f>
        <v/>
      </c>
      <c r="K599" t="str">
        <f>IF(J599="","",IF(COUNTIF(J$10:J599,J599)=1,COUNTIF(J$10:J$609,"&lt;"&amp;J599)+1,""))</f>
        <v/>
      </c>
      <c r="L599" t="str">
        <f>IFERROR(INDEX(tblY9[Class],ROWS(L$10:L599))&amp;"","")</f>
        <v/>
      </c>
      <c r="M599" t="str">
        <f>IF(L599="","",IF(COUNTIF(L$10:L599,L599)=1,COUNTIF(L$10:L$609,"&lt;"&amp;L599)+1,""))</f>
        <v/>
      </c>
      <c r="N599" t="str">
        <f>IFERROR(INDEX(tblY10[Class],ROWS(N$10:N599))&amp;"","")</f>
        <v/>
      </c>
      <c r="O599" t="str">
        <f>IF(N599="","",IF(COUNTIF(N$10:N599,N599)=1,COUNTIF(N$10:N$609,"&lt;"&amp;N599)+1,""))</f>
        <v/>
      </c>
      <c r="P599" t="str">
        <f>IFERROR(INDEX(tblY11[Class],ROWS(P$10:P599))&amp;"","")</f>
        <v/>
      </c>
      <c r="Q599" t="str">
        <f>IF(P599="","",IF(COUNTIF(P$10:P599,P599)=1,COUNTIF(P$10:P$609,"&lt;"&amp;P599)+1,""))</f>
        <v/>
      </c>
      <c r="BA599" t="str">
        <f>IFERROR(INDEX(wLast,530)&amp;"","")</f>
        <v/>
      </c>
      <c r="BB599" t="str">
        <f>IF(BA599="","",IFERROR(INDEX(wFirst,530)&amp;"",""))</f>
        <v/>
      </c>
      <c r="BC599" t="str">
        <f>IF(BA599="","",IFERROR(INDEX(wClass,530)&amp;"",""))</f>
        <v/>
      </c>
      <c r="BD599" t="str">
        <f>IF(BA599="","",IFERROR(INDEX(wKS2,530)+0,""))</f>
        <v/>
      </c>
      <c r="BE599" t="str">
        <f>IF(BA599="","",IFERROR(INDEX(wTests,530)+0,0))</f>
        <v/>
      </c>
      <c r="BF599" t="str">
        <f>IF(BA599="","",IFERROR(INDEX(wMean,530)+0,""))</f>
        <v/>
      </c>
      <c r="BG599" t="str">
        <f>IF(BA599="","",IFERROR(INDEX(wVs,530)+0,""))</f>
        <v/>
      </c>
      <c r="BH599" t="str">
        <f>IF(OR(BA599="",wLatest=""),"",IFERROR(INDEX(wData,530,MATCH(wLatest&amp;CHAR(10)&amp;"Stanine",wHdr,0))+0,""))</f>
        <v/>
      </c>
      <c r="BI599" t="str">
        <f>IF(BA599="","",IF(AND(ISNUMBER(BG599),N(BE599)&gt;=WlMinTests,BG599&lt;=-WlGap),"Below KS2 starting point",IF(AND(NOT(ISNUMBER(BD599)),ISNUMBER(BF599),N(BE599)&gt;=WlMinTests,BF599&lt;=WlLowMean),"Low results, no KS2 data","")))</f>
        <v/>
      </c>
      <c r="BJ599" t="str">
        <f>IF(BI599="","",IF(BI599="Below KS2 starting point",BG599,100+BF599)+ROW()/1000000)</f>
        <v/>
      </c>
    </row>
    <row r="600">
      <c r="H600" t="str">
        <f>IFERROR(INDEX(tblY7[Class],ROWS(H$10:H600))&amp;"","")</f>
        <v/>
      </c>
      <c r="I600" t="str">
        <f>IF(H600="","",IF(COUNTIF(H$10:H600,H600)=1,COUNTIF(H$10:H$609,"&lt;"&amp;H600)+1,""))</f>
        <v/>
      </c>
      <c r="J600" t="str">
        <f>IFERROR(INDEX(tblY8[Class],ROWS(J$10:J600))&amp;"","")</f>
        <v/>
      </c>
      <c r="K600" t="str">
        <f>IF(J600="","",IF(COUNTIF(J$10:J600,J600)=1,COUNTIF(J$10:J$609,"&lt;"&amp;J600)+1,""))</f>
        <v/>
      </c>
      <c r="L600" t="str">
        <f>IFERROR(INDEX(tblY9[Class],ROWS(L$10:L600))&amp;"","")</f>
        <v/>
      </c>
      <c r="M600" t="str">
        <f>IF(L600="","",IF(COUNTIF(L$10:L600,L600)=1,COUNTIF(L$10:L$609,"&lt;"&amp;L600)+1,""))</f>
        <v/>
      </c>
      <c r="N600" t="str">
        <f>IFERROR(INDEX(tblY10[Class],ROWS(N$10:N600))&amp;"","")</f>
        <v/>
      </c>
      <c r="O600" t="str">
        <f>IF(N600="","",IF(COUNTIF(N$10:N600,N600)=1,COUNTIF(N$10:N$609,"&lt;"&amp;N600)+1,""))</f>
        <v/>
      </c>
      <c r="P600" t="str">
        <f>IFERROR(INDEX(tblY11[Class],ROWS(P$10:P600))&amp;"","")</f>
        <v/>
      </c>
      <c r="Q600" t="str">
        <f>IF(P600="","",IF(COUNTIF(P$10:P600,P600)=1,COUNTIF(P$10:P$609,"&lt;"&amp;P600)+1,""))</f>
        <v/>
      </c>
      <c r="BA600" t="str">
        <f>IFERROR(INDEX(wLast,531)&amp;"","")</f>
        <v/>
      </c>
      <c r="BB600" t="str">
        <f>IF(BA600="","",IFERROR(INDEX(wFirst,531)&amp;"",""))</f>
        <v/>
      </c>
      <c r="BC600" t="str">
        <f>IF(BA600="","",IFERROR(INDEX(wClass,531)&amp;"",""))</f>
        <v/>
      </c>
      <c r="BD600" t="str">
        <f>IF(BA600="","",IFERROR(INDEX(wKS2,531)+0,""))</f>
        <v/>
      </c>
      <c r="BE600" t="str">
        <f>IF(BA600="","",IFERROR(INDEX(wTests,531)+0,0))</f>
        <v/>
      </c>
      <c r="BF600" t="str">
        <f>IF(BA600="","",IFERROR(INDEX(wMean,531)+0,""))</f>
        <v/>
      </c>
      <c r="BG600" t="str">
        <f>IF(BA600="","",IFERROR(INDEX(wVs,531)+0,""))</f>
        <v/>
      </c>
      <c r="BH600" t="str">
        <f>IF(OR(BA600="",wLatest=""),"",IFERROR(INDEX(wData,531,MATCH(wLatest&amp;CHAR(10)&amp;"Stanine",wHdr,0))+0,""))</f>
        <v/>
      </c>
      <c r="BI600" t="str">
        <f>IF(BA600="","",IF(AND(ISNUMBER(BG600),N(BE600)&gt;=WlMinTests,BG600&lt;=-WlGap),"Below KS2 starting point",IF(AND(NOT(ISNUMBER(BD600)),ISNUMBER(BF600),N(BE600)&gt;=WlMinTests,BF600&lt;=WlLowMean),"Low results, no KS2 data","")))</f>
        <v/>
      </c>
      <c r="BJ600" t="str">
        <f>IF(BI600="","",IF(BI600="Below KS2 starting point",BG600,100+BF600)+ROW()/1000000)</f>
        <v/>
      </c>
    </row>
    <row r="601">
      <c r="H601" t="str">
        <f>IFERROR(INDEX(tblY7[Class],ROWS(H$10:H601))&amp;"","")</f>
        <v/>
      </c>
      <c r="I601" t="str">
        <f>IF(H601="","",IF(COUNTIF(H$10:H601,H601)=1,COUNTIF(H$10:H$609,"&lt;"&amp;H601)+1,""))</f>
        <v/>
      </c>
      <c r="J601" t="str">
        <f>IFERROR(INDEX(tblY8[Class],ROWS(J$10:J601))&amp;"","")</f>
        <v/>
      </c>
      <c r="K601" t="str">
        <f>IF(J601="","",IF(COUNTIF(J$10:J601,J601)=1,COUNTIF(J$10:J$609,"&lt;"&amp;J601)+1,""))</f>
        <v/>
      </c>
      <c r="L601" t="str">
        <f>IFERROR(INDEX(tblY9[Class],ROWS(L$10:L601))&amp;"","")</f>
        <v/>
      </c>
      <c r="M601" t="str">
        <f>IF(L601="","",IF(COUNTIF(L$10:L601,L601)=1,COUNTIF(L$10:L$609,"&lt;"&amp;L601)+1,""))</f>
        <v/>
      </c>
      <c r="N601" t="str">
        <f>IFERROR(INDEX(tblY10[Class],ROWS(N$10:N601))&amp;"","")</f>
        <v/>
      </c>
      <c r="O601" t="str">
        <f>IF(N601="","",IF(COUNTIF(N$10:N601,N601)=1,COUNTIF(N$10:N$609,"&lt;"&amp;N601)+1,""))</f>
        <v/>
      </c>
      <c r="P601" t="str">
        <f>IFERROR(INDEX(tblY11[Class],ROWS(P$10:P601))&amp;"","")</f>
        <v/>
      </c>
      <c r="Q601" t="str">
        <f>IF(P601="","",IF(COUNTIF(P$10:P601,P601)=1,COUNTIF(P$10:P$609,"&lt;"&amp;P601)+1,""))</f>
        <v/>
      </c>
      <c r="BA601" t="str">
        <f>IFERROR(INDEX(wLast,532)&amp;"","")</f>
        <v/>
      </c>
      <c r="BB601" t="str">
        <f>IF(BA601="","",IFERROR(INDEX(wFirst,532)&amp;"",""))</f>
        <v/>
      </c>
      <c r="BC601" t="str">
        <f>IF(BA601="","",IFERROR(INDEX(wClass,532)&amp;"",""))</f>
        <v/>
      </c>
      <c r="BD601" t="str">
        <f>IF(BA601="","",IFERROR(INDEX(wKS2,532)+0,""))</f>
        <v/>
      </c>
      <c r="BE601" t="str">
        <f>IF(BA601="","",IFERROR(INDEX(wTests,532)+0,0))</f>
        <v/>
      </c>
      <c r="BF601" t="str">
        <f>IF(BA601="","",IFERROR(INDEX(wMean,532)+0,""))</f>
        <v/>
      </c>
      <c r="BG601" t="str">
        <f>IF(BA601="","",IFERROR(INDEX(wVs,532)+0,""))</f>
        <v/>
      </c>
      <c r="BH601" t="str">
        <f>IF(OR(BA601="",wLatest=""),"",IFERROR(INDEX(wData,532,MATCH(wLatest&amp;CHAR(10)&amp;"Stanine",wHdr,0))+0,""))</f>
        <v/>
      </c>
      <c r="BI601" t="str">
        <f>IF(BA601="","",IF(AND(ISNUMBER(BG601),N(BE601)&gt;=WlMinTests,BG601&lt;=-WlGap),"Below KS2 starting point",IF(AND(NOT(ISNUMBER(BD601)),ISNUMBER(BF601),N(BE601)&gt;=WlMinTests,BF601&lt;=WlLowMean),"Low results, no KS2 data","")))</f>
        <v/>
      </c>
      <c r="BJ601" t="str">
        <f>IF(BI601="","",IF(BI601="Below KS2 starting point",BG601,100+BF601)+ROW()/1000000)</f>
        <v/>
      </c>
    </row>
    <row r="602">
      <c r="H602" t="str">
        <f>IFERROR(INDEX(tblY7[Class],ROWS(H$10:H602))&amp;"","")</f>
        <v/>
      </c>
      <c r="I602" t="str">
        <f>IF(H602="","",IF(COUNTIF(H$10:H602,H602)=1,COUNTIF(H$10:H$609,"&lt;"&amp;H602)+1,""))</f>
        <v/>
      </c>
      <c r="J602" t="str">
        <f>IFERROR(INDEX(tblY8[Class],ROWS(J$10:J602))&amp;"","")</f>
        <v/>
      </c>
      <c r="K602" t="str">
        <f>IF(J602="","",IF(COUNTIF(J$10:J602,J602)=1,COUNTIF(J$10:J$609,"&lt;"&amp;J602)+1,""))</f>
        <v/>
      </c>
      <c r="L602" t="str">
        <f>IFERROR(INDEX(tblY9[Class],ROWS(L$10:L602))&amp;"","")</f>
        <v/>
      </c>
      <c r="M602" t="str">
        <f>IF(L602="","",IF(COUNTIF(L$10:L602,L602)=1,COUNTIF(L$10:L$609,"&lt;"&amp;L602)+1,""))</f>
        <v/>
      </c>
      <c r="N602" t="str">
        <f>IFERROR(INDEX(tblY10[Class],ROWS(N$10:N602))&amp;"","")</f>
        <v/>
      </c>
      <c r="O602" t="str">
        <f>IF(N602="","",IF(COUNTIF(N$10:N602,N602)=1,COUNTIF(N$10:N$609,"&lt;"&amp;N602)+1,""))</f>
        <v/>
      </c>
      <c r="P602" t="str">
        <f>IFERROR(INDEX(tblY11[Class],ROWS(P$10:P602))&amp;"","")</f>
        <v/>
      </c>
      <c r="Q602" t="str">
        <f>IF(P602="","",IF(COUNTIF(P$10:P602,P602)=1,COUNTIF(P$10:P$609,"&lt;"&amp;P602)+1,""))</f>
        <v/>
      </c>
      <c r="BA602" t="str">
        <f>IFERROR(INDEX(wLast,533)&amp;"","")</f>
        <v/>
      </c>
      <c r="BB602" t="str">
        <f>IF(BA602="","",IFERROR(INDEX(wFirst,533)&amp;"",""))</f>
        <v/>
      </c>
      <c r="BC602" t="str">
        <f>IF(BA602="","",IFERROR(INDEX(wClass,533)&amp;"",""))</f>
        <v/>
      </c>
      <c r="BD602" t="str">
        <f>IF(BA602="","",IFERROR(INDEX(wKS2,533)+0,""))</f>
        <v/>
      </c>
      <c r="BE602" t="str">
        <f>IF(BA602="","",IFERROR(INDEX(wTests,533)+0,0))</f>
        <v/>
      </c>
      <c r="BF602" t="str">
        <f>IF(BA602="","",IFERROR(INDEX(wMean,533)+0,""))</f>
        <v/>
      </c>
      <c r="BG602" t="str">
        <f>IF(BA602="","",IFERROR(INDEX(wVs,533)+0,""))</f>
        <v/>
      </c>
      <c r="BH602" t="str">
        <f>IF(OR(BA602="",wLatest=""),"",IFERROR(INDEX(wData,533,MATCH(wLatest&amp;CHAR(10)&amp;"Stanine",wHdr,0))+0,""))</f>
        <v/>
      </c>
      <c r="BI602" t="str">
        <f>IF(BA602="","",IF(AND(ISNUMBER(BG602),N(BE602)&gt;=WlMinTests,BG602&lt;=-WlGap),"Below KS2 starting point",IF(AND(NOT(ISNUMBER(BD602)),ISNUMBER(BF602),N(BE602)&gt;=WlMinTests,BF602&lt;=WlLowMean),"Low results, no KS2 data","")))</f>
        <v/>
      </c>
      <c r="BJ602" t="str">
        <f>IF(BI602="","",IF(BI602="Below KS2 starting point",BG602,100+BF602)+ROW()/1000000)</f>
        <v/>
      </c>
    </row>
    <row r="603">
      <c r="H603" t="str">
        <f>IFERROR(INDEX(tblY7[Class],ROWS(H$10:H603))&amp;"","")</f>
        <v/>
      </c>
      <c r="I603" t="str">
        <f>IF(H603="","",IF(COUNTIF(H$10:H603,H603)=1,COUNTIF(H$10:H$609,"&lt;"&amp;H603)+1,""))</f>
        <v/>
      </c>
      <c r="J603" t="str">
        <f>IFERROR(INDEX(tblY8[Class],ROWS(J$10:J603))&amp;"","")</f>
        <v/>
      </c>
      <c r="K603" t="str">
        <f>IF(J603="","",IF(COUNTIF(J$10:J603,J603)=1,COUNTIF(J$10:J$609,"&lt;"&amp;J603)+1,""))</f>
        <v/>
      </c>
      <c r="L603" t="str">
        <f>IFERROR(INDEX(tblY9[Class],ROWS(L$10:L603))&amp;"","")</f>
        <v/>
      </c>
      <c r="M603" t="str">
        <f>IF(L603="","",IF(COUNTIF(L$10:L603,L603)=1,COUNTIF(L$10:L$609,"&lt;"&amp;L603)+1,""))</f>
        <v/>
      </c>
      <c r="N603" t="str">
        <f>IFERROR(INDEX(tblY10[Class],ROWS(N$10:N603))&amp;"","")</f>
        <v/>
      </c>
      <c r="O603" t="str">
        <f>IF(N603="","",IF(COUNTIF(N$10:N603,N603)=1,COUNTIF(N$10:N$609,"&lt;"&amp;N603)+1,""))</f>
        <v/>
      </c>
      <c r="P603" t="str">
        <f>IFERROR(INDEX(tblY11[Class],ROWS(P$10:P603))&amp;"","")</f>
        <v/>
      </c>
      <c r="Q603" t="str">
        <f>IF(P603="","",IF(COUNTIF(P$10:P603,P603)=1,COUNTIF(P$10:P$609,"&lt;"&amp;P603)+1,""))</f>
        <v/>
      </c>
      <c r="BA603" t="str">
        <f>IFERROR(INDEX(wLast,534)&amp;"","")</f>
        <v/>
      </c>
      <c r="BB603" t="str">
        <f>IF(BA603="","",IFERROR(INDEX(wFirst,534)&amp;"",""))</f>
        <v/>
      </c>
      <c r="BC603" t="str">
        <f>IF(BA603="","",IFERROR(INDEX(wClass,534)&amp;"",""))</f>
        <v/>
      </c>
      <c r="BD603" t="str">
        <f>IF(BA603="","",IFERROR(INDEX(wKS2,534)+0,""))</f>
        <v/>
      </c>
      <c r="BE603" t="str">
        <f>IF(BA603="","",IFERROR(INDEX(wTests,534)+0,0))</f>
        <v/>
      </c>
      <c r="BF603" t="str">
        <f>IF(BA603="","",IFERROR(INDEX(wMean,534)+0,""))</f>
        <v/>
      </c>
      <c r="BG603" t="str">
        <f>IF(BA603="","",IFERROR(INDEX(wVs,534)+0,""))</f>
        <v/>
      </c>
      <c r="BH603" t="str">
        <f>IF(OR(BA603="",wLatest=""),"",IFERROR(INDEX(wData,534,MATCH(wLatest&amp;CHAR(10)&amp;"Stanine",wHdr,0))+0,""))</f>
        <v/>
      </c>
      <c r="BI603" t="str">
        <f>IF(BA603="","",IF(AND(ISNUMBER(BG603),N(BE603)&gt;=WlMinTests,BG603&lt;=-WlGap),"Below KS2 starting point",IF(AND(NOT(ISNUMBER(BD603)),ISNUMBER(BF603),N(BE603)&gt;=WlMinTests,BF603&lt;=WlLowMean),"Low results, no KS2 data","")))</f>
        <v/>
      </c>
      <c r="BJ603" t="str">
        <f>IF(BI603="","",IF(BI603="Below KS2 starting point",BG603,100+BF603)+ROW()/1000000)</f>
        <v/>
      </c>
    </row>
    <row r="604">
      <c r="H604" t="str">
        <f>IFERROR(INDEX(tblY7[Class],ROWS(H$10:H604))&amp;"","")</f>
        <v/>
      </c>
      <c r="I604" t="str">
        <f>IF(H604="","",IF(COUNTIF(H$10:H604,H604)=1,COUNTIF(H$10:H$609,"&lt;"&amp;H604)+1,""))</f>
        <v/>
      </c>
      <c r="J604" t="str">
        <f>IFERROR(INDEX(tblY8[Class],ROWS(J$10:J604))&amp;"","")</f>
        <v/>
      </c>
      <c r="K604" t="str">
        <f>IF(J604="","",IF(COUNTIF(J$10:J604,J604)=1,COUNTIF(J$10:J$609,"&lt;"&amp;J604)+1,""))</f>
        <v/>
      </c>
      <c r="L604" t="str">
        <f>IFERROR(INDEX(tblY9[Class],ROWS(L$10:L604))&amp;"","")</f>
        <v/>
      </c>
      <c r="M604" t="str">
        <f>IF(L604="","",IF(COUNTIF(L$10:L604,L604)=1,COUNTIF(L$10:L$609,"&lt;"&amp;L604)+1,""))</f>
        <v/>
      </c>
      <c r="N604" t="str">
        <f>IFERROR(INDEX(tblY10[Class],ROWS(N$10:N604))&amp;"","")</f>
        <v/>
      </c>
      <c r="O604" t="str">
        <f>IF(N604="","",IF(COUNTIF(N$10:N604,N604)=1,COUNTIF(N$10:N$609,"&lt;"&amp;N604)+1,""))</f>
        <v/>
      </c>
      <c r="P604" t="str">
        <f>IFERROR(INDEX(tblY11[Class],ROWS(P$10:P604))&amp;"","")</f>
        <v/>
      </c>
      <c r="Q604" t="str">
        <f>IF(P604="","",IF(COUNTIF(P$10:P604,P604)=1,COUNTIF(P$10:P$609,"&lt;"&amp;P604)+1,""))</f>
        <v/>
      </c>
      <c r="BA604" t="str">
        <f>IFERROR(INDEX(wLast,535)&amp;"","")</f>
        <v/>
      </c>
      <c r="BB604" t="str">
        <f>IF(BA604="","",IFERROR(INDEX(wFirst,535)&amp;"",""))</f>
        <v/>
      </c>
      <c r="BC604" t="str">
        <f>IF(BA604="","",IFERROR(INDEX(wClass,535)&amp;"",""))</f>
        <v/>
      </c>
      <c r="BD604" t="str">
        <f>IF(BA604="","",IFERROR(INDEX(wKS2,535)+0,""))</f>
        <v/>
      </c>
      <c r="BE604" t="str">
        <f>IF(BA604="","",IFERROR(INDEX(wTests,535)+0,0))</f>
        <v/>
      </c>
      <c r="BF604" t="str">
        <f>IF(BA604="","",IFERROR(INDEX(wMean,535)+0,""))</f>
        <v/>
      </c>
      <c r="BG604" t="str">
        <f>IF(BA604="","",IFERROR(INDEX(wVs,535)+0,""))</f>
        <v/>
      </c>
      <c r="BH604" t="str">
        <f>IF(OR(BA604="",wLatest=""),"",IFERROR(INDEX(wData,535,MATCH(wLatest&amp;CHAR(10)&amp;"Stanine",wHdr,0))+0,""))</f>
        <v/>
      </c>
      <c r="BI604" t="str">
        <f>IF(BA604="","",IF(AND(ISNUMBER(BG604),N(BE604)&gt;=WlMinTests,BG604&lt;=-WlGap),"Below KS2 starting point",IF(AND(NOT(ISNUMBER(BD604)),ISNUMBER(BF604),N(BE604)&gt;=WlMinTests,BF604&lt;=WlLowMean),"Low results, no KS2 data","")))</f>
        <v/>
      </c>
      <c r="BJ604" t="str">
        <f>IF(BI604="","",IF(BI604="Below KS2 starting point",BG604,100+BF604)+ROW()/1000000)</f>
        <v/>
      </c>
    </row>
    <row r="605">
      <c r="H605" t="str">
        <f>IFERROR(INDEX(tblY7[Class],ROWS(H$10:H605))&amp;"","")</f>
        <v/>
      </c>
      <c r="I605" t="str">
        <f>IF(H605="","",IF(COUNTIF(H$10:H605,H605)=1,COUNTIF(H$10:H$609,"&lt;"&amp;H605)+1,""))</f>
        <v/>
      </c>
      <c r="J605" t="str">
        <f>IFERROR(INDEX(tblY8[Class],ROWS(J$10:J605))&amp;"","")</f>
        <v/>
      </c>
      <c r="K605" t="str">
        <f>IF(J605="","",IF(COUNTIF(J$10:J605,J605)=1,COUNTIF(J$10:J$609,"&lt;"&amp;J605)+1,""))</f>
        <v/>
      </c>
      <c r="L605" t="str">
        <f>IFERROR(INDEX(tblY9[Class],ROWS(L$10:L605))&amp;"","")</f>
        <v/>
      </c>
      <c r="M605" t="str">
        <f>IF(L605="","",IF(COUNTIF(L$10:L605,L605)=1,COUNTIF(L$10:L$609,"&lt;"&amp;L605)+1,""))</f>
        <v/>
      </c>
      <c r="N605" t="str">
        <f>IFERROR(INDEX(tblY10[Class],ROWS(N$10:N605))&amp;"","")</f>
        <v/>
      </c>
      <c r="O605" t="str">
        <f>IF(N605="","",IF(COUNTIF(N$10:N605,N605)=1,COUNTIF(N$10:N$609,"&lt;"&amp;N605)+1,""))</f>
        <v/>
      </c>
      <c r="P605" t="str">
        <f>IFERROR(INDEX(tblY11[Class],ROWS(P$10:P605))&amp;"","")</f>
        <v/>
      </c>
      <c r="Q605" t="str">
        <f>IF(P605="","",IF(COUNTIF(P$10:P605,P605)=1,COUNTIF(P$10:P$609,"&lt;"&amp;P605)+1,""))</f>
        <v/>
      </c>
      <c r="BA605" t="str">
        <f>IFERROR(INDEX(wLast,536)&amp;"","")</f>
        <v/>
      </c>
      <c r="BB605" t="str">
        <f>IF(BA605="","",IFERROR(INDEX(wFirst,536)&amp;"",""))</f>
        <v/>
      </c>
      <c r="BC605" t="str">
        <f>IF(BA605="","",IFERROR(INDEX(wClass,536)&amp;"",""))</f>
        <v/>
      </c>
      <c r="BD605" t="str">
        <f>IF(BA605="","",IFERROR(INDEX(wKS2,536)+0,""))</f>
        <v/>
      </c>
      <c r="BE605" t="str">
        <f>IF(BA605="","",IFERROR(INDEX(wTests,536)+0,0))</f>
        <v/>
      </c>
      <c r="BF605" t="str">
        <f>IF(BA605="","",IFERROR(INDEX(wMean,536)+0,""))</f>
        <v/>
      </c>
      <c r="BG605" t="str">
        <f>IF(BA605="","",IFERROR(INDEX(wVs,536)+0,""))</f>
        <v/>
      </c>
      <c r="BH605" t="str">
        <f>IF(OR(BA605="",wLatest=""),"",IFERROR(INDEX(wData,536,MATCH(wLatest&amp;CHAR(10)&amp;"Stanine",wHdr,0))+0,""))</f>
        <v/>
      </c>
      <c r="BI605" t="str">
        <f>IF(BA605="","",IF(AND(ISNUMBER(BG605),N(BE605)&gt;=WlMinTests,BG605&lt;=-WlGap),"Below KS2 starting point",IF(AND(NOT(ISNUMBER(BD605)),ISNUMBER(BF605),N(BE605)&gt;=WlMinTests,BF605&lt;=WlLowMean),"Low results, no KS2 data","")))</f>
        <v/>
      </c>
      <c r="BJ605" t="str">
        <f>IF(BI605="","",IF(BI605="Below KS2 starting point",BG605,100+BF605)+ROW()/1000000)</f>
        <v/>
      </c>
    </row>
    <row r="606">
      <c r="H606" t="str">
        <f>IFERROR(INDEX(tblY7[Class],ROWS(H$10:H606))&amp;"","")</f>
        <v/>
      </c>
      <c r="I606" t="str">
        <f>IF(H606="","",IF(COUNTIF(H$10:H606,H606)=1,COUNTIF(H$10:H$609,"&lt;"&amp;H606)+1,""))</f>
        <v/>
      </c>
      <c r="J606" t="str">
        <f>IFERROR(INDEX(tblY8[Class],ROWS(J$10:J606))&amp;"","")</f>
        <v/>
      </c>
      <c r="K606" t="str">
        <f>IF(J606="","",IF(COUNTIF(J$10:J606,J606)=1,COUNTIF(J$10:J$609,"&lt;"&amp;J606)+1,""))</f>
        <v/>
      </c>
      <c r="L606" t="str">
        <f>IFERROR(INDEX(tblY9[Class],ROWS(L$10:L606))&amp;"","")</f>
        <v/>
      </c>
      <c r="M606" t="str">
        <f>IF(L606="","",IF(COUNTIF(L$10:L606,L606)=1,COUNTIF(L$10:L$609,"&lt;"&amp;L606)+1,""))</f>
        <v/>
      </c>
      <c r="N606" t="str">
        <f>IFERROR(INDEX(tblY10[Class],ROWS(N$10:N606))&amp;"","")</f>
        <v/>
      </c>
      <c r="O606" t="str">
        <f>IF(N606="","",IF(COUNTIF(N$10:N606,N606)=1,COUNTIF(N$10:N$609,"&lt;"&amp;N606)+1,""))</f>
        <v/>
      </c>
      <c r="P606" t="str">
        <f>IFERROR(INDEX(tblY11[Class],ROWS(P$10:P606))&amp;"","")</f>
        <v/>
      </c>
      <c r="Q606" t="str">
        <f>IF(P606="","",IF(COUNTIF(P$10:P606,P606)=1,COUNTIF(P$10:P$609,"&lt;"&amp;P606)+1,""))</f>
        <v/>
      </c>
      <c r="BA606" t="str">
        <f>IFERROR(INDEX(wLast,537)&amp;"","")</f>
        <v/>
      </c>
      <c r="BB606" t="str">
        <f>IF(BA606="","",IFERROR(INDEX(wFirst,537)&amp;"",""))</f>
        <v/>
      </c>
      <c r="BC606" t="str">
        <f>IF(BA606="","",IFERROR(INDEX(wClass,537)&amp;"",""))</f>
        <v/>
      </c>
      <c r="BD606" t="str">
        <f>IF(BA606="","",IFERROR(INDEX(wKS2,537)+0,""))</f>
        <v/>
      </c>
      <c r="BE606" t="str">
        <f>IF(BA606="","",IFERROR(INDEX(wTests,537)+0,0))</f>
        <v/>
      </c>
      <c r="BF606" t="str">
        <f>IF(BA606="","",IFERROR(INDEX(wMean,537)+0,""))</f>
        <v/>
      </c>
      <c r="BG606" t="str">
        <f>IF(BA606="","",IFERROR(INDEX(wVs,537)+0,""))</f>
        <v/>
      </c>
      <c r="BH606" t="str">
        <f>IF(OR(BA606="",wLatest=""),"",IFERROR(INDEX(wData,537,MATCH(wLatest&amp;CHAR(10)&amp;"Stanine",wHdr,0))+0,""))</f>
        <v/>
      </c>
      <c r="BI606" t="str">
        <f>IF(BA606="","",IF(AND(ISNUMBER(BG606),N(BE606)&gt;=WlMinTests,BG606&lt;=-WlGap),"Below KS2 starting point",IF(AND(NOT(ISNUMBER(BD606)),ISNUMBER(BF606),N(BE606)&gt;=WlMinTests,BF606&lt;=WlLowMean),"Low results, no KS2 data","")))</f>
        <v/>
      </c>
      <c r="BJ606" t="str">
        <f>IF(BI606="","",IF(BI606="Below KS2 starting point",BG606,100+BF606)+ROW()/1000000)</f>
        <v/>
      </c>
    </row>
    <row r="607">
      <c r="H607" t="str">
        <f>IFERROR(INDEX(tblY7[Class],ROWS(H$10:H607))&amp;"","")</f>
        <v/>
      </c>
      <c r="I607" t="str">
        <f>IF(H607="","",IF(COUNTIF(H$10:H607,H607)=1,COUNTIF(H$10:H$609,"&lt;"&amp;H607)+1,""))</f>
        <v/>
      </c>
      <c r="J607" t="str">
        <f>IFERROR(INDEX(tblY8[Class],ROWS(J$10:J607))&amp;"","")</f>
        <v/>
      </c>
      <c r="K607" t="str">
        <f>IF(J607="","",IF(COUNTIF(J$10:J607,J607)=1,COUNTIF(J$10:J$609,"&lt;"&amp;J607)+1,""))</f>
        <v/>
      </c>
      <c r="L607" t="str">
        <f>IFERROR(INDEX(tblY9[Class],ROWS(L$10:L607))&amp;"","")</f>
        <v/>
      </c>
      <c r="M607" t="str">
        <f>IF(L607="","",IF(COUNTIF(L$10:L607,L607)=1,COUNTIF(L$10:L$609,"&lt;"&amp;L607)+1,""))</f>
        <v/>
      </c>
      <c r="N607" t="str">
        <f>IFERROR(INDEX(tblY10[Class],ROWS(N$10:N607))&amp;"","")</f>
        <v/>
      </c>
      <c r="O607" t="str">
        <f>IF(N607="","",IF(COUNTIF(N$10:N607,N607)=1,COUNTIF(N$10:N$609,"&lt;"&amp;N607)+1,""))</f>
        <v/>
      </c>
      <c r="P607" t="str">
        <f>IFERROR(INDEX(tblY11[Class],ROWS(P$10:P607))&amp;"","")</f>
        <v/>
      </c>
      <c r="Q607" t="str">
        <f>IF(P607="","",IF(COUNTIF(P$10:P607,P607)=1,COUNTIF(P$10:P$609,"&lt;"&amp;P607)+1,""))</f>
        <v/>
      </c>
      <c r="BA607" t="str">
        <f>IFERROR(INDEX(wLast,538)&amp;"","")</f>
        <v/>
      </c>
      <c r="BB607" t="str">
        <f>IF(BA607="","",IFERROR(INDEX(wFirst,538)&amp;"",""))</f>
        <v/>
      </c>
      <c r="BC607" t="str">
        <f>IF(BA607="","",IFERROR(INDEX(wClass,538)&amp;"",""))</f>
        <v/>
      </c>
      <c r="BD607" t="str">
        <f>IF(BA607="","",IFERROR(INDEX(wKS2,538)+0,""))</f>
        <v/>
      </c>
      <c r="BE607" t="str">
        <f>IF(BA607="","",IFERROR(INDEX(wTests,538)+0,0))</f>
        <v/>
      </c>
      <c r="BF607" t="str">
        <f>IF(BA607="","",IFERROR(INDEX(wMean,538)+0,""))</f>
        <v/>
      </c>
      <c r="BG607" t="str">
        <f>IF(BA607="","",IFERROR(INDEX(wVs,538)+0,""))</f>
        <v/>
      </c>
      <c r="BH607" t="str">
        <f>IF(OR(BA607="",wLatest=""),"",IFERROR(INDEX(wData,538,MATCH(wLatest&amp;CHAR(10)&amp;"Stanine",wHdr,0))+0,""))</f>
        <v/>
      </c>
      <c r="BI607" t="str">
        <f>IF(BA607="","",IF(AND(ISNUMBER(BG607),N(BE607)&gt;=WlMinTests,BG607&lt;=-WlGap),"Below KS2 starting point",IF(AND(NOT(ISNUMBER(BD607)),ISNUMBER(BF607),N(BE607)&gt;=WlMinTests,BF607&lt;=WlLowMean),"Low results, no KS2 data","")))</f>
        <v/>
      </c>
      <c r="BJ607" t="str">
        <f>IF(BI607="","",IF(BI607="Below KS2 starting point",BG607,100+BF607)+ROW()/1000000)</f>
        <v/>
      </c>
    </row>
    <row r="608">
      <c r="H608" t="str">
        <f>IFERROR(INDEX(tblY7[Class],ROWS(H$10:H608))&amp;"","")</f>
        <v/>
      </c>
      <c r="I608" t="str">
        <f>IF(H608="","",IF(COUNTIF(H$10:H608,H608)=1,COUNTIF(H$10:H$609,"&lt;"&amp;H608)+1,""))</f>
        <v/>
      </c>
      <c r="J608" t="str">
        <f>IFERROR(INDEX(tblY8[Class],ROWS(J$10:J608))&amp;"","")</f>
        <v/>
      </c>
      <c r="K608" t="str">
        <f>IF(J608="","",IF(COUNTIF(J$10:J608,J608)=1,COUNTIF(J$10:J$609,"&lt;"&amp;J608)+1,""))</f>
        <v/>
      </c>
      <c r="L608" t="str">
        <f>IFERROR(INDEX(tblY9[Class],ROWS(L$10:L608))&amp;"","")</f>
        <v/>
      </c>
      <c r="M608" t="str">
        <f>IF(L608="","",IF(COUNTIF(L$10:L608,L608)=1,COUNTIF(L$10:L$609,"&lt;"&amp;L608)+1,""))</f>
        <v/>
      </c>
      <c r="N608" t="str">
        <f>IFERROR(INDEX(tblY10[Class],ROWS(N$10:N608))&amp;"","")</f>
        <v/>
      </c>
      <c r="O608" t="str">
        <f>IF(N608="","",IF(COUNTIF(N$10:N608,N608)=1,COUNTIF(N$10:N$609,"&lt;"&amp;N608)+1,""))</f>
        <v/>
      </c>
      <c r="P608" t="str">
        <f>IFERROR(INDEX(tblY11[Class],ROWS(P$10:P608))&amp;"","")</f>
        <v/>
      </c>
      <c r="Q608" t="str">
        <f>IF(P608="","",IF(COUNTIF(P$10:P608,P608)=1,COUNTIF(P$10:P$609,"&lt;"&amp;P608)+1,""))</f>
        <v/>
      </c>
      <c r="BA608" t="str">
        <f>IFERROR(INDEX(wLast,539)&amp;"","")</f>
        <v/>
      </c>
      <c r="BB608" t="str">
        <f>IF(BA608="","",IFERROR(INDEX(wFirst,539)&amp;"",""))</f>
        <v/>
      </c>
      <c r="BC608" t="str">
        <f>IF(BA608="","",IFERROR(INDEX(wClass,539)&amp;"",""))</f>
        <v/>
      </c>
      <c r="BD608" t="str">
        <f>IF(BA608="","",IFERROR(INDEX(wKS2,539)+0,""))</f>
        <v/>
      </c>
      <c r="BE608" t="str">
        <f>IF(BA608="","",IFERROR(INDEX(wTests,539)+0,0))</f>
        <v/>
      </c>
      <c r="BF608" t="str">
        <f>IF(BA608="","",IFERROR(INDEX(wMean,539)+0,""))</f>
        <v/>
      </c>
      <c r="BG608" t="str">
        <f>IF(BA608="","",IFERROR(INDEX(wVs,539)+0,""))</f>
        <v/>
      </c>
      <c r="BH608" t="str">
        <f>IF(OR(BA608="",wLatest=""),"",IFERROR(INDEX(wData,539,MATCH(wLatest&amp;CHAR(10)&amp;"Stanine",wHdr,0))+0,""))</f>
        <v/>
      </c>
      <c r="BI608" t="str">
        <f>IF(BA608="","",IF(AND(ISNUMBER(BG608),N(BE608)&gt;=WlMinTests,BG608&lt;=-WlGap),"Below KS2 starting point",IF(AND(NOT(ISNUMBER(BD608)),ISNUMBER(BF608),N(BE608)&gt;=WlMinTests,BF608&lt;=WlLowMean),"Low results, no KS2 data","")))</f>
        <v/>
      </c>
      <c r="BJ608" t="str">
        <f>IF(BI608="","",IF(BI608="Below KS2 starting point",BG608,100+BF608)+ROW()/1000000)</f>
        <v/>
      </c>
    </row>
    <row r="609">
      <c r="H609" t="str">
        <f>IFERROR(INDEX(tblY7[Class],ROWS(H$10:H609))&amp;"","")</f>
        <v/>
      </c>
      <c r="I609" t="str">
        <f>IF(H609="","",IF(COUNTIF(H$10:H609,H609)=1,COUNTIF(H$10:H$609,"&lt;"&amp;H609)+1,""))</f>
        <v/>
      </c>
      <c r="J609" t="str">
        <f>IFERROR(INDEX(tblY8[Class],ROWS(J$10:J609))&amp;"","")</f>
        <v/>
      </c>
      <c r="K609" t="str">
        <f>IF(J609="","",IF(COUNTIF(J$10:J609,J609)=1,COUNTIF(J$10:J$609,"&lt;"&amp;J609)+1,""))</f>
        <v/>
      </c>
      <c r="L609" t="str">
        <f>IFERROR(INDEX(tblY9[Class],ROWS(L$10:L609))&amp;"","")</f>
        <v/>
      </c>
      <c r="M609" t="str">
        <f>IF(L609="","",IF(COUNTIF(L$10:L609,L609)=1,COUNTIF(L$10:L$609,"&lt;"&amp;L609)+1,""))</f>
        <v/>
      </c>
      <c r="N609" t="str">
        <f>IFERROR(INDEX(tblY10[Class],ROWS(N$10:N609))&amp;"","")</f>
        <v/>
      </c>
      <c r="O609" t="str">
        <f>IF(N609="","",IF(COUNTIF(N$10:N609,N609)=1,COUNTIF(N$10:N$609,"&lt;"&amp;N609)+1,""))</f>
        <v/>
      </c>
      <c r="P609" t="str">
        <f>IFERROR(INDEX(tblY11[Class],ROWS(P$10:P609))&amp;"","")</f>
        <v/>
      </c>
      <c r="Q609" t="str">
        <f>IF(P609="","",IF(COUNTIF(P$10:P609,P609)=1,COUNTIF(P$10:P$609,"&lt;"&amp;P609)+1,""))</f>
        <v/>
      </c>
      <c r="BA609" t="str">
        <f>IFERROR(INDEX(wLast,540)&amp;"","")</f>
        <v/>
      </c>
      <c r="BB609" t="str">
        <f>IF(BA609="","",IFERROR(INDEX(wFirst,540)&amp;"",""))</f>
        <v/>
      </c>
      <c r="BC609" t="str">
        <f>IF(BA609="","",IFERROR(INDEX(wClass,540)&amp;"",""))</f>
        <v/>
      </c>
      <c r="BD609" t="str">
        <f>IF(BA609="","",IFERROR(INDEX(wKS2,540)+0,""))</f>
        <v/>
      </c>
      <c r="BE609" t="str">
        <f>IF(BA609="","",IFERROR(INDEX(wTests,540)+0,0))</f>
        <v/>
      </c>
      <c r="BF609" t="str">
        <f>IF(BA609="","",IFERROR(INDEX(wMean,540)+0,""))</f>
        <v/>
      </c>
      <c r="BG609" t="str">
        <f>IF(BA609="","",IFERROR(INDEX(wVs,540)+0,""))</f>
        <v/>
      </c>
      <c r="BH609" t="str">
        <f>IF(OR(BA609="",wLatest=""),"",IFERROR(INDEX(wData,540,MATCH(wLatest&amp;CHAR(10)&amp;"Stanine",wHdr,0))+0,""))</f>
        <v/>
      </c>
      <c r="BI609" t="str">
        <f>IF(BA609="","",IF(AND(ISNUMBER(BG609),N(BE609)&gt;=WlMinTests,BG609&lt;=-WlGap),"Below KS2 starting point",IF(AND(NOT(ISNUMBER(BD609)),ISNUMBER(BF609),N(BE609)&gt;=WlMinTests,BF609&lt;=WlLowMean),"Low results, no KS2 data","")))</f>
        <v/>
      </c>
      <c r="BJ609" t="str">
        <f>IF(BI609="","",IF(BI609="Below KS2 starting point",BG609,100+BF609)+ROW()/1000000)</f>
        <v/>
      </c>
    </row>
    <row r="610">
      <c r="BA610" t="str">
        <f>IFERROR(INDEX(wLast,541)&amp;"","")</f>
        <v/>
      </c>
      <c r="BB610" t="str">
        <f>IF(BA610="","",IFERROR(INDEX(wFirst,541)&amp;"",""))</f>
        <v/>
      </c>
      <c r="BC610" t="str">
        <f>IF(BA610="","",IFERROR(INDEX(wClass,541)&amp;"",""))</f>
        <v/>
      </c>
      <c r="BD610" t="str">
        <f>IF(BA610="","",IFERROR(INDEX(wKS2,541)+0,""))</f>
        <v/>
      </c>
      <c r="BE610" t="str">
        <f>IF(BA610="","",IFERROR(INDEX(wTests,541)+0,0))</f>
        <v/>
      </c>
      <c r="BF610" t="str">
        <f>IF(BA610="","",IFERROR(INDEX(wMean,541)+0,""))</f>
        <v/>
      </c>
      <c r="BG610" t="str">
        <f>IF(BA610="","",IFERROR(INDEX(wVs,541)+0,""))</f>
        <v/>
      </c>
      <c r="BH610" t="str">
        <f>IF(OR(BA610="",wLatest=""),"",IFERROR(INDEX(wData,541,MATCH(wLatest&amp;CHAR(10)&amp;"Stanine",wHdr,0))+0,""))</f>
        <v/>
      </c>
      <c r="BI610" t="str">
        <f>IF(BA610="","",IF(AND(ISNUMBER(BG610),N(BE610)&gt;=WlMinTests,BG610&lt;=-WlGap),"Below KS2 starting point",IF(AND(NOT(ISNUMBER(BD610)),ISNUMBER(BF610),N(BE610)&gt;=WlMinTests,BF610&lt;=WlLowMean),"Low results, no KS2 data","")))</f>
        <v/>
      </c>
      <c r="BJ610" t="str">
        <f>IF(BI610="","",IF(BI610="Below KS2 starting point",BG610,100+BF610)+ROW()/1000000)</f>
        <v/>
      </c>
    </row>
    <row r="611">
      <c r="BA611" t="str">
        <f>IFERROR(INDEX(wLast,542)&amp;"","")</f>
        <v/>
      </c>
      <c r="BB611" t="str">
        <f>IF(BA611="","",IFERROR(INDEX(wFirst,542)&amp;"",""))</f>
        <v/>
      </c>
      <c r="BC611" t="str">
        <f>IF(BA611="","",IFERROR(INDEX(wClass,542)&amp;"",""))</f>
        <v/>
      </c>
      <c r="BD611" t="str">
        <f>IF(BA611="","",IFERROR(INDEX(wKS2,542)+0,""))</f>
        <v/>
      </c>
      <c r="BE611" t="str">
        <f>IF(BA611="","",IFERROR(INDEX(wTests,542)+0,0))</f>
        <v/>
      </c>
      <c r="BF611" t="str">
        <f>IF(BA611="","",IFERROR(INDEX(wMean,542)+0,""))</f>
        <v/>
      </c>
      <c r="BG611" t="str">
        <f>IF(BA611="","",IFERROR(INDEX(wVs,542)+0,""))</f>
        <v/>
      </c>
      <c r="BH611" t="str">
        <f>IF(OR(BA611="",wLatest=""),"",IFERROR(INDEX(wData,542,MATCH(wLatest&amp;CHAR(10)&amp;"Stanine",wHdr,0))+0,""))</f>
        <v/>
      </c>
      <c r="BI611" t="str">
        <f>IF(BA611="","",IF(AND(ISNUMBER(BG611),N(BE611)&gt;=WlMinTests,BG611&lt;=-WlGap),"Below KS2 starting point",IF(AND(NOT(ISNUMBER(BD611)),ISNUMBER(BF611),N(BE611)&gt;=WlMinTests,BF611&lt;=WlLowMean),"Low results, no KS2 data","")))</f>
        <v/>
      </c>
      <c r="BJ611" t="str">
        <f>IF(BI611="","",IF(BI611="Below KS2 starting point",BG611,100+BF611)+ROW()/1000000)</f>
        <v/>
      </c>
    </row>
    <row r="612">
      <c r="BA612" t="str">
        <f>IFERROR(INDEX(wLast,543)&amp;"","")</f>
        <v/>
      </c>
      <c r="BB612" t="str">
        <f>IF(BA612="","",IFERROR(INDEX(wFirst,543)&amp;"",""))</f>
        <v/>
      </c>
      <c r="BC612" t="str">
        <f>IF(BA612="","",IFERROR(INDEX(wClass,543)&amp;"",""))</f>
        <v/>
      </c>
      <c r="BD612" t="str">
        <f>IF(BA612="","",IFERROR(INDEX(wKS2,543)+0,""))</f>
        <v/>
      </c>
      <c r="BE612" t="str">
        <f>IF(BA612="","",IFERROR(INDEX(wTests,543)+0,0))</f>
        <v/>
      </c>
      <c r="BF612" t="str">
        <f>IF(BA612="","",IFERROR(INDEX(wMean,543)+0,""))</f>
        <v/>
      </c>
      <c r="BG612" t="str">
        <f>IF(BA612="","",IFERROR(INDEX(wVs,543)+0,""))</f>
        <v/>
      </c>
      <c r="BH612" t="str">
        <f>IF(OR(BA612="",wLatest=""),"",IFERROR(INDEX(wData,543,MATCH(wLatest&amp;CHAR(10)&amp;"Stanine",wHdr,0))+0,""))</f>
        <v/>
      </c>
      <c r="BI612" t="str">
        <f>IF(BA612="","",IF(AND(ISNUMBER(BG612),N(BE612)&gt;=WlMinTests,BG612&lt;=-WlGap),"Below KS2 starting point",IF(AND(NOT(ISNUMBER(BD612)),ISNUMBER(BF612),N(BE612)&gt;=WlMinTests,BF612&lt;=WlLowMean),"Low results, no KS2 data","")))</f>
        <v/>
      </c>
      <c r="BJ612" t="str">
        <f>IF(BI612="","",IF(BI612="Below KS2 starting point",BG612,100+BF612)+ROW()/1000000)</f>
        <v/>
      </c>
    </row>
    <row r="613">
      <c r="BA613" t="str">
        <f>IFERROR(INDEX(wLast,544)&amp;"","")</f>
        <v/>
      </c>
      <c r="BB613" t="str">
        <f>IF(BA613="","",IFERROR(INDEX(wFirst,544)&amp;"",""))</f>
        <v/>
      </c>
      <c r="BC613" t="str">
        <f>IF(BA613="","",IFERROR(INDEX(wClass,544)&amp;"",""))</f>
        <v/>
      </c>
      <c r="BD613" t="str">
        <f>IF(BA613="","",IFERROR(INDEX(wKS2,544)+0,""))</f>
        <v/>
      </c>
      <c r="BE613" t="str">
        <f>IF(BA613="","",IFERROR(INDEX(wTests,544)+0,0))</f>
        <v/>
      </c>
      <c r="BF613" t="str">
        <f>IF(BA613="","",IFERROR(INDEX(wMean,544)+0,""))</f>
        <v/>
      </c>
      <c r="BG613" t="str">
        <f>IF(BA613="","",IFERROR(INDEX(wVs,544)+0,""))</f>
        <v/>
      </c>
      <c r="BH613" t="str">
        <f>IF(OR(BA613="",wLatest=""),"",IFERROR(INDEX(wData,544,MATCH(wLatest&amp;CHAR(10)&amp;"Stanine",wHdr,0))+0,""))</f>
        <v/>
      </c>
      <c r="BI613" t="str">
        <f>IF(BA613="","",IF(AND(ISNUMBER(BG613),N(BE613)&gt;=WlMinTests,BG613&lt;=-WlGap),"Below KS2 starting point",IF(AND(NOT(ISNUMBER(BD613)),ISNUMBER(BF613),N(BE613)&gt;=WlMinTests,BF613&lt;=WlLowMean),"Low results, no KS2 data","")))</f>
        <v/>
      </c>
      <c r="BJ613" t="str">
        <f>IF(BI613="","",IF(BI613="Below KS2 starting point",BG613,100+BF613)+ROW()/1000000)</f>
        <v/>
      </c>
    </row>
    <row r="614">
      <c r="BA614" t="str">
        <f>IFERROR(INDEX(wLast,545)&amp;"","")</f>
        <v/>
      </c>
      <c r="BB614" t="str">
        <f>IF(BA614="","",IFERROR(INDEX(wFirst,545)&amp;"",""))</f>
        <v/>
      </c>
      <c r="BC614" t="str">
        <f>IF(BA614="","",IFERROR(INDEX(wClass,545)&amp;"",""))</f>
        <v/>
      </c>
      <c r="BD614" t="str">
        <f>IF(BA614="","",IFERROR(INDEX(wKS2,545)+0,""))</f>
        <v/>
      </c>
      <c r="BE614" t="str">
        <f>IF(BA614="","",IFERROR(INDEX(wTests,545)+0,0))</f>
        <v/>
      </c>
      <c r="BF614" t="str">
        <f>IF(BA614="","",IFERROR(INDEX(wMean,545)+0,""))</f>
        <v/>
      </c>
      <c r="BG614" t="str">
        <f>IF(BA614="","",IFERROR(INDEX(wVs,545)+0,""))</f>
        <v/>
      </c>
      <c r="BH614" t="str">
        <f>IF(OR(BA614="",wLatest=""),"",IFERROR(INDEX(wData,545,MATCH(wLatest&amp;CHAR(10)&amp;"Stanine",wHdr,0))+0,""))</f>
        <v/>
      </c>
      <c r="BI614" t="str">
        <f>IF(BA614="","",IF(AND(ISNUMBER(BG614),N(BE614)&gt;=WlMinTests,BG614&lt;=-WlGap),"Below KS2 starting point",IF(AND(NOT(ISNUMBER(BD614)),ISNUMBER(BF614),N(BE614)&gt;=WlMinTests,BF614&lt;=WlLowMean),"Low results, no KS2 data","")))</f>
        <v/>
      </c>
      <c r="BJ614" t="str">
        <f>IF(BI614="","",IF(BI614="Below KS2 starting point",BG614,100+BF614)+ROW()/1000000)</f>
        <v/>
      </c>
    </row>
    <row r="615">
      <c r="BA615" t="str">
        <f>IFERROR(INDEX(wLast,546)&amp;"","")</f>
        <v/>
      </c>
      <c r="BB615" t="str">
        <f>IF(BA615="","",IFERROR(INDEX(wFirst,546)&amp;"",""))</f>
        <v/>
      </c>
      <c r="BC615" t="str">
        <f>IF(BA615="","",IFERROR(INDEX(wClass,546)&amp;"",""))</f>
        <v/>
      </c>
      <c r="BD615" t="str">
        <f>IF(BA615="","",IFERROR(INDEX(wKS2,546)+0,""))</f>
        <v/>
      </c>
      <c r="BE615" t="str">
        <f>IF(BA615="","",IFERROR(INDEX(wTests,546)+0,0))</f>
        <v/>
      </c>
      <c r="BF615" t="str">
        <f>IF(BA615="","",IFERROR(INDEX(wMean,546)+0,""))</f>
        <v/>
      </c>
      <c r="BG615" t="str">
        <f>IF(BA615="","",IFERROR(INDEX(wVs,546)+0,""))</f>
        <v/>
      </c>
      <c r="BH615" t="str">
        <f>IF(OR(BA615="",wLatest=""),"",IFERROR(INDEX(wData,546,MATCH(wLatest&amp;CHAR(10)&amp;"Stanine",wHdr,0))+0,""))</f>
        <v/>
      </c>
      <c r="BI615" t="str">
        <f>IF(BA615="","",IF(AND(ISNUMBER(BG615),N(BE615)&gt;=WlMinTests,BG615&lt;=-WlGap),"Below KS2 starting point",IF(AND(NOT(ISNUMBER(BD615)),ISNUMBER(BF615),N(BE615)&gt;=WlMinTests,BF615&lt;=WlLowMean),"Low results, no KS2 data","")))</f>
        <v/>
      </c>
      <c r="BJ615" t="str">
        <f>IF(BI615="","",IF(BI615="Below KS2 starting point",BG615,100+BF615)+ROW()/1000000)</f>
        <v/>
      </c>
    </row>
    <row r="616">
      <c r="BA616" t="str">
        <f>IFERROR(INDEX(wLast,547)&amp;"","")</f>
        <v/>
      </c>
      <c r="BB616" t="str">
        <f>IF(BA616="","",IFERROR(INDEX(wFirst,547)&amp;"",""))</f>
        <v/>
      </c>
      <c r="BC616" t="str">
        <f>IF(BA616="","",IFERROR(INDEX(wClass,547)&amp;"",""))</f>
        <v/>
      </c>
      <c r="BD616" t="str">
        <f>IF(BA616="","",IFERROR(INDEX(wKS2,547)+0,""))</f>
        <v/>
      </c>
      <c r="BE616" t="str">
        <f>IF(BA616="","",IFERROR(INDEX(wTests,547)+0,0))</f>
        <v/>
      </c>
      <c r="BF616" t="str">
        <f>IF(BA616="","",IFERROR(INDEX(wMean,547)+0,""))</f>
        <v/>
      </c>
      <c r="BG616" t="str">
        <f>IF(BA616="","",IFERROR(INDEX(wVs,547)+0,""))</f>
        <v/>
      </c>
      <c r="BH616" t="str">
        <f>IF(OR(BA616="",wLatest=""),"",IFERROR(INDEX(wData,547,MATCH(wLatest&amp;CHAR(10)&amp;"Stanine",wHdr,0))+0,""))</f>
        <v/>
      </c>
      <c r="BI616" t="str">
        <f>IF(BA616="","",IF(AND(ISNUMBER(BG616),N(BE616)&gt;=WlMinTests,BG616&lt;=-WlGap),"Below KS2 starting point",IF(AND(NOT(ISNUMBER(BD616)),ISNUMBER(BF616),N(BE616)&gt;=WlMinTests,BF616&lt;=WlLowMean),"Low results, no KS2 data","")))</f>
        <v/>
      </c>
      <c r="BJ616" t="str">
        <f>IF(BI616="","",IF(BI616="Below KS2 starting point",BG616,100+BF616)+ROW()/1000000)</f>
        <v/>
      </c>
    </row>
    <row r="617">
      <c r="BA617" t="str">
        <f>IFERROR(INDEX(wLast,548)&amp;"","")</f>
        <v/>
      </c>
      <c r="BB617" t="str">
        <f>IF(BA617="","",IFERROR(INDEX(wFirst,548)&amp;"",""))</f>
        <v/>
      </c>
      <c r="BC617" t="str">
        <f>IF(BA617="","",IFERROR(INDEX(wClass,548)&amp;"",""))</f>
        <v/>
      </c>
      <c r="BD617" t="str">
        <f>IF(BA617="","",IFERROR(INDEX(wKS2,548)+0,""))</f>
        <v/>
      </c>
      <c r="BE617" t="str">
        <f>IF(BA617="","",IFERROR(INDEX(wTests,548)+0,0))</f>
        <v/>
      </c>
      <c r="BF617" t="str">
        <f>IF(BA617="","",IFERROR(INDEX(wMean,548)+0,""))</f>
        <v/>
      </c>
      <c r="BG617" t="str">
        <f>IF(BA617="","",IFERROR(INDEX(wVs,548)+0,""))</f>
        <v/>
      </c>
      <c r="BH617" t="str">
        <f>IF(OR(BA617="",wLatest=""),"",IFERROR(INDEX(wData,548,MATCH(wLatest&amp;CHAR(10)&amp;"Stanine",wHdr,0))+0,""))</f>
        <v/>
      </c>
      <c r="BI617" t="str">
        <f>IF(BA617="","",IF(AND(ISNUMBER(BG617),N(BE617)&gt;=WlMinTests,BG617&lt;=-WlGap),"Below KS2 starting point",IF(AND(NOT(ISNUMBER(BD617)),ISNUMBER(BF617),N(BE617)&gt;=WlMinTests,BF617&lt;=WlLowMean),"Low results, no KS2 data","")))</f>
        <v/>
      </c>
      <c r="BJ617" t="str">
        <f>IF(BI617="","",IF(BI617="Below KS2 starting point",BG617,100+BF617)+ROW()/1000000)</f>
        <v/>
      </c>
    </row>
    <row r="618">
      <c r="BA618" t="str">
        <f>IFERROR(INDEX(wLast,549)&amp;"","")</f>
        <v/>
      </c>
      <c r="BB618" t="str">
        <f>IF(BA618="","",IFERROR(INDEX(wFirst,549)&amp;"",""))</f>
        <v/>
      </c>
      <c r="BC618" t="str">
        <f>IF(BA618="","",IFERROR(INDEX(wClass,549)&amp;"",""))</f>
        <v/>
      </c>
      <c r="BD618" t="str">
        <f>IF(BA618="","",IFERROR(INDEX(wKS2,549)+0,""))</f>
        <v/>
      </c>
      <c r="BE618" t="str">
        <f>IF(BA618="","",IFERROR(INDEX(wTests,549)+0,0))</f>
        <v/>
      </c>
      <c r="BF618" t="str">
        <f>IF(BA618="","",IFERROR(INDEX(wMean,549)+0,""))</f>
        <v/>
      </c>
      <c r="BG618" t="str">
        <f>IF(BA618="","",IFERROR(INDEX(wVs,549)+0,""))</f>
        <v/>
      </c>
      <c r="BH618" t="str">
        <f>IF(OR(BA618="",wLatest=""),"",IFERROR(INDEX(wData,549,MATCH(wLatest&amp;CHAR(10)&amp;"Stanine",wHdr,0))+0,""))</f>
        <v/>
      </c>
      <c r="BI618" t="str">
        <f>IF(BA618="","",IF(AND(ISNUMBER(BG618),N(BE618)&gt;=WlMinTests,BG618&lt;=-WlGap),"Below KS2 starting point",IF(AND(NOT(ISNUMBER(BD618)),ISNUMBER(BF618),N(BE618)&gt;=WlMinTests,BF618&lt;=WlLowMean),"Low results, no KS2 data","")))</f>
        <v/>
      </c>
      <c r="BJ618" t="str">
        <f>IF(BI618="","",IF(BI618="Below KS2 starting point",BG618,100+BF618)+ROW()/1000000)</f>
        <v/>
      </c>
    </row>
    <row r="619">
      <c r="BA619" t="str">
        <f>IFERROR(INDEX(wLast,550)&amp;"","")</f>
        <v/>
      </c>
      <c r="BB619" t="str">
        <f>IF(BA619="","",IFERROR(INDEX(wFirst,550)&amp;"",""))</f>
        <v/>
      </c>
      <c r="BC619" t="str">
        <f>IF(BA619="","",IFERROR(INDEX(wClass,550)&amp;"",""))</f>
        <v/>
      </c>
      <c r="BD619" t="str">
        <f>IF(BA619="","",IFERROR(INDEX(wKS2,550)+0,""))</f>
        <v/>
      </c>
      <c r="BE619" t="str">
        <f>IF(BA619="","",IFERROR(INDEX(wTests,550)+0,0))</f>
        <v/>
      </c>
      <c r="BF619" t="str">
        <f>IF(BA619="","",IFERROR(INDEX(wMean,550)+0,""))</f>
        <v/>
      </c>
      <c r="BG619" t="str">
        <f>IF(BA619="","",IFERROR(INDEX(wVs,550)+0,""))</f>
        <v/>
      </c>
      <c r="BH619" t="str">
        <f>IF(OR(BA619="",wLatest=""),"",IFERROR(INDEX(wData,550,MATCH(wLatest&amp;CHAR(10)&amp;"Stanine",wHdr,0))+0,""))</f>
        <v/>
      </c>
      <c r="BI619" t="str">
        <f>IF(BA619="","",IF(AND(ISNUMBER(BG619),N(BE619)&gt;=WlMinTests,BG619&lt;=-WlGap),"Below KS2 starting point",IF(AND(NOT(ISNUMBER(BD619)),ISNUMBER(BF619),N(BE619)&gt;=WlMinTests,BF619&lt;=WlLowMean),"Low results, no KS2 data","")))</f>
        <v/>
      </c>
      <c r="BJ619" t="str">
        <f>IF(BI619="","",IF(BI619="Below KS2 starting point",BG619,100+BF619)+ROW()/1000000)</f>
        <v/>
      </c>
    </row>
    <row r="620">
      <c r="BA620" t="str">
        <f>IFERROR(INDEX(wLast,551)&amp;"","")</f>
        <v/>
      </c>
      <c r="BB620" t="str">
        <f>IF(BA620="","",IFERROR(INDEX(wFirst,551)&amp;"",""))</f>
        <v/>
      </c>
      <c r="BC620" t="str">
        <f>IF(BA620="","",IFERROR(INDEX(wClass,551)&amp;"",""))</f>
        <v/>
      </c>
      <c r="BD620" t="str">
        <f>IF(BA620="","",IFERROR(INDEX(wKS2,551)+0,""))</f>
        <v/>
      </c>
      <c r="BE620" t="str">
        <f>IF(BA620="","",IFERROR(INDEX(wTests,551)+0,0))</f>
        <v/>
      </c>
      <c r="BF620" t="str">
        <f>IF(BA620="","",IFERROR(INDEX(wMean,551)+0,""))</f>
        <v/>
      </c>
      <c r="BG620" t="str">
        <f>IF(BA620="","",IFERROR(INDEX(wVs,551)+0,""))</f>
        <v/>
      </c>
      <c r="BH620" t="str">
        <f>IF(OR(BA620="",wLatest=""),"",IFERROR(INDEX(wData,551,MATCH(wLatest&amp;CHAR(10)&amp;"Stanine",wHdr,0))+0,""))</f>
        <v/>
      </c>
      <c r="BI620" t="str">
        <f>IF(BA620="","",IF(AND(ISNUMBER(BG620),N(BE620)&gt;=WlMinTests,BG620&lt;=-WlGap),"Below KS2 starting point",IF(AND(NOT(ISNUMBER(BD620)),ISNUMBER(BF620),N(BE620)&gt;=WlMinTests,BF620&lt;=WlLowMean),"Low results, no KS2 data","")))</f>
        <v/>
      </c>
      <c r="BJ620" t="str">
        <f>IF(BI620="","",IF(BI620="Below KS2 starting point",BG620,100+BF620)+ROW()/1000000)</f>
        <v/>
      </c>
    </row>
    <row r="621">
      <c r="BA621" t="str">
        <f>IFERROR(INDEX(wLast,552)&amp;"","")</f>
        <v/>
      </c>
      <c r="BB621" t="str">
        <f>IF(BA621="","",IFERROR(INDEX(wFirst,552)&amp;"",""))</f>
        <v/>
      </c>
      <c r="BC621" t="str">
        <f>IF(BA621="","",IFERROR(INDEX(wClass,552)&amp;"",""))</f>
        <v/>
      </c>
      <c r="BD621" t="str">
        <f>IF(BA621="","",IFERROR(INDEX(wKS2,552)+0,""))</f>
        <v/>
      </c>
      <c r="BE621" t="str">
        <f>IF(BA621="","",IFERROR(INDEX(wTests,552)+0,0))</f>
        <v/>
      </c>
      <c r="BF621" t="str">
        <f>IF(BA621="","",IFERROR(INDEX(wMean,552)+0,""))</f>
        <v/>
      </c>
      <c r="BG621" t="str">
        <f>IF(BA621="","",IFERROR(INDEX(wVs,552)+0,""))</f>
        <v/>
      </c>
      <c r="BH621" t="str">
        <f>IF(OR(BA621="",wLatest=""),"",IFERROR(INDEX(wData,552,MATCH(wLatest&amp;CHAR(10)&amp;"Stanine",wHdr,0))+0,""))</f>
        <v/>
      </c>
      <c r="BI621" t="str">
        <f>IF(BA621="","",IF(AND(ISNUMBER(BG621),N(BE621)&gt;=WlMinTests,BG621&lt;=-WlGap),"Below KS2 starting point",IF(AND(NOT(ISNUMBER(BD621)),ISNUMBER(BF621),N(BE621)&gt;=WlMinTests,BF621&lt;=WlLowMean),"Low results, no KS2 data","")))</f>
        <v/>
      </c>
      <c r="BJ621" t="str">
        <f>IF(BI621="","",IF(BI621="Below KS2 starting point",BG621,100+BF621)+ROW()/1000000)</f>
        <v/>
      </c>
    </row>
    <row r="622">
      <c r="BA622" t="str">
        <f>IFERROR(INDEX(wLast,553)&amp;"","")</f>
        <v/>
      </c>
      <c r="BB622" t="str">
        <f>IF(BA622="","",IFERROR(INDEX(wFirst,553)&amp;"",""))</f>
        <v/>
      </c>
      <c r="BC622" t="str">
        <f>IF(BA622="","",IFERROR(INDEX(wClass,553)&amp;"",""))</f>
        <v/>
      </c>
      <c r="BD622" t="str">
        <f>IF(BA622="","",IFERROR(INDEX(wKS2,553)+0,""))</f>
        <v/>
      </c>
      <c r="BE622" t="str">
        <f>IF(BA622="","",IFERROR(INDEX(wTests,553)+0,0))</f>
        <v/>
      </c>
      <c r="BF622" t="str">
        <f>IF(BA622="","",IFERROR(INDEX(wMean,553)+0,""))</f>
        <v/>
      </c>
      <c r="BG622" t="str">
        <f>IF(BA622="","",IFERROR(INDEX(wVs,553)+0,""))</f>
        <v/>
      </c>
      <c r="BH622" t="str">
        <f>IF(OR(BA622="",wLatest=""),"",IFERROR(INDEX(wData,553,MATCH(wLatest&amp;CHAR(10)&amp;"Stanine",wHdr,0))+0,""))</f>
        <v/>
      </c>
      <c r="BI622" t="str">
        <f>IF(BA622="","",IF(AND(ISNUMBER(BG622),N(BE622)&gt;=WlMinTests,BG622&lt;=-WlGap),"Below KS2 starting point",IF(AND(NOT(ISNUMBER(BD622)),ISNUMBER(BF622),N(BE622)&gt;=WlMinTests,BF622&lt;=WlLowMean),"Low results, no KS2 data","")))</f>
        <v/>
      </c>
      <c r="BJ622" t="str">
        <f>IF(BI622="","",IF(BI622="Below KS2 starting point",BG622,100+BF622)+ROW()/1000000)</f>
        <v/>
      </c>
    </row>
    <row r="623">
      <c r="BA623" t="str">
        <f>IFERROR(INDEX(wLast,554)&amp;"","")</f>
        <v/>
      </c>
      <c r="BB623" t="str">
        <f>IF(BA623="","",IFERROR(INDEX(wFirst,554)&amp;"",""))</f>
        <v/>
      </c>
      <c r="BC623" t="str">
        <f>IF(BA623="","",IFERROR(INDEX(wClass,554)&amp;"",""))</f>
        <v/>
      </c>
      <c r="BD623" t="str">
        <f>IF(BA623="","",IFERROR(INDEX(wKS2,554)+0,""))</f>
        <v/>
      </c>
      <c r="BE623" t="str">
        <f>IF(BA623="","",IFERROR(INDEX(wTests,554)+0,0))</f>
        <v/>
      </c>
      <c r="BF623" t="str">
        <f>IF(BA623="","",IFERROR(INDEX(wMean,554)+0,""))</f>
        <v/>
      </c>
      <c r="BG623" t="str">
        <f>IF(BA623="","",IFERROR(INDEX(wVs,554)+0,""))</f>
        <v/>
      </c>
      <c r="BH623" t="str">
        <f>IF(OR(BA623="",wLatest=""),"",IFERROR(INDEX(wData,554,MATCH(wLatest&amp;CHAR(10)&amp;"Stanine",wHdr,0))+0,""))</f>
        <v/>
      </c>
      <c r="BI623" t="str">
        <f>IF(BA623="","",IF(AND(ISNUMBER(BG623),N(BE623)&gt;=WlMinTests,BG623&lt;=-WlGap),"Below KS2 starting point",IF(AND(NOT(ISNUMBER(BD623)),ISNUMBER(BF623),N(BE623)&gt;=WlMinTests,BF623&lt;=WlLowMean),"Low results, no KS2 data","")))</f>
        <v/>
      </c>
      <c r="BJ623" t="str">
        <f>IF(BI623="","",IF(BI623="Below KS2 starting point",BG623,100+BF623)+ROW()/1000000)</f>
        <v/>
      </c>
    </row>
    <row r="624">
      <c r="BA624" t="str">
        <f>IFERROR(INDEX(wLast,555)&amp;"","")</f>
        <v/>
      </c>
      <c r="BB624" t="str">
        <f>IF(BA624="","",IFERROR(INDEX(wFirst,555)&amp;"",""))</f>
        <v/>
      </c>
      <c r="BC624" t="str">
        <f>IF(BA624="","",IFERROR(INDEX(wClass,555)&amp;"",""))</f>
        <v/>
      </c>
      <c r="BD624" t="str">
        <f>IF(BA624="","",IFERROR(INDEX(wKS2,555)+0,""))</f>
        <v/>
      </c>
      <c r="BE624" t="str">
        <f>IF(BA624="","",IFERROR(INDEX(wTests,555)+0,0))</f>
        <v/>
      </c>
      <c r="BF624" t="str">
        <f>IF(BA624="","",IFERROR(INDEX(wMean,555)+0,""))</f>
        <v/>
      </c>
      <c r="BG624" t="str">
        <f>IF(BA624="","",IFERROR(INDEX(wVs,555)+0,""))</f>
        <v/>
      </c>
      <c r="BH624" t="str">
        <f>IF(OR(BA624="",wLatest=""),"",IFERROR(INDEX(wData,555,MATCH(wLatest&amp;CHAR(10)&amp;"Stanine",wHdr,0))+0,""))</f>
        <v/>
      </c>
      <c r="BI624" t="str">
        <f>IF(BA624="","",IF(AND(ISNUMBER(BG624),N(BE624)&gt;=WlMinTests,BG624&lt;=-WlGap),"Below KS2 starting point",IF(AND(NOT(ISNUMBER(BD624)),ISNUMBER(BF624),N(BE624)&gt;=WlMinTests,BF624&lt;=WlLowMean),"Low results, no KS2 data","")))</f>
        <v/>
      </c>
      <c r="BJ624" t="str">
        <f>IF(BI624="","",IF(BI624="Below KS2 starting point",BG624,100+BF624)+ROW()/1000000)</f>
        <v/>
      </c>
    </row>
    <row r="625">
      <c r="BA625" t="str">
        <f>IFERROR(INDEX(wLast,556)&amp;"","")</f>
        <v/>
      </c>
      <c r="BB625" t="str">
        <f>IF(BA625="","",IFERROR(INDEX(wFirst,556)&amp;"",""))</f>
        <v/>
      </c>
      <c r="BC625" t="str">
        <f>IF(BA625="","",IFERROR(INDEX(wClass,556)&amp;"",""))</f>
        <v/>
      </c>
      <c r="BD625" t="str">
        <f>IF(BA625="","",IFERROR(INDEX(wKS2,556)+0,""))</f>
        <v/>
      </c>
      <c r="BE625" t="str">
        <f>IF(BA625="","",IFERROR(INDEX(wTests,556)+0,0))</f>
        <v/>
      </c>
      <c r="BF625" t="str">
        <f>IF(BA625="","",IFERROR(INDEX(wMean,556)+0,""))</f>
        <v/>
      </c>
      <c r="BG625" t="str">
        <f>IF(BA625="","",IFERROR(INDEX(wVs,556)+0,""))</f>
        <v/>
      </c>
      <c r="BH625" t="str">
        <f>IF(OR(BA625="",wLatest=""),"",IFERROR(INDEX(wData,556,MATCH(wLatest&amp;CHAR(10)&amp;"Stanine",wHdr,0))+0,""))</f>
        <v/>
      </c>
      <c r="BI625" t="str">
        <f>IF(BA625="","",IF(AND(ISNUMBER(BG625),N(BE625)&gt;=WlMinTests,BG625&lt;=-WlGap),"Below KS2 starting point",IF(AND(NOT(ISNUMBER(BD625)),ISNUMBER(BF625),N(BE625)&gt;=WlMinTests,BF625&lt;=WlLowMean),"Low results, no KS2 data","")))</f>
        <v/>
      </c>
      <c r="BJ625" t="str">
        <f>IF(BI625="","",IF(BI625="Below KS2 starting point",BG625,100+BF625)+ROW()/1000000)</f>
        <v/>
      </c>
    </row>
    <row r="626">
      <c r="BA626" t="str">
        <f>IFERROR(INDEX(wLast,557)&amp;"","")</f>
        <v/>
      </c>
      <c r="BB626" t="str">
        <f>IF(BA626="","",IFERROR(INDEX(wFirst,557)&amp;"",""))</f>
        <v/>
      </c>
      <c r="BC626" t="str">
        <f>IF(BA626="","",IFERROR(INDEX(wClass,557)&amp;"",""))</f>
        <v/>
      </c>
      <c r="BD626" t="str">
        <f>IF(BA626="","",IFERROR(INDEX(wKS2,557)+0,""))</f>
        <v/>
      </c>
      <c r="BE626" t="str">
        <f>IF(BA626="","",IFERROR(INDEX(wTests,557)+0,0))</f>
        <v/>
      </c>
      <c r="BF626" t="str">
        <f>IF(BA626="","",IFERROR(INDEX(wMean,557)+0,""))</f>
        <v/>
      </c>
      <c r="BG626" t="str">
        <f>IF(BA626="","",IFERROR(INDEX(wVs,557)+0,""))</f>
        <v/>
      </c>
      <c r="BH626" t="str">
        <f>IF(OR(BA626="",wLatest=""),"",IFERROR(INDEX(wData,557,MATCH(wLatest&amp;CHAR(10)&amp;"Stanine",wHdr,0))+0,""))</f>
        <v/>
      </c>
      <c r="BI626" t="str">
        <f>IF(BA626="","",IF(AND(ISNUMBER(BG626),N(BE626)&gt;=WlMinTests,BG626&lt;=-WlGap),"Below KS2 starting point",IF(AND(NOT(ISNUMBER(BD626)),ISNUMBER(BF626),N(BE626)&gt;=WlMinTests,BF626&lt;=WlLowMean),"Low results, no KS2 data","")))</f>
        <v/>
      </c>
      <c r="BJ626" t="str">
        <f>IF(BI626="","",IF(BI626="Below KS2 starting point",BG626,100+BF626)+ROW()/1000000)</f>
        <v/>
      </c>
    </row>
    <row r="627">
      <c r="BA627" t="str">
        <f>IFERROR(INDEX(wLast,558)&amp;"","")</f>
        <v/>
      </c>
      <c r="BB627" t="str">
        <f>IF(BA627="","",IFERROR(INDEX(wFirst,558)&amp;"",""))</f>
        <v/>
      </c>
      <c r="BC627" t="str">
        <f>IF(BA627="","",IFERROR(INDEX(wClass,558)&amp;"",""))</f>
        <v/>
      </c>
      <c r="BD627" t="str">
        <f>IF(BA627="","",IFERROR(INDEX(wKS2,558)+0,""))</f>
        <v/>
      </c>
      <c r="BE627" t="str">
        <f>IF(BA627="","",IFERROR(INDEX(wTests,558)+0,0))</f>
        <v/>
      </c>
      <c r="BF627" t="str">
        <f>IF(BA627="","",IFERROR(INDEX(wMean,558)+0,""))</f>
        <v/>
      </c>
      <c r="BG627" t="str">
        <f>IF(BA627="","",IFERROR(INDEX(wVs,558)+0,""))</f>
        <v/>
      </c>
      <c r="BH627" t="str">
        <f>IF(OR(BA627="",wLatest=""),"",IFERROR(INDEX(wData,558,MATCH(wLatest&amp;CHAR(10)&amp;"Stanine",wHdr,0))+0,""))</f>
        <v/>
      </c>
      <c r="BI627" t="str">
        <f>IF(BA627="","",IF(AND(ISNUMBER(BG627),N(BE627)&gt;=WlMinTests,BG627&lt;=-WlGap),"Below KS2 starting point",IF(AND(NOT(ISNUMBER(BD627)),ISNUMBER(BF627),N(BE627)&gt;=WlMinTests,BF627&lt;=WlLowMean),"Low results, no KS2 data","")))</f>
        <v/>
      </c>
      <c r="BJ627" t="str">
        <f>IF(BI627="","",IF(BI627="Below KS2 starting point",BG627,100+BF627)+ROW()/1000000)</f>
        <v/>
      </c>
    </row>
    <row r="628">
      <c r="BA628" t="str">
        <f>IFERROR(INDEX(wLast,559)&amp;"","")</f>
        <v/>
      </c>
      <c r="BB628" t="str">
        <f>IF(BA628="","",IFERROR(INDEX(wFirst,559)&amp;"",""))</f>
        <v/>
      </c>
      <c r="BC628" t="str">
        <f>IF(BA628="","",IFERROR(INDEX(wClass,559)&amp;"",""))</f>
        <v/>
      </c>
      <c r="BD628" t="str">
        <f>IF(BA628="","",IFERROR(INDEX(wKS2,559)+0,""))</f>
        <v/>
      </c>
      <c r="BE628" t="str">
        <f>IF(BA628="","",IFERROR(INDEX(wTests,559)+0,0))</f>
        <v/>
      </c>
      <c r="BF628" t="str">
        <f>IF(BA628="","",IFERROR(INDEX(wMean,559)+0,""))</f>
        <v/>
      </c>
      <c r="BG628" t="str">
        <f>IF(BA628="","",IFERROR(INDEX(wVs,559)+0,""))</f>
        <v/>
      </c>
      <c r="BH628" t="str">
        <f>IF(OR(BA628="",wLatest=""),"",IFERROR(INDEX(wData,559,MATCH(wLatest&amp;CHAR(10)&amp;"Stanine",wHdr,0))+0,""))</f>
        <v/>
      </c>
      <c r="BI628" t="str">
        <f>IF(BA628="","",IF(AND(ISNUMBER(BG628),N(BE628)&gt;=WlMinTests,BG628&lt;=-WlGap),"Below KS2 starting point",IF(AND(NOT(ISNUMBER(BD628)),ISNUMBER(BF628),N(BE628)&gt;=WlMinTests,BF628&lt;=WlLowMean),"Low results, no KS2 data","")))</f>
        <v/>
      </c>
      <c r="BJ628" t="str">
        <f>IF(BI628="","",IF(BI628="Below KS2 starting point",BG628,100+BF628)+ROW()/1000000)</f>
        <v/>
      </c>
    </row>
    <row r="629">
      <c r="BA629" t="str">
        <f>IFERROR(INDEX(wLast,560)&amp;"","")</f>
        <v/>
      </c>
      <c r="BB629" t="str">
        <f>IF(BA629="","",IFERROR(INDEX(wFirst,560)&amp;"",""))</f>
        <v/>
      </c>
      <c r="BC629" t="str">
        <f>IF(BA629="","",IFERROR(INDEX(wClass,560)&amp;"",""))</f>
        <v/>
      </c>
      <c r="BD629" t="str">
        <f>IF(BA629="","",IFERROR(INDEX(wKS2,560)+0,""))</f>
        <v/>
      </c>
      <c r="BE629" t="str">
        <f>IF(BA629="","",IFERROR(INDEX(wTests,560)+0,0))</f>
        <v/>
      </c>
      <c r="BF629" t="str">
        <f>IF(BA629="","",IFERROR(INDEX(wMean,560)+0,""))</f>
        <v/>
      </c>
      <c r="BG629" t="str">
        <f>IF(BA629="","",IFERROR(INDEX(wVs,560)+0,""))</f>
        <v/>
      </c>
      <c r="BH629" t="str">
        <f>IF(OR(BA629="",wLatest=""),"",IFERROR(INDEX(wData,560,MATCH(wLatest&amp;CHAR(10)&amp;"Stanine",wHdr,0))+0,""))</f>
        <v/>
      </c>
      <c r="BI629" t="str">
        <f>IF(BA629="","",IF(AND(ISNUMBER(BG629),N(BE629)&gt;=WlMinTests,BG629&lt;=-WlGap),"Below KS2 starting point",IF(AND(NOT(ISNUMBER(BD629)),ISNUMBER(BF629),N(BE629)&gt;=WlMinTests,BF629&lt;=WlLowMean),"Low results, no KS2 data","")))</f>
        <v/>
      </c>
      <c r="BJ629" t="str">
        <f>IF(BI629="","",IF(BI629="Below KS2 starting point",BG629,100+BF629)+ROW()/1000000)</f>
        <v/>
      </c>
    </row>
    <row r="630">
      <c r="BA630" t="str">
        <f>IFERROR(INDEX(wLast,561)&amp;"","")</f>
        <v/>
      </c>
      <c r="BB630" t="str">
        <f>IF(BA630="","",IFERROR(INDEX(wFirst,561)&amp;"",""))</f>
        <v/>
      </c>
      <c r="BC630" t="str">
        <f>IF(BA630="","",IFERROR(INDEX(wClass,561)&amp;"",""))</f>
        <v/>
      </c>
      <c r="BD630" t="str">
        <f>IF(BA630="","",IFERROR(INDEX(wKS2,561)+0,""))</f>
        <v/>
      </c>
      <c r="BE630" t="str">
        <f>IF(BA630="","",IFERROR(INDEX(wTests,561)+0,0))</f>
        <v/>
      </c>
      <c r="BF630" t="str">
        <f>IF(BA630="","",IFERROR(INDEX(wMean,561)+0,""))</f>
        <v/>
      </c>
      <c r="BG630" t="str">
        <f>IF(BA630="","",IFERROR(INDEX(wVs,561)+0,""))</f>
        <v/>
      </c>
      <c r="BH630" t="str">
        <f>IF(OR(BA630="",wLatest=""),"",IFERROR(INDEX(wData,561,MATCH(wLatest&amp;CHAR(10)&amp;"Stanine",wHdr,0))+0,""))</f>
        <v/>
      </c>
      <c r="BI630" t="str">
        <f>IF(BA630="","",IF(AND(ISNUMBER(BG630),N(BE630)&gt;=WlMinTests,BG630&lt;=-WlGap),"Below KS2 starting point",IF(AND(NOT(ISNUMBER(BD630)),ISNUMBER(BF630),N(BE630)&gt;=WlMinTests,BF630&lt;=WlLowMean),"Low results, no KS2 data","")))</f>
        <v/>
      </c>
      <c r="BJ630" t="str">
        <f>IF(BI630="","",IF(BI630="Below KS2 starting point",BG630,100+BF630)+ROW()/1000000)</f>
        <v/>
      </c>
    </row>
    <row r="631">
      <c r="BA631" t="str">
        <f>IFERROR(INDEX(wLast,562)&amp;"","")</f>
        <v/>
      </c>
      <c r="BB631" t="str">
        <f>IF(BA631="","",IFERROR(INDEX(wFirst,562)&amp;"",""))</f>
        <v/>
      </c>
      <c r="BC631" t="str">
        <f>IF(BA631="","",IFERROR(INDEX(wClass,562)&amp;"",""))</f>
        <v/>
      </c>
      <c r="BD631" t="str">
        <f>IF(BA631="","",IFERROR(INDEX(wKS2,562)+0,""))</f>
        <v/>
      </c>
      <c r="BE631" t="str">
        <f>IF(BA631="","",IFERROR(INDEX(wTests,562)+0,0))</f>
        <v/>
      </c>
      <c r="BF631" t="str">
        <f>IF(BA631="","",IFERROR(INDEX(wMean,562)+0,""))</f>
        <v/>
      </c>
      <c r="BG631" t="str">
        <f>IF(BA631="","",IFERROR(INDEX(wVs,562)+0,""))</f>
        <v/>
      </c>
      <c r="BH631" t="str">
        <f>IF(OR(BA631="",wLatest=""),"",IFERROR(INDEX(wData,562,MATCH(wLatest&amp;CHAR(10)&amp;"Stanine",wHdr,0))+0,""))</f>
        <v/>
      </c>
      <c r="BI631" t="str">
        <f>IF(BA631="","",IF(AND(ISNUMBER(BG631),N(BE631)&gt;=WlMinTests,BG631&lt;=-WlGap),"Below KS2 starting point",IF(AND(NOT(ISNUMBER(BD631)),ISNUMBER(BF631),N(BE631)&gt;=WlMinTests,BF631&lt;=WlLowMean),"Low results, no KS2 data","")))</f>
        <v/>
      </c>
      <c r="BJ631" t="str">
        <f>IF(BI631="","",IF(BI631="Below KS2 starting point",BG631,100+BF631)+ROW()/1000000)</f>
        <v/>
      </c>
    </row>
    <row r="632">
      <c r="BA632" t="str">
        <f>IFERROR(INDEX(wLast,563)&amp;"","")</f>
        <v/>
      </c>
      <c r="BB632" t="str">
        <f>IF(BA632="","",IFERROR(INDEX(wFirst,563)&amp;"",""))</f>
        <v/>
      </c>
      <c r="BC632" t="str">
        <f>IF(BA632="","",IFERROR(INDEX(wClass,563)&amp;"",""))</f>
        <v/>
      </c>
      <c r="BD632" t="str">
        <f>IF(BA632="","",IFERROR(INDEX(wKS2,563)+0,""))</f>
        <v/>
      </c>
      <c r="BE632" t="str">
        <f>IF(BA632="","",IFERROR(INDEX(wTests,563)+0,0))</f>
        <v/>
      </c>
      <c r="BF632" t="str">
        <f>IF(BA632="","",IFERROR(INDEX(wMean,563)+0,""))</f>
        <v/>
      </c>
      <c r="BG632" t="str">
        <f>IF(BA632="","",IFERROR(INDEX(wVs,563)+0,""))</f>
        <v/>
      </c>
      <c r="BH632" t="str">
        <f>IF(OR(BA632="",wLatest=""),"",IFERROR(INDEX(wData,563,MATCH(wLatest&amp;CHAR(10)&amp;"Stanine",wHdr,0))+0,""))</f>
        <v/>
      </c>
      <c r="BI632" t="str">
        <f>IF(BA632="","",IF(AND(ISNUMBER(BG632),N(BE632)&gt;=WlMinTests,BG632&lt;=-WlGap),"Below KS2 starting point",IF(AND(NOT(ISNUMBER(BD632)),ISNUMBER(BF632),N(BE632)&gt;=WlMinTests,BF632&lt;=WlLowMean),"Low results, no KS2 data","")))</f>
        <v/>
      </c>
      <c r="BJ632" t="str">
        <f>IF(BI632="","",IF(BI632="Below KS2 starting point",BG632,100+BF632)+ROW()/1000000)</f>
        <v/>
      </c>
    </row>
    <row r="633">
      <c r="BA633" t="str">
        <f>IFERROR(INDEX(wLast,564)&amp;"","")</f>
        <v/>
      </c>
      <c r="BB633" t="str">
        <f>IF(BA633="","",IFERROR(INDEX(wFirst,564)&amp;"",""))</f>
        <v/>
      </c>
      <c r="BC633" t="str">
        <f>IF(BA633="","",IFERROR(INDEX(wClass,564)&amp;"",""))</f>
        <v/>
      </c>
      <c r="BD633" t="str">
        <f>IF(BA633="","",IFERROR(INDEX(wKS2,564)+0,""))</f>
        <v/>
      </c>
      <c r="BE633" t="str">
        <f>IF(BA633="","",IFERROR(INDEX(wTests,564)+0,0))</f>
        <v/>
      </c>
      <c r="BF633" t="str">
        <f>IF(BA633="","",IFERROR(INDEX(wMean,564)+0,""))</f>
        <v/>
      </c>
      <c r="BG633" t="str">
        <f>IF(BA633="","",IFERROR(INDEX(wVs,564)+0,""))</f>
        <v/>
      </c>
      <c r="BH633" t="str">
        <f>IF(OR(BA633="",wLatest=""),"",IFERROR(INDEX(wData,564,MATCH(wLatest&amp;CHAR(10)&amp;"Stanine",wHdr,0))+0,""))</f>
        <v/>
      </c>
      <c r="BI633" t="str">
        <f>IF(BA633="","",IF(AND(ISNUMBER(BG633),N(BE633)&gt;=WlMinTests,BG633&lt;=-WlGap),"Below KS2 starting point",IF(AND(NOT(ISNUMBER(BD633)),ISNUMBER(BF633),N(BE633)&gt;=WlMinTests,BF633&lt;=WlLowMean),"Low results, no KS2 data","")))</f>
        <v/>
      </c>
      <c r="BJ633" t="str">
        <f>IF(BI633="","",IF(BI633="Below KS2 starting point",BG633,100+BF633)+ROW()/1000000)</f>
        <v/>
      </c>
    </row>
    <row r="634">
      <c r="BA634" t="str">
        <f>IFERROR(INDEX(wLast,565)&amp;"","")</f>
        <v/>
      </c>
      <c r="BB634" t="str">
        <f>IF(BA634="","",IFERROR(INDEX(wFirst,565)&amp;"",""))</f>
        <v/>
      </c>
      <c r="BC634" t="str">
        <f>IF(BA634="","",IFERROR(INDEX(wClass,565)&amp;"",""))</f>
        <v/>
      </c>
      <c r="BD634" t="str">
        <f>IF(BA634="","",IFERROR(INDEX(wKS2,565)+0,""))</f>
        <v/>
      </c>
      <c r="BE634" t="str">
        <f>IF(BA634="","",IFERROR(INDEX(wTests,565)+0,0))</f>
        <v/>
      </c>
      <c r="BF634" t="str">
        <f>IF(BA634="","",IFERROR(INDEX(wMean,565)+0,""))</f>
        <v/>
      </c>
      <c r="BG634" t="str">
        <f>IF(BA634="","",IFERROR(INDEX(wVs,565)+0,""))</f>
        <v/>
      </c>
      <c r="BH634" t="str">
        <f>IF(OR(BA634="",wLatest=""),"",IFERROR(INDEX(wData,565,MATCH(wLatest&amp;CHAR(10)&amp;"Stanine",wHdr,0))+0,""))</f>
        <v/>
      </c>
      <c r="BI634" t="str">
        <f>IF(BA634="","",IF(AND(ISNUMBER(BG634),N(BE634)&gt;=WlMinTests,BG634&lt;=-WlGap),"Below KS2 starting point",IF(AND(NOT(ISNUMBER(BD634)),ISNUMBER(BF634),N(BE634)&gt;=WlMinTests,BF634&lt;=WlLowMean),"Low results, no KS2 data","")))</f>
        <v/>
      </c>
      <c r="BJ634" t="str">
        <f>IF(BI634="","",IF(BI634="Below KS2 starting point",BG634,100+BF634)+ROW()/1000000)</f>
        <v/>
      </c>
    </row>
    <row r="635">
      <c r="BA635" t="str">
        <f>IFERROR(INDEX(wLast,566)&amp;"","")</f>
        <v/>
      </c>
      <c r="BB635" t="str">
        <f>IF(BA635="","",IFERROR(INDEX(wFirst,566)&amp;"",""))</f>
        <v/>
      </c>
      <c r="BC635" t="str">
        <f>IF(BA635="","",IFERROR(INDEX(wClass,566)&amp;"",""))</f>
        <v/>
      </c>
      <c r="BD635" t="str">
        <f>IF(BA635="","",IFERROR(INDEX(wKS2,566)+0,""))</f>
        <v/>
      </c>
      <c r="BE635" t="str">
        <f>IF(BA635="","",IFERROR(INDEX(wTests,566)+0,0))</f>
        <v/>
      </c>
      <c r="BF635" t="str">
        <f>IF(BA635="","",IFERROR(INDEX(wMean,566)+0,""))</f>
        <v/>
      </c>
      <c r="BG635" t="str">
        <f>IF(BA635="","",IFERROR(INDEX(wVs,566)+0,""))</f>
        <v/>
      </c>
      <c r="BH635" t="str">
        <f>IF(OR(BA635="",wLatest=""),"",IFERROR(INDEX(wData,566,MATCH(wLatest&amp;CHAR(10)&amp;"Stanine",wHdr,0))+0,""))</f>
        <v/>
      </c>
      <c r="BI635" t="str">
        <f>IF(BA635="","",IF(AND(ISNUMBER(BG635),N(BE635)&gt;=WlMinTests,BG635&lt;=-WlGap),"Below KS2 starting point",IF(AND(NOT(ISNUMBER(BD635)),ISNUMBER(BF635),N(BE635)&gt;=WlMinTests,BF635&lt;=WlLowMean),"Low results, no KS2 data","")))</f>
        <v/>
      </c>
      <c r="BJ635" t="str">
        <f>IF(BI635="","",IF(BI635="Below KS2 starting point",BG635,100+BF635)+ROW()/1000000)</f>
        <v/>
      </c>
    </row>
    <row r="636">
      <c r="BA636" t="str">
        <f>IFERROR(INDEX(wLast,567)&amp;"","")</f>
        <v/>
      </c>
      <c r="BB636" t="str">
        <f>IF(BA636="","",IFERROR(INDEX(wFirst,567)&amp;"",""))</f>
        <v/>
      </c>
      <c r="BC636" t="str">
        <f>IF(BA636="","",IFERROR(INDEX(wClass,567)&amp;"",""))</f>
        <v/>
      </c>
      <c r="BD636" t="str">
        <f>IF(BA636="","",IFERROR(INDEX(wKS2,567)+0,""))</f>
        <v/>
      </c>
      <c r="BE636" t="str">
        <f>IF(BA636="","",IFERROR(INDEX(wTests,567)+0,0))</f>
        <v/>
      </c>
      <c r="BF636" t="str">
        <f>IF(BA636="","",IFERROR(INDEX(wMean,567)+0,""))</f>
        <v/>
      </c>
      <c r="BG636" t="str">
        <f>IF(BA636="","",IFERROR(INDEX(wVs,567)+0,""))</f>
        <v/>
      </c>
      <c r="BH636" t="str">
        <f>IF(OR(BA636="",wLatest=""),"",IFERROR(INDEX(wData,567,MATCH(wLatest&amp;CHAR(10)&amp;"Stanine",wHdr,0))+0,""))</f>
        <v/>
      </c>
      <c r="BI636" t="str">
        <f>IF(BA636="","",IF(AND(ISNUMBER(BG636),N(BE636)&gt;=WlMinTests,BG636&lt;=-WlGap),"Below KS2 starting point",IF(AND(NOT(ISNUMBER(BD636)),ISNUMBER(BF636),N(BE636)&gt;=WlMinTests,BF636&lt;=WlLowMean),"Low results, no KS2 data","")))</f>
        <v/>
      </c>
      <c r="BJ636" t="str">
        <f>IF(BI636="","",IF(BI636="Below KS2 starting point",BG636,100+BF636)+ROW()/1000000)</f>
        <v/>
      </c>
    </row>
    <row r="637">
      <c r="BA637" t="str">
        <f>IFERROR(INDEX(wLast,568)&amp;"","")</f>
        <v/>
      </c>
      <c r="BB637" t="str">
        <f>IF(BA637="","",IFERROR(INDEX(wFirst,568)&amp;"",""))</f>
        <v/>
      </c>
      <c r="BC637" t="str">
        <f>IF(BA637="","",IFERROR(INDEX(wClass,568)&amp;"",""))</f>
        <v/>
      </c>
      <c r="BD637" t="str">
        <f>IF(BA637="","",IFERROR(INDEX(wKS2,568)+0,""))</f>
        <v/>
      </c>
      <c r="BE637" t="str">
        <f>IF(BA637="","",IFERROR(INDEX(wTests,568)+0,0))</f>
        <v/>
      </c>
      <c r="BF637" t="str">
        <f>IF(BA637="","",IFERROR(INDEX(wMean,568)+0,""))</f>
        <v/>
      </c>
      <c r="BG637" t="str">
        <f>IF(BA637="","",IFERROR(INDEX(wVs,568)+0,""))</f>
        <v/>
      </c>
      <c r="BH637" t="str">
        <f>IF(OR(BA637="",wLatest=""),"",IFERROR(INDEX(wData,568,MATCH(wLatest&amp;CHAR(10)&amp;"Stanine",wHdr,0))+0,""))</f>
        <v/>
      </c>
      <c r="BI637" t="str">
        <f>IF(BA637="","",IF(AND(ISNUMBER(BG637),N(BE637)&gt;=WlMinTests,BG637&lt;=-WlGap),"Below KS2 starting point",IF(AND(NOT(ISNUMBER(BD637)),ISNUMBER(BF637),N(BE637)&gt;=WlMinTests,BF637&lt;=WlLowMean),"Low results, no KS2 data","")))</f>
        <v/>
      </c>
      <c r="BJ637" t="str">
        <f>IF(BI637="","",IF(BI637="Below KS2 starting point",BG637,100+BF637)+ROW()/1000000)</f>
        <v/>
      </c>
    </row>
    <row r="638">
      <c r="BA638" t="str">
        <f>IFERROR(INDEX(wLast,569)&amp;"","")</f>
        <v/>
      </c>
      <c r="BB638" t="str">
        <f>IF(BA638="","",IFERROR(INDEX(wFirst,569)&amp;"",""))</f>
        <v/>
      </c>
      <c r="BC638" t="str">
        <f>IF(BA638="","",IFERROR(INDEX(wClass,569)&amp;"",""))</f>
        <v/>
      </c>
      <c r="BD638" t="str">
        <f>IF(BA638="","",IFERROR(INDEX(wKS2,569)+0,""))</f>
        <v/>
      </c>
      <c r="BE638" t="str">
        <f>IF(BA638="","",IFERROR(INDEX(wTests,569)+0,0))</f>
        <v/>
      </c>
      <c r="BF638" t="str">
        <f>IF(BA638="","",IFERROR(INDEX(wMean,569)+0,""))</f>
        <v/>
      </c>
      <c r="BG638" t="str">
        <f>IF(BA638="","",IFERROR(INDEX(wVs,569)+0,""))</f>
        <v/>
      </c>
      <c r="BH638" t="str">
        <f>IF(OR(BA638="",wLatest=""),"",IFERROR(INDEX(wData,569,MATCH(wLatest&amp;CHAR(10)&amp;"Stanine",wHdr,0))+0,""))</f>
        <v/>
      </c>
      <c r="BI638" t="str">
        <f>IF(BA638="","",IF(AND(ISNUMBER(BG638),N(BE638)&gt;=WlMinTests,BG638&lt;=-WlGap),"Below KS2 starting point",IF(AND(NOT(ISNUMBER(BD638)),ISNUMBER(BF638),N(BE638)&gt;=WlMinTests,BF638&lt;=WlLowMean),"Low results, no KS2 data","")))</f>
        <v/>
      </c>
      <c r="BJ638" t="str">
        <f>IF(BI638="","",IF(BI638="Below KS2 starting point",BG638,100+BF638)+ROW()/1000000)</f>
        <v/>
      </c>
    </row>
    <row r="639">
      <c r="BA639" t="str">
        <f>IFERROR(INDEX(wLast,570)&amp;"","")</f>
        <v/>
      </c>
      <c r="BB639" t="str">
        <f>IF(BA639="","",IFERROR(INDEX(wFirst,570)&amp;"",""))</f>
        <v/>
      </c>
      <c r="BC639" t="str">
        <f>IF(BA639="","",IFERROR(INDEX(wClass,570)&amp;"",""))</f>
        <v/>
      </c>
      <c r="BD639" t="str">
        <f>IF(BA639="","",IFERROR(INDEX(wKS2,570)+0,""))</f>
        <v/>
      </c>
      <c r="BE639" t="str">
        <f>IF(BA639="","",IFERROR(INDEX(wTests,570)+0,0))</f>
        <v/>
      </c>
      <c r="BF639" t="str">
        <f>IF(BA639="","",IFERROR(INDEX(wMean,570)+0,""))</f>
        <v/>
      </c>
      <c r="BG639" t="str">
        <f>IF(BA639="","",IFERROR(INDEX(wVs,570)+0,""))</f>
        <v/>
      </c>
      <c r="BH639" t="str">
        <f>IF(OR(BA639="",wLatest=""),"",IFERROR(INDEX(wData,570,MATCH(wLatest&amp;CHAR(10)&amp;"Stanine",wHdr,0))+0,""))</f>
        <v/>
      </c>
      <c r="BI639" t="str">
        <f>IF(BA639="","",IF(AND(ISNUMBER(BG639),N(BE639)&gt;=WlMinTests,BG639&lt;=-WlGap),"Below KS2 starting point",IF(AND(NOT(ISNUMBER(BD639)),ISNUMBER(BF639),N(BE639)&gt;=WlMinTests,BF639&lt;=WlLowMean),"Low results, no KS2 data","")))</f>
        <v/>
      </c>
      <c r="BJ639" t="str">
        <f>IF(BI639="","",IF(BI639="Below KS2 starting point",BG639,100+BF639)+ROW()/1000000)</f>
        <v/>
      </c>
    </row>
    <row r="640">
      <c r="BA640" t="str">
        <f>IFERROR(INDEX(wLast,571)&amp;"","")</f>
        <v/>
      </c>
      <c r="BB640" t="str">
        <f>IF(BA640="","",IFERROR(INDEX(wFirst,571)&amp;"",""))</f>
        <v/>
      </c>
      <c r="BC640" t="str">
        <f>IF(BA640="","",IFERROR(INDEX(wClass,571)&amp;"",""))</f>
        <v/>
      </c>
      <c r="BD640" t="str">
        <f>IF(BA640="","",IFERROR(INDEX(wKS2,571)+0,""))</f>
        <v/>
      </c>
      <c r="BE640" t="str">
        <f>IF(BA640="","",IFERROR(INDEX(wTests,571)+0,0))</f>
        <v/>
      </c>
      <c r="BF640" t="str">
        <f>IF(BA640="","",IFERROR(INDEX(wMean,571)+0,""))</f>
        <v/>
      </c>
      <c r="BG640" t="str">
        <f>IF(BA640="","",IFERROR(INDEX(wVs,571)+0,""))</f>
        <v/>
      </c>
      <c r="BH640" t="str">
        <f>IF(OR(BA640="",wLatest=""),"",IFERROR(INDEX(wData,571,MATCH(wLatest&amp;CHAR(10)&amp;"Stanine",wHdr,0))+0,""))</f>
        <v/>
      </c>
      <c r="BI640" t="str">
        <f>IF(BA640="","",IF(AND(ISNUMBER(BG640),N(BE640)&gt;=WlMinTests,BG640&lt;=-WlGap),"Below KS2 starting point",IF(AND(NOT(ISNUMBER(BD640)),ISNUMBER(BF640),N(BE640)&gt;=WlMinTests,BF640&lt;=WlLowMean),"Low results, no KS2 data","")))</f>
        <v/>
      </c>
      <c r="BJ640" t="str">
        <f>IF(BI640="","",IF(BI640="Below KS2 starting point",BG640,100+BF640)+ROW()/1000000)</f>
        <v/>
      </c>
    </row>
    <row r="641">
      <c r="BA641" t="str">
        <f>IFERROR(INDEX(wLast,572)&amp;"","")</f>
        <v/>
      </c>
      <c r="BB641" t="str">
        <f>IF(BA641="","",IFERROR(INDEX(wFirst,572)&amp;"",""))</f>
        <v/>
      </c>
      <c r="BC641" t="str">
        <f>IF(BA641="","",IFERROR(INDEX(wClass,572)&amp;"",""))</f>
        <v/>
      </c>
      <c r="BD641" t="str">
        <f>IF(BA641="","",IFERROR(INDEX(wKS2,572)+0,""))</f>
        <v/>
      </c>
      <c r="BE641" t="str">
        <f>IF(BA641="","",IFERROR(INDEX(wTests,572)+0,0))</f>
        <v/>
      </c>
      <c r="BF641" t="str">
        <f>IF(BA641="","",IFERROR(INDEX(wMean,572)+0,""))</f>
        <v/>
      </c>
      <c r="BG641" t="str">
        <f>IF(BA641="","",IFERROR(INDEX(wVs,572)+0,""))</f>
        <v/>
      </c>
      <c r="BH641" t="str">
        <f>IF(OR(BA641="",wLatest=""),"",IFERROR(INDEX(wData,572,MATCH(wLatest&amp;CHAR(10)&amp;"Stanine",wHdr,0))+0,""))</f>
        <v/>
      </c>
      <c r="BI641" t="str">
        <f>IF(BA641="","",IF(AND(ISNUMBER(BG641),N(BE641)&gt;=WlMinTests,BG641&lt;=-WlGap),"Below KS2 starting point",IF(AND(NOT(ISNUMBER(BD641)),ISNUMBER(BF641),N(BE641)&gt;=WlMinTests,BF641&lt;=WlLowMean),"Low results, no KS2 data","")))</f>
        <v/>
      </c>
      <c r="BJ641" t="str">
        <f>IF(BI641="","",IF(BI641="Below KS2 starting point",BG641,100+BF641)+ROW()/1000000)</f>
        <v/>
      </c>
    </row>
    <row r="642">
      <c r="BA642" t="str">
        <f>IFERROR(INDEX(wLast,573)&amp;"","")</f>
        <v/>
      </c>
      <c r="BB642" t="str">
        <f>IF(BA642="","",IFERROR(INDEX(wFirst,573)&amp;"",""))</f>
        <v/>
      </c>
      <c r="BC642" t="str">
        <f>IF(BA642="","",IFERROR(INDEX(wClass,573)&amp;"",""))</f>
        <v/>
      </c>
      <c r="BD642" t="str">
        <f>IF(BA642="","",IFERROR(INDEX(wKS2,573)+0,""))</f>
        <v/>
      </c>
      <c r="BE642" t="str">
        <f>IF(BA642="","",IFERROR(INDEX(wTests,573)+0,0))</f>
        <v/>
      </c>
      <c r="BF642" t="str">
        <f>IF(BA642="","",IFERROR(INDEX(wMean,573)+0,""))</f>
        <v/>
      </c>
      <c r="BG642" t="str">
        <f>IF(BA642="","",IFERROR(INDEX(wVs,573)+0,""))</f>
        <v/>
      </c>
      <c r="BH642" t="str">
        <f>IF(OR(BA642="",wLatest=""),"",IFERROR(INDEX(wData,573,MATCH(wLatest&amp;CHAR(10)&amp;"Stanine",wHdr,0))+0,""))</f>
        <v/>
      </c>
      <c r="BI642" t="str">
        <f>IF(BA642="","",IF(AND(ISNUMBER(BG642),N(BE642)&gt;=WlMinTests,BG642&lt;=-WlGap),"Below KS2 starting point",IF(AND(NOT(ISNUMBER(BD642)),ISNUMBER(BF642),N(BE642)&gt;=WlMinTests,BF642&lt;=WlLowMean),"Low results, no KS2 data","")))</f>
        <v/>
      </c>
      <c r="BJ642" t="str">
        <f>IF(BI642="","",IF(BI642="Below KS2 starting point",BG642,100+BF642)+ROW()/1000000)</f>
        <v/>
      </c>
    </row>
    <row r="643">
      <c r="BA643" t="str">
        <f>IFERROR(INDEX(wLast,574)&amp;"","")</f>
        <v/>
      </c>
      <c r="BB643" t="str">
        <f>IF(BA643="","",IFERROR(INDEX(wFirst,574)&amp;"",""))</f>
        <v/>
      </c>
      <c r="BC643" t="str">
        <f>IF(BA643="","",IFERROR(INDEX(wClass,574)&amp;"",""))</f>
        <v/>
      </c>
      <c r="BD643" t="str">
        <f>IF(BA643="","",IFERROR(INDEX(wKS2,574)+0,""))</f>
        <v/>
      </c>
      <c r="BE643" t="str">
        <f>IF(BA643="","",IFERROR(INDEX(wTests,574)+0,0))</f>
        <v/>
      </c>
      <c r="BF643" t="str">
        <f>IF(BA643="","",IFERROR(INDEX(wMean,574)+0,""))</f>
        <v/>
      </c>
      <c r="BG643" t="str">
        <f>IF(BA643="","",IFERROR(INDEX(wVs,574)+0,""))</f>
        <v/>
      </c>
      <c r="BH643" t="str">
        <f>IF(OR(BA643="",wLatest=""),"",IFERROR(INDEX(wData,574,MATCH(wLatest&amp;CHAR(10)&amp;"Stanine",wHdr,0))+0,""))</f>
        <v/>
      </c>
      <c r="BI643" t="str">
        <f>IF(BA643="","",IF(AND(ISNUMBER(BG643),N(BE643)&gt;=WlMinTests,BG643&lt;=-WlGap),"Below KS2 starting point",IF(AND(NOT(ISNUMBER(BD643)),ISNUMBER(BF643),N(BE643)&gt;=WlMinTests,BF643&lt;=WlLowMean),"Low results, no KS2 data","")))</f>
        <v/>
      </c>
      <c r="BJ643" t="str">
        <f>IF(BI643="","",IF(BI643="Below KS2 starting point",BG643,100+BF643)+ROW()/1000000)</f>
        <v/>
      </c>
    </row>
    <row r="644">
      <c r="BA644" t="str">
        <f>IFERROR(INDEX(wLast,575)&amp;"","")</f>
        <v/>
      </c>
      <c r="BB644" t="str">
        <f>IF(BA644="","",IFERROR(INDEX(wFirst,575)&amp;"",""))</f>
        <v/>
      </c>
      <c r="BC644" t="str">
        <f>IF(BA644="","",IFERROR(INDEX(wClass,575)&amp;"",""))</f>
        <v/>
      </c>
      <c r="BD644" t="str">
        <f>IF(BA644="","",IFERROR(INDEX(wKS2,575)+0,""))</f>
        <v/>
      </c>
      <c r="BE644" t="str">
        <f>IF(BA644="","",IFERROR(INDEX(wTests,575)+0,0))</f>
        <v/>
      </c>
      <c r="BF644" t="str">
        <f>IF(BA644="","",IFERROR(INDEX(wMean,575)+0,""))</f>
        <v/>
      </c>
      <c r="BG644" t="str">
        <f>IF(BA644="","",IFERROR(INDEX(wVs,575)+0,""))</f>
        <v/>
      </c>
      <c r="BH644" t="str">
        <f>IF(OR(BA644="",wLatest=""),"",IFERROR(INDEX(wData,575,MATCH(wLatest&amp;CHAR(10)&amp;"Stanine",wHdr,0))+0,""))</f>
        <v/>
      </c>
      <c r="BI644" t="str">
        <f>IF(BA644="","",IF(AND(ISNUMBER(BG644),N(BE644)&gt;=WlMinTests,BG644&lt;=-WlGap),"Below KS2 starting point",IF(AND(NOT(ISNUMBER(BD644)),ISNUMBER(BF644),N(BE644)&gt;=WlMinTests,BF644&lt;=WlLowMean),"Low results, no KS2 data","")))</f>
        <v/>
      </c>
      <c r="BJ644" t="str">
        <f>IF(BI644="","",IF(BI644="Below KS2 starting point",BG644,100+BF644)+ROW()/1000000)</f>
        <v/>
      </c>
    </row>
    <row r="645">
      <c r="BA645" t="str">
        <f>IFERROR(INDEX(wLast,576)&amp;"","")</f>
        <v/>
      </c>
      <c r="BB645" t="str">
        <f>IF(BA645="","",IFERROR(INDEX(wFirst,576)&amp;"",""))</f>
        <v/>
      </c>
      <c r="BC645" t="str">
        <f>IF(BA645="","",IFERROR(INDEX(wClass,576)&amp;"",""))</f>
        <v/>
      </c>
      <c r="BD645" t="str">
        <f>IF(BA645="","",IFERROR(INDEX(wKS2,576)+0,""))</f>
        <v/>
      </c>
      <c r="BE645" t="str">
        <f>IF(BA645="","",IFERROR(INDEX(wTests,576)+0,0))</f>
        <v/>
      </c>
      <c r="BF645" t="str">
        <f>IF(BA645="","",IFERROR(INDEX(wMean,576)+0,""))</f>
        <v/>
      </c>
      <c r="BG645" t="str">
        <f>IF(BA645="","",IFERROR(INDEX(wVs,576)+0,""))</f>
        <v/>
      </c>
      <c r="BH645" t="str">
        <f>IF(OR(BA645="",wLatest=""),"",IFERROR(INDEX(wData,576,MATCH(wLatest&amp;CHAR(10)&amp;"Stanine",wHdr,0))+0,""))</f>
        <v/>
      </c>
      <c r="BI645" t="str">
        <f>IF(BA645="","",IF(AND(ISNUMBER(BG645),N(BE645)&gt;=WlMinTests,BG645&lt;=-WlGap),"Below KS2 starting point",IF(AND(NOT(ISNUMBER(BD645)),ISNUMBER(BF645),N(BE645)&gt;=WlMinTests,BF645&lt;=WlLowMean),"Low results, no KS2 data","")))</f>
        <v/>
      </c>
      <c r="BJ645" t="str">
        <f>IF(BI645="","",IF(BI645="Below KS2 starting point",BG645,100+BF645)+ROW()/1000000)</f>
        <v/>
      </c>
    </row>
    <row r="646">
      <c r="BA646" t="str">
        <f>IFERROR(INDEX(wLast,577)&amp;"","")</f>
        <v/>
      </c>
      <c r="BB646" t="str">
        <f>IF(BA646="","",IFERROR(INDEX(wFirst,577)&amp;"",""))</f>
        <v/>
      </c>
      <c r="BC646" t="str">
        <f>IF(BA646="","",IFERROR(INDEX(wClass,577)&amp;"",""))</f>
        <v/>
      </c>
      <c r="BD646" t="str">
        <f>IF(BA646="","",IFERROR(INDEX(wKS2,577)+0,""))</f>
        <v/>
      </c>
      <c r="BE646" t="str">
        <f>IF(BA646="","",IFERROR(INDEX(wTests,577)+0,0))</f>
        <v/>
      </c>
      <c r="BF646" t="str">
        <f>IF(BA646="","",IFERROR(INDEX(wMean,577)+0,""))</f>
        <v/>
      </c>
      <c r="BG646" t="str">
        <f>IF(BA646="","",IFERROR(INDEX(wVs,577)+0,""))</f>
        <v/>
      </c>
      <c r="BH646" t="str">
        <f>IF(OR(BA646="",wLatest=""),"",IFERROR(INDEX(wData,577,MATCH(wLatest&amp;CHAR(10)&amp;"Stanine",wHdr,0))+0,""))</f>
        <v/>
      </c>
      <c r="BI646" t="str">
        <f>IF(BA646="","",IF(AND(ISNUMBER(BG646),N(BE646)&gt;=WlMinTests,BG646&lt;=-WlGap),"Below KS2 starting point",IF(AND(NOT(ISNUMBER(BD646)),ISNUMBER(BF646),N(BE646)&gt;=WlMinTests,BF646&lt;=WlLowMean),"Low results, no KS2 data","")))</f>
        <v/>
      </c>
      <c r="BJ646" t="str">
        <f>IF(BI646="","",IF(BI646="Below KS2 starting point",BG646,100+BF646)+ROW()/1000000)</f>
        <v/>
      </c>
    </row>
    <row r="647">
      <c r="BA647" t="str">
        <f>IFERROR(INDEX(wLast,578)&amp;"","")</f>
        <v/>
      </c>
      <c r="BB647" t="str">
        <f>IF(BA647="","",IFERROR(INDEX(wFirst,578)&amp;"",""))</f>
        <v/>
      </c>
      <c r="BC647" t="str">
        <f>IF(BA647="","",IFERROR(INDEX(wClass,578)&amp;"",""))</f>
        <v/>
      </c>
      <c r="BD647" t="str">
        <f>IF(BA647="","",IFERROR(INDEX(wKS2,578)+0,""))</f>
        <v/>
      </c>
      <c r="BE647" t="str">
        <f>IF(BA647="","",IFERROR(INDEX(wTests,578)+0,0))</f>
        <v/>
      </c>
      <c r="BF647" t="str">
        <f>IF(BA647="","",IFERROR(INDEX(wMean,578)+0,""))</f>
        <v/>
      </c>
      <c r="BG647" t="str">
        <f>IF(BA647="","",IFERROR(INDEX(wVs,578)+0,""))</f>
        <v/>
      </c>
      <c r="BH647" t="str">
        <f>IF(OR(BA647="",wLatest=""),"",IFERROR(INDEX(wData,578,MATCH(wLatest&amp;CHAR(10)&amp;"Stanine",wHdr,0))+0,""))</f>
        <v/>
      </c>
      <c r="BI647" t="str">
        <f>IF(BA647="","",IF(AND(ISNUMBER(BG647),N(BE647)&gt;=WlMinTests,BG647&lt;=-WlGap),"Below KS2 starting point",IF(AND(NOT(ISNUMBER(BD647)),ISNUMBER(BF647),N(BE647)&gt;=WlMinTests,BF647&lt;=WlLowMean),"Low results, no KS2 data","")))</f>
        <v/>
      </c>
      <c r="BJ647" t="str">
        <f>IF(BI647="","",IF(BI647="Below KS2 starting point",BG647,100+BF647)+ROW()/1000000)</f>
        <v/>
      </c>
    </row>
    <row r="648">
      <c r="BA648" t="str">
        <f>IFERROR(INDEX(wLast,579)&amp;"","")</f>
        <v/>
      </c>
      <c r="BB648" t="str">
        <f>IF(BA648="","",IFERROR(INDEX(wFirst,579)&amp;"",""))</f>
        <v/>
      </c>
      <c r="BC648" t="str">
        <f>IF(BA648="","",IFERROR(INDEX(wClass,579)&amp;"",""))</f>
        <v/>
      </c>
      <c r="BD648" t="str">
        <f>IF(BA648="","",IFERROR(INDEX(wKS2,579)+0,""))</f>
        <v/>
      </c>
      <c r="BE648" t="str">
        <f>IF(BA648="","",IFERROR(INDEX(wTests,579)+0,0))</f>
        <v/>
      </c>
      <c r="BF648" t="str">
        <f>IF(BA648="","",IFERROR(INDEX(wMean,579)+0,""))</f>
        <v/>
      </c>
      <c r="BG648" t="str">
        <f>IF(BA648="","",IFERROR(INDEX(wVs,579)+0,""))</f>
        <v/>
      </c>
      <c r="BH648" t="str">
        <f>IF(OR(BA648="",wLatest=""),"",IFERROR(INDEX(wData,579,MATCH(wLatest&amp;CHAR(10)&amp;"Stanine",wHdr,0))+0,""))</f>
        <v/>
      </c>
      <c r="BI648" t="str">
        <f>IF(BA648="","",IF(AND(ISNUMBER(BG648),N(BE648)&gt;=WlMinTests,BG648&lt;=-WlGap),"Below KS2 starting point",IF(AND(NOT(ISNUMBER(BD648)),ISNUMBER(BF648),N(BE648)&gt;=WlMinTests,BF648&lt;=WlLowMean),"Low results, no KS2 data","")))</f>
        <v/>
      </c>
      <c r="BJ648" t="str">
        <f>IF(BI648="","",IF(BI648="Below KS2 starting point",BG648,100+BF648)+ROW()/1000000)</f>
        <v/>
      </c>
    </row>
    <row r="649">
      <c r="BA649" t="str">
        <f>IFERROR(INDEX(wLast,580)&amp;"","")</f>
        <v/>
      </c>
      <c r="BB649" t="str">
        <f>IF(BA649="","",IFERROR(INDEX(wFirst,580)&amp;"",""))</f>
        <v/>
      </c>
      <c r="BC649" t="str">
        <f>IF(BA649="","",IFERROR(INDEX(wClass,580)&amp;"",""))</f>
        <v/>
      </c>
      <c r="BD649" t="str">
        <f>IF(BA649="","",IFERROR(INDEX(wKS2,580)+0,""))</f>
        <v/>
      </c>
      <c r="BE649" t="str">
        <f>IF(BA649="","",IFERROR(INDEX(wTests,580)+0,0))</f>
        <v/>
      </c>
      <c r="BF649" t="str">
        <f>IF(BA649="","",IFERROR(INDEX(wMean,580)+0,""))</f>
        <v/>
      </c>
      <c r="BG649" t="str">
        <f>IF(BA649="","",IFERROR(INDEX(wVs,580)+0,""))</f>
        <v/>
      </c>
      <c r="BH649" t="str">
        <f>IF(OR(BA649="",wLatest=""),"",IFERROR(INDEX(wData,580,MATCH(wLatest&amp;CHAR(10)&amp;"Stanine",wHdr,0))+0,""))</f>
        <v/>
      </c>
      <c r="BI649" t="str">
        <f>IF(BA649="","",IF(AND(ISNUMBER(BG649),N(BE649)&gt;=WlMinTests,BG649&lt;=-WlGap),"Below KS2 starting point",IF(AND(NOT(ISNUMBER(BD649)),ISNUMBER(BF649),N(BE649)&gt;=WlMinTests,BF649&lt;=WlLowMean),"Low results, no KS2 data","")))</f>
        <v/>
      </c>
      <c r="BJ649" t="str">
        <f>IF(BI649="","",IF(BI649="Below KS2 starting point",BG649,100+BF649)+ROW()/1000000)</f>
        <v/>
      </c>
    </row>
    <row r="650">
      <c r="BA650" t="str">
        <f>IFERROR(INDEX(wLast,581)&amp;"","")</f>
        <v/>
      </c>
      <c r="BB650" t="str">
        <f>IF(BA650="","",IFERROR(INDEX(wFirst,581)&amp;"",""))</f>
        <v/>
      </c>
      <c r="BC650" t="str">
        <f>IF(BA650="","",IFERROR(INDEX(wClass,581)&amp;"",""))</f>
        <v/>
      </c>
      <c r="BD650" t="str">
        <f>IF(BA650="","",IFERROR(INDEX(wKS2,581)+0,""))</f>
        <v/>
      </c>
      <c r="BE650" t="str">
        <f>IF(BA650="","",IFERROR(INDEX(wTests,581)+0,0))</f>
        <v/>
      </c>
      <c r="BF650" t="str">
        <f>IF(BA650="","",IFERROR(INDEX(wMean,581)+0,""))</f>
        <v/>
      </c>
      <c r="BG650" t="str">
        <f>IF(BA650="","",IFERROR(INDEX(wVs,581)+0,""))</f>
        <v/>
      </c>
      <c r="BH650" t="str">
        <f>IF(OR(BA650="",wLatest=""),"",IFERROR(INDEX(wData,581,MATCH(wLatest&amp;CHAR(10)&amp;"Stanine",wHdr,0))+0,""))</f>
        <v/>
      </c>
      <c r="BI650" t="str">
        <f>IF(BA650="","",IF(AND(ISNUMBER(BG650),N(BE650)&gt;=WlMinTests,BG650&lt;=-WlGap),"Below KS2 starting point",IF(AND(NOT(ISNUMBER(BD650)),ISNUMBER(BF650),N(BE650)&gt;=WlMinTests,BF650&lt;=WlLowMean),"Low results, no KS2 data","")))</f>
        <v/>
      </c>
      <c r="BJ650" t="str">
        <f>IF(BI650="","",IF(BI650="Below KS2 starting point",BG650,100+BF650)+ROW()/1000000)</f>
        <v/>
      </c>
    </row>
    <row r="651">
      <c r="BA651" t="str">
        <f>IFERROR(INDEX(wLast,582)&amp;"","")</f>
        <v/>
      </c>
      <c r="BB651" t="str">
        <f>IF(BA651="","",IFERROR(INDEX(wFirst,582)&amp;"",""))</f>
        <v/>
      </c>
      <c r="BC651" t="str">
        <f>IF(BA651="","",IFERROR(INDEX(wClass,582)&amp;"",""))</f>
        <v/>
      </c>
      <c r="BD651" t="str">
        <f>IF(BA651="","",IFERROR(INDEX(wKS2,582)+0,""))</f>
        <v/>
      </c>
      <c r="BE651" t="str">
        <f>IF(BA651="","",IFERROR(INDEX(wTests,582)+0,0))</f>
        <v/>
      </c>
      <c r="BF651" t="str">
        <f>IF(BA651="","",IFERROR(INDEX(wMean,582)+0,""))</f>
        <v/>
      </c>
      <c r="BG651" t="str">
        <f>IF(BA651="","",IFERROR(INDEX(wVs,582)+0,""))</f>
        <v/>
      </c>
      <c r="BH651" t="str">
        <f>IF(OR(BA651="",wLatest=""),"",IFERROR(INDEX(wData,582,MATCH(wLatest&amp;CHAR(10)&amp;"Stanine",wHdr,0))+0,""))</f>
        <v/>
      </c>
      <c r="BI651" t="str">
        <f>IF(BA651="","",IF(AND(ISNUMBER(BG651),N(BE651)&gt;=WlMinTests,BG651&lt;=-WlGap),"Below KS2 starting point",IF(AND(NOT(ISNUMBER(BD651)),ISNUMBER(BF651),N(BE651)&gt;=WlMinTests,BF651&lt;=WlLowMean),"Low results, no KS2 data","")))</f>
        <v/>
      </c>
      <c r="BJ651" t="str">
        <f>IF(BI651="","",IF(BI651="Below KS2 starting point",BG651,100+BF651)+ROW()/1000000)</f>
        <v/>
      </c>
    </row>
    <row r="652">
      <c r="BA652" t="str">
        <f>IFERROR(INDEX(wLast,583)&amp;"","")</f>
        <v/>
      </c>
      <c r="BB652" t="str">
        <f>IF(BA652="","",IFERROR(INDEX(wFirst,583)&amp;"",""))</f>
        <v/>
      </c>
      <c r="BC652" t="str">
        <f>IF(BA652="","",IFERROR(INDEX(wClass,583)&amp;"",""))</f>
        <v/>
      </c>
      <c r="BD652" t="str">
        <f>IF(BA652="","",IFERROR(INDEX(wKS2,583)+0,""))</f>
        <v/>
      </c>
      <c r="BE652" t="str">
        <f>IF(BA652="","",IFERROR(INDEX(wTests,583)+0,0))</f>
        <v/>
      </c>
      <c r="BF652" t="str">
        <f>IF(BA652="","",IFERROR(INDEX(wMean,583)+0,""))</f>
        <v/>
      </c>
      <c r="BG652" t="str">
        <f>IF(BA652="","",IFERROR(INDEX(wVs,583)+0,""))</f>
        <v/>
      </c>
      <c r="BH652" t="str">
        <f>IF(OR(BA652="",wLatest=""),"",IFERROR(INDEX(wData,583,MATCH(wLatest&amp;CHAR(10)&amp;"Stanine",wHdr,0))+0,""))</f>
        <v/>
      </c>
      <c r="BI652" t="str">
        <f>IF(BA652="","",IF(AND(ISNUMBER(BG652),N(BE652)&gt;=WlMinTests,BG652&lt;=-WlGap),"Below KS2 starting point",IF(AND(NOT(ISNUMBER(BD652)),ISNUMBER(BF652),N(BE652)&gt;=WlMinTests,BF652&lt;=WlLowMean),"Low results, no KS2 data","")))</f>
        <v/>
      </c>
      <c r="BJ652" t="str">
        <f>IF(BI652="","",IF(BI652="Below KS2 starting point",BG652,100+BF652)+ROW()/1000000)</f>
        <v/>
      </c>
    </row>
    <row r="653">
      <c r="BA653" t="str">
        <f>IFERROR(INDEX(wLast,584)&amp;"","")</f>
        <v/>
      </c>
      <c r="BB653" t="str">
        <f>IF(BA653="","",IFERROR(INDEX(wFirst,584)&amp;"",""))</f>
        <v/>
      </c>
      <c r="BC653" t="str">
        <f>IF(BA653="","",IFERROR(INDEX(wClass,584)&amp;"",""))</f>
        <v/>
      </c>
      <c r="BD653" t="str">
        <f>IF(BA653="","",IFERROR(INDEX(wKS2,584)+0,""))</f>
        <v/>
      </c>
      <c r="BE653" t="str">
        <f>IF(BA653="","",IFERROR(INDEX(wTests,584)+0,0))</f>
        <v/>
      </c>
      <c r="BF653" t="str">
        <f>IF(BA653="","",IFERROR(INDEX(wMean,584)+0,""))</f>
        <v/>
      </c>
      <c r="BG653" t="str">
        <f>IF(BA653="","",IFERROR(INDEX(wVs,584)+0,""))</f>
        <v/>
      </c>
      <c r="BH653" t="str">
        <f>IF(OR(BA653="",wLatest=""),"",IFERROR(INDEX(wData,584,MATCH(wLatest&amp;CHAR(10)&amp;"Stanine",wHdr,0))+0,""))</f>
        <v/>
      </c>
      <c r="BI653" t="str">
        <f>IF(BA653="","",IF(AND(ISNUMBER(BG653),N(BE653)&gt;=WlMinTests,BG653&lt;=-WlGap),"Below KS2 starting point",IF(AND(NOT(ISNUMBER(BD653)),ISNUMBER(BF653),N(BE653)&gt;=WlMinTests,BF653&lt;=WlLowMean),"Low results, no KS2 data","")))</f>
        <v/>
      </c>
      <c r="BJ653" t="str">
        <f>IF(BI653="","",IF(BI653="Below KS2 starting point",BG653,100+BF653)+ROW()/1000000)</f>
        <v/>
      </c>
    </row>
    <row r="654">
      <c r="BA654" t="str">
        <f>IFERROR(INDEX(wLast,585)&amp;"","")</f>
        <v/>
      </c>
      <c r="BB654" t="str">
        <f>IF(BA654="","",IFERROR(INDEX(wFirst,585)&amp;"",""))</f>
        <v/>
      </c>
      <c r="BC654" t="str">
        <f>IF(BA654="","",IFERROR(INDEX(wClass,585)&amp;"",""))</f>
        <v/>
      </c>
      <c r="BD654" t="str">
        <f>IF(BA654="","",IFERROR(INDEX(wKS2,585)+0,""))</f>
        <v/>
      </c>
      <c r="BE654" t="str">
        <f>IF(BA654="","",IFERROR(INDEX(wTests,585)+0,0))</f>
        <v/>
      </c>
      <c r="BF654" t="str">
        <f>IF(BA654="","",IFERROR(INDEX(wMean,585)+0,""))</f>
        <v/>
      </c>
      <c r="BG654" t="str">
        <f>IF(BA654="","",IFERROR(INDEX(wVs,585)+0,""))</f>
        <v/>
      </c>
      <c r="BH654" t="str">
        <f>IF(OR(BA654="",wLatest=""),"",IFERROR(INDEX(wData,585,MATCH(wLatest&amp;CHAR(10)&amp;"Stanine",wHdr,0))+0,""))</f>
        <v/>
      </c>
      <c r="BI654" t="str">
        <f>IF(BA654="","",IF(AND(ISNUMBER(BG654),N(BE654)&gt;=WlMinTests,BG654&lt;=-WlGap),"Below KS2 starting point",IF(AND(NOT(ISNUMBER(BD654)),ISNUMBER(BF654),N(BE654)&gt;=WlMinTests,BF654&lt;=WlLowMean),"Low results, no KS2 data","")))</f>
        <v/>
      </c>
      <c r="BJ654" t="str">
        <f>IF(BI654="","",IF(BI654="Below KS2 starting point",BG654,100+BF654)+ROW()/1000000)</f>
        <v/>
      </c>
    </row>
    <row r="655">
      <c r="BA655" t="str">
        <f>IFERROR(INDEX(wLast,586)&amp;"","")</f>
        <v/>
      </c>
      <c r="BB655" t="str">
        <f>IF(BA655="","",IFERROR(INDEX(wFirst,586)&amp;"",""))</f>
        <v/>
      </c>
      <c r="BC655" t="str">
        <f>IF(BA655="","",IFERROR(INDEX(wClass,586)&amp;"",""))</f>
        <v/>
      </c>
      <c r="BD655" t="str">
        <f>IF(BA655="","",IFERROR(INDEX(wKS2,586)+0,""))</f>
        <v/>
      </c>
      <c r="BE655" t="str">
        <f>IF(BA655="","",IFERROR(INDEX(wTests,586)+0,0))</f>
        <v/>
      </c>
      <c r="BF655" t="str">
        <f>IF(BA655="","",IFERROR(INDEX(wMean,586)+0,""))</f>
        <v/>
      </c>
      <c r="BG655" t="str">
        <f>IF(BA655="","",IFERROR(INDEX(wVs,586)+0,""))</f>
        <v/>
      </c>
      <c r="BH655" t="str">
        <f>IF(OR(BA655="",wLatest=""),"",IFERROR(INDEX(wData,586,MATCH(wLatest&amp;CHAR(10)&amp;"Stanine",wHdr,0))+0,""))</f>
        <v/>
      </c>
      <c r="BI655" t="str">
        <f>IF(BA655="","",IF(AND(ISNUMBER(BG655),N(BE655)&gt;=WlMinTests,BG655&lt;=-WlGap),"Below KS2 starting point",IF(AND(NOT(ISNUMBER(BD655)),ISNUMBER(BF655),N(BE655)&gt;=WlMinTests,BF655&lt;=WlLowMean),"Low results, no KS2 data","")))</f>
        <v/>
      </c>
      <c r="BJ655" t="str">
        <f>IF(BI655="","",IF(BI655="Below KS2 starting point",BG655,100+BF655)+ROW()/1000000)</f>
        <v/>
      </c>
    </row>
    <row r="656">
      <c r="BA656" t="str">
        <f>IFERROR(INDEX(wLast,587)&amp;"","")</f>
        <v/>
      </c>
      <c r="BB656" t="str">
        <f>IF(BA656="","",IFERROR(INDEX(wFirst,587)&amp;"",""))</f>
        <v/>
      </c>
      <c r="BC656" t="str">
        <f>IF(BA656="","",IFERROR(INDEX(wClass,587)&amp;"",""))</f>
        <v/>
      </c>
      <c r="BD656" t="str">
        <f>IF(BA656="","",IFERROR(INDEX(wKS2,587)+0,""))</f>
        <v/>
      </c>
      <c r="BE656" t="str">
        <f>IF(BA656="","",IFERROR(INDEX(wTests,587)+0,0))</f>
        <v/>
      </c>
      <c r="BF656" t="str">
        <f>IF(BA656="","",IFERROR(INDEX(wMean,587)+0,""))</f>
        <v/>
      </c>
      <c r="BG656" t="str">
        <f>IF(BA656="","",IFERROR(INDEX(wVs,587)+0,""))</f>
        <v/>
      </c>
      <c r="BH656" t="str">
        <f>IF(OR(BA656="",wLatest=""),"",IFERROR(INDEX(wData,587,MATCH(wLatest&amp;CHAR(10)&amp;"Stanine",wHdr,0))+0,""))</f>
        <v/>
      </c>
      <c r="BI656" t="str">
        <f>IF(BA656="","",IF(AND(ISNUMBER(BG656),N(BE656)&gt;=WlMinTests,BG656&lt;=-WlGap),"Below KS2 starting point",IF(AND(NOT(ISNUMBER(BD656)),ISNUMBER(BF656),N(BE656)&gt;=WlMinTests,BF656&lt;=WlLowMean),"Low results, no KS2 data","")))</f>
        <v/>
      </c>
      <c r="BJ656" t="str">
        <f>IF(BI656="","",IF(BI656="Below KS2 starting point",BG656,100+BF656)+ROW()/1000000)</f>
        <v/>
      </c>
    </row>
    <row r="657">
      <c r="BA657" t="str">
        <f>IFERROR(INDEX(wLast,588)&amp;"","")</f>
        <v/>
      </c>
      <c r="BB657" t="str">
        <f>IF(BA657="","",IFERROR(INDEX(wFirst,588)&amp;"",""))</f>
        <v/>
      </c>
      <c r="BC657" t="str">
        <f>IF(BA657="","",IFERROR(INDEX(wClass,588)&amp;"",""))</f>
        <v/>
      </c>
      <c r="BD657" t="str">
        <f>IF(BA657="","",IFERROR(INDEX(wKS2,588)+0,""))</f>
        <v/>
      </c>
      <c r="BE657" t="str">
        <f>IF(BA657="","",IFERROR(INDEX(wTests,588)+0,0))</f>
        <v/>
      </c>
      <c r="BF657" t="str">
        <f>IF(BA657="","",IFERROR(INDEX(wMean,588)+0,""))</f>
        <v/>
      </c>
      <c r="BG657" t="str">
        <f>IF(BA657="","",IFERROR(INDEX(wVs,588)+0,""))</f>
        <v/>
      </c>
      <c r="BH657" t="str">
        <f>IF(OR(BA657="",wLatest=""),"",IFERROR(INDEX(wData,588,MATCH(wLatest&amp;CHAR(10)&amp;"Stanine",wHdr,0))+0,""))</f>
        <v/>
      </c>
      <c r="BI657" t="str">
        <f>IF(BA657="","",IF(AND(ISNUMBER(BG657),N(BE657)&gt;=WlMinTests,BG657&lt;=-WlGap),"Below KS2 starting point",IF(AND(NOT(ISNUMBER(BD657)),ISNUMBER(BF657),N(BE657)&gt;=WlMinTests,BF657&lt;=WlLowMean),"Low results, no KS2 data","")))</f>
        <v/>
      </c>
      <c r="BJ657" t="str">
        <f>IF(BI657="","",IF(BI657="Below KS2 starting point",BG657,100+BF657)+ROW()/1000000)</f>
        <v/>
      </c>
    </row>
    <row r="658">
      <c r="BA658" t="str">
        <f>IFERROR(INDEX(wLast,589)&amp;"","")</f>
        <v/>
      </c>
      <c r="BB658" t="str">
        <f>IF(BA658="","",IFERROR(INDEX(wFirst,589)&amp;"",""))</f>
        <v/>
      </c>
      <c r="BC658" t="str">
        <f>IF(BA658="","",IFERROR(INDEX(wClass,589)&amp;"",""))</f>
        <v/>
      </c>
      <c r="BD658" t="str">
        <f>IF(BA658="","",IFERROR(INDEX(wKS2,589)+0,""))</f>
        <v/>
      </c>
      <c r="BE658" t="str">
        <f>IF(BA658="","",IFERROR(INDEX(wTests,589)+0,0))</f>
        <v/>
      </c>
      <c r="BF658" t="str">
        <f>IF(BA658="","",IFERROR(INDEX(wMean,589)+0,""))</f>
        <v/>
      </c>
      <c r="BG658" t="str">
        <f>IF(BA658="","",IFERROR(INDEX(wVs,589)+0,""))</f>
        <v/>
      </c>
      <c r="BH658" t="str">
        <f>IF(OR(BA658="",wLatest=""),"",IFERROR(INDEX(wData,589,MATCH(wLatest&amp;CHAR(10)&amp;"Stanine",wHdr,0))+0,""))</f>
        <v/>
      </c>
      <c r="BI658" t="str">
        <f>IF(BA658="","",IF(AND(ISNUMBER(BG658),N(BE658)&gt;=WlMinTests,BG658&lt;=-WlGap),"Below KS2 starting point",IF(AND(NOT(ISNUMBER(BD658)),ISNUMBER(BF658),N(BE658)&gt;=WlMinTests,BF658&lt;=WlLowMean),"Low results, no KS2 data","")))</f>
        <v/>
      </c>
      <c r="BJ658" t="str">
        <f>IF(BI658="","",IF(BI658="Below KS2 starting point",BG658,100+BF658)+ROW()/1000000)</f>
        <v/>
      </c>
    </row>
    <row r="659">
      <c r="BA659" t="str">
        <f>IFERROR(INDEX(wLast,590)&amp;"","")</f>
        <v/>
      </c>
      <c r="BB659" t="str">
        <f>IF(BA659="","",IFERROR(INDEX(wFirst,590)&amp;"",""))</f>
        <v/>
      </c>
      <c r="BC659" t="str">
        <f>IF(BA659="","",IFERROR(INDEX(wClass,590)&amp;"",""))</f>
        <v/>
      </c>
      <c r="BD659" t="str">
        <f>IF(BA659="","",IFERROR(INDEX(wKS2,590)+0,""))</f>
        <v/>
      </c>
      <c r="BE659" t="str">
        <f>IF(BA659="","",IFERROR(INDEX(wTests,590)+0,0))</f>
        <v/>
      </c>
      <c r="BF659" t="str">
        <f>IF(BA659="","",IFERROR(INDEX(wMean,590)+0,""))</f>
        <v/>
      </c>
      <c r="BG659" t="str">
        <f>IF(BA659="","",IFERROR(INDEX(wVs,590)+0,""))</f>
        <v/>
      </c>
      <c r="BH659" t="str">
        <f>IF(OR(BA659="",wLatest=""),"",IFERROR(INDEX(wData,590,MATCH(wLatest&amp;CHAR(10)&amp;"Stanine",wHdr,0))+0,""))</f>
        <v/>
      </c>
      <c r="BI659" t="str">
        <f>IF(BA659="","",IF(AND(ISNUMBER(BG659),N(BE659)&gt;=WlMinTests,BG659&lt;=-WlGap),"Below KS2 starting point",IF(AND(NOT(ISNUMBER(BD659)),ISNUMBER(BF659),N(BE659)&gt;=WlMinTests,BF659&lt;=WlLowMean),"Low results, no KS2 data","")))</f>
        <v/>
      </c>
      <c r="BJ659" t="str">
        <f>IF(BI659="","",IF(BI659="Below KS2 starting point",BG659,100+BF659)+ROW()/1000000)</f>
        <v/>
      </c>
    </row>
    <row r="660">
      <c r="BA660" t="str">
        <f>IFERROR(INDEX(wLast,591)&amp;"","")</f>
        <v/>
      </c>
      <c r="BB660" t="str">
        <f>IF(BA660="","",IFERROR(INDEX(wFirst,591)&amp;"",""))</f>
        <v/>
      </c>
      <c r="BC660" t="str">
        <f>IF(BA660="","",IFERROR(INDEX(wClass,591)&amp;"",""))</f>
        <v/>
      </c>
      <c r="BD660" t="str">
        <f>IF(BA660="","",IFERROR(INDEX(wKS2,591)+0,""))</f>
        <v/>
      </c>
      <c r="BE660" t="str">
        <f>IF(BA660="","",IFERROR(INDEX(wTests,591)+0,0))</f>
        <v/>
      </c>
      <c r="BF660" t="str">
        <f>IF(BA660="","",IFERROR(INDEX(wMean,591)+0,""))</f>
        <v/>
      </c>
      <c r="BG660" t="str">
        <f>IF(BA660="","",IFERROR(INDEX(wVs,591)+0,""))</f>
        <v/>
      </c>
      <c r="BH660" t="str">
        <f>IF(OR(BA660="",wLatest=""),"",IFERROR(INDEX(wData,591,MATCH(wLatest&amp;CHAR(10)&amp;"Stanine",wHdr,0))+0,""))</f>
        <v/>
      </c>
      <c r="BI660" t="str">
        <f>IF(BA660="","",IF(AND(ISNUMBER(BG660),N(BE660)&gt;=WlMinTests,BG660&lt;=-WlGap),"Below KS2 starting point",IF(AND(NOT(ISNUMBER(BD660)),ISNUMBER(BF660),N(BE660)&gt;=WlMinTests,BF660&lt;=WlLowMean),"Low results, no KS2 data","")))</f>
        <v/>
      </c>
      <c r="BJ660" t="str">
        <f>IF(BI660="","",IF(BI660="Below KS2 starting point",BG660,100+BF660)+ROW()/1000000)</f>
        <v/>
      </c>
    </row>
    <row r="661">
      <c r="BA661" t="str">
        <f>IFERROR(INDEX(wLast,592)&amp;"","")</f>
        <v/>
      </c>
      <c r="BB661" t="str">
        <f>IF(BA661="","",IFERROR(INDEX(wFirst,592)&amp;"",""))</f>
        <v/>
      </c>
      <c r="BC661" t="str">
        <f>IF(BA661="","",IFERROR(INDEX(wClass,592)&amp;"",""))</f>
        <v/>
      </c>
      <c r="BD661" t="str">
        <f>IF(BA661="","",IFERROR(INDEX(wKS2,592)+0,""))</f>
        <v/>
      </c>
      <c r="BE661" t="str">
        <f>IF(BA661="","",IFERROR(INDEX(wTests,592)+0,0))</f>
        <v/>
      </c>
      <c r="BF661" t="str">
        <f>IF(BA661="","",IFERROR(INDEX(wMean,592)+0,""))</f>
        <v/>
      </c>
      <c r="BG661" t="str">
        <f>IF(BA661="","",IFERROR(INDEX(wVs,592)+0,""))</f>
        <v/>
      </c>
      <c r="BH661" t="str">
        <f>IF(OR(BA661="",wLatest=""),"",IFERROR(INDEX(wData,592,MATCH(wLatest&amp;CHAR(10)&amp;"Stanine",wHdr,0))+0,""))</f>
        <v/>
      </c>
      <c r="BI661" t="str">
        <f>IF(BA661="","",IF(AND(ISNUMBER(BG661),N(BE661)&gt;=WlMinTests,BG661&lt;=-WlGap),"Below KS2 starting point",IF(AND(NOT(ISNUMBER(BD661)),ISNUMBER(BF661),N(BE661)&gt;=WlMinTests,BF661&lt;=WlLowMean),"Low results, no KS2 data","")))</f>
        <v/>
      </c>
      <c r="BJ661" t="str">
        <f>IF(BI661="","",IF(BI661="Below KS2 starting point",BG661,100+BF661)+ROW()/1000000)</f>
        <v/>
      </c>
    </row>
    <row r="662">
      <c r="BA662" t="str">
        <f>IFERROR(INDEX(wLast,593)&amp;"","")</f>
        <v/>
      </c>
      <c r="BB662" t="str">
        <f>IF(BA662="","",IFERROR(INDEX(wFirst,593)&amp;"",""))</f>
        <v/>
      </c>
      <c r="BC662" t="str">
        <f>IF(BA662="","",IFERROR(INDEX(wClass,593)&amp;"",""))</f>
        <v/>
      </c>
      <c r="BD662" t="str">
        <f>IF(BA662="","",IFERROR(INDEX(wKS2,593)+0,""))</f>
        <v/>
      </c>
      <c r="BE662" t="str">
        <f>IF(BA662="","",IFERROR(INDEX(wTests,593)+0,0))</f>
        <v/>
      </c>
      <c r="BF662" t="str">
        <f>IF(BA662="","",IFERROR(INDEX(wMean,593)+0,""))</f>
        <v/>
      </c>
      <c r="BG662" t="str">
        <f>IF(BA662="","",IFERROR(INDEX(wVs,593)+0,""))</f>
        <v/>
      </c>
      <c r="BH662" t="str">
        <f>IF(OR(BA662="",wLatest=""),"",IFERROR(INDEX(wData,593,MATCH(wLatest&amp;CHAR(10)&amp;"Stanine",wHdr,0))+0,""))</f>
        <v/>
      </c>
      <c r="BI662" t="str">
        <f>IF(BA662="","",IF(AND(ISNUMBER(BG662),N(BE662)&gt;=WlMinTests,BG662&lt;=-WlGap),"Below KS2 starting point",IF(AND(NOT(ISNUMBER(BD662)),ISNUMBER(BF662),N(BE662)&gt;=WlMinTests,BF662&lt;=WlLowMean),"Low results, no KS2 data","")))</f>
        <v/>
      </c>
      <c r="BJ662" t="str">
        <f>IF(BI662="","",IF(BI662="Below KS2 starting point",BG662,100+BF662)+ROW()/1000000)</f>
        <v/>
      </c>
    </row>
    <row r="663">
      <c r="BA663" t="str">
        <f>IFERROR(INDEX(wLast,594)&amp;"","")</f>
        <v/>
      </c>
      <c r="BB663" t="str">
        <f>IF(BA663="","",IFERROR(INDEX(wFirst,594)&amp;"",""))</f>
        <v/>
      </c>
      <c r="BC663" t="str">
        <f>IF(BA663="","",IFERROR(INDEX(wClass,594)&amp;"",""))</f>
        <v/>
      </c>
      <c r="BD663" t="str">
        <f>IF(BA663="","",IFERROR(INDEX(wKS2,594)+0,""))</f>
        <v/>
      </c>
      <c r="BE663" t="str">
        <f>IF(BA663="","",IFERROR(INDEX(wTests,594)+0,0))</f>
        <v/>
      </c>
      <c r="BF663" t="str">
        <f>IF(BA663="","",IFERROR(INDEX(wMean,594)+0,""))</f>
        <v/>
      </c>
      <c r="BG663" t="str">
        <f>IF(BA663="","",IFERROR(INDEX(wVs,594)+0,""))</f>
        <v/>
      </c>
      <c r="BH663" t="str">
        <f>IF(OR(BA663="",wLatest=""),"",IFERROR(INDEX(wData,594,MATCH(wLatest&amp;CHAR(10)&amp;"Stanine",wHdr,0))+0,""))</f>
        <v/>
      </c>
      <c r="BI663" t="str">
        <f>IF(BA663="","",IF(AND(ISNUMBER(BG663),N(BE663)&gt;=WlMinTests,BG663&lt;=-WlGap),"Below KS2 starting point",IF(AND(NOT(ISNUMBER(BD663)),ISNUMBER(BF663),N(BE663)&gt;=WlMinTests,BF663&lt;=WlLowMean),"Low results, no KS2 data","")))</f>
        <v/>
      </c>
      <c r="BJ663" t="str">
        <f>IF(BI663="","",IF(BI663="Below KS2 starting point",BG663,100+BF663)+ROW()/1000000)</f>
        <v/>
      </c>
    </row>
    <row r="664">
      <c r="BA664" t="str">
        <f>IFERROR(INDEX(wLast,595)&amp;"","")</f>
        <v/>
      </c>
      <c r="BB664" t="str">
        <f>IF(BA664="","",IFERROR(INDEX(wFirst,595)&amp;"",""))</f>
        <v/>
      </c>
      <c r="BC664" t="str">
        <f>IF(BA664="","",IFERROR(INDEX(wClass,595)&amp;"",""))</f>
        <v/>
      </c>
      <c r="BD664" t="str">
        <f>IF(BA664="","",IFERROR(INDEX(wKS2,595)+0,""))</f>
        <v/>
      </c>
      <c r="BE664" t="str">
        <f>IF(BA664="","",IFERROR(INDEX(wTests,595)+0,0))</f>
        <v/>
      </c>
      <c r="BF664" t="str">
        <f>IF(BA664="","",IFERROR(INDEX(wMean,595)+0,""))</f>
        <v/>
      </c>
      <c r="BG664" t="str">
        <f>IF(BA664="","",IFERROR(INDEX(wVs,595)+0,""))</f>
        <v/>
      </c>
      <c r="BH664" t="str">
        <f>IF(OR(BA664="",wLatest=""),"",IFERROR(INDEX(wData,595,MATCH(wLatest&amp;CHAR(10)&amp;"Stanine",wHdr,0))+0,""))</f>
        <v/>
      </c>
      <c r="BI664" t="str">
        <f>IF(BA664="","",IF(AND(ISNUMBER(BG664),N(BE664)&gt;=WlMinTests,BG664&lt;=-WlGap),"Below KS2 starting point",IF(AND(NOT(ISNUMBER(BD664)),ISNUMBER(BF664),N(BE664)&gt;=WlMinTests,BF664&lt;=WlLowMean),"Low results, no KS2 data","")))</f>
        <v/>
      </c>
      <c r="BJ664" t="str">
        <f>IF(BI664="","",IF(BI664="Below KS2 starting point",BG664,100+BF664)+ROW()/1000000)</f>
        <v/>
      </c>
    </row>
    <row r="665">
      <c r="BA665" t="str">
        <f>IFERROR(INDEX(wLast,596)&amp;"","")</f>
        <v/>
      </c>
      <c r="BB665" t="str">
        <f>IF(BA665="","",IFERROR(INDEX(wFirst,596)&amp;"",""))</f>
        <v/>
      </c>
      <c r="BC665" t="str">
        <f>IF(BA665="","",IFERROR(INDEX(wClass,596)&amp;"",""))</f>
        <v/>
      </c>
      <c r="BD665" t="str">
        <f>IF(BA665="","",IFERROR(INDEX(wKS2,596)+0,""))</f>
        <v/>
      </c>
      <c r="BE665" t="str">
        <f>IF(BA665="","",IFERROR(INDEX(wTests,596)+0,0))</f>
        <v/>
      </c>
      <c r="BF665" t="str">
        <f>IF(BA665="","",IFERROR(INDEX(wMean,596)+0,""))</f>
        <v/>
      </c>
      <c r="BG665" t="str">
        <f>IF(BA665="","",IFERROR(INDEX(wVs,596)+0,""))</f>
        <v/>
      </c>
      <c r="BH665" t="str">
        <f>IF(OR(BA665="",wLatest=""),"",IFERROR(INDEX(wData,596,MATCH(wLatest&amp;CHAR(10)&amp;"Stanine",wHdr,0))+0,""))</f>
        <v/>
      </c>
      <c r="BI665" t="str">
        <f>IF(BA665="","",IF(AND(ISNUMBER(BG665),N(BE665)&gt;=WlMinTests,BG665&lt;=-WlGap),"Below KS2 starting point",IF(AND(NOT(ISNUMBER(BD665)),ISNUMBER(BF665),N(BE665)&gt;=WlMinTests,BF665&lt;=WlLowMean),"Low results, no KS2 data","")))</f>
        <v/>
      </c>
      <c r="BJ665" t="str">
        <f>IF(BI665="","",IF(BI665="Below KS2 starting point",BG665,100+BF665)+ROW()/1000000)</f>
        <v/>
      </c>
    </row>
    <row r="666">
      <c r="BA666" t="str">
        <f>IFERROR(INDEX(wLast,597)&amp;"","")</f>
        <v/>
      </c>
      <c r="BB666" t="str">
        <f>IF(BA666="","",IFERROR(INDEX(wFirst,597)&amp;"",""))</f>
        <v/>
      </c>
      <c r="BC666" t="str">
        <f>IF(BA666="","",IFERROR(INDEX(wClass,597)&amp;"",""))</f>
        <v/>
      </c>
      <c r="BD666" t="str">
        <f>IF(BA666="","",IFERROR(INDEX(wKS2,597)+0,""))</f>
        <v/>
      </c>
      <c r="BE666" t="str">
        <f>IF(BA666="","",IFERROR(INDEX(wTests,597)+0,0))</f>
        <v/>
      </c>
      <c r="BF666" t="str">
        <f>IF(BA666="","",IFERROR(INDEX(wMean,597)+0,""))</f>
        <v/>
      </c>
      <c r="BG666" t="str">
        <f>IF(BA666="","",IFERROR(INDEX(wVs,597)+0,""))</f>
        <v/>
      </c>
      <c r="BH666" t="str">
        <f>IF(OR(BA666="",wLatest=""),"",IFERROR(INDEX(wData,597,MATCH(wLatest&amp;CHAR(10)&amp;"Stanine",wHdr,0))+0,""))</f>
        <v/>
      </c>
      <c r="BI666" t="str">
        <f>IF(BA666="","",IF(AND(ISNUMBER(BG666),N(BE666)&gt;=WlMinTests,BG666&lt;=-WlGap),"Below KS2 starting point",IF(AND(NOT(ISNUMBER(BD666)),ISNUMBER(BF666),N(BE666)&gt;=WlMinTests,BF666&lt;=WlLowMean),"Low results, no KS2 data","")))</f>
        <v/>
      </c>
      <c r="BJ666" t="str">
        <f>IF(BI666="","",IF(BI666="Below KS2 starting point",BG666,100+BF666)+ROW()/1000000)</f>
        <v/>
      </c>
    </row>
    <row r="667">
      <c r="BA667" t="str">
        <f>IFERROR(INDEX(wLast,598)&amp;"","")</f>
        <v/>
      </c>
      <c r="BB667" t="str">
        <f>IF(BA667="","",IFERROR(INDEX(wFirst,598)&amp;"",""))</f>
        <v/>
      </c>
      <c r="BC667" t="str">
        <f>IF(BA667="","",IFERROR(INDEX(wClass,598)&amp;"",""))</f>
        <v/>
      </c>
      <c r="BD667" t="str">
        <f>IF(BA667="","",IFERROR(INDEX(wKS2,598)+0,""))</f>
        <v/>
      </c>
      <c r="BE667" t="str">
        <f>IF(BA667="","",IFERROR(INDEX(wTests,598)+0,0))</f>
        <v/>
      </c>
      <c r="BF667" t="str">
        <f>IF(BA667="","",IFERROR(INDEX(wMean,598)+0,""))</f>
        <v/>
      </c>
      <c r="BG667" t="str">
        <f>IF(BA667="","",IFERROR(INDEX(wVs,598)+0,""))</f>
        <v/>
      </c>
      <c r="BH667" t="str">
        <f>IF(OR(BA667="",wLatest=""),"",IFERROR(INDEX(wData,598,MATCH(wLatest&amp;CHAR(10)&amp;"Stanine",wHdr,0))+0,""))</f>
        <v/>
      </c>
      <c r="BI667" t="str">
        <f>IF(BA667="","",IF(AND(ISNUMBER(BG667),N(BE667)&gt;=WlMinTests,BG667&lt;=-WlGap),"Below KS2 starting point",IF(AND(NOT(ISNUMBER(BD667)),ISNUMBER(BF667),N(BE667)&gt;=WlMinTests,BF667&lt;=WlLowMean),"Low results, no KS2 data","")))</f>
        <v/>
      </c>
      <c r="BJ667" t="str">
        <f>IF(BI667="","",IF(BI667="Below KS2 starting point",BG667,100+BF667)+ROW()/1000000)</f>
        <v/>
      </c>
    </row>
    <row r="668">
      <c r="BA668" t="str">
        <f>IFERROR(INDEX(wLast,599)&amp;"","")</f>
        <v/>
      </c>
      <c r="BB668" t="str">
        <f>IF(BA668="","",IFERROR(INDEX(wFirst,599)&amp;"",""))</f>
        <v/>
      </c>
      <c r="BC668" t="str">
        <f>IF(BA668="","",IFERROR(INDEX(wClass,599)&amp;"",""))</f>
        <v/>
      </c>
      <c r="BD668" t="str">
        <f>IF(BA668="","",IFERROR(INDEX(wKS2,599)+0,""))</f>
        <v/>
      </c>
      <c r="BE668" t="str">
        <f>IF(BA668="","",IFERROR(INDEX(wTests,599)+0,0))</f>
        <v/>
      </c>
      <c r="BF668" t="str">
        <f>IF(BA668="","",IFERROR(INDEX(wMean,599)+0,""))</f>
        <v/>
      </c>
      <c r="BG668" t="str">
        <f>IF(BA668="","",IFERROR(INDEX(wVs,599)+0,""))</f>
        <v/>
      </c>
      <c r="BH668" t="str">
        <f>IF(OR(BA668="",wLatest=""),"",IFERROR(INDEX(wData,599,MATCH(wLatest&amp;CHAR(10)&amp;"Stanine",wHdr,0))+0,""))</f>
        <v/>
      </c>
      <c r="BI668" t="str">
        <f>IF(BA668="","",IF(AND(ISNUMBER(BG668),N(BE668)&gt;=WlMinTests,BG668&lt;=-WlGap),"Below KS2 starting point",IF(AND(NOT(ISNUMBER(BD668)),ISNUMBER(BF668),N(BE668)&gt;=WlMinTests,BF668&lt;=WlLowMean),"Low results, no KS2 data","")))</f>
        <v/>
      </c>
      <c r="BJ668" t="str">
        <f>IF(BI668="","",IF(BI668="Below KS2 starting point",BG668,100+BF668)+ROW()/1000000)</f>
        <v/>
      </c>
    </row>
    <row r="669">
      <c r="BA669" t="str">
        <f>IFERROR(INDEX(wLast,600)&amp;"","")</f>
        <v/>
      </c>
      <c r="BB669" t="str">
        <f>IF(BA669="","",IFERROR(INDEX(wFirst,600)&amp;"",""))</f>
        <v/>
      </c>
      <c r="BC669" t="str">
        <f>IF(BA669="","",IFERROR(INDEX(wClass,600)&amp;"",""))</f>
        <v/>
      </c>
      <c r="BD669" t="str">
        <f>IF(BA669="","",IFERROR(INDEX(wKS2,600)+0,""))</f>
        <v/>
      </c>
      <c r="BE669" t="str">
        <f>IF(BA669="","",IFERROR(INDEX(wTests,600)+0,0))</f>
        <v/>
      </c>
      <c r="BF669" t="str">
        <f>IF(BA669="","",IFERROR(INDEX(wMean,600)+0,""))</f>
        <v/>
      </c>
      <c r="BG669" t="str">
        <f>IF(BA669="","",IFERROR(INDEX(wVs,600)+0,""))</f>
        <v/>
      </c>
      <c r="BH669" t="str">
        <f>IF(OR(BA669="",wLatest=""),"",IFERROR(INDEX(wData,600,MATCH(wLatest&amp;CHAR(10)&amp;"Stanine",wHdr,0))+0,""))</f>
        <v/>
      </c>
      <c r="BI669" t="str">
        <f>IF(BA669="","",IF(AND(ISNUMBER(BG669),N(BE669)&gt;=WlMinTests,BG669&lt;=-WlGap),"Below KS2 starting point",IF(AND(NOT(ISNUMBER(BD669)),ISNUMBER(BF669),N(BE669)&gt;=WlMinTests,BF669&lt;=WlLowMean),"Low results, no KS2 data","")))</f>
        <v/>
      </c>
      <c r="BJ669" t="str">
        <f>IF(BI669="","",IF(BI669="Below KS2 starting point",BG669,100+BF669)+ROW()/1000000)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Mastery Quiz Tracker generator</dc:creator>
  <dc:title xmlns:dc="http://purl.org/dc/elements/1.1/">Science Mastery Quiz Tracker</dc:title>
  <dc:subject xmlns:dc="http://purl.org/dc/elements/1.1/">Mastery quizzes, Years 7 to 11, 2026-27</dc:subject>
  <dcterms:created xmlns:dcterms="http://purl.org/dc/terms/" xmlns:xsi="http://www.w3.org/2001/XMLSchema-instance" xsi:type="dcterms:W3CDTF">2026-09-29T16:43:55Z</dcterms:created>
  <dcterms:modified xmlns:dcterms="http://purl.org/dc/terms/" xmlns:xsi="http://www.w3.org/2001/XMLSchema-instance" xsi:type="dcterms:W3CDTF">2026-09-29T16:43:55Z</dcterms:modified>
  <cp:lastModifiedBy>Mastery Quiz Tracker generator</cp:lastModifiedBy>
  <cp:keywords>stanine; mastery quiz; KS3; KS4; science</cp:keywords>
</cp:coreProperties>
</file>