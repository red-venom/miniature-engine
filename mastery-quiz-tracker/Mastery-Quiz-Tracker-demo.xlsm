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tables/table5.xml" ContentType="application/vnd.openxmlformats-officedocument.spreadsheetml.table+xml"/>
  <Override PartName="/xl/worksheets/sheet10.xml" ContentType="application/vnd.openxmlformats-officedocument.spreadsheetml.worksheet+xml"/>
  <Override PartName="/xl/tables/table6.xml" ContentType="application/vnd.openxmlformats-officedocument.spreadsheetml.table+xml"/>
  <Override PartName="/xl/worksheets/sheet11.xml" ContentType="application/vnd.openxmlformats-officedocument.spreadsheetml.worksheet+xml"/>
  <Override PartName="/xl/tables/table7.xml" ContentType="application/vnd.openxmlformats-officedocument.spreadsheetml.table+xml"/>
  <Override PartName="/xl/worksheets/sheet12.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slicerCaches/slicerCache3.xml" ContentType="application/vnd.ms-excel.slicerCache+xml"/>
  <Override PartName="/xl/slicerCaches/slicerCache4.xml" ContentType="application/vnd.ms-excel.slicerCache+xml"/>
  <Override PartName="/xl/slicers/slicer2.xml" ContentType="application/vnd.ms-excel.slicer+xml"/>
  <Override PartName="/xl/drawings/drawing3.xml" ContentType="application/vnd.openxmlformats-officedocument.drawing+xml"/>
  <Override PartName="/xl/slicerCaches/slicerCache5.xml" ContentType="application/vnd.ms-excel.slicerCache+xml"/>
  <Override PartName="/xl/slicerCaches/slicerCache6.xml" ContentType="application/vnd.ms-excel.slicerCache+xml"/>
  <Override PartName="/xl/slicers/slicer3.xml" ContentType="application/vnd.ms-excel.slicer+xml"/>
  <Override PartName="/xl/drawings/drawing4.xml" ContentType="application/vnd.openxmlformats-officedocument.drawing+xml"/>
  <Override PartName="/xl/slicerCaches/slicerCache7.xml" ContentType="application/vnd.ms-excel.slicerCache+xml"/>
  <Override PartName="/xl/slicerCaches/slicerCache8.xml" ContentType="application/vnd.ms-excel.slicerCache+xml"/>
  <Override PartName="/xl/slicers/slicer4.xml" ContentType="application/vnd.ms-excel.slicer+xml"/>
  <Override PartName="/xl/drawings/drawing5.xml" ContentType="application/vnd.openxmlformats-officedocument.drawing+xml"/>
  <Override PartName="/xl/slicerCaches/slicerCache9.xml" ContentType="application/vnd.ms-excel.slicerCache+xml"/>
  <Override PartName="/xl/slicerCaches/slicerCache10.xml" ContentType="application/vnd.ms-excel.slicerCache+xml"/>
  <Override PartName="/xl/slicers/slicer5.xml" ContentType="application/vnd.ms-excel.slicer+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7" sheetId="5" state="visible" r:id="rId5"/>
    <sheet xmlns:r="http://schemas.openxmlformats.org/officeDocument/2006/relationships" name="Year 8" sheetId="6" state="visible" r:id="rId6"/>
    <sheet xmlns:r="http://schemas.openxmlformats.org/officeDocument/2006/relationships" name="Year 9" sheetId="7" state="visible" r:id="rId7"/>
    <sheet xmlns:r="http://schemas.openxmlformats.org/officeDocument/2006/relationships" name="Year 10" sheetId="8" state="visible" r:id="rId8"/>
    <sheet xmlns:r="http://schemas.openxmlformats.org/officeDocument/2006/relationships" name="Year 11" sheetId="9" state="visible" r:id="rId9"/>
    <sheet xmlns:r="http://schemas.openxmlformats.org/officeDocument/2006/relationships" name="Assessment Info" sheetId="10" state="visible" r:id="rId10"/>
    <sheet xmlns:r="http://schemas.openxmlformats.org/officeDocument/2006/relationships" name="Settings" sheetId="11" state="visible" r:id="rId11"/>
    <sheet xmlns:r="http://schemas.openxmlformats.org/officeDocument/2006/relationships" name="Calc" sheetId="12" state="hidden" r:id="rId12"/>
  </sheets>
  <definedNames>
    <definedName name="YearNames">Calc!$B$3:$B$7</definedName>
    <definedName name="MeasureList">Calc!$E$3:$E$5</definedName>
    <definedName name="SlopeY7">Calc!$BT$3</definedName>
    <definedName name="InterceptY7">Calc!$BU$3</definedName>
    <definedName name="SlopeY8">Calc!$BT$4</definedName>
    <definedName name="InterceptY8">Calc!$BU$4</definedName>
    <definedName name="SlopeY9">Calc!$BT$5</definedName>
    <definedName name="InterceptY9">Calc!$BU$5</definedName>
    <definedName name="SlopeY10">Calc!$BT$6</definedName>
    <definedName name="InterceptY10">Calc!$BU$6</definedName>
    <definedName name="SlopeY11">Calc!$BT$7</definedName>
    <definedName name="InterceptY11">Calc!$BU$7</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7">Calc!$S$3:$S$10</definedName>
    <definedName name="ClassSlotsY8">Calc!$T$3:$T$10</definedName>
    <definedName name="ClassSlotsY9">Calc!$U$3:$U$10</definedName>
    <definedName name="ClassSlotsY10">Calc!$V$3:$V$10</definedName>
    <definedName name="ClassSlotsY11">Calc!$W$3:$W$10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CHOOSE(dYear,tblY7[#Data],tblY8[#Data],tblY9[#Data],tblY10[#Data],tblY11[#Data])</definedName>
    <definedName name="dHdr">CHOOSE(dYear,tblY7[#Headers],tblY8[#Headers],tblY9[#Headers],tblY10[#Headers],tblY11[#Headers])</definedName>
    <definedName name="dClass">CHOOSE(dYear,tblY7[Class],tblY8[Class],tblY9[Class],tblY10[Class],tblY11[Class])</definedName>
    <definedName name="dLast">CHOOSE(dYear,tblY7[Preferred Last name],tblY8[Preferred Last name],tblY9[Preferred Last name],tblY10[Preferred Last name],tblY11[Preferred Last name])</definedName>
    <definedName name="dFirst">CHOOSE(dYear,tblY7[Preferred First name],tblY8[Preferred First name],tblY9[Preferred First name],tblY10[Preferred First name],tblY11[Preferred First name])</definedName>
    <definedName name="dMean">CHOOSE(dYear,tblY7[Mean Stanine],tblY8[Mean Stanine],tblY9[Mean Stanine],tblY10[Mean Stanine],tblY11[Mean Stanine])</definedName>
    <definedName name="dVs">CHOOSE(dYear,tblY7[vs Expected],tblY8[vs Expected],tblY9[vs Expected],tblY10[vs Expected],tblY11[vs Expected])</definedName>
    <definedName name="dKsBand">CHOOSE(dYear,tblY7[Avg KS2 Band],tblY8[Avg KS2 Band],tblY9[Avg KS2 Band],tblY10[Avg KS2 Band],tblY11[Avg KS2 Band])</definedName>
    <definedName name="dPP">CHOOSE(dYear,tblY7[PP Deprivation],tblY8[PP Deprivation],tblY9[PP Deprivation],tblY10[PP Deprivation],tblY11[PP Deprivation])</definedName>
    <definedName name="dSEN">CHOOSE(dYear,tblY7[SEN Status Code],tblY8[SEN Status Code],tblY9[SEN Status Code],tblY10[SEN Status Code],tblY11[SEN Status Code])</definedName>
    <definedName name="dSex">CHOOSE(dYear,tblY7[Sex Code],tblY8[Sex Code],tblY9[Sex Code],tblY10[Sex Code],tblY11[Sex Code])</definedName>
    <definedName name="dTests">CHOOSE(dYear,tblY7[Tests Sat],tblY8[Tests Sat],tblY9[Tests Sat],tblY10[Tests Sat],tblY11[Tests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CHOOSE(wYear,tblY7[#Data],tblY8[#Data],tblY9[#Data],tblY10[#Data],tblY11[#Data])</definedName>
    <definedName name="wHdr">CHOOSE(wYear,tblY7[#Headers],tblY8[#Headers],tblY9[#Headers],tblY10[#Headers],tblY11[#Headers])</definedName>
    <definedName name="wLast">CHOOSE(wYear,tblY7[Preferred Last name],tblY8[Preferred Last name],tblY9[Preferred Last name],tblY10[Preferred Last name],tblY11[Preferred Last name])</definedName>
    <definedName name="wFirst">CHOOSE(wYear,tblY7[Preferred First name],tblY8[Preferred First name],tblY9[Preferred First name],tblY10[Preferred First name],tblY11[Preferred First name])</definedName>
    <definedName name="wClass">CHOOSE(wYear,tblY7[Class],tblY8[Class],tblY9[Class],tblY10[Class],tblY11[Class])</definedName>
    <definedName name="wKsBand">CHOOSE(wYear,tblY7[Avg KS2 Band],tblY8[Avg KS2 Band],tblY9[Avg KS2 Band],tblY10[Avg KS2 Band],tblY11[Avg KS2 Band])</definedName>
    <definedName name="wTests">CHOOSE(wYear,tblY7[Tests Sat],tblY8[Tests Sat],tblY9[Tests Sat],tblY10[Tests Sat],tblY11[Tests Sat])</definedName>
    <definedName name="wMean">CHOOSE(wYear,tblY7[Mean Stanine],tblY8[Mean Stanine],tblY9[Mean Stanine],tblY10[Mean Stanine],tblY11[Mean Stanine])</definedName>
    <definedName name="wVs">CHOOSE(wYear,tblY7[vs Expected],tblY8[vs Expected],tblY9[vs Expected],tblY10[vs Expected],tblY11[vs Expected])</definedName>
    <definedName name="wLatest">INDEX(Calc!$AF$3:$AF$7,wYear)</definedName>
    <definedName name="wlCount">Calc!$BA$67</definedName>
    <definedName name="_xlnm.Print_Titles" localSheetId="4">'Year 7'!$1:$1,'Year 7'!$A:$C</definedName>
    <definedName name="_xlnm.Print_Titles" localSheetId="5">'Year 8'!$1:$1,'Year 8'!$A:$C</definedName>
    <definedName name="_xlnm.Print_Titles" localSheetId="6">'Year 9'!$1:$1,'Year 9'!$A:$C</definedName>
    <definedName name="_xlnm.Print_Titles" localSheetId="7">'Year 10'!$1:$1,'Year 10'!$A:$C</definedName>
    <definedName name="_xlnm.Print_Titles" localSheetId="8">'Year 11'!$1:$1,'Year 11'!$A:$C</definedName>
    <definedName name="chTrendCats" localSheetId="11">OFFSET(Calc!$AK$3,0,0,MAX(1,MIN(60,Calc!$AA$64)),1)</definedName>
    <definedName name="chTrendYear" localSheetId="11">OFFSET(Calc!$AL$3,0,0,MAX(1,MIN(60,Calc!$AA$64)),1)</definedName>
    <definedName name="chTrendClass" localSheetId="11">OFFSET(Calc!$AM$3,0,0,MAX(1,MIN(60,Calc!$AA$64)),1)</definedName>
    <definedName name="chClassCats" localSheetId="11">OFFSET(Calc!$AO$3,0,0,1+Calc!$Y$12,1)</definedName>
    <definedName name="chClassVals" localSheetId="11">OFFSET(Calc!$AP$3,0,0,1+Calc!$Y$12,1)</definedName>
    <definedName name="Slicer_Class_Y7">#N/A</definedName>
    <definedName name="Slicer_KS2_Band_Y7">#N/A</definedName>
    <definedName name="Slicer_Class_Y8">#N/A</definedName>
    <definedName name="Slicer_KS2_Band_Y8">#N/A</definedName>
    <definedName name="Slicer_Class_Y9">#N/A</definedName>
    <definedName name="Slicer_KS2_Band_Y9">#N/A</definedName>
    <definedName name="Slicer_Class_Y10">#N/A</definedName>
    <definedName name="Slicer_KS2_Band_Y10">#N/A</definedName>
    <definedName name="Slicer_Class_Y11">#N/A</definedName>
    <definedName name="Slicer_KS2_Band_Y11">#N/A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5"/>
        <x14:slicerCache xmlns:r="http://schemas.openxmlformats.org/officeDocument/2006/relationships" r:id="rId16"/>
        <x14:slicerCache xmlns:r="http://schemas.openxmlformats.org/officeDocument/2006/relationships" r:id="rId17"/>
        <x14:slicerCache xmlns:r="http://schemas.openxmlformats.org/officeDocument/2006/relationships" r:id="rId18"/>
        <x14:slicerCache xmlns:r="http://schemas.openxmlformats.org/officeDocument/2006/relationships" r:id="rId19"/>
        <x14:slicerCache xmlns:r="http://schemas.openxmlformats.org/officeDocument/2006/relationships" r:id="rId20"/>
        <x14:slicerCache xmlns:r="http://schemas.openxmlformats.org/officeDocument/2006/relationships" r:id="rId21"/>
        <x14:slicerCache xmlns:r="http://schemas.openxmlformats.org/officeDocument/2006/relationships" r:id="rId22"/>
        <x14:slicerCache xmlns:r="http://schemas.openxmlformats.org/officeDocument/2006/relationships" r:id="rId23"/>
        <x14:slicerCache xmlns:r="http://schemas.openxmlformats.org/officeDocument/2006/relationships" r:id="rId24"/>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Id="rId15" Type="http://schemas.microsoft.com/office/2007/relationships/slicerCache" Target="slicerCaches/slicerCache1.xml"/><Relationship Id="rId16" Type="http://schemas.microsoft.com/office/2007/relationships/slicerCache" Target="slicerCaches/slicerCache2.xml"/><Relationship Id="rId17" Type="http://schemas.microsoft.com/office/2007/relationships/slicerCache" Target="slicerCaches/slicerCache3.xml"/><Relationship Id="rId18" Type="http://schemas.microsoft.com/office/2007/relationships/slicerCache" Target="slicerCaches/slicerCache4.xml"/><Relationship Id="rId19" Type="http://schemas.microsoft.com/office/2007/relationships/slicerCache" Target="slicerCaches/slicerCache5.xml"/><Relationship Id="rId20" Type="http://schemas.microsoft.com/office/2007/relationships/slicerCache" Target="slicerCaches/slicerCache6.xml"/><Relationship Id="rId21" Type="http://schemas.microsoft.com/office/2007/relationships/slicerCache" Target="slicerCaches/slicerCache7.xml"/><Relationship Id="rId22" Type="http://schemas.microsoft.com/office/2007/relationships/slicerCache" Target="slicerCaches/slicerCache8.xml"/><Relationship Id="rId23" Type="http://schemas.microsoft.com/office/2007/relationships/slicerCache" Target="slicerCaches/slicerCache9.xml"/><Relationship Id="rId24" Type="http://schemas.microsoft.com/office/2007/relationships/slicerCache" Target="slicerCaches/slicerCache10.xml"/><Relationship Id="rId25"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7"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7"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7"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7"/>
            <xdr:cNvGraphicFramePr/>
          </xdr:nvGraphicFramePr>
          <xdr:xfrm>
            <a:off x="0" y="0"/>
            <a:ext cx="0" cy="0"/>
          </xdr:xfrm>
          <a:graphic>
            <a:graphicData uri="http://schemas.microsoft.com/office/drawing/2010/slicer">
              <sle:slicer xmlns:sle="http://schemas.microsoft.com/office/drawing/2010/slicer" name="Class Y7"/>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7"/>
            <xdr:cNvGraphicFramePr/>
          </xdr:nvGraphicFramePr>
          <xdr:xfrm>
            <a:off x="0" y="0"/>
            <a:ext cx="0" cy="0"/>
          </xdr:xfrm>
          <a:graphic>
            <a:graphicData uri="http://schemas.microsoft.com/office/drawing/2010/slicer">
              <sle:slicer xmlns:sle="http://schemas.microsoft.com/office/drawing/2010/slicer" name="KS2 band Y7"/>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8"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8"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8"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8"/>
            <xdr:cNvGraphicFramePr/>
          </xdr:nvGraphicFramePr>
          <xdr:xfrm>
            <a:off x="0" y="0"/>
            <a:ext cx="0" cy="0"/>
          </xdr:xfrm>
          <a:graphic>
            <a:graphicData uri="http://schemas.microsoft.com/office/drawing/2010/slicer">
              <sle:slicer xmlns:sle="http://schemas.microsoft.com/office/drawing/2010/slicer" name="Class Y8"/>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8"/>
            <xdr:cNvGraphicFramePr/>
          </xdr:nvGraphicFramePr>
          <xdr:xfrm>
            <a:off x="0" y="0"/>
            <a:ext cx="0" cy="0"/>
          </xdr:xfrm>
          <a:graphic>
            <a:graphicData uri="http://schemas.microsoft.com/office/drawing/2010/slicer">
              <sle:slicer xmlns:sle="http://schemas.microsoft.com/office/drawing/2010/slicer" name="KS2 band Y8"/>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9"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9"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9"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9"/>
            <xdr:cNvGraphicFramePr/>
          </xdr:nvGraphicFramePr>
          <xdr:xfrm>
            <a:off x="0" y="0"/>
            <a:ext cx="0" cy="0"/>
          </xdr:xfrm>
          <a:graphic>
            <a:graphicData uri="http://schemas.microsoft.com/office/drawing/2010/slicer">
              <sle:slicer xmlns:sle="http://schemas.microsoft.com/office/drawing/2010/slicer" name="Class Y9"/>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9"/>
            <xdr:cNvGraphicFramePr/>
          </xdr:nvGraphicFramePr>
          <xdr:xfrm>
            <a:off x="0" y="0"/>
            <a:ext cx="0" cy="0"/>
          </xdr:xfrm>
          <a:graphic>
            <a:graphicData uri="http://schemas.microsoft.com/office/drawing/2010/slicer">
              <sle:slicer xmlns:sle="http://schemas.microsoft.com/office/drawing/2010/slicer" name="KS2 band Y9"/>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0"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0"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0"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0"/>
            <xdr:cNvGraphicFramePr/>
          </xdr:nvGraphicFramePr>
          <xdr:xfrm>
            <a:off x="0" y="0"/>
            <a:ext cx="0" cy="0"/>
          </xdr:xfrm>
          <a:graphic>
            <a:graphicData uri="http://schemas.microsoft.com/office/drawing/2010/slicer">
              <sle:slicer xmlns:sle="http://schemas.microsoft.com/office/drawing/2010/slicer" name="Class Y10"/>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0"/>
            <xdr:cNvGraphicFramePr/>
          </xdr:nvGraphicFramePr>
          <xdr:xfrm>
            <a:off x="0" y="0"/>
            <a:ext cx="0" cy="0"/>
          </xdr:xfrm>
          <a:graphic>
            <a:graphicData uri="http://schemas.microsoft.com/office/drawing/2010/slicer">
              <sle:slicer xmlns:sle="http://schemas.microsoft.com/office/drawing/2010/slicer" name="KS2 band Y10"/>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1"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1"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1"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1"/>
            <xdr:cNvGraphicFramePr/>
          </xdr:nvGraphicFramePr>
          <xdr:xfrm>
            <a:off x="0" y="0"/>
            <a:ext cx="0" cy="0"/>
          </xdr:xfrm>
          <a:graphic>
            <a:graphicData uri="http://schemas.microsoft.com/office/drawing/2010/slicer">
              <sle:slicer xmlns:sle="http://schemas.microsoft.com/office/drawing/2010/slicer" name="Class Y11"/>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1"/>
            <xdr:cNvGraphicFramePr/>
          </xdr:nvGraphicFramePr>
          <xdr:xfrm>
            <a:off x="0" y="0"/>
            <a:ext cx="0" cy="0"/>
          </xdr:xfrm>
          <a:graphic>
            <a:graphicData uri="http://schemas.microsoft.com/office/drawing/2010/slicer">
              <sle:slicer xmlns:sle="http://schemas.microsoft.com/office/drawing/2010/slicer" name="KS2 band Y11"/>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7" xr10:uid="{459E884D-AF2A-5E7A-978F-2070A4372859}"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7" xr10:uid="{EAC99B30-8C94-5AC2-8608-4F35DFE1B45F}" sourceName="Avg KS2 Band">
  <extLst>
    <x:ext xmlns:x15="http://schemas.microsoft.com/office/spreadsheetml/2010/11/main" uri="{2F2917AC-EB37-4324-AD4E-5DD8C200BD13}">
      <x15:tableSlicerCache tableId="1"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8" xr10:uid="{F51D6ADB-C082-5080-B865-B08A198E4735}" sourceName="Class">
  <extLst>
    <x:ext xmlns:x15="http://schemas.microsoft.com/office/spreadsheetml/2010/11/main" uri="{2F2917AC-EB37-4324-AD4E-5DD8C200BD13}">
      <x15:tableSlicerCache tableId="2" column="10"/>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8" xr10:uid="{56987B36-2A76-5972-A583-E5F7B98ED1D0}" sourceName="Avg KS2 Band">
  <extLst>
    <x:ext xmlns:x15="http://schemas.microsoft.com/office/spreadsheetml/2010/11/main" uri="{2F2917AC-EB37-4324-AD4E-5DD8C200BD13}">
      <x15:tableSlicerCache tableId="2" column="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9" xr10:uid="{F06F45CF-1CD5-5B6E-B9EB-FCAB83065B64}" sourceName="Class">
  <extLst>
    <x:ext xmlns:x15="http://schemas.microsoft.com/office/spreadsheetml/2010/11/main" uri="{2F2917AC-EB37-4324-AD4E-5DD8C200BD13}">
      <x15:tableSlicerCache tableId="3" column="1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9" xr10:uid="{184449B5-BBFC-5FEE-AFC5-50D440B052DD}" sourceName="Avg KS2 Band">
  <extLst>
    <x:ext xmlns:x15="http://schemas.microsoft.com/office/spreadsheetml/2010/11/main" uri="{2F2917AC-EB37-4324-AD4E-5DD8C200BD13}">
      <x15:tableSlicerCache tableId="3" column="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0" xr10:uid="{4988FFA0-0340-55EB-8464-C2ABFB0798F3}" sourceName="Class">
  <extLst>
    <x:ext xmlns:x15="http://schemas.microsoft.com/office/spreadsheetml/2010/11/main" uri="{2F2917AC-EB37-4324-AD4E-5DD8C200BD13}">
      <x15:tableSlicerCache tableId="4" column="1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0" xr10:uid="{81749821-E2F6-5C29-B210-01C353AE310A}" sourceName="Avg KS2 Band">
  <extLst>
    <x:ext xmlns:x15="http://schemas.microsoft.com/office/spreadsheetml/2010/11/main" uri="{2F2917AC-EB37-4324-AD4E-5DD8C200BD13}">
      <x15:tableSlicerCache tableId="4" column="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1" xr10:uid="{07DA8BA2-51FF-584F-8800-CB8ABD150093}" sourceName="Class">
  <extLst>
    <x:ext xmlns:x15="http://schemas.microsoft.com/office/spreadsheetml/2010/11/main" uri="{2F2917AC-EB37-4324-AD4E-5DD8C200BD13}">
      <x15:tableSlicerCache tableId="5" column="10"/>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1" xr10:uid="{4081D256-CD66-51E4-9A45-1900366F67E9}" sourceName="Avg KS2 Band">
  <extLst>
    <x:ext xmlns:x15="http://schemas.microsoft.com/office/spreadsheetml/2010/11/main" uri="{2F2917AC-EB37-4324-AD4E-5DD8C200BD13}">
      <x15:tableSlicerCache tableId="5"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7" xr10:uid="{D40A900E-8AC2-5741-86D2-F39CC6B52D6C}" cache="Slicer_Class_Y7" caption="Class" columnCount="2" rowHeight="180000"/>
  <slicer name="KS2 band Y7" xr10:uid="{136E8388-3454-53F8-BB10-58125B86736F}" cache="Slicer_KS2_Band_Y7" caption="KS2 band" columnCount="3"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8" xr10:uid="{7864745B-A799-5AAB-BC0F-C9CC67988C62}" cache="Slicer_Class_Y8" caption="Class" columnCount="2" rowHeight="180000"/>
  <slicer name="KS2 band Y8" xr10:uid="{241C133D-DC48-5759-9171-78ED1C85CF32}" cache="Slicer_KS2_Band_Y8" caption="KS2 band" columnCount="3"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9" xr10:uid="{B6942A54-9527-5C93-9C42-635D95314EA9}" cache="Slicer_Class_Y9" caption="Class" columnCount="2" rowHeight="180000"/>
  <slicer name="KS2 band Y9" xr10:uid="{151BD481-8DBF-59E4-811A-66C1DE37CD49}" cache="Slicer_KS2_Band_Y9" caption="KS2 band" columnCount="3"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0" xr10:uid="{0A2CAA3B-9518-5E9F-AC54-25DBC99ADB6A}" cache="Slicer_Class_Y10" caption="Class" columnCount="2" rowHeight="180000"/>
  <slicer name="KS2 band Y10" xr10:uid="{BCB59843-DD83-5C9C-B5E9-9C1501B71539}" cache="Slicer_KS2_Band_Y10" caption="KS2 band" columnCount="3"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1" xr10:uid="{64833ADC-5430-5142-B21A-9B651EFE0E51}" cache="Slicer_Class_Y11" caption="Class" columnCount="2" rowHeight="180000"/>
  <slicer name="KS2 band Y11" xr10:uid="{506D604A-20C2-5B60-83A8-BD7872FE6EAB}" cache="Slicer_KS2_Band_Y11" caption="KS2 band" columnCount="3" rowHeight="180000"/>
</slicers>
</file>

<file path=xl/tables/table1.xml><?xml version="1.0" encoding="utf-8"?>
<table xmlns="http://schemas.openxmlformats.org/spreadsheetml/2006/main" id="1" name="tblY7" displayName="tblY7" ref="A1:U132" headerRowCount="1">
  <autoFilter ref="A1:U132"/>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IF(ISNUMBER(tblY7[[#This Row],[Avg KS2]]),IFERROR(VLOOKUP(ROUND(STANDARDIZE(tblY7[[#This Row],[Avg KS2]],AVERAGE(tblY7[[Avg KS2]]),_xlfn.STDEV.P(tblY7[[Avg KS2]])),9),_Stanine,2),5),"")</calculatedColumnFormula>
    </tableColumn>
    <tableColumn id="10" name="Class"/>
    <tableColumn id="11" name="Tests Sat">
      <calculatedColumnFormula>IF(tblY7[[#This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IF(AND(ISNUMBER(tblY7[[#This Row],[Mean Stanine]]),ISNUMBER(tblY7[[#This Row],[Avg KS2 Band]]),ISNUMBER(SlopeY7)),tblY7[[#This Row],[Mean Stanine]]-(InterceptY7+SlopeY7*tblY7[[#This Row],[Avg KS2 Band]]),"")</calculatedColumnFormula>
    </tableColumn>
    <tableColumn id="14" name="7B01 - Cells_x000a_Raw Score"/>
    <tableColumn id="15" name="7B01 - Cells_x000a_Stanine">
      <calculatedColumnFormula>IF(ISNUMBER(tblY7[[#This Row],[7B01 - Cells
Raw Score]]),IFERROR(VLOOKUP(ROUND(STANDARDIZE(tblY7[[#This Row],[7B01 - Cells
Raw Score]],AVERAGE(tblY7[[7B01 - Cells
Raw Score]]),_xlfn.STDEV.P(tblY7[[7B01 - Cells
Raw Score]])),9),_Stanine,2),5),"")</calculatedColumnFormula>
    </tableColumn>
    <tableColumn id="16" name="7C01 - Particles_x000a_Raw Score"/>
    <tableColumn id="17" name="7C01 - Particles_x000a_Stanine">
      <calculatedColumnFormula>IF(ISNUMBER(tblY7[[#This Row],[7C01 - Particles
Raw Score]]),IFERROR(VLOOKUP(ROUND(STANDARDIZE(tblY7[[#This Row],[7C01 - Particles
Raw Score]],AVERAGE(tblY7[[7C01 - Particles
Raw Score]]),_xlfn.STDEV.P(tblY7[[7C01 - Particles
Raw Score]])),9),_Stanine,2),5),"")</calculatedColumnFormula>
    </tableColumn>
    <tableColumn id="18" name="7P01 - Forces_x000a_Raw Score"/>
    <tableColumn id="19" name="7P01 - Forces_x000a_Stanine">
      <calculatedColumnFormula>IF(ISNUMBER(tblY7[[#This Row],[7P01 - Forces
Raw Score]]),IFERROR(VLOOKUP(ROUND(STANDARDIZE(tblY7[[#This Row],[7P01 - Forces
Raw Score]],AVERAGE(tblY7[[7P01 - Forces
Raw Score]]),_xlfn.STDEV.P(tblY7[[7P01 - Forces
Raw Score]])),9),_Stanine,2),5),"")</calculatedColumnFormula>
    </tableColumn>
    <tableColumn id="20" name="7B02 - Organ Systems_x000a_Raw Score"/>
    <tableColumn id="21" name="7B02 - Organ Systems_x000a_Stanine">
      <calculatedColumnFormula>IF(ISNUMBER(tblY7[[#This Row],[7B02 - Organ Systems
Raw Score]]),IFERROR(VLOOKUP(ROUND(STANDARDIZE(tblY7[[#This Row],[7B02 - Organ Systems
Raw Score]],AVERAGE(tblY7[[7B02 - Organ Systems
Raw Score]]),_xlfn.STDEV.P(tblY7[[7B02 - Organ Systems
Raw Score]])),9),_Stanine,2),5),"")</calculatedColumnFormula>
    </tableColumn>
  </tableColumns>
  <tableStyleInfo name="TableStyleLight1" showRowStripes="1"/>
</table>
</file>

<file path=xl/tables/table2.xml><?xml version="1.0" encoding="utf-8"?>
<table xmlns="http://schemas.openxmlformats.org/spreadsheetml/2006/main" id="2" name="tblY8" displayName="tblY8" ref="A1:W94" headerRowCount="1">
  <autoFilter ref="A1:W94"/>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IF(ISNUMBER(tblY8[[#This Row],[Avg KS2]]),IFERROR(VLOOKUP(ROUND(STANDARDIZE(tblY8[[#This Row],[Avg KS2]],AVERAGE(tblY8[[Avg KS2]]),_xlfn.STDEV.P(tblY8[[Avg KS2]])),9),_Stanine,2),5),"")</calculatedColumnFormula>
    </tableColumn>
    <tableColumn id="10" name="Class"/>
    <tableColumn id="11" name="Tests Sat">
      <calculatedColumnFormula>IF(tblY8[[#This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IF(AND(ISNUMBER(tblY8[[#This Row],[Mean Stanine]]),ISNUMBER(tblY8[[#This Row],[Avg KS2 Band]]),ISNUMBER(SlopeY8)),tblY8[[#This Row],[Mean Stanine]]-(InterceptY8+SlopeY8*tblY8[[#This Row],[Avg KS2 Band]]),"")</calculatedColumnFormula>
    </tableColumn>
    <tableColumn id="14" name="8C01 - Periodic Table_x000a_Raw Score"/>
    <tableColumn id="15" name="8C01 - Periodic Table_x000a_Stanine">
      <calculatedColumnFormula>IF(ISNUMBER(tblY8[[#This Row],[8C01 - Periodic Table
Raw Score]]),IFERROR(VLOOKUP(ROUND(STANDARDIZE(tblY8[[#This Row],[8C01 - Periodic Table
Raw Score]],AVERAGE(tblY8[[8C01 - Periodic Table
Raw Score]]),_xlfn.STDEV.P(tblY8[[8C01 - Periodic Table
Raw Score]])),9),_Stanine,2),5),"")</calculatedColumnFormula>
    </tableColumn>
    <tableColumn id="16" name="8P01 - Energy_x000a_Raw Score"/>
    <tableColumn id="17" name="8P01 - Energy_x000a_Stanine">
      <calculatedColumnFormula>IF(ISNUMBER(tblY8[[#This Row],[8P01 - Energy
Raw Score]]),IFERROR(VLOOKUP(ROUND(STANDARDIZE(tblY8[[#This Row],[8P01 - Energy
Raw Score]],AVERAGE(tblY8[[8P01 - Energy
Raw Score]]),_xlfn.STDEV.P(tblY8[[8P01 - Energy
Raw Score]])),9),_Stanine,2),5),"")</calculatedColumnFormula>
    </tableColumn>
    <tableColumn id="18" name="8B01 - Digestion_x000a_Raw Score"/>
    <tableColumn id="19" name="8B01 - Digestion_x000a_Stanine">
      <calculatedColumnFormula>IF(ISNUMBER(tblY8[[#This Row],[8B01 - Digestion
Raw Score]]),IFERROR(VLOOKUP(ROUND(STANDARDIZE(tblY8[[#This Row],[8B01 - Digestion
Raw Score]],AVERAGE(tblY8[[8B01 - Digestion
Raw Score]]),_xlfn.STDEV.P(tblY8[[8B01 - Digestion
Raw Score]])),9),_Stanine,2),5),"")</calculatedColumnFormula>
    </tableColumn>
    <tableColumn id="20" name="8C02 - Metals and Acids_x000a_Raw Score"/>
    <tableColumn id="21" name="8C02 - Metals and Acids_x000a_Stanine">
      <calculatedColumnFormula>IF(ISNUMBER(tblY8[[#This Row],[8C02 - Metals and Acids
Raw Score]]),IFERROR(VLOOKUP(ROUND(STANDARDIZE(tblY8[[#This Row],[8C02 - Metals and Acids
Raw Score]],AVERAGE(tblY8[[8C02 - Metals and Acids
Raw Score]]),_xlfn.STDEV.P(tblY8[[8C02 - Metals and Acids
Raw Score]])),9),_Stanine,2),5),"")</calculatedColumnFormula>
    </tableColumn>
    <tableColumn id="22" name="8P02 - Light_x000a_Raw Score"/>
    <tableColumn id="23" name="8P02 - Light_x000a_Stanine">
      <calculatedColumnFormula>IF(ISNUMBER(tblY8[[#This Row],[8P02 - Light
Raw Score]]),IFERROR(VLOOKUP(ROUND(STANDARDIZE(tblY8[[#This Row],[8P02 - Light
Raw Score]],AVERAGE(tblY8[[8P02 - Light
Raw Score]]),_xlfn.STDEV.P(tblY8[[8P02 - Light
Raw Score]])),9),_Stanine,2),5),"")</calculatedColumnFormula>
    </tableColumn>
  </tableColumns>
  <tableStyleInfo name="TableStyleLight1" showRowStripes="1"/>
</table>
</file>

<file path=xl/tables/table3.xml><?xml version="1.0" encoding="utf-8"?>
<table xmlns="http://schemas.openxmlformats.org/spreadsheetml/2006/main" id="3" name="tblY9" displayName="tblY9" ref="A1:U126" headerRowCount="1">
  <autoFilter ref="A1:U126"/>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IF(ISNUMBER(tblY9[[#This Row],[Avg KS2]]),IFERROR(VLOOKUP(ROUND(STANDARDIZE(tblY9[[#This Row],[Avg KS2]],AVERAGE(tblY9[[Avg KS2]]),_xlfn.STDEV.P(tblY9[[Avg KS2]])),9),_Stanine,2),5),"")</calculatedColumnFormula>
    </tableColumn>
    <tableColumn id="10" name="Class"/>
    <tableColumn id="11" name="Tests Sat">
      <calculatedColumnFormula>IF(tblY9[[#This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IF(AND(ISNUMBER(tblY9[[#This Row],[Mean Stanine]]),ISNUMBER(tblY9[[#This Row],[Avg KS2 Band]]),ISNUMBER(SlopeY9)),tblY9[[#This Row],[Mean Stanine]]-(InterceptY9+SlopeY9*tblY9[[#This Row],[Avg KS2 Band]]),"")</calculatedColumnFormula>
    </tableColumn>
    <tableColumn id="14" name="9B01 - Genetics_x000a_Raw Score"/>
    <tableColumn id="15" name="9B01 - Genetics_x000a_Stanine">
      <calculatedColumnFormula>IF(ISNUMBER(tblY9[[#This Row],[9B01 - Genetics
Raw Score]]),IFERROR(VLOOKUP(ROUND(STANDARDIZE(tblY9[[#This Row],[9B01 - Genetics
Raw Score]],AVERAGE(tblY9[[9B01 - Genetics
Raw Score]]),_xlfn.STDEV.P(tblY9[[9B01 - Genetics
Raw Score]])),9),_Stanine,2),5),"")</calculatedColumnFormula>
    </tableColumn>
    <tableColumn id="16" name="9C01 - Chemical Reactions_x000a_Raw Score"/>
    <tableColumn id="17" name="9C01 - Chemical Reactions_x000a_Stanine">
      <calculatedColumnFormula>IF(ISNUMBER(tblY9[[#This Row],[9C01 - Chemical Reactions
Raw Score]]),IFERROR(VLOOKUP(ROUND(STANDARDIZE(tblY9[[#This Row],[9C01 - Chemical Reactions
Raw Score]],AVERAGE(tblY9[[9C01 - Chemical Reactions
Raw Score]]),_xlfn.STDEV.P(tblY9[[9C01 - Chemical Reactions
Raw Score]])),9),_Stanine,2),5),"")</calculatedColumnFormula>
    </tableColumn>
    <tableColumn id="18" name="9P01 - Electricity_x000a_Raw Score"/>
    <tableColumn id="19" name="9P01 - Electricity_x000a_Stanine">
      <calculatedColumnFormula>IF(ISNUMBER(tblY9[[#This Row],[9P01 - Electricity
Raw Score]]),IFERROR(VLOOKUP(ROUND(STANDARDIZE(tblY9[[#This Row],[9P01 - Electricity
Raw Score]],AVERAGE(tblY9[[9P01 - Electricity
Raw Score]]),_xlfn.STDEV.P(tblY9[[9P01 - Electricity
Raw Score]])),9),_Stanine,2),5),"")</calculatedColumnFormula>
    </tableColumn>
    <tableColumn id="20" name="9B02 - Ecology_x000a_Raw Score"/>
    <tableColumn id="21" name="9B02 - Ecology_x000a_Stanine">
      <calculatedColumnFormula>IF(ISNUMBER(tblY9[[#This Row],[9B02 - Ecology
Raw Score]]),IFERROR(VLOOKUP(ROUND(STANDARDIZE(tblY9[[#This Row],[9B02 - Ecology
Raw Score]],AVERAGE(tblY9[[9B02 - Ecology
Raw Score]]),_xlfn.STDEV.P(tblY9[[9B02 - Ecology
Raw Score]])),9),_Stanine,2),5),"")</calculatedColumnFormula>
    </tableColumn>
  </tableColumns>
  <tableStyleInfo name="TableStyleLight1" showRowStripes="1"/>
</table>
</file>

<file path=xl/tables/table4.xml><?xml version="1.0" encoding="utf-8"?>
<table xmlns="http://schemas.openxmlformats.org/spreadsheetml/2006/main" id="4" name="tblY10" displayName="tblY10" ref="A1:W118" headerRowCount="1">
  <autoFilter ref="A1:W118"/>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IF(ISNUMBER(tblY10[[#This Row],[Avg KS2]]),IFERROR(VLOOKUP(ROUND(STANDARDIZE(tblY10[[#This Row],[Avg KS2]],AVERAGE(tblY10[[Avg KS2]]),_xlfn.STDEV.P(tblY10[[Avg KS2]])),9),_Stanine,2),5),"")</calculatedColumnFormula>
    </tableColumn>
    <tableColumn id="10" name="Class"/>
    <tableColumn id="11" name="Tests Sat">
      <calculatedColumnFormula>IF(tblY10[[#This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IF(AND(ISNUMBER(tblY10[[#This Row],[Mean Stanine]]),ISNUMBER(tblY10[[#This Row],[Avg KS2 Band]]),ISNUMBER(SlopeY10)),tblY10[[#This Row],[Mean Stanine]]-(InterceptY10+SlopeY10*tblY10[[#This Row],[Avg KS2 Band]]),"")</calculatedColumnFormula>
    </tableColumn>
    <tableColumn id="14" name="4B01 - Cell Biology_x000a_Raw Score"/>
    <tableColumn id="15" name="4B01 - Cell Biology_x000a_Stanine">
      <calculatedColumnFormula>IF(ISNUMBER(tblY10[[#This Row],[4B01 - Cell Biology
Raw Score]]),IFERROR(VLOOKUP(ROUND(STANDARDIZE(tblY10[[#This Row],[4B01 - Cell Biology
Raw Score]],AVERAGE(tblY10[[4B01 - Cell Biology
Raw Score]]),_xlfn.STDEV.P(tblY10[[4B01 - Cell Biology
Raw Score]])),9),_Stanine,2),5),"")</calculatedColumnFormula>
    </tableColumn>
    <tableColumn id="16" name="4C01 - Atomic Structure_x000a_Raw Score"/>
    <tableColumn id="17" name="4C01 - Atomic Structure_x000a_Stanine">
      <calculatedColumnFormula>IF(ISNUMBER(tblY10[[#This Row],[4C01 - Atomic Structure
Raw Score]]),IFERROR(VLOOKUP(ROUND(STANDARDIZE(tblY10[[#This Row],[4C01 - Atomic Structure
Raw Score]],AVERAGE(tblY10[[4C01 - Atomic Structure
Raw Score]]),_xlfn.STDEV.P(tblY10[[4C01 - Atomic Structure
Raw Score]])),9),_Stanine,2),5),"")</calculatedColumnFormula>
    </tableColumn>
    <tableColumn id="18" name="4P01 - Energy_x000a_Raw Score"/>
    <tableColumn id="19" name="4P01 - Energy_x000a_Stanine">
      <calculatedColumnFormula>IF(ISNUMBER(tblY10[[#This Row],[4P01 - Energy
Raw Score]]),IFERROR(VLOOKUP(ROUND(STANDARDIZE(tblY10[[#This Row],[4P01 - Energy
Raw Score]],AVERAGE(tblY10[[4P01 - Energy
Raw Score]]),_xlfn.STDEV.P(tblY10[[4P01 - Energy
Raw Score]])),9),_Stanine,2),5),"")</calculatedColumnFormula>
    </tableColumn>
    <tableColumn id="20" name="4B02 - Organisation_x000a_Raw Score"/>
    <tableColumn id="21" name="4B02 - Organisation_x000a_Stanine">
      <calculatedColumnFormula>IF(ISNUMBER(tblY10[[#This Row],[4B02 - Organisation
Raw Score]]),IFERROR(VLOOKUP(ROUND(STANDARDIZE(tblY10[[#This Row],[4B02 - Organisation
Raw Score]],AVERAGE(tblY10[[4B02 - Organisation
Raw Score]]),_xlfn.STDEV.P(tblY10[[4B02 - Organisation
Raw Score]])),9),_Stanine,2),5),"")</calculatedColumnFormula>
    </tableColumn>
    <tableColumn id="22" name="4C02 - Bonding_x000a_Raw Score"/>
    <tableColumn id="23" name="4C02 - Bonding_x000a_Stanine">
      <calculatedColumnFormula>IF(ISNUMBER(tblY10[[#This Row],[4C02 - Bonding
Raw Score]]),IFERROR(VLOOKUP(ROUND(STANDARDIZE(tblY10[[#This Row],[4C02 - Bonding
Raw Score]],AVERAGE(tblY10[[4C02 - Bonding
Raw Score]]),_xlfn.STDEV.P(tblY10[[4C02 - Bonding
Raw Score]])),9),_Stanine,2),5),"")</calculatedColumnFormula>
    </tableColumn>
  </tableColumns>
  <tableStyleInfo name="TableStyleLight1" showRowStripes="1"/>
</table>
</file>

<file path=xl/tables/table5.xml><?xml version="1.0" encoding="utf-8"?>
<table xmlns="http://schemas.openxmlformats.org/spreadsheetml/2006/main" id="5" name="tblY11" displayName="tblY11" ref="A1:Y107" headerRowCount="1">
  <autoFilter ref="A1:Y107"/>
  <tableColumns count="25">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IF(ISNUMBER(tblY11[[#This Row],[Avg KS2]]),IFERROR(VLOOKUP(ROUND(STANDARDIZE(tblY11[[#This Row],[Avg KS2]],AVERAGE(tblY11[[Avg KS2]]),_xlfn.STDEV.P(tblY11[[Avg KS2]])),9),_Stanine,2),5),"")</calculatedColumnFormula>
    </tableColumn>
    <tableColumn id="10" name="Class"/>
    <tableColumn id="11" name="Tests Sat">
      <calculatedColumnFormula>IF(tblY11[[#This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IF(AND(ISNUMBER(tblY11[[#This Row],[Mean Stanine]]),ISNUMBER(tblY11[[#This Row],[Avg KS2 Band]]),ISNUMBER(SlopeY11)),tblY11[[#This Row],[Mean Stanine]]-(InterceptY11+SlopeY11*tblY11[[#This Row],[Avg KS2 Band]]),"")</calculatedColumnFormula>
    </tableColumn>
    <tableColumn id="14" name="4B05 - Homeostasis_x000a_Raw Score"/>
    <tableColumn id="15" name="4B05 - Homeostasis_x000a_Stanine">
      <calculatedColumnFormula>IF(ISNUMBER(tblY11[[#This Row],[4B05 - Homeostasis
Raw Score]]),IFERROR(VLOOKUP(ROUND(STANDARDIZE(tblY11[[#This Row],[4B05 - Homeostasis
Raw Score]],AVERAGE(tblY11[[4B05 - Homeostasis
Raw Score]]),_xlfn.STDEV.P(tblY11[[4B05 - Homeostasis
Raw Score]])),9),_Stanine,2),5),"")</calculatedColumnFormula>
    </tableColumn>
    <tableColumn id="16" name="4C09 - Organic Chemistry_x000a_Raw Score"/>
    <tableColumn id="17" name="4C09 - Organic Chemistry_x000a_Stanine">
      <calculatedColumnFormula>IF(ISNUMBER(tblY11[[#This Row],[4C09 - Organic Chemistry
Raw Score]]),IFERROR(VLOOKUP(ROUND(STANDARDIZE(tblY11[[#This Row],[4C09 - Organic Chemistry
Raw Score]],AVERAGE(tblY11[[4C09 - Organic Chemistry
Raw Score]]),_xlfn.STDEV.P(tblY11[[4C09 - Organic Chemistry
Raw Score]])),9),_Stanine,2),5),"")</calculatedColumnFormula>
    </tableColumn>
    <tableColumn id="18" name="4P06 - Waves_x000a_Raw Score"/>
    <tableColumn id="19" name="4P06 - Waves_x000a_Stanine">
      <calculatedColumnFormula>IF(ISNUMBER(tblY11[[#This Row],[4P06 - Waves
Raw Score]]),IFERROR(VLOOKUP(ROUND(STANDARDIZE(tblY11[[#This Row],[4P06 - Waves
Raw Score]],AVERAGE(tblY11[[4P06 - Waves
Raw Score]]),_xlfn.STDEV.P(tblY11[[4P06 - Waves
Raw Score]])),9),_Stanine,2),5),"")</calculatedColumnFormula>
    </tableColumn>
    <tableColumn id="20" name="4B06 - Inheritance_x000a_Raw Score"/>
    <tableColumn id="21" name="4B06 - Inheritance_x000a_Stanine">
      <calculatedColumnFormula>IF(ISNUMBER(tblY11[[#This Row],[4B06 - Inheritance
Raw Score]]),IFERROR(VLOOKUP(ROUND(STANDARDIZE(tblY11[[#This Row],[4B06 - Inheritance
Raw Score]],AVERAGE(tblY11[[4B06 - Inheritance
Raw Score]]),_xlfn.STDEV.P(tblY11[[4B06 - Inheritance
Raw Score]])),9),_Stanine,2),5),"")</calculatedColumnFormula>
    </tableColumn>
    <tableColumn id="22" name="4C10 - Chemical Analysis_x000a_Raw Score"/>
    <tableColumn id="23" name="4C10 - Chemical Analysis_x000a_Stanine">
      <calculatedColumnFormula>IF(ISNUMBER(tblY11[[#This Row],[4C10 - Chemical Analysis
Raw Score]]),IFERROR(VLOOKUP(ROUND(STANDARDIZE(tblY11[[#This Row],[4C10 - Chemical Analysis
Raw Score]],AVERAGE(tblY11[[4C10 - Chemical Analysis
Raw Score]]),_xlfn.STDEV.P(tblY11[[4C10 - Chemical Analysis
Raw Score]])),9),_Stanine,2),5),"")</calculatedColumnFormula>
    </tableColumn>
    <tableColumn id="24" name="4P07 - Magnetism_x000a_Raw Score"/>
    <tableColumn id="25" name="4P07 - Magnetism_x000a_Stanine">
      <calculatedColumnFormula>IF(ISNUMBER(tblY11[[#This Row],[4P07 - Magnetism
Raw Score]]),IFERROR(VLOOKUP(ROUND(STANDARDIZE(tblY11[[#This Row],[4P07 - Magnetism
Raw Score]],AVERAGE(tblY11[[4P07 - Magnetism
Raw Score]]),_xlfn.STDEV.P(tblY11[[4P07 - Magnetism
Raw Score]])),9),_Stanine,2),5),"")</calculatedColumnFormula>
    </tableColumn>
  </tableColumns>
  <tableStyleInfo name="TableStyleLight1" showRowStripes="1"/>
</table>
</file>

<file path=xl/tables/table6.xml><?xml version="1.0" encoding="utf-8"?>
<table xmlns="http://schemas.openxmlformats.org/spreadsheetml/2006/main" id="6" name="tblAssessments" displayName="tblAssessments" ref="A4:T28" headerRowCount="1">
  <autoFilter ref="A4:T2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Index]],tblY7[Preferred Last name],tblY8[Preferred Last name],tblY9[Preferred Last name],tblY10[Preferred Last name],tblY11[Preferred Last name])))</calculatedColumnFormula>
    </tableColumn>
    <tableColumn id="8" name="Sat">
      <calculatedColumnFormula>IF(tblAssessments[[#This Row],[Raw Col]]=0,"",COUNT(INDEX(CHOOSE(tblAssessments[[#This Row],[Year Index]],tblY7[#Data],tblY8[#Data],tblY9[#Data],tblY10[#Data],tblY11[#Data]),0,tblAssessments[[#This Row],[Raw Col]])))</calculatedColumnFormula>
    </tableColumn>
    <tableColumn id="9" name="Absent">
      <calculatedColumnFormula>IF(tblAssessments[[#This Row],[Raw Col]]=0,"",COUNTIF(INDEX(CHOOSE(tblAssessments[[#This Row],[Year Index]],tblY7[#Data],tblY8[#Data],tblY9[#Data],tblY10[#Data],tblY11[#Data]),0,tblAssessments[[#This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Index]],tblY7[#Data],tblY8[#Data],tblY9[#Data],tblY10[#Data],tblY11[#Data]),0,tblAssessments[[#This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Index]],tblY7[#Data],tblY8[#Data],tblY9[#Data],tblY10[#Data],tblY11[#Data]),0,tblAssessments[[#This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Index]],tblY7[#Headers],tblY8[#Headers],tblY9[#Headers],tblY10[#Headers],tblY11[#Headers]),0),0))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calculatedColumnFormula>
    </tableColumn>
  </tableColumns>
  <tableStyleInfo name="TableStyleLight1" showRowStripes="1"/>
</table>
</file>

<file path=xl/tables/table7.xml><?xml version="1.0" encoding="utf-8"?>
<table xmlns="http://schemas.openxmlformats.org/spreadsheetml/2006/main" id="7" name="tblTeachers" displayName="tblTeachers" ref="B24:E52" headerRowCount="1">
  <autoFilter ref="B24:E52"/>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microsoft.com/office/2007/relationships/slicer" Target="../slicers/slicer2.xml"/><Relationship Id="rId3"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microsoft.com/office/2007/relationships/slicer" Target="../slicers/slicer3.xml"/><Relationship Id="rId3"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Type="http://schemas.openxmlformats.org/officeDocument/2006/relationships/table" Target="/xl/tables/table4.xml" Id="rId1"/><Relationship Id="rId2" Type="http://schemas.microsoft.com/office/2007/relationships/slicer" Target="../slicers/slicer4.xml"/><Relationship Id="rId3"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Type="http://schemas.openxmlformats.org/officeDocument/2006/relationships/table" Target="/xl/tables/table5.xml" Id="rId1"/><Relationship Id="rId2" Type="http://schemas.microsoft.com/office/2007/relationships/slicer" Target="../slicers/slicer5.xml"/><Relationship Id="rId3"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Type="http://schemas.openxmlformats.org/officeDocument/2006/relationships/table" Target="/xl/tables/table6.xml" Id="rId1"/><Relationship Id="rId2"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Type="http://schemas.openxmlformats.org/officeDocument/2006/relationships/table" Target="/xl/tables/table7.xml" Id="rId1"/><Relationship Id="rId2" Type="http://schemas.openxmlformats.org/officeDocument/2006/relationships/drawing" Target="../drawings/drawing8.xml"/></Relationships>
</file>

<file path=xl/worksheets/sheet1.xml><?xml version="1.0" encoding="utf-8"?>
<worksheet xmlns="http://schemas.openxmlformats.org/spreadsheetml/2006/main">
  <sheetPr codeName="shStart">
    <tabColor rgb="000D366B"/>
    <outlinePr summaryBelow="1" summaryRight="1"/>
    <pageSetUpPr fitToPage="1"/>
  </sheetPr>
  <dimension ref="A1:L54"/>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")&amp;"Years 7 to 11   ·   "&amp;AcademicYear</f>
        <v>Science   ·   Years 7 to 11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groups</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7</t>
        </is>
      </c>
      <c r="C9" s="9">
        <f>Settings!C15</f>
        <v>2031</v>
      </c>
      <c r="D9" s="10">
        <f>COUNTA(tblY7[Preferred Last name])</f>
        <v>131</v>
      </c>
      <c r="E9" s="10">
        <f>Calc!AI3</f>
        <v>4</v>
      </c>
      <c r="F9" s="11">
        <f>SUMPRODUCT((RIGHT(tblY7[#Headers],10)=CHAR(10)&amp;"Raw Score")*ISNUMBER(tblY7[#Data]))</f>
        <v>497</v>
      </c>
      <c r="G9" s="12" t="str">
        <f>IF(Calc!AF3="","-",Calc!AF3)</f>
        <v>7B02 - Organ Systems</v>
      </c>
      <c r="H9" s="13" t="str">
        <f>HYPERLINK("#'Year 7'!A1","Open Year 7")</f>
        <v>Open Year 7</v>
      </c>
    </row>
    <row r="10">
      <c r="B10" s="8" t="inlineStr">
        <is>
          <t>Year 8</t>
        </is>
      </c>
      <c r="C10" s="9">
        <f>Settings!C16</f>
        <v>2030</v>
      </c>
      <c r="D10" s="10">
        <f>COUNTA(tblY8[Preferred Last name])</f>
        <v>93</v>
      </c>
      <c r="E10" s="10">
        <f>Calc!AI4</f>
        <v>5</v>
      </c>
      <c r="F10" s="11">
        <f>SUMPRODUCT((RIGHT(tblY8[#Headers],10)=CHAR(10)&amp;"Raw Score")*ISNUMBER(tblY8[#Data]))</f>
        <v>428</v>
      </c>
      <c r="G10" s="12" t="str">
        <f>IF(Calc!AF4="","-",Calc!AF4)</f>
        <v>8P02 - Light</v>
      </c>
      <c r="H10" s="13" t="str">
        <f>HYPERLINK("#'Year 8'!A1","Open Year 8")</f>
        <v>Open Year 8</v>
      </c>
    </row>
    <row r="11">
      <c r="B11" s="8" t="inlineStr">
        <is>
          <t>Year 9</t>
        </is>
      </c>
      <c r="C11" s="9">
        <f>Settings!C17</f>
        <v>2029</v>
      </c>
      <c r="D11" s="10">
        <f>COUNTA(tblY9[Preferred Last name])</f>
        <v>125</v>
      </c>
      <c r="E11" s="10">
        <f>Calc!AI5</f>
        <v>4</v>
      </c>
      <c r="F11" s="11">
        <f>SUMPRODUCT((RIGHT(tblY9[#Headers],10)=CHAR(10)&amp;"Raw Score")*ISNUMBER(tblY9[#Data]))</f>
        <v>482</v>
      </c>
      <c r="G11" s="12" t="str">
        <f>IF(Calc!AF5="","-",Calc!AF5)</f>
        <v>9B02 - Ecology</v>
      </c>
      <c r="H11" s="13" t="str">
        <f>HYPERLINK("#'Year 9'!A1","Open Year 9")</f>
        <v>Open Year 9</v>
      </c>
    </row>
    <row r="12">
      <c r="B12" s="8" t="inlineStr">
        <is>
          <t>Year 10</t>
        </is>
      </c>
      <c r="C12" s="9">
        <f>Settings!C18</f>
        <v>2028</v>
      </c>
      <c r="D12" s="10">
        <f>COUNTA(tblY10[Preferred Last name])</f>
        <v>117</v>
      </c>
      <c r="E12" s="10">
        <f>Calc!AI6</f>
        <v>5</v>
      </c>
      <c r="F12" s="11">
        <f>SUMPRODUCT((RIGHT(tblY10[#Headers],10)=CHAR(10)&amp;"Raw Score")*ISNUMBER(tblY10[#Data]))</f>
        <v>520</v>
      </c>
      <c r="G12" s="12" t="str">
        <f>IF(Calc!AF6="","-",Calc!AF6)</f>
        <v>4C02 - Bonding</v>
      </c>
      <c r="H12" s="13" t="str">
        <f>HYPERLINK("#'Year 10'!A1","Open Year 10")</f>
        <v>Open Year 10</v>
      </c>
    </row>
    <row r="13">
      <c r="B13" s="8" t="inlineStr">
        <is>
          <t>Year 11</t>
        </is>
      </c>
      <c r="C13" s="9">
        <f>Settings!C19</f>
        <v>2027</v>
      </c>
      <c r="D13" s="10">
        <f>COUNTA(tblY11[Preferred Last name])</f>
        <v>106</v>
      </c>
      <c r="E13" s="10">
        <f>Calc!AI7</f>
        <v>6</v>
      </c>
      <c r="F13" s="11">
        <f>SUMPRODUCT((RIGHT(tblY11[#Headers],10)=CHAR(10)&amp;"Raw Score")*ISNUMBER(tblY11[#Data]))</f>
        <v>613</v>
      </c>
      <c r="G13" s="12" t="str">
        <f>IF(Calc!AF7="","-",Calc!AF7)</f>
        <v>4P07 - Magnetism</v>
      </c>
      <c r="H13" s="13" t="str">
        <f>HYPERLINK("#'Year 11'!A1","Open Year 11")</f>
        <v>Open Year 11</v>
      </c>
    </row>
    <row r="16">
      <c r="B16" s="6" t="inlineStr">
        <is>
          <t>For class teachers</t>
        </is>
      </c>
    </row>
    <row r="17" ht="32" customHeight="1">
      <c r="B17" s="14" t="inlineStr">
        <is>
          <t>1.   Open your year group's sheet and click your class in the Class slicer (top left). Your class is one unbroken block, in surname order.</t>
        </is>
      </c>
    </row>
    <row r="18" ht="32" customHeight="1">
      <c r="B18" s="14" t="inlineStr">
        <is>
          <t>2.   Type each student's mark in the test's Raw Score column. Type A for absent; leave the cell empty if they have not sat it yet.</t>
        </is>
      </c>
    </row>
    <row r="19" ht="46.5" customHeight="1">
      <c r="B19"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20" ht="17.5" customHeight="1">
      <c r="B20" s="14" t="inlineStr">
        <is>
          <t>4.   The Stanine column fills itself in. Do not type in the grey columns.</t>
        </is>
      </c>
    </row>
    <row r="21" ht="17.5" customHeight="1">
      <c r="B21" s="14" t="inlineStr">
        <is>
          <t>5.   This works in Excel on the web too. Only the buttons need the desktop app.</t>
        </is>
      </c>
    </row>
    <row r="23">
      <c r="B23" s="6" t="inlineStr">
        <is>
          <t>For the data lead</t>
        </is>
      </c>
    </row>
    <row r="24" ht="32" customHeight="1">
      <c r="B24" s="14" t="inlineStr">
        <is>
          <t>1.   Manage tests adds a test to a year group: two new columns plus a row in the register. The same form edits a title, maximum mark or date, and removes a test added by mistake.</t>
        </is>
      </c>
    </row>
    <row r="25" ht="32" customHeight="1">
      <c r="B25" s="14" t="inlineStr">
        <is>
          <t>2.   Update students reads a new 'All Students' export from the MIS: new students are added, classes and details are updated, scores are never touched. Students missing from the export are listed, not deleted.</t>
        </is>
      </c>
    </row>
    <row r="26" ht="17.5" customHeight="1">
      <c r="B26" s="14" t="inlineStr">
        <is>
          <t>3.   Class overview, Dashboard and Watch list update by themselves as marks go in.</t>
        </is>
      </c>
    </row>
    <row r="27" ht="17.5" customHeight="1">
      <c r="B27" s="14" t="inlineStr">
        <is>
          <t>4.   Type teachers' names on the Settings sheet to show them on the dashboards.</t>
        </is>
      </c>
    </row>
    <row r="28" ht="32" customHeight="1">
      <c r="B28" s="14" t="inlineStr">
        <is>
          <t>5.   If the buttons do nothing, Excel is blocking macros. Marks, stanines and dashboards still work. Ask IT to allow macros for this file, or add a test by hand (see the end of this sheet).</t>
        </is>
      </c>
    </row>
    <row r="30">
      <c r="B30" s="6" t="inlineStr">
        <is>
          <t>Reading stanines</t>
        </is>
      </c>
    </row>
    <row r="31" ht="20" customHeight="1">
      <c r="B31" s="7" t="inlineStr">
        <is>
          <t>Stanine</t>
        </is>
      </c>
      <c r="C31" s="7" t="inlineStr">
        <is>
          <t>Meaning</t>
        </is>
      </c>
      <c r="D31" s="15" t="n"/>
      <c r="E31" s="7" t="inlineStr">
        <is>
          <t>Share of students</t>
        </is>
      </c>
      <c r="F31" s="15" t="n"/>
      <c r="G31" s="7" t="inlineStr">
        <is>
          <t>Icon</t>
        </is>
      </c>
    </row>
    <row r="32">
      <c r="B32" s="16" t="n">
        <v>1</v>
      </c>
      <c r="C32" s="12" t="inlineStr">
        <is>
          <t>Very low</t>
        </is>
      </c>
      <c r="D32" s="15" t="n"/>
      <c r="E32" s="10" t="inlineStr">
        <is>
          <t>about 4%</t>
        </is>
      </c>
      <c r="F32" s="15" t="n"/>
      <c r="G32" s="10" t="n">
        <v>1</v>
      </c>
    </row>
    <row r="33">
      <c r="B33" s="16" t="n">
        <v>2</v>
      </c>
      <c r="C33" s="12" t="inlineStr">
        <is>
          <t>Low</t>
        </is>
      </c>
      <c r="D33" s="15" t="n"/>
      <c r="E33" s="10" t="inlineStr">
        <is>
          <t>about 7%</t>
        </is>
      </c>
      <c r="F33" s="15" t="n"/>
      <c r="G33" s="10" t="n">
        <v>2</v>
      </c>
    </row>
    <row r="34">
      <c r="B34" s="16" t="n">
        <v>3</v>
      </c>
      <c r="C34" s="12" t="inlineStr">
        <is>
          <t>Below average</t>
        </is>
      </c>
      <c r="D34" s="15" t="n"/>
      <c r="E34" s="10" t="inlineStr">
        <is>
          <t>about 12%</t>
        </is>
      </c>
      <c r="F34" s="15" t="n"/>
      <c r="G34" s="10" t="n">
        <v>3</v>
      </c>
    </row>
    <row r="35">
      <c r="B35" s="16" t="n">
        <v>4</v>
      </c>
      <c r="C35" s="12" t="inlineStr">
        <is>
          <t>Slightly below average</t>
        </is>
      </c>
      <c r="D35" s="15" t="n"/>
      <c r="E35" s="10" t="inlineStr">
        <is>
          <t>about 17%</t>
        </is>
      </c>
      <c r="F35" s="15" t="n"/>
      <c r="G35" s="10" t="n">
        <v>4</v>
      </c>
    </row>
    <row r="36">
      <c r="B36" s="16" t="n">
        <v>5</v>
      </c>
      <c r="C36" s="12" t="inlineStr">
        <is>
          <t>Average</t>
        </is>
      </c>
      <c r="D36" s="15" t="n"/>
      <c r="E36" s="10" t="inlineStr">
        <is>
          <t>about 20%</t>
        </is>
      </c>
      <c r="F36" s="15" t="n"/>
      <c r="G36" s="10" t="n">
        <v>5</v>
      </c>
    </row>
    <row r="37">
      <c r="B37" s="16" t="n">
        <v>6</v>
      </c>
      <c r="C37" s="12" t="inlineStr">
        <is>
          <t>Slightly above average</t>
        </is>
      </c>
      <c r="D37" s="15" t="n"/>
      <c r="E37" s="10" t="inlineStr">
        <is>
          <t>about 17%</t>
        </is>
      </c>
      <c r="F37" s="15" t="n"/>
      <c r="G37" s="10" t="n">
        <v>6</v>
      </c>
    </row>
    <row r="38">
      <c r="B38" s="16" t="n">
        <v>7</v>
      </c>
      <c r="C38" s="12" t="inlineStr">
        <is>
          <t>Above average</t>
        </is>
      </c>
      <c r="D38" s="15" t="n"/>
      <c r="E38" s="10" t="inlineStr">
        <is>
          <t>about 12%</t>
        </is>
      </c>
      <c r="F38" s="15" t="n"/>
      <c r="G38" s="10" t="n">
        <v>7</v>
      </c>
    </row>
    <row r="39">
      <c r="B39" s="16" t="n">
        <v>8</v>
      </c>
      <c r="C39" s="12" t="inlineStr">
        <is>
          <t>High</t>
        </is>
      </c>
      <c r="D39" s="15" t="n"/>
      <c r="E39" s="10" t="inlineStr">
        <is>
          <t>about 7%</t>
        </is>
      </c>
      <c r="F39" s="15" t="n"/>
      <c r="G39" s="10" t="n">
        <v>8</v>
      </c>
    </row>
    <row r="40">
      <c r="B40" s="16" t="n">
        <v>9</v>
      </c>
      <c r="C40" s="12" t="inlineStr">
        <is>
          <t>Very high</t>
        </is>
      </c>
      <c r="D40" s="15" t="n"/>
      <c r="E40" s="10" t="inlineStr">
        <is>
          <t>about 4%</t>
        </is>
      </c>
      <c r="F40" s="15" t="n"/>
      <c r="G40" s="10" t="n">
        <v>9</v>
      </c>
    </row>
    <row r="42">
      <c r="B42" s="6" t="inlineStr">
        <is>
          <t>Good to know</t>
        </is>
      </c>
    </row>
    <row r="43" ht="46.5" customHeight="1">
      <c r="B43"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4" ht="32" customHeight="1">
      <c r="B44" s="14" t="inlineStr">
        <is>
          <t>•   Stanines settle once every class has entered its marks for a test; until then they are relative to the students entered so far.</t>
        </is>
      </c>
    </row>
    <row r="45" ht="17.5" customHeight="1">
      <c r="B45" s="14" t="inlineStr">
        <is>
          <t>•   A whole year group always averages about stanine 5, so compare year groups using mean %. Compare classes using both.</t>
        </is>
      </c>
    </row>
    <row r="46" ht="46.5" customHeight="1">
      <c r="B46"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7" ht="32" customHeight="1">
      <c r="B47" s="14" t="inlineStr">
        <is>
          <t>•   This workbook holds personal data about children. Keep it in a staff-only location. Each Update students run saves a backup copy next to the file: delete old copies you no longer need.</t>
        </is>
      </c>
    </row>
    <row r="49">
      <c r="B49" s="6" t="inlineStr">
        <is>
          <t>Adding a test without the buttons</t>
        </is>
      </c>
    </row>
    <row r="50" ht="17.5" customHeight="1">
      <c r="B50" s="14" t="inlineStr">
        <is>
          <t>Only needed when the buttons do nothing (macros blocked).</t>
        </is>
      </c>
    </row>
    <row r="51" ht="46.5" customHeight="1">
      <c r="B51"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52" ht="32" customHeight="1">
      <c r="B52" s="14" t="inlineStr">
        <is>
          <t>2.   Copy the previous test's Stanine cells into the new Stanine column. With the new column still selected, use Find and Replace (Ctrl+H, 'Look in: Formulas') to change the old test's name to the new one.</t>
        </is>
      </c>
    </row>
    <row r="53" ht="32" customHeight="1">
      <c r="B53" s="14" t="inlineStr">
        <is>
          <t>3.   On Assessment Info, add a row: year group, code, title, the test name exactly as in the heading (without 'Raw Score'), maximum mark and date. The register's Check column says OK when it matches.</t>
        </is>
      </c>
    </row>
    <row r="54" ht="32" customHeight="1">
      <c r="B54"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3:D33"/>
    <mergeCell ref="E33:F33"/>
    <mergeCell ref="B24:H24"/>
    <mergeCell ref="B51:H51"/>
    <mergeCell ref="B20:H20"/>
    <mergeCell ref="E39:F39"/>
    <mergeCell ref="C35:D35"/>
    <mergeCell ref="B45:H45"/>
    <mergeCell ref="E35:F35"/>
    <mergeCell ref="B50:H50"/>
    <mergeCell ref="E38:F38"/>
    <mergeCell ref="B26:H26"/>
    <mergeCell ref="B47:H47"/>
    <mergeCell ref="B54:H54"/>
    <mergeCell ref="C40:D40"/>
    <mergeCell ref="B25:H25"/>
    <mergeCell ref="C31:D31"/>
    <mergeCell ref="E40:F40"/>
    <mergeCell ref="E31:F31"/>
    <mergeCell ref="B46:H46"/>
    <mergeCell ref="E34:F34"/>
    <mergeCell ref="B18:H18"/>
    <mergeCell ref="B27:H27"/>
    <mergeCell ref="B52:H52"/>
    <mergeCell ref="B21:H21"/>
    <mergeCell ref="B43:H43"/>
    <mergeCell ref="C36:D36"/>
    <mergeCell ref="E36:F36"/>
    <mergeCell ref="C39:D39"/>
    <mergeCell ref="C32:D32"/>
    <mergeCell ref="B17:H17"/>
    <mergeCell ref="C38:D38"/>
    <mergeCell ref="E32:F32"/>
    <mergeCell ref="B44:H44"/>
    <mergeCell ref="B53:H53"/>
    <mergeCell ref="C37:D37"/>
    <mergeCell ref="E37:F37"/>
    <mergeCell ref="B19:H19"/>
    <mergeCell ref="B28:H28"/>
  </mergeCells>
  <conditionalFormatting sqref="G32:G40">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72"/>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in every year group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COUNTA(tblY7[Preferred Last name])+COUNTA(tblY8[Preferred Last name])+COUNTA(tblY9[Preferred Last name])+COUNTA(tblY10[Preferred Last name])+COUNTA(tblY11[Preferred Last name])</f>
        <v>572</v>
      </c>
      <c r="C5" s="19" t="n"/>
      <c r="D5" s="20">
        <f>COUNTA(tblAssessments[Test Name])</f>
        <v>24</v>
      </c>
      <c r="E5" s="19" t="n"/>
      <c r="F5" s="19" t="n"/>
      <c r="G5" s="21">
        <f>SUM(tblAssessments[Sat])</f>
        <v>2540</v>
      </c>
      <c r="H5" s="19" t="n"/>
      <c r="I5" s="19" t="n"/>
      <c r="J5" s="20">
        <f>COUNTIFS(tblAssessments[Completion],"&lt;1",tblAssessments[Test Name],"&lt;&gt;")</f>
        <v>2</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7</t>
        </is>
      </c>
      <c r="C9" s="23" t="str">
        <f>"Leaves "&amp;Settings!$C$15&amp;"   ·   "&amp;COUNTA(tblY7[Preferred Last name])&amp;" students   ·   "&amp;Calc!$AI$3&amp;" tests"&amp;IF(Calc!$S$12&gt;8,"   ·   only the first 8 of "&amp;Calc!$S$12&amp;" classes fit here","")</f>
        <v>Leaves 2031   ·   131 students   ·   4 tests</v>
      </c>
      <c r="D9" s="24" t="n"/>
      <c r="E9" s="24" t="n"/>
      <c r="F9" s="24" t="n"/>
      <c r="G9" s="24" t="n"/>
      <c r="H9" s="25" t="str">
        <f>IF(Calc!$AF$3="","No tests yet","Latest test: "&amp;Calc!$AF$3&amp;IF(ISNUMBER(Calc!$AH$3),"  ("&amp;TEXT(Calc!$AH$3,"dd/mm/yyyy")&amp;")",""))</f>
        <v>Latest test: 7B02 - Organ Systems  (03/11/2026)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IFERROR(COUNTA(tblY7[Preferred Last name]),"")</f>
        <v>131</v>
      </c>
      <c r="E11" s="28">
        <f>IFERROR(AVERAGE(tblY7[Avg KS2 Band]),"")</f>
        <v>5</v>
      </c>
      <c r="F11" s="28">
        <f>IFERROR(AVERAGE(tblY7[Tests Sat]),"")</f>
        <v>3.79389312977099</v>
      </c>
      <c r="G11" s="28">
        <f>IFERROR(AVERAGE(tblY7[Mean Stanine]),"")</f>
        <v>5.02035623409669</v>
      </c>
      <c r="H11" s="29">
        <f>IFERROR(AVERAGE(tblY7[vs Expected]),"")</f>
        <v>3.5527136788005e-16</v>
      </c>
      <c r="I11" s="30">
        <f>IFERROR(SUMPRODUCT((RIGHT(tblY7[#Headers],8)=CHAR(10)&amp;"Stanine")*ISNUMBER(tblY7[#Data])*(tblY7[#Data]&gt;=7))/SUMPRODUCT((RIGHT(tblY7[#Headers],8)=CHAR(10)&amp;"Stanine")*ISNUMBER(tblY7[#Data])),"")</f>
        <v>0.265593561368209</v>
      </c>
      <c r="J11" s="30">
        <f>IFERROR(SUMPRODUCT((RIGHT(tblY7[#Headers],8)=CHAR(10)&amp;"Stanine")*ISNUMBER(tblY7[#Data])*(tblY7[#Data]&lt;=3))/SUMPRODUCT((RIGHT(tblY7[#Headers],8)=CHAR(10)&amp;"Stanine")*ISNUMBER(tblY7[#Data])),"")</f>
        <v>0.21327967806841</v>
      </c>
      <c r="K11" s="30">
        <f>IFERROR(IF(Calc!$AF$3="","",AVERAGE(INDEX(tblY7[#Data],0,MATCH(Calc!$AF$3&amp;CHAR(10)&amp;"Raw Score",tblY7[#Headers],0)))/Calc!$AG$3),"")</f>
        <v>0.633640552995392</v>
      </c>
      <c r="L11" s="28">
        <f>IFERROR(IF(Calc!$AF$3="","",AVERAGE(INDEX(tblY7[#Data],0,MATCH(Calc!$AF$3&amp;CHAR(10)&amp;"Stanine",tblY7[#Headers],0)))),"")</f>
        <v>4.99193548387097</v>
      </c>
      <c r="M11" s="30">
        <f>IFERROR(IF(Calc!$AF$3="","",(COUNTIFS(INDEX(tblY7[#Data],0,MATCH(Calc!$AF$3&amp;CHAR(10)&amp;"Raw Score",tblY7[#Headers],0)),"&gt;=0")+COUNTIFS(INDEX(tblY7[#Data],0,MATCH(Calc!$AF$3&amp;CHAR(10)&amp;"Raw Score",tblY7[#Headers],0)),"A"))/COUNTA(tblY7[Preferred Last name])),"")</f>
        <v>1</v>
      </c>
    </row>
    <row r="12">
      <c r="B12" s="31" t="str">
        <f>Calc!S3</f>
        <v>7A/Sc1</v>
      </c>
      <c r="C12" s="32" t="str">
        <f>IF($B12="","",IFERROR(INDEX(tblTeachers[Teacher],MATCH("Year 7"&amp;"|"&amp;$B12,tblTeachers[Key],0))&amp;"",""))</f>
        <v>Ms Adeyemi</v>
      </c>
      <c r="D12" s="33">
        <f>IF($B12="","",IFERROR(SUMPRODUCT(--((tblY7[Class])&amp;""=($B12)&amp;"")),""))</f>
        <v>30</v>
      </c>
      <c r="E12" s="34">
        <f>IF($B12="","",IFERROR(SUMPRODUCT(((tblY7[Class])&amp;""=($B12)&amp;"")*ISNUMBER(tblY7[Avg KS2 Band]),tblY7[Avg KS2 Band])/SUMPRODUCT(((tblY7[Class])&amp;""=($B12)&amp;"")*ISNUMBER(tblY7[Avg KS2 Band])),""))</f>
        <v>5.66666666666667</v>
      </c>
      <c r="F12" s="34">
        <f>IF($B12="","",IFERROR(SUMPRODUCT(((tblY7[Class])&amp;""=($B12)&amp;"")*ISNUMBER(tblY7[Tests Sat]),tblY7[Tests Sat])/SUMPRODUCT(((tblY7[Class])&amp;""=($B12)&amp;"")*ISNUMBER(tblY7[Tests Sat])),""))</f>
        <v>3.8</v>
      </c>
      <c r="G12" s="34">
        <f>IF($B12="","",IFERROR(SUMPRODUCT(((tblY7[Class])&amp;""=($B12)&amp;"")*ISNUMBER(tblY7[Mean Stanine]),tblY7[Mean Stanine])/SUMPRODUCT(((tblY7[Class])&amp;""=($B12)&amp;"")*ISNUMBER(tblY7[Mean Stanine])),""))</f>
        <v>5.34444444444445</v>
      </c>
      <c r="H12" s="35">
        <f>IF($B12="","",IFERROR(SUMPRODUCT(((tblY7[Class])&amp;""=($B12)&amp;"")*ISNUMBER(tblY7[vs Expected]),tblY7[vs Expected])/SUMPRODUCT(((tblY7[Class])&amp;""=($B12)&amp;"")*ISNUMBER(tblY7[vs Expected])),""))</f>
        <v>-0.126103160405486</v>
      </c>
      <c r="I12" s="36">
        <f>IF($B12="","",IFERROR(SUMPRODUCT(((tblY7[Class])&amp;""=($B12)&amp;"")*(RIGHT(tblY7[#Headers],8)=CHAR(10)&amp;"Stanine")*ISNUMBER(tblY7[#Data])*(tblY7[#Data]&gt;=7))/SUMPRODUCT(((tblY7[Class])&amp;""=($B12)&amp;"")*(RIGHT(tblY7[#Headers],8)=CHAR(10)&amp;"Stanine")*ISNUMBER(tblY7[#Data])),""))</f>
        <v>0.298245614035088</v>
      </c>
      <c r="J12" s="36">
        <f>IF($B12="","",IFERROR(SUMPRODUCT(((tblY7[Class])&amp;""=($B12)&amp;"")*(RIGHT(tblY7[#Headers],8)=CHAR(10)&amp;"Stanine")*ISNUMBER(tblY7[#Data])*(tblY7[#Data]&lt;=3))/SUMPRODUCT(((tblY7[Class])&amp;""=($B12)&amp;"")*(RIGHT(tblY7[#Headers],8)=CHAR(10)&amp;"Stanine")*ISNUMBER(tblY7[#Data])),""))</f>
        <v>0.192982456140351</v>
      </c>
      <c r="K12" s="36">
        <f>IF($B12="","",IFERROR(IF(Calc!$AF$3="","",SUMPRODUCT(((tblY7[Class])&amp;""=($B12)&amp;"")*ISNUMBER(INDEX(tblY7[#Data],0,MATCH(Calc!$AF$3&amp;CHAR(10)&amp;"Raw Score",tblY7[#Headers],0))),INDEX(tblY7[#Data],0,MATCH(Calc!$AF$3&amp;CHAR(10)&amp;"Raw Score",tblY7[#Headers],0)))/SUMPRODUCT(((tblY7[Class])&amp;""=($B12)&amp;"")*ISNUMBER(INDEX(tblY7[#Data],0,MATCH(Calc!$AF$3&amp;CHAR(10)&amp;"Raw Score",tblY7[#Headers],0))))/Calc!$AG$3),""))</f>
        <v>0.663265306122449</v>
      </c>
      <c r="L12" s="34">
        <f>IF($B12="","",IFERROR(IF(Calc!$AF$3="","",SUMPRODUCT(((tblY7[Class])&amp;""=($B12)&amp;"")*ISNUMBER(INDEX(tblY7[#Data],0,MATCH(Calc!$AF$3&amp;CHAR(10)&amp;"Stanine",tblY7[#Headers],0))),INDEX(tblY7[#Data],0,MATCH(Calc!$AF$3&amp;CHAR(10)&amp;"Stanine",tblY7[#Headers],0)))/SUMPRODUCT(((tblY7[Class])&amp;""=($B12)&amp;"")*ISNUMBER(INDEX(tblY7[#Data],0,MATCH(Calc!$AF$3&amp;CHAR(10)&amp;"Stanine",tblY7[#Headers],0))))),""))</f>
        <v>5.39285714285714</v>
      </c>
      <c r="M12" s="36">
        <f>IF($B12="","",IFERROR(IF(Calc!$AF$3="","",(SUMPRODUCT(((tblY7[Class])&amp;""=($B12)&amp;"")*ISNUMBER(INDEX(tblY7[#Data],0,MATCH(Calc!$AF$3&amp;CHAR(10)&amp;"Raw Score",tblY7[#Headers],0)))*((INDEX(tblY7[#Data],0,MATCH(Calc!$AF$3&amp;CHAR(10)&amp;"Raw Score",tblY7[#Headers],0)))&gt;=0))+SUMPRODUCT(((tblY7[Class])&amp;""=($B12)&amp;"")*((INDEX(tblY7[#Data],0,MATCH(Calc!$AF$3&amp;CHAR(10)&amp;"Raw Score",tblY7[#Headers],0)))&amp;""="A")))/SUMPRODUCT(--((tblY7[Class])&amp;""=($B12)&amp;""))),""))</f>
        <v>1</v>
      </c>
    </row>
    <row r="13">
      <c r="B13" s="31" t="str">
        <f>Calc!S4</f>
        <v>7A/Sc2</v>
      </c>
      <c r="C13" s="32" t="str">
        <f>IF($B13="","",IFERROR(INDEX(tblTeachers[Teacher],MATCH("Year 7"&amp;"|"&amp;$B13,tblTeachers[Key],0))&amp;"",""))</f>
        <v>Dr Clarke</v>
      </c>
      <c r="D13" s="33">
        <f>IF($B13="","",IFERROR(SUMPRODUCT(--((tblY7[Class])&amp;""=($B13)&amp;"")),""))</f>
        <v>30</v>
      </c>
      <c r="E13" s="34">
        <f>IF($B13="","",IFERROR(SUMPRODUCT(((tblY7[Class])&amp;""=($B13)&amp;"")*ISNUMBER(tblY7[Avg KS2 Band]),tblY7[Avg KS2 Band])/SUMPRODUCT(((tblY7[Class])&amp;""=($B13)&amp;"")*ISNUMBER(tblY7[Avg KS2 Band])),""))</f>
        <v>4.62068965517241</v>
      </c>
      <c r="F13" s="34">
        <f>IF($B13="","",IFERROR(SUMPRODUCT(((tblY7[Class])&amp;""=($B13)&amp;"")*ISNUMBER(tblY7[Tests Sat]),tblY7[Tests Sat])/SUMPRODUCT(((tblY7[Class])&amp;""=($B13)&amp;"")*ISNUMBER(tblY7[Tests Sat])),""))</f>
        <v>3.8</v>
      </c>
      <c r="G13" s="34">
        <f>IF($B13="","",IFERROR(SUMPRODUCT(((tblY7[Class])&amp;""=($B13)&amp;"")*ISNUMBER(tblY7[Mean Stanine]),tblY7[Mean Stanine])/SUMPRODUCT(((tblY7[Class])&amp;""=($B13)&amp;"")*ISNUMBER(tblY7[Mean Stanine])),""))</f>
        <v>4.71111111111111</v>
      </c>
      <c r="H13" s="35">
        <f>IF($B13="","",IFERROR(SUMPRODUCT(((tblY7[Class])&amp;""=($B13)&amp;"")*ISNUMBER(tblY7[vs Expected]),tblY7[vs Expected])/SUMPRODUCT(((tblY7[Class])&amp;""=($B13)&amp;"")*ISNUMBER(tblY7[vs Expected])),""))</f>
        <v>-0.100665443217568</v>
      </c>
      <c r="I13" s="36">
        <f>IF($B13="","",IFERROR(SUMPRODUCT(((tblY7[Class])&amp;""=($B13)&amp;"")*(RIGHT(tblY7[#Headers],8)=CHAR(10)&amp;"Stanine")*ISNUMBER(tblY7[#Data])*(tblY7[#Data]&gt;=7))/SUMPRODUCT(((tblY7[Class])&amp;""=($B13)&amp;"")*(RIGHT(tblY7[#Headers],8)=CHAR(10)&amp;"Stanine")*ISNUMBER(tblY7[#Data])),""))</f>
        <v>0.166666666666667</v>
      </c>
      <c r="J13" s="36">
        <f>IF($B13="","",IFERROR(SUMPRODUCT(((tblY7[Class])&amp;""=($B13)&amp;"")*(RIGHT(tblY7[#Headers],8)=CHAR(10)&amp;"Stanine")*ISNUMBER(tblY7[#Data])*(tblY7[#Data]&lt;=3))/SUMPRODUCT(((tblY7[Class])&amp;""=($B13)&amp;"")*(RIGHT(tblY7[#Headers],8)=CHAR(10)&amp;"Stanine")*ISNUMBER(tblY7[#Data])),""))</f>
        <v>0.254385964912281</v>
      </c>
      <c r="K13" s="36">
        <f>IF($B13="","",IFERROR(IF(Calc!$AF$3="","",SUMPRODUCT(((tblY7[Class])&amp;""=($B13)&amp;"")*ISNUMBER(INDEX(tblY7[#Data],0,MATCH(Calc!$AF$3&amp;CHAR(10)&amp;"Raw Score",tblY7[#Headers],0))),INDEX(tblY7[#Data],0,MATCH(Calc!$AF$3&amp;CHAR(10)&amp;"Raw Score",tblY7[#Headers],0)))/SUMPRODUCT(((tblY7[Class])&amp;""=($B13)&amp;"")*ISNUMBER(INDEX(tblY7[#Data],0,MATCH(Calc!$AF$3&amp;CHAR(10)&amp;"Raw Score",tblY7[#Headers],0))))/Calc!$AG$3),""))</f>
        <v>0.593112244897959</v>
      </c>
      <c r="L13" s="34">
        <f>IF($B13="","",IFERROR(IF(Calc!$AF$3="","",SUMPRODUCT(((tblY7[Class])&amp;""=($B13)&amp;"")*ISNUMBER(INDEX(tblY7[#Data],0,MATCH(Calc!$AF$3&amp;CHAR(10)&amp;"Stanine",tblY7[#Headers],0))),INDEX(tblY7[#Data],0,MATCH(Calc!$AF$3&amp;CHAR(10)&amp;"Stanine",tblY7[#Headers],0)))/SUMPRODUCT(((tblY7[Class])&amp;""=($B13)&amp;"")*ISNUMBER(INDEX(tblY7[#Data],0,MATCH(Calc!$AF$3&amp;CHAR(10)&amp;"Stanine",tblY7[#Headers],0))))),""))</f>
        <v>4.57142857142857</v>
      </c>
      <c r="M13" s="36">
        <f>IF($B13="","",IFERROR(IF(Calc!$AF$3="","",(SUMPRODUCT(((tblY7[Class])&amp;""=($B13)&amp;"")*ISNUMBER(INDEX(tblY7[#Data],0,MATCH(Calc!$AF$3&amp;CHAR(10)&amp;"Raw Score",tblY7[#Headers],0)))*((INDEX(tblY7[#Data],0,MATCH(Calc!$AF$3&amp;CHAR(10)&amp;"Raw Score",tblY7[#Headers],0)))&gt;=0))+SUMPRODUCT(((tblY7[Class])&amp;""=($B13)&amp;"")*((INDEX(tblY7[#Data],0,MATCH(Calc!$AF$3&amp;CHAR(10)&amp;"Raw Score",tblY7[#Headers],0)))&amp;""="A")))/SUMPRODUCT(--((tblY7[Class])&amp;""=($B13)&amp;""))),""))</f>
        <v>1</v>
      </c>
    </row>
    <row r="14">
      <c r="B14" s="31" t="str">
        <f>Calc!S5</f>
        <v>7B/Sc1</v>
      </c>
      <c r="C14" s="32" t="str">
        <f>IF($B14="","",IFERROR(INDEX(tblTeachers[Teacher],MATCH("Year 7"&amp;"|"&amp;$B14,tblTeachers[Key],0))&amp;"",""))</f>
        <v>Mr Walsh</v>
      </c>
      <c r="D14" s="33">
        <f>IF($B14="","",IFERROR(SUMPRODUCT(--((tblY7[Class])&amp;""=($B14)&amp;"")),""))</f>
        <v>27</v>
      </c>
      <c r="E14" s="34">
        <f>IF($B14="","",IFERROR(SUMPRODUCT(((tblY7[Class])&amp;""=($B14)&amp;"")*ISNUMBER(tblY7[Avg KS2 Band]),tblY7[Avg KS2 Band])/SUMPRODUCT(((tblY7[Class])&amp;""=($B14)&amp;"")*ISNUMBER(tblY7[Avg KS2 Band])),""))</f>
        <v>5.55555555555556</v>
      </c>
      <c r="F14" s="34">
        <f>IF($B14="","",IFERROR(SUMPRODUCT(((tblY7[Class])&amp;""=($B14)&amp;"")*ISNUMBER(tblY7[Tests Sat]),tblY7[Tests Sat])/SUMPRODUCT(((tblY7[Class])&amp;""=($B14)&amp;"")*ISNUMBER(tblY7[Tests Sat])),""))</f>
        <v>3.88888888888889</v>
      </c>
      <c r="G14" s="34">
        <f>IF($B14="","",IFERROR(SUMPRODUCT(((tblY7[Class])&amp;""=($B14)&amp;"")*ISNUMBER(tblY7[Mean Stanine]),tblY7[Mean Stanine])/SUMPRODUCT(((tblY7[Class])&amp;""=($B14)&amp;"")*ISNUMBER(tblY7[Mean Stanine])),""))</f>
        <v>6.15432098765432</v>
      </c>
      <c r="H14" s="35">
        <f>IF($B14="","",IFERROR(SUMPRODUCT(((tblY7[Class])&amp;""=($B14)&amp;"")*ISNUMBER(tblY7[vs Expected]),tblY7[vs Expected])/SUMPRODUCT(((tblY7[Class])&amp;""=($B14)&amp;"")*ISNUMBER(tblY7[vs Expected])),""))</f>
        <v>0.760915932330661</v>
      </c>
      <c r="I14" s="36">
        <f>IF($B14="","",IFERROR(SUMPRODUCT(((tblY7[Class])&amp;""=($B14)&amp;"")*(RIGHT(tblY7[#Headers],8)=CHAR(10)&amp;"Stanine")*ISNUMBER(tblY7[#Data])*(tblY7[#Data]&gt;=7))/SUMPRODUCT(((tblY7[Class])&amp;""=($B14)&amp;"")*(RIGHT(tblY7[#Headers],8)=CHAR(10)&amp;"Stanine")*ISNUMBER(tblY7[#Data])),""))</f>
        <v>0.40952380952381</v>
      </c>
      <c r="J14" s="36">
        <f>IF($B14="","",IFERROR(SUMPRODUCT(((tblY7[Class])&amp;""=($B14)&amp;"")*(RIGHT(tblY7[#Headers],8)=CHAR(10)&amp;"Stanine")*ISNUMBER(tblY7[#Data])*(tblY7[#Data]&lt;=3))/SUMPRODUCT(((tblY7[Class])&amp;""=($B14)&amp;"")*(RIGHT(tblY7[#Headers],8)=CHAR(10)&amp;"Stanine")*ISNUMBER(tblY7[#Data])),""))</f>
        <v>0</v>
      </c>
      <c r="K14" s="36">
        <f>IF($B14="","",IFERROR(IF(Calc!$AF$3="","",SUMPRODUCT(((tblY7[Class])&amp;""=($B14)&amp;"")*ISNUMBER(INDEX(tblY7[#Data],0,MATCH(Calc!$AF$3&amp;CHAR(10)&amp;"Raw Score",tblY7[#Headers],0))),INDEX(tblY7[#Data],0,MATCH(Calc!$AF$3&amp;CHAR(10)&amp;"Raw Score",tblY7[#Headers],0)))/SUMPRODUCT(((tblY7[Class])&amp;""=($B14)&amp;"")*ISNUMBER(INDEX(tblY7[#Data],0,MATCH(Calc!$AF$3&amp;CHAR(10)&amp;"Raw Score",tblY7[#Headers],0))))/Calc!$AG$3),""))</f>
        <v>0.751322751322751</v>
      </c>
      <c r="L14" s="34">
        <f>IF($B14="","",IFERROR(IF(Calc!$AF$3="","",SUMPRODUCT(((tblY7[Class])&amp;""=($B14)&amp;"")*ISNUMBER(INDEX(tblY7[#Data],0,MATCH(Calc!$AF$3&amp;CHAR(10)&amp;"Stanine",tblY7[#Headers],0))),INDEX(tblY7[#Data],0,MATCH(Calc!$AF$3&amp;CHAR(10)&amp;"Stanine",tblY7[#Headers],0)))/SUMPRODUCT(((tblY7[Class])&amp;""=($B14)&amp;"")*ISNUMBER(INDEX(tblY7[#Data],0,MATCH(Calc!$AF$3&amp;CHAR(10)&amp;"Stanine",tblY7[#Headers],0))))),""))</f>
        <v>6.14814814814815</v>
      </c>
      <c r="M14" s="36">
        <f>IF($B14="","",IFERROR(IF(Calc!$AF$3="","",(SUMPRODUCT(((tblY7[Class])&amp;""=($B14)&amp;"")*ISNUMBER(INDEX(tblY7[#Data],0,MATCH(Calc!$AF$3&amp;CHAR(10)&amp;"Raw Score",tblY7[#Headers],0)))*((INDEX(tblY7[#Data],0,MATCH(Calc!$AF$3&amp;CHAR(10)&amp;"Raw Score",tblY7[#Headers],0)))&gt;=0))+SUMPRODUCT(((tblY7[Class])&amp;""=($B14)&amp;"")*((INDEX(tblY7[#Data],0,MATCH(Calc!$AF$3&amp;CHAR(10)&amp;"Raw Score",tblY7[#Headers],0)))&amp;""="A")))/SUMPRODUCT(--((tblY7[Class])&amp;""=($B14)&amp;""))),""))</f>
        <v>1</v>
      </c>
    </row>
    <row r="15">
      <c r="B15" s="31" t="str">
        <f>Calc!S6</f>
        <v>7B/Sc2</v>
      </c>
      <c r="C15" s="32" t="str">
        <f>IF($B15="","",IFERROR(INDEX(tblTeachers[Teacher],MATCH("Year 7"&amp;"|"&amp;$B15,tblTeachers[Key],0))&amp;"",""))</f>
        <v>Ms Novak</v>
      </c>
      <c r="D15" s="33">
        <f>IF($B15="","",IFERROR(SUMPRODUCT(--((tblY7[Class])&amp;""=($B15)&amp;"")),""))</f>
        <v>26</v>
      </c>
      <c r="E15" s="34">
        <f>IF($B15="","",IFERROR(SUMPRODUCT(((tblY7[Class])&amp;""=($B15)&amp;"")*ISNUMBER(tblY7[Avg KS2 Band]),tblY7[Avg KS2 Band])/SUMPRODUCT(((tblY7[Class])&amp;""=($B15)&amp;"")*ISNUMBER(tblY7[Avg KS2 Band])),""))</f>
        <v>4.61538461538462</v>
      </c>
      <c r="F15" s="34">
        <f>IF($B15="","",IFERROR(SUMPRODUCT(((tblY7[Class])&amp;""=($B15)&amp;"")*ISNUMBER(tblY7[Tests Sat]),tblY7[Tests Sat])/SUMPRODUCT(((tblY7[Class])&amp;""=($B15)&amp;"")*ISNUMBER(tblY7[Tests Sat])),""))</f>
        <v>3.88461538461538</v>
      </c>
      <c r="G15" s="34">
        <f>IF($B15="","",IFERROR(SUMPRODUCT(((tblY7[Class])&amp;""=($B15)&amp;"")*ISNUMBER(tblY7[Mean Stanine]),tblY7[Mean Stanine])/SUMPRODUCT(((tblY7[Class])&amp;""=($B15)&amp;"")*ISNUMBER(tblY7[Mean Stanine])),""))</f>
        <v>4.70192307692308</v>
      </c>
      <c r="H15" s="35">
        <f>IF($B15="","",IFERROR(SUMPRODUCT(((tblY7[Class])&amp;""=($B15)&amp;"")*ISNUMBER(tblY7[vs Expected]),tblY7[vs Expected])/SUMPRODUCT(((tblY7[Class])&amp;""=($B15)&amp;"")*ISNUMBER(tblY7[vs Expected])),""))</f>
        <v>-0.0387373285629097</v>
      </c>
      <c r="I15" s="36">
        <f>IF($B15="","",IFERROR(SUMPRODUCT(((tblY7[Class])&amp;""=($B15)&amp;"")*(RIGHT(tblY7[#Headers],8)=CHAR(10)&amp;"Stanine")*ISNUMBER(tblY7[#Data])*(tblY7[#Data]&gt;=7))/SUMPRODUCT(((tblY7[Class])&amp;""=($B15)&amp;"")*(RIGHT(tblY7[#Headers],8)=CHAR(10)&amp;"Stanine")*ISNUMBER(tblY7[#Data])),""))</f>
        <v>0.257425742574257</v>
      </c>
      <c r="J15" s="36">
        <f>IF($B15="","",IFERROR(SUMPRODUCT(((tblY7[Class])&amp;""=($B15)&amp;"")*(RIGHT(tblY7[#Headers],8)=CHAR(10)&amp;"Stanine")*ISNUMBER(tblY7[#Data])*(tblY7[#Data]&lt;=3))/SUMPRODUCT(((tblY7[Class])&amp;""=($B15)&amp;"")*(RIGHT(tblY7[#Headers],8)=CHAR(10)&amp;"Stanine")*ISNUMBER(tblY7[#Data])),""))</f>
        <v>0.267326732673267</v>
      </c>
      <c r="K15" s="36">
        <f>IF($B15="","",IFERROR(IF(Calc!$AF$3="","",SUMPRODUCT(((tblY7[Class])&amp;""=($B15)&amp;"")*ISNUMBER(INDEX(tblY7[#Data],0,MATCH(Calc!$AF$3&amp;CHAR(10)&amp;"Raw Score",tblY7[#Headers],0))),INDEX(tblY7[#Data],0,MATCH(Calc!$AF$3&amp;CHAR(10)&amp;"Raw Score",tblY7[#Headers],0)))/SUMPRODUCT(((tblY7[Class])&amp;""=($B15)&amp;"")*ISNUMBER(INDEX(tblY7[#Data],0,MATCH(Calc!$AF$3&amp;CHAR(10)&amp;"Raw Score",tblY7[#Headers],0))))/Calc!$AG$3),""))</f>
        <v>0.586309523809524</v>
      </c>
      <c r="L15" s="34">
        <f>IF($B15="","",IFERROR(IF(Calc!$AF$3="","",SUMPRODUCT(((tblY7[Class])&amp;""=($B15)&amp;"")*ISNUMBER(INDEX(tblY7[#Data],0,MATCH(Calc!$AF$3&amp;CHAR(10)&amp;"Stanine",tblY7[#Headers],0))),INDEX(tblY7[#Data],0,MATCH(Calc!$AF$3&amp;CHAR(10)&amp;"Stanine",tblY7[#Headers],0)))/SUMPRODUCT(((tblY7[Class])&amp;""=($B15)&amp;"")*ISNUMBER(INDEX(tblY7[#Data],0,MATCH(Calc!$AF$3&amp;CHAR(10)&amp;"Stanine",tblY7[#Headers],0))))),""))</f>
        <v>4.5</v>
      </c>
      <c r="M15" s="36">
        <f>IF($B15="","",IFERROR(IF(Calc!$AF$3="","",(SUMPRODUCT(((tblY7[Class])&amp;""=($B15)&amp;"")*ISNUMBER(INDEX(tblY7[#Data],0,MATCH(Calc!$AF$3&amp;CHAR(10)&amp;"Raw Score",tblY7[#Headers],0)))*((INDEX(tblY7[#Data],0,MATCH(Calc!$AF$3&amp;CHAR(10)&amp;"Raw Score",tblY7[#Headers],0)))&gt;=0))+SUMPRODUCT(((tblY7[Class])&amp;""=($B15)&amp;"")*((INDEX(tblY7[#Data],0,MATCH(Calc!$AF$3&amp;CHAR(10)&amp;"Raw Score",tblY7[#Headers],0)))&amp;""="A")))/SUMPRODUCT(--((tblY7[Class])&amp;""=($B15)&amp;""))),""))</f>
        <v>1</v>
      </c>
    </row>
    <row r="16">
      <c r="B16" s="31" t="str">
        <f>Calc!S7</f>
        <v>7B/Sc3</v>
      </c>
      <c r="C16" s="32" t="str">
        <f>IF($B16="","",IFERROR(INDEX(tblTeachers[Teacher],MATCH("Year 7"&amp;"|"&amp;$B16,tblTeachers[Key],0))&amp;"",""))</f>
        <v>Ms Rahman</v>
      </c>
      <c r="D16" s="33">
        <f>IF($B16="","",IFERROR(SUMPRODUCT(--((tblY7[Class])&amp;""=($B16)&amp;"")),""))</f>
        <v>18</v>
      </c>
      <c r="E16" s="34">
        <f>IF($B16="","",IFERROR(SUMPRODUCT(((tblY7[Class])&amp;""=($B16)&amp;"")*ISNUMBER(tblY7[Avg KS2 Band]),tblY7[Avg KS2 Band])/SUMPRODUCT(((tblY7[Class])&amp;""=($B16)&amp;"")*ISNUMBER(tblY7[Avg KS2 Band])),""))</f>
        <v>4.22222222222222</v>
      </c>
      <c r="F16" s="34">
        <f>IF($B16="","",IFERROR(SUMPRODUCT(((tblY7[Class])&amp;""=($B16)&amp;"")*ISNUMBER(tblY7[Tests Sat]),tblY7[Tests Sat])/SUMPRODUCT(((tblY7[Class])&amp;""=($B16)&amp;"")*ISNUMBER(tblY7[Tests Sat])),""))</f>
        <v>3.5</v>
      </c>
      <c r="G16" s="34">
        <f>IF($B16="","",IFERROR(SUMPRODUCT(((tblY7[Class])&amp;""=($B16)&amp;"")*ISNUMBER(tblY7[Mean Stanine]),tblY7[Mean Stanine])/SUMPRODUCT(((tblY7[Class])&amp;""=($B16)&amp;"")*ISNUMBER(tblY7[Mean Stanine])),""))</f>
        <v>3.75462962962963</v>
      </c>
      <c r="H16" s="35">
        <f>IF($B16="","",IFERROR(SUMPRODUCT(((tblY7[Class])&amp;""=($B16)&amp;"")*ISNUMBER(tblY7[vs Expected]),tblY7[vs Expected])/SUMPRODUCT(((tblY7[Class])&amp;""=($B16)&amp;"")*ISNUMBER(tblY7[vs Expected])),""))</f>
        <v>-0.713064831378785</v>
      </c>
      <c r="I16" s="36">
        <f>IF($B16="","",IFERROR(SUMPRODUCT(((tblY7[Class])&amp;""=($B16)&amp;"")*(RIGHT(tblY7[#Headers],8)=CHAR(10)&amp;"Stanine")*ISNUMBER(tblY7[#Data])*(tblY7[#Data]&gt;=7))/SUMPRODUCT(((tblY7[Class])&amp;""=($B16)&amp;"")*(RIGHT(tblY7[#Headers],8)=CHAR(10)&amp;"Stanine")*ISNUMBER(tblY7[#Data])),""))</f>
        <v>0.158730158730159</v>
      </c>
      <c r="J16" s="36">
        <f>IF($B16="","",IFERROR(SUMPRODUCT(((tblY7[Class])&amp;""=($B16)&amp;"")*(RIGHT(tblY7[#Headers],8)=CHAR(10)&amp;"Stanine")*ISNUMBER(tblY7[#Data])*(tblY7[#Data]&lt;=3))/SUMPRODUCT(((tblY7[Class])&amp;""=($B16)&amp;"")*(RIGHT(tblY7[#Headers],8)=CHAR(10)&amp;"Stanine")*ISNUMBER(tblY7[#Data])),""))</f>
        <v>0.444444444444444</v>
      </c>
      <c r="K16" s="36">
        <f>IF($B16="","",IFERROR(IF(Calc!$AF$3="","",SUMPRODUCT(((tblY7[Class])&amp;""=($B16)&amp;"")*ISNUMBER(INDEX(tblY7[#Data],0,MATCH(Calc!$AF$3&amp;CHAR(10)&amp;"Raw Score",tblY7[#Headers],0))),INDEX(tblY7[#Data],0,MATCH(Calc!$AF$3&amp;CHAR(10)&amp;"Raw Score",tblY7[#Headers],0)))/SUMPRODUCT(((tblY7[Class])&amp;""=($B16)&amp;"")*ISNUMBER(INDEX(tblY7[#Data],0,MATCH(Calc!$AF$3&amp;CHAR(10)&amp;"Raw Score",tblY7[#Headers],0))))/Calc!$AG$3),""))</f>
        <v>0.531512605042017</v>
      </c>
      <c r="L16" s="34">
        <f>IF($B16="","",IFERROR(IF(Calc!$AF$3="","",SUMPRODUCT(((tblY7[Class])&amp;""=($B16)&amp;"")*ISNUMBER(INDEX(tblY7[#Data],0,MATCH(Calc!$AF$3&amp;CHAR(10)&amp;"Stanine",tblY7[#Headers],0))),INDEX(tblY7[#Data],0,MATCH(Calc!$AF$3&amp;CHAR(10)&amp;"Stanine",tblY7[#Headers],0)))/SUMPRODUCT(((tblY7[Class])&amp;""=($B16)&amp;"")*ISNUMBER(INDEX(tblY7[#Data],0,MATCH(Calc!$AF$3&amp;CHAR(10)&amp;"Stanine",tblY7[#Headers],0))))),""))</f>
        <v>3.88235294117647</v>
      </c>
      <c r="M16" s="36">
        <f>IF($B16="","",IFERROR(IF(Calc!$AF$3="","",(SUMPRODUCT(((tblY7[Class])&amp;""=($B16)&amp;"")*ISNUMBER(INDEX(tblY7[#Data],0,MATCH(Calc!$AF$3&amp;CHAR(10)&amp;"Raw Score",tblY7[#Headers],0)))*((INDEX(tblY7[#Data],0,MATCH(Calc!$AF$3&amp;CHAR(10)&amp;"Raw Score",tblY7[#Headers],0)))&gt;=0))+SUMPRODUCT(((tblY7[Class])&amp;""=($B16)&amp;"")*((INDEX(tblY7[#Data],0,MATCH(Calc!$AF$3&amp;CHAR(10)&amp;"Raw Score",tblY7[#Headers],0)))&amp;""="A")))/SUMPRODUCT(--((tblY7[Class])&amp;""=($B16)&amp;""))),""))</f>
        <v>1</v>
      </c>
    </row>
    <row r="17">
      <c r="B17" s="31" t="str">
        <f>Calc!S8</f>
        <v/>
      </c>
      <c r="C17" s="32" t="str">
        <f>IF($B17="","",IFERROR(INDEX(tblTeachers[Teacher],MATCH("Year 7"&amp;"|"&amp;$B17,tblTeachers[Key],0))&amp;"",""))</f>
        <v/>
      </c>
      <c r="D17" s="33" t="str">
        <f>IF($B17="","",IFERROR(SUMPRODUCT(--((tblY7[Class])&amp;""=($B17)&amp;"")),""))</f>
        <v/>
      </c>
      <c r="E17" s="34" t="str">
        <f>IF($B17="","",IFERROR(SUMPRODUCT(((tblY7[Class])&amp;""=($B17)&amp;"")*ISNUMBER(tblY7[Avg KS2 Band]),tblY7[Avg KS2 Band])/SUMPRODUCT(((tblY7[Class])&amp;""=($B17)&amp;"")*ISNUMBER(tblY7[Avg KS2 Band])),""))</f>
        <v/>
      </c>
      <c r="F17" s="34" t="str">
        <f>IF($B17="","",IFERROR(SUMPRODUCT(((tblY7[Class])&amp;""=($B17)&amp;"")*ISNUMBER(tblY7[Tests Sat]),tblY7[Tests Sat])/SUMPRODUCT(((tblY7[Class])&amp;""=($B17)&amp;"")*ISNUMBER(tblY7[Tests Sat])),""))</f>
        <v/>
      </c>
      <c r="G17" s="34" t="str">
        <f>IF($B17="","",IFERROR(SUMPRODUCT(((tblY7[Class])&amp;""=($B17)&amp;"")*ISNUMBER(tblY7[Mean Stanine]),tblY7[Mean Stanine])/SUMPRODUCT(((tblY7[Class])&amp;""=($B17)&amp;"")*ISNUMBER(tblY7[Mean Stanine])),""))</f>
        <v/>
      </c>
      <c r="H17" s="35" t="str">
        <f>IF($B17="","",IFERROR(SUMPRODUCT(((tblY7[Class])&amp;""=($B17)&amp;"")*ISNUMBER(tblY7[vs Expected]),tblY7[vs Expected])/SUMPRODUCT(((tblY7[Class])&amp;""=($B17)&amp;"")*ISNUMBER(tblY7[vs Expected])),""))</f>
        <v/>
      </c>
      <c r="I17" s="36" t="str">
        <f>IF($B17="","",IFERROR(SUMPRODUCT(((tblY7[Class])&amp;""=($B17)&amp;"")*(RIGHT(tblY7[#Headers],8)=CHAR(10)&amp;"Stanine")*ISNUMBER(tblY7[#Data])*(tblY7[#Data]&gt;=7))/SUMPRODUCT(((tblY7[Class])&amp;""=($B17)&amp;"")*(RIGHT(tblY7[#Headers],8)=CHAR(10)&amp;"Stanine")*ISNUMBER(tblY7[#Data])),""))</f>
        <v/>
      </c>
      <c r="J17" s="36" t="str">
        <f>IF($B17="","",IFERROR(SUMPRODUCT(((tblY7[Class])&amp;""=($B17)&amp;"")*(RIGHT(tblY7[#Headers],8)=CHAR(10)&amp;"Stanine")*ISNUMBER(tblY7[#Data])*(tblY7[#Data]&lt;=3))/SUMPRODUCT(((tblY7[Class])&amp;""=($B17)&amp;"")*(RIGHT(tblY7[#Headers],8)=CHAR(10)&amp;"Stanine")*ISNUMBER(tblY7[#Data])),""))</f>
        <v/>
      </c>
      <c r="K17" s="36" t="str">
        <f>IF($B17="","",IFERROR(IF(Calc!$AF$3="","",SUMPRODUCT(((tblY7[Class])&amp;""=($B17)&amp;"")*ISNUMBER(INDEX(tblY7[#Data],0,MATCH(Calc!$AF$3&amp;CHAR(10)&amp;"Raw Score",tblY7[#Headers],0))),INDEX(tblY7[#Data],0,MATCH(Calc!$AF$3&amp;CHAR(10)&amp;"Raw Score",tblY7[#Headers],0)))/SUMPRODUCT(((tblY7[Class])&amp;""=($B17)&amp;"")*ISNUMBER(INDEX(tblY7[#Data],0,MATCH(Calc!$AF$3&amp;CHAR(10)&amp;"Raw Score",tblY7[#Headers],0))))/Calc!$AG$3),""))</f>
        <v/>
      </c>
      <c r="L17" s="34" t="str">
        <f>IF($B17="","",IFERROR(IF(Calc!$AF$3="","",SUMPRODUCT(((tblY7[Class])&amp;""=($B17)&amp;"")*ISNUMBER(INDEX(tblY7[#Data],0,MATCH(Calc!$AF$3&amp;CHAR(10)&amp;"Stanine",tblY7[#Headers],0))),INDEX(tblY7[#Data],0,MATCH(Calc!$AF$3&amp;CHAR(10)&amp;"Stanine",tblY7[#Headers],0)))/SUMPRODUCT(((tblY7[Class])&amp;""=($B17)&amp;"")*ISNUMBER(INDEX(tblY7[#Data],0,MATCH(Calc!$AF$3&amp;CHAR(10)&amp;"Stanine",tblY7[#Headers],0))))),""))</f>
        <v/>
      </c>
      <c r="M17" s="36" t="str">
        <f>IF($B17="","",IFERROR(IF(Calc!$AF$3="","",(SUMPRODUCT(((tblY7[Class])&amp;""=($B17)&amp;"")*ISNUMBER(INDEX(tblY7[#Data],0,MATCH(Calc!$AF$3&amp;CHAR(10)&amp;"Raw Score",tblY7[#Headers],0)))*((INDEX(tblY7[#Data],0,MATCH(Calc!$AF$3&amp;CHAR(10)&amp;"Raw Score",tblY7[#Headers],0)))&gt;=0))+SUMPRODUCT(((tblY7[Class])&amp;""=($B17)&amp;"")*((INDEX(tblY7[#Data],0,MATCH(Calc!$AF$3&amp;CHAR(10)&amp;"Raw Score",tblY7[#Headers],0)))&amp;""="A")))/SUMPRODUCT(--((tblY7[Class])&amp;""=($B17)&amp;""))),""))</f>
        <v/>
      </c>
    </row>
    <row r="18">
      <c r="B18" s="31" t="str">
        <f>Calc!S9</f>
        <v/>
      </c>
      <c r="C18" s="32" t="str">
        <f>IF($B18="","",IFERROR(INDEX(tblTeachers[Teacher],MATCH("Year 7"&amp;"|"&amp;$B18,tblTeachers[Key],0))&amp;"",""))</f>
        <v/>
      </c>
      <c r="D18" s="33" t="str">
        <f>IF($B18="","",IFERROR(SUMPRODUCT(--((tblY7[Class])&amp;""=($B18)&amp;"")),""))</f>
        <v/>
      </c>
      <c r="E18" s="34" t="str">
        <f>IF($B18="","",IFERROR(SUMPRODUCT(((tblY7[Class])&amp;""=($B18)&amp;"")*ISNUMBER(tblY7[Avg KS2 Band]),tblY7[Avg KS2 Band])/SUMPRODUCT(((tblY7[Class])&amp;""=($B18)&amp;"")*ISNUMBER(tblY7[Avg KS2 Band])),""))</f>
        <v/>
      </c>
      <c r="F18" s="34" t="str">
        <f>IF($B18="","",IFERROR(SUMPRODUCT(((tblY7[Class])&amp;""=($B18)&amp;"")*ISNUMBER(tblY7[Tests Sat]),tblY7[Tests Sat])/SUMPRODUCT(((tblY7[Class])&amp;""=($B18)&amp;"")*ISNUMBER(tblY7[Tests Sat])),""))</f>
        <v/>
      </c>
      <c r="G18" s="34" t="str">
        <f>IF($B18="","",IFERROR(SUMPRODUCT(((tblY7[Class])&amp;""=($B18)&amp;"")*ISNUMBER(tblY7[Mean Stanine]),tblY7[Mean Stanine])/SUMPRODUCT(((tblY7[Class])&amp;""=($B18)&amp;"")*ISNUMBER(tblY7[Mean Stanine])),""))</f>
        <v/>
      </c>
      <c r="H18" s="35" t="str">
        <f>IF($B18="","",IFERROR(SUMPRODUCT(((tblY7[Class])&amp;""=($B18)&amp;"")*ISNUMBER(tblY7[vs Expected]),tblY7[vs Expected])/SUMPRODUCT(((tblY7[Class])&amp;""=($B18)&amp;"")*ISNUMBER(tblY7[vs Expected])),""))</f>
        <v/>
      </c>
      <c r="I18" s="36" t="str">
        <f>IF($B18="","",IFERROR(SUMPRODUCT(((tblY7[Class])&amp;""=($B18)&amp;"")*(RIGHT(tblY7[#Headers],8)=CHAR(10)&amp;"Stanine")*ISNUMBER(tblY7[#Data])*(tblY7[#Data]&gt;=7))/SUMPRODUCT(((tblY7[Class])&amp;""=($B18)&amp;"")*(RIGHT(tblY7[#Headers],8)=CHAR(10)&amp;"Stanine")*ISNUMBER(tblY7[#Data])),""))</f>
        <v/>
      </c>
      <c r="J18" s="36" t="str">
        <f>IF($B18="","",IFERROR(SUMPRODUCT(((tblY7[Class])&amp;""=($B18)&amp;"")*(RIGHT(tblY7[#Headers],8)=CHAR(10)&amp;"Stanine")*ISNUMBER(tblY7[#Data])*(tblY7[#Data]&lt;=3))/SUMPRODUCT(((tblY7[Class])&amp;""=($B18)&amp;"")*(RIGHT(tblY7[#Headers],8)=CHAR(10)&amp;"Stanine")*ISNUMBER(tblY7[#Data])),""))</f>
        <v/>
      </c>
      <c r="K18" s="36" t="str">
        <f>IF($B18="","",IFERROR(IF(Calc!$AF$3="","",SUMPRODUCT(((tblY7[Class])&amp;""=($B18)&amp;"")*ISNUMBER(INDEX(tblY7[#Data],0,MATCH(Calc!$AF$3&amp;CHAR(10)&amp;"Raw Score",tblY7[#Headers],0))),INDEX(tblY7[#Data],0,MATCH(Calc!$AF$3&amp;CHAR(10)&amp;"Raw Score",tblY7[#Headers],0)))/SUMPRODUCT(((tblY7[Class])&amp;""=($B18)&amp;"")*ISNUMBER(INDEX(tblY7[#Data],0,MATCH(Calc!$AF$3&amp;CHAR(10)&amp;"Raw Score",tblY7[#Headers],0))))/Calc!$AG$3),""))</f>
        <v/>
      </c>
      <c r="L18" s="34" t="str">
        <f>IF($B18="","",IFERROR(IF(Calc!$AF$3="","",SUMPRODUCT(((tblY7[Class])&amp;""=($B18)&amp;"")*ISNUMBER(INDEX(tblY7[#Data],0,MATCH(Calc!$AF$3&amp;CHAR(10)&amp;"Stanine",tblY7[#Headers],0))),INDEX(tblY7[#Data],0,MATCH(Calc!$AF$3&amp;CHAR(10)&amp;"Stanine",tblY7[#Headers],0)))/SUMPRODUCT(((tblY7[Class])&amp;""=($B18)&amp;"")*ISNUMBER(INDEX(tblY7[#Data],0,MATCH(Calc!$AF$3&amp;CHAR(10)&amp;"Stanine",tblY7[#Headers],0))))),""))</f>
        <v/>
      </c>
      <c r="M18" s="36" t="str">
        <f>IF($B18="","",IFERROR(IF(Calc!$AF$3="","",(SUMPRODUCT(((tblY7[Class])&amp;""=($B18)&amp;"")*ISNUMBER(INDEX(tblY7[#Data],0,MATCH(Calc!$AF$3&amp;CHAR(10)&amp;"Raw Score",tblY7[#Headers],0)))*((INDEX(tblY7[#Data],0,MATCH(Calc!$AF$3&amp;CHAR(10)&amp;"Raw Score",tblY7[#Headers],0)))&gt;=0))+SUMPRODUCT(((tblY7[Class])&amp;""=($B18)&amp;"")*((INDEX(tblY7[#Data],0,MATCH(Calc!$AF$3&amp;CHAR(10)&amp;"Raw Score",tblY7[#Headers],0)))&amp;""="A")))/SUMPRODUCT(--((tblY7[Class])&amp;""=($B18)&amp;""))),""))</f>
        <v/>
      </c>
    </row>
    <row r="19">
      <c r="B19" s="31" t="str">
        <f>Calc!S10</f>
        <v/>
      </c>
      <c r="C19" s="32" t="str">
        <f>IF($B19="","",IFERROR(INDEX(tblTeachers[Teacher],MATCH("Year 7"&amp;"|"&amp;$B19,tblTeachers[Key],0))&amp;"",""))</f>
        <v/>
      </c>
      <c r="D19" s="33" t="str">
        <f>IF($B19="","",IFERROR(SUMPRODUCT(--((tblY7[Class])&amp;""=($B19)&amp;"")),""))</f>
        <v/>
      </c>
      <c r="E19" s="34" t="str">
        <f>IF($B19="","",IFERROR(SUMPRODUCT(((tblY7[Class])&amp;""=($B19)&amp;"")*ISNUMBER(tblY7[Avg KS2 Band]),tblY7[Avg KS2 Band])/SUMPRODUCT(((tblY7[Class])&amp;""=($B19)&amp;"")*ISNUMBER(tblY7[Avg KS2 Band])),""))</f>
        <v/>
      </c>
      <c r="F19" s="34" t="str">
        <f>IF($B19="","",IFERROR(SUMPRODUCT(((tblY7[Class])&amp;""=($B19)&amp;"")*ISNUMBER(tblY7[Tests Sat]),tblY7[Tests Sat])/SUMPRODUCT(((tblY7[Class])&amp;""=($B19)&amp;"")*ISNUMBER(tblY7[Tests Sat])),""))</f>
        <v/>
      </c>
      <c r="G19" s="34" t="str">
        <f>IF($B19="","",IFERROR(SUMPRODUCT(((tblY7[Class])&amp;""=($B19)&amp;"")*ISNUMBER(tblY7[Mean Stanine]),tblY7[Mean Stanine])/SUMPRODUCT(((tblY7[Class])&amp;""=($B19)&amp;"")*ISNUMBER(tblY7[Mean Stanine])),""))</f>
        <v/>
      </c>
      <c r="H19" s="35" t="str">
        <f>IF($B19="","",IFERROR(SUMPRODUCT(((tblY7[Class])&amp;""=($B19)&amp;"")*ISNUMBER(tblY7[vs Expected]),tblY7[vs Expected])/SUMPRODUCT(((tblY7[Class])&amp;""=($B19)&amp;"")*ISNUMBER(tblY7[vs Expected])),""))</f>
        <v/>
      </c>
      <c r="I19" s="36" t="str">
        <f>IF($B19="","",IFERROR(SUMPRODUCT(((tblY7[Class])&amp;""=($B19)&amp;"")*(RIGHT(tblY7[#Headers],8)=CHAR(10)&amp;"Stanine")*ISNUMBER(tblY7[#Data])*(tblY7[#Data]&gt;=7))/SUMPRODUCT(((tblY7[Class])&amp;""=($B19)&amp;"")*(RIGHT(tblY7[#Headers],8)=CHAR(10)&amp;"Stanine")*ISNUMBER(tblY7[#Data])),""))</f>
        <v/>
      </c>
      <c r="J19" s="36" t="str">
        <f>IF($B19="","",IFERROR(SUMPRODUCT(((tblY7[Class])&amp;""=($B19)&amp;"")*(RIGHT(tblY7[#Headers],8)=CHAR(10)&amp;"Stanine")*ISNUMBER(tblY7[#Data])*(tblY7[#Data]&lt;=3))/SUMPRODUCT(((tblY7[Class])&amp;""=($B19)&amp;"")*(RIGHT(tblY7[#Headers],8)=CHAR(10)&amp;"Stanine")*ISNUMBER(tblY7[#Data])),""))</f>
        <v/>
      </c>
      <c r="K19" s="36" t="str">
        <f>IF($B19="","",IFERROR(IF(Calc!$AF$3="","",SUMPRODUCT(((tblY7[Class])&amp;""=($B19)&amp;"")*ISNUMBER(INDEX(tblY7[#Data],0,MATCH(Calc!$AF$3&amp;CHAR(10)&amp;"Raw Score",tblY7[#Headers],0))),INDEX(tblY7[#Data],0,MATCH(Calc!$AF$3&amp;CHAR(10)&amp;"Raw Score",tblY7[#Headers],0)))/SUMPRODUCT(((tblY7[Class])&amp;""=($B19)&amp;"")*ISNUMBER(INDEX(tblY7[#Data],0,MATCH(Calc!$AF$3&amp;CHAR(10)&amp;"Raw Score",tblY7[#Headers],0))))/Calc!$AG$3),""))</f>
        <v/>
      </c>
      <c r="L19" s="34" t="str">
        <f>IF($B19="","",IFERROR(IF(Calc!$AF$3="","",SUMPRODUCT(((tblY7[Class])&amp;""=($B19)&amp;"")*ISNUMBER(INDEX(tblY7[#Data],0,MATCH(Calc!$AF$3&amp;CHAR(10)&amp;"Stanine",tblY7[#Headers],0))),INDEX(tblY7[#Data],0,MATCH(Calc!$AF$3&amp;CHAR(10)&amp;"Stanine",tblY7[#Headers],0)))/SUMPRODUCT(((tblY7[Class])&amp;""=($B19)&amp;"")*ISNUMBER(INDEX(tblY7[#Data],0,MATCH(Calc!$AF$3&amp;CHAR(10)&amp;"Stanine",tblY7[#Headers],0))))),""))</f>
        <v/>
      </c>
      <c r="M19" s="36" t="str">
        <f>IF($B19="","",IFERROR(IF(Calc!$AF$3="","",(SUMPRODUCT(((tblY7[Class])&amp;""=($B19)&amp;"")*ISNUMBER(INDEX(tblY7[#Data],0,MATCH(Calc!$AF$3&amp;CHAR(10)&amp;"Raw Score",tblY7[#Headers],0)))*((INDEX(tblY7[#Data],0,MATCH(Calc!$AF$3&amp;CHAR(10)&amp;"Raw Score",tblY7[#Headers],0)))&gt;=0))+SUMPRODUCT(((tblY7[Class])&amp;""=($B19)&amp;"")*((INDEX(tblY7[#Data],0,MATCH(Calc!$AF$3&amp;CHAR(10)&amp;"Raw Score",tblY7[#Headers],0)))&amp;""="A")))/SUMPRODUCT(--((tblY7[Class])&amp;""=($B19)&amp;""))),""))</f>
        <v/>
      </c>
    </row>
    <row r="21" ht="22" customHeight="1">
      <c r="B21" s="22" t="inlineStr">
        <is>
          <t>Year 8</t>
        </is>
      </c>
      <c r="C21" s="23" t="str">
        <f>"Leaves "&amp;Settings!$C$16&amp;"   ·   "&amp;COUNTA(tblY8[Preferred Last name])&amp;" students   ·   "&amp;Calc!$AI$4&amp;" tests"&amp;IF(Calc!$T$12&gt;8,"   ·   only the first 8 of "&amp;Calc!$T$12&amp;" classes fit here","")</f>
        <v>Leaves 2030   ·   93 students   ·   5 tests</v>
      </c>
      <c r="D21" s="24" t="n"/>
      <c r="E21" s="24" t="n"/>
      <c r="F21" s="24" t="n"/>
      <c r="G21" s="24" t="n"/>
      <c r="H21" s="25" t="str">
        <f>IF(Calc!$AF$4="","No tests yet","Latest test: "&amp;Calc!$AF$4&amp;IF(ISNUMBER(Calc!$AH$4),"  ("&amp;TEXT(Calc!$AH$4,"dd/mm/yyyy")&amp;")",""))</f>
        <v>Latest test: 8P02 - Light  (18/11/2026)</v>
      </c>
      <c r="I21" s="24" t="n"/>
      <c r="J21" s="24" t="n"/>
      <c r="K21" s="24" t="n"/>
      <c r="L21" s="24" t="n"/>
      <c r="M21" s="24" t="n"/>
    </row>
    <row r="22" ht="30" customHeight="1">
      <c r="B22" s="7" t="inlineStr">
        <is>
          <t>Class</t>
        </is>
      </c>
      <c r="C22" s="7" t="inlineStr">
        <is>
          <t>Teacher</t>
        </is>
      </c>
      <c r="D22" s="7" t="inlineStr">
        <is>
          <t>Students</t>
        </is>
      </c>
      <c r="E22" s="7" t="inlineStr">
        <is>
          <t>KS2 band
(mean)</t>
        </is>
      </c>
      <c r="F22" s="7" t="inlineStr">
        <is>
          <t>Tests sat
(mean)</t>
        </is>
      </c>
      <c r="G22" s="7" t="inlineStr">
        <is>
          <t>Mean
stanine</t>
        </is>
      </c>
      <c r="H22" s="7" t="inlineStr">
        <is>
          <t>vs
expected</t>
        </is>
      </c>
      <c r="I22" s="7" t="inlineStr">
        <is>
          <t>Results at
stanine 7-9</t>
        </is>
      </c>
      <c r="J22" s="7" t="inlineStr">
        <is>
          <t>Results at
stanine 1-3</t>
        </is>
      </c>
      <c r="K22" s="7" t="inlineStr">
        <is>
          <t>Latest test
mean %</t>
        </is>
      </c>
      <c r="L22" s="7" t="inlineStr">
        <is>
          <t>Latest test
mean stanine</t>
        </is>
      </c>
      <c r="M22" s="7" t="inlineStr">
        <is>
          <t>Latest test
completion</t>
        </is>
      </c>
    </row>
    <row r="23">
      <c r="B23" s="26" t="inlineStr">
        <is>
          <t>Whole year</t>
        </is>
      </c>
      <c r="D23" s="27">
        <f>IFERROR(COUNTA(tblY8[Preferred Last name]),"")</f>
        <v>93</v>
      </c>
      <c r="E23" s="28">
        <f>IFERROR(AVERAGE(tblY8[Avg KS2 Band]),"")</f>
        <v>5.04347826086957</v>
      </c>
      <c r="F23" s="28">
        <f>IFERROR(AVERAGE(tblY8[Tests Sat]),"")</f>
        <v>4.60215053763441</v>
      </c>
      <c r="G23" s="28">
        <f>IFERROR(AVERAGE(tblY8[Mean Stanine]),"")</f>
        <v>4.95232974910394</v>
      </c>
      <c r="H23" s="29">
        <f>IFERROR(AVERAGE(tblY8[vs Expected]),"")</f>
        <v>1.20676415720126e-16</v>
      </c>
      <c r="I23" s="30">
        <f>IFERROR(SUMPRODUCT((RIGHT(tblY8[#Headers],8)=CHAR(10)&amp;"Stanine")*ISNUMBER(tblY8[#Data])*(tblY8[#Data]&gt;=7))/SUMPRODUCT((RIGHT(tblY8[#Headers],8)=CHAR(10)&amp;"Stanine")*ISNUMBER(tblY8[#Data])),"")</f>
        <v>0.259345794392523</v>
      </c>
      <c r="J23" s="30">
        <f>IFERROR(SUMPRODUCT((RIGHT(tblY8[#Headers],8)=CHAR(10)&amp;"Stanine")*ISNUMBER(tblY8[#Data])*(tblY8[#Data]&lt;=3))/SUMPRODUCT((RIGHT(tblY8[#Headers],8)=CHAR(10)&amp;"Stanine")*ISNUMBER(tblY8[#Data])),"")</f>
        <v>0.257009345794393</v>
      </c>
      <c r="K23" s="30">
        <f>IFERROR(IF(Calc!$AF$4="","",AVERAGE(INDEX(tblY8[#Data],0,MATCH(Calc!$AF$4&amp;CHAR(10)&amp;"Raw Score",tblY8[#Headers],0)))/Calc!$AG$4),"")</f>
        <v>0.64906103286385</v>
      </c>
      <c r="L23" s="28">
        <f>IFERROR(IF(Calc!$AF$4="","",AVERAGE(INDEX(tblY8[#Data],0,MATCH(Calc!$AF$4&amp;CHAR(10)&amp;"Stanine",tblY8[#Headers],0)))),"")</f>
        <v>5.05633802816901</v>
      </c>
      <c r="M23" s="30">
        <f>IFERROR(IF(Calc!$AF$4="","",(COUNTIFS(INDEX(tblY8[#Data],0,MATCH(Calc!$AF$4&amp;CHAR(10)&amp;"Raw Score",tblY8[#Headers],0)),"&gt;=0")+COUNTIFS(INDEX(tblY8[#Data],0,MATCH(Calc!$AF$4&amp;CHAR(10)&amp;"Raw Score",tblY8[#Headers],0)),"A"))/COUNTA(tblY8[Preferred Last name])),"")</f>
        <v>0.806451612903226</v>
      </c>
    </row>
    <row r="24">
      <c r="B24" s="31" t="str">
        <f>Calc!T3</f>
        <v>8A/Sc1</v>
      </c>
      <c r="C24" s="32" t="str">
        <f>IF($B24="","",IFERROR(INDEX(tblTeachers[Teacher],MATCH("Year 8"&amp;"|"&amp;$B24,tblTeachers[Key],0))&amp;"",""))</f>
        <v>Mr Owen</v>
      </c>
      <c r="D24" s="33">
        <f>IF($B24="","",IFERROR(SUMPRODUCT(--((tblY8[Class])&amp;""=($B24)&amp;"")),""))</f>
        <v>28</v>
      </c>
      <c r="E24" s="34">
        <f>IF($B24="","",IFERROR(SUMPRODUCT(((tblY8[Class])&amp;""=($B24)&amp;"")*ISNUMBER(tblY8[Avg KS2 Band]),tblY8[Avg KS2 Band])/SUMPRODUCT(((tblY8[Class])&amp;""=($B24)&amp;"")*ISNUMBER(tblY8[Avg KS2 Band])),""))</f>
        <v>6.42857142857143</v>
      </c>
      <c r="F24" s="34">
        <f>IF($B24="","",IFERROR(SUMPRODUCT(((tblY8[Class])&amp;""=($B24)&amp;"")*ISNUMBER(tblY8[Tests Sat]),tblY8[Tests Sat])/SUMPRODUCT(((tblY8[Class])&amp;""=($B24)&amp;"")*ISNUMBER(tblY8[Tests Sat])),""))</f>
        <v>4.64285714285714</v>
      </c>
      <c r="G24" s="34">
        <f>IF($B24="","",IFERROR(SUMPRODUCT(((tblY8[Class])&amp;""=($B24)&amp;"")*ISNUMBER(tblY8[Mean Stanine]),tblY8[Mean Stanine])/SUMPRODUCT(((tblY8[Class])&amp;""=($B24)&amp;"")*ISNUMBER(tblY8[Mean Stanine])),""))</f>
        <v>6.53809523809524</v>
      </c>
      <c r="H24" s="35">
        <f>IF($B24="","",IFERROR(SUMPRODUCT(((tblY8[Class])&amp;""=($B24)&amp;"")*ISNUMBER(tblY8[vs Expected]),tblY8[vs Expected])/SUMPRODUCT(((tblY8[Class])&amp;""=($B24)&amp;"")*ISNUMBER(tblY8[vs Expected])),""))</f>
        <v>0.483505853675284</v>
      </c>
      <c r="I24" s="36">
        <f>IF($B24="","",IFERROR(SUMPRODUCT(((tblY8[Class])&amp;""=($B24)&amp;"")*(RIGHT(tblY8[#Headers],8)=CHAR(10)&amp;"Stanine")*ISNUMBER(tblY8[#Data])*(tblY8[#Data]&gt;=7))/SUMPRODUCT(((tblY8[Class])&amp;""=($B24)&amp;"")*(RIGHT(tblY8[#Headers],8)=CHAR(10)&amp;"Stanine")*ISNUMBER(tblY8[#Data])),""))</f>
        <v>0.546153846153846</v>
      </c>
      <c r="J24" s="36">
        <f>IF($B24="","",IFERROR(SUMPRODUCT(((tblY8[Class])&amp;""=($B24)&amp;"")*(RIGHT(tblY8[#Headers],8)=CHAR(10)&amp;"Stanine")*ISNUMBER(tblY8[#Data])*(tblY8[#Data]&lt;=3))/SUMPRODUCT(((tblY8[Class])&amp;""=($B24)&amp;"")*(RIGHT(tblY8[#Headers],8)=CHAR(10)&amp;"Stanine")*ISNUMBER(tblY8[#Data])),""))</f>
        <v>0.0230769230769231</v>
      </c>
      <c r="K24" s="36">
        <f>IF($B24="","",IFERROR(IF(Calc!$AF$4="","",SUMPRODUCT(((tblY8[Class])&amp;""=($B24)&amp;"")*ISNUMBER(INDEX(tblY8[#Data],0,MATCH(Calc!$AF$4&amp;CHAR(10)&amp;"Raw Score",tblY8[#Headers],0))),INDEX(tblY8[#Data],0,MATCH(Calc!$AF$4&amp;CHAR(10)&amp;"Raw Score",tblY8[#Headers],0)))/SUMPRODUCT(((tblY8[Class])&amp;""=($B24)&amp;"")*ISNUMBER(INDEX(tblY8[#Data],0,MATCH(Calc!$AF$4&amp;CHAR(10)&amp;"Raw Score",tblY8[#Headers],0))))/Calc!$AG$4),""))</f>
        <v>0.752976190476191</v>
      </c>
      <c r="L24" s="34">
        <f>IF($B24="","",IFERROR(IF(Calc!$AF$4="","",SUMPRODUCT(((tblY8[Class])&amp;""=($B24)&amp;"")*ISNUMBER(INDEX(tblY8[#Data],0,MATCH(Calc!$AF$4&amp;CHAR(10)&amp;"Stanine",tblY8[#Headers],0))),INDEX(tblY8[#Data],0,MATCH(Calc!$AF$4&amp;CHAR(10)&amp;"Stanine",tblY8[#Headers],0)))/SUMPRODUCT(((tblY8[Class])&amp;""=($B24)&amp;"")*ISNUMBER(INDEX(tblY8[#Data],0,MATCH(Calc!$AF$4&amp;CHAR(10)&amp;"Stanine",tblY8[#Headers],0))))),""))</f>
        <v>6.28571428571429</v>
      </c>
      <c r="M24" s="36">
        <f>IF($B24="","",IFERROR(IF(Calc!$AF$4="","",(SUMPRODUCT(((tblY8[Class])&amp;""=($B24)&amp;"")*ISNUMBER(INDEX(tblY8[#Data],0,MATCH(Calc!$AF$4&amp;CHAR(10)&amp;"Raw Score",tblY8[#Headers],0)))*((INDEX(tblY8[#Data],0,MATCH(Calc!$AF$4&amp;CHAR(10)&amp;"Raw Score",tblY8[#Headers],0)))&gt;=0))+SUMPRODUCT(((tblY8[Class])&amp;""=($B24)&amp;"")*((INDEX(tblY8[#Data],0,MATCH(Calc!$AF$4&amp;CHAR(10)&amp;"Raw Score",tblY8[#Headers],0)))&amp;""="A")))/SUMPRODUCT(--((tblY8[Class])&amp;""=($B24)&amp;""))),""))</f>
        <v>1</v>
      </c>
    </row>
    <row r="25">
      <c r="B25" s="31" t="str">
        <f>Calc!T4</f>
        <v>8A/Sc2</v>
      </c>
      <c r="C25" s="32" t="str">
        <f>IF($B25="","",IFERROR(INDEX(tblTeachers[Teacher],MATCH("Year 8"&amp;"|"&amp;$B25,tblTeachers[Key],0))&amp;"",""))</f>
        <v>Mr Hughes</v>
      </c>
      <c r="D25" s="33">
        <f>IF($B25="","",IFERROR(SUMPRODUCT(--((tblY8[Class])&amp;""=($B25)&amp;"")),""))</f>
        <v>25</v>
      </c>
      <c r="E25" s="34">
        <f>IF($B25="","",IFERROR(SUMPRODUCT(((tblY8[Class])&amp;""=($B25)&amp;"")*ISNUMBER(tblY8[Avg KS2 Band]),tblY8[Avg KS2 Band])/SUMPRODUCT(((tblY8[Class])&amp;""=($B25)&amp;"")*ISNUMBER(tblY8[Avg KS2 Band])),""))</f>
        <v>5.2</v>
      </c>
      <c r="F25" s="34">
        <f>IF($B25="","",IFERROR(SUMPRODUCT(((tblY8[Class])&amp;""=($B25)&amp;"")*ISNUMBER(tblY8[Tests Sat]),tblY8[Tests Sat])/SUMPRODUCT(((tblY8[Class])&amp;""=($B25)&amp;"")*ISNUMBER(tblY8[Tests Sat])),""))</f>
        <v>4.76</v>
      </c>
      <c r="G25" s="34">
        <f>IF($B25="","",IFERROR(SUMPRODUCT(((tblY8[Class])&amp;""=($B25)&amp;"")*ISNUMBER(tblY8[Mean Stanine]),tblY8[Mean Stanine])/SUMPRODUCT(((tblY8[Class])&amp;""=($B25)&amp;"")*ISNUMBER(tblY8[Mean Stanine])),""))</f>
        <v>5.108</v>
      </c>
      <c r="H25" s="35">
        <f>IF($B25="","",IFERROR(SUMPRODUCT(((tblY8[Class])&amp;""=($B25)&amp;"")*ISNUMBER(tblY8[vs Expected]),tblY8[vs Expected])/SUMPRODUCT(((tblY8[Class])&amp;""=($B25)&amp;"")*ISNUMBER(tblY8[vs Expected])),""))</f>
        <v>0.0103588079788514</v>
      </c>
      <c r="I25" s="36">
        <f>IF($B25="","",IFERROR(SUMPRODUCT(((tblY8[Class])&amp;""=($B25)&amp;"")*(RIGHT(tblY8[#Headers],8)=CHAR(10)&amp;"Stanine")*ISNUMBER(tblY8[#Data])*(tblY8[#Data]&gt;=7))/SUMPRODUCT(((tblY8[Class])&amp;""=($B25)&amp;"")*(RIGHT(tblY8[#Headers],8)=CHAR(10)&amp;"Stanine")*ISNUMBER(tblY8[#Data])),""))</f>
        <v>0.201680672268908</v>
      </c>
      <c r="J25" s="36">
        <f>IF($B25="","",IFERROR(SUMPRODUCT(((tblY8[Class])&amp;""=($B25)&amp;"")*(RIGHT(tblY8[#Headers],8)=CHAR(10)&amp;"Stanine")*ISNUMBER(tblY8[#Data])*(tblY8[#Data]&lt;=3))/SUMPRODUCT(((tblY8[Class])&amp;""=($B25)&amp;"")*(RIGHT(tblY8[#Headers],8)=CHAR(10)&amp;"Stanine")*ISNUMBER(tblY8[#Data])),""))</f>
        <v>0.176470588235294</v>
      </c>
      <c r="K25" s="36">
        <f>IF($B25="","",IFERROR(IF(Calc!$AF$4="","",SUMPRODUCT(((tblY8[Class])&amp;""=($B25)&amp;"")*ISNUMBER(INDEX(tblY8[#Data],0,MATCH(Calc!$AF$4&amp;CHAR(10)&amp;"Raw Score",tblY8[#Headers],0))),INDEX(tblY8[#Data],0,MATCH(Calc!$AF$4&amp;CHAR(10)&amp;"Raw Score",tblY8[#Headers],0)))/SUMPRODUCT(((tblY8[Class])&amp;""=($B25)&amp;"")*ISNUMBER(INDEX(tblY8[#Data],0,MATCH(Calc!$AF$4&amp;CHAR(10)&amp;"Raw Score",tblY8[#Headers],0))))/Calc!$AG$4),""))</f>
        <v>0.59963768115942</v>
      </c>
      <c r="L25" s="34">
        <f>IF($B25="","",IFERROR(IF(Calc!$AF$4="","",SUMPRODUCT(((tblY8[Class])&amp;""=($B25)&amp;"")*ISNUMBER(INDEX(tblY8[#Data],0,MATCH(Calc!$AF$4&amp;CHAR(10)&amp;"Stanine",tblY8[#Headers],0))),INDEX(tblY8[#Data],0,MATCH(Calc!$AF$4&amp;CHAR(10)&amp;"Stanine",tblY8[#Headers],0)))/SUMPRODUCT(((tblY8[Class])&amp;""=($B25)&amp;"")*ISNUMBER(INDEX(tblY8[#Data],0,MATCH(Calc!$AF$4&amp;CHAR(10)&amp;"Stanine",tblY8[#Headers],0))))),""))</f>
        <v>4.43478260869565</v>
      </c>
      <c r="M25" s="36">
        <f>IF($B25="","",IFERROR(IF(Calc!$AF$4="","",(SUMPRODUCT(((tblY8[Class])&amp;""=($B25)&amp;"")*ISNUMBER(INDEX(tblY8[#Data],0,MATCH(Calc!$AF$4&amp;CHAR(10)&amp;"Raw Score",tblY8[#Headers],0)))*((INDEX(tblY8[#Data],0,MATCH(Calc!$AF$4&amp;CHAR(10)&amp;"Raw Score",tblY8[#Headers],0)))&gt;=0))+SUMPRODUCT(((tblY8[Class])&amp;""=($B25)&amp;"")*((INDEX(tblY8[#Data],0,MATCH(Calc!$AF$4&amp;CHAR(10)&amp;"Raw Score",tblY8[#Headers],0)))&amp;""="A")))/SUMPRODUCT(--((tblY8[Class])&amp;""=($B25)&amp;""))),""))</f>
        <v>1</v>
      </c>
    </row>
    <row r="26">
      <c r="B26" s="31" t="str">
        <f>Calc!T5</f>
        <v>8A/Sc3</v>
      </c>
      <c r="C26" s="32" t="str">
        <f>IF($B26="","",IFERROR(INDEX(tblTeachers[Teacher],MATCH("Year 8"&amp;"|"&amp;$B26,tblTeachers[Key],0))&amp;"",""))</f>
        <v>Mr Owen</v>
      </c>
      <c r="D26" s="33">
        <f>IF($B26="","",IFERROR(SUMPRODUCT(--((tblY8[Class])&amp;""=($B26)&amp;"")),""))</f>
        <v>22</v>
      </c>
      <c r="E26" s="34">
        <f>IF($B26="","",IFERROR(SUMPRODUCT(((tblY8[Class])&amp;""=($B26)&amp;"")*ISNUMBER(tblY8[Avg KS2 Band]),tblY8[Avg KS2 Band])/SUMPRODUCT(((tblY8[Class])&amp;""=($B26)&amp;"")*ISNUMBER(tblY8[Avg KS2 Band])),""))</f>
        <v>4.52380952380952</v>
      </c>
      <c r="F26" s="34">
        <f>IF($B26="","",IFERROR(SUMPRODUCT(((tblY8[Class])&amp;""=($B26)&amp;"")*ISNUMBER(tblY8[Tests Sat]),tblY8[Tests Sat])/SUMPRODUCT(((tblY8[Class])&amp;""=($B26)&amp;"")*ISNUMBER(tblY8[Tests Sat])),""))</f>
        <v>4.90909090909091</v>
      </c>
      <c r="G26" s="34">
        <f>IF($B26="","",IFERROR(SUMPRODUCT(((tblY8[Class])&amp;""=($B26)&amp;"")*ISNUMBER(tblY8[Mean Stanine]),tblY8[Mean Stanine])/SUMPRODUCT(((tblY8[Class])&amp;""=($B26)&amp;"")*ISNUMBER(tblY8[Mean Stanine])),""))</f>
        <v>4.13863636363636</v>
      </c>
      <c r="H26" s="35">
        <f>IF($B26="","",IFERROR(SUMPRODUCT(((tblY8[Class])&amp;""=($B26)&amp;"")*ISNUMBER(tblY8[vs Expected]),tblY8[vs Expected])/SUMPRODUCT(((tblY8[Class])&amp;""=($B26)&amp;"")*ISNUMBER(tblY8[vs Expected])),""))</f>
        <v>-0.368567823668761</v>
      </c>
      <c r="I26" s="36">
        <f>IF($B26="","",IFERROR(SUMPRODUCT(((tblY8[Class])&amp;""=($B26)&amp;"")*(RIGHT(tblY8[#Headers],8)=CHAR(10)&amp;"Stanine")*ISNUMBER(tblY8[#Data])*(tblY8[#Data]&gt;=7))/SUMPRODUCT(((tblY8[Class])&amp;""=($B26)&amp;"")*(RIGHT(tblY8[#Headers],8)=CHAR(10)&amp;"Stanine")*ISNUMBER(tblY8[#Data])),""))</f>
        <v>0.12962962962963</v>
      </c>
      <c r="J26" s="36">
        <f>IF($B26="","",IFERROR(SUMPRODUCT(((tblY8[Class])&amp;""=($B26)&amp;"")*(RIGHT(tblY8[#Headers],8)=CHAR(10)&amp;"Stanine")*ISNUMBER(tblY8[#Data])*(tblY8[#Data]&lt;=3))/SUMPRODUCT(((tblY8[Class])&amp;""=($B26)&amp;"")*(RIGHT(tblY8[#Headers],8)=CHAR(10)&amp;"Stanine")*ISNUMBER(tblY8[#Data])),""))</f>
        <v>0.398148148148148</v>
      </c>
      <c r="K26" s="36">
        <f>IF($B26="","",IFERROR(IF(Calc!$AF$4="","",SUMPRODUCT(((tblY8[Class])&amp;""=($B26)&amp;"")*ISNUMBER(INDEX(tblY8[#Data],0,MATCH(Calc!$AF$4&amp;CHAR(10)&amp;"Raw Score",tblY8[#Headers],0))),INDEX(tblY8[#Data],0,MATCH(Calc!$AF$4&amp;CHAR(10)&amp;"Raw Score",tblY8[#Headers],0)))/SUMPRODUCT(((tblY8[Class])&amp;""=($B26)&amp;"")*ISNUMBER(INDEX(tblY8[#Data],0,MATCH(Calc!$AF$4&amp;CHAR(10)&amp;"Raw Score",tblY8[#Headers],0))))/Calc!$AG$4),""))</f>
        <v>0.560416666666667</v>
      </c>
      <c r="L26" s="34">
        <f>IF($B26="","",IFERROR(IF(Calc!$AF$4="","",SUMPRODUCT(((tblY8[Class])&amp;""=($B26)&amp;"")*ISNUMBER(INDEX(tblY8[#Data],0,MATCH(Calc!$AF$4&amp;CHAR(10)&amp;"Stanine",tblY8[#Headers],0))),INDEX(tblY8[#Data],0,MATCH(Calc!$AF$4&amp;CHAR(10)&amp;"Stanine",tblY8[#Headers],0)))/SUMPRODUCT(((tblY8[Class])&amp;""=($B26)&amp;"")*ISNUMBER(INDEX(tblY8[#Data],0,MATCH(Calc!$AF$4&amp;CHAR(10)&amp;"Stanine",tblY8[#Headers],0))))),""))</f>
        <v>4.05</v>
      </c>
      <c r="M26" s="36">
        <f>IF($B26="","",IFERROR(IF(Calc!$AF$4="","",(SUMPRODUCT(((tblY8[Class])&amp;""=($B26)&amp;"")*ISNUMBER(INDEX(tblY8[#Data],0,MATCH(Calc!$AF$4&amp;CHAR(10)&amp;"Raw Score",tblY8[#Headers],0)))*((INDEX(tblY8[#Data],0,MATCH(Calc!$AF$4&amp;CHAR(10)&amp;"Raw Score",tblY8[#Headers],0)))&gt;=0))+SUMPRODUCT(((tblY8[Class])&amp;""=($B26)&amp;"")*((INDEX(tblY8[#Data],0,MATCH(Calc!$AF$4&amp;CHAR(10)&amp;"Raw Score",tblY8[#Headers],0)))&amp;""="A")))/SUMPRODUCT(--((tblY8[Class])&amp;""=($B26)&amp;""))),""))</f>
        <v>1</v>
      </c>
    </row>
    <row r="27">
      <c r="B27" s="31" t="str">
        <f>Calc!T6</f>
        <v>8A/Sc4</v>
      </c>
      <c r="C27" s="32" t="str">
        <f>IF($B27="","",IFERROR(INDEX(tblTeachers[Teacher],MATCH("Year 8"&amp;"|"&amp;$B27,tblTeachers[Key],0))&amp;"",""))</f>
        <v>Ms Adeyemi</v>
      </c>
      <c r="D27" s="33">
        <f>IF($B27="","",IFERROR(SUMPRODUCT(--((tblY8[Class])&amp;""=($B27)&amp;"")),""))</f>
        <v>16</v>
      </c>
      <c r="E27" s="34">
        <f>IF($B27="","",IFERROR(SUMPRODUCT(((tblY8[Class])&amp;""=($B27)&amp;"")*ISNUMBER(tblY8[Avg KS2 Band]),tblY8[Avg KS2 Band])/SUMPRODUCT(((tblY8[Class])&amp;""=($B27)&amp;"")*ISNUMBER(tblY8[Avg KS2 Band])),""))</f>
        <v>3.375</v>
      </c>
      <c r="F27" s="34">
        <f>IF($B27="","",IFERROR(SUMPRODUCT(((tblY8[Class])&amp;""=($B27)&amp;"")*ISNUMBER(tblY8[Tests Sat]),tblY8[Tests Sat])/SUMPRODUCT(((tblY8[Class])&amp;""=($B27)&amp;"")*ISNUMBER(tblY8[Tests Sat])),""))</f>
        <v>3.9375</v>
      </c>
      <c r="G27" s="34">
        <f>IF($B27="","",IFERROR(SUMPRODUCT(((tblY8[Class])&amp;""=($B27)&amp;"")*ISNUMBER(tblY8[Mean Stanine]),tblY8[Mean Stanine])/SUMPRODUCT(((tblY8[Class])&amp;""=($B27)&amp;"")*ISNUMBER(tblY8[Mean Stanine])),""))</f>
        <v>3.484375</v>
      </c>
      <c r="H27" s="35">
        <f>IF($B27="","",IFERROR(SUMPRODUCT(((tblY8[Class])&amp;""=($B27)&amp;"")*ISNUMBER(tblY8[vs Expected]),tblY8[vs Expected])/SUMPRODUCT(((tblY8[Class])&amp;""=($B27)&amp;"")*ISNUMBER(tblY8[vs Expected])),""))</f>
        <v>-0.191753034126412</v>
      </c>
      <c r="I27" s="36">
        <f>IF($B27="","",IFERROR(SUMPRODUCT(((tblY8[Class])&amp;""=($B27)&amp;"")*(RIGHT(tblY8[#Headers],8)=CHAR(10)&amp;"Stanine")*ISNUMBER(tblY8[#Data])*(tblY8[#Data]&gt;=7))/SUMPRODUCT(((tblY8[Class])&amp;""=($B27)&amp;"")*(RIGHT(tblY8[#Headers],8)=CHAR(10)&amp;"Stanine")*ISNUMBER(tblY8[#Data])),""))</f>
        <v>0.0317460317460317</v>
      </c>
      <c r="J27" s="36">
        <f>IF($B27="","",IFERROR(SUMPRODUCT(((tblY8[Class])&amp;""=($B27)&amp;"")*(RIGHT(tblY8[#Headers],8)=CHAR(10)&amp;"Stanine")*ISNUMBER(tblY8[#Data])*(tblY8[#Data]&lt;=3))/SUMPRODUCT(((tblY8[Class])&amp;""=($B27)&amp;"")*(RIGHT(tblY8[#Headers],8)=CHAR(10)&amp;"Stanine")*ISNUMBER(tblY8[#Data])),""))</f>
        <v>0.555555555555556</v>
      </c>
      <c r="K27" s="36" t="str">
        <f>IF($B27="","",IFERROR(IF(Calc!$AF$4="","",SUMPRODUCT(((tblY8[Class])&amp;""=($B27)&amp;"")*ISNUMBER(INDEX(tblY8[#Data],0,MATCH(Calc!$AF$4&amp;CHAR(10)&amp;"Raw Score",tblY8[#Headers],0))),INDEX(tblY8[#Data],0,MATCH(Calc!$AF$4&amp;CHAR(10)&amp;"Raw Score",tblY8[#Headers],0)))/SUMPRODUCT(((tblY8[Class])&amp;""=($B27)&amp;"")*ISNUMBER(INDEX(tblY8[#Data],0,MATCH(Calc!$AF$4&amp;CHAR(10)&amp;"Raw Score",tblY8[#Headers],0))))/Calc!$AG$4),""))</f>
        <v/>
      </c>
      <c r="L27" s="34" t="str">
        <f>IF($B27="","",IFERROR(IF(Calc!$AF$4="","",SUMPRODUCT(((tblY8[Class])&amp;""=($B27)&amp;"")*ISNUMBER(INDEX(tblY8[#Data],0,MATCH(Calc!$AF$4&amp;CHAR(10)&amp;"Stanine",tblY8[#Headers],0))),INDEX(tblY8[#Data],0,MATCH(Calc!$AF$4&amp;CHAR(10)&amp;"Stanine",tblY8[#Headers],0)))/SUMPRODUCT(((tblY8[Class])&amp;""=($B27)&amp;"")*ISNUMBER(INDEX(tblY8[#Data],0,MATCH(Calc!$AF$4&amp;CHAR(10)&amp;"Stanine",tblY8[#Headers],0))))),""))</f>
        <v/>
      </c>
      <c r="M27" s="36">
        <f>IF($B27="","",IFERROR(IF(Calc!$AF$4="","",(SUMPRODUCT(((tblY8[Class])&amp;""=($B27)&amp;"")*ISNUMBER(INDEX(tblY8[#Data],0,MATCH(Calc!$AF$4&amp;CHAR(10)&amp;"Raw Score",tblY8[#Headers],0)))*((INDEX(tblY8[#Data],0,MATCH(Calc!$AF$4&amp;CHAR(10)&amp;"Raw Score",tblY8[#Headers],0)))&gt;=0))+SUMPRODUCT(((tblY8[Class])&amp;""=($B27)&amp;"")*((INDEX(tblY8[#Data],0,MATCH(Calc!$AF$4&amp;CHAR(10)&amp;"Raw Score",tblY8[#Headers],0)))&amp;""="A")))/SUMPRODUCT(--((tblY8[Class])&amp;""=($B27)&amp;""))),""))</f>
        <v>0</v>
      </c>
    </row>
    <row r="28">
      <c r="B28" s="31" t="str">
        <f>Calc!T7</f>
        <v>Science Support</v>
      </c>
      <c r="C28" s="32" t="str">
        <f>IF($B28="","",IFERROR(INDEX(tblTeachers[Teacher],MATCH("Year 8"&amp;"|"&amp;$B28,tblTeachers[Key],0))&amp;"",""))</f>
        <v>Mrs Evans</v>
      </c>
      <c r="D28" s="33">
        <f>IF($B28="","",IFERROR(SUMPRODUCT(--((tblY8[Class])&amp;""=($B28)&amp;"")),""))</f>
        <v>2</v>
      </c>
      <c r="E28" s="34">
        <f>IF($B28="","",IFERROR(SUMPRODUCT(((tblY8[Class])&amp;""=($B28)&amp;"")*ISNUMBER(tblY8[Avg KS2 Band]),tblY8[Avg KS2 Band])/SUMPRODUCT(((tblY8[Class])&amp;""=($B28)&amp;"")*ISNUMBER(tblY8[Avg KS2 Band])),""))</f>
        <v>2.5</v>
      </c>
      <c r="F28" s="34">
        <f>IF($B28="","",IFERROR(SUMPRODUCT(((tblY8[Class])&amp;""=($B28)&amp;"")*ISNUMBER(tblY8[Tests Sat]),tblY8[Tests Sat])/SUMPRODUCT(((tblY8[Class])&amp;""=($B28)&amp;"")*ISNUMBER(tblY8[Tests Sat])),""))</f>
        <v>4</v>
      </c>
      <c r="G28" s="34">
        <f>IF($B28="","",IFERROR(SUMPRODUCT(((tblY8[Class])&amp;""=($B28)&amp;"")*ISNUMBER(tblY8[Mean Stanine]),tblY8[Mean Stanine])/SUMPRODUCT(((tblY8[Class])&amp;""=($B28)&amp;"")*ISNUMBER(tblY8[Mean Stanine])),""))</f>
        <v>1.5</v>
      </c>
      <c r="H28" s="35">
        <f>IF($B28="","",IFERROR(SUMPRODUCT(((tblY8[Class])&amp;""=($B28)&amp;"")*ISNUMBER(tblY8[vs Expected]),tblY8[vs Expected])/SUMPRODUCT(((tblY8[Class])&amp;""=($B28)&amp;"")*ISNUMBER(tblY8[vs Expected])),""))</f>
        <v>-1.49458062965633</v>
      </c>
      <c r="I28" s="36">
        <f>IF($B28="","",IFERROR(SUMPRODUCT(((tblY8[Class])&amp;""=($B28)&amp;"")*(RIGHT(tblY8[#Headers],8)=CHAR(10)&amp;"Stanine")*ISNUMBER(tblY8[#Data])*(tblY8[#Data]&gt;=7))/SUMPRODUCT(((tblY8[Class])&amp;""=($B28)&amp;"")*(RIGHT(tblY8[#Headers],8)=CHAR(10)&amp;"Stanine")*ISNUMBER(tblY8[#Data])),""))</f>
        <v>0</v>
      </c>
      <c r="J28" s="36">
        <f>IF($B28="","",IFERROR(SUMPRODUCT(((tblY8[Class])&amp;""=($B28)&amp;"")*(RIGHT(tblY8[#Headers],8)=CHAR(10)&amp;"Stanine")*ISNUMBER(tblY8[#Data])*(tblY8[#Data]&lt;=3))/SUMPRODUCT(((tblY8[Class])&amp;""=($B28)&amp;"")*(RIGHT(tblY8[#Headers],8)=CHAR(10)&amp;"Stanine")*ISNUMBER(tblY8[#Data])),""))</f>
        <v>1</v>
      </c>
      <c r="K28" s="36" t="str">
        <f>IF($B28="","",IFERROR(IF(Calc!$AF$4="","",SUMPRODUCT(((tblY8[Class])&amp;""=($B28)&amp;"")*ISNUMBER(INDEX(tblY8[#Data],0,MATCH(Calc!$AF$4&amp;CHAR(10)&amp;"Raw Score",tblY8[#Headers],0))),INDEX(tblY8[#Data],0,MATCH(Calc!$AF$4&amp;CHAR(10)&amp;"Raw Score",tblY8[#Headers],0)))/SUMPRODUCT(((tblY8[Class])&amp;""=($B28)&amp;"")*ISNUMBER(INDEX(tblY8[#Data],0,MATCH(Calc!$AF$4&amp;CHAR(10)&amp;"Raw Score",tblY8[#Headers],0))))/Calc!$AG$4),""))</f>
        <v/>
      </c>
      <c r="L28" s="34" t="str">
        <f>IF($B28="","",IFERROR(IF(Calc!$AF$4="","",SUMPRODUCT(((tblY8[Class])&amp;""=($B28)&amp;"")*ISNUMBER(INDEX(tblY8[#Data],0,MATCH(Calc!$AF$4&amp;CHAR(10)&amp;"Stanine",tblY8[#Headers],0))),INDEX(tblY8[#Data],0,MATCH(Calc!$AF$4&amp;CHAR(10)&amp;"Stanine",tblY8[#Headers],0)))/SUMPRODUCT(((tblY8[Class])&amp;""=($B28)&amp;"")*ISNUMBER(INDEX(tblY8[#Data],0,MATCH(Calc!$AF$4&amp;CHAR(10)&amp;"Stanine",tblY8[#Headers],0))))),""))</f>
        <v/>
      </c>
      <c r="M28" s="36">
        <f>IF($B28="","",IFERROR(IF(Calc!$AF$4="","",(SUMPRODUCT(((tblY8[Class])&amp;""=($B28)&amp;"")*ISNUMBER(INDEX(tblY8[#Data],0,MATCH(Calc!$AF$4&amp;CHAR(10)&amp;"Raw Score",tblY8[#Headers],0)))*((INDEX(tblY8[#Data],0,MATCH(Calc!$AF$4&amp;CHAR(10)&amp;"Raw Score",tblY8[#Headers],0)))&gt;=0))+SUMPRODUCT(((tblY8[Class])&amp;""=($B28)&amp;"")*((INDEX(tblY8[#Data],0,MATCH(Calc!$AF$4&amp;CHAR(10)&amp;"Raw Score",tblY8[#Headers],0)))&amp;""="A")))/SUMPRODUCT(--((tblY8[Class])&amp;""=($B28)&amp;""))),""))</f>
        <v>0</v>
      </c>
    </row>
    <row r="29">
      <c r="B29" s="31" t="str">
        <f>Calc!T8</f>
        <v/>
      </c>
      <c r="C29" s="32" t="str">
        <f>IF($B29="","",IFERROR(INDEX(tblTeachers[Teacher],MATCH("Year 8"&amp;"|"&amp;$B29,tblTeachers[Key],0))&amp;"",""))</f>
        <v/>
      </c>
      <c r="D29" s="33" t="str">
        <f>IF($B29="","",IFERROR(SUMPRODUCT(--((tblY8[Class])&amp;""=($B29)&amp;"")),""))</f>
        <v/>
      </c>
      <c r="E29" s="34" t="str">
        <f>IF($B29="","",IFERROR(SUMPRODUCT(((tblY8[Class])&amp;""=($B29)&amp;"")*ISNUMBER(tblY8[Avg KS2 Band]),tblY8[Avg KS2 Band])/SUMPRODUCT(((tblY8[Class])&amp;""=($B29)&amp;"")*ISNUMBER(tblY8[Avg KS2 Band])),""))</f>
        <v/>
      </c>
      <c r="F29" s="34" t="str">
        <f>IF($B29="","",IFERROR(SUMPRODUCT(((tblY8[Class])&amp;""=($B29)&amp;"")*ISNUMBER(tblY8[Tests Sat]),tblY8[Tests Sat])/SUMPRODUCT(((tblY8[Class])&amp;""=($B29)&amp;"")*ISNUMBER(tblY8[Tests Sat])),""))</f>
        <v/>
      </c>
      <c r="G29" s="34" t="str">
        <f>IF($B29="","",IFERROR(SUMPRODUCT(((tblY8[Class])&amp;""=($B29)&amp;"")*ISNUMBER(tblY8[Mean Stanine]),tblY8[Mean Stanine])/SUMPRODUCT(((tblY8[Class])&amp;""=($B29)&amp;"")*ISNUMBER(tblY8[Mean Stanine])),""))</f>
        <v/>
      </c>
      <c r="H29" s="35" t="str">
        <f>IF($B29="","",IFERROR(SUMPRODUCT(((tblY8[Class])&amp;""=($B29)&amp;"")*ISNUMBER(tblY8[vs Expected]),tblY8[vs Expected])/SUMPRODUCT(((tblY8[Class])&amp;""=($B29)&amp;"")*ISNUMBER(tblY8[vs Expected])),""))</f>
        <v/>
      </c>
      <c r="I29" s="36" t="str">
        <f>IF($B29="","",IFERROR(SUMPRODUCT(((tblY8[Class])&amp;""=($B29)&amp;"")*(RIGHT(tblY8[#Headers],8)=CHAR(10)&amp;"Stanine")*ISNUMBER(tblY8[#Data])*(tblY8[#Data]&gt;=7))/SUMPRODUCT(((tblY8[Class])&amp;""=($B29)&amp;"")*(RIGHT(tblY8[#Headers],8)=CHAR(10)&amp;"Stanine")*ISNUMBER(tblY8[#Data])),""))</f>
        <v/>
      </c>
      <c r="J29" s="36" t="str">
        <f>IF($B29="","",IFERROR(SUMPRODUCT(((tblY8[Class])&amp;""=($B29)&amp;"")*(RIGHT(tblY8[#Headers],8)=CHAR(10)&amp;"Stanine")*ISNUMBER(tblY8[#Data])*(tblY8[#Data]&lt;=3))/SUMPRODUCT(((tblY8[Class])&amp;""=($B29)&amp;"")*(RIGHT(tblY8[#Headers],8)=CHAR(10)&amp;"Stanine")*ISNUMBER(tblY8[#Data])),""))</f>
        <v/>
      </c>
      <c r="K29" s="36" t="str">
        <f>IF($B29="","",IFERROR(IF(Calc!$AF$4="","",SUMPRODUCT(((tblY8[Class])&amp;""=($B29)&amp;"")*ISNUMBER(INDEX(tblY8[#Data],0,MATCH(Calc!$AF$4&amp;CHAR(10)&amp;"Raw Score",tblY8[#Headers],0))),INDEX(tblY8[#Data],0,MATCH(Calc!$AF$4&amp;CHAR(10)&amp;"Raw Score",tblY8[#Headers],0)))/SUMPRODUCT(((tblY8[Class])&amp;""=($B29)&amp;"")*ISNUMBER(INDEX(tblY8[#Data],0,MATCH(Calc!$AF$4&amp;CHAR(10)&amp;"Raw Score",tblY8[#Headers],0))))/Calc!$AG$4),""))</f>
        <v/>
      </c>
      <c r="L29" s="34" t="str">
        <f>IF($B29="","",IFERROR(IF(Calc!$AF$4="","",SUMPRODUCT(((tblY8[Class])&amp;""=($B29)&amp;"")*ISNUMBER(INDEX(tblY8[#Data],0,MATCH(Calc!$AF$4&amp;CHAR(10)&amp;"Stanine",tblY8[#Headers],0))),INDEX(tblY8[#Data],0,MATCH(Calc!$AF$4&amp;CHAR(10)&amp;"Stanine",tblY8[#Headers],0)))/SUMPRODUCT(((tblY8[Class])&amp;""=($B29)&amp;"")*ISNUMBER(INDEX(tblY8[#Data],0,MATCH(Calc!$AF$4&amp;CHAR(10)&amp;"Stanine",tblY8[#Headers],0))))),""))</f>
        <v/>
      </c>
      <c r="M29" s="36" t="str">
        <f>IF($B29="","",IFERROR(IF(Calc!$AF$4="","",(SUMPRODUCT(((tblY8[Class])&amp;""=($B29)&amp;"")*ISNUMBER(INDEX(tblY8[#Data],0,MATCH(Calc!$AF$4&amp;CHAR(10)&amp;"Raw Score",tblY8[#Headers],0)))*((INDEX(tblY8[#Data],0,MATCH(Calc!$AF$4&amp;CHAR(10)&amp;"Raw Score",tblY8[#Headers],0)))&gt;=0))+SUMPRODUCT(((tblY8[Class])&amp;""=($B29)&amp;"")*((INDEX(tblY8[#Data],0,MATCH(Calc!$AF$4&amp;CHAR(10)&amp;"Raw Score",tblY8[#Headers],0)))&amp;""="A")))/SUMPRODUCT(--((tblY8[Class])&amp;""=($B29)&amp;""))),""))</f>
        <v/>
      </c>
    </row>
    <row r="30">
      <c r="B30" s="31" t="str">
        <f>Calc!T9</f>
        <v/>
      </c>
      <c r="C30" s="32" t="str">
        <f>IF($B30="","",IFERROR(INDEX(tblTeachers[Teacher],MATCH("Year 8"&amp;"|"&amp;$B30,tblTeachers[Key],0))&amp;"",""))</f>
        <v/>
      </c>
      <c r="D30" s="33" t="str">
        <f>IF($B30="","",IFERROR(SUMPRODUCT(--((tblY8[Class])&amp;""=($B30)&amp;"")),""))</f>
        <v/>
      </c>
      <c r="E30" s="34" t="str">
        <f>IF($B30="","",IFERROR(SUMPRODUCT(((tblY8[Class])&amp;""=($B30)&amp;"")*ISNUMBER(tblY8[Avg KS2 Band]),tblY8[Avg KS2 Band])/SUMPRODUCT(((tblY8[Class])&amp;""=($B30)&amp;"")*ISNUMBER(tblY8[Avg KS2 Band])),""))</f>
        <v/>
      </c>
      <c r="F30" s="34" t="str">
        <f>IF($B30="","",IFERROR(SUMPRODUCT(((tblY8[Class])&amp;""=($B30)&amp;"")*ISNUMBER(tblY8[Tests Sat]),tblY8[Tests Sat])/SUMPRODUCT(((tblY8[Class])&amp;""=($B30)&amp;"")*ISNUMBER(tblY8[Tests Sat])),""))</f>
        <v/>
      </c>
      <c r="G30" s="34" t="str">
        <f>IF($B30="","",IFERROR(SUMPRODUCT(((tblY8[Class])&amp;""=($B30)&amp;"")*ISNUMBER(tblY8[Mean Stanine]),tblY8[Mean Stanine])/SUMPRODUCT(((tblY8[Class])&amp;""=($B30)&amp;"")*ISNUMBER(tblY8[Mean Stanine])),""))</f>
        <v/>
      </c>
      <c r="H30" s="35" t="str">
        <f>IF($B30="","",IFERROR(SUMPRODUCT(((tblY8[Class])&amp;""=($B30)&amp;"")*ISNUMBER(tblY8[vs Expected]),tblY8[vs Expected])/SUMPRODUCT(((tblY8[Class])&amp;""=($B30)&amp;"")*ISNUMBER(tblY8[vs Expected])),""))</f>
        <v/>
      </c>
      <c r="I30" s="36" t="str">
        <f>IF($B30="","",IFERROR(SUMPRODUCT(((tblY8[Class])&amp;""=($B30)&amp;"")*(RIGHT(tblY8[#Headers],8)=CHAR(10)&amp;"Stanine")*ISNUMBER(tblY8[#Data])*(tblY8[#Data]&gt;=7))/SUMPRODUCT(((tblY8[Class])&amp;""=($B30)&amp;"")*(RIGHT(tblY8[#Headers],8)=CHAR(10)&amp;"Stanine")*ISNUMBER(tblY8[#Data])),""))</f>
        <v/>
      </c>
      <c r="J30" s="36" t="str">
        <f>IF($B30="","",IFERROR(SUMPRODUCT(((tblY8[Class])&amp;""=($B30)&amp;"")*(RIGHT(tblY8[#Headers],8)=CHAR(10)&amp;"Stanine")*ISNUMBER(tblY8[#Data])*(tblY8[#Data]&lt;=3))/SUMPRODUCT(((tblY8[Class])&amp;""=($B30)&amp;"")*(RIGHT(tblY8[#Headers],8)=CHAR(10)&amp;"Stanine")*ISNUMBER(tblY8[#Data])),""))</f>
        <v/>
      </c>
      <c r="K30" s="36" t="str">
        <f>IF($B30="","",IFERROR(IF(Calc!$AF$4="","",SUMPRODUCT(((tblY8[Class])&amp;""=($B30)&amp;"")*ISNUMBER(INDEX(tblY8[#Data],0,MATCH(Calc!$AF$4&amp;CHAR(10)&amp;"Raw Score",tblY8[#Headers],0))),INDEX(tblY8[#Data],0,MATCH(Calc!$AF$4&amp;CHAR(10)&amp;"Raw Score",tblY8[#Headers],0)))/SUMPRODUCT(((tblY8[Class])&amp;""=($B30)&amp;"")*ISNUMBER(INDEX(tblY8[#Data],0,MATCH(Calc!$AF$4&amp;CHAR(10)&amp;"Raw Score",tblY8[#Headers],0))))/Calc!$AG$4),""))</f>
        <v/>
      </c>
      <c r="L30" s="34" t="str">
        <f>IF($B30="","",IFERROR(IF(Calc!$AF$4="","",SUMPRODUCT(((tblY8[Class])&amp;""=($B30)&amp;"")*ISNUMBER(INDEX(tblY8[#Data],0,MATCH(Calc!$AF$4&amp;CHAR(10)&amp;"Stanine",tblY8[#Headers],0))),INDEX(tblY8[#Data],0,MATCH(Calc!$AF$4&amp;CHAR(10)&amp;"Stanine",tblY8[#Headers],0)))/SUMPRODUCT(((tblY8[Class])&amp;""=($B30)&amp;"")*ISNUMBER(INDEX(tblY8[#Data],0,MATCH(Calc!$AF$4&amp;CHAR(10)&amp;"Stanine",tblY8[#Headers],0))))),""))</f>
        <v/>
      </c>
      <c r="M30" s="36" t="str">
        <f>IF($B30="","",IFERROR(IF(Calc!$AF$4="","",(SUMPRODUCT(((tblY8[Class])&amp;""=($B30)&amp;"")*ISNUMBER(INDEX(tblY8[#Data],0,MATCH(Calc!$AF$4&amp;CHAR(10)&amp;"Raw Score",tblY8[#Headers],0)))*((INDEX(tblY8[#Data],0,MATCH(Calc!$AF$4&amp;CHAR(10)&amp;"Raw Score",tblY8[#Headers],0)))&gt;=0))+SUMPRODUCT(((tblY8[Class])&amp;""=($B30)&amp;"")*((INDEX(tblY8[#Data],0,MATCH(Calc!$AF$4&amp;CHAR(10)&amp;"Raw Score",tblY8[#Headers],0)))&amp;""="A")))/SUMPRODUCT(--((tblY8[Class])&amp;""=($B30)&amp;""))),""))</f>
        <v/>
      </c>
    </row>
    <row r="31">
      <c r="B31" s="31" t="str">
        <f>Calc!T10</f>
        <v/>
      </c>
      <c r="C31" s="32" t="str">
        <f>IF($B31="","",IFERROR(INDEX(tblTeachers[Teacher],MATCH("Year 8"&amp;"|"&amp;$B31,tblTeachers[Key],0))&amp;"",""))</f>
        <v/>
      </c>
      <c r="D31" s="33" t="str">
        <f>IF($B31="","",IFERROR(SUMPRODUCT(--((tblY8[Class])&amp;""=($B31)&amp;"")),""))</f>
        <v/>
      </c>
      <c r="E31" s="34" t="str">
        <f>IF($B31="","",IFERROR(SUMPRODUCT(((tblY8[Class])&amp;""=($B31)&amp;"")*ISNUMBER(tblY8[Avg KS2 Band]),tblY8[Avg KS2 Band])/SUMPRODUCT(((tblY8[Class])&amp;""=($B31)&amp;"")*ISNUMBER(tblY8[Avg KS2 Band])),""))</f>
        <v/>
      </c>
      <c r="F31" s="34" t="str">
        <f>IF($B31="","",IFERROR(SUMPRODUCT(((tblY8[Class])&amp;""=($B31)&amp;"")*ISNUMBER(tblY8[Tests Sat]),tblY8[Tests Sat])/SUMPRODUCT(((tblY8[Class])&amp;""=($B31)&amp;"")*ISNUMBER(tblY8[Tests Sat])),""))</f>
        <v/>
      </c>
      <c r="G31" s="34" t="str">
        <f>IF($B31="","",IFERROR(SUMPRODUCT(((tblY8[Class])&amp;""=($B31)&amp;"")*ISNUMBER(tblY8[Mean Stanine]),tblY8[Mean Stanine])/SUMPRODUCT(((tblY8[Class])&amp;""=($B31)&amp;"")*ISNUMBER(tblY8[Mean Stanine])),""))</f>
        <v/>
      </c>
      <c r="H31" s="35" t="str">
        <f>IF($B31="","",IFERROR(SUMPRODUCT(((tblY8[Class])&amp;""=($B31)&amp;"")*ISNUMBER(tblY8[vs Expected]),tblY8[vs Expected])/SUMPRODUCT(((tblY8[Class])&amp;""=($B31)&amp;"")*ISNUMBER(tblY8[vs Expected])),""))</f>
        <v/>
      </c>
      <c r="I31" s="36" t="str">
        <f>IF($B31="","",IFERROR(SUMPRODUCT(((tblY8[Class])&amp;""=($B31)&amp;"")*(RIGHT(tblY8[#Headers],8)=CHAR(10)&amp;"Stanine")*ISNUMBER(tblY8[#Data])*(tblY8[#Data]&gt;=7))/SUMPRODUCT(((tblY8[Class])&amp;""=($B31)&amp;"")*(RIGHT(tblY8[#Headers],8)=CHAR(10)&amp;"Stanine")*ISNUMBER(tblY8[#Data])),""))</f>
        <v/>
      </c>
      <c r="J31" s="36" t="str">
        <f>IF($B31="","",IFERROR(SUMPRODUCT(((tblY8[Class])&amp;""=($B31)&amp;"")*(RIGHT(tblY8[#Headers],8)=CHAR(10)&amp;"Stanine")*ISNUMBER(tblY8[#Data])*(tblY8[#Data]&lt;=3))/SUMPRODUCT(((tblY8[Class])&amp;""=($B31)&amp;"")*(RIGHT(tblY8[#Headers],8)=CHAR(10)&amp;"Stanine")*ISNUMBER(tblY8[#Data])),""))</f>
        <v/>
      </c>
      <c r="K31" s="36" t="str">
        <f>IF($B31="","",IFERROR(IF(Calc!$AF$4="","",SUMPRODUCT(((tblY8[Class])&amp;""=($B31)&amp;"")*ISNUMBER(INDEX(tblY8[#Data],0,MATCH(Calc!$AF$4&amp;CHAR(10)&amp;"Raw Score",tblY8[#Headers],0))),INDEX(tblY8[#Data],0,MATCH(Calc!$AF$4&amp;CHAR(10)&amp;"Raw Score",tblY8[#Headers],0)))/SUMPRODUCT(((tblY8[Class])&amp;""=($B31)&amp;"")*ISNUMBER(INDEX(tblY8[#Data],0,MATCH(Calc!$AF$4&amp;CHAR(10)&amp;"Raw Score",tblY8[#Headers],0))))/Calc!$AG$4),""))</f>
        <v/>
      </c>
      <c r="L31" s="34" t="str">
        <f>IF($B31="","",IFERROR(IF(Calc!$AF$4="","",SUMPRODUCT(((tblY8[Class])&amp;""=($B31)&amp;"")*ISNUMBER(INDEX(tblY8[#Data],0,MATCH(Calc!$AF$4&amp;CHAR(10)&amp;"Stanine",tblY8[#Headers],0))),INDEX(tblY8[#Data],0,MATCH(Calc!$AF$4&amp;CHAR(10)&amp;"Stanine",tblY8[#Headers],0)))/SUMPRODUCT(((tblY8[Class])&amp;""=($B31)&amp;"")*ISNUMBER(INDEX(tblY8[#Data],0,MATCH(Calc!$AF$4&amp;CHAR(10)&amp;"Stanine",tblY8[#Headers],0))))),""))</f>
        <v/>
      </c>
      <c r="M31" s="36" t="str">
        <f>IF($B31="","",IFERROR(IF(Calc!$AF$4="","",(SUMPRODUCT(((tblY8[Class])&amp;""=($B31)&amp;"")*ISNUMBER(INDEX(tblY8[#Data],0,MATCH(Calc!$AF$4&amp;CHAR(10)&amp;"Raw Score",tblY8[#Headers],0)))*((INDEX(tblY8[#Data],0,MATCH(Calc!$AF$4&amp;CHAR(10)&amp;"Raw Score",tblY8[#Headers],0)))&gt;=0))+SUMPRODUCT(((tblY8[Class])&amp;""=($B31)&amp;"")*((INDEX(tblY8[#Data],0,MATCH(Calc!$AF$4&amp;CHAR(10)&amp;"Raw Score",tblY8[#Headers],0)))&amp;""="A")))/SUMPRODUCT(--((tblY8[Class])&amp;""=($B31)&amp;""))),""))</f>
        <v/>
      </c>
    </row>
    <row r="33" ht="22" customHeight="1">
      <c r="B33" s="22" t="inlineStr">
        <is>
          <t>Year 9</t>
        </is>
      </c>
      <c r="C33" s="23" t="str">
        <f>"Leaves "&amp;Settings!$C$17&amp;"   ·   "&amp;COUNTA(tblY9[Preferred Last name])&amp;" students   ·   "&amp;Calc!$AI$5&amp;" tests"&amp;IF(Calc!$U$12&gt;8,"   ·   only the first 8 of "&amp;Calc!$U$12&amp;" classes fit here","")</f>
        <v>Leaves 2029   ·   125 students   ·   4 tests</v>
      </c>
      <c r="D33" s="24" t="n"/>
      <c r="E33" s="24" t="n"/>
      <c r="F33" s="24" t="n"/>
      <c r="G33" s="24" t="n"/>
      <c r="H33" s="25" t="str">
        <f>IF(Calc!$AF$5="","No tests yet","Latest test: "&amp;Calc!$AF$5&amp;IF(ISNUMBER(Calc!$AH$5),"  ("&amp;TEXT(Calc!$AH$5,"dd/mm/yyyy")&amp;")",""))</f>
        <v>Latest test: 9B02 - Ecology  (05/11/2026)</v>
      </c>
      <c r="I33" s="24" t="n"/>
      <c r="J33" s="24" t="n"/>
      <c r="K33" s="24" t="n"/>
      <c r="L33" s="24" t="n"/>
      <c r="M33" s="24" t="n"/>
    </row>
    <row r="34" ht="30" customHeight="1">
      <c r="B34" s="7" t="inlineStr">
        <is>
          <t>Class</t>
        </is>
      </c>
      <c r="C34" s="7" t="inlineStr">
        <is>
          <t>Teacher</t>
        </is>
      </c>
      <c r="D34" s="7" t="inlineStr">
        <is>
          <t>Students</t>
        </is>
      </c>
      <c r="E34" s="7" t="inlineStr">
        <is>
          <t>KS2 band
(mean)</t>
        </is>
      </c>
      <c r="F34" s="7" t="inlineStr">
        <is>
          <t>Tests sat
(mean)</t>
        </is>
      </c>
      <c r="G34" s="7" t="inlineStr">
        <is>
          <t>Mean
stanine</t>
        </is>
      </c>
      <c r="H34" s="7" t="inlineStr">
        <is>
          <t>vs
expected</t>
        </is>
      </c>
      <c r="I34" s="7" t="inlineStr">
        <is>
          <t>Results at
stanine 7-9</t>
        </is>
      </c>
      <c r="J34" s="7" t="inlineStr">
        <is>
          <t>Results at
stanine 1-3</t>
        </is>
      </c>
      <c r="K34" s="7" t="inlineStr">
        <is>
          <t>Latest test
mean %</t>
        </is>
      </c>
      <c r="L34" s="7" t="inlineStr">
        <is>
          <t>Latest test
mean stanine</t>
        </is>
      </c>
      <c r="M34" s="7" t="inlineStr">
        <is>
          <t>Latest test
completion</t>
        </is>
      </c>
    </row>
    <row r="35">
      <c r="B35" s="26" t="inlineStr">
        <is>
          <t>Whole year</t>
        </is>
      </c>
      <c r="D35" s="27">
        <f>IFERROR(COUNTA(tblY9[Preferred Last name]),"")</f>
        <v>125</v>
      </c>
      <c r="E35" s="28">
        <f>IFERROR(AVERAGE(tblY9[Avg KS2 Band]),"")</f>
        <v>5.032</v>
      </c>
      <c r="F35" s="28">
        <f>IFERROR(AVERAGE(tblY9[Tests Sat]),"")</f>
        <v>3.856</v>
      </c>
      <c r="G35" s="28">
        <f>IFERROR(AVERAGE(tblY9[Mean Stanine]),"")</f>
        <v>5.098</v>
      </c>
      <c r="H35" s="29">
        <f>IFERROR(AVERAGE(tblY9[vs Expected]),"")</f>
        <v>1.56319401867222e-16</v>
      </c>
      <c r="I35" s="30">
        <f>IFERROR(SUMPRODUCT((RIGHT(tblY9[#Headers],8)=CHAR(10)&amp;"Stanine")*ISNUMBER(tblY9[#Data])*(tblY9[#Data]&gt;=7))/SUMPRODUCT((RIGHT(tblY9[#Headers],8)=CHAR(10)&amp;"Stanine")*ISNUMBER(tblY9[#Data])),"")</f>
        <v>0.259336099585062</v>
      </c>
      <c r="J35" s="30">
        <f>IFERROR(SUMPRODUCT((RIGHT(tblY9[#Headers],8)=CHAR(10)&amp;"Stanine")*ISNUMBER(tblY9[#Data])*(tblY9[#Data]&lt;=3))/SUMPRODUCT((RIGHT(tblY9[#Headers],8)=CHAR(10)&amp;"Stanine")*ISNUMBER(tblY9[#Data])),"")</f>
        <v>0.192946058091286</v>
      </c>
      <c r="K35" s="30">
        <f>IFERROR(IF(Calc!$AF$5="","",AVERAGE(INDEX(tblY9[#Data],0,MATCH(Calc!$AF$5&amp;CHAR(10)&amp;"Raw Score",tblY9[#Headers],0)))/Calc!$AG$5),"")</f>
        <v>0.705882352941177</v>
      </c>
      <c r="L35" s="28">
        <f>IFERROR(IF(Calc!$AF$5="","",AVERAGE(INDEX(tblY9[#Data],0,MATCH(Calc!$AF$5&amp;CHAR(10)&amp;"Stanine",tblY9[#Headers],0)))),"")</f>
        <v>5.11764705882353</v>
      </c>
      <c r="M35" s="30">
        <f>IFERROR(IF(Calc!$AF$5="","",(COUNTIFS(INDEX(tblY9[#Data],0,MATCH(Calc!$AF$5&amp;CHAR(10)&amp;"Raw Score",tblY9[#Headers],0)),"&gt;=0")+COUNTIFS(INDEX(tblY9[#Data],0,MATCH(Calc!$AF$5&amp;CHAR(10)&amp;"Raw Score",tblY9[#Headers],0)),"A"))/COUNTA(tblY9[Preferred Last name])),"")</f>
        <v>1</v>
      </c>
    </row>
    <row r="36">
      <c r="B36" s="31" t="str">
        <f>Calc!U3</f>
        <v>9A/Sc1</v>
      </c>
      <c r="C36" s="32" t="str">
        <f>IF($B36="","",IFERROR(INDEX(tblTeachers[Teacher],MATCH("Year 9"&amp;"|"&amp;$B36,tblTeachers[Key],0))&amp;"",""))</f>
        <v>Ms Rahman</v>
      </c>
      <c r="D36" s="33">
        <f>IF($B36="","",IFERROR(SUMPRODUCT(--((tblY9[Class])&amp;""=($B36)&amp;"")),""))</f>
        <v>22</v>
      </c>
      <c r="E36" s="34">
        <f>IF($B36="","",IFERROR(SUMPRODUCT(((tblY9[Class])&amp;""=($B36)&amp;"")*ISNUMBER(tblY9[Avg KS2 Band]),tblY9[Avg KS2 Band])/SUMPRODUCT(((tblY9[Class])&amp;""=($B36)&amp;"")*ISNUMBER(tblY9[Avg KS2 Band])),""))</f>
        <v>6.18181818181818</v>
      </c>
      <c r="F36" s="34">
        <f>IF($B36="","",IFERROR(SUMPRODUCT(((tblY9[Class])&amp;""=($B36)&amp;"")*ISNUMBER(tblY9[Tests Sat]),tblY9[Tests Sat])/SUMPRODUCT(((tblY9[Class])&amp;""=($B36)&amp;"")*ISNUMBER(tblY9[Tests Sat])),""))</f>
        <v>3.86363636363636</v>
      </c>
      <c r="G36" s="34">
        <f>IF($B36="","",IFERROR(SUMPRODUCT(((tblY9[Class])&amp;""=($B36)&amp;"")*ISNUMBER(tblY9[Mean Stanine]),tblY9[Mean Stanine])/SUMPRODUCT(((tblY9[Class])&amp;""=($B36)&amp;"")*ISNUMBER(tblY9[Mean Stanine])),""))</f>
        <v>6.39015151515152</v>
      </c>
      <c r="H36" s="35">
        <f>IF($B36="","",IFERROR(SUMPRODUCT(((tblY9[Class])&amp;""=($B36)&amp;"")*ISNUMBER(tblY9[vs Expected]),tblY9[vs Expected])/SUMPRODUCT(((tblY9[Class])&amp;""=($B36)&amp;"")*ISNUMBER(tblY9[vs Expected])),""))</f>
        <v>0.414364474170004</v>
      </c>
      <c r="I36" s="36">
        <f>IF($B36="","",IFERROR(SUMPRODUCT(((tblY9[Class])&amp;""=($B36)&amp;"")*(RIGHT(tblY9[#Headers],8)=CHAR(10)&amp;"Stanine")*ISNUMBER(tblY9[#Data])*(tblY9[#Data]&gt;=7))/SUMPRODUCT(((tblY9[Class])&amp;""=($B36)&amp;"")*(RIGHT(tblY9[#Headers],8)=CHAR(10)&amp;"Stanine")*ISNUMBER(tblY9[#Data])),""))</f>
        <v>0.588235294117647</v>
      </c>
      <c r="J36" s="36">
        <f>IF($B36="","",IFERROR(SUMPRODUCT(((tblY9[Class])&amp;""=($B36)&amp;"")*(RIGHT(tblY9[#Headers],8)=CHAR(10)&amp;"Stanine")*ISNUMBER(tblY9[#Data])*(tblY9[#Data]&lt;=3))/SUMPRODUCT(((tblY9[Class])&amp;""=($B36)&amp;"")*(RIGHT(tblY9[#Headers],8)=CHAR(10)&amp;"Stanine")*ISNUMBER(tblY9[#Data])),""))</f>
        <v>0.0470588235294118</v>
      </c>
      <c r="K36" s="36">
        <f>IF($B36="","",IFERROR(IF(Calc!$AF$5="","",SUMPRODUCT(((tblY9[Class])&amp;""=($B36)&amp;"")*ISNUMBER(INDEX(tblY9[#Data],0,MATCH(Calc!$AF$5&amp;CHAR(10)&amp;"Raw Score",tblY9[#Headers],0))),INDEX(tblY9[#Data],0,MATCH(Calc!$AF$5&amp;CHAR(10)&amp;"Raw Score",tblY9[#Headers],0)))/SUMPRODUCT(((tblY9[Class])&amp;""=($B36)&amp;"")*ISNUMBER(INDEX(tblY9[#Data],0,MATCH(Calc!$AF$5&amp;CHAR(10)&amp;"Raw Score",tblY9[#Headers],0))))/Calc!$AG$5),""))</f>
        <v>0.815238095238095</v>
      </c>
      <c r="L36" s="34">
        <f>IF($B36="","",IFERROR(IF(Calc!$AF$5="","",SUMPRODUCT(((tblY9[Class])&amp;""=($B36)&amp;"")*ISNUMBER(INDEX(tblY9[#Data],0,MATCH(Calc!$AF$5&amp;CHAR(10)&amp;"Stanine",tblY9[#Headers],0))),INDEX(tblY9[#Data],0,MATCH(Calc!$AF$5&amp;CHAR(10)&amp;"Stanine",tblY9[#Headers],0)))/SUMPRODUCT(((tblY9[Class])&amp;""=($B36)&amp;"")*ISNUMBER(INDEX(tblY9[#Data],0,MATCH(Calc!$AF$5&amp;CHAR(10)&amp;"Stanine",tblY9[#Headers],0))))),""))</f>
        <v>6.33333333333333</v>
      </c>
      <c r="M36" s="36">
        <f>IF($B36="","",IFERROR(IF(Calc!$AF$5="","",(SUMPRODUCT(((tblY9[Class])&amp;""=($B36)&amp;"")*ISNUMBER(INDEX(tblY9[#Data],0,MATCH(Calc!$AF$5&amp;CHAR(10)&amp;"Raw Score",tblY9[#Headers],0)))*((INDEX(tblY9[#Data],0,MATCH(Calc!$AF$5&amp;CHAR(10)&amp;"Raw Score",tblY9[#Headers],0)))&gt;=0))+SUMPRODUCT(((tblY9[Class])&amp;""=($B36)&amp;"")*((INDEX(tblY9[#Data],0,MATCH(Calc!$AF$5&amp;CHAR(10)&amp;"Raw Score",tblY9[#Headers],0)))&amp;""="A")))/SUMPRODUCT(--((tblY9[Class])&amp;""=($B36)&amp;""))),""))</f>
        <v>1</v>
      </c>
    </row>
    <row r="37">
      <c r="B37" s="31" t="str">
        <f>Calc!U4</f>
        <v>9A/Sc2</v>
      </c>
      <c r="C37" s="32" t="str">
        <f>IF($B37="","",IFERROR(INDEX(tblTeachers[Teacher],MATCH("Year 9"&amp;"|"&amp;$B37,tblTeachers[Key],0))&amp;"",""))</f>
        <v>Mr Hughes</v>
      </c>
      <c r="D37" s="33">
        <f>IF($B37="","",IFERROR(SUMPRODUCT(--((tblY9[Class])&amp;""=($B37)&amp;"")),""))</f>
        <v>25</v>
      </c>
      <c r="E37" s="34">
        <f>IF($B37="","",IFERROR(SUMPRODUCT(((tblY9[Class])&amp;""=($B37)&amp;"")*ISNUMBER(tblY9[Avg KS2 Band]),tblY9[Avg KS2 Band])/SUMPRODUCT(((tblY9[Class])&amp;""=($B37)&amp;"")*ISNUMBER(tblY9[Avg KS2 Band])),""))</f>
        <v>4.88</v>
      </c>
      <c r="F37" s="34">
        <f>IF($B37="","",IFERROR(SUMPRODUCT(((tblY9[Class])&amp;""=($B37)&amp;"")*ISNUMBER(tblY9[Tests Sat]),tblY9[Tests Sat])/SUMPRODUCT(((tblY9[Class])&amp;""=($B37)&amp;"")*ISNUMBER(tblY9[Tests Sat])),""))</f>
        <v>3.92</v>
      </c>
      <c r="G37" s="34">
        <f>IF($B37="","",IFERROR(SUMPRODUCT(((tblY9[Class])&amp;""=($B37)&amp;"")*ISNUMBER(tblY9[Mean Stanine]),tblY9[Mean Stanine])/SUMPRODUCT(((tblY9[Class])&amp;""=($B37)&amp;"")*ISNUMBER(tblY9[Mean Stanine])),""))</f>
        <v>4.76</v>
      </c>
      <c r="H37" s="35">
        <f>IF($B37="","",IFERROR(SUMPRODUCT(((tblY9[Class])&amp;""=($B37)&amp;"")*ISNUMBER(tblY9[vs Expected]),tblY9[vs Expected])/SUMPRODUCT(((tblY9[Class])&amp;""=($B37)&amp;"")*ISNUMBER(tblY9[vs Expected])),""))</f>
        <v>-0.221961105904405</v>
      </c>
      <c r="I37" s="36">
        <f>IF($B37="","",IFERROR(SUMPRODUCT(((tblY9[Class])&amp;""=($B37)&amp;"")*(RIGHT(tblY9[#Headers],8)=CHAR(10)&amp;"Stanine")*ISNUMBER(tblY9[#Data])*(tblY9[#Data]&gt;=7))/SUMPRODUCT(((tblY9[Class])&amp;""=($B37)&amp;"")*(RIGHT(tblY9[#Headers],8)=CHAR(10)&amp;"Stanine")*ISNUMBER(tblY9[#Data])),""))</f>
        <v>0.163265306122449</v>
      </c>
      <c r="J37" s="36">
        <f>IF($B37="","",IFERROR(SUMPRODUCT(((tblY9[Class])&amp;""=($B37)&amp;"")*(RIGHT(tblY9[#Headers],8)=CHAR(10)&amp;"Stanine")*ISNUMBER(tblY9[#Data])*(tblY9[#Data]&lt;=3))/SUMPRODUCT(((tblY9[Class])&amp;""=($B37)&amp;"")*(RIGHT(tblY9[#Headers],8)=CHAR(10)&amp;"Stanine")*ISNUMBER(tblY9[#Data])),""))</f>
        <v>0.23469387755102</v>
      </c>
      <c r="K37" s="36">
        <f>IF($B37="","",IFERROR(IF(Calc!$AF$5="","",SUMPRODUCT(((tblY9[Class])&amp;""=($B37)&amp;"")*ISNUMBER(INDEX(tblY9[#Data],0,MATCH(Calc!$AF$5&amp;CHAR(10)&amp;"Raw Score",tblY9[#Headers],0))),INDEX(tblY9[#Data],0,MATCH(Calc!$AF$5&amp;CHAR(10)&amp;"Raw Score",tblY9[#Headers],0)))/SUMPRODUCT(((tblY9[Class])&amp;""=($B37)&amp;"")*ISNUMBER(INDEX(tblY9[#Data],0,MATCH(Calc!$AF$5&amp;CHAR(10)&amp;"Raw Score",tblY9[#Headers],0))))/Calc!$AG$5),""))</f>
        <v>0.685</v>
      </c>
      <c r="L37" s="34">
        <f>IF($B37="","",IFERROR(IF(Calc!$AF$5="","",SUMPRODUCT(((tblY9[Class])&amp;""=($B37)&amp;"")*ISNUMBER(INDEX(tblY9[#Data],0,MATCH(Calc!$AF$5&amp;CHAR(10)&amp;"Stanine",tblY9[#Headers],0))),INDEX(tblY9[#Data],0,MATCH(Calc!$AF$5&amp;CHAR(10)&amp;"Stanine",tblY9[#Headers],0)))/SUMPRODUCT(((tblY9[Class])&amp;""=($B37)&amp;"")*ISNUMBER(INDEX(tblY9[#Data],0,MATCH(Calc!$AF$5&amp;CHAR(10)&amp;"Stanine",tblY9[#Headers],0))))),""))</f>
        <v>4.75</v>
      </c>
      <c r="M37" s="36">
        <f>IF($B37="","",IFERROR(IF(Calc!$AF$5="","",(SUMPRODUCT(((tblY9[Class])&amp;""=($B37)&amp;"")*ISNUMBER(INDEX(tblY9[#Data],0,MATCH(Calc!$AF$5&amp;CHAR(10)&amp;"Raw Score",tblY9[#Headers],0)))*((INDEX(tblY9[#Data],0,MATCH(Calc!$AF$5&amp;CHAR(10)&amp;"Raw Score",tblY9[#Headers],0)))&gt;=0))+SUMPRODUCT(((tblY9[Class])&amp;""=($B37)&amp;"")*((INDEX(tblY9[#Data],0,MATCH(Calc!$AF$5&amp;CHAR(10)&amp;"Raw Score",tblY9[#Headers],0)))&amp;""="A")))/SUMPRODUCT(--((tblY9[Class])&amp;""=($B37)&amp;""))),""))</f>
        <v>1</v>
      </c>
    </row>
    <row r="38">
      <c r="B38" s="31" t="str">
        <f>Calc!U5</f>
        <v>9A/Sc3</v>
      </c>
      <c r="C38" s="32" t="str">
        <f>IF($B38="","",IFERROR(INDEX(tblTeachers[Teacher],MATCH("Year 9"&amp;"|"&amp;$B38,tblTeachers[Key],0))&amp;"",""))</f>
        <v>Mrs Singh</v>
      </c>
      <c r="D38" s="33">
        <f>IF($B38="","",IFERROR(SUMPRODUCT(--((tblY9[Class])&amp;""=($B38)&amp;"")),""))</f>
        <v>19</v>
      </c>
      <c r="E38" s="34">
        <f>IF($B38="","",IFERROR(SUMPRODUCT(((tblY9[Class])&amp;""=($B38)&amp;"")*ISNUMBER(tblY9[Avg KS2 Band]),tblY9[Avg KS2 Band])/SUMPRODUCT(((tblY9[Class])&amp;""=($B38)&amp;"")*ISNUMBER(tblY9[Avg KS2 Band])),""))</f>
        <v>4</v>
      </c>
      <c r="F38" s="34">
        <f>IF($B38="","",IFERROR(SUMPRODUCT(((tblY9[Class])&amp;""=($B38)&amp;"")*ISNUMBER(tblY9[Tests Sat]),tblY9[Tests Sat])/SUMPRODUCT(((tblY9[Class])&amp;""=($B38)&amp;"")*ISNUMBER(tblY9[Tests Sat])),""))</f>
        <v>3.89473684210526</v>
      </c>
      <c r="G38" s="34">
        <f>IF($B38="","",IFERROR(SUMPRODUCT(((tblY9[Class])&amp;""=($B38)&amp;"")*ISNUMBER(tblY9[Mean Stanine]),tblY9[Mean Stanine])/SUMPRODUCT(((tblY9[Class])&amp;""=($B38)&amp;"")*ISNUMBER(tblY9[Mean Stanine])),""))</f>
        <v>3.74122807017544</v>
      </c>
      <c r="H38" s="35">
        <f>IF($B38="","",IFERROR(SUMPRODUCT(((tblY9[Class])&amp;""=($B38)&amp;"")*ISNUMBER(tblY9[vs Expected]),tblY9[vs Expected])/SUMPRODUCT(((tblY9[Class])&amp;""=($B38)&amp;"")*ISNUMBER(tblY9[vs Expected])),""))</f>
        <v>-0.568928912017626</v>
      </c>
      <c r="I38" s="36">
        <f>IF($B38="","",IFERROR(SUMPRODUCT(((tblY9[Class])&amp;""=($B38)&amp;"")*(RIGHT(tblY9[#Headers],8)=CHAR(10)&amp;"Stanine")*ISNUMBER(tblY9[#Data])*(tblY9[#Data]&gt;=7))/SUMPRODUCT(((tblY9[Class])&amp;""=($B38)&amp;"")*(RIGHT(tblY9[#Headers],8)=CHAR(10)&amp;"Stanine")*ISNUMBER(tblY9[#Data])),""))</f>
        <v>0.0405405405405405</v>
      </c>
      <c r="J38" s="36">
        <f>IF($B38="","",IFERROR(SUMPRODUCT(((tblY9[Class])&amp;""=($B38)&amp;"")*(RIGHT(tblY9[#Headers],8)=CHAR(10)&amp;"Stanine")*ISNUMBER(tblY9[#Data])*(tblY9[#Data]&lt;=3))/SUMPRODUCT(((tblY9[Class])&amp;""=($B38)&amp;"")*(RIGHT(tblY9[#Headers],8)=CHAR(10)&amp;"Stanine")*ISNUMBER(tblY9[#Data])),""))</f>
        <v>0.472972972972973</v>
      </c>
      <c r="K38" s="36">
        <f>IF($B38="","",IFERROR(IF(Calc!$AF$5="","",SUMPRODUCT(((tblY9[Class])&amp;""=($B38)&amp;"")*ISNUMBER(INDEX(tblY9[#Data],0,MATCH(Calc!$AF$5&amp;CHAR(10)&amp;"Raw Score",tblY9[#Headers],0))),INDEX(tblY9[#Data],0,MATCH(Calc!$AF$5&amp;CHAR(10)&amp;"Raw Score",tblY9[#Headers],0)))/SUMPRODUCT(((tblY9[Class])&amp;""=($B38)&amp;"")*ISNUMBER(INDEX(tblY9[#Data],0,MATCH(Calc!$AF$5&amp;CHAR(10)&amp;"Raw Score",tblY9[#Headers],0))))/Calc!$AG$5),""))</f>
        <v>0.584444444444444</v>
      </c>
      <c r="L38" s="34">
        <f>IF($B38="","",IFERROR(IF(Calc!$AF$5="","",SUMPRODUCT(((tblY9[Class])&amp;""=($B38)&amp;"")*ISNUMBER(INDEX(tblY9[#Data],0,MATCH(Calc!$AF$5&amp;CHAR(10)&amp;"Stanine",tblY9[#Headers],0))),INDEX(tblY9[#Data],0,MATCH(Calc!$AF$5&amp;CHAR(10)&amp;"Stanine",tblY9[#Headers],0)))/SUMPRODUCT(((tblY9[Class])&amp;""=($B38)&amp;"")*ISNUMBER(INDEX(tblY9[#Data],0,MATCH(Calc!$AF$5&amp;CHAR(10)&amp;"Stanine",tblY9[#Headers],0))))),""))</f>
        <v>3.88888888888889</v>
      </c>
      <c r="M38" s="36">
        <f>IF($B38="","",IFERROR(IF(Calc!$AF$5="","",(SUMPRODUCT(((tblY9[Class])&amp;""=($B38)&amp;"")*ISNUMBER(INDEX(tblY9[#Data],0,MATCH(Calc!$AF$5&amp;CHAR(10)&amp;"Raw Score",tblY9[#Headers],0)))*((INDEX(tblY9[#Data],0,MATCH(Calc!$AF$5&amp;CHAR(10)&amp;"Raw Score",tblY9[#Headers],0)))&gt;=0))+SUMPRODUCT(((tblY9[Class])&amp;""=($B38)&amp;"")*((INDEX(tblY9[#Data],0,MATCH(Calc!$AF$5&amp;CHAR(10)&amp;"Raw Score",tblY9[#Headers],0)))&amp;""="A")))/SUMPRODUCT(--((tblY9[Class])&amp;""=($B38)&amp;""))),""))</f>
        <v>1</v>
      </c>
    </row>
    <row r="39">
      <c r="B39" s="31" t="str">
        <f>Calc!U6</f>
        <v>9B/Sc1</v>
      </c>
      <c r="C39" s="32" t="str">
        <f>IF($B39="","",IFERROR(INDEX(tblTeachers[Teacher],MATCH("Year 9"&amp;"|"&amp;$B39,tblTeachers[Key],0))&amp;"",""))</f>
        <v>Ms Rahman</v>
      </c>
      <c r="D39" s="33">
        <f>IF($B39="","",IFERROR(SUMPRODUCT(--((tblY9[Class])&amp;""=($B39)&amp;"")),""))</f>
        <v>27</v>
      </c>
      <c r="E39" s="34">
        <f>IF($B39="","",IFERROR(SUMPRODUCT(((tblY9[Class])&amp;""=($B39)&amp;"")*ISNUMBER(tblY9[Avg KS2 Band]),tblY9[Avg KS2 Band])/SUMPRODUCT(((tblY9[Class])&amp;""=($B39)&amp;"")*ISNUMBER(tblY9[Avg KS2 Band])),""))</f>
        <v>6.07407407407407</v>
      </c>
      <c r="F39" s="34">
        <f>IF($B39="","",IFERROR(SUMPRODUCT(((tblY9[Class])&amp;""=($B39)&amp;"")*ISNUMBER(tblY9[Tests Sat]),tblY9[Tests Sat])/SUMPRODUCT(((tblY9[Class])&amp;""=($B39)&amp;"")*ISNUMBER(tblY9[Tests Sat])),""))</f>
        <v>3.81481481481482</v>
      </c>
      <c r="G39" s="34">
        <f>IF($B39="","",IFERROR(SUMPRODUCT(((tblY9[Class])&amp;""=($B39)&amp;"")*ISNUMBER(tblY9[Mean Stanine]),tblY9[Mean Stanine])/SUMPRODUCT(((tblY9[Class])&amp;""=($B39)&amp;"")*ISNUMBER(tblY9[Mean Stanine])),""))</f>
        <v>6.12037037037037</v>
      </c>
      <c r="H39" s="35">
        <f>IF($B39="","",IFERROR(SUMPRODUCT(((tblY9[Class])&amp;""=($B39)&amp;"")*ISNUMBER(tblY9[vs Expected]),tblY9[vs Expected])/SUMPRODUCT(((tblY9[Class])&amp;""=($B39)&amp;"")*ISNUMBER(tblY9[vs Expected])),""))</f>
        <v>0.226836665625326</v>
      </c>
      <c r="I39" s="36">
        <f>IF($B39="","",IFERROR(SUMPRODUCT(((tblY9[Class])&amp;""=($B39)&amp;"")*(RIGHT(tblY9[#Headers],8)=CHAR(10)&amp;"Stanine")*ISNUMBER(tblY9[#Data])*(tblY9[#Data]&gt;=7))/SUMPRODUCT(((tblY9[Class])&amp;""=($B39)&amp;"")*(RIGHT(tblY9[#Headers],8)=CHAR(10)&amp;"Stanine")*ISNUMBER(tblY9[#Data])),""))</f>
        <v>0.436893203883495</v>
      </c>
      <c r="J39" s="36">
        <f>IF($B39="","",IFERROR(SUMPRODUCT(((tblY9[Class])&amp;""=($B39)&amp;"")*(RIGHT(tblY9[#Headers],8)=CHAR(10)&amp;"Stanine")*ISNUMBER(tblY9[#Data])*(tblY9[#Data]&lt;=3))/SUMPRODUCT(((tblY9[Class])&amp;""=($B39)&amp;"")*(RIGHT(tblY9[#Headers],8)=CHAR(10)&amp;"Stanine")*ISNUMBER(tblY9[#Data])),""))</f>
        <v>0.0194174757281553</v>
      </c>
      <c r="K39" s="36">
        <f>IF($B39="","",IFERROR(IF(Calc!$AF$5="","",SUMPRODUCT(((tblY9[Class])&amp;""=($B39)&amp;"")*ISNUMBER(INDEX(tblY9[#Data],0,MATCH(Calc!$AF$5&amp;CHAR(10)&amp;"Raw Score",tblY9[#Headers],0))),INDEX(tblY9[#Data],0,MATCH(Calc!$AF$5&amp;CHAR(10)&amp;"Raw Score",tblY9[#Headers],0)))/SUMPRODUCT(((tblY9[Class])&amp;""=($B39)&amp;"")*ISNUMBER(INDEX(tblY9[#Data],0,MATCH(Calc!$AF$5&amp;CHAR(10)&amp;"Raw Score",tblY9[#Headers],0))))/Calc!$AG$5),""))</f>
        <v>0.804615384615385</v>
      </c>
      <c r="L39" s="34">
        <f>IF($B39="","",IFERROR(IF(Calc!$AF$5="","",SUMPRODUCT(((tblY9[Class])&amp;""=($B39)&amp;"")*ISNUMBER(INDEX(tblY9[#Data],0,MATCH(Calc!$AF$5&amp;CHAR(10)&amp;"Stanine",tblY9[#Headers],0))),INDEX(tblY9[#Data],0,MATCH(Calc!$AF$5&amp;CHAR(10)&amp;"Stanine",tblY9[#Headers],0)))/SUMPRODUCT(((tblY9[Class])&amp;""=($B39)&amp;"")*ISNUMBER(INDEX(tblY9[#Data],0,MATCH(Calc!$AF$5&amp;CHAR(10)&amp;"Stanine",tblY9[#Headers],0))))),""))</f>
        <v>6.23076923076923</v>
      </c>
      <c r="M39" s="36">
        <f>IF($B39="","",IFERROR(IF(Calc!$AF$5="","",(SUMPRODUCT(((tblY9[Class])&amp;""=($B39)&amp;"")*ISNUMBER(INDEX(tblY9[#Data],0,MATCH(Calc!$AF$5&amp;CHAR(10)&amp;"Raw Score",tblY9[#Headers],0)))*((INDEX(tblY9[#Data],0,MATCH(Calc!$AF$5&amp;CHAR(10)&amp;"Raw Score",tblY9[#Headers],0)))&gt;=0))+SUMPRODUCT(((tblY9[Class])&amp;""=($B39)&amp;"")*((INDEX(tblY9[#Data],0,MATCH(Calc!$AF$5&amp;CHAR(10)&amp;"Raw Score",tblY9[#Headers],0)))&amp;""="A")))/SUMPRODUCT(--((tblY9[Class])&amp;""=($B39)&amp;""))),""))</f>
        <v>1</v>
      </c>
    </row>
    <row r="40">
      <c r="B40" s="31" t="str">
        <f>Calc!U7</f>
        <v>9B/Sc2</v>
      </c>
      <c r="C40" s="32" t="str">
        <f>IF($B40="","",IFERROR(INDEX(tblTeachers[Teacher],MATCH("Year 9"&amp;"|"&amp;$B40,tblTeachers[Key],0))&amp;"",""))</f>
        <v>Mr Owen</v>
      </c>
      <c r="D40" s="33">
        <f>IF($B40="","",IFERROR(SUMPRODUCT(--((tblY9[Class])&amp;""=($B40)&amp;"")),""))</f>
        <v>29</v>
      </c>
      <c r="E40" s="34">
        <f>IF($B40="","",IFERROR(SUMPRODUCT(((tblY9[Class])&amp;""=($B40)&amp;"")*ISNUMBER(tblY9[Avg KS2 Band]),tblY9[Avg KS2 Band])/SUMPRODUCT(((tblY9[Class])&amp;""=($B40)&amp;"")*ISNUMBER(tblY9[Avg KS2 Band])),""))</f>
        <v>4.37931034482759</v>
      </c>
      <c r="F40" s="34">
        <f>IF($B40="","",IFERROR(SUMPRODUCT(((tblY9[Class])&amp;""=($B40)&amp;"")*ISNUMBER(tblY9[Tests Sat]),tblY9[Tests Sat])/SUMPRODUCT(((tblY9[Class])&amp;""=($B40)&amp;"")*ISNUMBER(tblY9[Tests Sat])),""))</f>
        <v>3.79310344827586</v>
      </c>
      <c r="G40" s="34">
        <f>IF($B40="","",IFERROR(SUMPRODUCT(((tblY9[Class])&amp;""=($B40)&amp;"")*ISNUMBER(tblY9[Mean Stanine]),tblY9[Mean Stanine])/SUMPRODUCT(((tblY9[Class])&amp;""=($B40)&amp;"")*ISNUMBER(tblY9[Mean Stanine])),""))</f>
        <v>4.77011494252874</v>
      </c>
      <c r="H40" s="35">
        <f>IF($B40="","",IFERROR(SUMPRODUCT(((tblY9[Class])&amp;""=($B40)&amp;"")*ISNUMBER(tblY9[vs Expected]),tblY9[vs Expected])/SUMPRODUCT(((tblY9[Class])&amp;""=($B40)&amp;"")*ISNUMBER(tblY9[vs Expected])),""))</f>
        <v>0.170387217356645</v>
      </c>
      <c r="I40" s="36">
        <f>IF($B40="","",IFERROR(SUMPRODUCT(((tblY9[Class])&amp;""=($B40)&amp;"")*(RIGHT(tblY9[#Headers],8)=CHAR(10)&amp;"Stanine")*ISNUMBER(tblY9[#Data])*(tblY9[#Data]&gt;=7))/SUMPRODUCT(((tblY9[Class])&amp;""=($B40)&amp;"")*(RIGHT(tblY9[#Headers],8)=CHAR(10)&amp;"Stanine")*ISNUMBER(tblY9[#Data])),""))</f>
        <v>0.1</v>
      </c>
      <c r="J40" s="36">
        <f>IF($B40="","",IFERROR(SUMPRODUCT(((tblY9[Class])&amp;""=($B40)&amp;"")*(RIGHT(tblY9[#Headers],8)=CHAR(10)&amp;"Stanine")*ISNUMBER(tblY9[#Data])*(tblY9[#Data]&lt;=3))/SUMPRODUCT(((tblY9[Class])&amp;""=($B40)&amp;"")*(RIGHT(tblY9[#Headers],8)=CHAR(10)&amp;"Stanine")*ISNUMBER(tblY9[#Data])),""))</f>
        <v>0.154545454545455</v>
      </c>
      <c r="K40" s="36">
        <f>IF($B40="","",IFERROR(IF(Calc!$AF$5="","",SUMPRODUCT(((tblY9[Class])&amp;""=($B40)&amp;"")*ISNUMBER(INDEX(tblY9[#Data],0,MATCH(Calc!$AF$5&amp;CHAR(10)&amp;"Raw Score",tblY9[#Headers],0))),INDEX(tblY9[#Data],0,MATCH(Calc!$AF$5&amp;CHAR(10)&amp;"Raw Score",tblY9[#Headers],0)))/SUMPRODUCT(((tblY9[Class])&amp;""=($B40)&amp;"")*ISNUMBER(INDEX(tblY9[#Data],0,MATCH(Calc!$AF$5&amp;CHAR(10)&amp;"Raw Score",tblY9[#Headers],0))))/Calc!$AG$5),""))</f>
        <v>0.677037037037037</v>
      </c>
      <c r="L40" s="34">
        <f>IF($B40="","",IFERROR(IF(Calc!$AF$5="","",SUMPRODUCT(((tblY9[Class])&amp;""=($B40)&amp;"")*ISNUMBER(INDEX(tblY9[#Data],0,MATCH(Calc!$AF$5&amp;CHAR(10)&amp;"Stanine",tblY9[#Headers],0))),INDEX(tblY9[#Data],0,MATCH(Calc!$AF$5&amp;CHAR(10)&amp;"Stanine",tblY9[#Headers],0)))/SUMPRODUCT(((tblY9[Class])&amp;""=($B40)&amp;"")*ISNUMBER(INDEX(tblY9[#Data],0,MATCH(Calc!$AF$5&amp;CHAR(10)&amp;"Stanine",tblY9[#Headers],0))))),""))</f>
        <v>4.7037037037037</v>
      </c>
      <c r="M40" s="36">
        <f>IF($B40="","",IFERROR(IF(Calc!$AF$5="","",(SUMPRODUCT(((tblY9[Class])&amp;""=($B40)&amp;"")*ISNUMBER(INDEX(tblY9[#Data],0,MATCH(Calc!$AF$5&amp;CHAR(10)&amp;"Raw Score",tblY9[#Headers],0)))*((INDEX(tblY9[#Data],0,MATCH(Calc!$AF$5&amp;CHAR(10)&amp;"Raw Score",tblY9[#Headers],0)))&gt;=0))+SUMPRODUCT(((tblY9[Class])&amp;""=($B40)&amp;"")*((INDEX(tblY9[#Data],0,MATCH(Calc!$AF$5&amp;CHAR(10)&amp;"Raw Score",tblY9[#Headers],0)))&amp;""="A")))/SUMPRODUCT(--((tblY9[Class])&amp;""=($B40)&amp;""))),""))</f>
        <v>1</v>
      </c>
    </row>
    <row r="41">
      <c r="B41" s="31" t="str">
        <f>Calc!U8</f>
        <v>Science Support</v>
      </c>
      <c r="C41" s="32" t="str">
        <f>IF($B41="","",IFERROR(INDEX(tblTeachers[Teacher],MATCH("Year 9"&amp;"|"&amp;$B41,tblTeachers[Key],0))&amp;"",""))</f>
        <v>Mr Walsh</v>
      </c>
      <c r="D41" s="33">
        <f>IF($B41="","",IFERROR(SUMPRODUCT(--((tblY9[Class])&amp;""=($B41)&amp;"")),""))</f>
        <v>3</v>
      </c>
      <c r="E41" s="34">
        <f>IF($B41="","",IFERROR(SUMPRODUCT(((tblY9[Class])&amp;""=($B41)&amp;"")*ISNUMBER(tblY9[Avg KS2 Band]),tblY9[Avg KS2 Band])/SUMPRODUCT(((tblY9[Class])&amp;""=($B41)&amp;"")*ISNUMBER(tblY9[Avg KS2 Band])),""))</f>
        <v>1.33333333333333</v>
      </c>
      <c r="F41" s="34">
        <f>IF($B41="","",IFERROR(SUMPRODUCT(((tblY9[Class])&amp;""=($B41)&amp;"")*ISNUMBER(tblY9[Tests Sat]),tblY9[Tests Sat])/SUMPRODUCT(((tblY9[Class])&amp;""=($B41)&amp;"")*ISNUMBER(tblY9[Tests Sat])),""))</f>
        <v>4</v>
      </c>
      <c r="G41" s="34">
        <f>IF($B41="","",IFERROR(SUMPRODUCT(((tblY9[Class])&amp;""=($B41)&amp;"")*ISNUMBER(tblY9[Mean Stanine]),tblY9[Mean Stanine])/SUMPRODUCT(((tblY9[Class])&amp;""=($B41)&amp;"")*ISNUMBER(tblY9[Mean Stanine])),""))</f>
        <v>1</v>
      </c>
      <c r="H41" s="35">
        <f>IF($B41="","",IFERROR(SUMPRODUCT(((tblY9[Class])&amp;""=($B41)&amp;"")*ISNUMBER(tblY9[vs Expected]),tblY9[vs Expected])/SUMPRODUCT(((tblY9[Class])&amp;""=($B41)&amp;"")*ISNUMBER(tblY9[vs Expected])),""))</f>
        <v>-1.27438691034052</v>
      </c>
      <c r="I41" s="36">
        <f>IF($B41="","",IFERROR(SUMPRODUCT(((tblY9[Class])&amp;""=($B41)&amp;"")*(RIGHT(tblY9[#Headers],8)=CHAR(10)&amp;"Stanine")*ISNUMBER(tblY9[#Data])*(tblY9[#Data]&gt;=7))/SUMPRODUCT(((tblY9[Class])&amp;""=($B41)&amp;"")*(RIGHT(tblY9[#Headers],8)=CHAR(10)&amp;"Stanine")*ISNUMBER(tblY9[#Data])),""))</f>
        <v>0</v>
      </c>
      <c r="J41" s="36">
        <f>IF($B41="","",IFERROR(SUMPRODUCT(((tblY9[Class])&amp;""=($B41)&amp;"")*(RIGHT(tblY9[#Headers],8)=CHAR(10)&amp;"Stanine")*ISNUMBER(tblY9[#Data])*(tblY9[#Data]&lt;=3))/SUMPRODUCT(((tblY9[Class])&amp;""=($B41)&amp;"")*(RIGHT(tblY9[#Headers],8)=CHAR(10)&amp;"Stanine")*ISNUMBER(tblY9[#Data])),""))</f>
        <v>1</v>
      </c>
      <c r="K41" s="36">
        <f>IF($B41="","",IFERROR(IF(Calc!$AF$5="","",SUMPRODUCT(((tblY9[Class])&amp;""=($B41)&amp;"")*ISNUMBER(INDEX(tblY9[#Data],0,MATCH(Calc!$AF$5&amp;CHAR(10)&amp;"Raw Score",tblY9[#Headers],0))),INDEX(tblY9[#Data],0,MATCH(Calc!$AF$5&amp;CHAR(10)&amp;"Raw Score",tblY9[#Headers],0)))/SUMPRODUCT(((tblY9[Class])&amp;""=($B41)&amp;"")*ISNUMBER(INDEX(tblY9[#Data],0,MATCH(Calc!$AF$5&amp;CHAR(10)&amp;"Raw Score",tblY9[#Headers],0))))/Calc!$AG$5),""))</f>
        <v>0.24</v>
      </c>
      <c r="L41" s="34">
        <f>IF($B41="","",IFERROR(IF(Calc!$AF$5="","",SUMPRODUCT(((tblY9[Class])&amp;""=($B41)&amp;"")*ISNUMBER(INDEX(tblY9[#Data],0,MATCH(Calc!$AF$5&amp;CHAR(10)&amp;"Stanine",tblY9[#Headers],0))),INDEX(tblY9[#Data],0,MATCH(Calc!$AF$5&amp;CHAR(10)&amp;"Stanine",tblY9[#Headers],0)))/SUMPRODUCT(((tblY9[Class])&amp;""=($B41)&amp;"")*ISNUMBER(INDEX(tblY9[#Data],0,MATCH(Calc!$AF$5&amp;CHAR(10)&amp;"Stanine",tblY9[#Headers],0))))),""))</f>
        <v>1</v>
      </c>
      <c r="M41" s="36">
        <f>IF($B41="","",IFERROR(IF(Calc!$AF$5="","",(SUMPRODUCT(((tblY9[Class])&amp;""=($B41)&amp;"")*ISNUMBER(INDEX(tblY9[#Data],0,MATCH(Calc!$AF$5&amp;CHAR(10)&amp;"Raw Score",tblY9[#Headers],0)))*((INDEX(tblY9[#Data],0,MATCH(Calc!$AF$5&amp;CHAR(10)&amp;"Raw Score",tblY9[#Headers],0)))&gt;=0))+SUMPRODUCT(((tblY9[Class])&amp;""=($B41)&amp;"")*((INDEX(tblY9[#Data],0,MATCH(Calc!$AF$5&amp;CHAR(10)&amp;"Raw Score",tblY9[#Headers],0)))&amp;""="A")))/SUMPRODUCT(--((tblY9[Class])&amp;""=($B41)&amp;""))),""))</f>
        <v>1</v>
      </c>
    </row>
    <row r="42">
      <c r="B42" s="31" t="str">
        <f>Calc!U9</f>
        <v/>
      </c>
      <c r="C42" s="32" t="str">
        <f>IF($B42="","",IFERROR(INDEX(tblTeachers[Teacher],MATCH("Year 9"&amp;"|"&amp;$B42,tblTeachers[Key],0))&amp;"",""))</f>
        <v/>
      </c>
      <c r="D42" s="33" t="str">
        <f>IF($B42="","",IFERROR(SUMPRODUCT(--((tblY9[Class])&amp;""=($B42)&amp;"")),""))</f>
        <v/>
      </c>
      <c r="E42" s="34" t="str">
        <f>IF($B42="","",IFERROR(SUMPRODUCT(((tblY9[Class])&amp;""=($B42)&amp;"")*ISNUMBER(tblY9[Avg KS2 Band]),tblY9[Avg KS2 Band])/SUMPRODUCT(((tblY9[Class])&amp;""=($B42)&amp;"")*ISNUMBER(tblY9[Avg KS2 Band])),""))</f>
        <v/>
      </c>
      <c r="F42" s="34" t="str">
        <f>IF($B42="","",IFERROR(SUMPRODUCT(((tblY9[Class])&amp;""=($B42)&amp;"")*ISNUMBER(tblY9[Tests Sat]),tblY9[Tests Sat])/SUMPRODUCT(((tblY9[Class])&amp;""=($B42)&amp;"")*ISNUMBER(tblY9[Tests Sat])),""))</f>
        <v/>
      </c>
      <c r="G42" s="34" t="str">
        <f>IF($B42="","",IFERROR(SUMPRODUCT(((tblY9[Class])&amp;""=($B42)&amp;"")*ISNUMBER(tblY9[Mean Stanine]),tblY9[Mean Stanine])/SUMPRODUCT(((tblY9[Class])&amp;""=($B42)&amp;"")*ISNUMBER(tblY9[Mean Stanine])),""))</f>
        <v/>
      </c>
      <c r="H42" s="35" t="str">
        <f>IF($B42="","",IFERROR(SUMPRODUCT(((tblY9[Class])&amp;""=($B42)&amp;"")*ISNUMBER(tblY9[vs Expected]),tblY9[vs Expected])/SUMPRODUCT(((tblY9[Class])&amp;""=($B42)&amp;"")*ISNUMBER(tblY9[vs Expected])),""))</f>
        <v/>
      </c>
      <c r="I42" s="36" t="str">
        <f>IF($B42="","",IFERROR(SUMPRODUCT(((tblY9[Class])&amp;""=($B42)&amp;"")*(RIGHT(tblY9[#Headers],8)=CHAR(10)&amp;"Stanine")*ISNUMBER(tblY9[#Data])*(tblY9[#Data]&gt;=7))/SUMPRODUCT(((tblY9[Class])&amp;""=($B42)&amp;"")*(RIGHT(tblY9[#Headers],8)=CHAR(10)&amp;"Stanine")*ISNUMBER(tblY9[#Data])),""))</f>
        <v/>
      </c>
      <c r="J42" s="36" t="str">
        <f>IF($B42="","",IFERROR(SUMPRODUCT(((tblY9[Class])&amp;""=($B42)&amp;"")*(RIGHT(tblY9[#Headers],8)=CHAR(10)&amp;"Stanine")*ISNUMBER(tblY9[#Data])*(tblY9[#Data]&lt;=3))/SUMPRODUCT(((tblY9[Class])&amp;""=($B42)&amp;"")*(RIGHT(tblY9[#Headers],8)=CHAR(10)&amp;"Stanine")*ISNUMBER(tblY9[#Data])),""))</f>
        <v/>
      </c>
      <c r="K42" s="36" t="str">
        <f>IF($B42="","",IFERROR(IF(Calc!$AF$5="","",SUMPRODUCT(((tblY9[Class])&amp;""=($B42)&amp;"")*ISNUMBER(INDEX(tblY9[#Data],0,MATCH(Calc!$AF$5&amp;CHAR(10)&amp;"Raw Score",tblY9[#Headers],0))),INDEX(tblY9[#Data],0,MATCH(Calc!$AF$5&amp;CHAR(10)&amp;"Raw Score",tblY9[#Headers],0)))/SUMPRODUCT(((tblY9[Class])&amp;""=($B42)&amp;"")*ISNUMBER(INDEX(tblY9[#Data],0,MATCH(Calc!$AF$5&amp;CHAR(10)&amp;"Raw Score",tblY9[#Headers],0))))/Calc!$AG$5),""))</f>
        <v/>
      </c>
      <c r="L42" s="34" t="str">
        <f>IF($B42="","",IFERROR(IF(Calc!$AF$5="","",SUMPRODUCT(((tblY9[Class])&amp;""=($B42)&amp;"")*ISNUMBER(INDEX(tblY9[#Data],0,MATCH(Calc!$AF$5&amp;CHAR(10)&amp;"Stanine",tblY9[#Headers],0))),INDEX(tblY9[#Data],0,MATCH(Calc!$AF$5&amp;CHAR(10)&amp;"Stanine",tblY9[#Headers],0)))/SUMPRODUCT(((tblY9[Class])&amp;""=($B42)&amp;"")*ISNUMBER(INDEX(tblY9[#Data],0,MATCH(Calc!$AF$5&amp;CHAR(10)&amp;"Stanine",tblY9[#Headers],0))))),""))</f>
        <v/>
      </c>
      <c r="M42" s="36" t="str">
        <f>IF($B42="","",IFERROR(IF(Calc!$AF$5="","",(SUMPRODUCT(((tblY9[Class])&amp;""=($B42)&amp;"")*ISNUMBER(INDEX(tblY9[#Data],0,MATCH(Calc!$AF$5&amp;CHAR(10)&amp;"Raw Score",tblY9[#Headers],0)))*((INDEX(tblY9[#Data],0,MATCH(Calc!$AF$5&amp;CHAR(10)&amp;"Raw Score",tblY9[#Headers],0)))&gt;=0))+SUMPRODUCT(((tblY9[Class])&amp;""=($B42)&amp;"")*((INDEX(tblY9[#Data],0,MATCH(Calc!$AF$5&amp;CHAR(10)&amp;"Raw Score",tblY9[#Headers],0)))&amp;""="A")))/SUMPRODUCT(--((tblY9[Class])&amp;""=($B42)&amp;""))),""))</f>
        <v/>
      </c>
    </row>
    <row r="43">
      <c r="B43" s="31" t="str">
        <f>Calc!U10</f>
        <v/>
      </c>
      <c r="C43" s="32" t="str">
        <f>IF($B43="","",IFERROR(INDEX(tblTeachers[Teacher],MATCH("Year 9"&amp;"|"&amp;$B43,tblTeachers[Key],0))&amp;"",""))</f>
        <v/>
      </c>
      <c r="D43" s="33" t="str">
        <f>IF($B43="","",IFERROR(SUMPRODUCT(--((tblY9[Class])&amp;""=($B43)&amp;"")),""))</f>
        <v/>
      </c>
      <c r="E43" s="34" t="str">
        <f>IF($B43="","",IFERROR(SUMPRODUCT(((tblY9[Class])&amp;""=($B43)&amp;"")*ISNUMBER(tblY9[Avg KS2 Band]),tblY9[Avg KS2 Band])/SUMPRODUCT(((tblY9[Class])&amp;""=($B43)&amp;"")*ISNUMBER(tblY9[Avg KS2 Band])),""))</f>
        <v/>
      </c>
      <c r="F43" s="34" t="str">
        <f>IF($B43="","",IFERROR(SUMPRODUCT(((tblY9[Class])&amp;""=($B43)&amp;"")*ISNUMBER(tblY9[Tests Sat]),tblY9[Tests Sat])/SUMPRODUCT(((tblY9[Class])&amp;""=($B43)&amp;"")*ISNUMBER(tblY9[Tests Sat])),""))</f>
        <v/>
      </c>
      <c r="G43" s="34" t="str">
        <f>IF($B43="","",IFERROR(SUMPRODUCT(((tblY9[Class])&amp;""=($B43)&amp;"")*ISNUMBER(tblY9[Mean Stanine]),tblY9[Mean Stanine])/SUMPRODUCT(((tblY9[Class])&amp;""=($B43)&amp;"")*ISNUMBER(tblY9[Mean Stanine])),""))</f>
        <v/>
      </c>
      <c r="H43" s="35" t="str">
        <f>IF($B43="","",IFERROR(SUMPRODUCT(((tblY9[Class])&amp;""=($B43)&amp;"")*ISNUMBER(tblY9[vs Expected]),tblY9[vs Expected])/SUMPRODUCT(((tblY9[Class])&amp;""=($B43)&amp;"")*ISNUMBER(tblY9[vs Expected])),""))</f>
        <v/>
      </c>
      <c r="I43" s="36" t="str">
        <f>IF($B43="","",IFERROR(SUMPRODUCT(((tblY9[Class])&amp;""=($B43)&amp;"")*(RIGHT(tblY9[#Headers],8)=CHAR(10)&amp;"Stanine")*ISNUMBER(tblY9[#Data])*(tblY9[#Data]&gt;=7))/SUMPRODUCT(((tblY9[Class])&amp;""=($B43)&amp;"")*(RIGHT(tblY9[#Headers],8)=CHAR(10)&amp;"Stanine")*ISNUMBER(tblY9[#Data])),""))</f>
        <v/>
      </c>
      <c r="J43" s="36" t="str">
        <f>IF($B43="","",IFERROR(SUMPRODUCT(((tblY9[Class])&amp;""=($B43)&amp;"")*(RIGHT(tblY9[#Headers],8)=CHAR(10)&amp;"Stanine")*ISNUMBER(tblY9[#Data])*(tblY9[#Data]&lt;=3))/SUMPRODUCT(((tblY9[Class])&amp;""=($B43)&amp;"")*(RIGHT(tblY9[#Headers],8)=CHAR(10)&amp;"Stanine")*ISNUMBER(tblY9[#Data])),""))</f>
        <v/>
      </c>
      <c r="K43" s="36" t="str">
        <f>IF($B43="","",IFERROR(IF(Calc!$AF$5="","",SUMPRODUCT(((tblY9[Class])&amp;""=($B43)&amp;"")*ISNUMBER(INDEX(tblY9[#Data],0,MATCH(Calc!$AF$5&amp;CHAR(10)&amp;"Raw Score",tblY9[#Headers],0))),INDEX(tblY9[#Data],0,MATCH(Calc!$AF$5&amp;CHAR(10)&amp;"Raw Score",tblY9[#Headers],0)))/SUMPRODUCT(((tblY9[Class])&amp;""=($B43)&amp;"")*ISNUMBER(INDEX(tblY9[#Data],0,MATCH(Calc!$AF$5&amp;CHAR(10)&amp;"Raw Score",tblY9[#Headers],0))))/Calc!$AG$5),""))</f>
        <v/>
      </c>
      <c r="L43" s="34" t="str">
        <f>IF($B43="","",IFERROR(IF(Calc!$AF$5="","",SUMPRODUCT(((tblY9[Class])&amp;""=($B43)&amp;"")*ISNUMBER(INDEX(tblY9[#Data],0,MATCH(Calc!$AF$5&amp;CHAR(10)&amp;"Stanine",tblY9[#Headers],0))),INDEX(tblY9[#Data],0,MATCH(Calc!$AF$5&amp;CHAR(10)&amp;"Stanine",tblY9[#Headers],0)))/SUMPRODUCT(((tblY9[Class])&amp;""=($B43)&amp;"")*ISNUMBER(INDEX(tblY9[#Data],0,MATCH(Calc!$AF$5&amp;CHAR(10)&amp;"Stanine",tblY9[#Headers],0))))),""))</f>
        <v/>
      </c>
      <c r="M43" s="36" t="str">
        <f>IF($B43="","",IFERROR(IF(Calc!$AF$5="","",(SUMPRODUCT(((tblY9[Class])&amp;""=($B43)&amp;"")*ISNUMBER(INDEX(tblY9[#Data],0,MATCH(Calc!$AF$5&amp;CHAR(10)&amp;"Raw Score",tblY9[#Headers],0)))*((INDEX(tblY9[#Data],0,MATCH(Calc!$AF$5&amp;CHAR(10)&amp;"Raw Score",tblY9[#Headers],0)))&gt;=0))+SUMPRODUCT(((tblY9[Class])&amp;""=($B43)&amp;"")*((INDEX(tblY9[#Data],0,MATCH(Calc!$AF$5&amp;CHAR(10)&amp;"Raw Score",tblY9[#Headers],0)))&amp;""="A")))/SUMPRODUCT(--((tblY9[Class])&amp;""=($B43)&amp;""))),""))</f>
        <v/>
      </c>
    </row>
    <row r="45" ht="22" customHeight="1">
      <c r="B45" s="22" t="inlineStr">
        <is>
          <t>Year 10</t>
        </is>
      </c>
      <c r="C45" s="23" t="str">
        <f>"Leaves "&amp;Settings!$C$18&amp;"   ·   "&amp;COUNTA(tblY10[Preferred Last name])&amp;" students   ·   "&amp;Calc!$AI$6&amp;" tests"&amp;IF(Calc!$V$12&gt;8,"   ·   only the first 8 of "&amp;Calc!$V$12&amp;" classes fit here","")</f>
        <v>Leaves 2028   ·   117 students   ·   5 tests</v>
      </c>
      <c r="D45" s="24" t="n"/>
      <c r="E45" s="24" t="n"/>
      <c r="F45" s="24" t="n"/>
      <c r="G45" s="24" t="n"/>
      <c r="H45" s="25" t="str">
        <f>IF(Calc!$AF$6="","No tests yet","Latest test: "&amp;Calc!$AF$6&amp;IF(ISNUMBER(Calc!$AH$6),"  ("&amp;TEXT(Calc!$AH$6,"dd/mm/yyyy")&amp;")",""))</f>
        <v>Latest test: 4C02 - Bonding  (20/11/2026)</v>
      </c>
      <c r="I45" s="24" t="n"/>
      <c r="J45" s="24" t="n"/>
      <c r="K45" s="24" t="n"/>
      <c r="L45" s="24" t="n"/>
      <c r="M45" s="24" t="n"/>
    </row>
    <row r="46" ht="30" customHeight="1">
      <c r="B46" s="7" t="inlineStr">
        <is>
          <t>Class</t>
        </is>
      </c>
      <c r="C46" s="7" t="inlineStr">
        <is>
          <t>Teacher</t>
        </is>
      </c>
      <c r="D46" s="7" t="inlineStr">
        <is>
          <t>Students</t>
        </is>
      </c>
      <c r="E46" s="7" t="inlineStr">
        <is>
          <t>KS2 band
(mean)</t>
        </is>
      </c>
      <c r="F46" s="7" t="inlineStr">
        <is>
          <t>Tests sat
(mean)</t>
        </is>
      </c>
      <c r="G46" s="7" t="inlineStr">
        <is>
          <t>Mean
stanine</t>
        </is>
      </c>
      <c r="H46" s="7" t="inlineStr">
        <is>
          <t>vs
expected</t>
        </is>
      </c>
      <c r="I46" s="7" t="inlineStr">
        <is>
          <t>Results at
stanine 7-9</t>
        </is>
      </c>
      <c r="J46" s="7" t="inlineStr">
        <is>
          <t>Results at
stanine 1-3</t>
        </is>
      </c>
      <c r="K46" s="7" t="inlineStr">
        <is>
          <t>Latest test
mean %</t>
        </is>
      </c>
      <c r="L46" s="7" t="inlineStr">
        <is>
          <t>Latest test
mean stanine</t>
        </is>
      </c>
      <c r="M46" s="7" t="inlineStr">
        <is>
          <t>Latest test
completion</t>
        </is>
      </c>
    </row>
    <row r="47">
      <c r="B47" s="26" t="inlineStr">
        <is>
          <t>Whole year</t>
        </is>
      </c>
      <c r="D47" s="27">
        <f>IFERROR(COUNTA(tblY10[Preferred Last name]),"")</f>
        <v>117</v>
      </c>
      <c r="E47" s="28">
        <f>IFERROR(AVERAGE(tblY10[Avg KS2 Band]),"")</f>
        <v>5.01724137931035</v>
      </c>
      <c r="F47" s="28">
        <f>IFERROR(AVERAGE(tblY10[Tests Sat]),"")</f>
        <v>4.44444444444445</v>
      </c>
      <c r="G47" s="28">
        <f>IFERROR(AVERAGE(tblY10[Mean Stanine]),"")</f>
        <v>4.94173789173789</v>
      </c>
      <c r="H47" s="29">
        <f>IFERROR(AVERAGE(tblY10[vs Expected]),"")</f>
        <v>7.52271808064977e-16</v>
      </c>
      <c r="I47" s="30">
        <f>IFERROR(SUMPRODUCT((RIGHT(tblY10[#Headers],8)=CHAR(10)&amp;"Stanine")*ISNUMBER(tblY10[#Data])*(tblY10[#Data]&gt;=7))/SUMPRODUCT((RIGHT(tblY10[#Headers],8)=CHAR(10)&amp;"Stanine")*ISNUMBER(tblY10[#Data])),"")</f>
        <v>0.263461538461538</v>
      </c>
      <c r="J47" s="30">
        <f>IFERROR(SUMPRODUCT((RIGHT(tblY10[#Headers],8)=CHAR(10)&amp;"Stanine")*ISNUMBER(tblY10[#Data])*(tblY10[#Data]&lt;=3))/SUMPRODUCT((RIGHT(tblY10[#Headers],8)=CHAR(10)&amp;"Stanine")*ISNUMBER(tblY10[#Data])),"")</f>
        <v>0.267307692307692</v>
      </c>
      <c r="K47" s="30">
        <f>IFERROR(IF(Calc!$AF$6="","",AVERAGE(INDEX(tblY10[#Data],0,MATCH(Calc!$AF$6&amp;CHAR(10)&amp;"Raw Score",tblY10[#Headers],0)))/Calc!$AG$6),"")</f>
        <v>0.559743954480797</v>
      </c>
      <c r="L47" s="28">
        <f>IFERROR(IF(Calc!$AF$6="","",AVERAGE(INDEX(tblY10[#Data],0,MATCH(Calc!$AF$6&amp;CHAR(10)&amp;"Stanine",tblY10[#Headers],0)))),"")</f>
        <v>4.93243243243243</v>
      </c>
      <c r="M47" s="30">
        <f>IFERROR(IF(Calc!$AF$6="","",(COUNTIFS(INDEX(tblY10[#Data],0,MATCH(Calc!$AF$6&amp;CHAR(10)&amp;"Raw Score",tblY10[#Headers],0)),"&gt;=0")+COUNTIFS(INDEX(tblY10[#Data],0,MATCH(Calc!$AF$6&amp;CHAR(10)&amp;"Raw Score",tblY10[#Headers],0)),"A"))/COUNTA(tblY10[Preferred Last name])),"")</f>
        <v>0.658119658119658</v>
      </c>
    </row>
    <row r="48">
      <c r="B48" s="31" t="str">
        <f>Calc!V3</f>
        <v>10S/Sc1</v>
      </c>
      <c r="C48" s="32" t="str">
        <f>IF($B48="","",IFERROR(INDEX(tblTeachers[Teacher],MATCH("Year 10"&amp;"|"&amp;$B48,tblTeachers[Key],0))&amp;"",""))</f>
        <v>Mr Walsh</v>
      </c>
      <c r="D48" s="33">
        <f>IF($B48="","",IFERROR(SUMPRODUCT(--((tblY10[Class])&amp;""=($B48)&amp;"")),""))</f>
        <v>29</v>
      </c>
      <c r="E48" s="34">
        <f>IF($B48="","",IFERROR(SUMPRODUCT(((tblY10[Class])&amp;""=($B48)&amp;"")*ISNUMBER(tblY10[Avg KS2 Band]),tblY10[Avg KS2 Band])/SUMPRODUCT(((tblY10[Class])&amp;""=($B48)&amp;"")*ISNUMBER(tblY10[Avg KS2 Band])),""))</f>
        <v>6.72413793103448</v>
      </c>
      <c r="F48" s="34">
        <f>IF($B48="","",IFERROR(SUMPRODUCT(((tblY10[Class])&amp;""=($B48)&amp;"")*ISNUMBER(tblY10[Tests Sat]),tblY10[Tests Sat])/SUMPRODUCT(((tblY10[Class])&amp;""=($B48)&amp;"")*ISNUMBER(tblY10[Tests Sat])),""))</f>
        <v>4.82758620689655</v>
      </c>
      <c r="G48" s="34">
        <f>IF($B48="","",IFERROR(SUMPRODUCT(((tblY10[Class])&amp;""=($B48)&amp;"")*ISNUMBER(tblY10[Mean Stanine]),tblY10[Mean Stanine])/SUMPRODUCT(((tblY10[Class])&amp;""=($B48)&amp;"")*ISNUMBER(tblY10[Mean Stanine])),""))</f>
        <v>6.5051724137931</v>
      </c>
      <c r="H48" s="35">
        <f>IF($B48="","",IFERROR(SUMPRODUCT(((tblY10[Class])&amp;""=($B48)&amp;"")*ISNUMBER(tblY10[vs Expected]),tblY10[vs Expected])/SUMPRODUCT(((tblY10[Class])&amp;""=($B48)&amp;"")*ISNUMBER(tblY10[vs Expected])),""))</f>
        <v>0.16158805498879</v>
      </c>
      <c r="I48" s="36">
        <f>IF($B48="","",IFERROR(SUMPRODUCT(((tblY10[Class])&amp;""=($B48)&amp;"")*(RIGHT(tblY10[#Headers],8)=CHAR(10)&amp;"Stanine")*ISNUMBER(tblY10[#Data])*(tblY10[#Data]&gt;=7))/SUMPRODUCT(((tblY10[Class])&amp;""=($B48)&amp;"")*(RIGHT(tblY10[#Headers],8)=CHAR(10)&amp;"Stanine")*ISNUMBER(tblY10[#Data])),""))</f>
        <v>0.628571428571429</v>
      </c>
      <c r="J48" s="36">
        <f>IF($B48="","",IFERROR(SUMPRODUCT(((tblY10[Class])&amp;""=($B48)&amp;"")*(RIGHT(tblY10[#Headers],8)=CHAR(10)&amp;"Stanine")*ISNUMBER(tblY10[#Data])*(tblY10[#Data]&lt;=3))/SUMPRODUCT(((tblY10[Class])&amp;""=($B48)&amp;"")*(RIGHT(tblY10[#Headers],8)=CHAR(10)&amp;"Stanine")*ISNUMBER(tblY10[#Data])),""))</f>
        <v>0.05</v>
      </c>
      <c r="K48" s="36">
        <f>IF($B48="","",IFERROR(IF(Calc!$AF$6="","",SUMPRODUCT(((tblY10[Class])&amp;""=($B48)&amp;"")*ISNUMBER(INDEX(tblY10[#Data],0,MATCH(Calc!$AF$6&amp;CHAR(10)&amp;"Raw Score",tblY10[#Headers],0))),INDEX(tblY10[#Data],0,MATCH(Calc!$AF$6&amp;CHAR(10)&amp;"Raw Score",tblY10[#Headers],0)))/SUMPRODUCT(((tblY10[Class])&amp;""=($B48)&amp;"")*ISNUMBER(INDEX(tblY10[#Data],0,MATCH(Calc!$AF$6&amp;CHAR(10)&amp;"Raw Score",tblY10[#Headers],0))))/Calc!$AG$6),""))</f>
        <v>0.741379310344828</v>
      </c>
      <c r="L48" s="34">
        <f>IF($B48="","",IFERROR(IF(Calc!$AF$6="","",SUMPRODUCT(((tblY10[Class])&amp;""=($B48)&amp;"")*ISNUMBER(INDEX(tblY10[#Data],0,MATCH(Calc!$AF$6&amp;CHAR(10)&amp;"Stanine",tblY10[#Headers],0))),INDEX(tblY10[#Data],0,MATCH(Calc!$AF$6&amp;CHAR(10)&amp;"Stanine",tblY10[#Headers],0)))/SUMPRODUCT(((tblY10[Class])&amp;""=($B48)&amp;"")*ISNUMBER(INDEX(tblY10[#Data],0,MATCH(Calc!$AF$6&amp;CHAR(10)&amp;"Stanine",tblY10[#Headers],0))))),""))</f>
        <v>6.55172413793104</v>
      </c>
      <c r="M48" s="36">
        <f>IF($B48="","",IFERROR(IF(Calc!$AF$6="","",(SUMPRODUCT(((tblY10[Class])&amp;""=($B48)&amp;"")*ISNUMBER(INDEX(tblY10[#Data],0,MATCH(Calc!$AF$6&amp;CHAR(10)&amp;"Raw Score",tblY10[#Headers],0)))*((INDEX(tblY10[#Data],0,MATCH(Calc!$AF$6&amp;CHAR(10)&amp;"Raw Score",tblY10[#Headers],0)))&gt;=0))+SUMPRODUCT(((tblY10[Class])&amp;""=($B48)&amp;"")*((INDEX(tblY10[#Data],0,MATCH(Calc!$AF$6&amp;CHAR(10)&amp;"Raw Score",tblY10[#Headers],0)))&amp;""="A")))/SUMPRODUCT(--((tblY10[Class])&amp;""=($B48)&amp;""))),""))</f>
        <v>1</v>
      </c>
    </row>
    <row r="49">
      <c r="B49" s="31" t="str">
        <f>Calc!V4</f>
        <v>10S/Sc2</v>
      </c>
      <c r="C49" s="32" t="str">
        <f>IF($B49="","",IFERROR(INDEX(tblTeachers[Teacher],MATCH("Year 10"&amp;"|"&amp;$B49,tblTeachers[Key],0))&amp;"",""))</f>
        <v>Mr Owen</v>
      </c>
      <c r="D49" s="33">
        <f>IF($B49="","",IFERROR(SUMPRODUCT(--((tblY10[Class])&amp;""=($B49)&amp;"")),""))</f>
        <v>28</v>
      </c>
      <c r="E49" s="34">
        <f>IF($B49="","",IFERROR(SUMPRODUCT(((tblY10[Class])&amp;""=($B49)&amp;"")*ISNUMBER(tblY10[Avg KS2 Band]),tblY10[Avg KS2 Band])/SUMPRODUCT(((tblY10[Class])&amp;""=($B49)&amp;"")*ISNUMBER(tblY10[Avg KS2 Band])),""))</f>
        <v>5.5</v>
      </c>
      <c r="F49" s="34">
        <f>IF($B49="","",IFERROR(SUMPRODUCT(((tblY10[Class])&amp;""=($B49)&amp;"")*ISNUMBER(tblY10[Tests Sat]),tblY10[Tests Sat])/SUMPRODUCT(((tblY10[Class])&amp;""=($B49)&amp;"")*ISNUMBER(tblY10[Tests Sat])),""))</f>
        <v>3.82142857142857</v>
      </c>
      <c r="G49" s="34">
        <f>IF($B49="","",IFERROR(SUMPRODUCT(((tblY10[Class])&amp;""=($B49)&amp;"")*ISNUMBER(tblY10[Mean Stanine]),tblY10[Mean Stanine])/SUMPRODUCT(((tblY10[Class])&amp;""=($B49)&amp;"")*ISNUMBER(tblY10[Mean Stanine])),""))</f>
        <v>5.50297619047619</v>
      </c>
      <c r="H49" s="35">
        <f>IF($B49="","",IFERROR(SUMPRODUCT(((tblY10[Class])&amp;""=($B49)&amp;"")*ISNUMBER(tblY10[vs Expected]),tblY10[vs Expected])/SUMPRODUCT(((tblY10[Class])&amp;""=($B49)&amp;"")*ISNUMBER(tblY10[vs Expected])),""))</f>
        <v>0.155842903810998</v>
      </c>
      <c r="I49" s="36">
        <f>IF($B49="","",IFERROR(SUMPRODUCT(((tblY10[Class])&amp;""=($B49)&amp;"")*(RIGHT(tblY10[#Headers],8)=CHAR(10)&amp;"Stanine")*ISNUMBER(tblY10[#Data])*(tblY10[#Data]&gt;=7))/SUMPRODUCT(((tblY10[Class])&amp;""=($B49)&amp;"")*(RIGHT(tblY10[#Headers],8)=CHAR(10)&amp;"Stanine")*ISNUMBER(tblY10[#Data])),""))</f>
        <v>0.271028037383178</v>
      </c>
      <c r="J49" s="36">
        <f>IF($B49="","",IFERROR(SUMPRODUCT(((tblY10[Class])&amp;""=($B49)&amp;"")*(RIGHT(tblY10[#Headers],8)=CHAR(10)&amp;"Stanine")*ISNUMBER(tblY10[#Data])*(tblY10[#Data]&lt;=3))/SUMPRODUCT(((tblY10[Class])&amp;""=($B49)&amp;"")*(RIGHT(tblY10[#Headers],8)=CHAR(10)&amp;"Stanine")*ISNUMBER(tblY10[#Data])),""))</f>
        <v>0.130841121495327</v>
      </c>
      <c r="K49" s="36" t="str">
        <f>IF($B49="","",IFERROR(IF(Calc!$AF$6="","",SUMPRODUCT(((tblY10[Class])&amp;""=($B49)&amp;"")*ISNUMBER(INDEX(tblY10[#Data],0,MATCH(Calc!$AF$6&amp;CHAR(10)&amp;"Raw Score",tblY10[#Headers],0))),INDEX(tblY10[#Data],0,MATCH(Calc!$AF$6&amp;CHAR(10)&amp;"Raw Score",tblY10[#Headers],0)))/SUMPRODUCT(((tblY10[Class])&amp;""=($B49)&amp;"")*ISNUMBER(INDEX(tblY10[#Data],0,MATCH(Calc!$AF$6&amp;CHAR(10)&amp;"Raw Score",tblY10[#Headers],0))))/Calc!$AG$6),""))</f>
        <v/>
      </c>
      <c r="L49" s="34" t="str">
        <f>IF($B49="","",IFERROR(IF(Calc!$AF$6="","",SUMPRODUCT(((tblY10[Class])&amp;""=($B49)&amp;"")*ISNUMBER(INDEX(tblY10[#Data],0,MATCH(Calc!$AF$6&amp;CHAR(10)&amp;"Stanine",tblY10[#Headers],0))),INDEX(tblY10[#Data],0,MATCH(Calc!$AF$6&amp;CHAR(10)&amp;"Stanine",tblY10[#Headers],0)))/SUMPRODUCT(((tblY10[Class])&amp;""=($B49)&amp;"")*ISNUMBER(INDEX(tblY10[#Data],0,MATCH(Calc!$AF$6&amp;CHAR(10)&amp;"Stanine",tblY10[#Headers],0))))),""))</f>
        <v/>
      </c>
      <c r="M49" s="36">
        <f>IF($B49="","",IFERROR(IF(Calc!$AF$6="","",(SUMPRODUCT(((tblY10[Class])&amp;""=($B49)&amp;"")*ISNUMBER(INDEX(tblY10[#Data],0,MATCH(Calc!$AF$6&amp;CHAR(10)&amp;"Raw Score",tblY10[#Headers],0)))*((INDEX(tblY10[#Data],0,MATCH(Calc!$AF$6&amp;CHAR(10)&amp;"Raw Score",tblY10[#Headers],0)))&gt;=0))+SUMPRODUCT(((tblY10[Class])&amp;""=($B49)&amp;"")*((INDEX(tblY10[#Data],0,MATCH(Calc!$AF$6&amp;CHAR(10)&amp;"Raw Score",tblY10[#Headers],0)))&amp;""="A")))/SUMPRODUCT(--((tblY10[Class])&amp;""=($B49)&amp;""))),""))</f>
        <v>0</v>
      </c>
    </row>
    <row r="50">
      <c r="B50" s="31" t="str">
        <f>Calc!V5</f>
        <v>10S/Sc3</v>
      </c>
      <c r="C50" s="32" t="str">
        <f>IF($B50="","",IFERROR(INDEX(tblTeachers[Teacher],MATCH("Year 10"&amp;"|"&amp;$B50,tblTeachers[Key],0))&amp;"",""))</f>
        <v>Mrs Singh</v>
      </c>
      <c r="D50" s="33">
        <f>IF($B50="","",IFERROR(SUMPRODUCT(--((tblY10[Class])&amp;""=($B50)&amp;"")),""))</f>
        <v>23</v>
      </c>
      <c r="E50" s="34">
        <f>IF($B50="","",IFERROR(SUMPRODUCT(((tblY10[Class])&amp;""=($B50)&amp;"")*ISNUMBER(tblY10[Avg KS2 Band]),tblY10[Avg KS2 Band])/SUMPRODUCT(((tblY10[Class])&amp;""=($B50)&amp;"")*ISNUMBER(tblY10[Avg KS2 Band])),""))</f>
        <v>4.52173913043478</v>
      </c>
      <c r="F50" s="34">
        <f>IF($B50="","",IFERROR(SUMPRODUCT(((tblY10[Class])&amp;""=($B50)&amp;"")*ISNUMBER(tblY10[Tests Sat]),tblY10[Tests Sat])/SUMPRODUCT(((tblY10[Class])&amp;""=($B50)&amp;"")*ISNUMBER(tblY10[Tests Sat])),""))</f>
        <v>4.73913043478261</v>
      </c>
      <c r="G50" s="34">
        <f>IF($B50="","",IFERROR(SUMPRODUCT(((tblY10[Class])&amp;""=($B50)&amp;"")*ISNUMBER(tblY10[Mean Stanine]),tblY10[Mean Stanine])/SUMPRODUCT(((tblY10[Class])&amp;""=($B50)&amp;"")*ISNUMBER(tblY10[Mean Stanine])),""))</f>
        <v>4.91086956521739</v>
      </c>
      <c r="H50" s="35">
        <f>IF($B50="","",IFERROR(SUMPRODUCT(((tblY10[Class])&amp;""=($B50)&amp;"")*ISNUMBER(tblY10[vs Expected]),tblY10[vs Expected])/SUMPRODUCT(((tblY10[Class])&amp;""=($B50)&amp;"")*ISNUMBER(tblY10[vs Expected])),""))</f>
        <v>0.360042861002629</v>
      </c>
      <c r="I50" s="36">
        <f>IF($B50="","",IFERROR(SUMPRODUCT(((tblY10[Class])&amp;""=($B50)&amp;"")*(RIGHT(tblY10[#Headers],8)=CHAR(10)&amp;"Stanine")*ISNUMBER(tblY10[#Data])*(tblY10[#Data]&gt;=7))/SUMPRODUCT(((tblY10[Class])&amp;""=($B50)&amp;"")*(RIGHT(tblY10[#Headers],8)=CHAR(10)&amp;"Stanine")*ISNUMBER(tblY10[#Data])),""))</f>
        <v>0.100917431192661</v>
      </c>
      <c r="J50" s="36">
        <f>IF($B50="","",IFERROR(SUMPRODUCT(((tblY10[Class])&amp;""=($B50)&amp;"")*(RIGHT(tblY10[#Headers],8)=CHAR(10)&amp;"Stanine")*ISNUMBER(tblY10[#Data])*(tblY10[#Data]&lt;=3))/SUMPRODUCT(((tblY10[Class])&amp;""=($B50)&amp;"")*(RIGHT(tblY10[#Headers],8)=CHAR(10)&amp;"Stanine")*ISNUMBER(tblY10[#Data])),""))</f>
        <v>0.128440366972477</v>
      </c>
      <c r="K50" s="36">
        <f>IF($B50="","",IFERROR(IF(Calc!$AF$6="","",SUMPRODUCT(((tblY10[Class])&amp;""=($B50)&amp;"")*ISNUMBER(INDEX(tblY10[#Data],0,MATCH(Calc!$AF$6&amp;CHAR(10)&amp;"Raw Score",tblY10[#Headers],0))),INDEX(tblY10[#Data],0,MATCH(Calc!$AF$6&amp;CHAR(10)&amp;"Raw Score",tblY10[#Headers],0)))/SUMPRODUCT(((tblY10[Class])&amp;""=($B50)&amp;"")*ISNUMBER(INDEX(tblY10[#Data],0,MATCH(Calc!$AF$6&amp;CHAR(10)&amp;"Raw Score",tblY10[#Headers],0))))/Calc!$AG$6),""))</f>
        <v>0.546365914786967</v>
      </c>
      <c r="L50" s="34">
        <f>IF($B50="","",IFERROR(IF(Calc!$AF$6="","",SUMPRODUCT(((tblY10[Class])&amp;""=($B50)&amp;"")*ISNUMBER(INDEX(tblY10[#Data],0,MATCH(Calc!$AF$6&amp;CHAR(10)&amp;"Stanine",tblY10[#Headers],0))),INDEX(tblY10[#Data],0,MATCH(Calc!$AF$6&amp;CHAR(10)&amp;"Stanine",tblY10[#Headers],0)))/SUMPRODUCT(((tblY10[Class])&amp;""=($B50)&amp;"")*ISNUMBER(INDEX(tblY10[#Data],0,MATCH(Calc!$AF$6&amp;CHAR(10)&amp;"Stanine",tblY10[#Headers],0))))),""))</f>
        <v>4.76190476190476</v>
      </c>
      <c r="M50" s="36">
        <f>IF($B50="","",IFERROR(IF(Calc!$AF$6="","",(SUMPRODUCT(((tblY10[Class])&amp;""=($B50)&amp;"")*ISNUMBER(INDEX(tblY10[#Data],0,MATCH(Calc!$AF$6&amp;CHAR(10)&amp;"Raw Score",tblY10[#Headers],0)))*((INDEX(tblY10[#Data],0,MATCH(Calc!$AF$6&amp;CHAR(10)&amp;"Raw Score",tblY10[#Headers],0)))&gt;=0))+SUMPRODUCT(((tblY10[Class])&amp;""=($B50)&amp;"")*((INDEX(tblY10[#Data],0,MATCH(Calc!$AF$6&amp;CHAR(10)&amp;"Raw Score",tblY10[#Headers],0)))&amp;""="A")))/SUMPRODUCT(--((tblY10[Class])&amp;""=($B50)&amp;""))),""))</f>
        <v>1</v>
      </c>
    </row>
    <row r="51">
      <c r="B51" s="31" t="str">
        <f>Calc!V6</f>
        <v>10S/Sc4</v>
      </c>
      <c r="C51" s="32" t="str">
        <f>IF($B51="","",IFERROR(INDEX(tblTeachers[Teacher],MATCH("Year 10"&amp;"|"&amp;$B51,tblTeachers[Key],0))&amp;"",""))</f>
        <v>Mr Owen</v>
      </c>
      <c r="D51" s="33">
        <f>IF($B51="","",IFERROR(SUMPRODUCT(--((tblY10[Class])&amp;""=($B51)&amp;"")),""))</f>
        <v>22</v>
      </c>
      <c r="E51" s="34">
        <f>IF($B51="","",IFERROR(SUMPRODUCT(((tblY10[Class])&amp;""=($B51)&amp;"")*ISNUMBER(tblY10[Avg KS2 Band]),tblY10[Avg KS2 Band])/SUMPRODUCT(((tblY10[Class])&amp;""=($B51)&amp;"")*ISNUMBER(tblY10[Avg KS2 Band])),""))</f>
        <v>3.61904761904762</v>
      </c>
      <c r="F51" s="34">
        <f>IF($B51="","",IFERROR(SUMPRODUCT(((tblY10[Class])&amp;""=($B51)&amp;"")*ISNUMBER(tblY10[Tests Sat]),tblY10[Tests Sat])/SUMPRODUCT(((tblY10[Class])&amp;""=($B51)&amp;"")*ISNUMBER(tblY10[Tests Sat])),""))</f>
        <v>4.72727272727273</v>
      </c>
      <c r="G51" s="34">
        <f>IF($B51="","",IFERROR(SUMPRODUCT(((tblY10[Class])&amp;""=($B51)&amp;"")*ISNUMBER(tblY10[Mean Stanine]),tblY10[Mean Stanine])/SUMPRODUCT(((tblY10[Class])&amp;""=($B51)&amp;"")*ISNUMBER(tblY10[Mean Stanine])),""))</f>
        <v>3.37954545454545</v>
      </c>
      <c r="H51" s="35">
        <f>IF($B51="","",IFERROR(SUMPRODUCT(((tblY10[Class])&amp;""=($B51)&amp;"")*ISNUMBER(tblY10[vs Expected]),tblY10[vs Expected])/SUMPRODUCT(((tblY10[Class])&amp;""=($B51)&amp;"")*ISNUMBER(tblY10[vs Expected])),""))</f>
        <v>-0.442224228133518</v>
      </c>
      <c r="I51" s="36">
        <f>IF($B51="","",IFERROR(SUMPRODUCT(((tblY10[Class])&amp;""=($B51)&amp;"")*(RIGHT(tblY10[#Headers],8)=CHAR(10)&amp;"Stanine")*ISNUMBER(tblY10[#Data])*(tblY10[#Data]&gt;=7))/SUMPRODUCT(((tblY10[Class])&amp;""=($B51)&amp;"")*(RIGHT(tblY10[#Headers],8)=CHAR(10)&amp;"Stanine")*ISNUMBER(tblY10[#Data])),""))</f>
        <v>0.0769230769230769</v>
      </c>
      <c r="J51" s="36">
        <f>IF($B51="","",IFERROR(SUMPRODUCT(((tblY10[Class])&amp;""=($B51)&amp;"")*(RIGHT(tblY10[#Headers],8)=CHAR(10)&amp;"Stanine")*ISNUMBER(tblY10[#Data])*(tblY10[#Data]&lt;=3))/SUMPRODUCT(((tblY10[Class])&amp;""=($B51)&amp;"")*(RIGHT(tblY10[#Headers],8)=CHAR(10)&amp;"Stanine")*ISNUMBER(tblY10[#Data])),""))</f>
        <v>0.673076923076923</v>
      </c>
      <c r="K51" s="36">
        <f>IF($B51="","",IFERROR(IF(Calc!$AF$6="","",SUMPRODUCT(((tblY10[Class])&amp;""=($B51)&amp;"")*ISNUMBER(INDEX(tblY10[#Data],0,MATCH(Calc!$AF$6&amp;CHAR(10)&amp;"Raw Score",tblY10[#Headers],0))),INDEX(tblY10[#Data],0,MATCH(Calc!$AF$6&amp;CHAR(10)&amp;"Raw Score",tblY10[#Headers],0)))/SUMPRODUCT(((tblY10[Class])&amp;""=($B51)&amp;"")*ISNUMBER(INDEX(tblY10[#Data],0,MATCH(Calc!$AF$6&amp;CHAR(10)&amp;"Raw Score",tblY10[#Headers],0))))/Calc!$AG$6),""))</f>
        <v>0.364661654135338</v>
      </c>
      <c r="L51" s="34">
        <f>IF($B51="","",IFERROR(IF(Calc!$AF$6="","",SUMPRODUCT(((tblY10[Class])&amp;""=($B51)&amp;"")*ISNUMBER(INDEX(tblY10[#Data],0,MATCH(Calc!$AF$6&amp;CHAR(10)&amp;"Stanine",tblY10[#Headers],0))),INDEX(tblY10[#Data],0,MATCH(Calc!$AF$6&amp;CHAR(10)&amp;"Stanine",tblY10[#Headers],0)))/SUMPRODUCT(((tblY10[Class])&amp;""=($B51)&amp;"")*ISNUMBER(INDEX(tblY10[#Data],0,MATCH(Calc!$AF$6&amp;CHAR(10)&amp;"Stanine",tblY10[#Headers],0))))),""))</f>
        <v>3.19047619047619</v>
      </c>
      <c r="M51" s="36">
        <f>IF($B51="","",IFERROR(IF(Calc!$AF$6="","",(SUMPRODUCT(((tblY10[Class])&amp;""=($B51)&amp;"")*ISNUMBER(INDEX(tblY10[#Data],0,MATCH(Calc!$AF$6&amp;CHAR(10)&amp;"Raw Score",tblY10[#Headers],0)))*((INDEX(tblY10[#Data],0,MATCH(Calc!$AF$6&amp;CHAR(10)&amp;"Raw Score",tblY10[#Headers],0)))&gt;=0))+SUMPRODUCT(((tblY10[Class])&amp;""=($B51)&amp;"")*((INDEX(tblY10[#Data],0,MATCH(Calc!$AF$6&amp;CHAR(10)&amp;"Raw Score",tblY10[#Headers],0)))&amp;""="A")))/SUMPRODUCT(--((tblY10[Class])&amp;""=($B51)&amp;""))),""))</f>
        <v>1</v>
      </c>
    </row>
    <row r="52">
      <c r="B52" s="31" t="str">
        <f>Calc!V7</f>
        <v>10S/Sc5</v>
      </c>
      <c r="C52" s="32" t="str">
        <f>IF($B52="","",IFERROR(INDEX(tblTeachers[Teacher],MATCH("Year 10"&amp;"|"&amp;$B52,tblTeachers[Key],0))&amp;"",""))</f>
        <v>Mr Hughes</v>
      </c>
      <c r="D52" s="33">
        <f>IF($B52="","",IFERROR(SUMPRODUCT(--((tblY10[Class])&amp;""=($B52)&amp;"")),""))</f>
        <v>12</v>
      </c>
      <c r="E52" s="34">
        <f>IF($B52="","",IFERROR(SUMPRODUCT(((tblY10[Class])&amp;""=($B52)&amp;"")*ISNUMBER(tblY10[Avg KS2 Band]),tblY10[Avg KS2 Band])/SUMPRODUCT(((tblY10[Class])&amp;""=($B52)&amp;"")*ISNUMBER(tblY10[Avg KS2 Band])),""))</f>
        <v>3.91666666666667</v>
      </c>
      <c r="F52" s="34">
        <f>IF($B52="","",IFERROR(SUMPRODUCT(((tblY10[Class])&amp;""=($B52)&amp;"")*ISNUMBER(tblY10[Tests Sat]),tblY10[Tests Sat])/SUMPRODUCT(((tblY10[Class])&amp;""=($B52)&amp;"")*ISNUMBER(tblY10[Tests Sat])),""))</f>
        <v>3.75</v>
      </c>
      <c r="G52" s="34">
        <f>IF($B52="","",IFERROR(SUMPRODUCT(((tblY10[Class])&amp;""=($B52)&amp;"")*ISNUMBER(tblY10[Mean Stanine]),tblY10[Mean Stanine])/SUMPRODUCT(((tblY10[Class])&amp;""=($B52)&amp;"")*ISNUMBER(tblY10[Mean Stanine])),""))</f>
        <v>3.39583333333333</v>
      </c>
      <c r="H52" s="35">
        <f>IF($B52="","",IFERROR(SUMPRODUCT(((tblY10[Class])&amp;""=($B52)&amp;"")*ISNUMBER(tblY10[vs Expected]),tblY10[vs Expected])/SUMPRODUCT(((tblY10[Class])&amp;""=($B52)&amp;"")*ISNUMBER(tblY10[vs Expected])),""))</f>
        <v>-0.662463003217644</v>
      </c>
      <c r="I52" s="36">
        <f>IF($B52="","",IFERROR(SUMPRODUCT(((tblY10[Class])&amp;""=($B52)&amp;"")*(RIGHT(tblY10[#Headers],8)=CHAR(10)&amp;"Stanine")*ISNUMBER(tblY10[#Data])*(tblY10[#Data]&gt;=7))/SUMPRODUCT(((tblY10[Class])&amp;""=($B52)&amp;"")*(RIGHT(tblY10[#Headers],8)=CHAR(10)&amp;"Stanine")*ISNUMBER(tblY10[#Data])),""))</f>
        <v>0.0222222222222222</v>
      </c>
      <c r="J52" s="36">
        <f>IF($B52="","",IFERROR(SUMPRODUCT(((tblY10[Class])&amp;""=($B52)&amp;"")*(RIGHT(tblY10[#Headers],8)=CHAR(10)&amp;"Stanine")*ISNUMBER(tblY10[#Data])*(tblY10[#Data]&lt;=3))/SUMPRODUCT(((tblY10[Class])&amp;""=($B52)&amp;"")*(RIGHT(tblY10[#Headers],8)=CHAR(10)&amp;"Stanine")*ISNUMBER(tblY10[#Data])),""))</f>
        <v>0.533333333333333</v>
      </c>
      <c r="K52" s="36" t="str">
        <f>IF($B52="","",IFERROR(IF(Calc!$AF$6="","",SUMPRODUCT(((tblY10[Class])&amp;""=($B52)&amp;"")*ISNUMBER(INDEX(tblY10[#Data],0,MATCH(Calc!$AF$6&amp;CHAR(10)&amp;"Raw Score",tblY10[#Headers],0))),INDEX(tblY10[#Data],0,MATCH(Calc!$AF$6&amp;CHAR(10)&amp;"Raw Score",tblY10[#Headers],0)))/SUMPRODUCT(((tblY10[Class])&amp;""=($B52)&amp;"")*ISNUMBER(INDEX(tblY10[#Data],0,MATCH(Calc!$AF$6&amp;CHAR(10)&amp;"Raw Score",tblY10[#Headers],0))))/Calc!$AG$6),""))</f>
        <v/>
      </c>
      <c r="L52" s="34" t="str">
        <f>IF($B52="","",IFERROR(IF(Calc!$AF$6="","",SUMPRODUCT(((tblY10[Class])&amp;""=($B52)&amp;"")*ISNUMBER(INDEX(tblY10[#Data],0,MATCH(Calc!$AF$6&amp;CHAR(10)&amp;"Stanine",tblY10[#Headers],0))),INDEX(tblY10[#Data],0,MATCH(Calc!$AF$6&amp;CHAR(10)&amp;"Stanine",tblY10[#Headers],0)))/SUMPRODUCT(((tblY10[Class])&amp;""=($B52)&amp;"")*ISNUMBER(INDEX(tblY10[#Data],0,MATCH(Calc!$AF$6&amp;CHAR(10)&amp;"Stanine",tblY10[#Headers],0))))),""))</f>
        <v/>
      </c>
      <c r="M52" s="36">
        <f>IF($B52="","",IFERROR(IF(Calc!$AF$6="","",(SUMPRODUCT(((tblY10[Class])&amp;""=($B52)&amp;"")*ISNUMBER(INDEX(tblY10[#Data],0,MATCH(Calc!$AF$6&amp;CHAR(10)&amp;"Raw Score",tblY10[#Headers],0)))*((INDEX(tblY10[#Data],0,MATCH(Calc!$AF$6&amp;CHAR(10)&amp;"Raw Score",tblY10[#Headers],0)))&gt;=0))+SUMPRODUCT(((tblY10[Class])&amp;""=($B52)&amp;"")*((INDEX(tblY10[#Data],0,MATCH(Calc!$AF$6&amp;CHAR(10)&amp;"Raw Score",tblY10[#Headers],0)))&amp;""="A")))/SUMPRODUCT(--((tblY10[Class])&amp;""=($B52)&amp;""))),""))</f>
        <v>0</v>
      </c>
    </row>
    <row r="53">
      <c r="B53" s="31" t="str">
        <f>Calc!V8</f>
        <v>Science Support</v>
      </c>
      <c r="C53" s="32" t="str">
        <f>IF($B53="","",IFERROR(INDEX(tblTeachers[Teacher],MATCH("Year 10"&amp;"|"&amp;$B53,tblTeachers[Key],0))&amp;"",""))</f>
        <v>Mr Walsh</v>
      </c>
      <c r="D53" s="33">
        <f>IF($B53="","",IFERROR(SUMPRODUCT(--((tblY10[Class])&amp;""=($B53)&amp;"")),""))</f>
        <v>3</v>
      </c>
      <c r="E53" s="34">
        <f>IF($B53="","",IFERROR(SUMPRODUCT(((tblY10[Class])&amp;""=($B53)&amp;"")*ISNUMBER(tblY10[Avg KS2 Band]),tblY10[Avg KS2 Band])/SUMPRODUCT(((tblY10[Class])&amp;""=($B53)&amp;"")*ISNUMBER(tblY10[Avg KS2 Band])),""))</f>
        <v>2</v>
      </c>
      <c r="F53" s="34">
        <f>IF($B53="","",IFERROR(SUMPRODUCT(((tblY10[Class])&amp;""=($B53)&amp;"")*ISNUMBER(tblY10[Tests Sat]),tblY10[Tests Sat])/SUMPRODUCT(((tblY10[Class])&amp;""=($B53)&amp;"")*ISNUMBER(tblY10[Tests Sat])),""))</f>
        <v>5</v>
      </c>
      <c r="G53" s="34">
        <f>IF($B53="","",IFERROR(SUMPRODUCT(((tblY10[Class])&amp;""=($B53)&amp;"")*ISNUMBER(tblY10[Mean Stanine]),tblY10[Mean Stanine])/SUMPRODUCT(((tblY10[Class])&amp;""=($B53)&amp;"")*ISNUMBER(tblY10[Mean Stanine])),""))</f>
        <v>2.46666666666667</v>
      </c>
      <c r="H53" s="35">
        <f>IF($B53="","",IFERROR(SUMPRODUCT(((tblY10[Class])&amp;""=($B53)&amp;"")*ISNUMBER(tblY10[vs Expected]),tblY10[vs Expected])/SUMPRODUCT(((tblY10[Class])&amp;""=($B53)&amp;"")*ISNUMBER(tblY10[vs Expected])),""))</f>
        <v>-0.0314586250092077</v>
      </c>
      <c r="I53" s="36">
        <f>IF($B53="","",IFERROR(SUMPRODUCT(((tblY10[Class])&amp;""=($B53)&amp;"")*(RIGHT(tblY10[#Headers],8)=CHAR(10)&amp;"Stanine")*ISNUMBER(tblY10[#Data])*(tblY10[#Data]&gt;=7))/SUMPRODUCT(((tblY10[Class])&amp;""=($B53)&amp;"")*(RIGHT(tblY10[#Headers],8)=CHAR(10)&amp;"Stanine")*ISNUMBER(tblY10[#Data])),""))</f>
        <v>0</v>
      </c>
      <c r="J53" s="36">
        <f>IF($B53="","",IFERROR(SUMPRODUCT(((tblY10[Class])&amp;""=($B53)&amp;"")*(RIGHT(tblY10[#Headers],8)=CHAR(10)&amp;"Stanine")*ISNUMBER(tblY10[#Data])*(tblY10[#Data]&lt;=3))/SUMPRODUCT(((tblY10[Class])&amp;""=($B53)&amp;"")*(RIGHT(tblY10[#Headers],8)=CHAR(10)&amp;"Stanine")*ISNUMBER(tblY10[#Data])),""))</f>
        <v>0.666666666666667</v>
      </c>
      <c r="K53" s="36">
        <f>IF($B53="","",IFERROR(IF(Calc!$AF$6="","",SUMPRODUCT(((tblY10[Class])&amp;""=($B53)&amp;"")*ISNUMBER(INDEX(tblY10[#Data],0,MATCH(Calc!$AF$6&amp;CHAR(10)&amp;"Raw Score",tblY10[#Headers],0))),INDEX(tblY10[#Data],0,MATCH(Calc!$AF$6&amp;CHAR(10)&amp;"Raw Score",tblY10[#Headers],0)))/SUMPRODUCT(((tblY10[Class])&amp;""=($B53)&amp;"")*ISNUMBER(INDEX(tblY10[#Data],0,MATCH(Calc!$AF$6&amp;CHAR(10)&amp;"Raw Score",tblY10[#Headers],0))))/Calc!$AG$6),""))</f>
        <v>0.263157894736842</v>
      </c>
      <c r="L53" s="34">
        <f>IF($B53="","",IFERROR(IF(Calc!$AF$6="","",SUMPRODUCT(((tblY10[Class])&amp;""=($B53)&amp;"")*ISNUMBER(INDEX(tblY10[#Data],0,MATCH(Calc!$AF$6&amp;CHAR(10)&amp;"Stanine",tblY10[#Headers],0))),INDEX(tblY10[#Data],0,MATCH(Calc!$AF$6&amp;CHAR(10)&amp;"Stanine",tblY10[#Headers],0)))/SUMPRODUCT(((tblY10[Class])&amp;""=($B53)&amp;"")*ISNUMBER(INDEX(tblY10[#Data],0,MATCH(Calc!$AF$6&amp;CHAR(10)&amp;"Stanine",tblY10[#Headers],0))))),""))</f>
        <v>2.66666666666667</v>
      </c>
      <c r="M53" s="36">
        <f>IF($B53="","",IFERROR(IF(Calc!$AF$6="","",(SUMPRODUCT(((tblY10[Class])&amp;""=($B53)&amp;"")*ISNUMBER(INDEX(tblY10[#Data],0,MATCH(Calc!$AF$6&amp;CHAR(10)&amp;"Raw Score",tblY10[#Headers],0)))*((INDEX(tblY10[#Data],0,MATCH(Calc!$AF$6&amp;CHAR(10)&amp;"Raw Score",tblY10[#Headers],0)))&gt;=0))+SUMPRODUCT(((tblY10[Class])&amp;""=($B53)&amp;"")*((INDEX(tblY10[#Data],0,MATCH(Calc!$AF$6&amp;CHAR(10)&amp;"Raw Score",tblY10[#Headers],0)))&amp;""="A")))/SUMPRODUCT(--((tblY10[Class])&amp;""=($B53)&amp;""))),""))</f>
        <v>1</v>
      </c>
    </row>
    <row r="54">
      <c r="B54" s="31" t="str">
        <f>Calc!V9</f>
        <v/>
      </c>
      <c r="C54" s="32" t="str">
        <f>IF($B54="","",IFERROR(INDEX(tblTeachers[Teacher],MATCH("Year 10"&amp;"|"&amp;$B54,tblTeachers[Key],0))&amp;"",""))</f>
        <v/>
      </c>
      <c r="D54" s="33" t="str">
        <f>IF($B54="","",IFERROR(SUMPRODUCT(--((tblY10[Class])&amp;""=($B54)&amp;"")),""))</f>
        <v/>
      </c>
      <c r="E54" s="34" t="str">
        <f>IF($B54="","",IFERROR(SUMPRODUCT(((tblY10[Class])&amp;""=($B54)&amp;"")*ISNUMBER(tblY10[Avg KS2 Band]),tblY10[Avg KS2 Band])/SUMPRODUCT(((tblY10[Class])&amp;""=($B54)&amp;"")*ISNUMBER(tblY10[Avg KS2 Band])),""))</f>
        <v/>
      </c>
      <c r="F54" s="34" t="str">
        <f>IF($B54="","",IFERROR(SUMPRODUCT(((tblY10[Class])&amp;""=($B54)&amp;"")*ISNUMBER(tblY10[Tests Sat]),tblY10[Tests Sat])/SUMPRODUCT(((tblY10[Class])&amp;""=($B54)&amp;"")*ISNUMBER(tblY10[Tests Sat])),""))</f>
        <v/>
      </c>
      <c r="G54" s="34" t="str">
        <f>IF($B54="","",IFERROR(SUMPRODUCT(((tblY10[Class])&amp;""=($B54)&amp;"")*ISNUMBER(tblY10[Mean Stanine]),tblY10[Mean Stanine])/SUMPRODUCT(((tblY10[Class])&amp;""=($B54)&amp;"")*ISNUMBER(tblY10[Mean Stanine])),""))</f>
        <v/>
      </c>
      <c r="H54" s="35" t="str">
        <f>IF($B54="","",IFERROR(SUMPRODUCT(((tblY10[Class])&amp;""=($B54)&amp;"")*ISNUMBER(tblY10[vs Expected]),tblY10[vs Expected])/SUMPRODUCT(((tblY10[Class])&amp;""=($B54)&amp;"")*ISNUMBER(tblY10[vs Expected])),""))</f>
        <v/>
      </c>
      <c r="I54" s="36" t="str">
        <f>IF($B54="","",IFERROR(SUMPRODUCT(((tblY10[Class])&amp;""=($B54)&amp;"")*(RIGHT(tblY10[#Headers],8)=CHAR(10)&amp;"Stanine")*ISNUMBER(tblY10[#Data])*(tblY10[#Data]&gt;=7))/SUMPRODUCT(((tblY10[Class])&amp;""=($B54)&amp;"")*(RIGHT(tblY10[#Headers],8)=CHAR(10)&amp;"Stanine")*ISNUMBER(tblY10[#Data])),""))</f>
        <v/>
      </c>
      <c r="J54" s="36" t="str">
        <f>IF($B54="","",IFERROR(SUMPRODUCT(((tblY10[Class])&amp;""=($B54)&amp;"")*(RIGHT(tblY10[#Headers],8)=CHAR(10)&amp;"Stanine")*ISNUMBER(tblY10[#Data])*(tblY10[#Data]&lt;=3))/SUMPRODUCT(((tblY10[Class])&amp;""=($B54)&amp;"")*(RIGHT(tblY10[#Headers],8)=CHAR(10)&amp;"Stanine")*ISNUMBER(tblY10[#Data])),""))</f>
        <v/>
      </c>
      <c r="K54" s="36" t="str">
        <f>IF($B54="","",IFERROR(IF(Calc!$AF$6="","",SUMPRODUCT(((tblY10[Class])&amp;""=($B54)&amp;"")*ISNUMBER(INDEX(tblY10[#Data],0,MATCH(Calc!$AF$6&amp;CHAR(10)&amp;"Raw Score",tblY10[#Headers],0))),INDEX(tblY10[#Data],0,MATCH(Calc!$AF$6&amp;CHAR(10)&amp;"Raw Score",tblY10[#Headers],0)))/SUMPRODUCT(((tblY10[Class])&amp;""=($B54)&amp;"")*ISNUMBER(INDEX(tblY10[#Data],0,MATCH(Calc!$AF$6&amp;CHAR(10)&amp;"Raw Score",tblY10[#Headers],0))))/Calc!$AG$6),""))</f>
        <v/>
      </c>
      <c r="L54" s="34" t="str">
        <f>IF($B54="","",IFERROR(IF(Calc!$AF$6="","",SUMPRODUCT(((tblY10[Class])&amp;""=($B54)&amp;"")*ISNUMBER(INDEX(tblY10[#Data],0,MATCH(Calc!$AF$6&amp;CHAR(10)&amp;"Stanine",tblY10[#Headers],0))),INDEX(tblY10[#Data],0,MATCH(Calc!$AF$6&amp;CHAR(10)&amp;"Stanine",tblY10[#Headers],0)))/SUMPRODUCT(((tblY10[Class])&amp;""=($B54)&amp;"")*ISNUMBER(INDEX(tblY10[#Data],0,MATCH(Calc!$AF$6&amp;CHAR(10)&amp;"Stanine",tblY10[#Headers],0))))),""))</f>
        <v/>
      </c>
      <c r="M54" s="36" t="str">
        <f>IF($B54="","",IFERROR(IF(Calc!$AF$6="","",(SUMPRODUCT(((tblY10[Class])&amp;""=($B54)&amp;"")*ISNUMBER(INDEX(tblY10[#Data],0,MATCH(Calc!$AF$6&amp;CHAR(10)&amp;"Raw Score",tblY10[#Headers],0)))*((INDEX(tblY10[#Data],0,MATCH(Calc!$AF$6&amp;CHAR(10)&amp;"Raw Score",tblY10[#Headers],0)))&gt;=0))+SUMPRODUCT(((tblY10[Class])&amp;""=($B54)&amp;"")*((INDEX(tblY10[#Data],0,MATCH(Calc!$AF$6&amp;CHAR(10)&amp;"Raw Score",tblY10[#Headers],0)))&amp;""="A")))/SUMPRODUCT(--((tblY10[Class])&amp;""=($B54)&amp;""))),""))</f>
        <v/>
      </c>
    </row>
    <row r="55">
      <c r="B55" s="31" t="str">
        <f>Calc!V10</f>
        <v/>
      </c>
      <c r="C55" s="32" t="str">
        <f>IF($B55="","",IFERROR(INDEX(tblTeachers[Teacher],MATCH("Year 10"&amp;"|"&amp;$B55,tblTeachers[Key],0))&amp;"",""))</f>
        <v/>
      </c>
      <c r="D55" s="33" t="str">
        <f>IF($B55="","",IFERROR(SUMPRODUCT(--((tblY10[Class])&amp;""=($B55)&amp;"")),""))</f>
        <v/>
      </c>
      <c r="E55" s="34" t="str">
        <f>IF($B55="","",IFERROR(SUMPRODUCT(((tblY10[Class])&amp;""=($B55)&amp;"")*ISNUMBER(tblY10[Avg KS2 Band]),tblY10[Avg KS2 Band])/SUMPRODUCT(((tblY10[Class])&amp;""=($B55)&amp;"")*ISNUMBER(tblY10[Avg KS2 Band])),""))</f>
        <v/>
      </c>
      <c r="F55" s="34" t="str">
        <f>IF($B55="","",IFERROR(SUMPRODUCT(((tblY10[Class])&amp;""=($B55)&amp;"")*ISNUMBER(tblY10[Tests Sat]),tblY10[Tests Sat])/SUMPRODUCT(((tblY10[Class])&amp;""=($B55)&amp;"")*ISNUMBER(tblY10[Tests Sat])),""))</f>
        <v/>
      </c>
      <c r="G55" s="34" t="str">
        <f>IF($B55="","",IFERROR(SUMPRODUCT(((tblY10[Class])&amp;""=($B55)&amp;"")*ISNUMBER(tblY10[Mean Stanine]),tblY10[Mean Stanine])/SUMPRODUCT(((tblY10[Class])&amp;""=($B55)&amp;"")*ISNUMBER(tblY10[Mean Stanine])),""))</f>
        <v/>
      </c>
      <c r="H55" s="35" t="str">
        <f>IF($B55="","",IFERROR(SUMPRODUCT(((tblY10[Class])&amp;""=($B55)&amp;"")*ISNUMBER(tblY10[vs Expected]),tblY10[vs Expected])/SUMPRODUCT(((tblY10[Class])&amp;""=($B55)&amp;"")*ISNUMBER(tblY10[vs Expected])),""))</f>
        <v/>
      </c>
      <c r="I55" s="36" t="str">
        <f>IF($B55="","",IFERROR(SUMPRODUCT(((tblY10[Class])&amp;""=($B55)&amp;"")*(RIGHT(tblY10[#Headers],8)=CHAR(10)&amp;"Stanine")*ISNUMBER(tblY10[#Data])*(tblY10[#Data]&gt;=7))/SUMPRODUCT(((tblY10[Class])&amp;""=($B55)&amp;"")*(RIGHT(tblY10[#Headers],8)=CHAR(10)&amp;"Stanine")*ISNUMBER(tblY10[#Data])),""))</f>
        <v/>
      </c>
      <c r="J55" s="36" t="str">
        <f>IF($B55="","",IFERROR(SUMPRODUCT(((tblY10[Class])&amp;""=($B55)&amp;"")*(RIGHT(tblY10[#Headers],8)=CHAR(10)&amp;"Stanine")*ISNUMBER(tblY10[#Data])*(tblY10[#Data]&lt;=3))/SUMPRODUCT(((tblY10[Class])&amp;""=($B55)&amp;"")*(RIGHT(tblY10[#Headers],8)=CHAR(10)&amp;"Stanine")*ISNUMBER(tblY10[#Data])),""))</f>
        <v/>
      </c>
      <c r="K55" s="36" t="str">
        <f>IF($B55="","",IFERROR(IF(Calc!$AF$6="","",SUMPRODUCT(((tblY10[Class])&amp;""=($B55)&amp;"")*ISNUMBER(INDEX(tblY10[#Data],0,MATCH(Calc!$AF$6&amp;CHAR(10)&amp;"Raw Score",tblY10[#Headers],0))),INDEX(tblY10[#Data],0,MATCH(Calc!$AF$6&amp;CHAR(10)&amp;"Raw Score",tblY10[#Headers],0)))/SUMPRODUCT(((tblY10[Class])&amp;""=($B55)&amp;"")*ISNUMBER(INDEX(tblY10[#Data],0,MATCH(Calc!$AF$6&amp;CHAR(10)&amp;"Raw Score",tblY10[#Headers],0))))/Calc!$AG$6),""))</f>
        <v/>
      </c>
      <c r="L55" s="34" t="str">
        <f>IF($B55="","",IFERROR(IF(Calc!$AF$6="","",SUMPRODUCT(((tblY10[Class])&amp;""=($B55)&amp;"")*ISNUMBER(INDEX(tblY10[#Data],0,MATCH(Calc!$AF$6&amp;CHAR(10)&amp;"Stanine",tblY10[#Headers],0))),INDEX(tblY10[#Data],0,MATCH(Calc!$AF$6&amp;CHAR(10)&amp;"Stanine",tblY10[#Headers],0)))/SUMPRODUCT(((tblY10[Class])&amp;""=($B55)&amp;"")*ISNUMBER(INDEX(tblY10[#Data],0,MATCH(Calc!$AF$6&amp;CHAR(10)&amp;"Stanine",tblY10[#Headers],0))))),""))</f>
        <v/>
      </c>
      <c r="M55" s="36" t="str">
        <f>IF($B55="","",IFERROR(IF(Calc!$AF$6="","",(SUMPRODUCT(((tblY10[Class])&amp;""=($B55)&amp;"")*ISNUMBER(INDEX(tblY10[#Data],0,MATCH(Calc!$AF$6&amp;CHAR(10)&amp;"Raw Score",tblY10[#Headers],0)))*((INDEX(tblY10[#Data],0,MATCH(Calc!$AF$6&amp;CHAR(10)&amp;"Raw Score",tblY10[#Headers],0)))&gt;=0))+SUMPRODUCT(((tblY10[Class])&amp;""=($B55)&amp;"")*((INDEX(tblY10[#Data],0,MATCH(Calc!$AF$6&amp;CHAR(10)&amp;"Raw Score",tblY10[#Headers],0)))&amp;""="A")))/SUMPRODUCT(--((tblY10[Class])&amp;""=($B55)&amp;""))),""))</f>
        <v/>
      </c>
    </row>
    <row r="57" ht="22" customHeight="1">
      <c r="B57" s="22" t="inlineStr">
        <is>
          <t>Year 11</t>
        </is>
      </c>
      <c r="C57" s="23" t="str">
        <f>"Leaves "&amp;Settings!$C$19&amp;"   ·   "&amp;COUNTA(tblY11[Preferred Last name])&amp;" students   ·   "&amp;Calc!$AI$7&amp;" tests"&amp;IF(Calc!$W$12&gt;8,"   ·   only the first 8 of "&amp;Calc!$W$12&amp;" classes fit here","")</f>
        <v>Leaves 2027   ·   106 students   ·   6 tests</v>
      </c>
      <c r="D57" s="24" t="n"/>
      <c r="E57" s="24" t="n"/>
      <c r="F57" s="24" t="n"/>
      <c r="G57" s="24" t="n"/>
      <c r="H57" s="25" t="str">
        <f>IF(Calc!$AF$7="","No tests yet","Latest test: "&amp;Calc!$AF$7&amp;IF(ISNUMBER(Calc!$AH$7),"  ("&amp;TEXT(Calc!$AH$7,"dd/mm/yyyy")&amp;")",""))</f>
        <v>Latest test: 4P07 - Magnetism  (05/12/2026)</v>
      </c>
      <c r="I57" s="24" t="n"/>
      <c r="J57" s="24" t="n"/>
      <c r="K57" s="24" t="n"/>
      <c r="L57" s="24" t="n"/>
      <c r="M57" s="24" t="n"/>
    </row>
    <row r="58" ht="30" customHeight="1">
      <c r="B58" s="7" t="inlineStr">
        <is>
          <t>Class</t>
        </is>
      </c>
      <c r="C58" s="7" t="inlineStr">
        <is>
          <t>Teacher</t>
        </is>
      </c>
      <c r="D58" s="7" t="inlineStr">
        <is>
          <t>Students</t>
        </is>
      </c>
      <c r="E58" s="7" t="inlineStr">
        <is>
          <t>KS2 band
(mean)</t>
        </is>
      </c>
      <c r="F58" s="7" t="inlineStr">
        <is>
          <t>Tests sat
(mean)</t>
        </is>
      </c>
      <c r="G58" s="7" t="inlineStr">
        <is>
          <t>Mean
stanine</t>
        </is>
      </c>
      <c r="H58" s="7" t="inlineStr">
        <is>
          <t>vs
expected</t>
        </is>
      </c>
      <c r="I58" s="7" t="inlineStr">
        <is>
          <t>Results at
stanine 7-9</t>
        </is>
      </c>
      <c r="J58" s="7" t="inlineStr">
        <is>
          <t>Results at
stanine 1-3</t>
        </is>
      </c>
      <c r="K58" s="7" t="inlineStr">
        <is>
          <t>Latest test
mean %</t>
        </is>
      </c>
      <c r="L58" s="7" t="inlineStr">
        <is>
          <t>Latest test
mean stanine</t>
        </is>
      </c>
      <c r="M58" s="7" t="inlineStr">
        <is>
          <t>Latest test
completion</t>
        </is>
      </c>
    </row>
    <row r="59">
      <c r="B59" s="26" t="inlineStr">
        <is>
          <t>Whole year</t>
        </is>
      </c>
      <c r="D59" s="27">
        <f>IFERROR(COUNTA(tblY11[Preferred Last name]),"")</f>
        <v>106</v>
      </c>
      <c r="E59" s="28">
        <f>IFERROR(AVERAGE(tblY11[Avg KS2 Band]),"")</f>
        <v>5</v>
      </c>
      <c r="F59" s="28">
        <f>IFERROR(AVERAGE(tblY11[Tests Sat]),"")</f>
        <v>5.78301886792453</v>
      </c>
      <c r="G59" s="28">
        <f>IFERROR(AVERAGE(tblY11[Mean Stanine]),"")</f>
        <v>4.97201257861635</v>
      </c>
      <c r="H59" s="29">
        <f>IFERROR(AVERAGE(tblY11[vs Expected]),"")</f>
        <v>4.86383420311973e-16</v>
      </c>
      <c r="I59" s="30">
        <f>IFERROR(SUMPRODUCT((RIGHT(tblY11[#Headers],8)=CHAR(10)&amp;"Stanine")*ISNUMBER(tblY11[#Data])*(tblY11[#Data]&gt;=7))/SUMPRODUCT((RIGHT(tblY11[#Headers],8)=CHAR(10)&amp;"Stanine")*ISNUMBER(tblY11[#Data])),"")</f>
        <v>0.265905383360522</v>
      </c>
      <c r="J59" s="30">
        <f>IFERROR(SUMPRODUCT((RIGHT(tblY11[#Headers],8)=CHAR(10)&amp;"Stanine")*ISNUMBER(tblY11[#Data])*(tblY11[#Data]&lt;=3))/SUMPRODUCT((RIGHT(tblY11[#Headers],8)=CHAR(10)&amp;"Stanine")*ISNUMBER(tblY11[#Data])),"")</f>
        <v>0.249592169657423</v>
      </c>
      <c r="K59" s="30">
        <f>IFERROR(IF(Calc!$AF$7="","",AVERAGE(INDEX(tblY11[#Data],0,MATCH(Calc!$AF$7&amp;CHAR(10)&amp;"Raw Score",tblY11[#Headers],0)))/Calc!$AG$7),"")</f>
        <v>0.461470588235294</v>
      </c>
      <c r="L59" s="28">
        <f>IFERROR(IF(Calc!$AF$7="","",AVERAGE(INDEX(tblY11[#Data],0,MATCH(Calc!$AF$7&amp;CHAR(10)&amp;"Stanine",tblY11[#Headers],0)))),"")</f>
        <v>5.01</v>
      </c>
      <c r="M59" s="30">
        <f>IFERROR(IF(Calc!$AF$7="","",(COUNTIFS(INDEX(tblY11[#Data],0,MATCH(Calc!$AF$7&amp;CHAR(10)&amp;"Raw Score",tblY11[#Headers],0)),"&gt;=0")+COUNTIFS(INDEX(tblY11[#Data],0,MATCH(Calc!$AF$7&amp;CHAR(10)&amp;"Raw Score",tblY11[#Headers],0)),"A"))/COUNTA(tblY11[Preferred Last name])),"")</f>
        <v>1</v>
      </c>
    </row>
    <row r="60">
      <c r="B60" s="31" t="str">
        <f>Calc!W3</f>
        <v>11S/Sc1</v>
      </c>
      <c r="C60" s="32" t="str">
        <f>IF($B60="","",IFERROR(INDEX(tblTeachers[Teacher],MATCH("Year 11"&amp;"|"&amp;$B60,tblTeachers[Key],0))&amp;"",""))</f>
        <v>Ms Rahman</v>
      </c>
      <c r="D60" s="33">
        <f>IF($B60="","",IFERROR(SUMPRODUCT(--((tblY11[Class])&amp;""=($B60)&amp;"")),""))</f>
        <v>28</v>
      </c>
      <c r="E60" s="34">
        <f>IF($B60="","",IFERROR(SUMPRODUCT(((tblY11[Class])&amp;""=($B60)&amp;"")*ISNUMBER(tblY11[Avg KS2 Band]),tblY11[Avg KS2 Band])/SUMPRODUCT(((tblY11[Class])&amp;""=($B60)&amp;"")*ISNUMBER(tblY11[Avg KS2 Band])),""))</f>
        <v>6.55555555555556</v>
      </c>
      <c r="F60" s="34">
        <f>IF($B60="","",IFERROR(SUMPRODUCT(((tblY11[Class])&amp;""=($B60)&amp;"")*ISNUMBER(tblY11[Tests Sat]),tblY11[Tests Sat])/SUMPRODUCT(((tblY11[Class])&amp;""=($B60)&amp;"")*ISNUMBER(tblY11[Tests Sat])),""))</f>
        <v>5.82142857142857</v>
      </c>
      <c r="G60" s="34">
        <f>IF($B60="","",IFERROR(SUMPRODUCT(((tblY11[Class])&amp;""=($B60)&amp;"")*ISNUMBER(tblY11[Mean Stanine]),tblY11[Mean Stanine])/SUMPRODUCT(((tblY11[Class])&amp;""=($B60)&amp;"")*ISNUMBER(tblY11[Mean Stanine])),""))</f>
        <v>6.78928571428571</v>
      </c>
      <c r="H60" s="35">
        <f>IF($B60="","",IFERROR(SUMPRODUCT(((tblY11[Class])&amp;""=($B60)&amp;"")*ISNUMBER(tblY11[vs Expected]),tblY11[vs Expected])/SUMPRODUCT(((tblY11[Class])&amp;""=($B60)&amp;"")*ISNUMBER(tblY11[vs Expected])),""))</f>
        <v>0.663884078884079</v>
      </c>
      <c r="I60" s="36">
        <f>IF($B60="","",IFERROR(SUMPRODUCT(((tblY11[Class])&amp;""=($B60)&amp;"")*(RIGHT(tblY11[#Headers],8)=CHAR(10)&amp;"Stanine")*ISNUMBER(tblY11[#Data])*(tblY11[#Data]&gt;=7))/SUMPRODUCT(((tblY11[Class])&amp;""=($B60)&amp;"")*(RIGHT(tblY11[#Headers],8)=CHAR(10)&amp;"Stanine")*ISNUMBER(tblY11[#Data])),""))</f>
        <v>0.613496932515337</v>
      </c>
      <c r="J60" s="36">
        <f>IF($B60="","",IFERROR(SUMPRODUCT(((tblY11[Class])&amp;""=($B60)&amp;"")*(RIGHT(tblY11[#Headers],8)=CHAR(10)&amp;"Stanine")*ISNUMBER(tblY11[#Data])*(tblY11[#Data]&lt;=3))/SUMPRODUCT(((tblY11[Class])&amp;""=($B60)&amp;"")*(RIGHT(tblY11[#Headers],8)=CHAR(10)&amp;"Stanine")*ISNUMBER(tblY11[#Data])),""))</f>
        <v>0</v>
      </c>
      <c r="K60" s="36">
        <f>IF($B60="","",IFERROR(IF(Calc!$AF$7="","",SUMPRODUCT(((tblY11[Class])&amp;""=($B60)&amp;"")*ISNUMBER(INDEX(tblY11[#Data],0,MATCH(Calc!$AF$7&amp;CHAR(10)&amp;"Raw Score",tblY11[#Headers],0))),INDEX(tblY11[#Data],0,MATCH(Calc!$AF$7&amp;CHAR(10)&amp;"Raw Score",tblY11[#Headers],0)))/SUMPRODUCT(((tblY11[Class])&amp;""=($B60)&amp;"")*ISNUMBER(INDEX(tblY11[#Data],0,MATCH(Calc!$AF$7&amp;CHAR(10)&amp;"Raw Score",tblY11[#Headers],0))))/Calc!$AG$7),""))</f>
        <v>0.654684095860566</v>
      </c>
      <c r="L60" s="34">
        <f>IF($B60="","",IFERROR(IF(Calc!$AF$7="","",SUMPRODUCT(((tblY11[Class])&amp;""=($B60)&amp;"")*ISNUMBER(INDEX(tblY11[#Data],0,MATCH(Calc!$AF$7&amp;CHAR(10)&amp;"Stanine",tblY11[#Headers],0))),INDEX(tblY11[#Data],0,MATCH(Calc!$AF$7&amp;CHAR(10)&amp;"Stanine",tblY11[#Headers],0)))/SUMPRODUCT(((tblY11[Class])&amp;""=($B60)&amp;"")*ISNUMBER(INDEX(tblY11[#Data],0,MATCH(Calc!$AF$7&amp;CHAR(10)&amp;"Stanine",tblY11[#Headers],0))))),""))</f>
        <v>6.77777777777778</v>
      </c>
      <c r="M60" s="36">
        <f>IF($B60="","",IFERROR(IF(Calc!$AF$7="","",(SUMPRODUCT(((tblY11[Class])&amp;""=($B60)&amp;"")*ISNUMBER(INDEX(tblY11[#Data],0,MATCH(Calc!$AF$7&amp;CHAR(10)&amp;"Raw Score",tblY11[#Headers],0)))*((INDEX(tblY11[#Data],0,MATCH(Calc!$AF$7&amp;CHAR(10)&amp;"Raw Score",tblY11[#Headers],0)))&gt;=0))+SUMPRODUCT(((tblY11[Class])&amp;""=($B60)&amp;"")*((INDEX(tblY11[#Data],0,MATCH(Calc!$AF$7&amp;CHAR(10)&amp;"Raw Score",tblY11[#Headers],0)))&amp;""="A")))/SUMPRODUCT(--((tblY11[Class])&amp;""=($B60)&amp;""))),""))</f>
        <v>1</v>
      </c>
    </row>
    <row r="61">
      <c r="B61" s="31" t="str">
        <f>Calc!W4</f>
        <v>11S/Sc2</v>
      </c>
      <c r="C61" s="32" t="str">
        <f>IF($B61="","",IFERROR(INDEX(tblTeachers[Teacher],MATCH("Year 11"&amp;"|"&amp;$B61,tblTeachers[Key],0))&amp;"",""))</f>
        <v>Mrs Evans</v>
      </c>
      <c r="D61" s="33">
        <f>IF($B61="","",IFERROR(SUMPRODUCT(--((tblY11[Class])&amp;""=($B61)&amp;"")),""))</f>
        <v>26</v>
      </c>
      <c r="E61" s="34">
        <f>IF($B61="","",IFERROR(SUMPRODUCT(((tblY11[Class])&amp;""=($B61)&amp;"")*ISNUMBER(tblY11[Avg KS2 Band]),tblY11[Avg KS2 Band])/SUMPRODUCT(((tblY11[Class])&amp;""=($B61)&amp;"")*ISNUMBER(tblY11[Avg KS2 Band])),""))</f>
        <v>5.76923076923077</v>
      </c>
      <c r="F61" s="34">
        <f>IF($B61="","",IFERROR(SUMPRODUCT(((tblY11[Class])&amp;""=($B61)&amp;"")*ISNUMBER(tblY11[Tests Sat]),tblY11[Tests Sat])/SUMPRODUCT(((tblY11[Class])&amp;""=($B61)&amp;"")*ISNUMBER(tblY11[Tests Sat])),""))</f>
        <v>5.76923076923077</v>
      </c>
      <c r="G61" s="34">
        <f>IF($B61="","",IFERROR(SUMPRODUCT(((tblY11[Class])&amp;""=($B61)&amp;"")*ISNUMBER(tblY11[Mean Stanine]),tblY11[Mean Stanine])/SUMPRODUCT(((tblY11[Class])&amp;""=($B61)&amp;"")*ISNUMBER(tblY11[Mean Stanine])),""))</f>
        <v>5.30641025641026</v>
      </c>
      <c r="H61" s="35">
        <f>IF($B61="","",IFERROR(SUMPRODUCT(((tblY11[Class])&amp;""=($B61)&amp;"")*ISNUMBER(tblY11[vs Expected]),tblY11[vs Expected])/SUMPRODUCT(((tblY11[Class])&amp;""=($B61)&amp;"")*ISNUMBER(tblY11[vs Expected])),""))</f>
        <v>-0.222337107337107</v>
      </c>
      <c r="I61" s="36">
        <f>IF($B61="","",IFERROR(SUMPRODUCT(((tblY11[Class])&amp;""=($B61)&amp;"")*(RIGHT(tblY11[#Headers],8)=CHAR(10)&amp;"Stanine")*ISNUMBER(tblY11[#Data])*(tblY11[#Data]&gt;=7))/SUMPRODUCT(((tblY11[Class])&amp;""=($B61)&amp;"")*(RIGHT(tblY11[#Headers],8)=CHAR(10)&amp;"Stanine")*ISNUMBER(tblY11[#Data])),""))</f>
        <v>0.22</v>
      </c>
      <c r="J61" s="36">
        <f>IF($B61="","",IFERROR(SUMPRODUCT(((tblY11[Class])&amp;""=($B61)&amp;"")*(RIGHT(tblY11[#Headers],8)=CHAR(10)&amp;"Stanine")*ISNUMBER(tblY11[#Data])*(tblY11[#Data]&lt;=3))/SUMPRODUCT(((tblY11[Class])&amp;""=($B61)&amp;"")*(RIGHT(tblY11[#Headers],8)=CHAR(10)&amp;"Stanine")*ISNUMBER(tblY11[#Data])),""))</f>
        <v>0.0733333333333333</v>
      </c>
      <c r="K61" s="36">
        <f>IF($B61="","",IFERROR(IF(Calc!$AF$7="","",SUMPRODUCT(((tblY11[Class])&amp;""=($B61)&amp;"")*ISNUMBER(INDEX(tblY11[#Data],0,MATCH(Calc!$AF$7&amp;CHAR(10)&amp;"Raw Score",tblY11[#Headers],0))),INDEX(tblY11[#Data],0,MATCH(Calc!$AF$7&amp;CHAR(10)&amp;"Raw Score",tblY11[#Headers],0)))/SUMPRODUCT(((tblY11[Class])&amp;""=($B61)&amp;"")*ISNUMBER(INDEX(tblY11[#Data],0,MATCH(Calc!$AF$7&amp;CHAR(10)&amp;"Raw Score",tblY11[#Headers],0))))/Calc!$AG$7),""))</f>
        <v>0.473039215686275</v>
      </c>
      <c r="L61" s="34">
        <f>IF($B61="","",IFERROR(IF(Calc!$AF$7="","",SUMPRODUCT(((tblY11[Class])&amp;""=($B61)&amp;"")*ISNUMBER(INDEX(tblY11[#Data],0,MATCH(Calc!$AF$7&amp;CHAR(10)&amp;"Stanine",tblY11[#Headers],0))),INDEX(tblY11[#Data],0,MATCH(Calc!$AF$7&amp;CHAR(10)&amp;"Stanine",tblY11[#Headers],0)))/SUMPRODUCT(((tblY11[Class])&amp;""=($B61)&amp;"")*ISNUMBER(INDEX(tblY11[#Data],0,MATCH(Calc!$AF$7&amp;CHAR(10)&amp;"Stanine",tblY11[#Headers],0))))),""))</f>
        <v>5.125</v>
      </c>
      <c r="M61" s="36">
        <f>IF($B61="","",IFERROR(IF(Calc!$AF$7="","",(SUMPRODUCT(((tblY11[Class])&amp;""=($B61)&amp;"")*ISNUMBER(INDEX(tblY11[#Data],0,MATCH(Calc!$AF$7&amp;CHAR(10)&amp;"Raw Score",tblY11[#Headers],0)))*((INDEX(tblY11[#Data],0,MATCH(Calc!$AF$7&amp;CHAR(10)&amp;"Raw Score",tblY11[#Headers],0)))&gt;=0))+SUMPRODUCT(((tblY11[Class])&amp;""=($B61)&amp;"")*((INDEX(tblY11[#Data],0,MATCH(Calc!$AF$7&amp;CHAR(10)&amp;"Raw Score",tblY11[#Headers],0)))&amp;""="A")))/SUMPRODUCT(--((tblY11[Class])&amp;""=($B61)&amp;""))),""))</f>
        <v>1</v>
      </c>
    </row>
    <row r="62">
      <c r="B62" s="31" t="str">
        <f>Calc!W5</f>
        <v>11S/Sc3</v>
      </c>
      <c r="C62" s="32" t="str">
        <f>IF($B62="","",IFERROR(INDEX(tblTeachers[Teacher],MATCH("Year 11"&amp;"|"&amp;$B62,tblTeachers[Key],0))&amp;"",""))</f>
        <v>Mr Owen</v>
      </c>
      <c r="D62" s="33">
        <f>IF($B62="","",IFERROR(SUMPRODUCT(--((tblY11[Class])&amp;""=($B62)&amp;"")),""))</f>
        <v>21</v>
      </c>
      <c r="E62" s="34">
        <f>IF($B62="","",IFERROR(SUMPRODUCT(((tblY11[Class])&amp;""=($B62)&amp;"")*ISNUMBER(tblY11[Avg KS2 Band]),tblY11[Avg KS2 Band])/SUMPRODUCT(((tblY11[Class])&amp;""=($B62)&amp;"")*ISNUMBER(tblY11[Avg KS2 Band])),""))</f>
        <v>4.71428571428571</v>
      </c>
      <c r="F62" s="34">
        <f>IF($B62="","",IFERROR(SUMPRODUCT(((tblY11[Class])&amp;""=($B62)&amp;"")*ISNUMBER(tblY11[Tests Sat]),tblY11[Tests Sat])/SUMPRODUCT(((tblY11[Class])&amp;""=($B62)&amp;"")*ISNUMBER(tblY11[Tests Sat])),""))</f>
        <v>5.80952380952381</v>
      </c>
      <c r="G62" s="34">
        <f>IF($B62="","",IFERROR(SUMPRODUCT(((tblY11[Class])&amp;""=($B62)&amp;"")*ISNUMBER(tblY11[Mean Stanine]),tblY11[Mean Stanine])/SUMPRODUCT(((tblY11[Class])&amp;""=($B62)&amp;"")*ISNUMBER(tblY11[Mean Stanine])),""))</f>
        <v>4.72380952380952</v>
      </c>
      <c r="H62" s="35">
        <f>IF($B62="","",IFERROR(SUMPRODUCT(((tblY11[Class])&amp;""=($B62)&amp;"")*ISNUMBER(tblY11[vs Expected]),tblY11[vs Expected])/SUMPRODUCT(((tblY11[Class])&amp;""=($B62)&amp;"")*ISNUMBER(tblY11[vs Expected])),""))</f>
        <v>-0.0149278499278495</v>
      </c>
      <c r="I62" s="36">
        <f>IF($B62="","",IFERROR(SUMPRODUCT(((tblY11[Class])&amp;""=($B62)&amp;"")*(RIGHT(tblY11[#Headers],8)=CHAR(10)&amp;"Stanine")*ISNUMBER(tblY11[#Data])*(tblY11[#Data]&gt;=7))/SUMPRODUCT(((tblY11[Class])&amp;""=($B62)&amp;"")*(RIGHT(tblY11[#Headers],8)=CHAR(10)&amp;"Stanine")*ISNUMBER(tblY11[#Data])),""))</f>
        <v>0.213114754098361</v>
      </c>
      <c r="J62" s="36">
        <f>IF($B62="","",IFERROR(SUMPRODUCT(((tblY11[Class])&amp;""=($B62)&amp;"")*(RIGHT(tblY11[#Headers],8)=CHAR(10)&amp;"Stanine")*ISNUMBER(tblY11[#Data])*(tblY11[#Data]&lt;=3))/SUMPRODUCT(((tblY11[Class])&amp;""=($B62)&amp;"")*(RIGHT(tblY11[#Headers],8)=CHAR(10)&amp;"Stanine")*ISNUMBER(tblY11[#Data])),""))</f>
        <v>0.237704918032787</v>
      </c>
      <c r="K62" s="36">
        <f>IF($B62="","",IFERROR(IF(Calc!$AF$7="","",SUMPRODUCT(((tblY11[Class])&amp;""=($B62)&amp;"")*ISNUMBER(INDEX(tblY11[#Data],0,MATCH(Calc!$AF$7&amp;CHAR(10)&amp;"Raw Score",tblY11[#Headers],0))),INDEX(tblY11[#Data],0,MATCH(Calc!$AF$7&amp;CHAR(10)&amp;"Raw Score",tblY11[#Headers],0)))/SUMPRODUCT(((tblY11[Class])&amp;""=($B62)&amp;"")*ISNUMBER(INDEX(tblY11[#Data],0,MATCH(Calc!$AF$7&amp;CHAR(10)&amp;"Raw Score",tblY11[#Headers],0))))/Calc!$AG$7),""))</f>
        <v>0.436764705882353</v>
      </c>
      <c r="L62" s="34">
        <f>IF($B62="","",IFERROR(IF(Calc!$AF$7="","",SUMPRODUCT(((tblY11[Class])&amp;""=($B62)&amp;"")*ISNUMBER(INDEX(tblY11[#Data],0,MATCH(Calc!$AF$7&amp;CHAR(10)&amp;"Stanine",tblY11[#Headers],0))),INDEX(tblY11[#Data],0,MATCH(Calc!$AF$7&amp;CHAR(10)&amp;"Stanine",tblY11[#Headers],0)))/SUMPRODUCT(((tblY11[Class])&amp;""=($B62)&amp;"")*ISNUMBER(INDEX(tblY11[#Data],0,MATCH(Calc!$AF$7&amp;CHAR(10)&amp;"Stanine",tblY11[#Headers],0))))),""))</f>
        <v>4.85</v>
      </c>
      <c r="M62" s="36">
        <f>IF($B62="","",IFERROR(IF(Calc!$AF$7="","",(SUMPRODUCT(((tblY11[Class])&amp;""=($B62)&amp;"")*ISNUMBER(INDEX(tblY11[#Data],0,MATCH(Calc!$AF$7&amp;CHAR(10)&amp;"Raw Score",tblY11[#Headers],0)))*((INDEX(tblY11[#Data],0,MATCH(Calc!$AF$7&amp;CHAR(10)&amp;"Raw Score",tblY11[#Headers],0)))&gt;=0))+SUMPRODUCT(((tblY11[Class])&amp;""=($B62)&amp;"")*((INDEX(tblY11[#Data],0,MATCH(Calc!$AF$7&amp;CHAR(10)&amp;"Raw Score",tblY11[#Headers],0)))&amp;""="A")))/SUMPRODUCT(--((tblY11[Class])&amp;""=($B62)&amp;""))),""))</f>
        <v>1</v>
      </c>
    </row>
    <row r="63">
      <c r="B63" s="31" t="str">
        <f>Calc!W6</f>
        <v>11S/Sc4</v>
      </c>
      <c r="C63" s="32" t="str">
        <f>IF($B63="","",IFERROR(INDEX(tblTeachers[Teacher],MATCH("Year 11"&amp;"|"&amp;$B63,tblTeachers[Key],0))&amp;"",""))</f>
        <v>Mrs Singh</v>
      </c>
      <c r="D63" s="33">
        <f>IF($B63="","",IFERROR(SUMPRODUCT(--((tblY11[Class])&amp;""=($B63)&amp;"")),""))</f>
        <v>13</v>
      </c>
      <c r="E63" s="34">
        <f>IF($B63="","",IFERROR(SUMPRODUCT(((tblY11[Class])&amp;""=($B63)&amp;"")*ISNUMBER(tblY11[Avg KS2 Band]),tblY11[Avg KS2 Band])/SUMPRODUCT(((tblY11[Class])&amp;""=($B63)&amp;"")*ISNUMBER(tblY11[Avg KS2 Band])),""))</f>
        <v>3.69230769230769</v>
      </c>
      <c r="F63" s="34">
        <f>IF($B63="","",IFERROR(SUMPRODUCT(((tblY11[Class])&amp;""=($B63)&amp;"")*ISNUMBER(tblY11[Tests Sat]),tblY11[Tests Sat])/SUMPRODUCT(((tblY11[Class])&amp;""=($B63)&amp;"")*ISNUMBER(tblY11[Tests Sat])),""))</f>
        <v>5.84615384615385</v>
      </c>
      <c r="G63" s="34">
        <f>IF($B63="","",IFERROR(SUMPRODUCT(((tblY11[Class])&amp;""=($B63)&amp;"")*ISNUMBER(tblY11[Mean Stanine]),tblY11[Mean Stanine])/SUMPRODUCT(((tblY11[Class])&amp;""=($B63)&amp;"")*ISNUMBER(tblY11[Mean Stanine])),""))</f>
        <v>3.54615384615385</v>
      </c>
      <c r="H63" s="35">
        <f>IF($B63="","",IFERROR(SUMPRODUCT(((tblY11[Class])&amp;""=($B63)&amp;"")*ISNUMBER(tblY11[vs Expected]),tblY11[vs Expected])/SUMPRODUCT(((tblY11[Class])&amp;""=($B63)&amp;"")*ISNUMBER(tblY11[vs Expected])),""))</f>
        <v>-0.427261349761349</v>
      </c>
      <c r="I63" s="36">
        <f>IF($B63="","",IFERROR(SUMPRODUCT(((tblY11[Class])&amp;""=($B63)&amp;"")*(RIGHT(tblY11[#Headers],8)=CHAR(10)&amp;"Stanine")*ISNUMBER(tblY11[#Data])*(tblY11[#Data]&gt;=7))/SUMPRODUCT(((tblY11[Class])&amp;""=($B63)&amp;"")*(RIGHT(tblY11[#Headers],8)=CHAR(10)&amp;"Stanine")*ISNUMBER(tblY11[#Data])),""))</f>
        <v>0.0131578947368421</v>
      </c>
      <c r="J63" s="36">
        <f>IF($B63="","",IFERROR(SUMPRODUCT(((tblY11[Class])&amp;""=($B63)&amp;"")*(RIGHT(tblY11[#Headers],8)=CHAR(10)&amp;"Stanine")*ISNUMBER(tblY11[#Data])*(tblY11[#Data]&lt;=3))/SUMPRODUCT(((tblY11[Class])&amp;""=($B63)&amp;"")*(RIGHT(tblY11[#Headers],8)=CHAR(10)&amp;"Stanine")*ISNUMBER(tblY11[#Data])),""))</f>
        <v>0.5</v>
      </c>
      <c r="K63" s="36">
        <f>IF($B63="","",IFERROR(IF(Calc!$AF$7="","",SUMPRODUCT(((tblY11[Class])&amp;""=($B63)&amp;"")*ISNUMBER(INDEX(tblY11[#Data],0,MATCH(Calc!$AF$7&amp;CHAR(10)&amp;"Raw Score",tblY11[#Headers],0))),INDEX(tblY11[#Data],0,MATCH(Calc!$AF$7&amp;CHAR(10)&amp;"Raw Score",tblY11[#Headers],0)))/SUMPRODUCT(((tblY11[Class])&amp;""=($B63)&amp;"")*ISNUMBER(INDEX(tblY11[#Data],0,MATCH(Calc!$AF$7&amp;CHAR(10)&amp;"Raw Score",tblY11[#Headers],0))))/Calc!$AG$7),""))</f>
        <v>0.343137254901961</v>
      </c>
      <c r="L63" s="34">
        <f>IF($B63="","",IFERROR(IF(Calc!$AF$7="","",SUMPRODUCT(((tblY11[Class])&amp;""=($B63)&amp;"")*ISNUMBER(INDEX(tblY11[#Data],0,MATCH(Calc!$AF$7&amp;CHAR(10)&amp;"Stanine",tblY11[#Headers],0))),INDEX(tblY11[#Data],0,MATCH(Calc!$AF$7&amp;CHAR(10)&amp;"Stanine",tblY11[#Headers],0)))/SUMPRODUCT(((tblY11[Class])&amp;""=($B63)&amp;"")*ISNUMBER(INDEX(tblY11[#Data],0,MATCH(Calc!$AF$7&amp;CHAR(10)&amp;"Stanine",tblY11[#Headers],0))))),""))</f>
        <v>3.91666666666667</v>
      </c>
      <c r="M63" s="36">
        <f>IF($B63="","",IFERROR(IF(Calc!$AF$7="","",(SUMPRODUCT(((tblY11[Class])&amp;""=($B63)&amp;"")*ISNUMBER(INDEX(tblY11[#Data],0,MATCH(Calc!$AF$7&amp;CHAR(10)&amp;"Raw Score",tblY11[#Headers],0)))*((INDEX(tblY11[#Data],0,MATCH(Calc!$AF$7&amp;CHAR(10)&amp;"Raw Score",tblY11[#Headers],0)))&gt;=0))+SUMPRODUCT(((tblY11[Class])&amp;""=($B63)&amp;"")*((INDEX(tblY11[#Data],0,MATCH(Calc!$AF$7&amp;CHAR(10)&amp;"Raw Score",tblY11[#Headers],0)))&amp;""="A")))/SUMPRODUCT(--((tblY11[Class])&amp;""=($B63)&amp;""))),""))</f>
        <v>1</v>
      </c>
    </row>
    <row r="64">
      <c r="B64" s="31" t="str">
        <f>Calc!W7</f>
        <v>11S/Sc5</v>
      </c>
      <c r="C64" s="32" t="str">
        <f>IF($B64="","",IFERROR(INDEX(tblTeachers[Teacher],MATCH("Year 11"&amp;"|"&amp;$B64,tblTeachers[Key],0))&amp;"",""))</f>
        <v>Ms Novak</v>
      </c>
      <c r="D64" s="33">
        <f>IF($B64="","",IFERROR(SUMPRODUCT(--((tblY11[Class])&amp;""=($B64)&amp;"")),""))</f>
        <v>13</v>
      </c>
      <c r="E64" s="34">
        <f>IF($B64="","",IFERROR(SUMPRODUCT(((tblY11[Class])&amp;""=($B64)&amp;"")*ISNUMBER(tblY11[Avg KS2 Band]),tblY11[Avg KS2 Band])/SUMPRODUCT(((tblY11[Class])&amp;""=($B64)&amp;"")*ISNUMBER(tblY11[Avg KS2 Band])),""))</f>
        <v>3</v>
      </c>
      <c r="F64" s="34">
        <f>IF($B64="","",IFERROR(SUMPRODUCT(((tblY11[Class])&amp;""=($B64)&amp;"")*ISNUMBER(tblY11[Tests Sat]),tblY11[Tests Sat])/SUMPRODUCT(((tblY11[Class])&amp;""=($B64)&amp;"")*ISNUMBER(tblY11[Tests Sat])),""))</f>
        <v>5.69230769230769</v>
      </c>
      <c r="G64" s="34">
        <f>IF($B64="","",IFERROR(SUMPRODUCT(((tblY11[Class])&amp;""=($B64)&amp;"")*ISNUMBER(tblY11[Mean Stanine]),tblY11[Mean Stanine])/SUMPRODUCT(((tblY11[Class])&amp;""=($B64)&amp;"")*ISNUMBER(tblY11[Mean Stanine])),""))</f>
        <v>3.26410256410256</v>
      </c>
      <c r="H64" s="35">
        <f>IF($B64="","",IFERROR(SUMPRODUCT(((tblY11[Class])&amp;""=($B64)&amp;"")*ISNUMBER(tblY11[vs Expected]),tblY11[vs Expected])/SUMPRODUCT(((tblY11[Class])&amp;""=($B64)&amp;"")*ISNUMBER(tblY11[vs Expected])),""))</f>
        <v>-0.190868575868575</v>
      </c>
      <c r="I64" s="36">
        <f>IF($B64="","",IFERROR(SUMPRODUCT(((tblY11[Class])&amp;""=($B64)&amp;"")*(RIGHT(tblY11[#Headers],8)=CHAR(10)&amp;"Stanine")*ISNUMBER(tblY11[#Data])*(tblY11[#Data]&gt;=7))/SUMPRODUCT(((tblY11[Class])&amp;""=($B64)&amp;"")*(RIGHT(tblY11[#Headers],8)=CHAR(10)&amp;"Stanine")*ISNUMBER(tblY11[#Data])),""))</f>
        <v>0.0405405405405405</v>
      </c>
      <c r="J64" s="36">
        <f>IF($B64="","",IFERROR(SUMPRODUCT(((tblY11[Class])&amp;""=($B64)&amp;"")*(RIGHT(tblY11[#Headers],8)=CHAR(10)&amp;"Stanine")*ISNUMBER(tblY11[#Data])*(tblY11[#Data]&lt;=3))/SUMPRODUCT(((tblY11[Class])&amp;""=($B64)&amp;"")*(RIGHT(tblY11[#Headers],8)=CHAR(10)&amp;"Stanine")*ISNUMBER(tblY11[#Data])),""))</f>
        <v>0.662162162162162</v>
      </c>
      <c r="K64" s="36">
        <f>IF($B64="","",IFERROR(IF(Calc!$AF$7="","",SUMPRODUCT(((tblY11[Class])&amp;""=($B64)&amp;"")*ISNUMBER(INDEX(tblY11[#Data],0,MATCH(Calc!$AF$7&amp;CHAR(10)&amp;"Raw Score",tblY11[#Headers],0))),INDEX(tblY11[#Data],0,MATCH(Calc!$AF$7&amp;CHAR(10)&amp;"Raw Score",tblY11[#Headers],0)))/SUMPRODUCT(((tblY11[Class])&amp;""=($B64)&amp;"")*ISNUMBER(INDEX(tblY11[#Data],0,MATCH(Calc!$AF$7&amp;CHAR(10)&amp;"Raw Score",tblY11[#Headers],0))))/Calc!$AG$7),""))</f>
        <v>0.276960784313725</v>
      </c>
      <c r="L64" s="34">
        <f>IF($B64="","",IFERROR(IF(Calc!$AF$7="","",SUMPRODUCT(((tblY11[Class])&amp;""=($B64)&amp;"")*ISNUMBER(INDEX(tblY11[#Data],0,MATCH(Calc!$AF$7&amp;CHAR(10)&amp;"Stanine",tblY11[#Headers],0))),INDEX(tblY11[#Data],0,MATCH(Calc!$AF$7&amp;CHAR(10)&amp;"Stanine",tblY11[#Headers],0)))/SUMPRODUCT(((tblY11[Class])&amp;""=($B64)&amp;"")*ISNUMBER(INDEX(tblY11[#Data],0,MATCH(Calc!$AF$7&amp;CHAR(10)&amp;"Stanine",tblY11[#Headers],0))))),""))</f>
        <v>3.25</v>
      </c>
      <c r="M64" s="36">
        <f>IF($B64="","",IFERROR(IF(Calc!$AF$7="","",(SUMPRODUCT(((tblY11[Class])&amp;""=($B64)&amp;"")*ISNUMBER(INDEX(tblY11[#Data],0,MATCH(Calc!$AF$7&amp;CHAR(10)&amp;"Raw Score",tblY11[#Headers],0)))*((INDEX(tblY11[#Data],0,MATCH(Calc!$AF$7&amp;CHAR(10)&amp;"Raw Score",tblY11[#Headers],0)))&gt;=0))+SUMPRODUCT(((tblY11[Class])&amp;""=($B64)&amp;"")*((INDEX(tblY11[#Data],0,MATCH(Calc!$AF$7&amp;CHAR(10)&amp;"Raw Score",tblY11[#Headers],0)))&amp;""="A")))/SUMPRODUCT(--((tblY11[Class])&amp;""=($B64)&amp;""))),""))</f>
        <v>1</v>
      </c>
    </row>
    <row r="65">
      <c r="B65" s="31" t="str">
        <f>Calc!W8</f>
        <v>Science Support</v>
      </c>
      <c r="C65" s="32" t="str">
        <f>IF($B65="","",IFERROR(INDEX(tblTeachers[Teacher],MATCH("Year 11"&amp;"|"&amp;$B65,tblTeachers[Key],0))&amp;"",""))</f>
        <v>Ms Novak</v>
      </c>
      <c r="D65" s="33">
        <f>IF($B65="","",IFERROR(SUMPRODUCT(--((tblY11[Class])&amp;""=($B65)&amp;"")),""))</f>
        <v>5</v>
      </c>
      <c r="E65" s="34">
        <f>IF($B65="","",IFERROR(SUMPRODUCT(((tblY11[Class])&amp;""=($B65)&amp;"")*ISNUMBER(tblY11[Avg KS2 Band]),tblY11[Avg KS2 Band])/SUMPRODUCT(((tblY11[Class])&amp;""=($B65)&amp;"")*ISNUMBER(tblY11[Avg KS2 Band])),""))</f>
        <v>2.4</v>
      </c>
      <c r="F65" s="34">
        <f>IF($B65="","",IFERROR(SUMPRODUCT(((tblY11[Class])&amp;""=($B65)&amp;"")*ISNUMBER(tblY11[Tests Sat]),tblY11[Tests Sat])/SUMPRODUCT(((tblY11[Class])&amp;""=($B65)&amp;"")*ISNUMBER(tblY11[Tests Sat])),""))</f>
        <v>5.6</v>
      </c>
      <c r="G65" s="34">
        <f>IF($B65="","",IFERROR(SUMPRODUCT(((tblY11[Class])&amp;""=($B65)&amp;"")*ISNUMBER(tblY11[Mean Stanine]),tblY11[Mean Stanine])/SUMPRODUCT(((tblY11[Class])&amp;""=($B65)&amp;"")*ISNUMBER(tblY11[Mean Stanine])),""))</f>
        <v>2.24666666666667</v>
      </c>
      <c r="H65" s="35">
        <f>IF($B65="","",IFERROR(SUMPRODUCT(((tblY11[Class])&amp;""=($B65)&amp;"")*ISNUMBER(tblY11[vs Expected]),tblY11[vs Expected])/SUMPRODUCT(((tblY11[Class])&amp;""=($B65)&amp;"")*ISNUMBER(tblY11[vs Expected])),""))</f>
        <v>-0.758986291486291</v>
      </c>
      <c r="I65" s="36">
        <f>IF($B65="","",IFERROR(SUMPRODUCT(((tblY11[Class])&amp;""=($B65)&amp;"")*(RIGHT(tblY11[#Headers],8)=CHAR(10)&amp;"Stanine")*ISNUMBER(tblY11[#Data])*(tblY11[#Data]&gt;=7))/SUMPRODUCT(((tblY11[Class])&amp;""=($B65)&amp;"")*(RIGHT(tblY11[#Headers],8)=CHAR(10)&amp;"Stanine")*ISNUMBER(tblY11[#Data])),""))</f>
        <v>0</v>
      </c>
      <c r="J65" s="36">
        <f>IF($B65="","",IFERROR(SUMPRODUCT(((tblY11[Class])&amp;""=($B65)&amp;"")*(RIGHT(tblY11[#Headers],8)=CHAR(10)&amp;"Stanine")*ISNUMBER(tblY11[#Data])*(tblY11[#Data]&lt;=3))/SUMPRODUCT(((tblY11[Class])&amp;""=($B65)&amp;"")*(RIGHT(tblY11[#Headers],8)=CHAR(10)&amp;"Stanine")*ISNUMBER(tblY11[#Data])),""))</f>
        <v>0.928571428571429</v>
      </c>
      <c r="K65" s="36">
        <f>IF($B65="","",IFERROR(IF(Calc!$AF$7="","",SUMPRODUCT(((tblY11[Class])&amp;""=($B65)&amp;"")*ISNUMBER(INDEX(tblY11[#Data],0,MATCH(Calc!$AF$7&amp;CHAR(10)&amp;"Raw Score",tblY11[#Headers],0))),INDEX(tblY11[#Data],0,MATCH(Calc!$AF$7&amp;CHAR(10)&amp;"Raw Score",tblY11[#Headers],0)))/SUMPRODUCT(((tblY11[Class])&amp;""=($B65)&amp;"")*ISNUMBER(INDEX(tblY11[#Data],0,MATCH(Calc!$AF$7&amp;CHAR(10)&amp;"Raw Score",tblY11[#Headers],0))))/Calc!$AG$7),""))</f>
        <v>0.188235294117647</v>
      </c>
      <c r="L65" s="34">
        <f>IF($B65="","",IFERROR(IF(Calc!$AF$7="","",SUMPRODUCT(((tblY11[Class])&amp;""=($B65)&amp;"")*ISNUMBER(INDEX(tblY11[#Data],0,MATCH(Calc!$AF$7&amp;CHAR(10)&amp;"Stanine",tblY11[#Headers],0))),INDEX(tblY11[#Data],0,MATCH(Calc!$AF$7&amp;CHAR(10)&amp;"Stanine",tblY11[#Headers],0)))/SUMPRODUCT(((tblY11[Class])&amp;""=($B65)&amp;"")*ISNUMBER(INDEX(tblY11[#Data],0,MATCH(Calc!$AF$7&amp;CHAR(10)&amp;"Stanine",tblY11[#Headers],0))))),""))</f>
        <v>2.4</v>
      </c>
      <c r="M65" s="36">
        <f>IF($B65="","",IFERROR(IF(Calc!$AF$7="","",(SUMPRODUCT(((tblY11[Class])&amp;""=($B65)&amp;"")*ISNUMBER(INDEX(tblY11[#Data],0,MATCH(Calc!$AF$7&amp;CHAR(10)&amp;"Raw Score",tblY11[#Headers],0)))*((INDEX(tblY11[#Data],0,MATCH(Calc!$AF$7&amp;CHAR(10)&amp;"Raw Score",tblY11[#Headers],0)))&gt;=0))+SUMPRODUCT(((tblY11[Class])&amp;""=($B65)&amp;"")*((INDEX(tblY11[#Data],0,MATCH(Calc!$AF$7&amp;CHAR(10)&amp;"Raw Score",tblY11[#Headers],0)))&amp;""="A")))/SUMPRODUCT(--((tblY11[Class])&amp;""=($B65)&amp;""))),""))</f>
        <v>1</v>
      </c>
    </row>
    <row r="66">
      <c r="B66" s="31" t="str">
        <f>Calc!W9</f>
        <v/>
      </c>
      <c r="C66" s="32" t="str">
        <f>IF($B66="","",IFERROR(INDEX(tblTeachers[Teacher],MATCH("Year 11"&amp;"|"&amp;$B66,tblTeachers[Key],0))&amp;"",""))</f>
        <v/>
      </c>
      <c r="D66" s="33" t="str">
        <f>IF($B66="","",IFERROR(SUMPRODUCT(--((tblY11[Class])&amp;""=($B66)&amp;"")),""))</f>
        <v/>
      </c>
      <c r="E66" s="34" t="str">
        <f>IF($B66="","",IFERROR(SUMPRODUCT(((tblY11[Class])&amp;""=($B66)&amp;"")*ISNUMBER(tblY11[Avg KS2 Band]),tblY11[Avg KS2 Band])/SUMPRODUCT(((tblY11[Class])&amp;""=($B66)&amp;"")*ISNUMBER(tblY11[Avg KS2 Band])),""))</f>
        <v/>
      </c>
      <c r="F66" s="34" t="str">
        <f>IF($B66="","",IFERROR(SUMPRODUCT(((tblY11[Class])&amp;""=($B66)&amp;"")*ISNUMBER(tblY11[Tests Sat]),tblY11[Tests Sat])/SUMPRODUCT(((tblY11[Class])&amp;""=($B66)&amp;"")*ISNUMBER(tblY11[Tests Sat])),""))</f>
        <v/>
      </c>
      <c r="G66" s="34" t="str">
        <f>IF($B66="","",IFERROR(SUMPRODUCT(((tblY11[Class])&amp;""=($B66)&amp;"")*ISNUMBER(tblY11[Mean Stanine]),tblY11[Mean Stanine])/SUMPRODUCT(((tblY11[Class])&amp;""=($B66)&amp;"")*ISNUMBER(tblY11[Mean Stanine])),""))</f>
        <v/>
      </c>
      <c r="H66" s="35" t="str">
        <f>IF($B66="","",IFERROR(SUMPRODUCT(((tblY11[Class])&amp;""=($B66)&amp;"")*ISNUMBER(tblY11[vs Expected]),tblY11[vs Expected])/SUMPRODUCT(((tblY11[Class])&amp;""=($B66)&amp;"")*ISNUMBER(tblY11[vs Expected])),""))</f>
        <v/>
      </c>
      <c r="I66" s="36" t="str">
        <f>IF($B66="","",IFERROR(SUMPRODUCT(((tblY11[Class])&amp;""=($B66)&amp;"")*(RIGHT(tblY11[#Headers],8)=CHAR(10)&amp;"Stanine")*ISNUMBER(tblY11[#Data])*(tblY11[#Data]&gt;=7))/SUMPRODUCT(((tblY11[Class])&amp;""=($B66)&amp;"")*(RIGHT(tblY11[#Headers],8)=CHAR(10)&amp;"Stanine")*ISNUMBER(tblY11[#Data])),""))</f>
        <v/>
      </c>
      <c r="J66" s="36" t="str">
        <f>IF($B66="","",IFERROR(SUMPRODUCT(((tblY11[Class])&amp;""=($B66)&amp;"")*(RIGHT(tblY11[#Headers],8)=CHAR(10)&amp;"Stanine")*ISNUMBER(tblY11[#Data])*(tblY11[#Data]&lt;=3))/SUMPRODUCT(((tblY11[Class])&amp;""=($B66)&amp;"")*(RIGHT(tblY11[#Headers],8)=CHAR(10)&amp;"Stanine")*ISNUMBER(tblY11[#Data])),""))</f>
        <v/>
      </c>
      <c r="K66" s="36" t="str">
        <f>IF($B66="","",IFERROR(IF(Calc!$AF$7="","",SUMPRODUCT(((tblY11[Class])&amp;""=($B66)&amp;"")*ISNUMBER(INDEX(tblY11[#Data],0,MATCH(Calc!$AF$7&amp;CHAR(10)&amp;"Raw Score",tblY11[#Headers],0))),INDEX(tblY11[#Data],0,MATCH(Calc!$AF$7&amp;CHAR(10)&amp;"Raw Score",tblY11[#Headers],0)))/SUMPRODUCT(((tblY11[Class])&amp;""=($B66)&amp;"")*ISNUMBER(INDEX(tblY11[#Data],0,MATCH(Calc!$AF$7&amp;CHAR(10)&amp;"Raw Score",tblY11[#Headers],0))))/Calc!$AG$7),""))</f>
        <v/>
      </c>
      <c r="L66" s="34" t="str">
        <f>IF($B66="","",IFERROR(IF(Calc!$AF$7="","",SUMPRODUCT(((tblY11[Class])&amp;""=($B66)&amp;"")*ISNUMBER(INDEX(tblY11[#Data],0,MATCH(Calc!$AF$7&amp;CHAR(10)&amp;"Stanine",tblY11[#Headers],0))),INDEX(tblY11[#Data],0,MATCH(Calc!$AF$7&amp;CHAR(10)&amp;"Stanine",tblY11[#Headers],0)))/SUMPRODUCT(((tblY11[Class])&amp;""=($B66)&amp;"")*ISNUMBER(INDEX(tblY11[#Data],0,MATCH(Calc!$AF$7&amp;CHAR(10)&amp;"Stanine",tblY11[#Headers],0))))),""))</f>
        <v/>
      </c>
      <c r="M66" s="36" t="str">
        <f>IF($B66="","",IFERROR(IF(Calc!$AF$7="","",(SUMPRODUCT(((tblY11[Class])&amp;""=($B66)&amp;"")*ISNUMBER(INDEX(tblY11[#Data],0,MATCH(Calc!$AF$7&amp;CHAR(10)&amp;"Raw Score",tblY11[#Headers],0)))*((INDEX(tblY11[#Data],0,MATCH(Calc!$AF$7&amp;CHAR(10)&amp;"Raw Score",tblY11[#Headers],0)))&gt;=0))+SUMPRODUCT(((tblY11[Class])&amp;""=($B66)&amp;"")*((INDEX(tblY11[#Data],0,MATCH(Calc!$AF$7&amp;CHAR(10)&amp;"Raw Score",tblY11[#Headers],0)))&amp;""="A")))/SUMPRODUCT(--((tblY11[Class])&amp;""=($B66)&amp;""))),""))</f>
        <v/>
      </c>
    </row>
    <row r="67">
      <c r="B67" s="31" t="str">
        <f>Calc!W10</f>
        <v/>
      </c>
      <c r="C67" s="32" t="str">
        <f>IF($B67="","",IFERROR(INDEX(tblTeachers[Teacher],MATCH("Year 11"&amp;"|"&amp;$B67,tblTeachers[Key],0))&amp;"",""))</f>
        <v/>
      </c>
      <c r="D67" s="33" t="str">
        <f>IF($B67="","",IFERROR(SUMPRODUCT(--((tblY11[Class])&amp;""=($B67)&amp;"")),""))</f>
        <v/>
      </c>
      <c r="E67" s="34" t="str">
        <f>IF($B67="","",IFERROR(SUMPRODUCT(((tblY11[Class])&amp;""=($B67)&amp;"")*ISNUMBER(tblY11[Avg KS2 Band]),tblY11[Avg KS2 Band])/SUMPRODUCT(((tblY11[Class])&amp;""=($B67)&amp;"")*ISNUMBER(tblY11[Avg KS2 Band])),""))</f>
        <v/>
      </c>
      <c r="F67" s="34" t="str">
        <f>IF($B67="","",IFERROR(SUMPRODUCT(((tblY11[Class])&amp;""=($B67)&amp;"")*ISNUMBER(tblY11[Tests Sat]),tblY11[Tests Sat])/SUMPRODUCT(((tblY11[Class])&amp;""=($B67)&amp;"")*ISNUMBER(tblY11[Tests Sat])),""))</f>
        <v/>
      </c>
      <c r="G67" s="34" t="str">
        <f>IF($B67="","",IFERROR(SUMPRODUCT(((tblY11[Class])&amp;""=($B67)&amp;"")*ISNUMBER(tblY11[Mean Stanine]),tblY11[Mean Stanine])/SUMPRODUCT(((tblY11[Class])&amp;""=($B67)&amp;"")*ISNUMBER(tblY11[Mean Stanine])),""))</f>
        <v/>
      </c>
      <c r="H67" s="35" t="str">
        <f>IF($B67="","",IFERROR(SUMPRODUCT(((tblY11[Class])&amp;""=($B67)&amp;"")*ISNUMBER(tblY11[vs Expected]),tblY11[vs Expected])/SUMPRODUCT(((tblY11[Class])&amp;""=($B67)&amp;"")*ISNUMBER(tblY11[vs Expected])),""))</f>
        <v/>
      </c>
      <c r="I67" s="36" t="str">
        <f>IF($B67="","",IFERROR(SUMPRODUCT(((tblY11[Class])&amp;""=($B67)&amp;"")*(RIGHT(tblY11[#Headers],8)=CHAR(10)&amp;"Stanine")*ISNUMBER(tblY11[#Data])*(tblY11[#Data]&gt;=7))/SUMPRODUCT(((tblY11[Class])&amp;""=($B67)&amp;"")*(RIGHT(tblY11[#Headers],8)=CHAR(10)&amp;"Stanine")*ISNUMBER(tblY11[#Data])),""))</f>
        <v/>
      </c>
      <c r="J67" s="36" t="str">
        <f>IF($B67="","",IFERROR(SUMPRODUCT(((tblY11[Class])&amp;""=($B67)&amp;"")*(RIGHT(tblY11[#Headers],8)=CHAR(10)&amp;"Stanine")*ISNUMBER(tblY11[#Data])*(tblY11[#Data]&lt;=3))/SUMPRODUCT(((tblY11[Class])&amp;""=($B67)&amp;"")*(RIGHT(tblY11[#Headers],8)=CHAR(10)&amp;"Stanine")*ISNUMBER(tblY11[#Data])),""))</f>
        <v/>
      </c>
      <c r="K67" s="36" t="str">
        <f>IF($B67="","",IFERROR(IF(Calc!$AF$7="","",SUMPRODUCT(((tblY11[Class])&amp;""=($B67)&amp;"")*ISNUMBER(INDEX(tblY11[#Data],0,MATCH(Calc!$AF$7&amp;CHAR(10)&amp;"Raw Score",tblY11[#Headers],0))),INDEX(tblY11[#Data],0,MATCH(Calc!$AF$7&amp;CHAR(10)&amp;"Raw Score",tblY11[#Headers],0)))/SUMPRODUCT(((tblY11[Class])&amp;""=($B67)&amp;"")*ISNUMBER(INDEX(tblY11[#Data],0,MATCH(Calc!$AF$7&amp;CHAR(10)&amp;"Raw Score",tblY11[#Headers],0))))/Calc!$AG$7),""))</f>
        <v/>
      </c>
      <c r="L67" s="34" t="str">
        <f>IF($B67="","",IFERROR(IF(Calc!$AF$7="","",SUMPRODUCT(((tblY11[Class])&amp;""=($B67)&amp;"")*ISNUMBER(INDEX(tblY11[#Data],0,MATCH(Calc!$AF$7&amp;CHAR(10)&amp;"Stanine",tblY11[#Headers],0))),INDEX(tblY11[#Data],0,MATCH(Calc!$AF$7&amp;CHAR(10)&amp;"Stanine",tblY11[#Headers],0)))/SUMPRODUCT(((tblY11[Class])&amp;""=($B67)&amp;"")*ISNUMBER(INDEX(tblY11[#Data],0,MATCH(Calc!$AF$7&amp;CHAR(10)&amp;"Stanine",tblY11[#Headers],0))))),""))</f>
        <v/>
      </c>
      <c r="M67" s="36" t="str">
        <f>IF($B67="","",IFERROR(IF(Calc!$AF$7="","",(SUMPRODUCT(((tblY11[Class])&amp;""=($B67)&amp;"")*ISNUMBER(INDEX(tblY11[#Data],0,MATCH(Calc!$AF$7&amp;CHAR(10)&amp;"Raw Score",tblY11[#Headers],0)))*((INDEX(tblY11[#Data],0,MATCH(Calc!$AF$7&amp;CHAR(10)&amp;"Raw Score",tblY11[#Headers],0)))&gt;=0))+SUMPRODUCT(((tblY11[Class])&amp;""=($B67)&amp;"")*((INDEX(tblY11[#Data],0,MATCH(Calc!$AF$7&amp;CHAR(10)&amp;"Raw Score",tblY11[#Headers],0)))&amp;""="A")))/SUMPRODUCT(--((tblY11[Class])&amp;""=($B67)&amp;""))),""))</f>
        <v/>
      </c>
    </row>
    <row r="69">
      <c r="B69"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70"/>
    <row r="71"/>
    <row r="72"/>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D4:F4"/>
    <mergeCell ref="J4:M4"/>
    <mergeCell ref="B5:C7"/>
    <mergeCell ref="G4:I4"/>
    <mergeCell ref="D5:F7"/>
    <mergeCell ref="J5:M7"/>
    <mergeCell ref="B69:M72"/>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conditionalFormatting sqref="G24:G31">
    <cfRule type="expression" priority="17" dxfId="0">
      <formula>AND(ISNUMBER(G24),ISNUMBER(5),G24-5&gt;=1.0)</formula>
    </cfRule>
    <cfRule type="expression" priority="18" dxfId="1">
      <formula>AND(ISNUMBER(G24),ISNUMBER(5),G24-5&gt;=0.4)</formula>
    </cfRule>
    <cfRule type="expression" priority="19" dxfId="2">
      <formula>AND(ISNUMBER(G24),ISNUMBER(5),G24-5&lt;=-1.0)</formula>
    </cfRule>
    <cfRule type="expression" priority="20" dxfId="3">
      <formula>AND(ISNUMBER(G24),ISNUMBER(5),G24-5&lt;=-0.4)</formula>
    </cfRule>
  </conditionalFormatting>
  <conditionalFormatting sqref="H24:H31">
    <cfRule type="expression" priority="21" dxfId="0">
      <formula>AND(ISNUMBER(H24),ISNUMBER(0),H24-0&gt;=0.5)</formula>
    </cfRule>
    <cfRule type="expression" priority="22" dxfId="1">
      <formula>AND(ISNUMBER(H24),ISNUMBER(0),H24-0&gt;=0.2)</formula>
    </cfRule>
    <cfRule type="expression" priority="23" dxfId="2">
      <formula>AND(ISNUMBER(H24),ISNUMBER(0),H24-0&lt;=-0.5)</formula>
    </cfRule>
    <cfRule type="expression" priority="24" dxfId="3">
      <formula>AND(ISNUMBER(H24),ISNUMBER(0),H24-0&lt;=-0.2)</formula>
    </cfRule>
  </conditionalFormatting>
  <conditionalFormatting sqref="K24:K31">
    <cfRule type="expression" priority="25" dxfId="0">
      <formula>AND(ISNUMBER(K24),ISNUMBER($K$23),K24-$K$23&gt;=0.1)</formula>
    </cfRule>
    <cfRule type="expression" priority="26" dxfId="1">
      <formula>AND(ISNUMBER(K24),ISNUMBER($K$23),K24-$K$23&gt;=0.03)</formula>
    </cfRule>
    <cfRule type="expression" priority="27" dxfId="2">
      <formula>AND(ISNUMBER(K24),ISNUMBER($K$23),K24-$K$23&lt;=-0.1)</formula>
    </cfRule>
    <cfRule type="expression" priority="28" dxfId="3">
      <formula>AND(ISNUMBER(K24),ISNUMBER($K$23),K24-$K$23&lt;=-0.03)</formula>
    </cfRule>
  </conditionalFormatting>
  <conditionalFormatting sqref="I23:I31">
    <cfRule type="dataBar" priority="29">
      <dataBar showValue="1">
        <cfvo type="num" val="0"/>
        <cfvo type="num" val="1"/>
        <color rgb="009EC5F4"/>
      </dataBar>
    </cfRule>
  </conditionalFormatting>
  <conditionalFormatting sqref="J23:J31">
    <cfRule type="dataBar" priority="30">
      <dataBar showValue="1">
        <cfvo type="num" val="0"/>
        <cfvo type="num" val="1"/>
        <color rgb="00F2C4C3"/>
      </dataBar>
    </cfRule>
  </conditionalFormatting>
  <conditionalFormatting sqref="M23:M31">
    <cfRule type="expression" priority="31" dxfId="2">
      <formula>AND(ISNUMBER(M23),M23=0)</formula>
    </cfRule>
    <cfRule type="expression" priority="32" dxfId="4">
      <formula>AND(ISNUMBER(M23),M23&lt;1)</formula>
    </cfRule>
  </conditionalFormatting>
  <conditionalFormatting sqref="G36:G43">
    <cfRule type="expression" priority="33" dxfId="0">
      <formula>AND(ISNUMBER(G36),ISNUMBER(5),G36-5&gt;=1.0)</formula>
    </cfRule>
    <cfRule type="expression" priority="34" dxfId="1">
      <formula>AND(ISNUMBER(G36),ISNUMBER(5),G36-5&gt;=0.4)</formula>
    </cfRule>
    <cfRule type="expression" priority="35" dxfId="2">
      <formula>AND(ISNUMBER(G36),ISNUMBER(5),G36-5&lt;=-1.0)</formula>
    </cfRule>
    <cfRule type="expression" priority="36" dxfId="3">
      <formula>AND(ISNUMBER(G36),ISNUMBER(5),G36-5&lt;=-0.4)</formula>
    </cfRule>
  </conditionalFormatting>
  <conditionalFormatting sqref="H36:H43">
    <cfRule type="expression" priority="37" dxfId="0">
      <formula>AND(ISNUMBER(H36),ISNUMBER(0),H36-0&gt;=0.5)</formula>
    </cfRule>
    <cfRule type="expression" priority="38" dxfId="1">
      <formula>AND(ISNUMBER(H36),ISNUMBER(0),H36-0&gt;=0.2)</formula>
    </cfRule>
    <cfRule type="expression" priority="39" dxfId="2">
      <formula>AND(ISNUMBER(H36),ISNUMBER(0),H36-0&lt;=-0.5)</formula>
    </cfRule>
    <cfRule type="expression" priority="40" dxfId="3">
      <formula>AND(ISNUMBER(H36),ISNUMBER(0),H36-0&lt;=-0.2)</formula>
    </cfRule>
  </conditionalFormatting>
  <conditionalFormatting sqref="K36:K43">
    <cfRule type="expression" priority="41" dxfId="0">
      <formula>AND(ISNUMBER(K36),ISNUMBER($K$35),K36-$K$35&gt;=0.1)</formula>
    </cfRule>
    <cfRule type="expression" priority="42" dxfId="1">
      <formula>AND(ISNUMBER(K36),ISNUMBER($K$35),K36-$K$35&gt;=0.03)</formula>
    </cfRule>
    <cfRule type="expression" priority="43" dxfId="2">
      <formula>AND(ISNUMBER(K36),ISNUMBER($K$35),K36-$K$35&lt;=-0.1)</formula>
    </cfRule>
    <cfRule type="expression" priority="44" dxfId="3">
      <formula>AND(ISNUMBER(K36),ISNUMBER($K$35),K36-$K$35&lt;=-0.03)</formula>
    </cfRule>
  </conditionalFormatting>
  <conditionalFormatting sqref="I35:I43">
    <cfRule type="dataBar" priority="45">
      <dataBar showValue="1">
        <cfvo type="num" val="0"/>
        <cfvo type="num" val="1"/>
        <color rgb="009EC5F4"/>
      </dataBar>
    </cfRule>
  </conditionalFormatting>
  <conditionalFormatting sqref="J35:J43">
    <cfRule type="dataBar" priority="46">
      <dataBar showValue="1">
        <cfvo type="num" val="0"/>
        <cfvo type="num" val="1"/>
        <color rgb="00F2C4C3"/>
      </dataBar>
    </cfRule>
  </conditionalFormatting>
  <conditionalFormatting sqref="M35:M43">
    <cfRule type="expression" priority="47" dxfId="2">
      <formula>AND(ISNUMBER(M35),M35=0)</formula>
    </cfRule>
    <cfRule type="expression" priority="48" dxfId="4">
      <formula>AND(ISNUMBER(M35),M35&lt;1)</formula>
    </cfRule>
  </conditionalFormatting>
  <conditionalFormatting sqref="G48:G55">
    <cfRule type="expression" priority="49" dxfId="0">
      <formula>AND(ISNUMBER(G48),ISNUMBER(5),G48-5&gt;=1.0)</formula>
    </cfRule>
    <cfRule type="expression" priority="50" dxfId="1">
      <formula>AND(ISNUMBER(G48),ISNUMBER(5),G48-5&gt;=0.4)</formula>
    </cfRule>
    <cfRule type="expression" priority="51" dxfId="2">
      <formula>AND(ISNUMBER(G48),ISNUMBER(5),G48-5&lt;=-1.0)</formula>
    </cfRule>
    <cfRule type="expression" priority="52" dxfId="3">
      <formula>AND(ISNUMBER(G48),ISNUMBER(5),G48-5&lt;=-0.4)</formula>
    </cfRule>
  </conditionalFormatting>
  <conditionalFormatting sqref="H48:H55">
    <cfRule type="expression" priority="53" dxfId="0">
      <formula>AND(ISNUMBER(H48),ISNUMBER(0),H48-0&gt;=0.5)</formula>
    </cfRule>
    <cfRule type="expression" priority="54" dxfId="1">
      <formula>AND(ISNUMBER(H48),ISNUMBER(0),H48-0&gt;=0.2)</formula>
    </cfRule>
    <cfRule type="expression" priority="55" dxfId="2">
      <formula>AND(ISNUMBER(H48),ISNUMBER(0),H48-0&lt;=-0.5)</formula>
    </cfRule>
    <cfRule type="expression" priority="56" dxfId="3">
      <formula>AND(ISNUMBER(H48),ISNUMBER(0),H48-0&lt;=-0.2)</formula>
    </cfRule>
  </conditionalFormatting>
  <conditionalFormatting sqref="K48:K55">
    <cfRule type="expression" priority="57" dxfId="0">
      <formula>AND(ISNUMBER(K48),ISNUMBER($K$47),K48-$K$47&gt;=0.1)</formula>
    </cfRule>
    <cfRule type="expression" priority="58" dxfId="1">
      <formula>AND(ISNUMBER(K48),ISNUMBER($K$47),K48-$K$47&gt;=0.03)</formula>
    </cfRule>
    <cfRule type="expression" priority="59" dxfId="2">
      <formula>AND(ISNUMBER(K48),ISNUMBER($K$47),K48-$K$47&lt;=-0.1)</formula>
    </cfRule>
    <cfRule type="expression" priority="60" dxfId="3">
      <formula>AND(ISNUMBER(K48),ISNUMBER($K$47),K48-$K$47&lt;=-0.03)</formula>
    </cfRule>
  </conditionalFormatting>
  <conditionalFormatting sqref="I47:I55">
    <cfRule type="dataBar" priority="61">
      <dataBar showValue="1">
        <cfvo type="num" val="0"/>
        <cfvo type="num" val="1"/>
        <color rgb="009EC5F4"/>
      </dataBar>
    </cfRule>
  </conditionalFormatting>
  <conditionalFormatting sqref="J47:J55">
    <cfRule type="dataBar" priority="62">
      <dataBar showValue="1">
        <cfvo type="num" val="0"/>
        <cfvo type="num" val="1"/>
        <color rgb="00F2C4C3"/>
      </dataBar>
    </cfRule>
  </conditionalFormatting>
  <conditionalFormatting sqref="M47:M55">
    <cfRule type="expression" priority="63" dxfId="2">
      <formula>AND(ISNUMBER(M47),M47=0)</formula>
    </cfRule>
    <cfRule type="expression" priority="64" dxfId="4">
      <formula>AND(ISNUMBER(M47),M47&lt;1)</formula>
    </cfRule>
  </conditionalFormatting>
  <conditionalFormatting sqref="G60:G67">
    <cfRule type="expression" priority="65" dxfId="0">
      <formula>AND(ISNUMBER(G60),ISNUMBER(5),G60-5&gt;=1.0)</formula>
    </cfRule>
    <cfRule type="expression" priority="66" dxfId="1">
      <formula>AND(ISNUMBER(G60),ISNUMBER(5),G60-5&gt;=0.4)</formula>
    </cfRule>
    <cfRule type="expression" priority="67" dxfId="2">
      <formula>AND(ISNUMBER(G60),ISNUMBER(5),G60-5&lt;=-1.0)</formula>
    </cfRule>
    <cfRule type="expression" priority="68" dxfId="3">
      <formula>AND(ISNUMBER(G60),ISNUMBER(5),G60-5&lt;=-0.4)</formula>
    </cfRule>
  </conditionalFormatting>
  <conditionalFormatting sqref="H60:H67">
    <cfRule type="expression" priority="69" dxfId="0">
      <formula>AND(ISNUMBER(H60),ISNUMBER(0),H60-0&gt;=0.5)</formula>
    </cfRule>
    <cfRule type="expression" priority="70" dxfId="1">
      <formula>AND(ISNUMBER(H60),ISNUMBER(0),H60-0&gt;=0.2)</formula>
    </cfRule>
    <cfRule type="expression" priority="71" dxfId="2">
      <formula>AND(ISNUMBER(H60),ISNUMBER(0),H60-0&lt;=-0.5)</formula>
    </cfRule>
    <cfRule type="expression" priority="72" dxfId="3">
      <formula>AND(ISNUMBER(H60),ISNUMBER(0),H60-0&lt;=-0.2)</formula>
    </cfRule>
  </conditionalFormatting>
  <conditionalFormatting sqref="K60:K67">
    <cfRule type="expression" priority="73" dxfId="0">
      <formula>AND(ISNUMBER(K60),ISNUMBER($K$59),K60-$K$59&gt;=0.1)</formula>
    </cfRule>
    <cfRule type="expression" priority="74" dxfId="1">
      <formula>AND(ISNUMBER(K60),ISNUMBER($K$59),K60-$K$59&gt;=0.03)</formula>
    </cfRule>
    <cfRule type="expression" priority="75" dxfId="2">
      <formula>AND(ISNUMBER(K60),ISNUMBER($K$59),K60-$K$59&lt;=-0.1)</formula>
    </cfRule>
    <cfRule type="expression" priority="76" dxfId="3">
      <formula>AND(ISNUMBER(K60),ISNUMBER($K$59),K60-$K$59&lt;=-0.03)</formula>
    </cfRule>
  </conditionalFormatting>
  <conditionalFormatting sqref="I59:I67">
    <cfRule type="dataBar" priority="77">
      <dataBar showValue="1">
        <cfvo type="num" val="0"/>
        <cfvo type="num" val="1"/>
        <color rgb="009EC5F4"/>
      </dataBar>
    </cfRule>
  </conditionalFormatting>
  <conditionalFormatting sqref="J59:J67">
    <cfRule type="dataBar" priority="78">
      <dataBar showValue="1">
        <cfvo type="num" val="0"/>
        <cfvo type="num" val="1"/>
        <color rgb="00F2C4C3"/>
      </dataBar>
    </cfRule>
  </conditionalFormatting>
  <conditionalFormatting sqref="M59:M67">
    <cfRule type="expression" priority="79" dxfId="2">
      <formula>AND(ISNUMBER(M59),M59=0)</formula>
    </cfRule>
    <cfRule type="expression" priority="80" dxfId="4">
      <formula>AND(ISNUMBER(M59),M59&lt;1)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year group and a test. Colours compare each class with the whole year group: blue = above, red = below.</t>
        </is>
      </c>
    </row>
    <row r="4">
      <c r="B4" s="38" t="inlineStr">
        <is>
          <t>Year group</t>
        </is>
      </c>
      <c r="C4" s="39" t="inlineStr">
        <is>
          <t>Year 11</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106</v>
      </c>
      <c r="J5" s="19" t="n"/>
      <c r="K5" s="20">
        <f>IFERROR(dTestCount,0)</f>
        <v>6</v>
      </c>
      <c r="L5" s="19" t="n"/>
      <c r="M5" s="41">
        <f>IFERROR((COUNT(dRaw)+COUNTIF(dRaw,"A"))/dCount,"-")</f>
        <v>1</v>
      </c>
      <c r="N5" s="19" t="n"/>
      <c r="O5" s="41">
        <f>IFERROR(AVERAGE(dRaw)/dMax,"-")</f>
        <v>0.461470588235294</v>
      </c>
      <c r="P5" s="19" t="n"/>
      <c r="Q5" s="19" t="n"/>
    </row>
    <row r="6">
      <c r="B6" s="38" t="inlineStr">
        <is>
          <t>Test</t>
        </is>
      </c>
      <c r="C6" s="39" t="inlineStr">
        <is>
          <t>4P07 - Magnetism</t>
        </is>
      </c>
      <c r="D6" s="42" t="n"/>
      <c r="E6" s="42" t="n"/>
      <c r="F6" s="42" t="n"/>
      <c r="G6" s="40" t="n"/>
      <c r="I6" s="19" t="n"/>
      <c r="J6" s="19" t="n"/>
      <c r="K6" s="19" t="n"/>
      <c r="L6" s="19" t="n"/>
      <c r="M6" s="19" t="n"/>
      <c r="N6" s="19" t="n"/>
      <c r="O6" s="19" t="n"/>
      <c r="P6" s="19" t="n"/>
      <c r="Q6" s="19" t="n"/>
    </row>
    <row r="7">
      <c r="B7" s="38" t="inlineStr">
        <is>
          <t>Focus class (trend chart)</t>
        </is>
      </c>
      <c r="C7" s="39" t="inlineStr">
        <is>
          <t>11S/Sc1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4P07 - Magnetism   ·   out of 34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106</v>
      </c>
      <c r="E12" s="46">
        <f>IFERROR(IF(dHasTest,COUNT(dRaw),""),"")</f>
        <v>100</v>
      </c>
      <c r="F12" s="46">
        <f>IFERROR(COUNTIF(dRaw,"A"),"")</f>
        <v>6</v>
      </c>
      <c r="G12" s="46">
        <f>IFERROR(IF($D12="","",$D12-$E12-$F12),"")</f>
        <v>0</v>
      </c>
      <c r="H12" s="47">
        <f>IFERROR(IF(N($E12)=0,"",AVERAGE(dRaw)),"")</f>
        <v>15.69</v>
      </c>
      <c r="I12" s="48">
        <f>IFERROR(IF($H12="","",$H12/dMax),"")</f>
        <v>0.461470588235294</v>
      </c>
      <c r="J12" s="47">
        <f>IFERROR(IF(N($E12)=0,"",AVERAGE(dStn)),"")</f>
        <v>5.01</v>
      </c>
      <c r="K12" s="48">
        <f>IFERROR(IF(N($E12)=0,"",COUNTIFS(dStn,"&lt;=3")/$E12),"")</f>
        <v>0.23</v>
      </c>
      <c r="L12" s="48">
        <f>IFERROR(IF(N($E12)=0,"",COUNTIFS(dStn,"&gt;=4",dStn,"&lt;=6")/$E12),"")</f>
        <v>0.55</v>
      </c>
      <c r="M12" s="48">
        <f>IFERROR(IF(N($E12)=0,"",COUNTIFS(dStn,"&gt;=7")/$E12),"")</f>
        <v>0.22</v>
      </c>
      <c r="N12" s="45" t="n"/>
    </row>
    <row r="13">
      <c r="B13" s="31" t="str">
        <f>Calc!Y3</f>
        <v>11S/Sc1</v>
      </c>
      <c r="C13" s="32" t="str">
        <f>IFERROR(IF($B13="","",IFERROR(INDEX(tblTeachers[Teacher],MATCH(SelYear&amp;"|"&amp;$B13,tblTeachers[Key],0))&amp;"","")),"")</f>
        <v>Ms Rahman</v>
      </c>
      <c r="D13" s="33">
        <f>IFERROR(IF($B13="","",SUMPRODUCT(--((dClass)&amp;""=($B13)&amp;""))),"")</f>
        <v>28</v>
      </c>
      <c r="E13" s="33">
        <f>IFERROR(IF($B13="","",SUMPRODUCT(((dClass)&amp;""=($B13)&amp;"")*ISNUMBER(dRaw)*((dRaw)&gt;=0))),"")</f>
        <v>27</v>
      </c>
      <c r="F13" s="33">
        <f>IFERROR(IF($B13="","",SUMPRODUCT(((dClass)&amp;""=($B13)&amp;"")*((dRaw)&amp;""="A"))),"")</f>
        <v>1</v>
      </c>
      <c r="G13" s="33">
        <f>IFERROR(IF($D13="","",$D13-$E13-$F13),"")</f>
        <v>0</v>
      </c>
      <c r="H13" s="34">
        <f>IFERROR(IF(OR($B13="",N($E13)=0),"",SUMPRODUCT(((dClass)&amp;""=($B13)&amp;"")*ISNUMBER(dRaw),dRaw)/SUMPRODUCT(((dClass)&amp;""=($B13)&amp;"")*ISNUMBER(dRaw))),"")</f>
        <v>22.2592592592593</v>
      </c>
      <c r="I13" s="36">
        <f>IFERROR(IF($H13="","",$H13/dMax),"")</f>
        <v>0.654684095860566</v>
      </c>
      <c r="J13" s="34">
        <f>IFERROR(IF(OR($B13="",N($E13)=0),"",SUMPRODUCT(((dClass)&amp;""=($B13)&amp;"")*ISNUMBER(dStn),dStn)/SUMPRODUCT(((dClass)&amp;""=($B13)&amp;"")*ISNUMBER(dStn))),"")</f>
        <v>6.77777777777778</v>
      </c>
      <c r="K13" s="36">
        <f>IFERROR(IF(OR($B13="",N($E13)=0),"",SUMPRODUCT(((dClass)&amp;""=($B13)&amp;"")*ISNUMBER(dStn)*((dStn)&lt;=3))/$E13),"")</f>
        <v>0</v>
      </c>
      <c r="L13" s="36">
        <f>IFERROR(IF(OR($B13="",N($E13)=0),"",SUMPRODUCT(((dClass)&amp;""=($B13)&amp;"")*ISNUMBER(dStn)*((dStn)&gt;=4)*((dStn)&lt;=6))/$E13),"")</f>
        <v>0.444444444444444</v>
      </c>
      <c r="M13" s="36">
        <f>IFERROR(IF(OR($B13="",N($E13)=0),"",SUMPRODUCT(((dClass)&amp;""=($B13)&amp;"")*ISNUMBER(dStn)*((dStn)&gt;=7))/$E13),"")</f>
        <v>0.555555555555556</v>
      </c>
      <c r="N13" s="49">
        <f>IFERROR(IF(OR($I13="",$I$12=""),"",($I13-$I$12)*100),"")</f>
        <v>19.3213507625272</v>
      </c>
    </row>
    <row r="14">
      <c r="B14" s="31" t="str">
        <f>Calc!Y4</f>
        <v>11S/Sc2</v>
      </c>
      <c r="C14" s="32" t="str">
        <f>IFERROR(IF($B14="","",IFERROR(INDEX(tblTeachers[Teacher],MATCH(SelYear&amp;"|"&amp;$B14,tblTeachers[Key],0))&amp;"","")),"")</f>
        <v>Mrs Evans</v>
      </c>
      <c r="D14" s="33">
        <f>IFERROR(IF($B14="","",SUMPRODUCT(--((dClass)&amp;""=($B14)&amp;""))),"")</f>
        <v>26</v>
      </c>
      <c r="E14" s="33">
        <f>IFERROR(IF($B14="","",SUMPRODUCT(((dClass)&amp;""=($B14)&amp;"")*ISNUMBER(dRaw)*((dRaw)&gt;=0))),"")</f>
        <v>24</v>
      </c>
      <c r="F14" s="33">
        <f>IFERROR(IF($B14="","",SUMPRODUCT(((dClass)&amp;""=($B14)&amp;"")*((dRaw)&amp;""="A"))),"")</f>
        <v>2</v>
      </c>
      <c r="G14" s="33">
        <f>IFERROR(IF($D14="","",$D14-$E14-$F14),"")</f>
        <v>0</v>
      </c>
      <c r="H14" s="34">
        <f>IFERROR(IF(OR($B14="",N($E14)=0),"",SUMPRODUCT(((dClass)&amp;""=($B14)&amp;"")*ISNUMBER(dRaw),dRaw)/SUMPRODUCT(((dClass)&amp;""=($B14)&amp;"")*ISNUMBER(dRaw))),"")</f>
        <v>16.0833333333333</v>
      </c>
      <c r="I14" s="36">
        <f>IFERROR(IF($H14="","",$H14/dMax),"")</f>
        <v>0.473039215686275</v>
      </c>
      <c r="J14" s="34">
        <f>IFERROR(IF(OR($B14="",N($E14)=0),"",SUMPRODUCT(((dClass)&amp;""=($B14)&amp;"")*ISNUMBER(dStn),dStn)/SUMPRODUCT(((dClass)&amp;""=($B14)&amp;"")*ISNUMBER(dStn))),"")</f>
        <v>5.125</v>
      </c>
      <c r="K14" s="36">
        <f>IFERROR(IF(OR($B14="",N($E14)=0),"",SUMPRODUCT(((dClass)&amp;""=($B14)&amp;"")*ISNUMBER(dStn)*((dStn)&lt;=3))/$E14),"")</f>
        <v>0.0833333333333333</v>
      </c>
      <c r="L14" s="36">
        <f>IFERROR(IF(OR($B14="",N($E14)=0),"",SUMPRODUCT(((dClass)&amp;""=($B14)&amp;"")*ISNUMBER(dStn)*((dStn)&gt;=4)*((dStn)&lt;=6))/$E14),"")</f>
        <v>0.833333333333333</v>
      </c>
      <c r="M14" s="36">
        <f>IFERROR(IF(OR($B14="",N($E14)=0),"",SUMPRODUCT(((dClass)&amp;""=($B14)&amp;"")*ISNUMBER(dStn)*((dStn)&gt;=7))/$E14),"")</f>
        <v>0.0833333333333333</v>
      </c>
      <c r="N14" s="49">
        <f>IFERROR(IF(OR($I14="",$I$12=""),"",($I14-$I$12)*100),"")</f>
        <v>1.15686274509804</v>
      </c>
    </row>
    <row r="15">
      <c r="B15" s="31" t="str">
        <f>Calc!Y5</f>
        <v>11S/Sc3</v>
      </c>
      <c r="C15" s="32" t="str">
        <f>IFERROR(IF($B15="","",IFERROR(INDEX(tblTeachers[Teacher],MATCH(SelYear&amp;"|"&amp;$B15,tblTeachers[Key],0))&amp;"","")),"")</f>
        <v>Mr Owen</v>
      </c>
      <c r="D15" s="33">
        <f>IFERROR(IF($B15="","",SUMPRODUCT(--((dClass)&amp;""=($B15)&amp;""))),"")</f>
        <v>21</v>
      </c>
      <c r="E15" s="33">
        <f>IFERROR(IF($B15="","",SUMPRODUCT(((dClass)&amp;""=($B15)&amp;"")*ISNUMBER(dRaw)*((dRaw)&gt;=0))),"")</f>
        <v>20</v>
      </c>
      <c r="F15" s="33">
        <f>IFERROR(IF($B15="","",SUMPRODUCT(((dClass)&amp;""=($B15)&amp;"")*((dRaw)&amp;""="A"))),"")</f>
        <v>1</v>
      </c>
      <c r="G15" s="33">
        <f>IFERROR(IF($D15="","",$D15-$E15-$F15),"")</f>
        <v>0</v>
      </c>
      <c r="H15" s="34">
        <f>IFERROR(IF(OR($B15="",N($E15)=0),"",SUMPRODUCT(((dClass)&amp;""=($B15)&amp;"")*ISNUMBER(dRaw),dRaw)/SUMPRODUCT(((dClass)&amp;""=($B15)&amp;"")*ISNUMBER(dRaw))),"")</f>
        <v>14.85</v>
      </c>
      <c r="I15" s="36">
        <f>IFERROR(IF($H15="","",$H15/dMax),"")</f>
        <v>0.436764705882353</v>
      </c>
      <c r="J15" s="34">
        <f>IFERROR(IF(OR($B15="",N($E15)=0),"",SUMPRODUCT(((dClass)&amp;""=($B15)&amp;"")*ISNUMBER(dStn),dStn)/SUMPRODUCT(((dClass)&amp;""=($B15)&amp;"")*ISNUMBER(dStn))),"")</f>
        <v>4.85</v>
      </c>
      <c r="K15" s="36">
        <f>IFERROR(IF(OR($B15="",N($E15)=0),"",SUMPRODUCT(((dClass)&amp;""=($B15)&amp;"")*ISNUMBER(dStn)*((dStn)&lt;=3))/$E15),"")</f>
        <v>0.3</v>
      </c>
      <c r="L15" s="36">
        <f>IFERROR(IF(OR($B15="",N($E15)=0),"",SUMPRODUCT(((dClass)&amp;""=($B15)&amp;"")*ISNUMBER(dStn)*((dStn)&gt;=4)*((dStn)&lt;=6))/$E15),"")</f>
        <v>0.45</v>
      </c>
      <c r="M15" s="36">
        <f>IFERROR(IF(OR($B15="",N($E15)=0),"",SUMPRODUCT(((dClass)&amp;""=($B15)&amp;"")*ISNUMBER(dStn)*((dStn)&gt;=7))/$E15),"")</f>
        <v>0.25</v>
      </c>
      <c r="N15" s="49">
        <f>IFERROR(IF(OR($I15="",$I$12=""),"",($I15-$I$12)*100),"")</f>
        <v>-2.47058823529411</v>
      </c>
    </row>
    <row r="16">
      <c r="B16" s="31" t="str">
        <f>Calc!Y6</f>
        <v>11S/Sc4</v>
      </c>
      <c r="C16" s="32" t="str">
        <f>IFERROR(IF($B16="","",IFERROR(INDEX(tblTeachers[Teacher],MATCH(SelYear&amp;"|"&amp;$B16,tblTeachers[Key],0))&amp;"","")),"")</f>
        <v>Mrs Singh</v>
      </c>
      <c r="D16" s="33">
        <f>IFERROR(IF($B16="","",SUMPRODUCT(--((dClass)&amp;""=($B16)&amp;""))),"")</f>
        <v>13</v>
      </c>
      <c r="E16" s="33">
        <f>IFERROR(IF($B16="","",SUMPRODUCT(((dClass)&amp;""=($B16)&amp;"")*ISNUMBER(dRaw)*((dRaw)&gt;=0))),"")</f>
        <v>12</v>
      </c>
      <c r="F16" s="33">
        <f>IFERROR(IF($B16="","",SUMPRODUCT(((dClass)&amp;""=($B16)&amp;"")*((dRaw)&amp;""="A"))),"")</f>
        <v>1</v>
      </c>
      <c r="G16" s="33">
        <f>IFERROR(IF($D16="","",$D16-$E16-$F16),"")</f>
        <v>0</v>
      </c>
      <c r="H16" s="34">
        <f>IFERROR(IF(OR($B16="",N($E16)=0),"",SUMPRODUCT(((dClass)&amp;""=($B16)&amp;"")*ISNUMBER(dRaw),dRaw)/SUMPRODUCT(((dClass)&amp;""=($B16)&amp;"")*ISNUMBER(dRaw))),"")</f>
        <v>11.6666666666667</v>
      </c>
      <c r="I16" s="36">
        <f>IFERROR(IF($H16="","",$H16/dMax),"")</f>
        <v>0.343137254901961</v>
      </c>
      <c r="J16" s="34">
        <f>IFERROR(IF(OR($B16="",N($E16)=0),"",SUMPRODUCT(((dClass)&amp;""=($B16)&amp;"")*ISNUMBER(dStn),dStn)/SUMPRODUCT(((dClass)&amp;""=($B16)&amp;"")*ISNUMBER(dStn))),"")</f>
        <v>3.91666666666667</v>
      </c>
      <c r="K16" s="36">
        <f>IFERROR(IF(OR($B16="",N($E16)=0),"",SUMPRODUCT(((dClass)&amp;""=($B16)&amp;"")*ISNUMBER(dStn)*((dStn)&lt;=3))/$E16),"")</f>
        <v>0.333333333333333</v>
      </c>
      <c r="L16" s="36">
        <f>IFERROR(IF(OR($B16="",N($E16)=0),"",SUMPRODUCT(((dClass)&amp;""=($B16)&amp;"")*ISNUMBER(dStn)*((dStn)&gt;=4)*((dStn)&lt;=6))/$E16),"")</f>
        <v>0.666666666666667</v>
      </c>
      <c r="M16" s="36">
        <f>IFERROR(IF(OR($B16="",N($E16)=0),"",SUMPRODUCT(((dClass)&amp;""=($B16)&amp;"")*ISNUMBER(dStn)*((dStn)&gt;=7))/$E16),"")</f>
        <v>0</v>
      </c>
      <c r="N16" s="49">
        <f>IFERROR(IF(OR($I16="",$I$12=""),"",($I16-$I$12)*100),"")</f>
        <v>-11.8333333333333</v>
      </c>
    </row>
    <row r="17">
      <c r="B17" s="31" t="str">
        <f>Calc!Y7</f>
        <v>11S/Sc5</v>
      </c>
      <c r="C17" s="32" t="str">
        <f>IFERROR(IF($B17="","",IFERROR(INDEX(tblTeachers[Teacher],MATCH(SelYear&amp;"|"&amp;$B17,tblTeachers[Key],0))&amp;"","")),"")</f>
        <v>Ms Novak</v>
      </c>
      <c r="D17" s="33">
        <f>IFERROR(IF($B17="","",SUMPRODUCT(--((dClass)&amp;""=($B17)&amp;""))),"")</f>
        <v>13</v>
      </c>
      <c r="E17" s="33">
        <f>IFERROR(IF($B17="","",SUMPRODUCT(((dClass)&amp;""=($B17)&amp;"")*ISNUMBER(dRaw)*((dRaw)&gt;=0))),"")</f>
        <v>12</v>
      </c>
      <c r="F17" s="33">
        <f>IFERROR(IF($B17="","",SUMPRODUCT(((dClass)&amp;""=($B17)&amp;"")*((dRaw)&amp;""="A"))),"")</f>
        <v>1</v>
      </c>
      <c r="G17" s="33">
        <f>IFERROR(IF($D17="","",$D17-$E17-$F17),"")</f>
        <v>0</v>
      </c>
      <c r="H17" s="34">
        <f>IFERROR(IF(OR($B17="",N($E17)=0),"",SUMPRODUCT(((dClass)&amp;""=($B17)&amp;"")*ISNUMBER(dRaw),dRaw)/SUMPRODUCT(((dClass)&amp;""=($B17)&amp;"")*ISNUMBER(dRaw))),"")</f>
        <v>9.41666666666667</v>
      </c>
      <c r="I17" s="36">
        <f>IFERROR(IF($H17="","",$H17/dMax),"")</f>
        <v>0.276960784313725</v>
      </c>
      <c r="J17" s="34">
        <f>IFERROR(IF(OR($B17="",N($E17)=0),"",SUMPRODUCT(((dClass)&amp;""=($B17)&amp;"")*ISNUMBER(dStn),dStn)/SUMPRODUCT(((dClass)&amp;""=($B17)&amp;"")*ISNUMBER(dStn))),"")</f>
        <v>3.25</v>
      </c>
      <c r="K17" s="36">
        <f>IFERROR(IF(OR($B17="",N($E17)=0),"",SUMPRODUCT(((dClass)&amp;""=($B17)&amp;"")*ISNUMBER(dStn)*((dStn)&lt;=3))/$E17),"")</f>
        <v>0.583333333333333</v>
      </c>
      <c r="L17" s="36">
        <f>IFERROR(IF(OR($B17="",N($E17)=0),"",SUMPRODUCT(((dClass)&amp;""=($B17)&amp;"")*ISNUMBER(dStn)*((dStn)&gt;=4)*((dStn)&lt;=6))/$E17),"")</f>
        <v>0.416666666666667</v>
      </c>
      <c r="M17" s="36">
        <f>IFERROR(IF(OR($B17="",N($E17)=0),"",SUMPRODUCT(((dClass)&amp;""=($B17)&amp;"")*ISNUMBER(dStn)*((dStn)&gt;=7))/$E17),"")</f>
        <v>0</v>
      </c>
      <c r="N17" s="49">
        <f>IFERROR(IF(OR($I17="",$I$12=""),"",($I17-$I$12)*100),"")</f>
        <v>-18.4509803921569</v>
      </c>
    </row>
    <row r="18">
      <c r="B18" s="31" t="str">
        <f>Calc!Y8</f>
        <v>Science Support</v>
      </c>
      <c r="C18" s="32" t="str">
        <f>IFERROR(IF($B18="","",IFERROR(INDEX(tblTeachers[Teacher],MATCH(SelYear&amp;"|"&amp;$B18,tblTeachers[Key],0))&amp;"","")),"")</f>
        <v>Ms Novak</v>
      </c>
      <c r="D18" s="33">
        <f>IFERROR(IF($B18="","",SUMPRODUCT(--((dClass)&amp;""=($B18)&amp;""))),"")</f>
        <v>5</v>
      </c>
      <c r="E18" s="33">
        <f>IFERROR(IF($B18="","",SUMPRODUCT(((dClass)&amp;""=($B18)&amp;"")*ISNUMBER(dRaw)*((dRaw)&gt;=0))),"")</f>
        <v>5</v>
      </c>
      <c r="F18" s="33">
        <f>IFERROR(IF($B18="","",SUMPRODUCT(((dClass)&amp;""=($B18)&amp;"")*((dRaw)&amp;""="A"))),"")</f>
        <v>0</v>
      </c>
      <c r="G18" s="33">
        <f>IFERROR(IF($D18="","",$D18-$E18-$F18),"")</f>
        <v>0</v>
      </c>
      <c r="H18" s="34">
        <f>IFERROR(IF(OR($B18="",N($E18)=0),"",SUMPRODUCT(((dClass)&amp;""=($B18)&amp;"")*ISNUMBER(dRaw),dRaw)/SUMPRODUCT(((dClass)&amp;""=($B18)&amp;"")*ISNUMBER(dRaw))),"")</f>
        <v>6.4</v>
      </c>
      <c r="I18" s="36">
        <f>IFERROR(IF($H18="","",$H18/dMax),"")</f>
        <v>0.188235294117647</v>
      </c>
      <c r="J18" s="34">
        <f>IFERROR(IF(OR($B18="",N($E18)=0),"",SUMPRODUCT(((dClass)&amp;""=($B18)&amp;"")*ISNUMBER(dStn),dStn)/SUMPRODUCT(((dClass)&amp;""=($B18)&amp;"")*ISNUMBER(dStn))),"")</f>
        <v>2.4</v>
      </c>
      <c r="K18" s="36">
        <f>IFERROR(IF(OR($B18="",N($E18)=0),"",SUMPRODUCT(((dClass)&amp;""=($B18)&amp;"")*ISNUMBER(dStn)*((dStn)&lt;=3))/$E18),"")</f>
        <v>0.8</v>
      </c>
      <c r="L18" s="36">
        <f>IFERROR(IF(OR($B18="",N($E18)=0),"",SUMPRODUCT(((dClass)&amp;""=($B18)&amp;"")*ISNUMBER(dStn)*((dStn)&gt;=4)*((dStn)&lt;=6))/$E18),"")</f>
        <v>0.2</v>
      </c>
      <c r="M18" s="36">
        <f>IFERROR(IF(OR($B18="",N($E18)=0),"",SUMPRODUCT(((dClass)&amp;""=($B18)&amp;"")*ISNUMBER(dStn)*((dStn)&gt;=7))/$E18),"")</f>
        <v>0</v>
      </c>
      <c r="N18" s="49">
        <f>IFERROR(IF(OR($I18="",$I$12=""),"",($I18-$I$12)*100),"")</f>
        <v>-27.3235294117647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2</v>
      </c>
      <c r="D25" s="33">
        <f>IFERROR(COUNTIF(dStn,2),"")</f>
        <v>12</v>
      </c>
      <c r="E25" s="33">
        <f>IFERROR(COUNTIF(dStn,3),"")</f>
        <v>9</v>
      </c>
      <c r="F25" s="33">
        <f>IFERROR(COUNTIF(dStn,4),"")</f>
        <v>16</v>
      </c>
      <c r="G25" s="33">
        <f>IFERROR(COUNTIF(dStn,5),"")</f>
        <v>23</v>
      </c>
      <c r="H25" s="33">
        <f>IFERROR(COUNTIF(dStn,6),"")</f>
        <v>16</v>
      </c>
      <c r="I25" s="33">
        <f>IFERROR(COUNTIF(dStn,7),"")</f>
        <v>8</v>
      </c>
      <c r="J25" s="33">
        <f>IFERROR(COUNTIF(dStn,8),"")</f>
        <v>9</v>
      </c>
      <c r="K25" s="33">
        <f>IFERROR(COUNTIF(dStn,9),"")</f>
        <v>5</v>
      </c>
    </row>
    <row r="26">
      <c r="B26" s="38" t="inlineStr">
        <is>
          <t>% of those who sat</t>
        </is>
      </c>
      <c r="C26" s="36">
        <f>IFERROR(COUNTIF(dStn,1)/COUNT(dStn),"")</f>
        <v>0.02</v>
      </c>
      <c r="D26" s="36">
        <f>IFERROR(COUNTIF(dStn,2)/COUNT(dStn),"")</f>
        <v>0.12</v>
      </c>
      <c r="E26" s="36">
        <f>IFERROR(COUNTIF(dStn,3)/COUNT(dStn),"")</f>
        <v>0.09</v>
      </c>
      <c r="F26" s="36">
        <f>IFERROR(COUNTIF(dStn,4)/COUNT(dStn),"")</f>
        <v>0.16</v>
      </c>
      <c r="G26" s="36">
        <f>IFERROR(COUNTIF(dStn,5)/COUNT(dStn),"")</f>
        <v>0.23</v>
      </c>
      <c r="H26" s="36">
        <f>IFERROR(COUNTIF(dStn,6)/COUNT(dStn),"")</f>
        <v>0.16</v>
      </c>
      <c r="I26" s="36">
        <f>IFERROR(COUNTIF(dStn,7)/COUNT(dStn),"")</f>
        <v>0.08</v>
      </c>
      <c r="J26" s="36">
        <f>IFERROR(COUNTIF(dStn,8)/COUNT(dStn),"")</f>
        <v>0.09</v>
      </c>
      <c r="K26" s="36">
        <f>IFERROR(COUNTIF(dStn,9)/COUNT(dStn),"")</f>
        <v>0.05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33</v>
      </c>
      <c r="D32" s="33">
        <f>IFERROR((COUNTIFS(dPP,"Y",dRaw,"&gt;=0")),"")</f>
        <v>30</v>
      </c>
      <c r="E32" s="36">
        <f>IFERROR(IF((COUNTIFS(dPP,"Y",dRaw,"&gt;=0"))=0,"",(SUMIFS(dRaw,dPP,"Y"))/(COUNTIFS(dPP,"Y",dRaw,"&gt;=0"))/dMax),"")</f>
        <v>0.458823529411765</v>
      </c>
      <c r="F32" s="34">
        <f>IFERROR(IF((COUNTIFS(dPP,"Y",dRaw,"&gt;=0"))=0,"",(SUMIFS(dStn,dPP,"Y"))/(COUNTIFS(dPP,"Y",dStn,"&gt;=1"))),"")</f>
        <v>4.93333333333333</v>
      </c>
      <c r="G32" s="34">
        <f>IFERROR((SUMIFS(dMean,dPP,"Y"))/(COUNTIFS(dPP,"Y",dMean,"&gt;=1")),"")</f>
        <v>4.76161616161616</v>
      </c>
      <c r="H32" s="35">
        <f>IFERROR((SUMIFS(dVs,dPP,"Y"))/(COUNTIFS(dPP,"Y",dVs,"&gt;=-99")),"")</f>
        <v>-0.145696576151121</v>
      </c>
    </row>
    <row r="33">
      <c r="B33" s="31" t="inlineStr">
        <is>
          <t>Not disadvantaged</t>
        </is>
      </c>
      <c r="C33" s="33">
        <f>IFERROR((dCount-(COUNTIFS(dPP,"Y"))),"")</f>
        <v>73</v>
      </c>
      <c r="D33" s="33">
        <f>IFERROR((COUNT(dRaw)-(COUNTIFS(dPP,"Y",dRaw,"&gt;=0"))),"")</f>
        <v>70</v>
      </c>
      <c r="E33" s="36">
        <f>IFERROR(IF((COUNT(dRaw)-(COUNTIFS(dPP,"Y",dRaw,"&gt;=0")))=0,"",(SUM(dRaw)-(SUMIFS(dRaw,dPP,"Y")))/(COUNT(dRaw)-(COUNTIFS(dPP,"Y",dRaw,"&gt;=0")))/dMax),"")</f>
        <v>0.462605042016807</v>
      </c>
      <c r="F33" s="34">
        <f>IFERROR(IF((COUNT(dRaw)-(COUNTIFS(dPP,"Y",dRaw,"&gt;=0")))=0,"",(SUM(dStn)-(SUMIFS(dStn,dPP,"Y")))/(COUNT(dStn)-(COUNTIFS(dPP,"Y",dStn,"&gt;=1")))),"")</f>
        <v>5.04285714285714</v>
      </c>
      <c r="G33" s="34">
        <f>IFERROR((SUM(dMean)-(SUMIFS(dMean,dPP,"Y")))/(COUNT(dMean)-(COUNTIFS(dPP,"Y",dMean,"&gt;=1"))),"")</f>
        <v>5.06712328767123</v>
      </c>
      <c r="H33" s="35">
        <f>IFERROR((SUM(dVs)-(SUMIFS(dVs,dPP,"Y")))/(COUNT(dVs)-(COUNTIFS(dPP,"Y",dVs,"&gt;=-99"))),"")</f>
        <v>0.0667775974025979</v>
      </c>
    </row>
    <row r="34">
      <c r="B34" s="52" t="inlineStr">
        <is>
          <t>Gap: PP minus not PP</t>
        </is>
      </c>
      <c r="C34" s="53" t="n"/>
      <c r="D34" s="53" t="n"/>
      <c r="E34" s="54">
        <f>IFERROR(IF(OR($E32="",$E33=""),"",($E32-$E33)*100),"")</f>
        <v>-0.3781512605042</v>
      </c>
      <c r="F34" s="55">
        <f>IFERROR(IF(OR($F32="",$F33=""),"",$F32-$F33),"")</f>
        <v>-0.109523809523809</v>
      </c>
      <c r="G34" s="55">
        <f>IFERROR(IF(OR($G32="",$G33=""),"",$G32-$G33),"")</f>
        <v>-0.305507126055073</v>
      </c>
      <c r="H34" s="55">
        <f>IFERROR(IF(OR($H32="",$H33=""),"",$H32-$H33),"")</f>
        <v>-0.212474173553719</v>
      </c>
    </row>
    <row r="35">
      <c r="B35" s="31" t="inlineStr">
        <is>
          <t>SEN support or EHCP (K, E)</t>
        </is>
      </c>
      <c r="C35" s="33">
        <f>IFERROR((COUNTIFS(dSEN,"K")+COUNTIFS(dSEN,"E")),"")</f>
        <v>19</v>
      </c>
      <c r="D35" s="33">
        <f>IFERROR((COUNTIFS(dSEN,"K",dRaw,"&gt;=0")+COUNTIFS(dSEN,"E",dRaw,"&gt;=0")),"")</f>
        <v>18</v>
      </c>
      <c r="E35" s="36">
        <f>IFERROR(IF((COUNTIFS(dSEN,"K",dRaw,"&gt;=0")+COUNTIFS(dSEN,"E",dRaw,"&gt;=0"))=0,"",(SUMIFS(dRaw,dSEN,"K")+SUMIFS(dRaw,dSEN,"E"))/(COUNTIFS(dSEN,"K",dRaw,"&gt;=0")+COUNTIFS(dSEN,"E",dRaw,"&gt;=0"))/dMax),"")</f>
        <v>0.36437908496732</v>
      </c>
      <c r="F35" s="34">
        <f>IFERROR(IF((COUNTIFS(dSEN,"K",dRaw,"&gt;=0")+COUNTIFS(dSEN,"E",dRaw,"&gt;=0"))=0,"",(SUMIFS(dStn,dSEN,"K")+SUMIFS(dStn,dSEN,"E"))/(COUNTIFS(dSEN,"K",dStn,"&gt;=1")+COUNTIFS(dSEN,"E",dStn,"&gt;=1"))),"")</f>
        <v>4.27777777777778</v>
      </c>
      <c r="G35" s="34">
        <f>IFERROR((SUMIFS(dMean,dSEN,"K")+SUMIFS(dMean,dSEN,"E"))/(COUNTIFS(dSEN,"K",dMean,"&gt;=1")+COUNTIFS(dSEN,"E",dMean,"&gt;=1")),"")</f>
        <v>4.11052631578947</v>
      </c>
      <c r="H35" s="35">
        <f>IFERROR((SUMIFS(dVs,dSEN,"K")+SUMIFS(dVs,dSEN,"E"))/(COUNTIFS(dSEN,"K",dVs,"&gt;=-99")+COUNTIFS(dSEN,"E",dVs,"&gt;=-99")),"")</f>
        <v>-0.545059523809523</v>
      </c>
    </row>
    <row r="36">
      <c r="B36" s="31" t="inlineStr">
        <is>
          <t>No SEN support (N or blank)</t>
        </is>
      </c>
      <c r="C36" s="33">
        <f>IFERROR((dCount-(COUNTIFS(dSEN,"K")+COUNTIFS(dSEN,"E"))),"")</f>
        <v>87</v>
      </c>
      <c r="D36" s="33">
        <f>IFERROR((COUNT(dRaw)-(COUNTIFS(dSEN,"K",dRaw,"&gt;=0")+COUNTIFS(dSEN,"E",dRaw,"&gt;=0"))),"")</f>
        <v>82</v>
      </c>
      <c r="E36" s="36">
        <f>IFERROR(IF((COUNT(dRaw)-(COUNTIFS(dSEN,"K",dRaw,"&gt;=0")+COUNTIFS(dSEN,"E",dRaw,"&gt;=0")))=0,"",(SUM(dRaw)-(SUMIFS(dRaw,dSEN,"K")+SUMIFS(dRaw,dSEN,"E")))/(COUNT(dRaw)-(COUNTIFS(dSEN,"K",dRaw,"&gt;=0")+COUNTIFS(dSEN,"E",dRaw,"&gt;=0")))/dMax),"")</f>
        <v>0.482783357245337</v>
      </c>
      <c r="F36" s="34">
        <f>IFERROR(IF((COUNT(dRaw)-(COUNTIFS(dSEN,"K",dRaw,"&gt;=0")+COUNTIFS(dSEN,"E",dRaw,"&gt;=0")))=0,"",(SUM(dStn)-(SUMIFS(dStn,dSEN,"K")+SUMIFS(dStn,dSEN,"E")))/(COUNT(dStn)-(COUNTIFS(dSEN,"K",dStn,"&gt;=1")+COUNTIFS(dSEN,"E",dStn,"&gt;=1")))),"")</f>
        <v>5.17073170731707</v>
      </c>
      <c r="G36" s="34">
        <f>IFERROR((SUM(dMean)-(SUMIFS(dMean,dSEN,"K")+SUMIFS(dMean,dSEN,"E")))/(COUNT(dMean)-(COUNTIFS(dSEN,"K",dMean,"&gt;=1")+COUNTIFS(dSEN,"E",dMean,"&gt;=1"))),"")</f>
        <v>5.16015325670498</v>
      </c>
      <c r="H36" s="35">
        <f>IFERROR((SUM(dVs)-(SUMIFS(dVs,dSEN,"K")+SUMIFS(dVs,dSEN,"E")))/(COUNT(dVs)-(COUNTIFS(dSEN,"K",dVs,"&gt;=-99")+COUNTIFS(dSEN,"E",dVs,"&gt;=-99"))),"")</f>
        <v>0.112770935960592</v>
      </c>
    </row>
    <row r="37">
      <c r="B37" s="52" t="inlineStr">
        <is>
          <t>Gap: SEN minus no SEN</t>
        </is>
      </c>
      <c r="C37" s="53" t="n"/>
      <c r="D37" s="53" t="n"/>
      <c r="E37" s="54">
        <f>IFERROR(IF(OR($E35="",$E36=""),"",($E35-$E36)*100),"")</f>
        <v>-11.8404272278017</v>
      </c>
      <c r="F37" s="55">
        <f>IFERROR(IF(OR($F35="",$F36=""),"",$F35-$F36),"")</f>
        <v>-0.892953929539296</v>
      </c>
      <c r="G37" s="55">
        <f>IFERROR(IF(OR($G35="",$G36=""),"",$G35-$G36),"")</f>
        <v>-1.04962694091551</v>
      </c>
      <c r="H37" s="55">
        <f>IFERROR(IF(OR($H35="",$H36=""),"",$H35-$H36),"")</f>
        <v>-0.657830459770115</v>
      </c>
    </row>
    <row r="38">
      <c r="B38" s="31" t="inlineStr">
        <is>
          <t>Female</t>
        </is>
      </c>
      <c r="C38" s="33">
        <f>IFERROR((COUNTIFS(dSex,"F")),"")</f>
        <v>54</v>
      </c>
      <c r="D38" s="33">
        <f>IFERROR((COUNTIFS(dSex,"F",dRaw,"&gt;=0")),"")</f>
        <v>52</v>
      </c>
      <c r="E38" s="36">
        <f>IFERROR(IF((COUNTIFS(dSex,"F",dRaw,"&gt;=0"))=0,"",(SUMIFS(dRaw,dSex,"F"))/(COUNTIFS(dSex,"F",dRaw,"&gt;=0"))/dMax),"")</f>
        <v>0.455316742081448</v>
      </c>
      <c r="F38" s="34">
        <f>IFERROR(IF((COUNTIFS(dSex,"F",dRaw,"&gt;=0"))=0,"",(SUMIFS(dStn,dSex,"F"))/(COUNTIFS(dSex,"F",dStn,"&gt;=1"))),"")</f>
        <v>4.92307692307692</v>
      </c>
      <c r="G38" s="34">
        <f>IFERROR((SUMIFS(dMean,dSex,"F"))/(COUNTIFS(dSex,"F",dMean,"&gt;=1")),"")</f>
        <v>4.91728395061729</v>
      </c>
      <c r="H38" s="35">
        <f>IFERROR((SUMIFS(dVs,dSex,"F"))/(COUNTIFS(dSex,"F",dVs,"&gt;=-99")),"")</f>
        <v>-0.0770179974346636</v>
      </c>
    </row>
    <row r="39">
      <c r="B39" s="31" t="inlineStr">
        <is>
          <t>Male</t>
        </is>
      </c>
      <c r="C39" s="33">
        <f>IFERROR((COUNTIFS(dSex,"M")),"")</f>
        <v>52</v>
      </c>
      <c r="D39" s="33">
        <f>IFERROR((COUNTIFS(dSex,"M",dRaw,"&gt;=0")),"")</f>
        <v>48</v>
      </c>
      <c r="E39" s="36">
        <f>IFERROR(IF((COUNTIFS(dSex,"M",dRaw,"&gt;=0"))=0,"",(SUMIFS(dRaw,dSex,"M"))/(COUNTIFS(dSex,"M",dRaw,"&gt;=0"))/dMax),"")</f>
        <v>0.468137254901961</v>
      </c>
      <c r="F39" s="34">
        <f>IFERROR(IF((COUNTIFS(dSex,"M",dRaw,"&gt;=0"))=0,"",(SUMIFS(dStn,dSex,"M"))/(COUNTIFS(dSex,"M",dStn,"&gt;=1"))),"")</f>
        <v>5.10416666666667</v>
      </c>
      <c r="G39" s="34">
        <f>IFERROR((SUMIFS(dMean,dSex,"M"))/(COUNTIFS(dSex,"M",dMean,"&gt;=1")),"")</f>
        <v>5.02884615384615</v>
      </c>
      <c r="H39" s="35">
        <f>IFERROR((SUMIFS(dVs,dSex,"M"))/(COUNTIFS(dSex,"M",dVs,"&gt;=-99")),"")</f>
        <v>0.0815484678719978</v>
      </c>
    </row>
    <row r="40">
      <c r="B40" s="52" t="inlineStr">
        <is>
          <t>Gap: female minus male</t>
        </is>
      </c>
      <c r="C40" s="53" t="n"/>
      <c r="D40" s="53" t="n"/>
      <c r="E40" s="54">
        <f>IFERROR(IF(OR($E38="",$E39=""),"",($E38-$E39)*100),"")</f>
        <v>-1.28205128205128</v>
      </c>
      <c r="F40" s="55">
        <f>IFERROR(IF(OR($F38="",$F39=""),"",$F38-$F39),"")</f>
        <v>-0.181089743589744</v>
      </c>
      <c r="G40" s="55">
        <f>IFERROR(IF(OR($G38="",$G39=""),"",$G38-$G39),"")</f>
        <v>-0.111562203228869</v>
      </c>
      <c r="H40" s="55">
        <f>IFERROR(IF(OR($H38="",$H39=""),"",$H38-$H39),"")</f>
        <v>-0.158566465306661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11S/Sc1</v>
      </c>
      <c r="I45" s="7" t="str">
        <f>IF(Calc!Y4="","",Calc!Y4)</f>
        <v>11S/Sc2</v>
      </c>
      <c r="J45" s="7" t="str">
        <f>IF(Calc!Y5="","",Calc!Y5)</f>
        <v>11S/Sc3</v>
      </c>
      <c r="K45" s="7" t="str">
        <f>IF(Calc!Y6="","",Calc!Y6)</f>
        <v>11S/Sc4</v>
      </c>
      <c r="L45" s="7" t="str">
        <f>IF(Calc!Y7="","",Calc!Y7)</f>
        <v>11S/Sc5</v>
      </c>
      <c r="M45" s="7" t="str">
        <f>IF(Calc!Y8="","",Calc!Y8)</f>
        <v>Science Support</v>
      </c>
      <c r="N45" s="7" t="str">
        <f>IF(Calc!Y9="","",Calc!Y9)</f>
        <v/>
      </c>
      <c r="O45" s="7" t="str">
        <f>IF(Calc!Y10="","",Calc!Y10)</f>
        <v/>
      </c>
    </row>
    <row r="46">
      <c r="B46" s="31" t="str">
        <f>Calc!AA3</f>
        <v>4B05 - Homeostasis</v>
      </c>
      <c r="C46" s="57">
        <f>Calc!AC3</f>
        <v>46291.0</v>
      </c>
      <c r="D46" s="33">
        <f>Calc!AB3</f>
        <v>40</v>
      </c>
      <c r="E46" s="33">
        <f>IF($B46="","",IFERROR(ROWS(INDEX(dData,0,MATCH($B46&amp;CHAR(10)&amp;"Raw Score",dHdr,0)))*0+COUNT(INDEX(dData,0,MATCH($B46&amp;CHAR(10)&amp;"Raw Score",dHdr,0))),""))</f>
        <v>103</v>
      </c>
      <c r="F46" s="36">
        <f>IF($B46="","",IFERROR(($E46+COUNTIF(INDEX(dData,0,MATCH($B46&amp;CHAR(10)&amp;"Raw Score",dHdr,0)),"A"))/dCount,""))</f>
        <v>1</v>
      </c>
      <c r="G46" s="58">
        <f>IF($B46="","",IFERROR(CHOOSE(MATCH(SelMeasure,MeasureList,0),AVERAGE(INDEX(dData,0,MATCH($B46&amp;CHAR(10)&amp;"Raw Score",dHdr,0)))/$D46,AVERAGE(INDEX(dData,0,MATCH($B46&amp;CHAR(10)&amp;"Stanine",dHdr,0))),$F46),""))</f>
        <v>0.518932038834951</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0.728703703703704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0.488095238095238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0.355769230769231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0.323076923076923</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0.2125</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4C09 - Organic Chemistry</v>
      </c>
      <c r="C47" s="57">
        <f>Calc!AC4</f>
        <v>46305.0</v>
      </c>
      <c r="D47" s="33">
        <f>Calc!AB4</f>
        <v>35</v>
      </c>
      <c r="E47" s="33">
        <f>IF($B47="","",IFERROR(ROWS(INDEX(dData,0,MATCH($B47&amp;CHAR(10)&amp;"Raw Score",dHdr,0)))*0+COUNT(INDEX(dData,0,MATCH($B47&amp;CHAR(10)&amp;"Raw Score",dHdr,0))),""))</f>
        <v>97</v>
      </c>
      <c r="F47" s="36">
        <f>IF($B47="","",IFERROR(($E47+COUNTIF(INDEX(dData,0,MATCH($B47&amp;CHAR(10)&amp;"Raw Score",dHdr,0)),"A"))/dCount,""))</f>
        <v>1</v>
      </c>
      <c r="G47" s="58">
        <f>IF($B47="","",IFERROR(CHOOSE(MATCH(SelMeasure,MeasureList,0),AVERAGE(INDEX(dData,0,MATCH($B47&amp;CHAR(10)&amp;"Raw Score",dHdr,0)))/$D47,AVERAGE(INDEX(dData,0,MATCH($B47&amp;CHAR(10)&amp;"Stanine",dHdr,0))),$F47),""))</f>
        <v>0.462150220913108</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0.626373626373626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0.510989010989011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0.446616541353383</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0.295238095238095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0.262857142857143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0.15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4P06 - Waves</v>
      </c>
      <c r="C48" s="57">
        <f>Calc!AC5</f>
        <v>46319.0</v>
      </c>
      <c r="D48" s="33">
        <f>Calc!AB5</f>
        <v>38</v>
      </c>
      <c r="E48" s="33">
        <f>IF($B48="","",IFERROR(ROWS(INDEX(dData,0,MATCH($B48&amp;CHAR(10)&amp;"Raw Score",dHdr,0)))*0+COUNT(INDEX(dData,0,MATCH($B48&amp;CHAR(10)&amp;"Raw Score",dHdr,0))),""))</f>
        <v>106</v>
      </c>
      <c r="F48" s="36">
        <f>IF($B48="","",IFERROR(($E48+COUNTIF(INDEX(dData,0,MATCH($B48&amp;CHAR(10)&amp;"Raw Score",dHdr,0)),"A"))/dCount,""))</f>
        <v>1</v>
      </c>
      <c r="G48" s="58">
        <f>IF($B48="","",IFERROR(CHOOSE(MATCH(SelMeasure,MeasureList,0),AVERAGE(INDEX(dData,0,MATCH($B48&amp;CHAR(10)&amp;"Raw Score",dHdr,0)))/$D48,AVERAGE(INDEX(dData,0,MATCH($B48&amp;CHAR(10)&amp;"Stanine",dHdr,0))),$F48),""))</f>
        <v>0.553128103277061</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0.759398496240602</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0.603238866396761</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0.526315789473684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0.362348178137652</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0.3582995951417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0.252631578947368</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4B06 - Inheritance</v>
      </c>
      <c r="C49" s="57">
        <f>Calc!AC6</f>
        <v>46333.0</v>
      </c>
      <c r="D49" s="33">
        <f>Calc!AB6</f>
        <v>42</v>
      </c>
      <c r="E49" s="33">
        <f>IF($B49="","",IFERROR(ROWS(INDEX(dData,0,MATCH($B49&amp;CHAR(10)&amp;"Raw Score",dHdr,0)))*0+COUNT(INDEX(dData,0,MATCH($B49&amp;CHAR(10)&amp;"Raw Score",dHdr,0))),""))</f>
        <v>102</v>
      </c>
      <c r="F49" s="36">
        <f>IF($B49="","",IFERROR(($E49+COUNTIF(INDEX(dData,0,MATCH($B49&amp;CHAR(10)&amp;"Raw Score",dHdr,0)),"A"))/dCount,""))</f>
        <v>1</v>
      </c>
      <c r="G49" s="58">
        <f>IF($B49="","",IFERROR(CHOOSE(MATCH(SelMeasure,MeasureList,0),AVERAGE(INDEX(dData,0,MATCH($B49&amp;CHAR(10)&amp;"Raw Score",dHdr,0)))/$D49,AVERAGE(INDEX(dData,0,MATCH($B49&amp;CHAR(10)&amp;"Stanine",dHdr,0))),$F49),""))</f>
        <v>0.448879551820728</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0.665784832451499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0.4824016563147</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0.410430839002268</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0.276556776556777</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0.282051282051282</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0.166666666666667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4C10 - Chemical Analysis</v>
      </c>
      <c r="C50" s="57">
        <f>Calc!AC7</f>
        <v>46347.0</v>
      </c>
      <c r="D50" s="33">
        <f>Calc!AB7</f>
        <v>30</v>
      </c>
      <c r="E50" s="33">
        <f>IF($B50="","",IFERROR(ROWS(INDEX(dData,0,MATCH($B50&amp;CHAR(10)&amp;"Raw Score",dHdr,0)))*0+COUNT(INDEX(dData,0,MATCH($B50&amp;CHAR(10)&amp;"Raw Score",dHdr,0))),""))</f>
        <v>105</v>
      </c>
      <c r="F50" s="36">
        <f>IF($B50="","",IFERROR(($E50+COUNTIF(INDEX(dData,0,MATCH($B50&amp;CHAR(10)&amp;"Raw Score",dHdr,0)),"A"))/dCount,""))</f>
        <v>1</v>
      </c>
      <c r="G50" s="58">
        <f>IF($B50="","",IFERROR(CHOOSE(MATCH(SelMeasure,MeasureList,0),AVERAGE(INDEX(dData,0,MATCH($B50&amp;CHAR(10)&amp;"Raw Score",dHdr,0)))/$D50,AVERAGE(INDEX(dData,0,MATCH($B50&amp;CHAR(10)&amp;"Stanine",dHdr,0))),$F50),""))</f>
        <v>0.480634920634921</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0.664285714285714</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0.526923076923077</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0.461666666666667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0.315384615384615</v>
      </c>
      <c r="L50" s="36">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0.31025641025641</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0.16</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4P07 - Magnetism</v>
      </c>
      <c r="C51" s="57">
        <f>Calc!AC8</f>
        <v>46361.0</v>
      </c>
      <c r="D51" s="33">
        <f>Calc!AB8</f>
        <v>34</v>
      </c>
      <c r="E51" s="33">
        <f>IF($B51="","",IFERROR(ROWS(INDEX(dData,0,MATCH($B51&amp;CHAR(10)&amp;"Raw Score",dHdr,0)))*0+COUNT(INDEX(dData,0,MATCH($B51&amp;CHAR(10)&amp;"Raw Score",dHdr,0))),""))</f>
        <v>100</v>
      </c>
      <c r="F51" s="36">
        <f>IF($B51="","",IFERROR(($E51+COUNTIF(INDEX(dData,0,MATCH($B51&amp;CHAR(10)&amp;"Raw Score",dHdr,0)),"A"))/dCount,""))</f>
        <v>1</v>
      </c>
      <c r="G51" s="58">
        <f>IF($B51="","",IFERROR(CHOOSE(MATCH(SelMeasure,MeasureList,0),AVERAGE(INDEX(dData,0,MATCH($B51&amp;CHAR(10)&amp;"Raw Score",dHdr,0)))/$D51,AVERAGE(INDEX(dData,0,MATCH($B51&amp;CHAR(10)&amp;"Stanine",dHdr,0))),$F51),""))</f>
        <v>0.461470588235294</v>
      </c>
      <c r="H51" s="36">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0.654684095860566</v>
      </c>
      <c r="I51" s="36">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0.473039215686275</v>
      </c>
      <c r="J51" s="36">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0.436764705882353</v>
      </c>
      <c r="K51" s="36">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0.343137254901961</v>
      </c>
      <c r="L51" s="36">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0.276960784313725</v>
      </c>
      <c r="M51" s="36">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0.188235294117647</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11</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9 students flagged in Year 11.</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Price, Oliver</v>
      </c>
      <c r="C9" s="32" t="str">
        <f>IF(Calc!$BL$3="","",INDEX(Calc!$BC$70:$BC$669,Calc!$BL$3))</f>
        <v>11S/Sc2</v>
      </c>
      <c r="D9" s="33">
        <f>IF(Calc!$BL$3="","",INDEX(Calc!$BD$70:$BD$669,Calc!$BL$3))</f>
        <v>8</v>
      </c>
      <c r="E9" s="33">
        <f>IF(Calc!$BL$3="","",INDEX(Calc!$BE$70:$BE$669,Calc!$BL$3))</f>
        <v>6</v>
      </c>
      <c r="F9" s="34">
        <f>IF(Calc!$BL$3="","",INDEX(Calc!$BF$70:$BF$669,Calc!$BL$3))</f>
        <v>4.83333333333333</v>
      </c>
      <c r="G9" s="35">
        <f>IF(Calc!$BL$3="","",INDEX(Calc!$BG$70:$BG$669,Calc!$BL$3))</f>
        <v>-2.36595598845599</v>
      </c>
      <c r="H9" s="33">
        <f>IF(Calc!$BL$3="","",INDEX(Calc!$BH$70:$BH$669,Calc!$BL$3))</f>
        <v>6</v>
      </c>
      <c r="I9" s="32" t="str">
        <f>IF(Calc!$BL$3="","",INDEX(Calc!$BI$70:$BI$669,Calc!$BL$3))</f>
        <v>Below expected for KS2</v>
      </c>
    </row>
    <row r="10">
      <c r="B10" s="31" t="str">
        <f>IF(Calc!$BL$4="","",INDEX(Calc!$BA$70:$BA$669,Calc!$BL$4)&amp;", "&amp;INDEX(Calc!$BB$70:$BB$669,Calc!$BL$4))</f>
        <v>Morgan, Zofia</v>
      </c>
      <c r="C10" s="32" t="str">
        <f>IF(Calc!$BL$4="","",INDEX(Calc!$BC$70:$BC$669,Calc!$BL$4))</f>
        <v>11S/Sc5</v>
      </c>
      <c r="D10" s="33">
        <f>IF(Calc!$BL$4="","",INDEX(Calc!$BD$70:$BD$669,Calc!$BL$4))</f>
        <v>3</v>
      </c>
      <c r="E10" s="33">
        <f>IF(Calc!$BL$4="","",INDEX(Calc!$BE$70:$BE$669,Calc!$BL$4))</f>
        <v>5</v>
      </c>
      <c r="F10" s="34">
        <f>IF(Calc!$BL$4="","",INDEX(Calc!$BF$70:$BF$669,Calc!$BL$4))</f>
        <v>1.6</v>
      </c>
      <c r="G10" s="35">
        <f>IF(Calc!$BL$4="","",INDEX(Calc!$BG$70:$BG$669,Calc!$BL$4))</f>
        <v>-1.85497113997114</v>
      </c>
      <c r="H10" s="33">
        <f>IF(Calc!$BL$4="","",INDEX(Calc!$BH$70:$BH$669,Calc!$BL$4))</f>
        <v>1</v>
      </c>
      <c r="I10" s="32" t="str">
        <f>IF(Calc!$BL$4="","",INDEX(Calc!$BI$70:$BI$669,Calc!$BL$4))</f>
        <v>Below expected for KS2</v>
      </c>
    </row>
    <row r="11">
      <c r="B11" s="31" t="str">
        <f>IF(Calc!$BL$5="","",INDEX(Calc!$BA$70:$BA$669,Calc!$BL$5)&amp;", "&amp;INDEX(Calc!$BB$70:$BB$669,Calc!$BL$5))</f>
        <v>Murphy, Ella</v>
      </c>
      <c r="C11" s="32" t="str">
        <f>IF(Calc!$BL$5="","",INDEX(Calc!$BC$70:$BC$669,Calc!$BL$5))</f>
        <v>11S/Sc2</v>
      </c>
      <c r="D11" s="33">
        <f>IF(Calc!$BL$5="","",INDEX(Calc!$BD$70:$BD$669,Calc!$BL$5))</f>
        <v>6</v>
      </c>
      <c r="E11" s="33">
        <f>IF(Calc!$BL$5="","",INDEX(Calc!$BE$70:$BE$669,Calc!$BL$5))</f>
        <v>5</v>
      </c>
      <c r="F11" s="34">
        <f>IF(Calc!$BL$5="","",INDEX(Calc!$BF$70:$BF$669,Calc!$BL$5))</f>
        <v>4</v>
      </c>
      <c r="G11" s="35">
        <f>IF(Calc!$BL$5="","",INDEX(Calc!$BG$70:$BG$669,Calc!$BL$5))</f>
        <v>-1.70156204906205</v>
      </c>
      <c r="H11" s="33">
        <f>IF(Calc!$BL$5="","",INDEX(Calc!$BH$70:$BH$669,Calc!$BL$5))</f>
        <v>4</v>
      </c>
      <c r="I11" s="32" t="str">
        <f>IF(Calc!$BL$5="","",INDEX(Calc!$BI$70:$BI$669,Calc!$BL$5))</f>
        <v>Below expected for KS2</v>
      </c>
    </row>
    <row r="12">
      <c r="B12" s="31" t="str">
        <f>IF(Calc!$BL$6="","",INDEX(Calc!$BA$70:$BA$669,Calc!$BL$6)&amp;", "&amp;INDEX(Calc!$BB$70:$BB$669,Calc!$BL$6))</f>
        <v>Begum, Freya</v>
      </c>
      <c r="C12" s="32" t="str">
        <f>IF(Calc!$BL$6="","",INDEX(Calc!$BC$70:$BC$669,Calc!$BL$6))</f>
        <v>11S/Sc5</v>
      </c>
      <c r="D12" s="33">
        <f>IF(Calc!$BL$6="","",INDEX(Calc!$BD$70:$BD$669,Calc!$BL$6))</f>
        <v>3</v>
      </c>
      <c r="E12" s="33">
        <f>IF(Calc!$BL$6="","",INDEX(Calc!$BE$70:$BE$669,Calc!$BL$6))</f>
        <v>6</v>
      </c>
      <c r="F12" s="34">
        <f>IF(Calc!$BL$6="","",INDEX(Calc!$BF$70:$BF$669,Calc!$BL$6))</f>
        <v>1.83333333333333</v>
      </c>
      <c r="G12" s="35">
        <f>IF(Calc!$BL$6="","",INDEX(Calc!$BG$70:$BG$669,Calc!$BL$6))</f>
        <v>-1.62163780663781</v>
      </c>
      <c r="H12" s="33">
        <f>IF(Calc!$BL$6="","",INDEX(Calc!$BH$70:$BH$669,Calc!$BL$6))</f>
        <v>2</v>
      </c>
      <c r="I12" s="32" t="str">
        <f>IF(Calc!$BL$6="","",INDEX(Calc!$BI$70:$BI$669,Calc!$BL$6))</f>
        <v>Below expected for KS2</v>
      </c>
    </row>
    <row r="13">
      <c r="B13" s="31" t="str">
        <f>IF(Calc!$BL$7="","",INDEX(Calc!$BA$70:$BA$669,Calc!$BL$7)&amp;", "&amp;INDEX(Calc!$BB$70:$BB$669,Calc!$BL$7))</f>
        <v>Morgan, Amara</v>
      </c>
      <c r="C13" s="32" t="str">
        <f>IF(Calc!$BL$7="","",INDEX(Calc!$BC$70:$BC$669,Calc!$BL$7))</f>
        <v>11S/Sc4</v>
      </c>
      <c r="D13" s="33">
        <f>IF(Calc!$BL$7="","",INDEX(Calc!$BD$70:$BD$669,Calc!$BL$7))</f>
        <v>5</v>
      </c>
      <c r="E13" s="33">
        <f>IF(Calc!$BL$7="","",INDEX(Calc!$BE$70:$BE$669,Calc!$BL$7))</f>
        <v>6</v>
      </c>
      <c r="F13" s="34">
        <f>IF(Calc!$BL$7="","",INDEX(Calc!$BF$70:$BF$669,Calc!$BL$7))</f>
        <v>3.33333333333333</v>
      </c>
      <c r="G13" s="35">
        <f>IF(Calc!$BL$7="","",INDEX(Calc!$BG$70:$BG$669,Calc!$BL$7))</f>
        <v>-1.61936507936508</v>
      </c>
      <c r="H13" s="33">
        <f>IF(Calc!$BL$7="","",INDEX(Calc!$BH$70:$BH$669,Calc!$BL$7))</f>
        <v>4</v>
      </c>
      <c r="I13" s="32" t="str">
        <f>IF(Calc!$BL$7="","",INDEX(Calc!$BI$70:$BI$669,Calc!$BL$7))</f>
        <v>Below expected for KS2</v>
      </c>
    </row>
    <row r="14">
      <c r="B14" s="31" t="str">
        <f>IF(Calc!$BL$8="","",INDEX(Calc!$BA$70:$BA$669,Calc!$BL$8)&amp;", "&amp;INDEX(Calc!$BB$70:$BB$669,Calc!$BL$8))</f>
        <v>Kelly, Niamh</v>
      </c>
      <c r="C14" s="32" t="str">
        <f>IF(Calc!$BL$8="","",INDEX(Calc!$BC$70:$BC$669,Calc!$BL$8))</f>
        <v>11S/Sc3</v>
      </c>
      <c r="D14" s="33">
        <f>IF(Calc!$BL$8="","",INDEX(Calc!$BD$70:$BD$669,Calc!$BL$8))</f>
        <v>8</v>
      </c>
      <c r="E14" s="33">
        <f>IF(Calc!$BL$8="","",INDEX(Calc!$BE$70:$BE$669,Calc!$BL$8))</f>
        <v>5</v>
      </c>
      <c r="F14" s="34">
        <f>IF(Calc!$BL$8="","",INDEX(Calc!$BF$70:$BF$669,Calc!$BL$8))</f>
        <v>5.6</v>
      </c>
      <c r="G14" s="35">
        <f>IF(Calc!$BL$8="","",INDEX(Calc!$BG$70:$BG$669,Calc!$BL$8))</f>
        <v>-1.59928932178932</v>
      </c>
      <c r="H14" s="33" t="str">
        <f>IF(Calc!$BL$8="","",INDEX(Calc!$BH$70:$BH$669,Calc!$BL$8))</f>
        <v/>
      </c>
      <c r="I14" s="32" t="str">
        <f>IF(Calc!$BL$8="","",INDEX(Calc!$BI$70:$BI$669,Calc!$BL$8))</f>
        <v>Below expected for KS2</v>
      </c>
    </row>
    <row r="15">
      <c r="B15" s="31" t="str">
        <f>IF(Calc!$BL$9="","",INDEX(Calc!$BA$70:$BA$669,Calc!$BL$9)&amp;", "&amp;INDEX(Calc!$BB$70:$BB$669,Calc!$BL$9))</f>
        <v>Williams, Amelia</v>
      </c>
      <c r="C15" s="32" t="str">
        <f>IF(Calc!$BL$9="","",INDEX(Calc!$BC$70:$BC$669,Calc!$BL$9))</f>
        <v>11S/Sc5</v>
      </c>
      <c r="D15" s="33">
        <f>IF(Calc!$BL$9="","",INDEX(Calc!$BD$70:$BD$669,Calc!$BL$9))</f>
        <v>4</v>
      </c>
      <c r="E15" s="33">
        <f>IF(Calc!$BL$9="","",INDEX(Calc!$BE$70:$BE$669,Calc!$BL$9))</f>
        <v>6</v>
      </c>
      <c r="F15" s="34">
        <f>IF(Calc!$BL$9="","",INDEX(Calc!$BF$70:$BF$669,Calc!$BL$9))</f>
        <v>2.66666666666667</v>
      </c>
      <c r="G15" s="35">
        <f>IF(Calc!$BL$9="","",INDEX(Calc!$BG$70:$BG$669,Calc!$BL$9))</f>
        <v>-1.53716810966811</v>
      </c>
      <c r="H15" s="33">
        <f>IF(Calc!$BL$9="","",INDEX(Calc!$BH$70:$BH$669,Calc!$BL$9))</f>
        <v>3</v>
      </c>
      <c r="I15" s="32" t="str">
        <f>IF(Calc!$BL$9="","",INDEX(Calc!$BI$70:$BI$669,Calc!$BL$9))</f>
        <v>Below expected for KS2</v>
      </c>
    </row>
    <row r="16">
      <c r="B16" s="31" t="str">
        <f>IF(Calc!$BL$10="","",INDEX(Calc!$BA$70:$BA$669,Calc!$BL$10)&amp;", "&amp;INDEX(Calc!$BB$70:$BB$669,Calc!$BL$10))</f>
        <v>Kelly, Jacob</v>
      </c>
      <c r="C16" s="32" t="str">
        <f>IF(Calc!$BL$10="","",INDEX(Calc!$BC$70:$BC$669,Calc!$BL$10))</f>
        <v>11S/Sc2</v>
      </c>
      <c r="D16" s="33">
        <f>IF(Calc!$BL$10="","",INDEX(Calc!$BD$70:$BD$669,Calc!$BL$10))</f>
        <v>6</v>
      </c>
      <c r="E16" s="33">
        <f>IF(Calc!$BL$10="","",INDEX(Calc!$BE$70:$BE$669,Calc!$BL$10))</f>
        <v>6</v>
      </c>
      <c r="F16" s="34">
        <f>IF(Calc!$BL$10="","",INDEX(Calc!$BF$70:$BF$669,Calc!$BL$10))</f>
        <v>4.16666666666667</v>
      </c>
      <c r="G16" s="35">
        <f>IF(Calc!$BL$10="","",INDEX(Calc!$BG$70:$BG$669,Calc!$BL$10))</f>
        <v>-1.53489538239538</v>
      </c>
      <c r="H16" s="33">
        <f>IF(Calc!$BL$10="","",INDEX(Calc!$BH$70:$BH$669,Calc!$BL$10))</f>
        <v>5</v>
      </c>
      <c r="I16" s="32" t="str">
        <f>IF(Calc!$BL$10="","",INDEX(Calc!$BI$70:$BI$669,Calc!$BL$10))</f>
        <v>Below expected for KS2</v>
      </c>
    </row>
    <row r="17">
      <c r="B17" s="31" t="str">
        <f>IF(Calc!$BL$11="","",INDEX(Calc!$BA$70:$BA$669,Calc!$BL$11)&amp;", "&amp;INDEX(Calc!$BB$70:$BB$669,Calc!$BL$11))</f>
        <v>Williams, Sophie</v>
      </c>
      <c r="C17" s="32" t="str">
        <f>IF(Calc!$BL$11="","",INDEX(Calc!$BC$70:$BC$669,Calc!$BL$11))</f>
        <v>11S/Sc2</v>
      </c>
      <c r="D17" s="33">
        <f>IF(Calc!$BL$11="","",INDEX(Calc!$BD$70:$BD$669,Calc!$BL$11))</f>
        <v>8</v>
      </c>
      <c r="E17" s="33">
        <f>IF(Calc!$BL$11="","",INDEX(Calc!$BE$70:$BE$669,Calc!$BL$11))</f>
        <v>6</v>
      </c>
      <c r="F17" s="34">
        <f>IF(Calc!$BL$11="","",INDEX(Calc!$BF$70:$BF$669,Calc!$BL$11))</f>
        <v>5.66666666666667</v>
      </c>
      <c r="G17" s="35">
        <f>IF(Calc!$BL$11="","",INDEX(Calc!$BG$70:$BG$669,Calc!$BL$11))</f>
        <v>-1.53262265512265</v>
      </c>
      <c r="H17" s="33">
        <f>IF(Calc!$BL$11="","",INDEX(Calc!$BH$70:$BH$669,Calc!$BL$11))</f>
        <v>4</v>
      </c>
      <c r="I17" s="32" t="str">
        <f>IF(Calc!$BL$11="","",INDEX(Calc!$BI$70:$BI$669,Calc!$BL$11))</f>
        <v>Below expected for KS2</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7">
    <outlinePr summaryBelow="1" summaryRight="1"/>
    <pageSetUpPr/>
  </sheetPr>
  <dimension ref="A1:U13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7B01 - Cells
Raw Score</t>
        </is>
      </c>
      <c r="O1" s="63" t="inlineStr">
        <is>
          <t>7B01 - Cells
Stanine</t>
        </is>
      </c>
      <c r="P1" s="64" t="inlineStr">
        <is>
          <t>7C01 - Particles
Raw Score</t>
        </is>
      </c>
      <c r="Q1" s="64" t="inlineStr">
        <is>
          <t>7C01 - Particles
Stanine</t>
        </is>
      </c>
      <c r="R1" s="63" t="inlineStr">
        <is>
          <t>7P01 - Forces
Raw Score</t>
        </is>
      </c>
      <c r="S1" s="63" t="inlineStr">
        <is>
          <t>7P01 - Forces
Stanine</t>
        </is>
      </c>
      <c r="T1" s="64" t="inlineStr">
        <is>
          <t>7B02 - Organ Systems
Raw Score</t>
        </is>
      </c>
      <c r="U1" s="64" t="inlineStr">
        <is>
          <t>7B02 - Organ Systems
Stanine</t>
        </is>
      </c>
    </row>
    <row r="2">
      <c r="A2" s="65" t="inlineStr">
        <is>
          <t>X909153552369</t>
        </is>
      </c>
      <c r="B2" s="65" t="inlineStr">
        <is>
          <t>Begum</t>
        </is>
      </c>
      <c r="C2" s="65" t="inlineStr">
        <is>
          <t>Zara</t>
        </is>
      </c>
      <c r="D2" s="66" t="inlineStr">
        <is>
          <t>M</t>
        </is>
      </c>
      <c r="E2" s="66" t="inlineStr">
        <is>
          <t>E</t>
        </is>
      </c>
      <c r="F2" s="66" t="inlineStr">
        <is>
          <t>N</t>
        </is>
      </c>
      <c r="G2" s="34" t="n">
        <v>92.09999999999999</v>
      </c>
      <c r="H2" s="34" t="n">
        <v>107.5</v>
      </c>
      <c r="I2" s="67">
        <f>IF(ISNUMBER(tblY7[[#This Row],[Avg KS2]]),IFERROR(VLOOKUP(ROUND(STANDARDIZE(tblY7[[#This Row],[Avg KS2]],AVERAGE(tblY7[[Avg KS2]]),_xlfn.STDEV.P(tblY7[[Avg KS2]])),9),_Stanine,2),5),"")</f>
        <v>5</v>
      </c>
      <c r="J2" s="66" t="inlineStr">
        <is>
          <t>7A/Sc1</t>
        </is>
      </c>
      <c r="K2" s="67">
        <f>IF(tblY7[[#This Row],[Preferred Last name]]="","",COUNTIFS($N$1:$ZZ$1,"*"&amp;CHAR(10)&amp;"Stanine",$N2:$ZZ2,"&gt;=1"))</f>
        <v>4</v>
      </c>
      <c r="L2" s="68">
        <f>IFERROR(AVERAGEIF($N$1:$ZZ$1,"*"&amp;CHAR(10)&amp;"Stanine",$N2:$ZZ2),"")</f>
        <v>2</v>
      </c>
      <c r="M2" s="69">
        <f>IF(AND(ISNUMBER(tblY7[[#This Row],[Mean Stanine]]),ISNUMBER(tblY7[[#This Row],[Avg KS2 Band]]),ISNUMBER(SlopeY7)),tblY7[[#This Row],[Mean Stanine]]-(InterceptY7+SlopeY7*tblY7[[#This Row],[Avg KS2 Band]]),"")</f>
        <v>-3.00769230769231</v>
      </c>
      <c r="N2" s="66" t="n">
        <v>9</v>
      </c>
      <c r="O2" s="67">
        <f>IF(ISNUMBER(tblY7[[#This Row],[7B01 - Cells
Raw Score]]),IFERROR(VLOOKUP(ROUND(STANDARDIZE(tblY7[[#This Row],[7B01 - Cells
Raw Score]],AVERAGE(tblY7[[7B01 - Cells
Raw Score]]),_xlfn.STDEV.P(tblY7[[7B01 - Cells
Raw Score]])),9),_Stanine,2),5),"")</f>
        <v>2</v>
      </c>
      <c r="P2" s="66" t="n">
        <v>11</v>
      </c>
      <c r="Q2" s="67">
        <f>IF(ISNUMBER(tblY7[[#This Row],[7C01 - Particles
Raw Score]]),IFERROR(VLOOKUP(ROUND(STANDARDIZE(tblY7[[#This Row],[7C01 - Particles
Raw Score]],AVERAGE(tblY7[[7C01 - Particles
Raw Score]]),_xlfn.STDEV.P(tblY7[[7C01 - Particles
Raw Score]])),9),_Stanine,2),5),"")</f>
        <v>1</v>
      </c>
      <c r="R2" s="66" t="n">
        <v>17</v>
      </c>
      <c r="S2" s="67">
        <f>IF(ISNUMBER(tblY7[[#This Row],[7P01 - Forces
Raw Score]]),IFERROR(VLOOKUP(ROUND(STANDARDIZE(tblY7[[#This Row],[7P01 - Forces
Raw Score]],AVERAGE(tblY7[[7P01 - Forces
Raw Score]]),_xlfn.STDEV.P(tblY7[[7P01 - Forces
Raw Score]])),9),_Stanine,2),5),"")</f>
        <v>3</v>
      </c>
      <c r="T2" s="66" t="n">
        <v>9</v>
      </c>
      <c r="U2" s="67">
        <f>IF(ISNUMBER(tblY7[[#This Row],[7B02 - Organ Systems
Raw Score]]),IFERROR(VLOOKUP(ROUND(STANDARDIZE(tblY7[[#This Row],[7B02 - Organ Systems
Raw Score]],AVERAGE(tblY7[[7B02 - Organ Systems
Raw Score]]),_xlfn.STDEV.P(tblY7[[7B02 - Organ Systems
Raw Score]])),9),_Stanine,2),5),"")</f>
        <v>2</v>
      </c>
    </row>
    <row r="3">
      <c r="A3" s="65" t="inlineStr">
        <is>
          <t>X901724974218</t>
        </is>
      </c>
      <c r="B3" s="65" t="inlineStr">
        <is>
          <t>Brown</t>
        </is>
      </c>
      <c r="C3" s="65" t="inlineStr">
        <is>
          <t>Sophie</t>
        </is>
      </c>
      <c r="D3" s="66" t="inlineStr">
        <is>
          <t>F</t>
        </is>
      </c>
      <c r="E3" s="66" t="n"/>
      <c r="F3" s="66" t="inlineStr">
        <is>
          <t>Y</t>
        </is>
      </c>
      <c r="G3" s="34" t="n">
        <v>90.40000000000001</v>
      </c>
      <c r="H3" s="34" t="n">
        <v>111.5</v>
      </c>
      <c r="I3" s="67">
        <f>IF(ISNUMBER(tblY7[[#This Row],[Avg KS2]]),IFERROR(VLOOKUP(ROUND(STANDARDIZE(tblY7[[#This Row],[Avg KS2]],AVERAGE(tblY7[[Avg KS2]]),_xlfn.STDEV.P(tblY7[[Avg KS2]])),9),_Stanine,2),5),"")</f>
        <v>7</v>
      </c>
      <c r="J3" s="66" t="inlineStr">
        <is>
          <t>7A/Sc1</t>
        </is>
      </c>
      <c r="K3" s="67">
        <f>IF(tblY7[[#This Row],[Preferred Last name]]="","",COUNTIFS($N$1:$ZZ$1,"*"&amp;CHAR(10)&amp;"Stanine",$N3:$ZZ3,"&gt;=1"))</f>
        <v>4</v>
      </c>
      <c r="L3" s="68">
        <f>IFERROR(AVERAGEIF($N$1:$ZZ$1,"*"&amp;CHAR(10)&amp;"Stanine",$N3:$ZZ3),"")</f>
        <v>7.5</v>
      </c>
      <c r="M3" s="69">
        <f>IF(AND(ISNUMBER(tblY7[[#This Row],[Mean Stanine]]),ISNUMBER(tblY7[[#This Row],[Avg KS2 Band]]),ISNUMBER(SlopeY7)),tblY7[[#This Row],[Mean Stanine]]-(InterceptY7+SlopeY7*tblY7[[#This Row],[Avg KS2 Band]]),"")</f>
        <v>1.10374180083482</v>
      </c>
      <c r="N3" s="66" t="n">
        <v>24</v>
      </c>
      <c r="O3" s="67">
        <f>IF(ISNUMBER(tblY7[[#This Row],[7B01 - Cells
Raw Score]]),IFERROR(VLOOKUP(ROUND(STANDARDIZE(tblY7[[#This Row],[7B01 - Cells
Raw Score]],AVERAGE(tblY7[[7B01 - Cells
Raw Score]]),_xlfn.STDEV.P(tblY7[[7B01 - Cells
Raw Score]])),9),_Stanine,2),5),"")</f>
        <v>7</v>
      </c>
      <c r="P3" s="66" t="n">
        <v>23</v>
      </c>
      <c r="Q3" s="67">
        <f>IF(ISNUMBER(tblY7[[#This Row],[7C01 - Particles
Raw Score]]),IFERROR(VLOOKUP(ROUND(STANDARDIZE(tblY7[[#This Row],[7C01 - Particles
Raw Score]],AVERAGE(tblY7[[7C01 - Particles
Raw Score]]),_xlfn.STDEV.P(tblY7[[7C01 - Particles
Raw Score]])),9),_Stanine,2),5),"")</f>
        <v>7</v>
      </c>
      <c r="R3" s="66" t="n">
        <v>28</v>
      </c>
      <c r="S3" s="67">
        <f>IF(ISNUMBER(tblY7[[#This Row],[7P01 - Forces
Raw Score]]),IFERROR(VLOOKUP(ROUND(STANDARDIZE(tblY7[[#This Row],[7P01 - Forces
Raw Score]],AVERAGE(tblY7[[7P01 - Forces
Raw Score]]),_xlfn.STDEV.P(tblY7[[7P01 - Forces
Raw Score]])),9),_Stanine,2),5),"")</f>
        <v>8</v>
      </c>
      <c r="T3" s="66" t="n">
        <v>25</v>
      </c>
      <c r="U3" s="67">
        <f>IF(ISNUMBER(tblY7[[#This Row],[7B02 - Organ Systems
Raw Score]]),IFERROR(VLOOKUP(ROUND(STANDARDIZE(tblY7[[#This Row],[7B02 - Organ Systems
Raw Score]],AVERAGE(tblY7[[7B02 - Organ Systems
Raw Score]]),_xlfn.STDEV.P(tblY7[[7B02 - Organ Systems
Raw Score]])),9),_Stanine,2),5),"")</f>
        <v>8</v>
      </c>
    </row>
    <row r="4">
      <c r="A4" s="65" t="inlineStr">
        <is>
          <t>X909067792654</t>
        </is>
      </c>
      <c r="B4" s="65" t="inlineStr">
        <is>
          <t>Clarke</t>
        </is>
      </c>
      <c r="C4" s="65" t="inlineStr">
        <is>
          <t>Oscar</t>
        </is>
      </c>
      <c r="D4" s="66" t="inlineStr">
        <is>
          <t>F</t>
        </is>
      </c>
      <c r="E4" s="66" t="inlineStr">
        <is>
          <t>N</t>
        </is>
      </c>
      <c r="F4" s="66" t="inlineStr">
        <is>
          <t>N</t>
        </is>
      </c>
      <c r="G4" s="34" t="n">
        <v>96</v>
      </c>
      <c r="H4" s="34" t="n">
        <v>103</v>
      </c>
      <c r="I4" s="67">
        <f>IF(ISNUMBER(tblY7[[#This Row],[Avg KS2]]),IFERROR(VLOOKUP(ROUND(STANDARDIZE(tblY7[[#This Row],[Avg KS2]],AVERAGE(tblY7[[Avg KS2]]),_xlfn.STDEV.P(tblY7[[Avg KS2]])),9),_Stanine,2),5),"")</f>
        <v>3</v>
      </c>
      <c r="J4" s="66" t="inlineStr">
        <is>
          <t>7A/Sc1</t>
        </is>
      </c>
      <c r="K4" s="67">
        <f>IF(tblY7[[#This Row],[Preferred Last name]]="","",COUNTIFS($N$1:$ZZ$1,"*"&amp;CHAR(10)&amp;"Stanine",$N4:$ZZ4,"&gt;=1"))</f>
        <v>4</v>
      </c>
      <c r="L4" s="68">
        <f>IFERROR(AVERAGEIF($N$1:$ZZ$1,"*"&amp;CHAR(10)&amp;"Stanine",$N4:$ZZ4),"")</f>
        <v>2</v>
      </c>
      <c r="M4" s="69">
        <f>IF(AND(ISNUMBER(tblY7[[#This Row],[Mean Stanine]]),ISNUMBER(tblY7[[#This Row],[Avg KS2 Band]]),ISNUMBER(SlopeY7)),tblY7[[#This Row],[Mean Stanine]]-(InterceptY7+SlopeY7*tblY7[[#This Row],[Avg KS2 Band]]),"")</f>
        <v>-1.61912641621944</v>
      </c>
      <c r="N4" s="66" t="n">
        <v>10</v>
      </c>
      <c r="O4" s="67">
        <f>IF(ISNUMBER(tblY7[[#This Row],[7B01 - Cells
Raw Score]]),IFERROR(VLOOKUP(ROUND(STANDARDIZE(tblY7[[#This Row],[7B01 - Cells
Raw Score]],AVERAGE(tblY7[[7B01 - Cells
Raw Score]]),_xlfn.STDEV.P(tblY7[[7B01 - Cells
Raw Score]])),9),_Stanine,2),5),"")</f>
        <v>3</v>
      </c>
      <c r="P4" s="66" t="n">
        <v>11</v>
      </c>
      <c r="Q4" s="67">
        <f>IF(ISNUMBER(tblY7[[#This Row],[7C01 - Particles
Raw Score]]),IFERROR(VLOOKUP(ROUND(STANDARDIZE(tblY7[[#This Row],[7C01 - Particles
Raw Score]],AVERAGE(tblY7[[7C01 - Particles
Raw Score]]),_xlfn.STDEV.P(tblY7[[7C01 - Particles
Raw Score]])),9),_Stanine,2),5),"")</f>
        <v>1</v>
      </c>
      <c r="R4" s="66" t="n">
        <v>11</v>
      </c>
      <c r="S4" s="67">
        <f>IF(ISNUMBER(tblY7[[#This Row],[7P01 - Forces
Raw Score]]),IFERROR(VLOOKUP(ROUND(STANDARDIZE(tblY7[[#This Row],[7P01 - Forces
Raw Score]],AVERAGE(tblY7[[7P01 - Forces
Raw Score]]),_xlfn.STDEV.P(tblY7[[7P01 - Forces
Raw Score]])),9),_Stanine,2),5),"")</f>
        <v>1</v>
      </c>
      <c r="T4" s="66" t="n">
        <v>11</v>
      </c>
      <c r="U4" s="67">
        <f>IF(ISNUMBER(tblY7[[#This Row],[7B02 - Organ Systems
Raw Score]]),IFERROR(VLOOKUP(ROUND(STANDARDIZE(tblY7[[#This Row],[7B02 - Organ Systems
Raw Score]],AVERAGE(tblY7[[7B02 - Organ Systems
Raw Score]]),_xlfn.STDEV.P(tblY7[[7B02 - Organ Systems
Raw Score]])),9),_Stanine,2),5),"")</f>
        <v>3</v>
      </c>
    </row>
    <row r="5">
      <c r="A5" s="65" t="inlineStr">
        <is>
          <t>X903096124638</t>
        </is>
      </c>
      <c r="B5" s="65" t="inlineStr">
        <is>
          <t>Cooper</t>
        </is>
      </c>
      <c r="C5" s="65" t="inlineStr">
        <is>
          <t>Leo</t>
        </is>
      </c>
      <c r="D5" s="66" t="inlineStr">
        <is>
          <t>F</t>
        </is>
      </c>
      <c r="E5" s="66" t="inlineStr">
        <is>
          <t>N</t>
        </is>
      </c>
      <c r="F5" s="66" t="inlineStr">
        <is>
          <t>Y</t>
        </is>
      </c>
      <c r="G5" s="34" t="n">
        <v>89.59999999999999</v>
      </c>
      <c r="H5" s="34" t="n">
        <v>115.5</v>
      </c>
      <c r="I5" s="67">
        <f>IF(ISNUMBER(tblY7[[#This Row],[Avg KS2]]),IFERROR(VLOOKUP(ROUND(STANDARDIZE(tblY7[[#This Row],[Avg KS2]],AVERAGE(tblY7[[Avg KS2]]),_xlfn.STDEV.P(tblY7[[Avg KS2]])),9),_Stanine,2),5),"")</f>
        <v>8</v>
      </c>
      <c r="J5" s="66" t="inlineStr">
        <is>
          <t>7A/Sc1</t>
        </is>
      </c>
      <c r="K5" s="67">
        <f>IF(tblY7[[#This Row],[Preferred Last name]]="","",COUNTIFS($N$1:$ZZ$1,"*"&amp;CHAR(10)&amp;"Stanine",$N5:$ZZ5,"&gt;=1"))</f>
        <v>3</v>
      </c>
      <c r="L5" s="68">
        <f>IFERROR(AVERAGEIF($N$1:$ZZ$1,"*"&amp;CHAR(10)&amp;"Stanine",$N5:$ZZ5),"")</f>
        <v>6.66666666666667</v>
      </c>
      <c r="M5" s="69">
        <f>IF(AND(ISNUMBER(tblY7[[#This Row],[Mean Stanine]]),ISNUMBER(tblY7[[#This Row],[Avg KS2 Band]]),ISNUMBER(SlopeY7)),tblY7[[#This Row],[Mean Stanine]]-(InterceptY7+SlopeY7*tblY7[[#This Row],[Avg KS2 Band]]),"")</f>
        <v>-0.423874478234943</v>
      </c>
      <c r="N5" s="66" t="n">
        <v>21</v>
      </c>
      <c r="O5" s="67">
        <f>IF(ISNUMBER(tblY7[[#This Row],[7B01 - Cells
Raw Score]]),IFERROR(VLOOKUP(ROUND(STANDARDIZE(tblY7[[#This Row],[7B01 - Cells
Raw Score]],AVERAGE(tblY7[[7B01 - Cells
Raw Score]]),_xlfn.STDEV.P(tblY7[[7B01 - Cells
Raw Score]])),9),_Stanine,2),5),"")</f>
        <v>6</v>
      </c>
      <c r="P5" s="66" t="inlineStr">
        <is>
          <t>A</t>
        </is>
      </c>
      <c r="Q5" s="67" t="str">
        <f>IF(ISNUMBER(tblY7[[#This Row],[7C01 - Particles
Raw Score]]),IFERROR(VLOOKUP(ROUND(STANDARDIZE(tblY7[[#This Row],[7C01 - Particles
Raw Score]],AVERAGE(tblY7[[7C01 - Particles
Raw Score]]),_xlfn.STDEV.P(tblY7[[7C01 - Particles
Raw Score]])),9),_Stanine,2),5),"")</f>
        <v/>
      </c>
      <c r="R5" s="66" t="n">
        <v>26</v>
      </c>
      <c r="S5" s="67">
        <f>IF(ISNUMBER(tblY7[[#This Row],[7P01 - Forces
Raw Score]]),IFERROR(VLOOKUP(ROUND(STANDARDIZE(tblY7[[#This Row],[7P01 - Forces
Raw Score]],AVERAGE(tblY7[[7P01 - Forces
Raw Score]]),_xlfn.STDEV.P(tblY7[[7P01 - Forces
Raw Score]])),9),_Stanine,2),5),"")</f>
        <v>7</v>
      </c>
      <c r="T5" s="66" t="n">
        <v>22</v>
      </c>
      <c r="U5" s="67">
        <f>IF(ISNUMBER(tblY7[[#This Row],[7B02 - Organ Systems
Raw Score]]),IFERROR(VLOOKUP(ROUND(STANDARDIZE(tblY7[[#This Row],[7B02 - Organ Systems
Raw Score]],AVERAGE(tblY7[[7B02 - Organ Systems
Raw Score]]),_xlfn.STDEV.P(tblY7[[7B02 - Organ Systems
Raw Score]])),9),_Stanine,2),5),"")</f>
        <v>7</v>
      </c>
    </row>
    <row r="6">
      <c r="A6" s="65" t="inlineStr">
        <is>
          <t>X909793743969</t>
        </is>
      </c>
      <c r="B6" s="65" t="inlineStr">
        <is>
          <t>Davies</t>
        </is>
      </c>
      <c r="C6" s="65" t="inlineStr">
        <is>
          <t>Charlie</t>
        </is>
      </c>
      <c r="D6" s="66" t="inlineStr">
        <is>
          <t>M</t>
        </is>
      </c>
      <c r="E6" s="66" t="inlineStr">
        <is>
          <t>N</t>
        </is>
      </c>
      <c r="F6" s="66" t="inlineStr">
        <is>
          <t>N</t>
        </is>
      </c>
      <c r="G6" s="34" t="n">
        <v>92</v>
      </c>
      <c r="H6" s="34" t="n">
        <v>113</v>
      </c>
      <c r="I6" s="67">
        <f>IF(ISNUMBER(tblY7[[#This Row],[Avg KS2]]),IFERROR(VLOOKUP(ROUND(STANDARDIZE(tblY7[[#This Row],[Avg KS2]],AVERAGE(tblY7[[Avg KS2]]),_xlfn.STDEV.P(tblY7[[Avg KS2]])),9),_Stanine,2),5),"")</f>
        <v>7</v>
      </c>
      <c r="J6" s="66" t="inlineStr">
        <is>
          <t>7A/Sc1</t>
        </is>
      </c>
      <c r="K6" s="67">
        <f>IF(tblY7[[#This Row],[Preferred Last name]]="","",COUNTIFS($N$1:$ZZ$1,"*"&amp;CHAR(10)&amp;"Stanine",$N6:$ZZ6,"&gt;=1"))</f>
        <v>4</v>
      </c>
      <c r="L6" s="68">
        <f>IFERROR(AVERAGEIF($N$1:$ZZ$1,"*"&amp;CHAR(10)&amp;"Stanine",$N6:$ZZ6),"")</f>
        <v>5.75</v>
      </c>
      <c r="M6" s="69">
        <f>IF(AND(ISNUMBER(tblY7[[#This Row],[Mean Stanine]]),ISNUMBER(tblY7[[#This Row],[Avg KS2 Band]]),ISNUMBER(SlopeY7)),tblY7[[#This Row],[Mean Stanine]]-(InterceptY7+SlopeY7*tblY7[[#This Row],[Avg KS2 Band]]),"")</f>
        <v>-0.646258199165176</v>
      </c>
      <c r="N6" s="66" t="n">
        <v>21</v>
      </c>
      <c r="O6" s="67">
        <f>IF(ISNUMBER(tblY7[[#This Row],[7B01 - Cells
Raw Score]]),IFERROR(VLOOKUP(ROUND(STANDARDIZE(tblY7[[#This Row],[7B01 - Cells
Raw Score]],AVERAGE(tblY7[[7B01 - Cells
Raw Score]]),_xlfn.STDEV.P(tblY7[[7B01 - Cells
Raw Score]])),9),_Stanine,2),5),"")</f>
        <v>6</v>
      </c>
      <c r="P6" s="66" t="n">
        <v>22</v>
      </c>
      <c r="Q6" s="67">
        <f>IF(ISNUMBER(tblY7[[#This Row],[7C01 - Particles
Raw Score]]),IFERROR(VLOOKUP(ROUND(STANDARDIZE(tblY7[[#This Row],[7C01 - Particles
Raw Score]],AVERAGE(tblY7[[7C01 - Particles
Raw Score]]),_xlfn.STDEV.P(tblY7[[7C01 - Particles
Raw Score]])),9),_Stanine,2),5),"")</f>
        <v>7</v>
      </c>
      <c r="R6" s="66" t="n">
        <v>21</v>
      </c>
      <c r="S6" s="67">
        <f>IF(ISNUMBER(tblY7[[#This Row],[7P01 - Forces
Raw Score]]),IFERROR(VLOOKUP(ROUND(STANDARDIZE(tblY7[[#This Row],[7P01 - Forces
Raw Score]],AVERAGE(tblY7[[7P01 - Forces
Raw Score]]),_xlfn.STDEV.P(tblY7[[7P01 - Forces
Raw Score]])),9),_Stanine,2),5),"")</f>
        <v>5</v>
      </c>
      <c r="T6" s="66" t="n">
        <v>17</v>
      </c>
      <c r="U6" s="67">
        <f>IF(ISNUMBER(tblY7[[#This Row],[7B02 - Organ Systems
Raw Score]]),IFERROR(VLOOKUP(ROUND(STANDARDIZE(tblY7[[#This Row],[7B02 - Organ Systems
Raw Score]],AVERAGE(tblY7[[7B02 - Organ Systems
Raw Score]]),_xlfn.STDEV.P(tblY7[[7B02 - Organ Systems
Raw Score]])),9),_Stanine,2),5),"")</f>
        <v>5</v>
      </c>
    </row>
    <row r="7">
      <c r="A7" s="65" t="inlineStr">
        <is>
          <t>X909870355598</t>
        </is>
      </c>
      <c r="B7" s="65" t="inlineStr">
        <is>
          <t>Evans</t>
        </is>
      </c>
      <c r="C7" s="65" t="inlineStr">
        <is>
          <t>Noah</t>
        </is>
      </c>
      <c r="D7" s="66" t="inlineStr">
        <is>
          <t>M</t>
        </is>
      </c>
      <c r="E7" s="66" t="inlineStr">
        <is>
          <t>K</t>
        </is>
      </c>
      <c r="F7" s="66" t="inlineStr">
        <is>
          <t>N</t>
        </is>
      </c>
      <c r="G7" s="34" t="n">
        <v>86.40000000000001</v>
      </c>
      <c r="H7" s="34" t="n">
        <v>109</v>
      </c>
      <c r="I7" s="67">
        <f>IF(ISNUMBER(tblY7[[#This Row],[Avg KS2]]),IFERROR(VLOOKUP(ROUND(STANDARDIZE(tblY7[[#This Row],[Avg KS2]],AVERAGE(tblY7[[Avg KS2]]),_xlfn.STDEV.P(tblY7[[Avg KS2]])),9),_Stanine,2),5),"")</f>
        <v>6</v>
      </c>
      <c r="J7" s="66" t="inlineStr">
        <is>
          <t>7A/Sc1</t>
        </is>
      </c>
      <c r="K7" s="67">
        <f>IF(tblY7[[#This Row],[Preferred Last name]]="","",COUNTIFS($N$1:$ZZ$1,"*"&amp;CHAR(10)&amp;"Stanine",$N7:$ZZ7,"&gt;=1"))</f>
        <v>4</v>
      </c>
      <c r="L7" s="68">
        <f>IFERROR(AVERAGEIF($N$1:$ZZ$1,"*"&amp;CHAR(10)&amp;"Stanine",$N7:$ZZ7),"")</f>
        <v>6.25</v>
      </c>
      <c r="M7" s="69">
        <f>IF(AND(ISNUMBER(tblY7[[#This Row],[Mean Stanine]]),ISNUMBER(tblY7[[#This Row],[Avg KS2 Band]]),ISNUMBER(SlopeY7)),tblY7[[#This Row],[Mean Stanine]]-(InterceptY7+SlopeY7*tblY7[[#This Row],[Avg KS2 Band]]),"")</f>
        <v>0.548024746571259</v>
      </c>
      <c r="N7" s="66" t="n">
        <v>25</v>
      </c>
      <c r="O7" s="67">
        <f>IF(ISNUMBER(tblY7[[#This Row],[7B01 - Cells
Raw Score]]),IFERROR(VLOOKUP(ROUND(STANDARDIZE(tblY7[[#This Row],[7B01 - Cells
Raw Score]],AVERAGE(tblY7[[7B01 - Cells
Raw Score]]),_xlfn.STDEV.P(tblY7[[7B01 - Cells
Raw Score]])),9),_Stanine,2),5),"")</f>
        <v>7</v>
      </c>
      <c r="P7" s="66" t="n">
        <v>19</v>
      </c>
      <c r="Q7" s="67">
        <f>IF(ISNUMBER(tblY7[[#This Row],[7C01 - Particles
Raw Score]]),IFERROR(VLOOKUP(ROUND(STANDARDIZE(tblY7[[#This Row],[7C01 - Particles
Raw Score]],AVERAGE(tblY7[[7C01 - Particles
Raw Score]]),_xlfn.STDEV.P(tblY7[[7C01 - Particles
Raw Score]])),9),_Stanine,2),5),"")</f>
        <v>5</v>
      </c>
      <c r="R7" s="66" t="n">
        <v>23</v>
      </c>
      <c r="S7" s="67">
        <f>IF(ISNUMBER(tblY7[[#This Row],[7P01 - Forces
Raw Score]]),IFERROR(VLOOKUP(ROUND(STANDARDIZE(tblY7[[#This Row],[7P01 - Forces
Raw Score]],AVERAGE(tblY7[[7P01 - Forces
Raw Score]]),_xlfn.STDEV.P(tblY7[[7P01 - Forces
Raw Score]])),9),_Stanine,2),5),"")</f>
        <v>6</v>
      </c>
      <c r="T7" s="66" t="n">
        <v>23</v>
      </c>
      <c r="U7" s="67">
        <f>IF(ISNUMBER(tblY7[[#This Row],[7B02 - Organ Systems
Raw Score]]),IFERROR(VLOOKUP(ROUND(STANDARDIZE(tblY7[[#This Row],[7B02 - Organ Systems
Raw Score]],AVERAGE(tblY7[[7B02 - Organ Systems
Raw Score]]),_xlfn.STDEV.P(tblY7[[7B02 - Organ Systems
Raw Score]])),9),_Stanine,2),5),"")</f>
        <v>7</v>
      </c>
    </row>
    <row r="8">
      <c r="A8" s="65" t="inlineStr">
        <is>
          <t>X909617365300</t>
        </is>
      </c>
      <c r="B8" s="65" t="inlineStr">
        <is>
          <t>Griffiths</t>
        </is>
      </c>
      <c r="C8" s="65" t="inlineStr">
        <is>
          <t>Amara</t>
        </is>
      </c>
      <c r="D8" s="66" t="inlineStr">
        <is>
          <t>F</t>
        </is>
      </c>
      <c r="E8" s="66" t="inlineStr">
        <is>
          <t>K</t>
        </is>
      </c>
      <c r="F8" s="66" t="inlineStr">
        <is>
          <t>Y</t>
        </is>
      </c>
      <c r="G8" s="34" t="n">
        <v>83.8</v>
      </c>
      <c r="H8" s="34" t="n">
        <v>108.5</v>
      </c>
      <c r="I8" s="67">
        <f>IF(ISNUMBER(tblY7[[#This Row],[Avg KS2]]),IFERROR(VLOOKUP(ROUND(STANDARDIZE(tblY7[[#This Row],[Avg KS2]],AVERAGE(tblY7[[Avg KS2]]),_xlfn.STDEV.P(tblY7[[Avg KS2]])),9),_Stanine,2),5),"")</f>
        <v>6</v>
      </c>
      <c r="J8" s="66" t="inlineStr">
        <is>
          <t>7A/Sc1</t>
        </is>
      </c>
      <c r="K8" s="67">
        <f>IF(tblY7[[#This Row],[Preferred Last name]]="","",COUNTIFS($N$1:$ZZ$1,"*"&amp;CHAR(10)&amp;"Stanine",$N8:$ZZ8,"&gt;=1"))</f>
        <v>4</v>
      </c>
      <c r="L8" s="68">
        <f>IFERROR(AVERAGEIF($N$1:$ZZ$1,"*"&amp;CHAR(10)&amp;"Stanine",$N8:$ZZ8),"")</f>
        <v>6</v>
      </c>
      <c r="M8" s="69">
        <f>IF(AND(ISNUMBER(tblY7[[#This Row],[Mean Stanine]]),ISNUMBER(tblY7[[#This Row],[Avg KS2 Band]]),ISNUMBER(SlopeY7)),tblY7[[#This Row],[Mean Stanine]]-(InterceptY7+SlopeY7*tblY7[[#This Row],[Avg KS2 Band]]),"")</f>
        <v>0.298024746571259</v>
      </c>
      <c r="N8" s="66" t="n">
        <v>19</v>
      </c>
      <c r="O8" s="67">
        <f>IF(ISNUMBER(tblY7[[#This Row],[7B01 - Cells
Raw Score]]),IFERROR(VLOOKUP(ROUND(STANDARDIZE(tblY7[[#This Row],[7B01 - Cells
Raw Score]],AVERAGE(tblY7[[7B01 - Cells
Raw Score]]),_xlfn.STDEV.P(tblY7[[7B01 - Cells
Raw Score]])),9),_Stanine,2),5),"")</f>
        <v>5</v>
      </c>
      <c r="P8" s="66" t="n">
        <v>21</v>
      </c>
      <c r="Q8" s="67">
        <f>IF(ISNUMBER(tblY7[[#This Row],[7C01 - Particles
Raw Score]]),IFERROR(VLOOKUP(ROUND(STANDARDIZE(tblY7[[#This Row],[7C01 - Particles
Raw Score]],AVERAGE(tblY7[[7C01 - Particles
Raw Score]]),_xlfn.STDEV.P(tblY7[[7C01 - Particles
Raw Score]])),9),_Stanine,2),5),"")</f>
        <v>6</v>
      </c>
      <c r="R8" s="66" t="n">
        <v>23</v>
      </c>
      <c r="S8" s="67">
        <f>IF(ISNUMBER(tblY7[[#This Row],[7P01 - Forces
Raw Score]]),IFERROR(VLOOKUP(ROUND(STANDARDIZE(tblY7[[#This Row],[7P01 - Forces
Raw Score]],AVERAGE(tblY7[[7P01 - Forces
Raw Score]]),_xlfn.STDEV.P(tblY7[[7P01 - Forces
Raw Score]])),9),_Stanine,2),5),"")</f>
        <v>6</v>
      </c>
      <c r="T8" s="66" t="n">
        <v>23</v>
      </c>
      <c r="U8" s="67">
        <f>IF(ISNUMBER(tblY7[[#This Row],[7B02 - Organ Systems
Raw Score]]),IFERROR(VLOOKUP(ROUND(STANDARDIZE(tblY7[[#This Row],[7B02 - Organ Systems
Raw Score]],AVERAGE(tblY7[[7B02 - Organ Systems
Raw Score]]),_xlfn.STDEV.P(tblY7[[7B02 - Organ Systems
Raw Score]])),9),_Stanine,2),5),"")</f>
        <v>7</v>
      </c>
    </row>
    <row r="9">
      <c r="A9" s="65" t="inlineStr">
        <is>
          <t>X904161387011</t>
        </is>
      </c>
      <c r="B9" s="65" t="inlineStr">
        <is>
          <t>Hall</t>
        </is>
      </c>
      <c r="C9" s="65" t="inlineStr">
        <is>
          <t>Harry</t>
        </is>
      </c>
      <c r="D9" s="66" t="inlineStr">
        <is>
          <t>M</t>
        </is>
      </c>
      <c r="E9" s="66" t="inlineStr">
        <is>
          <t>N</t>
        </is>
      </c>
      <c r="F9" s="66" t="inlineStr">
        <is>
          <t>N</t>
        </is>
      </c>
      <c r="G9" s="34" t="n">
        <v>100</v>
      </c>
      <c r="H9" s="34" t="n">
        <v>100</v>
      </c>
      <c r="I9" s="67">
        <f>IF(ISNUMBER(tblY7[[#This Row],[Avg KS2]]),IFERROR(VLOOKUP(ROUND(STANDARDIZE(tblY7[[#This Row],[Avg KS2]],AVERAGE(tblY7[[Avg KS2]]),_xlfn.STDEV.P(tblY7[[Avg KS2]])),9),_Stanine,2),5),"")</f>
        <v>2</v>
      </c>
      <c r="J9" s="66" t="inlineStr">
        <is>
          <t>7A/Sc1</t>
        </is>
      </c>
      <c r="K9" s="67">
        <f>IF(tblY7[[#This Row],[Preferred Last name]]="","",COUNTIFS($N$1:$ZZ$1,"*"&amp;CHAR(10)&amp;"Stanine",$N9:$ZZ9,"&gt;=1"))</f>
        <v>4</v>
      </c>
      <c r="L9" s="68">
        <f>IFERROR(AVERAGEIF($N$1:$ZZ$1,"*"&amp;CHAR(10)&amp;"Stanine",$N9:$ZZ9),"")</f>
        <v>3</v>
      </c>
      <c r="M9" s="69">
        <f>IF(AND(ISNUMBER(tblY7[[#This Row],[Mean Stanine]]),ISNUMBER(tblY7[[#This Row],[Avg KS2 Band]]),ISNUMBER(SlopeY7)),tblY7[[#This Row],[Mean Stanine]]-(InterceptY7+SlopeY7*tblY7[[#This Row],[Avg KS2 Band]]),"")</f>
        <v>0.0751565295169945</v>
      </c>
      <c r="N9" s="66" t="n">
        <v>7</v>
      </c>
      <c r="O9" s="67">
        <f>IF(ISNUMBER(tblY7[[#This Row],[7B01 - Cells
Raw Score]]),IFERROR(VLOOKUP(ROUND(STANDARDIZE(tblY7[[#This Row],[7B01 - Cells
Raw Score]],AVERAGE(tblY7[[7B01 - Cells
Raw Score]]),_xlfn.STDEV.P(tblY7[[7B01 - Cells
Raw Score]])),9),_Stanine,2),5),"")</f>
        <v>2</v>
      </c>
      <c r="P9" s="66" t="n">
        <v>17</v>
      </c>
      <c r="Q9" s="67">
        <f>IF(ISNUMBER(tblY7[[#This Row],[7C01 - Particles
Raw Score]]),IFERROR(VLOOKUP(ROUND(STANDARDIZE(tblY7[[#This Row],[7C01 - Particles
Raw Score]],AVERAGE(tblY7[[7C01 - Particles
Raw Score]]),_xlfn.STDEV.P(tblY7[[7C01 - Particles
Raw Score]])),9),_Stanine,2),5),"")</f>
        <v>4</v>
      </c>
      <c r="R9" s="66" t="n">
        <v>15</v>
      </c>
      <c r="S9" s="67">
        <f>IF(ISNUMBER(tblY7[[#This Row],[7P01 - Forces
Raw Score]]),IFERROR(VLOOKUP(ROUND(STANDARDIZE(tblY7[[#This Row],[7P01 - Forces
Raw Score]],AVERAGE(tblY7[[7P01 - Forces
Raw Score]]),_xlfn.STDEV.P(tblY7[[7P01 - Forces
Raw Score]])),9),_Stanine,2),5),"")</f>
        <v>2</v>
      </c>
      <c r="T9" s="66" t="n">
        <v>14</v>
      </c>
      <c r="U9" s="67">
        <f>IF(ISNUMBER(tblY7[[#This Row],[7B02 - Organ Systems
Raw Score]]),IFERROR(VLOOKUP(ROUND(STANDARDIZE(tblY7[[#This Row],[7B02 - Organ Systems
Raw Score]],AVERAGE(tblY7[[7B02 - Organ Systems
Raw Score]]),_xlfn.STDEV.P(tblY7[[7B02 - Organ Systems
Raw Score]])),9),_Stanine,2),5),"")</f>
        <v>4</v>
      </c>
    </row>
    <row r="10">
      <c r="A10" s="65" t="inlineStr">
        <is>
          <t>X909017258344</t>
        </is>
      </c>
      <c r="B10" s="65" t="inlineStr">
        <is>
          <t>Hughes</t>
        </is>
      </c>
      <c r="C10" s="65" t="inlineStr">
        <is>
          <t>Keira</t>
        </is>
      </c>
      <c r="D10" s="66" t="inlineStr">
        <is>
          <t>F</t>
        </is>
      </c>
      <c r="E10" s="66" t="n"/>
      <c r="F10" s="66" t="inlineStr">
        <is>
          <t>Y</t>
        </is>
      </c>
      <c r="G10" s="34" t="n">
        <v>99.3</v>
      </c>
      <c r="H10" s="34" t="n">
        <v>117.5</v>
      </c>
      <c r="I10" s="67">
        <f>IF(ISNUMBER(tblY7[[#This Row],[Avg KS2]]),IFERROR(VLOOKUP(ROUND(STANDARDIZE(tblY7[[#This Row],[Avg KS2]],AVERAGE(tblY7[[Avg KS2]]),_xlfn.STDEV.P(tblY7[[Avg KS2]])),9),_Stanine,2),5),"")</f>
        <v>9</v>
      </c>
      <c r="J10" s="66" t="inlineStr">
        <is>
          <t>7A/Sc1</t>
        </is>
      </c>
      <c r="K10" s="67">
        <f>IF(tblY7[[#This Row],[Preferred Last name]]="","",COUNTIFS($N$1:$ZZ$1,"*"&amp;CHAR(10)&amp;"Stanine",$N10:$ZZ10,"&gt;=1"))</f>
        <v>4</v>
      </c>
      <c r="L10" s="68">
        <f>IFERROR(AVERAGEIF($N$1:$ZZ$1,"*"&amp;CHAR(10)&amp;"Stanine",$N10:$ZZ10),"")</f>
        <v>8</v>
      </c>
      <c r="M10" s="69">
        <f>IF(AND(ISNUMBER(tblY7[[#This Row],[Mean Stanine]]),ISNUMBER(tblY7[[#This Row],[Avg KS2 Band]]),ISNUMBER(SlopeY7)),tblY7[[#This Row],[Mean Stanine]]-(InterceptY7+SlopeY7*tblY7[[#This Row],[Avg KS2 Band]]),"")</f>
        <v>0.215175909361956</v>
      </c>
      <c r="N10" s="66" t="n">
        <v>26</v>
      </c>
      <c r="O10" s="67">
        <f>IF(ISNUMBER(tblY7[[#This Row],[7B01 - Cells
Raw Score]]),IFERROR(VLOOKUP(ROUND(STANDARDIZE(tblY7[[#This Row],[7B01 - Cells
Raw Score]],AVERAGE(tblY7[[7B01 - Cells
Raw Score]]),_xlfn.STDEV.P(tblY7[[7B01 - Cells
Raw Score]])),9),_Stanine,2),5),"")</f>
        <v>8</v>
      </c>
      <c r="P10" s="66" t="n">
        <v>24</v>
      </c>
      <c r="Q10" s="67">
        <f>IF(ISNUMBER(tblY7[[#This Row],[7C01 - Particles
Raw Score]]),IFERROR(VLOOKUP(ROUND(STANDARDIZE(tblY7[[#This Row],[7C01 - Particles
Raw Score]],AVERAGE(tblY7[[7C01 - Particles
Raw Score]]),_xlfn.STDEV.P(tblY7[[7C01 - Particles
Raw Score]])),9),_Stanine,2),5),"")</f>
        <v>8</v>
      </c>
      <c r="R10" s="66" t="n">
        <v>29</v>
      </c>
      <c r="S10" s="67">
        <f>IF(ISNUMBER(tblY7[[#This Row],[7P01 - Forces
Raw Score]]),IFERROR(VLOOKUP(ROUND(STANDARDIZE(tblY7[[#This Row],[7P01 - Forces
Raw Score]],AVERAGE(tblY7[[7P01 - Forces
Raw Score]]),_xlfn.STDEV.P(tblY7[[7P01 - Forces
Raw Score]])),9),_Stanine,2),5),"")</f>
        <v>8</v>
      </c>
      <c r="T10" s="66" t="n">
        <v>26</v>
      </c>
      <c r="U10" s="67">
        <f>IF(ISNUMBER(tblY7[[#This Row],[7B02 - Organ Systems
Raw Score]]),IFERROR(VLOOKUP(ROUND(STANDARDIZE(tblY7[[#This Row],[7B02 - Organ Systems
Raw Score]],AVERAGE(tblY7[[7B02 - Organ Systems
Raw Score]]),_xlfn.STDEV.P(tblY7[[7B02 - Organ Systems
Raw Score]])),9),_Stanine,2),5),"")</f>
        <v>8</v>
      </c>
    </row>
    <row r="11">
      <c r="A11" s="65" t="inlineStr">
        <is>
          <t>X906815773115</t>
        </is>
      </c>
      <c r="B11" s="65" t="inlineStr">
        <is>
          <t>Hussain</t>
        </is>
      </c>
      <c r="C11" s="65" t="inlineStr">
        <is>
          <t>Chidi</t>
        </is>
      </c>
      <c r="D11" s="66" t="inlineStr">
        <is>
          <t>F</t>
        </is>
      </c>
      <c r="E11" s="66" t="n"/>
      <c r="F11" s="66" t="inlineStr">
        <is>
          <t>N</t>
        </is>
      </c>
      <c r="G11" s="34" t="n">
        <v>86.3</v>
      </c>
      <c r="H11" s="34" t="n">
        <v>114.5</v>
      </c>
      <c r="I11" s="67">
        <f>IF(ISNUMBER(tblY7[[#This Row],[Avg KS2]]),IFERROR(VLOOKUP(ROUND(STANDARDIZE(tblY7[[#This Row],[Avg KS2]],AVERAGE(tblY7[[Avg KS2]]),_xlfn.STDEV.P(tblY7[[Avg KS2]])),9),_Stanine,2),5),"")</f>
        <v>8</v>
      </c>
      <c r="J11" s="66" t="inlineStr">
        <is>
          <t>7A/Sc1</t>
        </is>
      </c>
      <c r="K11" s="67">
        <f>IF(tblY7[[#This Row],[Preferred Last name]]="","",COUNTIFS($N$1:$ZZ$1,"*"&amp;CHAR(10)&amp;"Stanine",$N11:$ZZ11,"&gt;=1"))</f>
        <v>4</v>
      </c>
      <c r="L11" s="68">
        <f>IFERROR(AVERAGEIF($N$1:$ZZ$1,"*"&amp;CHAR(10)&amp;"Stanine",$N11:$ZZ11),"")</f>
        <v>7.75</v>
      </c>
      <c r="M11" s="69">
        <f>IF(AND(ISNUMBER(tblY7[[#This Row],[Mean Stanine]]),ISNUMBER(tblY7[[#This Row],[Avg KS2 Band]]),ISNUMBER(SlopeY7)),tblY7[[#This Row],[Mean Stanine]]-(InterceptY7+SlopeY7*tblY7[[#This Row],[Avg KS2 Band]]),"")</f>
        <v>0.65945885509839</v>
      </c>
      <c r="N11" s="66" t="n">
        <v>27</v>
      </c>
      <c r="O11" s="67">
        <f>IF(ISNUMBER(tblY7[[#This Row],[7B01 - Cells
Raw Score]]),IFERROR(VLOOKUP(ROUND(STANDARDIZE(tblY7[[#This Row],[7B01 - Cells
Raw Score]],AVERAGE(tblY7[[7B01 - Cells
Raw Score]]),_xlfn.STDEV.P(tblY7[[7B01 - Cells
Raw Score]])),9),_Stanine,2),5),"")</f>
        <v>8</v>
      </c>
      <c r="P11" s="66" t="n">
        <v>22</v>
      </c>
      <c r="Q11" s="67">
        <f>IF(ISNUMBER(tblY7[[#This Row],[7C01 - Particles
Raw Score]]),IFERROR(VLOOKUP(ROUND(STANDARDIZE(tblY7[[#This Row],[7C01 - Particles
Raw Score]],AVERAGE(tblY7[[7C01 - Particles
Raw Score]]),_xlfn.STDEV.P(tblY7[[7C01 - Particles
Raw Score]])),9),_Stanine,2),5),"")</f>
        <v>7</v>
      </c>
      <c r="R11" s="66" t="n">
        <v>29</v>
      </c>
      <c r="S11" s="67">
        <f>IF(ISNUMBER(tblY7[[#This Row],[7P01 - Forces
Raw Score]]),IFERROR(VLOOKUP(ROUND(STANDARDIZE(tblY7[[#This Row],[7P01 - Forces
Raw Score]],AVERAGE(tblY7[[7P01 - Forces
Raw Score]]),_xlfn.STDEV.P(tblY7[[7P01 - Forces
Raw Score]])),9),_Stanine,2),5),"")</f>
        <v>8</v>
      </c>
      <c r="T11" s="66" t="n">
        <v>26</v>
      </c>
      <c r="U11" s="67">
        <f>IF(ISNUMBER(tblY7[[#This Row],[7B02 - Organ Systems
Raw Score]]),IFERROR(VLOOKUP(ROUND(STANDARDIZE(tblY7[[#This Row],[7B02 - Organ Systems
Raw Score]],AVERAGE(tblY7[[7B02 - Organ Systems
Raw Score]]),_xlfn.STDEV.P(tblY7[[7B02 - Organ Systems
Raw Score]])),9),_Stanine,2),5),"")</f>
        <v>8</v>
      </c>
    </row>
    <row r="12">
      <c r="A12" s="65" t="inlineStr">
        <is>
          <t>X906720035327</t>
        </is>
      </c>
      <c r="B12" s="65" t="inlineStr">
        <is>
          <t>Jackson</t>
        </is>
      </c>
      <c r="C12" s="65" t="inlineStr">
        <is>
          <t>Arthur</t>
        </is>
      </c>
      <c r="D12" s="66" t="inlineStr">
        <is>
          <t>M</t>
        </is>
      </c>
      <c r="E12" s="66" t="inlineStr">
        <is>
          <t>N</t>
        </is>
      </c>
      <c r="F12" s="66" t="inlineStr">
        <is>
          <t>N</t>
        </is>
      </c>
      <c r="G12" s="34" t="n">
        <v>95.5</v>
      </c>
      <c r="H12" s="34" t="n">
        <v>111.5</v>
      </c>
      <c r="I12" s="67">
        <f>IF(ISNUMBER(tblY7[[#This Row],[Avg KS2]]),IFERROR(VLOOKUP(ROUND(STANDARDIZE(tblY7[[#This Row],[Avg KS2]],AVERAGE(tblY7[[Avg KS2]]),_xlfn.STDEV.P(tblY7[[Avg KS2]])),9),_Stanine,2),5),"")</f>
        <v>7</v>
      </c>
      <c r="J12" s="66" t="inlineStr">
        <is>
          <t>7A/Sc1</t>
        </is>
      </c>
      <c r="K12" s="67">
        <f>IF(tblY7[[#This Row],[Preferred Last name]]="","",COUNTIFS($N$1:$ZZ$1,"*"&amp;CHAR(10)&amp;"Stanine",$N12:$ZZ12,"&gt;=1"))</f>
        <v>4</v>
      </c>
      <c r="L12" s="68">
        <f>IFERROR(AVERAGEIF($N$1:$ZZ$1,"*"&amp;CHAR(10)&amp;"Stanine",$N12:$ZZ12),"")</f>
        <v>5.5</v>
      </c>
      <c r="M12" s="69">
        <f>IF(AND(ISNUMBER(tblY7[[#This Row],[Mean Stanine]]),ISNUMBER(tblY7[[#This Row],[Avg KS2 Band]]),ISNUMBER(SlopeY7)),tblY7[[#This Row],[Mean Stanine]]-(InterceptY7+SlopeY7*tblY7[[#This Row],[Avg KS2 Band]]),"")</f>
        <v>-0.896258199165176</v>
      </c>
      <c r="N12" s="66" t="n">
        <v>21</v>
      </c>
      <c r="O12" s="67">
        <f>IF(ISNUMBER(tblY7[[#This Row],[7B01 - Cells
Raw Score]]),IFERROR(VLOOKUP(ROUND(STANDARDIZE(tblY7[[#This Row],[7B01 - Cells
Raw Score]],AVERAGE(tblY7[[7B01 - Cells
Raw Score]]),_xlfn.STDEV.P(tblY7[[7B01 - Cells
Raw Score]])),9),_Stanine,2),5),"")</f>
        <v>6</v>
      </c>
      <c r="P12" s="66" t="n">
        <v>20</v>
      </c>
      <c r="Q12" s="67">
        <f>IF(ISNUMBER(tblY7[[#This Row],[7C01 - Particles
Raw Score]]),IFERROR(VLOOKUP(ROUND(STANDARDIZE(tblY7[[#This Row],[7C01 - Particles
Raw Score]],AVERAGE(tblY7[[7C01 - Particles
Raw Score]]),_xlfn.STDEV.P(tblY7[[7C01 - Particles
Raw Score]])),9),_Stanine,2),5),"")</f>
        <v>6</v>
      </c>
      <c r="R12" s="66" t="n">
        <v>24</v>
      </c>
      <c r="S12" s="67">
        <f>IF(ISNUMBER(tblY7[[#This Row],[7P01 - Forces
Raw Score]]),IFERROR(VLOOKUP(ROUND(STANDARDIZE(tblY7[[#This Row],[7P01 - Forces
Raw Score]],AVERAGE(tblY7[[7P01 - Forces
Raw Score]]),_xlfn.STDEV.P(tblY7[[7P01 - Forces
Raw Score]])),9),_Stanine,2),5),"")</f>
        <v>6</v>
      </c>
      <c r="T12" s="66" t="n">
        <v>16</v>
      </c>
      <c r="U12" s="67">
        <f>IF(ISNUMBER(tblY7[[#This Row],[7B02 - Organ Systems
Raw Score]]),IFERROR(VLOOKUP(ROUND(STANDARDIZE(tblY7[[#This Row],[7B02 - Organ Systems
Raw Score]],AVERAGE(tblY7[[7B02 - Organ Systems
Raw Score]]),_xlfn.STDEV.P(tblY7[[7B02 - Organ Systems
Raw Score]])),9),_Stanine,2),5),"")</f>
        <v>4</v>
      </c>
    </row>
    <row r="13">
      <c r="A13" s="65" t="inlineStr">
        <is>
          <t>X909842702228</t>
        </is>
      </c>
      <c r="B13" s="65" t="inlineStr">
        <is>
          <t>Kelly</t>
        </is>
      </c>
      <c r="C13" s="65" t="inlineStr">
        <is>
          <t>Maisie</t>
        </is>
      </c>
      <c r="D13" s="66" t="inlineStr">
        <is>
          <t>M</t>
        </is>
      </c>
      <c r="E13" s="66" t="inlineStr">
        <is>
          <t>N</t>
        </is>
      </c>
      <c r="F13" s="66" t="inlineStr">
        <is>
          <t>N</t>
        </is>
      </c>
      <c r="G13" s="34" t="n">
        <v>100</v>
      </c>
      <c r="H13" s="34" t="n">
        <v>108.5</v>
      </c>
      <c r="I13" s="67">
        <f>IF(ISNUMBER(tblY7[[#This Row],[Avg KS2]]),IFERROR(VLOOKUP(ROUND(STANDARDIZE(tblY7[[#This Row],[Avg KS2]],AVERAGE(tblY7[[Avg KS2]]),_xlfn.STDEV.P(tblY7[[Avg KS2]])),9),_Stanine,2),5),"")</f>
        <v>6</v>
      </c>
      <c r="J13" s="66" t="inlineStr">
        <is>
          <t>7A/Sc1</t>
        </is>
      </c>
      <c r="K13" s="67">
        <f>IF(tblY7[[#This Row],[Preferred Last name]]="","",COUNTIFS($N$1:$ZZ$1,"*"&amp;CHAR(10)&amp;"Stanine",$N13:$ZZ13,"&gt;=1"))</f>
        <v>4</v>
      </c>
      <c r="L13" s="68">
        <f>IFERROR(AVERAGEIF($N$1:$ZZ$1,"*"&amp;CHAR(10)&amp;"Stanine",$N13:$ZZ13),"")</f>
        <v>5.5</v>
      </c>
      <c r="M13" s="69">
        <f>IF(AND(ISNUMBER(tblY7[[#This Row],[Mean Stanine]]),ISNUMBER(tblY7[[#This Row],[Avg KS2 Band]]),ISNUMBER(SlopeY7)),tblY7[[#This Row],[Mean Stanine]]-(InterceptY7+SlopeY7*tblY7[[#This Row],[Avg KS2 Band]]),"")</f>
        <v>-0.201975253428741</v>
      </c>
      <c r="N13" s="66" t="n">
        <v>16</v>
      </c>
      <c r="O13" s="67">
        <f>IF(ISNUMBER(tblY7[[#This Row],[7B01 - Cells
Raw Score]]),IFERROR(VLOOKUP(ROUND(STANDARDIZE(tblY7[[#This Row],[7B01 - Cells
Raw Score]],AVERAGE(tblY7[[7B01 - Cells
Raw Score]]),_xlfn.STDEV.P(tblY7[[7B01 - Cells
Raw Score]])),9),_Stanine,2),5),"")</f>
        <v>5</v>
      </c>
      <c r="P13" s="66" t="n">
        <v>21</v>
      </c>
      <c r="Q13" s="67">
        <f>IF(ISNUMBER(tblY7[[#This Row],[7C01 - Particles
Raw Score]]),IFERROR(VLOOKUP(ROUND(STANDARDIZE(tblY7[[#This Row],[7C01 - Particles
Raw Score]],AVERAGE(tblY7[[7C01 - Particles
Raw Score]]),_xlfn.STDEV.P(tblY7[[7C01 - Particles
Raw Score]])),9),_Stanine,2),5),"")</f>
        <v>6</v>
      </c>
      <c r="R13" s="66" t="n">
        <v>22</v>
      </c>
      <c r="S13" s="67">
        <f>IF(ISNUMBER(tblY7[[#This Row],[7P01 - Forces
Raw Score]]),IFERROR(VLOOKUP(ROUND(STANDARDIZE(tblY7[[#This Row],[7P01 - Forces
Raw Score]],AVERAGE(tblY7[[7P01 - Forces
Raw Score]]),_xlfn.STDEV.P(tblY7[[7P01 - Forces
Raw Score]])),9),_Stanine,2),5),"")</f>
        <v>5</v>
      </c>
      <c r="T13" s="66" t="n">
        <v>20</v>
      </c>
      <c r="U13" s="67">
        <f>IF(ISNUMBER(tblY7[[#This Row],[7B02 - Organ Systems
Raw Score]]),IFERROR(VLOOKUP(ROUND(STANDARDIZE(tblY7[[#This Row],[7B02 - Organ Systems
Raw Score]],AVERAGE(tblY7[[7B02 - Organ Systems
Raw Score]]),_xlfn.STDEV.P(tblY7[[7B02 - Organ Systems
Raw Score]])),9),_Stanine,2),5),"")</f>
        <v>6</v>
      </c>
    </row>
    <row r="14">
      <c r="A14" s="65" t="inlineStr">
        <is>
          <t>X906841008529</t>
        </is>
      </c>
      <c r="B14" s="65" t="inlineStr">
        <is>
          <t>Mistry</t>
        </is>
      </c>
      <c r="C14" s="65" t="inlineStr">
        <is>
          <t>Niamh</t>
        </is>
      </c>
      <c r="D14" s="66" t="inlineStr">
        <is>
          <t>F</t>
        </is>
      </c>
      <c r="E14" s="66" t="n"/>
      <c r="F14" s="66" t="inlineStr">
        <is>
          <t>N</t>
        </is>
      </c>
      <c r="G14" s="34" t="n">
        <v>100</v>
      </c>
      <c r="H14" s="34" t="n">
        <v>108</v>
      </c>
      <c r="I14" s="67">
        <f>IF(ISNUMBER(tblY7[[#This Row],[Avg KS2]]),IFERROR(VLOOKUP(ROUND(STANDARDIZE(tblY7[[#This Row],[Avg KS2]],AVERAGE(tblY7[[Avg KS2]]),_xlfn.STDEV.P(tblY7[[Avg KS2]])),9),_Stanine,2),5),"")</f>
        <v>5</v>
      </c>
      <c r="J14" s="66" t="inlineStr">
        <is>
          <t>7A/Sc1</t>
        </is>
      </c>
      <c r="K14" s="67">
        <f>IF(tblY7[[#This Row],[Preferred Last name]]="","",COUNTIFS($N$1:$ZZ$1,"*"&amp;CHAR(10)&amp;"Stanine",$N14:$ZZ14,"&gt;=1"))</f>
        <v>4</v>
      </c>
      <c r="L14" s="68">
        <f>IFERROR(AVERAGEIF($N$1:$ZZ$1,"*"&amp;CHAR(10)&amp;"Stanine",$N14:$ZZ14),"")</f>
        <v>6.5</v>
      </c>
      <c r="M14" s="69">
        <f>IF(AND(ISNUMBER(tblY7[[#This Row],[Mean Stanine]]),ISNUMBER(tblY7[[#This Row],[Avg KS2 Band]]),ISNUMBER(SlopeY7)),tblY7[[#This Row],[Mean Stanine]]-(InterceptY7+SlopeY7*tblY7[[#This Row],[Avg KS2 Band]]),"")</f>
        <v>1.49230769230769</v>
      </c>
      <c r="N14" s="66" t="n">
        <v>25</v>
      </c>
      <c r="O14" s="67">
        <f>IF(ISNUMBER(tblY7[[#This Row],[7B01 - Cells
Raw Score]]),IFERROR(VLOOKUP(ROUND(STANDARDIZE(tblY7[[#This Row],[7B01 - Cells
Raw Score]],AVERAGE(tblY7[[7B01 - Cells
Raw Score]]),_xlfn.STDEV.P(tblY7[[7B01 - Cells
Raw Score]])),9),_Stanine,2),5),"")</f>
        <v>7</v>
      </c>
      <c r="P14" s="66" t="n">
        <v>19</v>
      </c>
      <c r="Q14" s="67">
        <f>IF(ISNUMBER(tblY7[[#This Row],[7C01 - Particles
Raw Score]]),IFERROR(VLOOKUP(ROUND(STANDARDIZE(tblY7[[#This Row],[7C01 - Particles
Raw Score]],AVERAGE(tblY7[[7C01 - Particles
Raw Score]]),_xlfn.STDEV.P(tblY7[[7C01 - Particles
Raw Score]])),9),_Stanine,2),5),"")</f>
        <v>5</v>
      </c>
      <c r="R14" s="66" t="n">
        <v>27</v>
      </c>
      <c r="S14" s="67">
        <f>IF(ISNUMBER(tblY7[[#This Row],[7P01 - Forces
Raw Score]]),IFERROR(VLOOKUP(ROUND(STANDARDIZE(tblY7[[#This Row],[7P01 - Forces
Raw Score]],AVERAGE(tblY7[[7P01 - Forces
Raw Score]]),_xlfn.STDEV.P(tblY7[[7P01 - Forces
Raw Score]])),9),_Stanine,2),5),"")</f>
        <v>7</v>
      </c>
      <c r="T14" s="66" t="n">
        <v>23</v>
      </c>
      <c r="U14" s="67">
        <f>IF(ISNUMBER(tblY7[[#This Row],[7B02 - Organ Systems
Raw Score]]),IFERROR(VLOOKUP(ROUND(STANDARDIZE(tblY7[[#This Row],[7B02 - Organ Systems
Raw Score]],AVERAGE(tblY7[[7B02 - Organ Systems
Raw Score]]),_xlfn.STDEV.P(tblY7[[7B02 - Organ Systems
Raw Score]])),9),_Stanine,2),5),"")</f>
        <v>7</v>
      </c>
    </row>
    <row r="15">
      <c r="A15" s="65" t="inlineStr">
        <is>
          <t>X908121334328</t>
        </is>
      </c>
      <c r="B15" s="65" t="inlineStr">
        <is>
          <t>Morgan</t>
        </is>
      </c>
      <c r="C15" s="65" t="inlineStr">
        <is>
          <t>Charlie</t>
        </is>
      </c>
      <c r="D15" s="66" t="inlineStr">
        <is>
          <t>F</t>
        </is>
      </c>
      <c r="E15" s="66" t="inlineStr">
        <is>
          <t>N</t>
        </is>
      </c>
      <c r="F15" s="66" t="inlineStr">
        <is>
          <t>N</t>
        </is>
      </c>
      <c r="G15" s="34" t="n">
        <v>92</v>
      </c>
      <c r="H15" s="34" t="n">
        <v>103</v>
      </c>
      <c r="I15" s="67">
        <f>IF(ISNUMBER(tblY7[[#This Row],[Avg KS2]]),IFERROR(VLOOKUP(ROUND(STANDARDIZE(tblY7[[#This Row],[Avg KS2]],AVERAGE(tblY7[[Avg KS2]]),_xlfn.STDEV.P(tblY7[[Avg KS2]])),9),_Stanine,2),5),"")</f>
        <v>3</v>
      </c>
      <c r="J15" s="66" t="inlineStr">
        <is>
          <t>7A/Sc1</t>
        </is>
      </c>
      <c r="K15" s="67">
        <f>IF(tblY7[[#This Row],[Preferred Last name]]="","",COUNTIFS($N$1:$ZZ$1,"*"&amp;CHAR(10)&amp;"Stanine",$N15:$ZZ15,"&gt;=1"))</f>
        <v>4</v>
      </c>
      <c r="L15" s="68">
        <f>IFERROR(AVERAGEIF($N$1:$ZZ$1,"*"&amp;CHAR(10)&amp;"Stanine",$N15:$ZZ15),"")</f>
        <v>4</v>
      </c>
      <c r="M15" s="69">
        <f>IF(AND(ISNUMBER(tblY7[[#This Row],[Mean Stanine]]),ISNUMBER(tblY7[[#This Row],[Avg KS2 Band]]),ISNUMBER(SlopeY7)),tblY7[[#This Row],[Mean Stanine]]-(InterceptY7+SlopeY7*tblY7[[#This Row],[Avg KS2 Band]]),"")</f>
        <v>0.380873583780561</v>
      </c>
      <c r="N15" s="66" t="n">
        <v>12</v>
      </c>
      <c r="O15" s="67">
        <f>IF(ISNUMBER(tblY7[[#This Row],[7B01 - Cells
Raw Score]]),IFERROR(VLOOKUP(ROUND(STANDARDIZE(tblY7[[#This Row],[7B01 - Cells
Raw Score]],AVERAGE(tblY7[[7B01 - Cells
Raw Score]]),_xlfn.STDEV.P(tblY7[[7B01 - Cells
Raw Score]])),9),_Stanine,2),5),"")</f>
        <v>3</v>
      </c>
      <c r="P15" s="66" t="n">
        <v>18</v>
      </c>
      <c r="Q15" s="67">
        <f>IF(ISNUMBER(tblY7[[#This Row],[7C01 - Particles
Raw Score]]),IFERROR(VLOOKUP(ROUND(STANDARDIZE(tblY7[[#This Row],[7C01 - Particles
Raw Score]],AVERAGE(tblY7[[7C01 - Particles
Raw Score]]),_xlfn.STDEV.P(tblY7[[7C01 - Particles
Raw Score]])),9),_Stanine,2),5),"")</f>
        <v>5</v>
      </c>
      <c r="R15" s="66" t="n">
        <v>16</v>
      </c>
      <c r="S15" s="67">
        <f>IF(ISNUMBER(tblY7[[#This Row],[7P01 - Forces
Raw Score]]),IFERROR(VLOOKUP(ROUND(STANDARDIZE(tblY7[[#This Row],[7P01 - Forces
Raw Score]],AVERAGE(tblY7[[7P01 - Forces
Raw Score]]),_xlfn.STDEV.P(tblY7[[7P01 - Forces
Raw Score]])),9),_Stanine,2),5),"")</f>
        <v>3</v>
      </c>
      <c r="T15" s="66" t="n">
        <v>19</v>
      </c>
      <c r="U15" s="67">
        <f>IF(ISNUMBER(tblY7[[#This Row],[7B02 - Organ Systems
Raw Score]]),IFERROR(VLOOKUP(ROUND(STANDARDIZE(tblY7[[#This Row],[7B02 - Organ Systems
Raw Score]],AVERAGE(tblY7[[7B02 - Organ Systems
Raw Score]]),_xlfn.STDEV.P(tblY7[[7B02 - Organ Systems
Raw Score]])),9),_Stanine,2),5),"")</f>
        <v>5</v>
      </c>
    </row>
    <row r="16">
      <c r="A16" s="65" t="inlineStr">
        <is>
          <t>X906077963536</t>
        </is>
      </c>
      <c r="B16" s="65" t="inlineStr">
        <is>
          <t>Morgan</t>
        </is>
      </c>
      <c r="C16" s="65" t="inlineStr">
        <is>
          <t>George</t>
        </is>
      </c>
      <c r="D16" s="66" t="inlineStr">
        <is>
          <t>F</t>
        </is>
      </c>
      <c r="E16" s="66" t="inlineStr">
        <is>
          <t>N</t>
        </is>
      </c>
      <c r="F16" s="66" t="inlineStr">
        <is>
          <t>Y</t>
        </is>
      </c>
      <c r="G16" s="34" t="n">
        <v>83.5</v>
      </c>
      <c r="H16" s="34" t="n">
        <v>109</v>
      </c>
      <c r="I16" s="67">
        <f>IF(ISNUMBER(tblY7[[#This Row],[Avg KS2]]),IFERROR(VLOOKUP(ROUND(STANDARDIZE(tblY7[[#This Row],[Avg KS2]],AVERAGE(tblY7[[Avg KS2]]),_xlfn.STDEV.P(tblY7[[Avg KS2]])),9),_Stanine,2),5),"")</f>
        <v>6</v>
      </c>
      <c r="J16" s="66" t="inlineStr">
        <is>
          <t>7A/Sc1</t>
        </is>
      </c>
      <c r="K16" s="67">
        <f>IF(tblY7[[#This Row],[Preferred Last name]]="","",COUNTIFS($N$1:$ZZ$1,"*"&amp;CHAR(10)&amp;"Stanine",$N16:$ZZ16,"&gt;=1"))</f>
        <v>4</v>
      </c>
      <c r="L16" s="68">
        <f>IFERROR(AVERAGEIF($N$1:$ZZ$1,"*"&amp;CHAR(10)&amp;"Stanine",$N16:$ZZ16),"")</f>
        <v>6.75</v>
      </c>
      <c r="M16" s="69">
        <f>IF(AND(ISNUMBER(tblY7[[#This Row],[Mean Stanine]]),ISNUMBER(tblY7[[#This Row],[Avg KS2 Band]]),ISNUMBER(SlopeY7)),tblY7[[#This Row],[Mean Stanine]]-(InterceptY7+SlopeY7*tblY7[[#This Row],[Avg KS2 Band]]),"")</f>
        <v>1.04802474657126</v>
      </c>
      <c r="N16" s="66" t="n">
        <v>24</v>
      </c>
      <c r="O16" s="67">
        <f>IF(ISNUMBER(tblY7[[#This Row],[7B01 - Cells
Raw Score]]),IFERROR(VLOOKUP(ROUND(STANDARDIZE(tblY7[[#This Row],[7B01 - Cells
Raw Score]],AVERAGE(tblY7[[7B01 - Cells
Raw Score]]),_xlfn.STDEV.P(tblY7[[7B01 - Cells
Raw Score]])),9),_Stanine,2),5),"")</f>
        <v>7</v>
      </c>
      <c r="P16" s="66" t="n">
        <v>22</v>
      </c>
      <c r="Q16" s="67">
        <f>IF(ISNUMBER(tblY7[[#This Row],[7C01 - Particles
Raw Score]]),IFERROR(VLOOKUP(ROUND(STANDARDIZE(tblY7[[#This Row],[7C01 - Particles
Raw Score]],AVERAGE(tblY7[[7C01 - Particles
Raw Score]]),_xlfn.STDEV.P(tblY7[[7C01 - Particles
Raw Score]])),9),_Stanine,2),5),"")</f>
        <v>7</v>
      </c>
      <c r="R16" s="66" t="n">
        <v>24</v>
      </c>
      <c r="S16" s="67">
        <f>IF(ISNUMBER(tblY7[[#This Row],[7P01 - Forces
Raw Score]]),IFERROR(VLOOKUP(ROUND(STANDARDIZE(tblY7[[#This Row],[7P01 - Forces
Raw Score]],AVERAGE(tblY7[[7P01 - Forces
Raw Score]]),_xlfn.STDEV.P(tblY7[[7P01 - Forces
Raw Score]])),9),_Stanine,2),5),"")</f>
        <v>6</v>
      </c>
      <c r="T16" s="66" t="n">
        <v>22</v>
      </c>
      <c r="U16" s="67">
        <f>IF(ISNUMBER(tblY7[[#This Row],[7B02 - Organ Systems
Raw Score]]),IFERROR(VLOOKUP(ROUND(STANDARDIZE(tblY7[[#This Row],[7B02 - Organ Systems
Raw Score]],AVERAGE(tblY7[[7B02 - Organ Systems
Raw Score]]),_xlfn.STDEV.P(tblY7[[7B02 - Organ Systems
Raw Score]])),9),_Stanine,2),5),"")</f>
        <v>7</v>
      </c>
    </row>
    <row r="17">
      <c r="A17" s="65" t="inlineStr">
        <is>
          <t>X909507757224</t>
        </is>
      </c>
      <c r="B17" s="65" t="inlineStr">
        <is>
          <t>Murphy</t>
        </is>
      </c>
      <c r="C17" s="65" t="inlineStr">
        <is>
          <t>Hollie</t>
        </is>
      </c>
      <c r="D17" s="66" t="inlineStr">
        <is>
          <t>F</t>
        </is>
      </c>
      <c r="E17" s="66" t="inlineStr">
        <is>
          <t>N</t>
        </is>
      </c>
      <c r="F17" s="66" t="inlineStr">
        <is>
          <t>Y</t>
        </is>
      </c>
      <c r="G17" s="34" t="n">
        <v>86.90000000000001</v>
      </c>
      <c r="H17" s="34" t="n">
        <v>101.5</v>
      </c>
      <c r="I17" s="67">
        <f>IF(ISNUMBER(tblY7[[#This Row],[Avg KS2]]),IFERROR(VLOOKUP(ROUND(STANDARDIZE(tblY7[[#This Row],[Avg KS2]],AVERAGE(tblY7[[Avg KS2]]),_xlfn.STDEV.P(tblY7[[Avg KS2]])),9),_Stanine,2),5),"")</f>
        <v>3</v>
      </c>
      <c r="J17" s="66" t="inlineStr">
        <is>
          <t>7A/Sc1</t>
        </is>
      </c>
      <c r="K17" s="67">
        <f>IF(tblY7[[#This Row],[Preferred Last name]]="","",COUNTIFS($N$1:$ZZ$1,"*"&amp;CHAR(10)&amp;"Stanine",$N17:$ZZ17,"&gt;=1"))</f>
        <v>4</v>
      </c>
      <c r="L17" s="68">
        <f>IFERROR(AVERAGEIF($N$1:$ZZ$1,"*"&amp;CHAR(10)&amp;"Stanine",$N17:$ZZ17),"")</f>
        <v>3.5</v>
      </c>
      <c r="M17" s="69">
        <f>IF(AND(ISNUMBER(tblY7[[#This Row],[Mean Stanine]]),ISNUMBER(tblY7[[#This Row],[Avg KS2 Band]]),ISNUMBER(SlopeY7)),tblY7[[#This Row],[Mean Stanine]]-(InterceptY7+SlopeY7*tblY7[[#This Row],[Avg KS2 Band]]),"")</f>
        <v>-0.119126416219439</v>
      </c>
      <c r="N17" s="66" t="n">
        <v>17</v>
      </c>
      <c r="O17" s="67">
        <f>IF(ISNUMBER(tblY7[[#This Row],[7B01 - Cells
Raw Score]]),IFERROR(VLOOKUP(ROUND(STANDARDIZE(tblY7[[#This Row],[7B01 - Cells
Raw Score]],AVERAGE(tblY7[[7B01 - Cells
Raw Score]]),_xlfn.STDEV.P(tblY7[[7B01 - Cells
Raw Score]])),9),_Stanine,2),5),"")</f>
        <v>5</v>
      </c>
      <c r="P17" s="66" t="n">
        <v>16</v>
      </c>
      <c r="Q17" s="67">
        <f>IF(ISNUMBER(tblY7[[#This Row],[7C01 - Particles
Raw Score]]),IFERROR(VLOOKUP(ROUND(STANDARDIZE(tblY7[[#This Row],[7C01 - Particles
Raw Score]],AVERAGE(tblY7[[7C01 - Particles
Raw Score]]),_xlfn.STDEV.P(tblY7[[7C01 - Particles
Raw Score]])),9),_Stanine,2),5),"")</f>
        <v>4</v>
      </c>
      <c r="R17" s="66" t="n">
        <v>13</v>
      </c>
      <c r="S17" s="67">
        <f>IF(ISNUMBER(tblY7[[#This Row],[7P01 - Forces
Raw Score]]),IFERROR(VLOOKUP(ROUND(STANDARDIZE(tblY7[[#This Row],[7P01 - Forces
Raw Score]],AVERAGE(tblY7[[7P01 - Forces
Raw Score]]),_xlfn.STDEV.P(tblY7[[7P01 - Forces
Raw Score]])),9),_Stanine,2),5),"")</f>
        <v>2</v>
      </c>
      <c r="T17" s="66" t="n">
        <v>11</v>
      </c>
      <c r="U17" s="67">
        <f>IF(ISNUMBER(tblY7[[#This Row],[7B02 - Organ Systems
Raw Score]]),IFERROR(VLOOKUP(ROUND(STANDARDIZE(tblY7[[#This Row],[7B02 - Organ Systems
Raw Score]],AVERAGE(tblY7[[7B02 - Organ Systems
Raw Score]]),_xlfn.STDEV.P(tblY7[[7B02 - Organ Systems
Raw Score]])),9),_Stanine,2),5),"")</f>
        <v>3</v>
      </c>
    </row>
    <row r="18">
      <c r="A18" s="65" t="inlineStr">
        <is>
          <t>X902295557652</t>
        </is>
      </c>
      <c r="B18" s="65" t="inlineStr">
        <is>
          <t>Nowak</t>
        </is>
      </c>
      <c r="C18" s="65" t="inlineStr">
        <is>
          <t>Seren</t>
        </is>
      </c>
      <c r="D18" s="66" t="inlineStr">
        <is>
          <t>M</t>
        </is>
      </c>
      <c r="E18" s="66" t="n"/>
      <c r="F18" s="66" t="inlineStr">
        <is>
          <t>Y</t>
        </is>
      </c>
      <c r="G18" s="34" t="n">
        <v>100</v>
      </c>
      <c r="H18" s="34" t="n">
        <v>110.5</v>
      </c>
      <c r="I18" s="67">
        <f>IF(ISNUMBER(tblY7[[#This Row],[Avg KS2]]),IFERROR(VLOOKUP(ROUND(STANDARDIZE(tblY7[[#This Row],[Avg KS2]],AVERAGE(tblY7[[Avg KS2]]),_xlfn.STDEV.P(tblY7[[Avg KS2]])),9),_Stanine,2),5),"")</f>
        <v>6</v>
      </c>
      <c r="J18" s="66" t="inlineStr">
        <is>
          <t>7A/Sc1</t>
        </is>
      </c>
      <c r="K18" s="67">
        <f>IF(tblY7[[#This Row],[Preferred Last name]]="","",COUNTIFS($N$1:$ZZ$1,"*"&amp;CHAR(10)&amp;"Stanine",$N18:$ZZ18,"&gt;=1"))</f>
        <v>4</v>
      </c>
      <c r="L18" s="68">
        <f>IFERROR(AVERAGEIF($N$1:$ZZ$1,"*"&amp;CHAR(10)&amp;"Stanine",$N18:$ZZ18),"")</f>
        <v>5.5</v>
      </c>
      <c r="M18" s="69">
        <f>IF(AND(ISNUMBER(tblY7[[#This Row],[Mean Stanine]]),ISNUMBER(tblY7[[#This Row],[Avg KS2 Band]]),ISNUMBER(SlopeY7)),tblY7[[#This Row],[Mean Stanine]]-(InterceptY7+SlopeY7*tblY7[[#This Row],[Avg KS2 Band]]),"")</f>
        <v>-0.201975253428741</v>
      </c>
      <c r="N18" s="66" t="n">
        <v>20</v>
      </c>
      <c r="O18" s="67">
        <f>IF(ISNUMBER(tblY7[[#This Row],[7B01 - Cells
Raw Score]]),IFERROR(VLOOKUP(ROUND(STANDARDIZE(tblY7[[#This Row],[7B01 - Cells
Raw Score]],AVERAGE(tblY7[[7B01 - Cells
Raw Score]]),_xlfn.STDEV.P(tblY7[[7B01 - Cells
Raw Score]])),9),_Stanine,2),5),"")</f>
        <v>6</v>
      </c>
      <c r="P18" s="66" t="n">
        <v>19</v>
      </c>
      <c r="Q18" s="67">
        <f>IF(ISNUMBER(tblY7[[#This Row],[7C01 - Particles
Raw Score]]),IFERROR(VLOOKUP(ROUND(STANDARDIZE(tblY7[[#This Row],[7C01 - Particles
Raw Score]],AVERAGE(tblY7[[7C01 - Particles
Raw Score]]),_xlfn.STDEV.P(tblY7[[7C01 - Particles
Raw Score]])),9),_Stanine,2),5),"")</f>
        <v>5</v>
      </c>
      <c r="R18" s="66" t="n">
        <v>25</v>
      </c>
      <c r="S18" s="67">
        <f>IF(ISNUMBER(tblY7[[#This Row],[7P01 - Forces
Raw Score]]),IFERROR(VLOOKUP(ROUND(STANDARDIZE(tblY7[[#This Row],[7P01 - Forces
Raw Score]],AVERAGE(tblY7[[7P01 - Forces
Raw Score]]),_xlfn.STDEV.P(tblY7[[7P01 - Forces
Raw Score]])),9),_Stanine,2),5),"")</f>
        <v>6</v>
      </c>
      <c r="T18" s="66" t="n">
        <v>19</v>
      </c>
      <c r="U18" s="67">
        <f>IF(ISNUMBER(tblY7[[#This Row],[7B02 - Organ Systems
Raw Score]]),IFERROR(VLOOKUP(ROUND(STANDARDIZE(tblY7[[#This Row],[7B02 - Organ Systems
Raw Score]],AVERAGE(tblY7[[7B02 - Organ Systems
Raw Score]]),_xlfn.STDEV.P(tblY7[[7B02 - Organ Systems
Raw Score]])),9),_Stanine,2),5),"")</f>
        <v>5</v>
      </c>
    </row>
    <row r="19">
      <c r="A19" s="65" t="inlineStr">
        <is>
          <t>X900502714124</t>
        </is>
      </c>
      <c r="B19" s="65" t="inlineStr">
        <is>
          <t>Pearson</t>
        </is>
      </c>
      <c r="C19" s="65" t="inlineStr">
        <is>
          <t>Dylan</t>
        </is>
      </c>
      <c r="D19" s="66" t="inlineStr">
        <is>
          <t>M</t>
        </is>
      </c>
      <c r="E19" s="66" t="inlineStr">
        <is>
          <t>K</t>
        </is>
      </c>
      <c r="F19" s="66" t="inlineStr">
        <is>
          <t>N</t>
        </is>
      </c>
      <c r="G19" s="34" t="n">
        <v>85</v>
      </c>
      <c r="H19" s="34" t="n">
        <v>108.5</v>
      </c>
      <c r="I19" s="67">
        <f>IF(ISNUMBER(tblY7[[#This Row],[Avg KS2]]),IFERROR(VLOOKUP(ROUND(STANDARDIZE(tblY7[[#This Row],[Avg KS2]],AVERAGE(tblY7[[Avg KS2]]),_xlfn.STDEV.P(tblY7[[Avg KS2]])),9),_Stanine,2),5),"")</f>
        <v>6</v>
      </c>
      <c r="J19" s="66" t="inlineStr">
        <is>
          <t>7A/Sc1</t>
        </is>
      </c>
      <c r="K19" s="67">
        <f>IF(tblY7[[#This Row],[Preferred Last name]]="","",COUNTIFS($N$1:$ZZ$1,"*"&amp;CHAR(10)&amp;"Stanine",$N19:$ZZ19,"&gt;=1"))</f>
        <v>3</v>
      </c>
      <c r="L19" s="68">
        <f>IFERROR(AVERAGEIF($N$1:$ZZ$1,"*"&amp;CHAR(10)&amp;"Stanine",$N19:$ZZ19),"")</f>
        <v>6.66666666666667</v>
      </c>
      <c r="M19" s="69">
        <f>IF(AND(ISNUMBER(tblY7[[#This Row],[Mean Stanine]]),ISNUMBER(tblY7[[#This Row],[Avg KS2 Band]]),ISNUMBER(SlopeY7)),tblY7[[#This Row],[Mean Stanine]]-(InterceptY7+SlopeY7*tblY7[[#This Row],[Avg KS2 Band]]),"")</f>
        <v>0.964691413237926</v>
      </c>
      <c r="N19" s="66" t="inlineStr">
        <is>
          <t>A</t>
        </is>
      </c>
      <c r="O19" s="67" t="str">
        <f>IF(ISNUMBER(tblY7[[#This Row],[7B01 - Cells
Raw Score]]),IFERROR(VLOOKUP(ROUND(STANDARDIZE(tblY7[[#This Row],[7B01 - Cells
Raw Score]],AVERAGE(tblY7[[7B01 - Cells
Raw Score]]),_xlfn.STDEV.P(tblY7[[7B01 - Cells
Raw Score]])),9),_Stanine,2),5),"")</f>
        <v/>
      </c>
      <c r="P19" s="66" t="n">
        <v>22</v>
      </c>
      <c r="Q19" s="67">
        <f>IF(ISNUMBER(tblY7[[#This Row],[7C01 - Particles
Raw Score]]),IFERROR(VLOOKUP(ROUND(STANDARDIZE(tblY7[[#This Row],[7C01 - Particles
Raw Score]],AVERAGE(tblY7[[7C01 - Particles
Raw Score]]),_xlfn.STDEV.P(tblY7[[7C01 - Particles
Raw Score]])),9),_Stanine,2),5),"")</f>
        <v>7</v>
      </c>
      <c r="R19" s="66" t="n">
        <v>26</v>
      </c>
      <c r="S19" s="67">
        <f>IF(ISNUMBER(tblY7[[#This Row],[7P01 - Forces
Raw Score]]),IFERROR(VLOOKUP(ROUND(STANDARDIZE(tblY7[[#This Row],[7P01 - Forces
Raw Score]],AVERAGE(tblY7[[7P01 - Forces
Raw Score]]),_xlfn.STDEV.P(tblY7[[7P01 - Forces
Raw Score]])),9),_Stanine,2),5),"")</f>
        <v>7</v>
      </c>
      <c r="T19" s="66" t="n">
        <v>20</v>
      </c>
      <c r="U19" s="67">
        <f>IF(ISNUMBER(tblY7[[#This Row],[7B02 - Organ Systems
Raw Score]]),IFERROR(VLOOKUP(ROUND(STANDARDIZE(tblY7[[#This Row],[7B02 - Organ Systems
Raw Score]],AVERAGE(tblY7[[7B02 - Organ Systems
Raw Score]]),_xlfn.STDEV.P(tblY7[[7B02 - Organ Systems
Raw Score]])),9),_Stanine,2),5),"")</f>
        <v>6</v>
      </c>
    </row>
    <row r="20">
      <c r="A20" s="65" t="inlineStr">
        <is>
          <t>X908557917671</t>
        </is>
      </c>
      <c r="B20" s="65" t="inlineStr">
        <is>
          <t>Robinson</t>
        </is>
      </c>
      <c r="C20" s="65" t="inlineStr">
        <is>
          <t>Chidi</t>
        </is>
      </c>
      <c r="D20" s="66" t="inlineStr">
        <is>
          <t>M</t>
        </is>
      </c>
      <c r="E20" s="66" t="inlineStr">
        <is>
          <t>N</t>
        </is>
      </c>
      <c r="F20" s="66" t="inlineStr">
        <is>
          <t>Y</t>
        </is>
      </c>
      <c r="G20" s="34" t="n">
        <v>87.40000000000001</v>
      </c>
      <c r="H20" s="34" t="n">
        <v>113</v>
      </c>
      <c r="I20" s="67">
        <f>IF(ISNUMBER(tblY7[[#This Row],[Avg KS2]]),IFERROR(VLOOKUP(ROUND(STANDARDIZE(tblY7[[#This Row],[Avg KS2]],AVERAGE(tblY7[[Avg KS2]]),_xlfn.STDEV.P(tblY7[[Avg KS2]])),9),_Stanine,2),5),"")</f>
        <v>7</v>
      </c>
      <c r="J20" s="66" t="inlineStr">
        <is>
          <t>7A/Sc1</t>
        </is>
      </c>
      <c r="K20" s="67">
        <f>IF(tblY7[[#This Row],[Preferred Last name]]="","",COUNTIFS($N$1:$ZZ$1,"*"&amp;CHAR(10)&amp;"Stanine",$N20:$ZZ20,"&gt;=1"))</f>
        <v>4</v>
      </c>
      <c r="L20" s="68">
        <f>IFERROR(AVERAGEIF($N$1:$ZZ$1,"*"&amp;CHAR(10)&amp;"Stanine",$N20:$ZZ20),"")</f>
        <v>5.5</v>
      </c>
      <c r="M20" s="69">
        <f>IF(AND(ISNUMBER(tblY7[[#This Row],[Mean Stanine]]),ISNUMBER(tblY7[[#This Row],[Avg KS2 Band]]),ISNUMBER(SlopeY7)),tblY7[[#This Row],[Mean Stanine]]-(InterceptY7+SlopeY7*tblY7[[#This Row],[Avg KS2 Band]]),"")</f>
        <v>-0.896258199165176</v>
      </c>
      <c r="N20" s="66" t="n">
        <v>19</v>
      </c>
      <c r="O20" s="67">
        <f>IF(ISNUMBER(tblY7[[#This Row],[7B01 - Cells
Raw Score]]),IFERROR(VLOOKUP(ROUND(STANDARDIZE(tblY7[[#This Row],[7B01 - Cells
Raw Score]],AVERAGE(tblY7[[7B01 - Cells
Raw Score]]),_xlfn.STDEV.P(tblY7[[7B01 - Cells
Raw Score]])),9),_Stanine,2),5),"")</f>
        <v>5</v>
      </c>
      <c r="P20" s="66" t="n">
        <v>19</v>
      </c>
      <c r="Q20" s="67">
        <f>IF(ISNUMBER(tblY7[[#This Row],[7C01 - Particles
Raw Score]]),IFERROR(VLOOKUP(ROUND(STANDARDIZE(tblY7[[#This Row],[7C01 - Particles
Raw Score]],AVERAGE(tblY7[[7C01 - Particles
Raw Score]]),_xlfn.STDEV.P(tblY7[[7C01 - Particles
Raw Score]])),9),_Stanine,2),5),"")</f>
        <v>5</v>
      </c>
      <c r="R20" s="66" t="n">
        <v>25</v>
      </c>
      <c r="S20" s="67">
        <f>IF(ISNUMBER(tblY7[[#This Row],[7P01 - Forces
Raw Score]]),IFERROR(VLOOKUP(ROUND(STANDARDIZE(tblY7[[#This Row],[7P01 - Forces
Raw Score]],AVERAGE(tblY7[[7P01 - Forces
Raw Score]]),_xlfn.STDEV.P(tblY7[[7P01 - Forces
Raw Score]])),9),_Stanine,2),5),"")</f>
        <v>6</v>
      </c>
      <c r="T20" s="66" t="n">
        <v>21</v>
      </c>
      <c r="U20" s="67">
        <f>IF(ISNUMBER(tblY7[[#This Row],[7B02 - Organ Systems
Raw Score]]),IFERROR(VLOOKUP(ROUND(STANDARDIZE(tblY7[[#This Row],[7B02 - Organ Systems
Raw Score]],AVERAGE(tblY7[[7B02 - Organ Systems
Raw Score]]),_xlfn.STDEV.P(tblY7[[7B02 - Organ Systems
Raw Score]])),9),_Stanine,2),5),"")</f>
        <v>6</v>
      </c>
    </row>
    <row r="21">
      <c r="A21" s="65" t="inlineStr">
        <is>
          <t>X906543943903</t>
        </is>
      </c>
      <c r="B21" s="65" t="inlineStr">
        <is>
          <t>Robinson</t>
        </is>
      </c>
      <c r="C21" s="65" t="inlineStr">
        <is>
          <t>Oscar</t>
        </is>
      </c>
      <c r="D21" s="66" t="inlineStr">
        <is>
          <t>F</t>
        </is>
      </c>
      <c r="E21" s="66" t="inlineStr">
        <is>
          <t>N</t>
        </is>
      </c>
      <c r="F21" s="66" t="inlineStr">
        <is>
          <t>Y</t>
        </is>
      </c>
      <c r="G21" s="34" t="n">
        <v>93.59999999999999</v>
      </c>
      <c r="H21" s="34" t="n">
        <v>101</v>
      </c>
      <c r="I21" s="67">
        <f>IF(ISNUMBER(tblY7[[#This Row],[Avg KS2]]),IFERROR(VLOOKUP(ROUND(STANDARDIZE(tblY7[[#This Row],[Avg KS2]],AVERAGE(tblY7[[Avg KS2]]),_xlfn.STDEV.P(tblY7[[Avg KS2]])),9),_Stanine,2),5),"")</f>
        <v>3</v>
      </c>
      <c r="J21" s="66" t="inlineStr">
        <is>
          <t>7A/Sc1</t>
        </is>
      </c>
      <c r="K21" s="67">
        <f>IF(tblY7[[#This Row],[Preferred Last name]]="","",COUNTIFS($N$1:$ZZ$1,"*"&amp;CHAR(10)&amp;"Stanine",$N21:$ZZ21,"&gt;=1"))</f>
        <v>4</v>
      </c>
      <c r="L21" s="68">
        <f>IFERROR(AVERAGEIF($N$1:$ZZ$1,"*"&amp;CHAR(10)&amp;"Stanine",$N21:$ZZ21),"")</f>
        <v>3.25</v>
      </c>
      <c r="M21" s="69">
        <f>IF(AND(ISNUMBER(tblY7[[#This Row],[Mean Stanine]]),ISNUMBER(tblY7[[#This Row],[Avg KS2 Band]]),ISNUMBER(SlopeY7)),tblY7[[#This Row],[Mean Stanine]]-(InterceptY7+SlopeY7*tblY7[[#This Row],[Avg KS2 Band]]),"")</f>
        <v>-0.369126416219439</v>
      </c>
      <c r="N21" s="66" t="n">
        <v>12</v>
      </c>
      <c r="O21" s="67">
        <f>IF(ISNUMBER(tblY7[[#This Row],[7B01 - Cells
Raw Score]]),IFERROR(VLOOKUP(ROUND(STANDARDIZE(tblY7[[#This Row],[7B01 - Cells
Raw Score]],AVERAGE(tblY7[[7B01 - Cells
Raw Score]]),_xlfn.STDEV.P(tblY7[[7B01 - Cells
Raw Score]])),9),_Stanine,2),5),"")</f>
        <v>3</v>
      </c>
      <c r="P21" s="66" t="n">
        <v>13</v>
      </c>
      <c r="Q21" s="67">
        <f>IF(ISNUMBER(tblY7[[#This Row],[7C01 - Particles
Raw Score]]),IFERROR(VLOOKUP(ROUND(STANDARDIZE(tblY7[[#This Row],[7C01 - Particles
Raw Score]],AVERAGE(tblY7[[7C01 - Particles
Raw Score]]),_xlfn.STDEV.P(tblY7[[7C01 - Particles
Raw Score]])),9),_Stanine,2),5),"")</f>
        <v>2</v>
      </c>
      <c r="R21" s="66" t="n">
        <v>21</v>
      </c>
      <c r="S21" s="67">
        <f>IF(ISNUMBER(tblY7[[#This Row],[7P01 - Forces
Raw Score]]),IFERROR(VLOOKUP(ROUND(STANDARDIZE(tblY7[[#This Row],[7P01 - Forces
Raw Score]],AVERAGE(tblY7[[7P01 - Forces
Raw Score]]),_xlfn.STDEV.P(tblY7[[7P01 - Forces
Raw Score]])),9),_Stanine,2),5),"")</f>
        <v>5</v>
      </c>
      <c r="T21" s="66" t="n">
        <v>12</v>
      </c>
      <c r="U21" s="67">
        <f>IF(ISNUMBER(tblY7[[#This Row],[7B02 - Organ Systems
Raw Score]]),IFERROR(VLOOKUP(ROUND(STANDARDIZE(tblY7[[#This Row],[7B02 - Organ Systems
Raw Score]],AVERAGE(tblY7[[7B02 - Organ Systems
Raw Score]]),_xlfn.STDEV.P(tblY7[[7B02 - Organ Systems
Raw Score]])),9),_Stanine,2),5),"")</f>
        <v>3</v>
      </c>
    </row>
    <row r="22">
      <c r="A22" s="65" t="inlineStr">
        <is>
          <t>X902759059148</t>
        </is>
      </c>
      <c r="B22" s="65" t="inlineStr">
        <is>
          <t>Taylor</t>
        </is>
      </c>
      <c r="C22" s="65" t="inlineStr">
        <is>
          <t>Jack</t>
        </is>
      </c>
      <c r="D22" s="66" t="inlineStr">
        <is>
          <t>M</t>
        </is>
      </c>
      <c r="E22" s="66" t="inlineStr">
        <is>
          <t>K</t>
        </is>
      </c>
      <c r="F22" s="66" t="inlineStr">
        <is>
          <t>N</t>
        </is>
      </c>
      <c r="G22" s="34" t="n">
        <v>96.09999999999999</v>
      </c>
      <c r="H22" s="34" t="n">
        <v>101</v>
      </c>
      <c r="I22" s="67">
        <f>IF(ISNUMBER(tblY7[[#This Row],[Avg KS2]]),IFERROR(VLOOKUP(ROUND(STANDARDIZE(tblY7[[#This Row],[Avg KS2]],AVERAGE(tblY7[[Avg KS2]]),_xlfn.STDEV.P(tblY7[[Avg KS2]])),9),_Stanine,2),5),"")</f>
        <v>3</v>
      </c>
      <c r="J22" s="66" t="inlineStr">
        <is>
          <t>7A/Sc1</t>
        </is>
      </c>
      <c r="K22" s="67">
        <f>IF(tblY7[[#This Row],[Preferred Last name]]="","",COUNTIFS($N$1:$ZZ$1,"*"&amp;CHAR(10)&amp;"Stanine",$N22:$ZZ22,"&gt;=1"))</f>
        <v>4</v>
      </c>
      <c r="L22" s="68">
        <f>IFERROR(AVERAGEIF($N$1:$ZZ$1,"*"&amp;CHAR(10)&amp;"Stanine",$N22:$ZZ22),"")</f>
        <v>1.75</v>
      </c>
      <c r="M22" s="69">
        <f>IF(AND(ISNUMBER(tblY7[[#This Row],[Mean Stanine]]),ISNUMBER(tblY7[[#This Row],[Avg KS2 Band]]),ISNUMBER(SlopeY7)),tblY7[[#This Row],[Mean Stanine]]-(InterceptY7+SlopeY7*tblY7[[#This Row],[Avg KS2 Band]]),"")</f>
        <v>-1.86912641621944</v>
      </c>
      <c r="N22" s="66" t="n">
        <v>9</v>
      </c>
      <c r="O22" s="67">
        <f>IF(ISNUMBER(tblY7[[#This Row],[7B01 - Cells
Raw Score]]),IFERROR(VLOOKUP(ROUND(STANDARDIZE(tblY7[[#This Row],[7B01 - Cells
Raw Score]],AVERAGE(tblY7[[7B01 - Cells
Raw Score]]),_xlfn.STDEV.P(tblY7[[7B01 - Cells
Raw Score]])),9),_Stanine,2),5),"")</f>
        <v>2</v>
      </c>
      <c r="P22" s="66" t="n">
        <v>12</v>
      </c>
      <c r="Q22" s="67">
        <f>IF(ISNUMBER(tblY7[[#This Row],[7C01 - Particles
Raw Score]]),IFERROR(VLOOKUP(ROUND(STANDARDIZE(tblY7[[#This Row],[7C01 - Particles
Raw Score]],AVERAGE(tblY7[[7C01 - Particles
Raw Score]]),_xlfn.STDEV.P(tblY7[[7C01 - Particles
Raw Score]])),9),_Stanine,2),5),"")</f>
        <v>2</v>
      </c>
      <c r="R22" s="66" t="n">
        <v>14</v>
      </c>
      <c r="S22" s="67">
        <f>IF(ISNUMBER(tblY7[[#This Row],[7P01 - Forces
Raw Score]]),IFERROR(VLOOKUP(ROUND(STANDARDIZE(tblY7[[#This Row],[7P01 - Forces
Raw Score]],AVERAGE(tblY7[[7P01 - Forces
Raw Score]]),_xlfn.STDEV.P(tblY7[[7P01 - Forces
Raw Score]])),9),_Stanine,2),5),"")</f>
        <v>2</v>
      </c>
      <c r="T22" s="66" t="n">
        <v>7</v>
      </c>
      <c r="U22" s="67">
        <f>IF(ISNUMBER(tblY7[[#This Row],[7B02 - Organ Systems
Raw Score]]),IFERROR(VLOOKUP(ROUND(STANDARDIZE(tblY7[[#This Row],[7B02 - Organ Systems
Raw Score]],AVERAGE(tblY7[[7B02 - Organ Systems
Raw Score]]),_xlfn.STDEV.P(tblY7[[7B02 - Organ Systems
Raw Score]])),9),_Stanine,2),5),"")</f>
        <v>1</v>
      </c>
    </row>
    <row r="23">
      <c r="A23" s="65" t="inlineStr">
        <is>
          <t>X905673909754</t>
        </is>
      </c>
      <c r="B23" s="65" t="inlineStr">
        <is>
          <t>Turner</t>
        </is>
      </c>
      <c r="C23" s="65" t="inlineStr">
        <is>
          <t>Zofia</t>
        </is>
      </c>
      <c r="D23" s="66" t="inlineStr">
        <is>
          <t>F</t>
        </is>
      </c>
      <c r="E23" s="66" t="inlineStr">
        <is>
          <t>K</t>
        </is>
      </c>
      <c r="F23" s="66" t="inlineStr">
        <is>
          <t>Y</t>
        </is>
      </c>
      <c r="G23" s="34" t="n">
        <v>96.7</v>
      </c>
      <c r="H23" s="34" t="n">
        <v>110.5</v>
      </c>
      <c r="I23" s="67">
        <f>IF(ISNUMBER(tblY7[[#This Row],[Avg KS2]]),IFERROR(VLOOKUP(ROUND(STANDARDIZE(tblY7[[#This Row],[Avg KS2]],AVERAGE(tblY7[[Avg KS2]]),_xlfn.STDEV.P(tblY7[[Avg KS2]])),9),_Stanine,2),5),"")</f>
        <v>6</v>
      </c>
      <c r="J23" s="66" t="inlineStr">
        <is>
          <t>7A/Sc1</t>
        </is>
      </c>
      <c r="K23" s="67">
        <f>IF(tblY7[[#This Row],[Preferred Last name]]="","",COUNTIFS($N$1:$ZZ$1,"*"&amp;CHAR(10)&amp;"Stanine",$N23:$ZZ23,"&gt;=1"))</f>
        <v>4</v>
      </c>
      <c r="L23" s="68">
        <f>IFERROR(AVERAGEIF($N$1:$ZZ$1,"*"&amp;CHAR(10)&amp;"Stanine",$N23:$ZZ23),"")</f>
        <v>5.75</v>
      </c>
      <c r="M23" s="69">
        <f>IF(AND(ISNUMBER(tblY7[[#This Row],[Mean Stanine]]),ISNUMBER(tblY7[[#This Row],[Avg KS2 Band]]),ISNUMBER(SlopeY7)),tblY7[[#This Row],[Mean Stanine]]-(InterceptY7+SlopeY7*tblY7[[#This Row],[Avg KS2 Band]]),"")</f>
        <v>0.0480247465712589</v>
      </c>
      <c r="N23" s="66" t="n">
        <v>17</v>
      </c>
      <c r="O23" s="67">
        <f>IF(ISNUMBER(tblY7[[#This Row],[7B01 - Cells
Raw Score]]),IFERROR(VLOOKUP(ROUND(STANDARDIZE(tblY7[[#This Row],[7B01 - Cells
Raw Score]],AVERAGE(tblY7[[7B01 - Cells
Raw Score]]),_xlfn.STDEV.P(tblY7[[7B01 - Cells
Raw Score]])),9),_Stanine,2),5),"")</f>
        <v>5</v>
      </c>
      <c r="P23" s="66" t="n">
        <v>20</v>
      </c>
      <c r="Q23" s="67">
        <f>IF(ISNUMBER(tblY7[[#This Row],[7C01 - Particles
Raw Score]]),IFERROR(VLOOKUP(ROUND(STANDARDIZE(tblY7[[#This Row],[7C01 - Particles
Raw Score]],AVERAGE(tblY7[[7C01 - Particles
Raw Score]]),_xlfn.STDEV.P(tblY7[[7C01 - Particles
Raw Score]])),9),_Stanine,2),5),"")</f>
        <v>6</v>
      </c>
      <c r="R23" s="66" t="n">
        <v>24</v>
      </c>
      <c r="S23" s="67">
        <f>IF(ISNUMBER(tblY7[[#This Row],[7P01 - Forces
Raw Score]]),IFERROR(VLOOKUP(ROUND(STANDARDIZE(tblY7[[#This Row],[7P01 - Forces
Raw Score]],AVERAGE(tblY7[[7P01 - Forces
Raw Score]]),_xlfn.STDEV.P(tblY7[[7P01 - Forces
Raw Score]])),9),_Stanine,2),5),"")</f>
        <v>6</v>
      </c>
      <c r="T23" s="66" t="n">
        <v>20</v>
      </c>
      <c r="U23" s="67">
        <f>IF(ISNUMBER(tblY7[[#This Row],[7B02 - Organ Systems
Raw Score]]),IFERROR(VLOOKUP(ROUND(STANDARDIZE(tblY7[[#This Row],[7B02 - Organ Systems
Raw Score]],AVERAGE(tblY7[[7B02 - Organ Systems
Raw Score]]),_xlfn.STDEV.P(tblY7[[7B02 - Organ Systems
Raw Score]])),9),_Stanine,2),5),"")</f>
        <v>6</v>
      </c>
    </row>
    <row r="24">
      <c r="A24" s="65" t="inlineStr">
        <is>
          <t>X905114487626</t>
        </is>
      </c>
      <c r="B24" s="65" t="inlineStr">
        <is>
          <t>Walker</t>
        </is>
      </c>
      <c r="C24" s="65" t="inlineStr">
        <is>
          <t>Arthur</t>
        </is>
      </c>
      <c r="D24" s="66" t="inlineStr">
        <is>
          <t>M</t>
        </is>
      </c>
      <c r="E24" s="66" t="inlineStr">
        <is>
          <t>N</t>
        </is>
      </c>
      <c r="F24" s="66" t="inlineStr">
        <is>
          <t>Y</t>
        </is>
      </c>
      <c r="G24" s="34" t="n">
        <v>95.5</v>
      </c>
      <c r="H24" s="34" t="n">
        <v>108.5</v>
      </c>
      <c r="I24" s="67">
        <f>IF(ISNUMBER(tblY7[[#This Row],[Avg KS2]]),IFERROR(VLOOKUP(ROUND(STANDARDIZE(tblY7[[#This Row],[Avg KS2]],AVERAGE(tblY7[[Avg KS2]]),_xlfn.STDEV.P(tblY7[[Avg KS2]])),9),_Stanine,2),5),"")</f>
        <v>6</v>
      </c>
      <c r="J24" s="66" t="inlineStr">
        <is>
          <t>7A/Sc1</t>
        </is>
      </c>
      <c r="K24" s="67">
        <f>IF(tblY7[[#This Row],[Preferred Last name]]="","",COUNTIFS($N$1:$ZZ$1,"*"&amp;CHAR(10)&amp;"Stanine",$N24:$ZZ24,"&gt;=1"))</f>
        <v>4</v>
      </c>
      <c r="L24" s="68">
        <f>IFERROR(AVERAGEIF($N$1:$ZZ$1,"*"&amp;CHAR(10)&amp;"Stanine",$N24:$ZZ24),"")</f>
        <v>4.75</v>
      </c>
      <c r="M24" s="69">
        <f>IF(AND(ISNUMBER(tblY7[[#This Row],[Mean Stanine]]),ISNUMBER(tblY7[[#This Row],[Avg KS2 Band]]),ISNUMBER(SlopeY7)),tblY7[[#This Row],[Mean Stanine]]-(InterceptY7+SlopeY7*tblY7[[#This Row],[Avg KS2 Band]]),"")</f>
        <v>-0.951975253428741</v>
      </c>
      <c r="N24" s="66" t="n">
        <v>17</v>
      </c>
      <c r="O24" s="67">
        <f>IF(ISNUMBER(tblY7[[#This Row],[7B01 - Cells
Raw Score]]),IFERROR(VLOOKUP(ROUND(STANDARDIZE(tblY7[[#This Row],[7B01 - Cells
Raw Score]],AVERAGE(tblY7[[7B01 - Cells
Raw Score]]),_xlfn.STDEV.P(tblY7[[7B01 - Cells
Raw Score]])),9),_Stanine,2),5),"")</f>
        <v>5</v>
      </c>
      <c r="P24" s="66" t="n">
        <v>20</v>
      </c>
      <c r="Q24" s="67">
        <f>IF(ISNUMBER(tblY7[[#This Row],[7C01 - Particles
Raw Score]]),IFERROR(VLOOKUP(ROUND(STANDARDIZE(tblY7[[#This Row],[7C01 - Particles
Raw Score]],AVERAGE(tblY7[[7C01 - Particles
Raw Score]]),_xlfn.STDEV.P(tblY7[[7C01 - Particles
Raw Score]])),9),_Stanine,2),5),"")</f>
        <v>6</v>
      </c>
      <c r="R24" s="66" t="n">
        <v>22</v>
      </c>
      <c r="S24" s="67">
        <f>IF(ISNUMBER(tblY7[[#This Row],[7P01 - Forces
Raw Score]]),IFERROR(VLOOKUP(ROUND(STANDARDIZE(tblY7[[#This Row],[7P01 - Forces
Raw Score]],AVERAGE(tblY7[[7P01 - Forces
Raw Score]]),_xlfn.STDEV.P(tblY7[[7P01 - Forces
Raw Score]])),9),_Stanine,2),5),"")</f>
        <v>5</v>
      </c>
      <c r="T24" s="66" t="n">
        <v>12</v>
      </c>
      <c r="U24" s="67">
        <f>IF(ISNUMBER(tblY7[[#This Row],[7B02 - Organ Systems
Raw Score]]),IFERROR(VLOOKUP(ROUND(STANDARDIZE(tblY7[[#This Row],[7B02 - Organ Systems
Raw Score]],AVERAGE(tblY7[[7B02 - Organ Systems
Raw Score]]),_xlfn.STDEV.P(tblY7[[7B02 - Organ Systems
Raw Score]])),9),_Stanine,2),5),"")</f>
        <v>3</v>
      </c>
    </row>
    <row r="25">
      <c r="A25" s="65" t="inlineStr">
        <is>
          <t>X901679015038</t>
        </is>
      </c>
      <c r="B25" s="65" t="inlineStr">
        <is>
          <t>Walker</t>
        </is>
      </c>
      <c r="C25" s="65" t="inlineStr">
        <is>
          <t>Rhys</t>
        </is>
      </c>
      <c r="D25" s="66" t="inlineStr">
        <is>
          <t>M</t>
        </is>
      </c>
      <c r="E25" s="66" t="inlineStr">
        <is>
          <t>N</t>
        </is>
      </c>
      <c r="F25" s="66" t="inlineStr">
        <is>
          <t>N</t>
        </is>
      </c>
      <c r="G25" s="34" t="n">
        <v>94.59999999999999</v>
      </c>
      <c r="H25" s="34" t="n">
        <v>116</v>
      </c>
      <c r="I25" s="67">
        <f>IF(ISNUMBER(tblY7[[#This Row],[Avg KS2]]),IFERROR(VLOOKUP(ROUND(STANDARDIZE(tblY7[[#This Row],[Avg KS2]],AVERAGE(tblY7[[Avg KS2]]),_xlfn.STDEV.P(tblY7[[Avg KS2]])),9),_Stanine,2),5),"")</f>
        <v>9</v>
      </c>
      <c r="J25" s="66" t="inlineStr">
        <is>
          <t>7A/Sc1</t>
        </is>
      </c>
      <c r="K25" s="67">
        <f>IF(tblY7[[#This Row],[Preferred Last name]]="","",COUNTIFS($N$1:$ZZ$1,"*"&amp;CHAR(10)&amp;"Stanine",$N25:$ZZ25,"&gt;=1"))</f>
        <v>4</v>
      </c>
      <c r="L25" s="68">
        <f>IFERROR(AVERAGEIF($N$1:$ZZ$1,"*"&amp;CHAR(10)&amp;"Stanine",$N25:$ZZ25),"")</f>
        <v>8</v>
      </c>
      <c r="M25" s="69">
        <f>IF(AND(ISNUMBER(tblY7[[#This Row],[Mean Stanine]]),ISNUMBER(tblY7[[#This Row],[Avg KS2 Band]]),ISNUMBER(SlopeY7)),tblY7[[#This Row],[Mean Stanine]]-(InterceptY7+SlopeY7*tblY7[[#This Row],[Avg KS2 Band]]),"")</f>
        <v>0.215175909361956</v>
      </c>
      <c r="N25" s="66" t="n">
        <v>28</v>
      </c>
      <c r="O25" s="67">
        <f>IF(ISNUMBER(tblY7[[#This Row],[7B01 - Cells
Raw Score]]),IFERROR(VLOOKUP(ROUND(STANDARDIZE(tblY7[[#This Row],[7B01 - Cells
Raw Score]],AVERAGE(tblY7[[7B01 - Cells
Raw Score]]),_xlfn.STDEV.P(tblY7[[7B01 - Cells
Raw Score]])),9),_Stanine,2),5),"")</f>
        <v>8</v>
      </c>
      <c r="P25" s="66" t="n">
        <v>24</v>
      </c>
      <c r="Q25" s="67">
        <f>IF(ISNUMBER(tblY7[[#This Row],[7C01 - Particles
Raw Score]]),IFERROR(VLOOKUP(ROUND(STANDARDIZE(tblY7[[#This Row],[7C01 - Particles
Raw Score]],AVERAGE(tblY7[[7C01 - Particles
Raw Score]]),_xlfn.STDEV.P(tblY7[[7C01 - Particles
Raw Score]])),9),_Stanine,2),5),"")</f>
        <v>8</v>
      </c>
      <c r="R25" s="66" t="n">
        <v>28</v>
      </c>
      <c r="S25" s="67">
        <f>IF(ISNUMBER(tblY7[[#This Row],[7P01 - Forces
Raw Score]]),IFERROR(VLOOKUP(ROUND(STANDARDIZE(tblY7[[#This Row],[7P01 - Forces
Raw Score]],AVERAGE(tblY7[[7P01 - Forces
Raw Score]]),_xlfn.STDEV.P(tblY7[[7P01 - Forces
Raw Score]])),9),_Stanine,2),5),"")</f>
        <v>8</v>
      </c>
      <c r="T25" s="66" t="n">
        <v>26</v>
      </c>
      <c r="U25" s="67">
        <f>IF(ISNUMBER(tblY7[[#This Row],[7B02 - Organ Systems
Raw Score]]),IFERROR(VLOOKUP(ROUND(STANDARDIZE(tblY7[[#This Row],[7B02 - Organ Systems
Raw Score]],AVERAGE(tblY7[[7B02 - Organ Systems
Raw Score]]),_xlfn.STDEV.P(tblY7[[7B02 - Organ Systems
Raw Score]])),9),_Stanine,2),5),"")</f>
        <v>8</v>
      </c>
    </row>
    <row r="26">
      <c r="A26" s="65" t="inlineStr">
        <is>
          <t>X902197938117</t>
        </is>
      </c>
      <c r="B26" s="65" t="inlineStr">
        <is>
          <t>Ward</t>
        </is>
      </c>
      <c r="C26" s="65" t="inlineStr">
        <is>
          <t>Megan</t>
        </is>
      </c>
      <c r="D26" s="66" t="inlineStr">
        <is>
          <t>F</t>
        </is>
      </c>
      <c r="E26" s="66" t="n"/>
      <c r="F26" s="66" t="inlineStr">
        <is>
          <t>N</t>
        </is>
      </c>
      <c r="G26" s="34" t="n">
        <v>96.3</v>
      </c>
      <c r="H26" s="34" t="n">
        <v>109.5</v>
      </c>
      <c r="I26" s="67">
        <f>IF(ISNUMBER(tblY7[[#This Row],[Avg KS2]]),IFERROR(VLOOKUP(ROUND(STANDARDIZE(tblY7[[#This Row],[Avg KS2]],AVERAGE(tblY7[[Avg KS2]]),_xlfn.STDEV.P(tblY7[[Avg KS2]])),9),_Stanine,2),5),"")</f>
        <v>6</v>
      </c>
      <c r="J26" s="66" t="inlineStr">
        <is>
          <t>7A/Sc1</t>
        </is>
      </c>
      <c r="K26" s="67">
        <f>IF(tblY7[[#This Row],[Preferred Last name]]="","",COUNTIFS($N$1:$ZZ$1,"*"&amp;CHAR(10)&amp;"Stanine",$N26:$ZZ26,"&gt;=1"))</f>
        <v>3</v>
      </c>
      <c r="L26" s="68">
        <f>IFERROR(AVERAGEIF($N$1:$ZZ$1,"*"&amp;CHAR(10)&amp;"Stanine",$N26:$ZZ26),"")</f>
        <v>4.66666666666667</v>
      </c>
      <c r="M26" s="69">
        <f>IF(AND(ISNUMBER(tblY7[[#This Row],[Mean Stanine]]),ISNUMBER(tblY7[[#This Row],[Avg KS2 Band]]),ISNUMBER(SlopeY7)),tblY7[[#This Row],[Mean Stanine]]-(InterceptY7+SlopeY7*tblY7[[#This Row],[Avg KS2 Band]]),"")</f>
        <v>-1.03530858676207</v>
      </c>
      <c r="N26" s="66" t="n">
        <v>15</v>
      </c>
      <c r="O26" s="67">
        <f>IF(ISNUMBER(tblY7[[#This Row],[7B01 - Cells
Raw Score]]),IFERROR(VLOOKUP(ROUND(STANDARDIZE(tblY7[[#This Row],[7B01 - Cells
Raw Score]],AVERAGE(tblY7[[7B01 - Cells
Raw Score]]),_xlfn.STDEV.P(tblY7[[7B01 - Cells
Raw Score]])),9),_Stanine,2),5),"")</f>
        <v>4</v>
      </c>
      <c r="P26" s="66" t="inlineStr">
        <is>
          <t>A</t>
        </is>
      </c>
      <c r="Q26" s="67" t="str">
        <f>IF(ISNUMBER(tblY7[[#This Row],[7C01 - Particles
Raw Score]]),IFERROR(VLOOKUP(ROUND(STANDARDIZE(tblY7[[#This Row],[7C01 - Particles
Raw Score]],AVERAGE(tblY7[[7C01 - Particles
Raw Score]]),_xlfn.STDEV.P(tblY7[[7C01 - Particles
Raw Score]])),9),_Stanine,2),5),"")</f>
        <v/>
      </c>
      <c r="R26" s="66" t="n">
        <v>21</v>
      </c>
      <c r="S26" s="67">
        <f>IF(ISNUMBER(tblY7[[#This Row],[7P01 - Forces
Raw Score]]),IFERROR(VLOOKUP(ROUND(STANDARDIZE(tblY7[[#This Row],[7P01 - Forces
Raw Score]],AVERAGE(tblY7[[7P01 - Forces
Raw Score]]),_xlfn.STDEV.P(tblY7[[7P01 - Forces
Raw Score]])),9),_Stanine,2),5),"")</f>
        <v>5</v>
      </c>
      <c r="T26" s="66" t="n">
        <v>17</v>
      </c>
      <c r="U26" s="67">
        <f>IF(ISNUMBER(tblY7[[#This Row],[7B02 - Organ Systems
Raw Score]]),IFERROR(VLOOKUP(ROUND(STANDARDIZE(tblY7[[#This Row],[7B02 - Organ Systems
Raw Score]],AVERAGE(tblY7[[7B02 - Organ Systems
Raw Score]]),_xlfn.STDEV.P(tblY7[[7B02 - Organ Systems
Raw Score]])),9),_Stanine,2),5),"")</f>
        <v>5</v>
      </c>
    </row>
    <row r="27">
      <c r="A27" s="65" t="inlineStr">
        <is>
          <t>X907996499947</t>
        </is>
      </c>
      <c r="B27" s="65" t="inlineStr">
        <is>
          <t>White</t>
        </is>
      </c>
      <c r="C27" s="65" t="inlineStr">
        <is>
          <t>George</t>
        </is>
      </c>
      <c r="D27" s="66" t="inlineStr">
        <is>
          <t>M</t>
        </is>
      </c>
      <c r="E27" s="66" t="inlineStr">
        <is>
          <t>N</t>
        </is>
      </c>
      <c r="F27" s="66" t="inlineStr">
        <is>
          <t>N</t>
        </is>
      </c>
      <c r="G27" s="34" t="n">
        <v>95.3</v>
      </c>
      <c r="H27" s="34" t="n">
        <v>110.5</v>
      </c>
      <c r="I27" s="67">
        <f>IF(ISNUMBER(tblY7[[#This Row],[Avg KS2]]),IFERROR(VLOOKUP(ROUND(STANDARDIZE(tblY7[[#This Row],[Avg KS2]],AVERAGE(tblY7[[Avg KS2]]),_xlfn.STDEV.P(tblY7[[Avg KS2]])),9),_Stanine,2),5),"")</f>
        <v>6</v>
      </c>
      <c r="J27" s="66" t="inlineStr">
        <is>
          <t>7A/Sc1</t>
        </is>
      </c>
      <c r="K27" s="67">
        <f>IF(tblY7[[#This Row],[Preferred Last name]]="","",COUNTIFS($N$1:$ZZ$1,"*"&amp;CHAR(10)&amp;"Stanine",$N27:$ZZ27,"&gt;=1"))</f>
        <v>3</v>
      </c>
      <c r="L27" s="68">
        <f>IFERROR(AVERAGEIF($N$1:$ZZ$1,"*"&amp;CHAR(10)&amp;"Stanine",$N27:$ZZ27),"")</f>
        <v>6.33333333333333</v>
      </c>
      <c r="M27" s="69">
        <f>IF(AND(ISNUMBER(tblY7[[#This Row],[Mean Stanine]]),ISNUMBER(tblY7[[#This Row],[Avg KS2 Band]]),ISNUMBER(SlopeY7)),tblY7[[#This Row],[Mean Stanine]]-(InterceptY7+SlopeY7*tblY7[[#This Row],[Avg KS2 Band]]),"")</f>
        <v>0.631358079904592</v>
      </c>
      <c r="N27" s="66" t="n">
        <v>24</v>
      </c>
      <c r="O27" s="67">
        <f>IF(ISNUMBER(tblY7[[#This Row],[7B01 - Cells
Raw Score]]),IFERROR(VLOOKUP(ROUND(STANDARDIZE(tblY7[[#This Row],[7B01 - Cells
Raw Score]],AVERAGE(tblY7[[7B01 - Cells
Raw Score]]),_xlfn.STDEV.P(tblY7[[7B01 - Cells
Raw Score]])),9),_Stanine,2),5),"")</f>
        <v>7</v>
      </c>
      <c r="P27" s="66" t="n">
        <v>21</v>
      </c>
      <c r="Q27" s="67">
        <f>IF(ISNUMBER(tblY7[[#This Row],[7C01 - Particles
Raw Score]]),IFERROR(VLOOKUP(ROUND(STANDARDIZE(tblY7[[#This Row],[7C01 - Particles
Raw Score]],AVERAGE(tblY7[[7C01 - Particles
Raw Score]]),_xlfn.STDEV.P(tblY7[[7C01 - Particles
Raw Score]])),9),_Stanine,2),5),"")</f>
        <v>6</v>
      </c>
      <c r="R27" s="66" t="n">
        <v>24</v>
      </c>
      <c r="S27" s="67">
        <f>IF(ISNUMBER(tblY7[[#This Row],[7P01 - Forces
Raw Score]]),IFERROR(VLOOKUP(ROUND(STANDARDIZE(tblY7[[#This Row],[7P01 - Forces
Raw Score]],AVERAGE(tblY7[[7P01 - Forces
Raw Score]]),_xlfn.STDEV.P(tblY7[[7P01 - Forces
Raw Score]])),9),_Stanine,2),5),"")</f>
        <v>6</v>
      </c>
      <c r="T27" s="66" t="inlineStr">
        <is>
          <t>A</t>
        </is>
      </c>
      <c r="U27" s="67" t="str">
        <f>IF(ISNUMBER(tblY7[[#This Row],[7B02 - Organ Systems
Raw Score]]),IFERROR(VLOOKUP(ROUND(STANDARDIZE(tblY7[[#This Row],[7B02 - Organ Systems
Raw Score]],AVERAGE(tblY7[[7B02 - Organ Systems
Raw Score]]),_xlfn.STDEV.P(tblY7[[7B02 - Organ Systems
Raw Score]])),9),_Stanine,2),5),"")</f>
        <v/>
      </c>
    </row>
    <row r="28">
      <c r="A28" s="65" t="inlineStr">
        <is>
          <t>X904822886562</t>
        </is>
      </c>
      <c r="B28" s="65" t="inlineStr">
        <is>
          <t>Wilson</t>
        </is>
      </c>
      <c r="C28" s="65" t="inlineStr">
        <is>
          <t>Oscar</t>
        </is>
      </c>
      <c r="D28" s="66" t="inlineStr">
        <is>
          <t>F</t>
        </is>
      </c>
      <c r="E28" s="66" t="inlineStr">
        <is>
          <t>N</t>
        </is>
      </c>
      <c r="F28" s="66" t="inlineStr">
        <is>
          <t>Y</t>
        </is>
      </c>
      <c r="G28" s="34" t="n">
        <v>87.90000000000001</v>
      </c>
      <c r="H28" s="34" t="n">
        <v>108.5</v>
      </c>
      <c r="I28" s="67">
        <f>IF(ISNUMBER(tblY7[[#This Row],[Avg KS2]]),IFERROR(VLOOKUP(ROUND(STANDARDIZE(tblY7[[#This Row],[Avg KS2]],AVERAGE(tblY7[[Avg KS2]]),_xlfn.STDEV.P(tblY7[[Avg KS2]])),9),_Stanine,2),5),"")</f>
        <v>6</v>
      </c>
      <c r="J28" s="66" t="inlineStr">
        <is>
          <t>7A/Sc1</t>
        </is>
      </c>
      <c r="K28" s="67">
        <f>IF(tblY7[[#This Row],[Preferred Last name]]="","",COUNTIFS($N$1:$ZZ$1,"*"&amp;CHAR(10)&amp;"Stanine",$N28:$ZZ28,"&gt;=1"))</f>
        <v>2</v>
      </c>
      <c r="L28" s="68">
        <f>IFERROR(AVERAGEIF($N$1:$ZZ$1,"*"&amp;CHAR(10)&amp;"Stanine",$N28:$ZZ28),"")</f>
        <v>4.5</v>
      </c>
      <c r="M28" s="69">
        <f>IF(AND(ISNUMBER(tblY7[[#This Row],[Mean Stanine]]),ISNUMBER(tblY7[[#This Row],[Avg KS2 Band]]),ISNUMBER(SlopeY7)),tblY7[[#This Row],[Mean Stanine]]-(InterceptY7+SlopeY7*tblY7[[#This Row],[Avg KS2 Band]]),"")</f>
        <v>-1.20197525342874</v>
      </c>
      <c r="N28" s="66" t="n">
        <v>16</v>
      </c>
      <c r="O28" s="67">
        <f>IF(ISNUMBER(tblY7[[#This Row],[7B01 - Cells
Raw Score]]),IFERROR(VLOOKUP(ROUND(STANDARDIZE(tblY7[[#This Row],[7B01 - Cells
Raw Score]],AVERAGE(tblY7[[7B01 - Cells
Raw Score]]),_xlfn.STDEV.P(tblY7[[7B01 - Cells
Raw Score]])),9),_Stanine,2),5),"")</f>
        <v>5</v>
      </c>
      <c r="P28" s="66" t="inlineStr">
        <is>
          <t>A</t>
        </is>
      </c>
      <c r="Q28" s="67" t="str">
        <f>IF(ISNUMBER(tblY7[[#This Row],[7C01 - Particles
Raw Score]]),IFERROR(VLOOKUP(ROUND(STANDARDIZE(tblY7[[#This Row],[7C01 - Particles
Raw Score]],AVERAGE(tblY7[[7C01 - Particles
Raw Score]]),_xlfn.STDEV.P(tblY7[[7C01 - Particles
Raw Score]])),9),_Stanine,2),5),"")</f>
        <v/>
      </c>
      <c r="R28" s="66" t="n">
        <v>19</v>
      </c>
      <c r="S28" s="67">
        <f>IF(ISNUMBER(tblY7[[#This Row],[7P01 - Forces
Raw Score]]),IFERROR(VLOOKUP(ROUND(STANDARDIZE(tblY7[[#This Row],[7P01 - Forces
Raw Score]],AVERAGE(tblY7[[7P01 - Forces
Raw Score]]),_xlfn.STDEV.P(tblY7[[7P01 - Forces
Raw Score]])),9),_Stanine,2),5),"")</f>
        <v>4</v>
      </c>
      <c r="T28" s="66" t="inlineStr">
        <is>
          <t>A</t>
        </is>
      </c>
      <c r="U28" s="67" t="str">
        <f>IF(ISNUMBER(tblY7[[#This Row],[7B02 - Organ Systems
Raw Score]]),IFERROR(VLOOKUP(ROUND(STANDARDIZE(tblY7[[#This Row],[7B02 - Organ Systems
Raw Score]],AVERAGE(tblY7[[7B02 - Organ Systems
Raw Score]]),_xlfn.STDEV.P(tblY7[[7B02 - Organ Systems
Raw Score]])),9),_Stanine,2),5),"")</f>
        <v/>
      </c>
    </row>
    <row r="29">
      <c r="A29" s="65" t="inlineStr">
        <is>
          <t>X903688581269</t>
        </is>
      </c>
      <c r="B29" s="65" t="inlineStr">
        <is>
          <t>Wood</t>
        </is>
      </c>
      <c r="C29" s="65" t="inlineStr">
        <is>
          <t>Ibrahim</t>
        </is>
      </c>
      <c r="D29" s="66" t="inlineStr">
        <is>
          <t>M</t>
        </is>
      </c>
      <c r="E29" s="66" t="inlineStr">
        <is>
          <t>N</t>
        </is>
      </c>
      <c r="F29" s="66" t="inlineStr">
        <is>
          <t>N</t>
        </is>
      </c>
      <c r="G29" s="34" t="n">
        <v>91.40000000000001</v>
      </c>
      <c r="H29" s="34" t="n">
        <v>107.5</v>
      </c>
      <c r="I29" s="67">
        <f>IF(ISNUMBER(tblY7[[#This Row],[Avg KS2]]),IFERROR(VLOOKUP(ROUND(STANDARDIZE(tblY7[[#This Row],[Avg KS2]],AVERAGE(tblY7[[Avg KS2]]),_xlfn.STDEV.P(tblY7[[Avg KS2]])),9),_Stanine,2),5),"")</f>
        <v>5</v>
      </c>
      <c r="J29" s="66" t="inlineStr">
        <is>
          <t>7A/Sc1</t>
        </is>
      </c>
      <c r="K29" s="67">
        <f>IF(tblY7[[#This Row],[Preferred Last name]]="","",COUNTIFS($N$1:$ZZ$1,"*"&amp;CHAR(10)&amp;"Stanine",$N29:$ZZ29,"&gt;=1"))</f>
        <v>4</v>
      </c>
      <c r="L29" s="68">
        <f>IFERROR(AVERAGEIF($N$1:$ZZ$1,"*"&amp;CHAR(10)&amp;"Stanine",$N29:$ZZ29),"")</f>
        <v>6.25</v>
      </c>
      <c r="M29" s="69">
        <f>IF(AND(ISNUMBER(tblY7[[#This Row],[Mean Stanine]]),ISNUMBER(tblY7[[#This Row],[Avg KS2 Band]]),ISNUMBER(SlopeY7)),tblY7[[#This Row],[Mean Stanine]]-(InterceptY7+SlopeY7*tblY7[[#This Row],[Avg KS2 Band]]),"")</f>
        <v>1.24230769230769</v>
      </c>
      <c r="N29" s="66" t="n">
        <v>20</v>
      </c>
      <c r="O29" s="67">
        <f>IF(ISNUMBER(tblY7[[#This Row],[7B01 - Cells
Raw Score]]),IFERROR(VLOOKUP(ROUND(STANDARDIZE(tblY7[[#This Row],[7B01 - Cells
Raw Score]],AVERAGE(tblY7[[7B01 - Cells
Raw Score]]),_xlfn.STDEV.P(tblY7[[7B01 - Cells
Raw Score]])),9),_Stanine,2),5),"")</f>
        <v>6</v>
      </c>
      <c r="P29" s="66" t="n">
        <v>21</v>
      </c>
      <c r="Q29" s="67">
        <f>IF(ISNUMBER(tblY7[[#This Row],[7C01 - Particles
Raw Score]]),IFERROR(VLOOKUP(ROUND(STANDARDIZE(tblY7[[#This Row],[7C01 - Particles
Raw Score]],AVERAGE(tblY7[[7C01 - Particles
Raw Score]]),_xlfn.STDEV.P(tblY7[[7C01 - Particles
Raw Score]])),9),_Stanine,2),5),"")</f>
        <v>6</v>
      </c>
      <c r="R29" s="66" t="n">
        <v>26</v>
      </c>
      <c r="S29" s="67">
        <f>IF(ISNUMBER(tblY7[[#This Row],[7P01 - Forces
Raw Score]]),IFERROR(VLOOKUP(ROUND(STANDARDIZE(tblY7[[#This Row],[7P01 - Forces
Raw Score]],AVERAGE(tblY7[[7P01 - Forces
Raw Score]]),_xlfn.STDEV.P(tblY7[[7P01 - Forces
Raw Score]])),9),_Stanine,2),5),"")</f>
        <v>7</v>
      </c>
      <c r="T29" s="66" t="n">
        <v>21</v>
      </c>
      <c r="U29" s="67">
        <f>IF(ISNUMBER(tblY7[[#This Row],[7B02 - Organ Systems
Raw Score]]),IFERROR(VLOOKUP(ROUND(STANDARDIZE(tblY7[[#This Row],[7B02 - Organ Systems
Raw Score]],AVERAGE(tblY7[[7B02 - Organ Systems
Raw Score]]),_xlfn.STDEV.P(tblY7[[7B02 - Organ Systems
Raw Score]])),9),_Stanine,2),5),"")</f>
        <v>6</v>
      </c>
    </row>
    <row r="30">
      <c r="A30" s="65" t="inlineStr">
        <is>
          <t>X905245517083</t>
        </is>
      </c>
      <c r="B30" s="65" t="inlineStr">
        <is>
          <t>Wood</t>
        </is>
      </c>
      <c r="C30" s="65" t="inlineStr">
        <is>
          <t>Muhammad</t>
        </is>
      </c>
      <c r="D30" s="66" t="inlineStr">
        <is>
          <t>M</t>
        </is>
      </c>
      <c r="E30" s="66" t="n"/>
      <c r="F30" s="66" t="inlineStr">
        <is>
          <t>Y</t>
        </is>
      </c>
      <c r="G30" s="34" t="n">
        <v>96.8</v>
      </c>
      <c r="H30" s="34" t="n">
        <v>103.5</v>
      </c>
      <c r="I30" s="67">
        <f>IF(ISNUMBER(tblY7[[#This Row],[Avg KS2]]),IFERROR(VLOOKUP(ROUND(STANDARDIZE(tblY7[[#This Row],[Avg KS2]],AVERAGE(tblY7[[Avg KS2]]),_xlfn.STDEV.P(tblY7[[Avg KS2]])),9),_Stanine,2),5),"")</f>
        <v>4</v>
      </c>
      <c r="J30" s="66" t="inlineStr">
        <is>
          <t>7A/Sc1</t>
        </is>
      </c>
      <c r="K30" s="67">
        <f>IF(tblY7[[#This Row],[Preferred Last name]]="","",COUNTIFS($N$1:$ZZ$1,"*"&amp;CHAR(10)&amp;"Stanine",$N30:$ZZ30,"&gt;=1"))</f>
        <v>4</v>
      </c>
      <c r="L30" s="68">
        <f>IFERROR(AVERAGEIF($N$1:$ZZ$1,"*"&amp;CHAR(10)&amp;"Stanine",$N30:$ZZ30),"")</f>
        <v>4.25</v>
      </c>
      <c r="M30" s="69">
        <f>IF(AND(ISNUMBER(tblY7[[#This Row],[Mean Stanine]]),ISNUMBER(tblY7[[#This Row],[Avg KS2 Band]]),ISNUMBER(SlopeY7)),tblY7[[#This Row],[Mean Stanine]]-(InterceptY7+SlopeY7*tblY7[[#This Row],[Avg KS2 Band]]),"")</f>
        <v>-0.0634093619558733</v>
      </c>
      <c r="N30" s="66" t="n">
        <v>15</v>
      </c>
      <c r="O30" s="67">
        <f>IF(ISNUMBER(tblY7[[#This Row],[7B01 - Cells
Raw Score]]),IFERROR(VLOOKUP(ROUND(STANDARDIZE(tblY7[[#This Row],[7B01 - Cells
Raw Score]],AVERAGE(tblY7[[7B01 - Cells
Raw Score]]),_xlfn.STDEV.P(tblY7[[7B01 - Cells
Raw Score]])),9),_Stanine,2),5),"")</f>
        <v>4</v>
      </c>
      <c r="P30" s="66" t="n">
        <v>18</v>
      </c>
      <c r="Q30" s="67">
        <f>IF(ISNUMBER(tblY7[[#This Row],[7C01 - Particles
Raw Score]]),IFERROR(VLOOKUP(ROUND(STANDARDIZE(tblY7[[#This Row],[7C01 - Particles
Raw Score]],AVERAGE(tblY7[[7C01 - Particles
Raw Score]]),_xlfn.STDEV.P(tblY7[[7C01 - Particles
Raw Score]])),9),_Stanine,2),5),"")</f>
        <v>5</v>
      </c>
      <c r="R30" s="66" t="n">
        <v>20</v>
      </c>
      <c r="S30" s="67">
        <f>IF(ISNUMBER(tblY7[[#This Row],[7P01 - Forces
Raw Score]]),IFERROR(VLOOKUP(ROUND(STANDARDIZE(tblY7[[#This Row],[7P01 - Forces
Raw Score]],AVERAGE(tblY7[[7P01 - Forces
Raw Score]]),_xlfn.STDEV.P(tblY7[[7P01 - Forces
Raw Score]])),9),_Stanine,2),5),"")</f>
        <v>4</v>
      </c>
      <c r="T30" s="66" t="n">
        <v>16</v>
      </c>
      <c r="U30" s="67">
        <f>IF(ISNUMBER(tblY7[[#This Row],[7B02 - Organ Systems
Raw Score]]),IFERROR(VLOOKUP(ROUND(STANDARDIZE(tblY7[[#This Row],[7B02 - Organ Systems
Raw Score]],AVERAGE(tblY7[[7B02 - Organ Systems
Raw Score]]),_xlfn.STDEV.P(tblY7[[7B02 - Organ Systems
Raw Score]])),9),_Stanine,2),5),"")</f>
        <v>4</v>
      </c>
    </row>
    <row r="31">
      <c r="A31" s="65" t="inlineStr">
        <is>
          <t>X905909909383</t>
        </is>
      </c>
      <c r="B31" s="65" t="inlineStr">
        <is>
          <t>Wright</t>
        </is>
      </c>
      <c r="C31" s="65" t="inlineStr">
        <is>
          <t>Jacob</t>
        </is>
      </c>
      <c r="D31" s="66" t="inlineStr">
        <is>
          <t>M</t>
        </is>
      </c>
      <c r="E31" s="66" t="n"/>
      <c r="F31" s="66" t="inlineStr">
        <is>
          <t>N</t>
        </is>
      </c>
      <c r="G31" s="34" t="n">
        <v>99.7</v>
      </c>
      <c r="H31" s="34" t="n">
        <v>109</v>
      </c>
      <c r="I31" s="67">
        <f>IF(ISNUMBER(tblY7[[#This Row],[Avg KS2]]),IFERROR(VLOOKUP(ROUND(STANDARDIZE(tblY7[[#This Row],[Avg KS2]],AVERAGE(tblY7[[Avg KS2]]),_xlfn.STDEV.P(tblY7[[Avg KS2]])),9),_Stanine,2),5),"")</f>
        <v>6</v>
      </c>
      <c r="J31" s="66" t="inlineStr">
        <is>
          <t>7A/Sc1</t>
        </is>
      </c>
      <c r="K31" s="67">
        <f>IF(tblY7[[#This Row],[Preferred Last name]]="","",COUNTIFS($N$1:$ZZ$1,"*"&amp;CHAR(10)&amp;"Stanine",$N31:$ZZ31,"&gt;=1"))</f>
        <v>4</v>
      </c>
      <c r="L31" s="68">
        <f>IFERROR(AVERAGEIF($N$1:$ZZ$1,"*"&amp;CHAR(10)&amp;"Stanine",$N31:$ZZ31),"")</f>
        <v>6.5</v>
      </c>
      <c r="M31" s="69">
        <f>IF(AND(ISNUMBER(tblY7[[#This Row],[Mean Stanine]]),ISNUMBER(tblY7[[#This Row],[Avg KS2 Band]]),ISNUMBER(SlopeY7)),tblY7[[#This Row],[Mean Stanine]]-(InterceptY7+SlopeY7*tblY7[[#This Row],[Avg KS2 Band]]),"")</f>
        <v>0.798024746571259</v>
      </c>
      <c r="N31" s="66" t="n">
        <v>20</v>
      </c>
      <c r="O31" s="67">
        <f>IF(ISNUMBER(tblY7[[#This Row],[7B01 - Cells
Raw Score]]),IFERROR(VLOOKUP(ROUND(STANDARDIZE(tblY7[[#This Row],[7B01 - Cells
Raw Score]],AVERAGE(tblY7[[7B01 - Cells
Raw Score]]),_xlfn.STDEV.P(tblY7[[7B01 - Cells
Raw Score]])),9),_Stanine,2),5),"")</f>
        <v>6</v>
      </c>
      <c r="P31" s="66" t="n">
        <v>22</v>
      </c>
      <c r="Q31" s="67">
        <f>IF(ISNUMBER(tblY7[[#This Row],[7C01 - Particles
Raw Score]]),IFERROR(VLOOKUP(ROUND(STANDARDIZE(tblY7[[#This Row],[7C01 - Particles
Raw Score]],AVERAGE(tblY7[[7C01 - Particles
Raw Score]]),_xlfn.STDEV.P(tblY7[[7C01 - Particles
Raw Score]])),9),_Stanine,2),5),"")</f>
        <v>7</v>
      </c>
      <c r="R31" s="66" t="n">
        <v>24</v>
      </c>
      <c r="S31" s="67">
        <f>IF(ISNUMBER(tblY7[[#This Row],[7P01 - Forces
Raw Score]]),IFERROR(VLOOKUP(ROUND(STANDARDIZE(tblY7[[#This Row],[7P01 - Forces
Raw Score]],AVERAGE(tblY7[[7P01 - Forces
Raw Score]]),_xlfn.STDEV.P(tblY7[[7P01 - Forces
Raw Score]])),9),_Stanine,2),5),"")</f>
        <v>6</v>
      </c>
      <c r="T31" s="66" t="n">
        <v>22</v>
      </c>
      <c r="U31" s="67">
        <f>IF(ISNUMBER(tblY7[[#This Row],[7B02 - Organ Systems
Raw Score]]),IFERROR(VLOOKUP(ROUND(STANDARDIZE(tblY7[[#This Row],[7B02 - Organ Systems
Raw Score]],AVERAGE(tblY7[[7B02 - Organ Systems
Raw Score]]),_xlfn.STDEV.P(tblY7[[7B02 - Organ Systems
Raw Score]])),9),_Stanine,2),5),"")</f>
        <v>7</v>
      </c>
    </row>
    <row r="32">
      <c r="A32" s="65" t="inlineStr">
        <is>
          <t>X904346917903</t>
        </is>
      </c>
      <c r="B32" s="65" t="inlineStr">
        <is>
          <t>Ahmed</t>
        </is>
      </c>
      <c r="C32" s="65" t="inlineStr">
        <is>
          <t>Mia</t>
        </is>
      </c>
      <c r="D32" s="66" t="inlineStr">
        <is>
          <t>F</t>
        </is>
      </c>
      <c r="E32" s="66" t="inlineStr">
        <is>
          <t>K</t>
        </is>
      </c>
      <c r="F32" s="66" t="inlineStr">
        <is>
          <t>Y</t>
        </is>
      </c>
      <c r="G32" s="34" t="n">
        <v>86.3</v>
      </c>
      <c r="H32" s="34" t="n">
        <v>103.5</v>
      </c>
      <c r="I32" s="67">
        <f>IF(ISNUMBER(tblY7[[#This Row],[Avg KS2]]),IFERROR(VLOOKUP(ROUND(STANDARDIZE(tblY7[[#This Row],[Avg KS2]],AVERAGE(tblY7[[Avg KS2]]),_xlfn.STDEV.P(tblY7[[Avg KS2]])),9),_Stanine,2),5),"")</f>
        <v>4</v>
      </c>
      <c r="J32" s="66" t="inlineStr">
        <is>
          <t>7A/Sc2</t>
        </is>
      </c>
      <c r="K32" s="67">
        <f>IF(tblY7[[#This Row],[Preferred Last name]]="","",COUNTIFS($N$1:$ZZ$1,"*"&amp;CHAR(10)&amp;"Stanine",$N32:$ZZ32,"&gt;=1"))</f>
        <v>4</v>
      </c>
      <c r="L32" s="68">
        <f>IFERROR(AVERAGEIF($N$1:$ZZ$1,"*"&amp;CHAR(10)&amp;"Stanine",$N32:$ZZ32),"")</f>
        <v>3.25</v>
      </c>
      <c r="M32" s="69">
        <f>IF(AND(ISNUMBER(tblY7[[#This Row],[Mean Stanine]]),ISNUMBER(tblY7[[#This Row],[Avg KS2 Band]]),ISNUMBER(SlopeY7)),tblY7[[#This Row],[Mean Stanine]]-(InterceptY7+SlopeY7*tblY7[[#This Row],[Avg KS2 Band]]),"")</f>
        <v>-1.06340936195587</v>
      </c>
      <c r="N32" s="66" t="n">
        <v>10</v>
      </c>
      <c r="O32" s="67">
        <f>IF(ISNUMBER(tblY7[[#This Row],[7B01 - Cells
Raw Score]]),IFERROR(VLOOKUP(ROUND(STANDARDIZE(tblY7[[#This Row],[7B01 - Cells
Raw Score]],AVERAGE(tblY7[[7B01 - Cells
Raw Score]]),_xlfn.STDEV.P(tblY7[[7B01 - Cells
Raw Score]])),9),_Stanine,2),5),"")</f>
        <v>3</v>
      </c>
      <c r="P32" s="66" t="n">
        <v>18</v>
      </c>
      <c r="Q32" s="67">
        <f>IF(ISNUMBER(tblY7[[#This Row],[7C01 - Particles
Raw Score]]),IFERROR(VLOOKUP(ROUND(STANDARDIZE(tblY7[[#This Row],[7C01 - Particles
Raw Score]],AVERAGE(tblY7[[7C01 - Particles
Raw Score]]),_xlfn.STDEV.P(tblY7[[7C01 - Particles
Raw Score]])),9),_Stanine,2),5),"")</f>
        <v>5</v>
      </c>
      <c r="R32" s="66" t="n">
        <v>14</v>
      </c>
      <c r="S32" s="67">
        <f>IF(ISNUMBER(tblY7[[#This Row],[7P01 - Forces
Raw Score]]),IFERROR(VLOOKUP(ROUND(STANDARDIZE(tblY7[[#This Row],[7P01 - Forces
Raw Score]],AVERAGE(tblY7[[7P01 - Forces
Raw Score]]),_xlfn.STDEV.P(tblY7[[7P01 - Forces
Raw Score]])),9),_Stanine,2),5),"")</f>
        <v>2</v>
      </c>
      <c r="T32" s="66" t="n">
        <v>12</v>
      </c>
      <c r="U32" s="67">
        <f>IF(ISNUMBER(tblY7[[#This Row],[7B02 - Organ Systems
Raw Score]]),IFERROR(VLOOKUP(ROUND(STANDARDIZE(tblY7[[#This Row],[7B02 - Organ Systems
Raw Score]],AVERAGE(tblY7[[7B02 - Organ Systems
Raw Score]]),_xlfn.STDEV.P(tblY7[[7B02 - Organ Systems
Raw Score]])),9),_Stanine,2),5),"")</f>
        <v>3</v>
      </c>
    </row>
    <row r="33">
      <c r="A33" s="65" t="inlineStr">
        <is>
          <t>X904862967913</t>
        </is>
      </c>
      <c r="B33" s="65" t="inlineStr">
        <is>
          <t>Cooper</t>
        </is>
      </c>
      <c r="C33" s="65" t="inlineStr">
        <is>
          <t>Amelia</t>
        </is>
      </c>
      <c r="D33" s="66" t="inlineStr">
        <is>
          <t>M</t>
        </is>
      </c>
      <c r="E33" s="66" t="inlineStr">
        <is>
          <t>K</t>
        </is>
      </c>
      <c r="F33" s="66" t="inlineStr">
        <is>
          <t>Y</t>
        </is>
      </c>
      <c r="G33" s="34" t="n">
        <v>100</v>
      </c>
      <c r="H33" s="34" t="n">
        <v>114</v>
      </c>
      <c r="I33" s="67">
        <f>IF(ISNUMBER(tblY7[[#This Row],[Avg KS2]]),IFERROR(VLOOKUP(ROUND(STANDARDIZE(tblY7[[#This Row],[Avg KS2]],AVERAGE(tblY7[[Avg KS2]]),_xlfn.STDEV.P(tblY7[[Avg KS2]])),9),_Stanine,2),5),"")</f>
        <v>8</v>
      </c>
      <c r="J33" s="66" t="inlineStr">
        <is>
          <t>7A/Sc2</t>
        </is>
      </c>
      <c r="K33" s="67">
        <f>IF(tblY7[[#This Row],[Preferred Last name]]="","",COUNTIFS($N$1:$ZZ$1,"*"&amp;CHAR(10)&amp;"Stanine",$N33:$ZZ33,"&gt;=1"))</f>
        <v>4</v>
      </c>
      <c r="L33" s="68">
        <f>IFERROR(AVERAGEIF($N$1:$ZZ$1,"*"&amp;CHAR(10)&amp;"Stanine",$N33:$ZZ33),"")</f>
        <v>6.5</v>
      </c>
      <c r="M33" s="69">
        <f>IF(AND(ISNUMBER(tblY7[[#This Row],[Mean Stanine]]),ISNUMBER(tblY7[[#This Row],[Avg KS2 Band]]),ISNUMBER(SlopeY7)),tblY7[[#This Row],[Mean Stanine]]-(InterceptY7+SlopeY7*tblY7[[#This Row],[Avg KS2 Band]]),"")</f>
        <v>-0.59054114490161</v>
      </c>
      <c r="N33" s="66" t="n">
        <v>24</v>
      </c>
      <c r="O33" s="67">
        <f>IF(ISNUMBER(tblY7[[#This Row],[7B01 - Cells
Raw Score]]),IFERROR(VLOOKUP(ROUND(STANDARDIZE(tblY7[[#This Row],[7B01 - Cells
Raw Score]],AVERAGE(tblY7[[7B01 - Cells
Raw Score]]),_xlfn.STDEV.P(tblY7[[7B01 - Cells
Raw Score]])),9),_Stanine,2),5),"")</f>
        <v>7</v>
      </c>
      <c r="P33" s="66" t="n">
        <v>23</v>
      </c>
      <c r="Q33" s="67">
        <f>IF(ISNUMBER(tblY7[[#This Row],[7C01 - Particles
Raw Score]]),IFERROR(VLOOKUP(ROUND(STANDARDIZE(tblY7[[#This Row],[7C01 - Particles
Raw Score]],AVERAGE(tblY7[[7C01 - Particles
Raw Score]]),_xlfn.STDEV.P(tblY7[[7C01 - Particles
Raw Score]])),9),_Stanine,2),5),"")</f>
        <v>7</v>
      </c>
      <c r="R33" s="66" t="n">
        <v>22</v>
      </c>
      <c r="S33" s="67">
        <f>IF(ISNUMBER(tblY7[[#This Row],[7P01 - Forces
Raw Score]]),IFERROR(VLOOKUP(ROUND(STANDARDIZE(tblY7[[#This Row],[7P01 - Forces
Raw Score]],AVERAGE(tblY7[[7P01 - Forces
Raw Score]]),_xlfn.STDEV.P(tblY7[[7P01 - Forces
Raw Score]])),9),_Stanine,2),5),"")</f>
        <v>5</v>
      </c>
      <c r="T33" s="66" t="n">
        <v>24</v>
      </c>
      <c r="U33" s="67">
        <f>IF(ISNUMBER(tblY7[[#This Row],[7B02 - Organ Systems
Raw Score]]),IFERROR(VLOOKUP(ROUND(STANDARDIZE(tblY7[[#This Row],[7B02 - Organ Systems
Raw Score]],AVERAGE(tblY7[[7B02 - Organ Systems
Raw Score]]),_xlfn.STDEV.P(tblY7[[7B02 - Organ Systems
Raw Score]])),9),_Stanine,2),5),"")</f>
        <v>7</v>
      </c>
    </row>
    <row r="34">
      <c r="A34" s="65" t="inlineStr">
        <is>
          <t>X907556373304</t>
        </is>
      </c>
      <c r="B34" s="65" t="inlineStr">
        <is>
          <t>Cooper</t>
        </is>
      </c>
      <c r="C34" s="65" t="inlineStr">
        <is>
          <t>Layla</t>
        </is>
      </c>
      <c r="D34" s="66" t="inlineStr">
        <is>
          <t>M</t>
        </is>
      </c>
      <c r="E34" s="66" t="inlineStr">
        <is>
          <t>N</t>
        </is>
      </c>
      <c r="F34" s="66" t="inlineStr">
        <is>
          <t>Y</t>
        </is>
      </c>
      <c r="G34" s="34" t="n">
        <v>96.59999999999999</v>
      </c>
      <c r="H34" s="34" t="inlineStr">
        <is>
          <t>No Data</t>
        </is>
      </c>
      <c r="I34" s="67" t="str">
        <f>IF(ISNUMBER(tblY7[[#This Row],[Avg KS2]]),IFERROR(VLOOKUP(ROUND(STANDARDIZE(tblY7[[#This Row],[Avg KS2]],AVERAGE(tblY7[[Avg KS2]]),_xlfn.STDEV.P(tblY7[[Avg KS2]])),9),_Stanine,2),5),"")</f>
        <v/>
      </c>
      <c r="J34" s="66" t="inlineStr">
        <is>
          <t>7A/Sc2</t>
        </is>
      </c>
      <c r="K34" s="67">
        <f>IF(tblY7[[#This Row],[Preferred Last name]]="","",COUNTIFS($N$1:$ZZ$1,"*"&amp;CHAR(10)&amp;"Stanine",$N34:$ZZ34,"&gt;=1"))</f>
        <v>3</v>
      </c>
      <c r="L34" s="68">
        <f>IFERROR(AVERAGEIF($N$1:$ZZ$1,"*"&amp;CHAR(10)&amp;"Stanine",$N34:$ZZ34),"")</f>
        <v>6.66666666666667</v>
      </c>
      <c r="M34" s="69" t="str">
        <f>IF(AND(ISNUMBER(tblY7[[#This Row],[Mean Stanine]]),ISNUMBER(tblY7[[#This Row],[Avg KS2 Band]]),ISNUMBER(SlopeY7)),tblY7[[#This Row],[Mean Stanine]]-(InterceptY7+SlopeY7*tblY7[[#This Row],[Avg KS2 Band]]),"")</f>
        <v/>
      </c>
      <c r="N34" s="66" t="n">
        <v>25</v>
      </c>
      <c r="O34" s="67">
        <f>IF(ISNUMBER(tblY7[[#This Row],[7B01 - Cells
Raw Score]]),IFERROR(VLOOKUP(ROUND(STANDARDIZE(tblY7[[#This Row],[7B01 - Cells
Raw Score]],AVERAGE(tblY7[[7B01 - Cells
Raw Score]]),_xlfn.STDEV.P(tblY7[[7B01 - Cells
Raw Score]])),9),_Stanine,2),5),"")</f>
        <v>7</v>
      </c>
      <c r="P34" s="66" t="n">
        <v>21</v>
      </c>
      <c r="Q34" s="67">
        <f>IF(ISNUMBER(tblY7[[#This Row],[7C01 - Particles
Raw Score]]),IFERROR(VLOOKUP(ROUND(STANDARDIZE(tblY7[[#This Row],[7C01 - Particles
Raw Score]],AVERAGE(tblY7[[7C01 - Particles
Raw Score]]),_xlfn.STDEV.P(tblY7[[7C01 - Particles
Raw Score]])),9),_Stanine,2),5),"")</f>
        <v>6</v>
      </c>
      <c r="R34" s="66" t="n">
        <v>27</v>
      </c>
      <c r="S34" s="67">
        <f>IF(ISNUMBER(tblY7[[#This Row],[7P01 - Forces
Raw Score]]),IFERROR(VLOOKUP(ROUND(STANDARDIZE(tblY7[[#This Row],[7P01 - Forces
Raw Score]],AVERAGE(tblY7[[7P01 - Forces
Raw Score]]),_xlfn.STDEV.P(tblY7[[7P01 - Forces
Raw Score]])),9),_Stanine,2),5),"")</f>
        <v>7</v>
      </c>
      <c r="T34" s="66" t="inlineStr">
        <is>
          <t>A</t>
        </is>
      </c>
      <c r="U34" s="67" t="str">
        <f>IF(ISNUMBER(tblY7[[#This Row],[7B02 - Organ Systems
Raw Score]]),IFERROR(VLOOKUP(ROUND(STANDARDIZE(tblY7[[#This Row],[7B02 - Organ Systems
Raw Score]],AVERAGE(tblY7[[7B02 - Organ Systems
Raw Score]]),_xlfn.STDEV.P(tblY7[[7B02 - Organ Systems
Raw Score]])),9),_Stanine,2),5),"")</f>
        <v/>
      </c>
    </row>
    <row r="35">
      <c r="A35" s="65" t="inlineStr">
        <is>
          <t>X907599356631</t>
        </is>
      </c>
      <c r="B35" s="65" t="inlineStr">
        <is>
          <t>Fletcher</t>
        </is>
      </c>
      <c r="C35" s="65" t="inlineStr">
        <is>
          <t>George</t>
        </is>
      </c>
      <c r="D35" s="66" t="inlineStr">
        <is>
          <t>M</t>
        </is>
      </c>
      <c r="E35" s="66" t="inlineStr">
        <is>
          <t>E</t>
        </is>
      </c>
      <c r="F35" s="66" t="inlineStr">
        <is>
          <t>Y</t>
        </is>
      </c>
      <c r="G35" s="34" t="n">
        <v>100</v>
      </c>
      <c r="H35" s="34" t="n">
        <v>101.5</v>
      </c>
      <c r="I35" s="67">
        <f>IF(ISNUMBER(tblY7[[#This Row],[Avg KS2]]),IFERROR(VLOOKUP(ROUND(STANDARDIZE(tblY7[[#This Row],[Avg KS2]],AVERAGE(tblY7[[Avg KS2]]),_xlfn.STDEV.P(tblY7[[Avg KS2]])),9),_Stanine,2),5),"")</f>
        <v>3</v>
      </c>
      <c r="J35" s="66" t="inlineStr">
        <is>
          <t>7A/Sc2</t>
        </is>
      </c>
      <c r="K35" s="67">
        <f>IF(tblY7[[#This Row],[Preferred Last name]]="","",COUNTIFS($N$1:$ZZ$1,"*"&amp;CHAR(10)&amp;"Stanine",$N35:$ZZ35,"&gt;=1"))</f>
        <v>4</v>
      </c>
      <c r="L35" s="68">
        <f>IFERROR(AVERAGEIF($N$1:$ZZ$1,"*"&amp;CHAR(10)&amp;"Stanine",$N35:$ZZ35),"")</f>
        <v>4.75</v>
      </c>
      <c r="M35" s="69">
        <f>IF(AND(ISNUMBER(tblY7[[#This Row],[Mean Stanine]]),ISNUMBER(tblY7[[#This Row],[Avg KS2 Band]]),ISNUMBER(SlopeY7)),tblY7[[#This Row],[Mean Stanine]]-(InterceptY7+SlopeY7*tblY7[[#This Row],[Avg KS2 Band]]),"")</f>
        <v>1.13087358378056</v>
      </c>
      <c r="N35" s="66" t="n">
        <v>15</v>
      </c>
      <c r="O35" s="67">
        <f>IF(ISNUMBER(tblY7[[#This Row],[7B01 - Cells
Raw Score]]),IFERROR(VLOOKUP(ROUND(STANDARDIZE(tblY7[[#This Row],[7B01 - Cells
Raw Score]],AVERAGE(tblY7[[7B01 - Cells
Raw Score]]),_xlfn.STDEV.P(tblY7[[7B01 - Cells
Raw Score]])),9),_Stanine,2),5),"")</f>
        <v>4</v>
      </c>
      <c r="P35" s="66" t="n">
        <v>19</v>
      </c>
      <c r="Q35" s="67">
        <f>IF(ISNUMBER(tblY7[[#This Row],[7C01 - Particles
Raw Score]]),IFERROR(VLOOKUP(ROUND(STANDARDIZE(tblY7[[#This Row],[7C01 - Particles
Raw Score]],AVERAGE(tblY7[[7C01 - Particles
Raw Score]]),_xlfn.STDEV.P(tblY7[[7C01 - Particles
Raw Score]])),9),_Stanine,2),5),"")</f>
        <v>5</v>
      </c>
      <c r="R35" s="66" t="n">
        <v>22</v>
      </c>
      <c r="S35" s="67">
        <f>IF(ISNUMBER(tblY7[[#This Row],[7P01 - Forces
Raw Score]]),IFERROR(VLOOKUP(ROUND(STANDARDIZE(tblY7[[#This Row],[7P01 - Forces
Raw Score]],AVERAGE(tblY7[[7P01 - Forces
Raw Score]]),_xlfn.STDEV.P(tblY7[[7P01 - Forces
Raw Score]])),9),_Stanine,2),5),"")</f>
        <v>5</v>
      </c>
      <c r="T35" s="66" t="n">
        <v>19</v>
      </c>
      <c r="U35" s="67">
        <f>IF(ISNUMBER(tblY7[[#This Row],[7B02 - Organ Systems
Raw Score]]),IFERROR(VLOOKUP(ROUND(STANDARDIZE(tblY7[[#This Row],[7B02 - Organ Systems
Raw Score]],AVERAGE(tblY7[[7B02 - Organ Systems
Raw Score]]),_xlfn.STDEV.P(tblY7[[7B02 - Organ Systems
Raw Score]])),9),_Stanine,2),5),"")</f>
        <v>5</v>
      </c>
    </row>
    <row r="36">
      <c r="A36" s="65" t="inlineStr">
        <is>
          <t>X900357631744</t>
        </is>
      </c>
      <c r="B36" s="65" t="inlineStr">
        <is>
          <t>Green</t>
        </is>
      </c>
      <c r="C36" s="65" t="inlineStr">
        <is>
          <t>Arthur</t>
        </is>
      </c>
      <c r="D36" s="66" t="inlineStr">
        <is>
          <t>M</t>
        </is>
      </c>
      <c r="E36" s="66" t="inlineStr">
        <is>
          <t>N</t>
        </is>
      </c>
      <c r="F36" s="66" t="inlineStr">
        <is>
          <t>N</t>
        </is>
      </c>
      <c r="G36" s="34" t="n">
        <v>90.09999999999999</v>
      </c>
      <c r="H36" s="34" t="n">
        <v>104.5</v>
      </c>
      <c r="I36" s="67">
        <f>IF(ISNUMBER(tblY7[[#This Row],[Avg KS2]]),IFERROR(VLOOKUP(ROUND(STANDARDIZE(tblY7[[#This Row],[Avg KS2]],AVERAGE(tblY7[[Avg KS2]]),_xlfn.STDEV.P(tblY7[[Avg KS2]])),9),_Stanine,2),5),"")</f>
        <v>4</v>
      </c>
      <c r="J36" s="66" t="inlineStr">
        <is>
          <t>7A/Sc2</t>
        </is>
      </c>
      <c r="K36" s="67">
        <f>IF(tblY7[[#This Row],[Preferred Last name]]="","",COUNTIFS($N$1:$ZZ$1,"*"&amp;CHAR(10)&amp;"Stanine",$N36:$ZZ36,"&gt;=1"))</f>
        <v>4</v>
      </c>
      <c r="L36" s="68">
        <f>IFERROR(AVERAGEIF($N$1:$ZZ$1,"*"&amp;CHAR(10)&amp;"Stanine",$N36:$ZZ36),"")</f>
        <v>2</v>
      </c>
      <c r="M36" s="69">
        <f>IF(AND(ISNUMBER(tblY7[[#This Row],[Mean Stanine]]),ISNUMBER(tblY7[[#This Row],[Avg KS2 Band]]),ISNUMBER(SlopeY7)),tblY7[[#This Row],[Mean Stanine]]-(InterceptY7+SlopeY7*tblY7[[#This Row],[Avg KS2 Band]]),"")</f>
        <v>-2.31340936195587</v>
      </c>
      <c r="N36" s="66" t="n">
        <v>11</v>
      </c>
      <c r="O36" s="67">
        <f>IF(ISNUMBER(tblY7[[#This Row],[7B01 - Cells
Raw Score]]),IFERROR(VLOOKUP(ROUND(STANDARDIZE(tblY7[[#This Row],[7B01 - Cells
Raw Score]],AVERAGE(tblY7[[7B01 - Cells
Raw Score]]),_xlfn.STDEV.P(tblY7[[7B01 - Cells
Raw Score]])),9),_Stanine,2),5),"")</f>
        <v>3</v>
      </c>
      <c r="P36" s="66" t="n">
        <v>11</v>
      </c>
      <c r="Q36" s="67">
        <f>IF(ISNUMBER(tblY7[[#This Row],[7C01 - Particles
Raw Score]]),IFERROR(VLOOKUP(ROUND(STANDARDIZE(tblY7[[#This Row],[7C01 - Particles
Raw Score]],AVERAGE(tblY7[[7C01 - Particles
Raw Score]]),_xlfn.STDEV.P(tblY7[[7C01 - Particles
Raw Score]])),9),_Stanine,2),5),"")</f>
        <v>1</v>
      </c>
      <c r="R36" s="66" t="n">
        <v>11</v>
      </c>
      <c r="S36" s="67">
        <f>IF(ISNUMBER(tblY7[[#This Row],[7P01 - Forces
Raw Score]]),IFERROR(VLOOKUP(ROUND(STANDARDIZE(tblY7[[#This Row],[7P01 - Forces
Raw Score]],AVERAGE(tblY7[[7P01 - Forces
Raw Score]]),_xlfn.STDEV.P(tblY7[[7P01 - Forces
Raw Score]])),9),_Stanine,2),5),"")</f>
        <v>1</v>
      </c>
      <c r="T36" s="66" t="n">
        <v>12</v>
      </c>
      <c r="U36" s="67">
        <f>IF(ISNUMBER(tblY7[[#This Row],[7B02 - Organ Systems
Raw Score]]),IFERROR(VLOOKUP(ROUND(STANDARDIZE(tblY7[[#This Row],[7B02 - Organ Systems
Raw Score]],AVERAGE(tblY7[[7B02 - Organ Systems
Raw Score]]),_xlfn.STDEV.P(tblY7[[7B02 - Organ Systems
Raw Score]])),9),_Stanine,2),5),"")</f>
        <v>3</v>
      </c>
    </row>
    <row r="37">
      <c r="A37" s="65" t="inlineStr">
        <is>
          <t>X903861534777</t>
        </is>
      </c>
      <c r="B37" s="65" t="inlineStr">
        <is>
          <t>Green</t>
        </is>
      </c>
      <c r="C37" s="65" t="inlineStr">
        <is>
          <t>Harry</t>
        </is>
      </c>
      <c r="D37" s="66" t="inlineStr">
        <is>
          <t>M</t>
        </is>
      </c>
      <c r="E37" s="66" t="n"/>
      <c r="F37" s="66" t="inlineStr">
        <is>
          <t>Y</t>
        </is>
      </c>
      <c r="G37" s="34" t="n">
        <v>96.40000000000001</v>
      </c>
      <c r="H37" s="34" t="n">
        <v>102</v>
      </c>
      <c r="I37" s="67">
        <f>IF(ISNUMBER(tblY7[[#This Row],[Avg KS2]]),IFERROR(VLOOKUP(ROUND(STANDARDIZE(tblY7[[#This Row],[Avg KS2]],AVERAGE(tblY7[[Avg KS2]]),_xlfn.STDEV.P(tblY7[[Avg KS2]])),9),_Stanine,2),5),"")</f>
        <v>3</v>
      </c>
      <c r="J37" s="66" t="inlineStr">
        <is>
          <t>7A/Sc2</t>
        </is>
      </c>
      <c r="K37" s="67">
        <f>IF(tblY7[[#This Row],[Preferred Last name]]="","",COUNTIFS($N$1:$ZZ$1,"*"&amp;CHAR(10)&amp;"Stanine",$N37:$ZZ37,"&gt;=1"))</f>
        <v>4</v>
      </c>
      <c r="L37" s="68">
        <f>IFERROR(AVERAGEIF($N$1:$ZZ$1,"*"&amp;CHAR(10)&amp;"Stanine",$N37:$ZZ37),"")</f>
        <v>1.75</v>
      </c>
      <c r="M37" s="69">
        <f>IF(AND(ISNUMBER(tblY7[[#This Row],[Mean Stanine]]),ISNUMBER(tblY7[[#This Row],[Avg KS2 Band]]),ISNUMBER(SlopeY7)),tblY7[[#This Row],[Mean Stanine]]-(InterceptY7+SlopeY7*tblY7[[#This Row],[Avg KS2 Band]]),"")</f>
        <v>-1.86912641621944</v>
      </c>
      <c r="N37" s="66" t="n">
        <v>8</v>
      </c>
      <c r="O37" s="67">
        <f>IF(ISNUMBER(tblY7[[#This Row],[7B01 - Cells
Raw Score]]),IFERROR(VLOOKUP(ROUND(STANDARDIZE(tblY7[[#This Row],[7B01 - Cells
Raw Score]],AVERAGE(tblY7[[7B01 - Cells
Raw Score]]),_xlfn.STDEV.P(tblY7[[7B01 - Cells
Raw Score]])),9),_Stanine,2),5),"")</f>
        <v>2</v>
      </c>
      <c r="P37" s="66" t="n">
        <v>13</v>
      </c>
      <c r="Q37" s="67">
        <f>IF(ISNUMBER(tblY7[[#This Row],[7C01 - Particles
Raw Score]]),IFERROR(VLOOKUP(ROUND(STANDARDIZE(tblY7[[#This Row],[7C01 - Particles
Raw Score]],AVERAGE(tblY7[[7C01 - Particles
Raw Score]]),_xlfn.STDEV.P(tblY7[[7C01 - Particles
Raw Score]])),9),_Stanine,2),5),"")</f>
        <v>2</v>
      </c>
      <c r="R37" s="66" t="n">
        <v>13</v>
      </c>
      <c r="S37" s="67">
        <f>IF(ISNUMBER(tblY7[[#This Row],[7P01 - Forces
Raw Score]]),IFERROR(VLOOKUP(ROUND(STANDARDIZE(tblY7[[#This Row],[7P01 - Forces
Raw Score]],AVERAGE(tblY7[[7P01 - Forces
Raw Score]]),_xlfn.STDEV.P(tblY7[[7P01 - Forces
Raw Score]])),9),_Stanine,2),5),"")</f>
        <v>2</v>
      </c>
      <c r="T37" s="66" t="n">
        <v>7</v>
      </c>
      <c r="U37" s="67">
        <f>IF(ISNUMBER(tblY7[[#This Row],[7B02 - Organ Systems
Raw Score]]),IFERROR(VLOOKUP(ROUND(STANDARDIZE(tblY7[[#This Row],[7B02 - Organ Systems
Raw Score]],AVERAGE(tblY7[[7B02 - Organ Systems
Raw Score]]),_xlfn.STDEV.P(tblY7[[7B02 - Organ Systems
Raw Score]])),9),_Stanine,2),5),"")</f>
        <v>1</v>
      </c>
    </row>
    <row r="38">
      <c r="A38" s="65" t="inlineStr">
        <is>
          <t>X904858479261</t>
        </is>
      </c>
      <c r="B38" s="65" t="inlineStr">
        <is>
          <t>Griffiths</t>
        </is>
      </c>
      <c r="C38" s="65" t="inlineStr">
        <is>
          <t>Amelia</t>
        </is>
      </c>
      <c r="D38" s="66" t="inlineStr">
        <is>
          <t>M</t>
        </is>
      </c>
      <c r="E38" s="66" t="inlineStr">
        <is>
          <t>N</t>
        </is>
      </c>
      <c r="F38" s="66" t="inlineStr">
        <is>
          <t>N</t>
        </is>
      </c>
      <c r="G38" s="34" t="n">
        <v>91.5</v>
      </c>
      <c r="H38" s="34" t="n">
        <v>112</v>
      </c>
      <c r="I38" s="67">
        <f>IF(ISNUMBER(tblY7[[#This Row],[Avg KS2]]),IFERROR(VLOOKUP(ROUND(STANDARDIZE(tblY7[[#This Row],[Avg KS2]],AVERAGE(tblY7[[Avg KS2]]),_xlfn.STDEV.P(tblY7[[Avg KS2]])),9),_Stanine,2),5),"")</f>
        <v>7</v>
      </c>
      <c r="J38" s="66" t="inlineStr">
        <is>
          <t>7A/Sc2</t>
        </is>
      </c>
      <c r="K38" s="67">
        <f>IF(tblY7[[#This Row],[Preferred Last name]]="","",COUNTIFS($N$1:$ZZ$1,"*"&amp;CHAR(10)&amp;"Stanine",$N38:$ZZ38,"&gt;=1"))</f>
        <v>4</v>
      </c>
      <c r="L38" s="68">
        <f>IFERROR(AVERAGEIF($N$1:$ZZ$1,"*"&amp;CHAR(10)&amp;"Stanine",$N38:$ZZ38),"")</f>
        <v>6.5</v>
      </c>
      <c r="M38" s="69">
        <f>IF(AND(ISNUMBER(tblY7[[#This Row],[Mean Stanine]]),ISNUMBER(tblY7[[#This Row],[Avg KS2 Band]]),ISNUMBER(SlopeY7)),tblY7[[#This Row],[Mean Stanine]]-(InterceptY7+SlopeY7*tblY7[[#This Row],[Avg KS2 Band]]),"")</f>
        <v>0.103741800834825</v>
      </c>
      <c r="N38" s="66" t="n">
        <v>21</v>
      </c>
      <c r="O38" s="67">
        <f>IF(ISNUMBER(tblY7[[#This Row],[7B01 - Cells
Raw Score]]),IFERROR(VLOOKUP(ROUND(STANDARDIZE(tblY7[[#This Row],[7B01 - Cells
Raw Score]],AVERAGE(tblY7[[7B01 - Cells
Raw Score]]),_xlfn.STDEV.P(tblY7[[7B01 - Cells
Raw Score]])),9),_Stanine,2),5),"")</f>
        <v>6</v>
      </c>
      <c r="P38" s="66" t="n">
        <v>22</v>
      </c>
      <c r="Q38" s="67">
        <f>IF(ISNUMBER(tblY7[[#This Row],[7C01 - Particles
Raw Score]]),IFERROR(VLOOKUP(ROUND(STANDARDIZE(tblY7[[#This Row],[7C01 - Particles
Raw Score]],AVERAGE(tblY7[[7C01 - Particles
Raw Score]]),_xlfn.STDEV.P(tblY7[[7C01 - Particles
Raw Score]])),9),_Stanine,2),5),"")</f>
        <v>7</v>
      </c>
      <c r="R38" s="66" t="n">
        <v>23</v>
      </c>
      <c r="S38" s="67">
        <f>IF(ISNUMBER(tblY7[[#This Row],[7P01 - Forces
Raw Score]]),IFERROR(VLOOKUP(ROUND(STANDARDIZE(tblY7[[#This Row],[7P01 - Forces
Raw Score]],AVERAGE(tblY7[[7P01 - Forces
Raw Score]]),_xlfn.STDEV.P(tblY7[[7P01 - Forces
Raw Score]])),9),_Stanine,2),5),"")</f>
        <v>6</v>
      </c>
      <c r="T38" s="66" t="n">
        <v>22</v>
      </c>
      <c r="U38" s="67">
        <f>IF(ISNUMBER(tblY7[[#This Row],[7B02 - Organ Systems
Raw Score]]),IFERROR(VLOOKUP(ROUND(STANDARDIZE(tblY7[[#This Row],[7B02 - Organ Systems
Raw Score]],AVERAGE(tblY7[[7B02 - Organ Systems
Raw Score]]),_xlfn.STDEV.P(tblY7[[7B02 - Organ Systems
Raw Score]])),9),_Stanine,2),5),"")</f>
        <v>7</v>
      </c>
    </row>
    <row r="39">
      <c r="A39" s="65" t="inlineStr">
        <is>
          <t>X908756074582</t>
        </is>
      </c>
      <c r="B39" s="65" t="inlineStr">
        <is>
          <t>Hall</t>
        </is>
      </c>
      <c r="C39" s="65" t="inlineStr">
        <is>
          <t>Maisie</t>
        </is>
      </c>
      <c r="D39" s="66" t="inlineStr">
        <is>
          <t>M</t>
        </is>
      </c>
      <c r="E39" s="66" t="inlineStr">
        <is>
          <t>N</t>
        </is>
      </c>
      <c r="F39" s="66" t="inlineStr">
        <is>
          <t>N</t>
        </is>
      </c>
      <c r="G39" s="34" t="n">
        <v>94.59999999999999</v>
      </c>
      <c r="H39" s="34" t="n">
        <v>105.5</v>
      </c>
      <c r="I39" s="67">
        <f>IF(ISNUMBER(tblY7[[#This Row],[Avg KS2]]),IFERROR(VLOOKUP(ROUND(STANDARDIZE(tblY7[[#This Row],[Avg KS2]],AVERAGE(tblY7[[Avg KS2]]),_xlfn.STDEV.P(tblY7[[Avg KS2]])),9),_Stanine,2),5),"")</f>
        <v>4</v>
      </c>
      <c r="J39" s="66" t="inlineStr">
        <is>
          <t>7A/Sc2</t>
        </is>
      </c>
      <c r="K39" s="67">
        <f>IF(tblY7[[#This Row],[Preferred Last name]]="","",COUNTIFS($N$1:$ZZ$1,"*"&amp;CHAR(10)&amp;"Stanine",$N39:$ZZ39,"&gt;=1"))</f>
        <v>4</v>
      </c>
      <c r="L39" s="68">
        <f>IFERROR(AVERAGEIF($N$1:$ZZ$1,"*"&amp;CHAR(10)&amp;"Stanine",$N39:$ZZ39),"")</f>
        <v>4.25</v>
      </c>
      <c r="M39" s="69">
        <f>IF(AND(ISNUMBER(tblY7[[#This Row],[Mean Stanine]]),ISNUMBER(tblY7[[#This Row],[Avg KS2 Band]]),ISNUMBER(SlopeY7)),tblY7[[#This Row],[Mean Stanine]]-(InterceptY7+SlopeY7*tblY7[[#This Row],[Avg KS2 Band]]),"")</f>
        <v>-0.0634093619558733</v>
      </c>
      <c r="N39" s="66" t="n">
        <v>15</v>
      </c>
      <c r="O39" s="67">
        <f>IF(ISNUMBER(tblY7[[#This Row],[7B01 - Cells
Raw Score]]),IFERROR(VLOOKUP(ROUND(STANDARDIZE(tblY7[[#This Row],[7B01 - Cells
Raw Score]],AVERAGE(tblY7[[7B01 - Cells
Raw Score]]),_xlfn.STDEV.P(tblY7[[7B01 - Cells
Raw Score]])),9),_Stanine,2),5),"")</f>
        <v>4</v>
      </c>
      <c r="P39" s="66" t="n">
        <v>16</v>
      </c>
      <c r="Q39" s="67">
        <f>IF(ISNUMBER(tblY7[[#This Row],[7C01 - Particles
Raw Score]]),IFERROR(VLOOKUP(ROUND(STANDARDIZE(tblY7[[#This Row],[7C01 - Particles
Raw Score]],AVERAGE(tblY7[[7C01 - Particles
Raw Score]]),_xlfn.STDEV.P(tblY7[[7C01 - Particles
Raw Score]])),9),_Stanine,2),5),"")</f>
        <v>4</v>
      </c>
      <c r="R39" s="66" t="n">
        <v>21</v>
      </c>
      <c r="S39" s="67">
        <f>IF(ISNUMBER(tblY7[[#This Row],[7P01 - Forces
Raw Score]]),IFERROR(VLOOKUP(ROUND(STANDARDIZE(tblY7[[#This Row],[7P01 - Forces
Raw Score]],AVERAGE(tblY7[[7P01 - Forces
Raw Score]]),_xlfn.STDEV.P(tblY7[[7P01 - Forces
Raw Score]])),9),_Stanine,2),5),"")</f>
        <v>5</v>
      </c>
      <c r="T39" s="66" t="n">
        <v>16</v>
      </c>
      <c r="U39" s="67">
        <f>IF(ISNUMBER(tblY7[[#This Row],[7B02 - Organ Systems
Raw Score]]),IFERROR(VLOOKUP(ROUND(STANDARDIZE(tblY7[[#This Row],[7B02 - Organ Systems
Raw Score]],AVERAGE(tblY7[[7B02 - Organ Systems
Raw Score]]),_xlfn.STDEV.P(tblY7[[7B02 - Organ Systems
Raw Score]])),9),_Stanine,2),5),"")</f>
        <v>4</v>
      </c>
    </row>
    <row r="40">
      <c r="A40" s="65" t="inlineStr">
        <is>
          <t>X902484502618</t>
        </is>
      </c>
      <c r="B40" s="65" t="inlineStr">
        <is>
          <t>Hughes</t>
        </is>
      </c>
      <c r="C40" s="65" t="inlineStr">
        <is>
          <t>Sami</t>
        </is>
      </c>
      <c r="D40" s="66" t="inlineStr">
        <is>
          <t>F</t>
        </is>
      </c>
      <c r="E40" s="66" t="inlineStr">
        <is>
          <t>N</t>
        </is>
      </c>
      <c r="F40" s="66" t="inlineStr">
        <is>
          <t>N</t>
        </is>
      </c>
      <c r="G40" s="34" t="n">
        <v>94.59999999999999</v>
      </c>
      <c r="H40" s="34" t="n">
        <v>110.5</v>
      </c>
      <c r="I40" s="67">
        <f>IF(ISNUMBER(tblY7[[#This Row],[Avg KS2]]),IFERROR(VLOOKUP(ROUND(STANDARDIZE(tblY7[[#This Row],[Avg KS2]],AVERAGE(tblY7[[Avg KS2]]),_xlfn.STDEV.P(tblY7[[Avg KS2]])),9),_Stanine,2),5),"")</f>
        <v>6</v>
      </c>
      <c r="J40" s="66" t="inlineStr">
        <is>
          <t>7A/Sc2</t>
        </is>
      </c>
      <c r="K40" s="67">
        <f>IF(tblY7[[#This Row],[Preferred Last name]]="","",COUNTIFS($N$1:$ZZ$1,"*"&amp;CHAR(10)&amp;"Stanine",$N40:$ZZ40,"&gt;=1"))</f>
        <v>4</v>
      </c>
      <c r="L40" s="68">
        <f>IFERROR(AVERAGEIF($N$1:$ZZ$1,"*"&amp;CHAR(10)&amp;"Stanine",$N40:$ZZ40),"")</f>
        <v>4.5</v>
      </c>
      <c r="M40" s="69">
        <f>IF(AND(ISNUMBER(tblY7[[#This Row],[Mean Stanine]]),ISNUMBER(tblY7[[#This Row],[Avg KS2 Band]]),ISNUMBER(SlopeY7)),tblY7[[#This Row],[Mean Stanine]]-(InterceptY7+SlopeY7*tblY7[[#This Row],[Avg KS2 Band]]),"")</f>
        <v>-1.20197525342874</v>
      </c>
      <c r="N40" s="66" t="n">
        <v>15</v>
      </c>
      <c r="O40" s="67">
        <f>IF(ISNUMBER(tblY7[[#This Row],[7B01 - Cells
Raw Score]]),IFERROR(VLOOKUP(ROUND(STANDARDIZE(tblY7[[#This Row],[7B01 - Cells
Raw Score]],AVERAGE(tblY7[[7B01 - Cells
Raw Score]]),_xlfn.STDEV.P(tblY7[[7B01 - Cells
Raw Score]])),9),_Stanine,2),5),"")</f>
        <v>4</v>
      </c>
      <c r="P40" s="66" t="n">
        <v>19</v>
      </c>
      <c r="Q40" s="67">
        <f>IF(ISNUMBER(tblY7[[#This Row],[7C01 - Particles
Raw Score]]),IFERROR(VLOOKUP(ROUND(STANDARDIZE(tblY7[[#This Row],[7C01 - Particles
Raw Score]],AVERAGE(tblY7[[7C01 - Particles
Raw Score]]),_xlfn.STDEV.P(tblY7[[7C01 - Particles
Raw Score]])),9),_Stanine,2),5),"")</f>
        <v>5</v>
      </c>
      <c r="R40" s="66" t="n">
        <v>19</v>
      </c>
      <c r="S40" s="67">
        <f>IF(ISNUMBER(tblY7[[#This Row],[7P01 - Forces
Raw Score]]),IFERROR(VLOOKUP(ROUND(STANDARDIZE(tblY7[[#This Row],[7P01 - Forces
Raw Score]],AVERAGE(tblY7[[7P01 - Forces
Raw Score]]),_xlfn.STDEV.P(tblY7[[7P01 - Forces
Raw Score]])),9),_Stanine,2),5),"")</f>
        <v>4</v>
      </c>
      <c r="T40" s="66" t="n">
        <v>19</v>
      </c>
      <c r="U40" s="67">
        <f>IF(ISNUMBER(tblY7[[#This Row],[7B02 - Organ Systems
Raw Score]]),IFERROR(VLOOKUP(ROUND(STANDARDIZE(tblY7[[#This Row],[7B02 - Organ Systems
Raw Score]],AVERAGE(tblY7[[7B02 - Organ Systems
Raw Score]]),_xlfn.STDEV.P(tblY7[[7B02 - Organ Systems
Raw Score]])),9),_Stanine,2),5),"")</f>
        <v>5</v>
      </c>
    </row>
    <row r="41">
      <c r="A41" s="65" t="inlineStr">
        <is>
          <t>X907775485765</t>
        </is>
      </c>
      <c r="B41" s="65" t="inlineStr">
        <is>
          <t>Hussain</t>
        </is>
      </c>
      <c r="C41" s="65" t="inlineStr">
        <is>
          <t>Finley</t>
        </is>
      </c>
      <c r="D41" s="66" t="inlineStr">
        <is>
          <t>M</t>
        </is>
      </c>
      <c r="E41" s="66" t="n"/>
      <c r="F41" s="66" t="inlineStr">
        <is>
          <t>N</t>
        </is>
      </c>
      <c r="G41" s="34" t="n">
        <v>92</v>
      </c>
      <c r="H41" s="34" t="n">
        <v>110.5</v>
      </c>
      <c r="I41" s="67">
        <f>IF(ISNUMBER(tblY7[[#This Row],[Avg KS2]]),IFERROR(VLOOKUP(ROUND(STANDARDIZE(tblY7[[#This Row],[Avg KS2]],AVERAGE(tblY7[[Avg KS2]]),_xlfn.STDEV.P(tblY7[[Avg KS2]])),9),_Stanine,2),5),"")</f>
        <v>6</v>
      </c>
      <c r="J41" s="66" t="inlineStr">
        <is>
          <t>7A/Sc2</t>
        </is>
      </c>
      <c r="K41" s="67">
        <f>IF(tblY7[[#This Row],[Preferred Last name]]="","",COUNTIFS($N$1:$ZZ$1,"*"&amp;CHAR(10)&amp;"Stanine",$N41:$ZZ41,"&gt;=1"))</f>
        <v>4</v>
      </c>
      <c r="L41" s="68">
        <f>IFERROR(AVERAGEIF($N$1:$ZZ$1,"*"&amp;CHAR(10)&amp;"Stanine",$N41:$ZZ41),"")</f>
        <v>6.25</v>
      </c>
      <c r="M41" s="69">
        <f>IF(AND(ISNUMBER(tblY7[[#This Row],[Mean Stanine]]),ISNUMBER(tblY7[[#This Row],[Avg KS2 Band]]),ISNUMBER(SlopeY7)),tblY7[[#This Row],[Mean Stanine]]-(InterceptY7+SlopeY7*tblY7[[#This Row],[Avg KS2 Band]]),"")</f>
        <v>0.548024746571259</v>
      </c>
      <c r="N41" s="66" t="n">
        <v>22</v>
      </c>
      <c r="O41" s="67">
        <f>IF(ISNUMBER(tblY7[[#This Row],[7B01 - Cells
Raw Score]]),IFERROR(VLOOKUP(ROUND(STANDARDIZE(tblY7[[#This Row],[7B01 - Cells
Raw Score]],AVERAGE(tblY7[[7B01 - Cells
Raw Score]]),_xlfn.STDEV.P(tblY7[[7B01 - Cells
Raw Score]])),9),_Stanine,2),5),"")</f>
        <v>6</v>
      </c>
      <c r="P41" s="66" t="n">
        <v>21</v>
      </c>
      <c r="Q41" s="67">
        <f>IF(ISNUMBER(tblY7[[#This Row],[7C01 - Particles
Raw Score]]),IFERROR(VLOOKUP(ROUND(STANDARDIZE(tblY7[[#This Row],[7C01 - Particles
Raw Score]],AVERAGE(tblY7[[7C01 - Particles
Raw Score]]),_xlfn.STDEV.P(tblY7[[7C01 - Particles
Raw Score]])),9),_Stanine,2),5),"")</f>
        <v>6</v>
      </c>
      <c r="R41" s="66" t="n">
        <v>26</v>
      </c>
      <c r="S41" s="67">
        <f>IF(ISNUMBER(tblY7[[#This Row],[7P01 - Forces
Raw Score]]),IFERROR(VLOOKUP(ROUND(STANDARDIZE(tblY7[[#This Row],[7P01 - Forces
Raw Score]],AVERAGE(tblY7[[7P01 - Forces
Raw Score]]),_xlfn.STDEV.P(tblY7[[7P01 - Forces
Raw Score]])),9),_Stanine,2),5),"")</f>
        <v>7</v>
      </c>
      <c r="T41" s="66" t="n">
        <v>21</v>
      </c>
      <c r="U41" s="67">
        <f>IF(ISNUMBER(tblY7[[#This Row],[7B02 - Organ Systems
Raw Score]]),IFERROR(VLOOKUP(ROUND(STANDARDIZE(tblY7[[#This Row],[7B02 - Organ Systems
Raw Score]],AVERAGE(tblY7[[7B02 - Organ Systems
Raw Score]]),_xlfn.STDEV.P(tblY7[[7B02 - Organ Systems
Raw Score]])),9),_Stanine,2),5),"")</f>
        <v>6</v>
      </c>
    </row>
    <row r="42">
      <c r="A42" s="65" t="inlineStr">
        <is>
          <t>X907945939499</t>
        </is>
      </c>
      <c r="B42" s="65" t="inlineStr">
        <is>
          <t>Hussain</t>
        </is>
      </c>
      <c r="C42" s="65" t="inlineStr">
        <is>
          <t>Isla</t>
        </is>
      </c>
      <c r="D42" s="66" t="inlineStr">
        <is>
          <t>M</t>
        </is>
      </c>
      <c r="E42" s="66" t="inlineStr">
        <is>
          <t>N</t>
        </is>
      </c>
      <c r="F42" s="66" t="inlineStr">
        <is>
          <t>Y</t>
        </is>
      </c>
      <c r="G42" s="34" t="n">
        <v>83</v>
      </c>
      <c r="H42" s="34" t="n">
        <v>104</v>
      </c>
      <c r="I42" s="67">
        <f>IF(ISNUMBER(tblY7[[#This Row],[Avg KS2]]),IFERROR(VLOOKUP(ROUND(STANDARDIZE(tblY7[[#This Row],[Avg KS2]],AVERAGE(tblY7[[Avg KS2]]),_xlfn.STDEV.P(tblY7[[Avg KS2]])),9),_Stanine,2),5),"")</f>
        <v>4</v>
      </c>
      <c r="J42" s="66" t="inlineStr">
        <is>
          <t>7A/Sc2</t>
        </is>
      </c>
      <c r="K42" s="67">
        <f>IF(tblY7[[#This Row],[Preferred Last name]]="","",COUNTIFS($N$1:$ZZ$1,"*"&amp;CHAR(10)&amp;"Stanine",$N42:$ZZ42,"&gt;=1"))</f>
        <v>4</v>
      </c>
      <c r="L42" s="68">
        <f>IFERROR(AVERAGEIF($N$1:$ZZ$1,"*"&amp;CHAR(10)&amp;"Stanine",$N42:$ZZ42),"")</f>
        <v>6</v>
      </c>
      <c r="M42" s="69">
        <f>IF(AND(ISNUMBER(tblY7[[#This Row],[Mean Stanine]]),ISNUMBER(tblY7[[#This Row],[Avg KS2 Band]]),ISNUMBER(SlopeY7)),tblY7[[#This Row],[Mean Stanine]]-(InterceptY7+SlopeY7*tblY7[[#This Row],[Avg KS2 Band]]),"")</f>
        <v>1.68659063804413</v>
      </c>
      <c r="N42" s="66" t="n">
        <v>20</v>
      </c>
      <c r="O42" s="67">
        <f>IF(ISNUMBER(tblY7[[#This Row],[7B01 - Cells
Raw Score]]),IFERROR(VLOOKUP(ROUND(STANDARDIZE(tblY7[[#This Row],[7B01 - Cells
Raw Score]],AVERAGE(tblY7[[7B01 - Cells
Raw Score]]),_xlfn.STDEV.P(tblY7[[7B01 - Cells
Raw Score]])),9),_Stanine,2),5),"")</f>
        <v>6</v>
      </c>
      <c r="P42" s="66" t="n">
        <v>21</v>
      </c>
      <c r="Q42" s="67">
        <f>IF(ISNUMBER(tblY7[[#This Row],[7C01 - Particles
Raw Score]]),IFERROR(VLOOKUP(ROUND(STANDARDIZE(tblY7[[#This Row],[7C01 - Particles
Raw Score]],AVERAGE(tblY7[[7C01 - Particles
Raw Score]]),_xlfn.STDEV.P(tblY7[[7C01 - Particles
Raw Score]])),9),_Stanine,2),5),"")</f>
        <v>6</v>
      </c>
      <c r="R42" s="66" t="n">
        <v>23</v>
      </c>
      <c r="S42" s="67">
        <f>IF(ISNUMBER(tblY7[[#This Row],[7P01 - Forces
Raw Score]]),IFERROR(VLOOKUP(ROUND(STANDARDIZE(tblY7[[#This Row],[7P01 - Forces
Raw Score]],AVERAGE(tblY7[[7P01 - Forces
Raw Score]]),_xlfn.STDEV.P(tblY7[[7P01 - Forces
Raw Score]])),9),_Stanine,2),5),"")</f>
        <v>6</v>
      </c>
      <c r="T42" s="66" t="n">
        <v>21</v>
      </c>
      <c r="U42" s="67">
        <f>IF(ISNUMBER(tblY7[[#This Row],[7B02 - Organ Systems
Raw Score]]),IFERROR(VLOOKUP(ROUND(STANDARDIZE(tblY7[[#This Row],[7B02 - Organ Systems
Raw Score]],AVERAGE(tblY7[[7B02 - Organ Systems
Raw Score]]),_xlfn.STDEV.P(tblY7[[7B02 - Organ Systems
Raw Score]])),9),_Stanine,2),5),"")</f>
        <v>6</v>
      </c>
    </row>
    <row r="43">
      <c r="A43" s="65" t="inlineStr">
        <is>
          <t>X906673147413</t>
        </is>
      </c>
      <c r="B43" s="65" t="inlineStr">
        <is>
          <t>Johnson</t>
        </is>
      </c>
      <c r="C43" s="65" t="inlineStr">
        <is>
          <t>Arthur</t>
        </is>
      </c>
      <c r="D43" s="66" t="inlineStr">
        <is>
          <t>F</t>
        </is>
      </c>
      <c r="E43" s="66" t="inlineStr">
        <is>
          <t>N</t>
        </is>
      </c>
      <c r="F43" s="66" t="inlineStr">
        <is>
          <t>Y</t>
        </is>
      </c>
      <c r="G43" s="34" t="n">
        <v>98.5</v>
      </c>
      <c r="H43" s="34" t="n">
        <v>99</v>
      </c>
      <c r="I43" s="67">
        <f>IF(ISNUMBER(tblY7[[#This Row],[Avg KS2]]),IFERROR(VLOOKUP(ROUND(STANDARDIZE(tblY7[[#This Row],[Avg KS2]],AVERAGE(tblY7[[Avg KS2]]),_xlfn.STDEV.P(tblY7[[Avg KS2]])),9),_Stanine,2),5),"")</f>
        <v>2</v>
      </c>
      <c r="J43" s="66" t="inlineStr">
        <is>
          <t>7A/Sc2</t>
        </is>
      </c>
      <c r="K43" s="67">
        <f>IF(tblY7[[#This Row],[Preferred Last name]]="","",COUNTIFS($N$1:$ZZ$1,"*"&amp;CHAR(10)&amp;"Stanine",$N43:$ZZ43,"&gt;=1"))</f>
        <v>4</v>
      </c>
      <c r="L43" s="68">
        <f>IFERROR(AVERAGEIF($N$1:$ZZ$1,"*"&amp;CHAR(10)&amp;"Stanine",$N43:$ZZ43),"")</f>
        <v>4.25</v>
      </c>
      <c r="M43" s="69">
        <f>IF(AND(ISNUMBER(tblY7[[#This Row],[Mean Stanine]]),ISNUMBER(tblY7[[#This Row],[Avg KS2 Band]]),ISNUMBER(SlopeY7)),tblY7[[#This Row],[Mean Stanine]]-(InterceptY7+SlopeY7*tblY7[[#This Row],[Avg KS2 Band]]),"")</f>
        <v>1.32515652951699</v>
      </c>
      <c r="N43" s="66" t="n">
        <v>12</v>
      </c>
      <c r="O43" s="67">
        <f>IF(ISNUMBER(tblY7[[#This Row],[7B01 - Cells
Raw Score]]),IFERROR(VLOOKUP(ROUND(STANDARDIZE(tblY7[[#This Row],[7B01 - Cells
Raw Score]],AVERAGE(tblY7[[7B01 - Cells
Raw Score]]),_xlfn.STDEV.P(tblY7[[7B01 - Cells
Raw Score]])),9),_Stanine,2),5),"")</f>
        <v>3</v>
      </c>
      <c r="P43" s="66" t="n">
        <v>17</v>
      </c>
      <c r="Q43" s="67">
        <f>IF(ISNUMBER(tblY7[[#This Row],[7C01 - Particles
Raw Score]]),IFERROR(VLOOKUP(ROUND(STANDARDIZE(tblY7[[#This Row],[7C01 - Particles
Raw Score]],AVERAGE(tblY7[[7C01 - Particles
Raw Score]]),_xlfn.STDEV.P(tblY7[[7C01 - Particles
Raw Score]])),9),_Stanine,2),5),"")</f>
        <v>4</v>
      </c>
      <c r="R43" s="66" t="n">
        <v>23</v>
      </c>
      <c r="S43" s="67">
        <f>IF(ISNUMBER(tblY7[[#This Row],[7P01 - Forces
Raw Score]]),IFERROR(VLOOKUP(ROUND(STANDARDIZE(tblY7[[#This Row],[7P01 - Forces
Raw Score]],AVERAGE(tblY7[[7P01 - Forces
Raw Score]]),_xlfn.STDEV.P(tblY7[[7P01 - Forces
Raw Score]])),9),_Stanine,2),5),"")</f>
        <v>6</v>
      </c>
      <c r="T43" s="66" t="n">
        <v>15</v>
      </c>
      <c r="U43" s="67">
        <f>IF(ISNUMBER(tblY7[[#This Row],[7B02 - Organ Systems
Raw Score]]),IFERROR(VLOOKUP(ROUND(STANDARDIZE(tblY7[[#This Row],[7B02 - Organ Systems
Raw Score]],AVERAGE(tblY7[[7B02 - Organ Systems
Raw Score]]),_xlfn.STDEV.P(tblY7[[7B02 - Organ Systems
Raw Score]])),9),_Stanine,2),5),"")</f>
        <v>4</v>
      </c>
    </row>
    <row r="44">
      <c r="A44" s="65" t="inlineStr">
        <is>
          <t>X900421847914</t>
        </is>
      </c>
      <c r="B44" s="65" t="inlineStr">
        <is>
          <t>Jones</t>
        </is>
      </c>
      <c r="C44" s="65" t="inlineStr">
        <is>
          <t>Dylan</t>
        </is>
      </c>
      <c r="D44" s="66" t="inlineStr">
        <is>
          <t>F</t>
        </is>
      </c>
      <c r="E44" s="66" t="inlineStr">
        <is>
          <t>N</t>
        </is>
      </c>
      <c r="F44" s="66" t="inlineStr">
        <is>
          <t>N</t>
        </is>
      </c>
      <c r="G44" s="34" t="n">
        <v>95.09999999999999</v>
      </c>
      <c r="H44" s="34" t="n">
        <v>107.5</v>
      </c>
      <c r="I44" s="67">
        <f>IF(ISNUMBER(tblY7[[#This Row],[Avg KS2]]),IFERROR(VLOOKUP(ROUND(STANDARDIZE(tblY7[[#This Row],[Avg KS2]],AVERAGE(tblY7[[Avg KS2]]),_xlfn.STDEV.P(tblY7[[Avg KS2]])),9),_Stanine,2),5),"")</f>
        <v>5</v>
      </c>
      <c r="J44" s="66" t="inlineStr">
        <is>
          <t>7A/Sc2</t>
        </is>
      </c>
      <c r="K44" s="67">
        <f>IF(tblY7[[#This Row],[Preferred Last name]]="","",COUNTIFS($N$1:$ZZ$1,"*"&amp;CHAR(10)&amp;"Stanine",$N44:$ZZ44,"&gt;=1"))</f>
        <v>3</v>
      </c>
      <c r="L44" s="68">
        <f>IFERROR(AVERAGEIF($N$1:$ZZ$1,"*"&amp;CHAR(10)&amp;"Stanine",$N44:$ZZ44),"")</f>
        <v>6</v>
      </c>
      <c r="M44" s="69">
        <f>IF(AND(ISNUMBER(tblY7[[#This Row],[Mean Stanine]]),ISNUMBER(tblY7[[#This Row],[Avg KS2 Band]]),ISNUMBER(SlopeY7)),tblY7[[#This Row],[Mean Stanine]]-(InterceptY7+SlopeY7*tblY7[[#This Row],[Avg KS2 Band]]),"")</f>
        <v>0.992307692307692</v>
      </c>
      <c r="N44" s="66" t="n">
        <v>22</v>
      </c>
      <c r="O44" s="67">
        <f>IF(ISNUMBER(tblY7[[#This Row],[7B01 - Cells
Raw Score]]),IFERROR(VLOOKUP(ROUND(STANDARDIZE(tblY7[[#This Row],[7B01 - Cells
Raw Score]],AVERAGE(tblY7[[7B01 - Cells
Raw Score]]),_xlfn.STDEV.P(tblY7[[7B01 - Cells
Raw Score]])),9),_Stanine,2),5),"")</f>
        <v>6</v>
      </c>
      <c r="P44" s="66" t="n">
        <v>21</v>
      </c>
      <c r="Q44" s="67">
        <f>IF(ISNUMBER(tblY7[[#This Row],[7C01 - Particles
Raw Score]]),IFERROR(VLOOKUP(ROUND(STANDARDIZE(tblY7[[#This Row],[7C01 - Particles
Raw Score]],AVERAGE(tblY7[[7C01 - Particles
Raw Score]]),_xlfn.STDEV.P(tblY7[[7C01 - Particles
Raw Score]])),9),_Stanine,2),5),"")</f>
        <v>6</v>
      </c>
      <c r="R44" s="66" t="n">
        <v>24</v>
      </c>
      <c r="S44" s="67">
        <f>IF(ISNUMBER(tblY7[[#This Row],[7P01 - Forces
Raw Score]]),IFERROR(VLOOKUP(ROUND(STANDARDIZE(tblY7[[#This Row],[7P01 - Forces
Raw Score]],AVERAGE(tblY7[[7P01 - Forces
Raw Score]]),_xlfn.STDEV.P(tblY7[[7P01 - Forces
Raw Score]])),9),_Stanine,2),5),"")</f>
        <v>6</v>
      </c>
      <c r="T44" s="66" t="inlineStr">
        <is>
          <t>A</t>
        </is>
      </c>
      <c r="U44" s="67" t="str">
        <f>IF(ISNUMBER(tblY7[[#This Row],[7B02 - Organ Systems
Raw Score]]),IFERROR(VLOOKUP(ROUND(STANDARDIZE(tblY7[[#This Row],[7B02 - Organ Systems
Raw Score]],AVERAGE(tblY7[[7B02 - Organ Systems
Raw Score]]),_xlfn.STDEV.P(tblY7[[7B02 - Organ Systems
Raw Score]])),9),_Stanine,2),5),"")</f>
        <v/>
      </c>
    </row>
    <row r="45">
      <c r="A45" s="65" t="inlineStr">
        <is>
          <t>X906580237629</t>
        </is>
      </c>
      <c r="B45" s="65" t="inlineStr">
        <is>
          <t>Kowalski</t>
        </is>
      </c>
      <c r="C45" s="65" t="inlineStr">
        <is>
          <t>Amara</t>
        </is>
      </c>
      <c r="D45" s="66" t="inlineStr">
        <is>
          <t>F</t>
        </is>
      </c>
      <c r="E45" s="66" t="inlineStr">
        <is>
          <t>N</t>
        </is>
      </c>
      <c r="F45" s="66" t="inlineStr">
        <is>
          <t>N</t>
        </is>
      </c>
      <c r="G45" s="34" t="n">
        <v>100</v>
      </c>
      <c r="H45" s="34" t="n">
        <v>101</v>
      </c>
      <c r="I45" s="67">
        <f>IF(ISNUMBER(tblY7[[#This Row],[Avg KS2]]),IFERROR(VLOOKUP(ROUND(STANDARDIZE(tblY7[[#This Row],[Avg KS2]],AVERAGE(tblY7[[Avg KS2]]),_xlfn.STDEV.P(tblY7[[Avg KS2]])),9),_Stanine,2),5),"")</f>
        <v>3</v>
      </c>
      <c r="J45" s="66" t="inlineStr">
        <is>
          <t>7A/Sc2</t>
        </is>
      </c>
      <c r="K45" s="67">
        <f>IF(tblY7[[#This Row],[Preferred Last name]]="","",COUNTIFS($N$1:$ZZ$1,"*"&amp;CHAR(10)&amp;"Stanine",$N45:$ZZ45,"&gt;=1"))</f>
        <v>3</v>
      </c>
      <c r="L45" s="68">
        <f>IFERROR(AVERAGEIF($N$1:$ZZ$1,"*"&amp;CHAR(10)&amp;"Stanine",$N45:$ZZ45),"")</f>
        <v>2.33333333333333</v>
      </c>
      <c r="M45" s="69">
        <f>IF(AND(ISNUMBER(tblY7[[#This Row],[Mean Stanine]]),ISNUMBER(tblY7[[#This Row],[Avg KS2 Band]]),ISNUMBER(SlopeY7)),tblY7[[#This Row],[Mean Stanine]]-(InterceptY7+SlopeY7*tblY7[[#This Row],[Avg KS2 Band]]),"")</f>
        <v>-1.28579308288611</v>
      </c>
      <c r="N45" s="66" t="n">
        <v>7</v>
      </c>
      <c r="O45" s="67">
        <f>IF(ISNUMBER(tblY7[[#This Row],[7B01 - Cells
Raw Score]]),IFERROR(VLOOKUP(ROUND(STANDARDIZE(tblY7[[#This Row],[7B01 - Cells
Raw Score]],AVERAGE(tblY7[[7B01 - Cells
Raw Score]]),_xlfn.STDEV.P(tblY7[[7B01 - Cells
Raw Score]])),9),_Stanine,2),5),"")</f>
        <v>2</v>
      </c>
      <c r="P45" s="66" t="inlineStr">
        <is>
          <t>A</t>
        </is>
      </c>
      <c r="Q45" s="67" t="str">
        <f>IF(ISNUMBER(tblY7[[#This Row],[7C01 - Particles
Raw Score]]),IFERROR(VLOOKUP(ROUND(STANDARDIZE(tblY7[[#This Row],[7C01 - Particles
Raw Score]],AVERAGE(tblY7[[7C01 - Particles
Raw Score]]),_xlfn.STDEV.P(tblY7[[7C01 - Particles
Raw Score]])),9),_Stanine,2),5),"")</f>
        <v/>
      </c>
      <c r="R45" s="66" t="n">
        <v>17</v>
      </c>
      <c r="S45" s="67">
        <f>IF(ISNUMBER(tblY7[[#This Row],[7P01 - Forces
Raw Score]]),IFERROR(VLOOKUP(ROUND(STANDARDIZE(tblY7[[#This Row],[7P01 - Forces
Raw Score]],AVERAGE(tblY7[[7P01 - Forces
Raw Score]]),_xlfn.STDEV.P(tblY7[[7P01 - Forces
Raw Score]])),9),_Stanine,2),5),"")</f>
        <v>3</v>
      </c>
      <c r="T45" s="66" t="n">
        <v>9</v>
      </c>
      <c r="U45" s="67">
        <f>IF(ISNUMBER(tblY7[[#This Row],[7B02 - Organ Systems
Raw Score]]),IFERROR(VLOOKUP(ROUND(STANDARDIZE(tblY7[[#This Row],[7B02 - Organ Systems
Raw Score]],AVERAGE(tblY7[[7B02 - Organ Systems
Raw Score]]),_xlfn.STDEV.P(tblY7[[7B02 - Organ Systems
Raw Score]])),9),_Stanine,2),5),"")</f>
        <v>2</v>
      </c>
    </row>
    <row r="46">
      <c r="A46" s="65" t="inlineStr">
        <is>
          <t>X906763725989</t>
        </is>
      </c>
      <c r="B46" s="65" t="inlineStr">
        <is>
          <t>Murphy</t>
        </is>
      </c>
      <c r="C46" s="65" t="inlineStr">
        <is>
          <t>Ella</t>
        </is>
      </c>
      <c r="D46" s="66" t="inlineStr">
        <is>
          <t>F</t>
        </is>
      </c>
      <c r="E46" s="66" t="inlineStr">
        <is>
          <t>N</t>
        </is>
      </c>
      <c r="F46" s="66" t="inlineStr">
        <is>
          <t>Y</t>
        </is>
      </c>
      <c r="G46" s="34" t="n">
        <v>87.2</v>
      </c>
      <c r="H46" s="34" t="n">
        <v>104.5</v>
      </c>
      <c r="I46" s="67">
        <f>IF(ISNUMBER(tblY7[[#This Row],[Avg KS2]]),IFERROR(VLOOKUP(ROUND(STANDARDIZE(tblY7[[#This Row],[Avg KS2]],AVERAGE(tblY7[[Avg KS2]]),_xlfn.STDEV.P(tblY7[[Avg KS2]])),9),_Stanine,2),5),"")</f>
        <v>4</v>
      </c>
      <c r="J46" s="66" t="inlineStr">
        <is>
          <t>7A/Sc2</t>
        </is>
      </c>
      <c r="K46" s="67">
        <f>IF(tblY7[[#This Row],[Preferred Last name]]="","",COUNTIFS($N$1:$ZZ$1,"*"&amp;CHAR(10)&amp;"Stanine",$N46:$ZZ46,"&gt;=1"))</f>
        <v>4</v>
      </c>
      <c r="L46" s="68">
        <f>IFERROR(AVERAGEIF($N$1:$ZZ$1,"*"&amp;CHAR(10)&amp;"Stanine",$N46:$ZZ46),"")</f>
        <v>3.25</v>
      </c>
      <c r="M46" s="69">
        <f>IF(AND(ISNUMBER(tblY7[[#This Row],[Mean Stanine]]),ISNUMBER(tblY7[[#This Row],[Avg KS2 Band]]),ISNUMBER(SlopeY7)),tblY7[[#This Row],[Mean Stanine]]-(InterceptY7+SlopeY7*tblY7[[#This Row],[Avg KS2 Band]]),"")</f>
        <v>-1.06340936195587</v>
      </c>
      <c r="N46" s="66" t="n">
        <v>12</v>
      </c>
      <c r="O46" s="67">
        <f>IF(ISNUMBER(tblY7[[#This Row],[7B01 - Cells
Raw Score]]),IFERROR(VLOOKUP(ROUND(STANDARDIZE(tblY7[[#This Row],[7B01 - Cells
Raw Score]],AVERAGE(tblY7[[7B01 - Cells
Raw Score]]),_xlfn.STDEV.P(tblY7[[7B01 - Cells
Raw Score]])),9),_Stanine,2),5),"")</f>
        <v>3</v>
      </c>
      <c r="P46" s="66" t="n">
        <v>14</v>
      </c>
      <c r="Q46" s="67">
        <f>IF(ISNUMBER(tblY7[[#This Row],[7C01 - Particles
Raw Score]]),IFERROR(VLOOKUP(ROUND(STANDARDIZE(tblY7[[#This Row],[7C01 - Particles
Raw Score]],AVERAGE(tblY7[[7C01 - Particles
Raw Score]]),_xlfn.STDEV.P(tblY7[[7C01 - Particles
Raw Score]])),9),_Stanine,2),5),"")</f>
        <v>3</v>
      </c>
      <c r="R46" s="66" t="n">
        <v>16</v>
      </c>
      <c r="S46" s="67">
        <f>IF(ISNUMBER(tblY7[[#This Row],[7P01 - Forces
Raw Score]]),IFERROR(VLOOKUP(ROUND(STANDARDIZE(tblY7[[#This Row],[7P01 - Forces
Raw Score]],AVERAGE(tblY7[[7P01 - Forces
Raw Score]]),_xlfn.STDEV.P(tblY7[[7P01 - Forces
Raw Score]])),9),_Stanine,2),5),"")</f>
        <v>3</v>
      </c>
      <c r="T46" s="66" t="n">
        <v>14</v>
      </c>
      <c r="U46" s="67">
        <f>IF(ISNUMBER(tblY7[[#This Row],[7B02 - Organ Systems
Raw Score]]),IFERROR(VLOOKUP(ROUND(STANDARDIZE(tblY7[[#This Row],[7B02 - Organ Systems
Raw Score]],AVERAGE(tblY7[[7B02 - Organ Systems
Raw Score]]),_xlfn.STDEV.P(tblY7[[7B02 - Organ Systems
Raw Score]])),9),_Stanine,2),5),"")</f>
        <v>4</v>
      </c>
    </row>
    <row r="47">
      <c r="A47" s="65" t="inlineStr">
        <is>
          <t>X905453950263</t>
        </is>
      </c>
      <c r="B47" s="65" t="inlineStr">
        <is>
          <t>Murphy</t>
        </is>
      </c>
      <c r="C47" s="65" t="inlineStr">
        <is>
          <t>Keira</t>
        </is>
      </c>
      <c r="D47" s="66" t="inlineStr">
        <is>
          <t>M</t>
        </is>
      </c>
      <c r="E47" s="66" t="inlineStr">
        <is>
          <t>K</t>
        </is>
      </c>
      <c r="F47" s="66" t="inlineStr">
        <is>
          <t>Y</t>
        </is>
      </c>
      <c r="G47" s="34" t="n">
        <v>97.7</v>
      </c>
      <c r="H47" s="34" t="n">
        <v>107.5</v>
      </c>
      <c r="I47" s="67">
        <f>IF(ISNUMBER(tblY7[[#This Row],[Avg KS2]]),IFERROR(VLOOKUP(ROUND(STANDARDIZE(tblY7[[#This Row],[Avg KS2]],AVERAGE(tblY7[[Avg KS2]]),_xlfn.STDEV.P(tblY7[[Avg KS2]])),9),_Stanine,2),5),"")</f>
        <v>5</v>
      </c>
      <c r="J47" s="66" t="inlineStr">
        <is>
          <t>7A/Sc2</t>
        </is>
      </c>
      <c r="K47" s="67">
        <f>IF(tblY7[[#This Row],[Preferred Last name]]="","",COUNTIFS($N$1:$ZZ$1,"*"&amp;CHAR(10)&amp;"Stanine",$N47:$ZZ47,"&gt;=1"))</f>
        <v>4</v>
      </c>
      <c r="L47" s="68">
        <f>IFERROR(AVERAGEIF($N$1:$ZZ$1,"*"&amp;CHAR(10)&amp;"Stanine",$N47:$ZZ47),"")</f>
        <v>7.5</v>
      </c>
      <c r="M47" s="69">
        <f>IF(AND(ISNUMBER(tblY7[[#This Row],[Mean Stanine]]),ISNUMBER(tblY7[[#This Row],[Avg KS2 Band]]),ISNUMBER(SlopeY7)),tblY7[[#This Row],[Mean Stanine]]-(InterceptY7+SlopeY7*tblY7[[#This Row],[Avg KS2 Band]]),"")</f>
        <v>2.49230769230769</v>
      </c>
      <c r="N47" s="66" t="n">
        <v>26</v>
      </c>
      <c r="O47" s="67">
        <f>IF(ISNUMBER(tblY7[[#This Row],[7B01 - Cells
Raw Score]]),IFERROR(VLOOKUP(ROUND(STANDARDIZE(tblY7[[#This Row],[7B01 - Cells
Raw Score]],AVERAGE(tblY7[[7B01 - Cells
Raw Score]]),_xlfn.STDEV.P(tblY7[[7B01 - Cells
Raw Score]])),9),_Stanine,2),5),"")</f>
        <v>8</v>
      </c>
      <c r="P47" s="66" t="n">
        <v>22</v>
      </c>
      <c r="Q47" s="67">
        <f>IF(ISNUMBER(tblY7[[#This Row],[7C01 - Particles
Raw Score]]),IFERROR(VLOOKUP(ROUND(STANDARDIZE(tblY7[[#This Row],[7C01 - Particles
Raw Score]],AVERAGE(tblY7[[7C01 - Particles
Raw Score]]),_xlfn.STDEV.P(tblY7[[7C01 - Particles
Raw Score]])),9),_Stanine,2),5),"")</f>
        <v>7</v>
      </c>
      <c r="R47" s="66" t="n">
        <v>26</v>
      </c>
      <c r="S47" s="67">
        <f>IF(ISNUMBER(tblY7[[#This Row],[7P01 - Forces
Raw Score]]),IFERROR(VLOOKUP(ROUND(STANDARDIZE(tblY7[[#This Row],[7P01 - Forces
Raw Score]],AVERAGE(tblY7[[7P01 - Forces
Raw Score]]),_xlfn.STDEV.P(tblY7[[7P01 - Forces
Raw Score]])),9),_Stanine,2),5),"")</f>
        <v>7</v>
      </c>
      <c r="T47" s="66" t="n">
        <v>25</v>
      </c>
      <c r="U47" s="67">
        <f>IF(ISNUMBER(tblY7[[#This Row],[7B02 - Organ Systems
Raw Score]]),IFERROR(VLOOKUP(ROUND(STANDARDIZE(tblY7[[#This Row],[7B02 - Organ Systems
Raw Score]],AVERAGE(tblY7[[7B02 - Organ Systems
Raw Score]]),_xlfn.STDEV.P(tblY7[[7B02 - Organ Systems
Raw Score]])),9),_Stanine,2),5),"")</f>
        <v>8</v>
      </c>
    </row>
    <row r="48">
      <c r="A48" s="65" t="inlineStr">
        <is>
          <t>X901019641429</t>
        </is>
      </c>
      <c r="B48" s="65" t="inlineStr">
        <is>
          <t>Murphy</t>
        </is>
      </c>
      <c r="C48" s="65" t="inlineStr">
        <is>
          <t>Priya</t>
        </is>
      </c>
      <c r="D48" s="66" t="inlineStr">
        <is>
          <t>M</t>
        </is>
      </c>
      <c r="E48" s="66" t="n"/>
      <c r="F48" s="66" t="inlineStr">
        <is>
          <t>Y</t>
        </is>
      </c>
      <c r="G48" s="34" t="n">
        <v>100</v>
      </c>
      <c r="H48" s="34" t="n">
        <v>111</v>
      </c>
      <c r="I48" s="67">
        <f>IF(ISNUMBER(tblY7[[#This Row],[Avg KS2]]),IFERROR(VLOOKUP(ROUND(STANDARDIZE(tblY7[[#This Row],[Avg KS2]],AVERAGE(tblY7[[Avg KS2]]),_xlfn.STDEV.P(tblY7[[Avg KS2]])),9),_Stanine,2),5),"")</f>
        <v>7</v>
      </c>
      <c r="J48" s="66" t="inlineStr">
        <is>
          <t>7A/Sc2</t>
        </is>
      </c>
      <c r="K48" s="67">
        <f>IF(tblY7[[#This Row],[Preferred Last name]]="","",COUNTIFS($N$1:$ZZ$1,"*"&amp;CHAR(10)&amp;"Stanine",$N48:$ZZ48,"&gt;=1"))</f>
        <v>4</v>
      </c>
      <c r="L48" s="68">
        <f>IFERROR(AVERAGEIF($N$1:$ZZ$1,"*"&amp;CHAR(10)&amp;"Stanine",$N48:$ZZ48),"")</f>
        <v>5</v>
      </c>
      <c r="M48" s="69">
        <f>IF(AND(ISNUMBER(tblY7[[#This Row],[Mean Stanine]]),ISNUMBER(tblY7[[#This Row],[Avg KS2 Band]]),ISNUMBER(SlopeY7)),tblY7[[#This Row],[Mean Stanine]]-(InterceptY7+SlopeY7*tblY7[[#This Row],[Avg KS2 Band]]),"")</f>
        <v>-1.39625819916518</v>
      </c>
      <c r="N48" s="66" t="n">
        <v>19</v>
      </c>
      <c r="O48" s="67">
        <f>IF(ISNUMBER(tblY7[[#This Row],[7B01 - Cells
Raw Score]]),IFERROR(VLOOKUP(ROUND(STANDARDIZE(tblY7[[#This Row],[7B01 - Cells
Raw Score]],AVERAGE(tblY7[[7B01 - Cells
Raw Score]]),_xlfn.STDEV.P(tblY7[[7B01 - Cells
Raw Score]])),9),_Stanine,2),5),"")</f>
        <v>5</v>
      </c>
      <c r="P48" s="66" t="n">
        <v>20</v>
      </c>
      <c r="Q48" s="67">
        <f>IF(ISNUMBER(tblY7[[#This Row],[7C01 - Particles
Raw Score]]),IFERROR(VLOOKUP(ROUND(STANDARDIZE(tblY7[[#This Row],[7C01 - Particles
Raw Score]],AVERAGE(tblY7[[7C01 - Particles
Raw Score]]),_xlfn.STDEV.P(tblY7[[7C01 - Particles
Raw Score]])),9),_Stanine,2),5),"")</f>
        <v>6</v>
      </c>
      <c r="R48" s="66" t="n">
        <v>22</v>
      </c>
      <c r="S48" s="67">
        <f>IF(ISNUMBER(tblY7[[#This Row],[7P01 - Forces
Raw Score]]),IFERROR(VLOOKUP(ROUND(STANDARDIZE(tblY7[[#This Row],[7P01 - Forces
Raw Score]],AVERAGE(tblY7[[7P01 - Forces
Raw Score]]),_xlfn.STDEV.P(tblY7[[7P01 - Forces
Raw Score]])),9),_Stanine,2),5),"")</f>
        <v>5</v>
      </c>
      <c r="T48" s="66" t="n">
        <v>15</v>
      </c>
      <c r="U48" s="67">
        <f>IF(ISNUMBER(tblY7[[#This Row],[7B02 - Organ Systems
Raw Score]]),IFERROR(VLOOKUP(ROUND(STANDARDIZE(tblY7[[#This Row],[7B02 - Organ Systems
Raw Score]],AVERAGE(tblY7[[7B02 - Organ Systems
Raw Score]]),_xlfn.STDEV.P(tblY7[[7B02 - Organ Systems
Raw Score]])),9),_Stanine,2),5),"")</f>
        <v>4</v>
      </c>
    </row>
    <row r="49">
      <c r="A49" s="65" t="inlineStr">
        <is>
          <t>X904394382630</t>
        </is>
      </c>
      <c r="B49" s="65" t="inlineStr">
        <is>
          <t>Nowak</t>
        </is>
      </c>
      <c r="C49" s="65" t="inlineStr">
        <is>
          <t>Amara</t>
        </is>
      </c>
      <c r="D49" s="66" t="inlineStr">
        <is>
          <t>M</t>
        </is>
      </c>
      <c r="E49" s="66" t="inlineStr">
        <is>
          <t>N</t>
        </is>
      </c>
      <c r="F49" s="66" t="inlineStr">
        <is>
          <t>N</t>
        </is>
      </c>
      <c r="G49" s="34" t="n">
        <v>100</v>
      </c>
      <c r="H49" s="34" t="n">
        <v>105</v>
      </c>
      <c r="I49" s="67">
        <f>IF(ISNUMBER(tblY7[[#This Row],[Avg KS2]]),IFERROR(VLOOKUP(ROUND(STANDARDIZE(tblY7[[#This Row],[Avg KS2]],AVERAGE(tblY7[[Avg KS2]]),_xlfn.STDEV.P(tblY7[[Avg KS2]])),9),_Stanine,2),5),"")</f>
        <v>4</v>
      </c>
      <c r="J49" s="66" t="inlineStr">
        <is>
          <t>7A/Sc2</t>
        </is>
      </c>
      <c r="K49" s="67">
        <f>IF(tblY7[[#This Row],[Preferred Last name]]="","",COUNTIFS($N$1:$ZZ$1,"*"&amp;CHAR(10)&amp;"Stanine",$N49:$ZZ49,"&gt;=1"))</f>
        <v>4</v>
      </c>
      <c r="L49" s="68">
        <f>IFERROR(AVERAGEIF($N$1:$ZZ$1,"*"&amp;CHAR(10)&amp;"Stanine",$N49:$ZZ49),"")</f>
        <v>6</v>
      </c>
      <c r="M49" s="69">
        <f>IF(AND(ISNUMBER(tblY7[[#This Row],[Mean Stanine]]),ISNUMBER(tblY7[[#This Row],[Avg KS2 Band]]),ISNUMBER(SlopeY7)),tblY7[[#This Row],[Mean Stanine]]-(InterceptY7+SlopeY7*tblY7[[#This Row],[Avg KS2 Band]]),"")</f>
        <v>1.68659063804413</v>
      </c>
      <c r="N49" s="66" t="n">
        <v>20</v>
      </c>
      <c r="O49" s="67">
        <f>IF(ISNUMBER(tblY7[[#This Row],[7B01 - Cells
Raw Score]]),IFERROR(VLOOKUP(ROUND(STANDARDIZE(tblY7[[#This Row],[7B01 - Cells
Raw Score]],AVERAGE(tblY7[[7B01 - Cells
Raw Score]]),_xlfn.STDEV.P(tblY7[[7B01 - Cells
Raw Score]])),9),_Stanine,2),5),"")</f>
        <v>6</v>
      </c>
      <c r="P49" s="66" t="n">
        <v>21</v>
      </c>
      <c r="Q49" s="67">
        <f>IF(ISNUMBER(tblY7[[#This Row],[7C01 - Particles
Raw Score]]),IFERROR(VLOOKUP(ROUND(STANDARDIZE(tblY7[[#This Row],[7C01 - Particles
Raw Score]],AVERAGE(tblY7[[7C01 - Particles
Raw Score]]),_xlfn.STDEV.P(tblY7[[7C01 - Particles
Raw Score]])),9),_Stanine,2),5),"")</f>
        <v>6</v>
      </c>
      <c r="R49" s="66" t="n">
        <v>25</v>
      </c>
      <c r="S49" s="67">
        <f>IF(ISNUMBER(tblY7[[#This Row],[7P01 - Forces
Raw Score]]),IFERROR(VLOOKUP(ROUND(STANDARDIZE(tblY7[[#This Row],[7P01 - Forces
Raw Score]],AVERAGE(tblY7[[7P01 - Forces
Raw Score]]),_xlfn.STDEV.P(tblY7[[7P01 - Forces
Raw Score]])),9),_Stanine,2),5),"")</f>
        <v>6</v>
      </c>
      <c r="T49" s="66" t="n">
        <v>21</v>
      </c>
      <c r="U49" s="67">
        <f>IF(ISNUMBER(tblY7[[#This Row],[7B02 - Organ Systems
Raw Score]]),IFERROR(VLOOKUP(ROUND(STANDARDIZE(tblY7[[#This Row],[7B02 - Organ Systems
Raw Score]],AVERAGE(tblY7[[7B02 - Organ Systems
Raw Score]]),_xlfn.STDEV.P(tblY7[[7B02 - Organ Systems
Raw Score]])),9),_Stanine,2),5),"")</f>
        <v>6</v>
      </c>
    </row>
    <row r="50">
      <c r="A50" s="65" t="inlineStr">
        <is>
          <t>X903391241298</t>
        </is>
      </c>
      <c r="B50" s="65" t="inlineStr">
        <is>
          <t>Parker</t>
        </is>
      </c>
      <c r="C50" s="65" t="inlineStr">
        <is>
          <t>Freya</t>
        </is>
      </c>
      <c r="D50" s="66" t="inlineStr">
        <is>
          <t>F</t>
        </is>
      </c>
      <c r="E50" s="66" t="inlineStr">
        <is>
          <t>N</t>
        </is>
      </c>
      <c r="F50" s="66" t="inlineStr">
        <is>
          <t>N</t>
        </is>
      </c>
      <c r="G50" s="34" t="n">
        <v>98.90000000000001</v>
      </c>
      <c r="H50" s="34" t="n">
        <v>110</v>
      </c>
      <c r="I50" s="67">
        <f>IF(ISNUMBER(tblY7[[#This Row],[Avg KS2]]),IFERROR(VLOOKUP(ROUND(STANDARDIZE(tblY7[[#This Row],[Avg KS2]],AVERAGE(tblY7[[Avg KS2]]),_xlfn.STDEV.P(tblY7[[Avg KS2]])),9),_Stanine,2),5),"")</f>
        <v>6</v>
      </c>
      <c r="J50" s="66" t="inlineStr">
        <is>
          <t>7A/Sc2</t>
        </is>
      </c>
      <c r="K50" s="67">
        <f>IF(tblY7[[#This Row],[Preferred Last name]]="","",COUNTIFS($N$1:$ZZ$1,"*"&amp;CHAR(10)&amp;"Stanine",$N50:$ZZ50,"&gt;=1"))</f>
        <v>4</v>
      </c>
      <c r="L50" s="68">
        <f>IFERROR(AVERAGEIF($N$1:$ZZ$1,"*"&amp;CHAR(10)&amp;"Stanine",$N50:$ZZ50),"")</f>
        <v>7.25</v>
      </c>
      <c r="M50" s="69">
        <f>IF(AND(ISNUMBER(tblY7[[#This Row],[Mean Stanine]]),ISNUMBER(tblY7[[#This Row],[Avg KS2 Band]]),ISNUMBER(SlopeY7)),tblY7[[#This Row],[Mean Stanine]]-(InterceptY7+SlopeY7*tblY7[[#This Row],[Avg KS2 Band]]),"")</f>
        <v>1.54802474657126</v>
      </c>
      <c r="N50" s="66" t="n">
        <v>25</v>
      </c>
      <c r="O50" s="67">
        <f>IF(ISNUMBER(tblY7[[#This Row],[7B01 - Cells
Raw Score]]),IFERROR(VLOOKUP(ROUND(STANDARDIZE(tblY7[[#This Row],[7B01 - Cells
Raw Score]],AVERAGE(tblY7[[7B01 - Cells
Raw Score]]),_xlfn.STDEV.P(tblY7[[7B01 - Cells
Raw Score]])),9),_Stanine,2),5),"")</f>
        <v>7</v>
      </c>
      <c r="P50" s="66" t="n">
        <v>23</v>
      </c>
      <c r="Q50" s="67">
        <f>IF(ISNUMBER(tblY7[[#This Row],[7C01 - Particles
Raw Score]]),IFERROR(VLOOKUP(ROUND(STANDARDIZE(tblY7[[#This Row],[7C01 - Particles
Raw Score]],AVERAGE(tblY7[[7C01 - Particles
Raw Score]]),_xlfn.STDEV.P(tblY7[[7C01 - Particles
Raw Score]])),9),_Stanine,2),5),"")</f>
        <v>7</v>
      </c>
      <c r="R50" s="66" t="n">
        <v>28</v>
      </c>
      <c r="S50" s="67">
        <f>IF(ISNUMBER(tblY7[[#This Row],[7P01 - Forces
Raw Score]]),IFERROR(VLOOKUP(ROUND(STANDARDIZE(tblY7[[#This Row],[7P01 - Forces
Raw Score]],AVERAGE(tblY7[[7P01 - Forces
Raw Score]]),_xlfn.STDEV.P(tblY7[[7P01 - Forces
Raw Score]])),9),_Stanine,2),5),"")</f>
        <v>8</v>
      </c>
      <c r="T50" s="66" t="n">
        <v>24</v>
      </c>
      <c r="U50" s="67">
        <f>IF(ISNUMBER(tblY7[[#This Row],[7B02 - Organ Systems
Raw Score]]),IFERROR(VLOOKUP(ROUND(STANDARDIZE(tblY7[[#This Row],[7B02 - Organ Systems
Raw Score]],AVERAGE(tblY7[[7B02 - Organ Systems
Raw Score]]),_xlfn.STDEV.P(tblY7[[7B02 - Organ Systems
Raw Score]])),9),_Stanine,2),5),"")</f>
        <v>7</v>
      </c>
    </row>
    <row r="51">
      <c r="A51" s="65" t="inlineStr">
        <is>
          <t>X901122240006</t>
        </is>
      </c>
      <c r="B51" s="65" t="inlineStr">
        <is>
          <t>Parker</t>
        </is>
      </c>
      <c r="C51" s="65" t="inlineStr">
        <is>
          <t>Niamh</t>
        </is>
      </c>
      <c r="D51" s="66" t="inlineStr">
        <is>
          <t>F</t>
        </is>
      </c>
      <c r="E51" s="66" t="inlineStr">
        <is>
          <t>N</t>
        </is>
      </c>
      <c r="F51" s="66" t="inlineStr">
        <is>
          <t>Y</t>
        </is>
      </c>
      <c r="G51" s="34" t="n">
        <v>85</v>
      </c>
      <c r="H51" s="34" t="n">
        <v>104</v>
      </c>
      <c r="I51" s="67">
        <f>IF(ISNUMBER(tblY7[[#This Row],[Avg KS2]]),IFERROR(VLOOKUP(ROUND(STANDARDIZE(tblY7[[#This Row],[Avg KS2]],AVERAGE(tblY7[[Avg KS2]]),_xlfn.STDEV.P(tblY7[[Avg KS2]])),9),_Stanine,2),5),"")</f>
        <v>4</v>
      </c>
      <c r="J51" s="66" t="inlineStr">
        <is>
          <t>7A/Sc2</t>
        </is>
      </c>
      <c r="K51" s="67">
        <f>IF(tblY7[[#This Row],[Preferred Last name]]="","",COUNTIFS($N$1:$ZZ$1,"*"&amp;CHAR(10)&amp;"Stanine",$N51:$ZZ51,"&gt;=1"))</f>
        <v>4</v>
      </c>
      <c r="L51" s="68">
        <f>IFERROR(AVERAGEIF($N$1:$ZZ$1,"*"&amp;CHAR(10)&amp;"Stanine",$N51:$ZZ51),"")</f>
        <v>5.75</v>
      </c>
      <c r="M51" s="69">
        <f>IF(AND(ISNUMBER(tblY7[[#This Row],[Mean Stanine]]),ISNUMBER(tblY7[[#This Row],[Avg KS2 Band]]),ISNUMBER(SlopeY7)),tblY7[[#This Row],[Mean Stanine]]-(InterceptY7+SlopeY7*tblY7[[#This Row],[Avg KS2 Band]]),"")</f>
        <v>1.43659063804413</v>
      </c>
      <c r="N51" s="66" t="n">
        <v>21</v>
      </c>
      <c r="O51" s="67">
        <f>IF(ISNUMBER(tblY7[[#This Row],[7B01 - Cells
Raw Score]]),IFERROR(VLOOKUP(ROUND(STANDARDIZE(tblY7[[#This Row],[7B01 - Cells
Raw Score]],AVERAGE(tblY7[[7B01 - Cells
Raw Score]]),_xlfn.STDEV.P(tblY7[[7B01 - Cells
Raw Score]])),9),_Stanine,2),5),"")</f>
        <v>6</v>
      </c>
      <c r="P51" s="66" t="n">
        <v>20</v>
      </c>
      <c r="Q51" s="67">
        <f>IF(ISNUMBER(tblY7[[#This Row],[7C01 - Particles
Raw Score]]),IFERROR(VLOOKUP(ROUND(STANDARDIZE(tblY7[[#This Row],[7C01 - Particles
Raw Score]],AVERAGE(tblY7[[7C01 - Particles
Raw Score]]),_xlfn.STDEV.P(tblY7[[7C01 - Particles
Raw Score]])),9),_Stanine,2),5),"")</f>
        <v>6</v>
      </c>
      <c r="R51" s="66" t="n">
        <v>22</v>
      </c>
      <c r="S51" s="67">
        <f>IF(ISNUMBER(tblY7[[#This Row],[7P01 - Forces
Raw Score]]),IFERROR(VLOOKUP(ROUND(STANDARDIZE(tblY7[[#This Row],[7P01 - Forces
Raw Score]],AVERAGE(tblY7[[7P01 - Forces
Raw Score]]),_xlfn.STDEV.P(tblY7[[7P01 - Forces
Raw Score]])),9),_Stanine,2),5),"")</f>
        <v>5</v>
      </c>
      <c r="T51" s="66" t="n">
        <v>20</v>
      </c>
      <c r="U51" s="67">
        <f>IF(ISNUMBER(tblY7[[#This Row],[7B02 - Organ Systems
Raw Score]]),IFERROR(VLOOKUP(ROUND(STANDARDIZE(tblY7[[#This Row],[7B02 - Organ Systems
Raw Score]],AVERAGE(tblY7[[7B02 - Organ Systems
Raw Score]]),_xlfn.STDEV.P(tblY7[[7B02 - Organ Systems
Raw Score]])),9),_Stanine,2),5),"")</f>
        <v>6</v>
      </c>
    </row>
    <row r="52">
      <c r="A52" s="65" t="inlineStr">
        <is>
          <t>X905627215107</t>
        </is>
      </c>
      <c r="B52" s="65" t="inlineStr">
        <is>
          <t>Patel</t>
        </is>
      </c>
      <c r="C52" s="65" t="inlineStr">
        <is>
          <t>Poppy</t>
        </is>
      </c>
      <c r="D52" s="66" t="inlineStr">
        <is>
          <t>M</t>
        </is>
      </c>
      <c r="E52" s="66" t="n"/>
      <c r="F52" s="66" t="inlineStr">
        <is>
          <t>N</t>
        </is>
      </c>
      <c r="G52" s="34" t="n">
        <v>91.2</v>
      </c>
      <c r="H52" s="34" t="n">
        <v>102</v>
      </c>
      <c r="I52" s="67">
        <f>IF(ISNUMBER(tblY7[[#This Row],[Avg KS2]]),IFERROR(VLOOKUP(ROUND(STANDARDIZE(tblY7[[#This Row],[Avg KS2]],AVERAGE(tblY7[[Avg KS2]]),_xlfn.STDEV.P(tblY7[[Avg KS2]])),9),_Stanine,2),5),"")</f>
        <v>3</v>
      </c>
      <c r="J52" s="66" t="inlineStr">
        <is>
          <t>7A/Sc2</t>
        </is>
      </c>
      <c r="K52" s="67">
        <f>IF(tblY7[[#This Row],[Preferred Last name]]="","",COUNTIFS($N$1:$ZZ$1,"*"&amp;CHAR(10)&amp;"Stanine",$N52:$ZZ52,"&gt;=1"))</f>
        <v>4</v>
      </c>
      <c r="L52" s="68">
        <f>IFERROR(AVERAGEIF($N$1:$ZZ$1,"*"&amp;CHAR(10)&amp;"Stanine",$N52:$ZZ52),"")</f>
        <v>3.75</v>
      </c>
      <c r="M52" s="69">
        <f>IF(AND(ISNUMBER(tblY7[[#This Row],[Mean Stanine]]),ISNUMBER(tblY7[[#This Row],[Avg KS2 Band]]),ISNUMBER(SlopeY7)),tblY7[[#This Row],[Mean Stanine]]-(InterceptY7+SlopeY7*tblY7[[#This Row],[Avg KS2 Band]]),"")</f>
        <v>0.130873583780561</v>
      </c>
      <c r="N52" s="66" t="n">
        <v>19</v>
      </c>
      <c r="O52" s="67">
        <f>IF(ISNUMBER(tblY7[[#This Row],[7B01 - Cells
Raw Score]]),IFERROR(VLOOKUP(ROUND(STANDARDIZE(tblY7[[#This Row],[7B01 - Cells
Raw Score]],AVERAGE(tblY7[[7B01 - Cells
Raw Score]]),_xlfn.STDEV.P(tblY7[[7B01 - Cells
Raw Score]])),9),_Stanine,2),5),"")</f>
        <v>5</v>
      </c>
      <c r="P52" s="66" t="n">
        <v>16</v>
      </c>
      <c r="Q52" s="67">
        <f>IF(ISNUMBER(tblY7[[#This Row],[7C01 - Particles
Raw Score]]),IFERROR(VLOOKUP(ROUND(STANDARDIZE(tblY7[[#This Row],[7C01 - Particles
Raw Score]],AVERAGE(tblY7[[7C01 - Particles
Raw Score]]),_xlfn.STDEV.P(tblY7[[7C01 - Particles
Raw Score]])),9),_Stanine,2),5),"")</f>
        <v>4</v>
      </c>
      <c r="R52" s="66" t="n">
        <v>19</v>
      </c>
      <c r="S52" s="67">
        <f>IF(ISNUMBER(tblY7[[#This Row],[7P01 - Forces
Raw Score]]),IFERROR(VLOOKUP(ROUND(STANDARDIZE(tblY7[[#This Row],[7P01 - Forces
Raw Score]],AVERAGE(tblY7[[7P01 - Forces
Raw Score]]),_xlfn.STDEV.P(tblY7[[7P01 - Forces
Raw Score]])),9),_Stanine,2),5),"")</f>
        <v>4</v>
      </c>
      <c r="T52" s="66" t="n">
        <v>10</v>
      </c>
      <c r="U52" s="67">
        <f>IF(ISNUMBER(tblY7[[#This Row],[7B02 - Organ Systems
Raw Score]]),IFERROR(VLOOKUP(ROUND(STANDARDIZE(tblY7[[#This Row],[7B02 - Organ Systems
Raw Score]],AVERAGE(tblY7[[7B02 - Organ Systems
Raw Score]]),_xlfn.STDEV.P(tblY7[[7B02 - Organ Systems
Raw Score]])),9),_Stanine,2),5),"")</f>
        <v>2</v>
      </c>
    </row>
    <row r="53">
      <c r="A53" s="65" t="inlineStr">
        <is>
          <t>X907171447855</t>
        </is>
      </c>
      <c r="B53" s="65" t="inlineStr">
        <is>
          <t>Smith</t>
        </is>
      </c>
      <c r="C53" s="65" t="inlineStr">
        <is>
          <t>Evie</t>
        </is>
      </c>
      <c r="D53" s="66" t="inlineStr">
        <is>
          <t>F</t>
        </is>
      </c>
      <c r="E53" s="66" t="n"/>
      <c r="F53" s="66" t="inlineStr">
        <is>
          <t>N</t>
        </is>
      </c>
      <c r="G53" s="34" t="n">
        <v>82.09999999999999</v>
      </c>
      <c r="H53" s="34" t="n">
        <v>111</v>
      </c>
      <c r="I53" s="67">
        <f>IF(ISNUMBER(tblY7[[#This Row],[Avg KS2]]),IFERROR(VLOOKUP(ROUND(STANDARDIZE(tblY7[[#This Row],[Avg KS2]],AVERAGE(tblY7[[Avg KS2]]),_xlfn.STDEV.P(tblY7[[Avg KS2]])),9),_Stanine,2),5),"")</f>
        <v>7</v>
      </c>
      <c r="J53" s="66" t="inlineStr">
        <is>
          <t>7A/Sc2</t>
        </is>
      </c>
      <c r="K53" s="67">
        <f>IF(tblY7[[#This Row],[Preferred Last name]]="","",COUNTIFS($N$1:$ZZ$1,"*"&amp;CHAR(10)&amp;"Stanine",$N53:$ZZ53,"&gt;=1"))</f>
        <v>4</v>
      </c>
      <c r="L53" s="68">
        <f>IFERROR(AVERAGEIF($N$1:$ZZ$1,"*"&amp;CHAR(10)&amp;"Stanine",$N53:$ZZ53),"")</f>
        <v>3.75</v>
      </c>
      <c r="M53" s="69">
        <f>IF(AND(ISNUMBER(tblY7[[#This Row],[Mean Stanine]]),ISNUMBER(tblY7[[#This Row],[Avg KS2 Band]]),ISNUMBER(SlopeY7)),tblY7[[#This Row],[Mean Stanine]]-(InterceptY7+SlopeY7*tblY7[[#This Row],[Avg KS2 Band]]),"")</f>
        <v>-2.64625819916518</v>
      </c>
      <c r="N53" s="66" t="n">
        <v>15</v>
      </c>
      <c r="O53" s="67">
        <f>IF(ISNUMBER(tblY7[[#This Row],[7B01 - Cells
Raw Score]]),IFERROR(VLOOKUP(ROUND(STANDARDIZE(tblY7[[#This Row],[7B01 - Cells
Raw Score]],AVERAGE(tblY7[[7B01 - Cells
Raw Score]]),_xlfn.STDEV.P(tblY7[[7B01 - Cells
Raw Score]])),9),_Stanine,2),5),"")</f>
        <v>4</v>
      </c>
      <c r="P53" s="66" t="n">
        <v>16</v>
      </c>
      <c r="Q53" s="67">
        <f>IF(ISNUMBER(tblY7[[#This Row],[7C01 - Particles
Raw Score]]),IFERROR(VLOOKUP(ROUND(STANDARDIZE(tblY7[[#This Row],[7C01 - Particles
Raw Score]],AVERAGE(tblY7[[7C01 - Particles
Raw Score]]),_xlfn.STDEV.P(tblY7[[7C01 - Particles
Raw Score]])),9),_Stanine,2),5),"")</f>
        <v>4</v>
      </c>
      <c r="R53" s="66" t="n">
        <v>18</v>
      </c>
      <c r="S53" s="67">
        <f>IF(ISNUMBER(tblY7[[#This Row],[7P01 - Forces
Raw Score]]),IFERROR(VLOOKUP(ROUND(STANDARDIZE(tblY7[[#This Row],[7P01 - Forces
Raw Score]],AVERAGE(tblY7[[7P01 - Forces
Raw Score]]),_xlfn.STDEV.P(tblY7[[7P01 - Forces
Raw Score]])),9),_Stanine,2),5),"")</f>
        <v>4</v>
      </c>
      <c r="T53" s="66" t="n">
        <v>13</v>
      </c>
      <c r="U53" s="67">
        <f>IF(ISNUMBER(tblY7[[#This Row],[7B02 - Organ Systems
Raw Score]]),IFERROR(VLOOKUP(ROUND(STANDARDIZE(tblY7[[#This Row],[7B02 - Organ Systems
Raw Score]],AVERAGE(tblY7[[7B02 - Organ Systems
Raw Score]]),_xlfn.STDEV.P(tblY7[[7B02 - Organ Systems
Raw Score]])),9),_Stanine,2),5),"")</f>
        <v>3</v>
      </c>
    </row>
    <row r="54">
      <c r="A54" s="65" t="inlineStr">
        <is>
          <t>X902856481428</t>
        </is>
      </c>
      <c r="B54" s="65" t="inlineStr">
        <is>
          <t>Taylor</t>
        </is>
      </c>
      <c r="C54" s="65" t="inlineStr">
        <is>
          <t>Ava</t>
        </is>
      </c>
      <c r="D54" s="66" t="inlineStr">
        <is>
          <t>M</t>
        </is>
      </c>
      <c r="E54" s="66" t="inlineStr">
        <is>
          <t>E</t>
        </is>
      </c>
      <c r="F54" s="66" t="inlineStr">
        <is>
          <t>Y</t>
        </is>
      </c>
      <c r="G54" s="34" t="n">
        <v>89.2</v>
      </c>
      <c r="H54" s="34" t="n">
        <v>101</v>
      </c>
      <c r="I54" s="67">
        <f>IF(ISNUMBER(tblY7[[#This Row],[Avg KS2]]),IFERROR(VLOOKUP(ROUND(STANDARDIZE(tblY7[[#This Row],[Avg KS2]],AVERAGE(tblY7[[Avg KS2]]),_xlfn.STDEV.P(tblY7[[Avg KS2]])),9),_Stanine,2),5),"")</f>
        <v>3</v>
      </c>
      <c r="J54" s="66" t="inlineStr">
        <is>
          <t>7A/Sc2</t>
        </is>
      </c>
      <c r="K54" s="67">
        <f>IF(tblY7[[#This Row],[Preferred Last name]]="","",COUNTIFS($N$1:$ZZ$1,"*"&amp;CHAR(10)&amp;"Stanine",$N54:$ZZ54,"&gt;=1"))</f>
        <v>4</v>
      </c>
      <c r="L54" s="68">
        <f>IFERROR(AVERAGEIF($N$1:$ZZ$1,"*"&amp;CHAR(10)&amp;"Stanine",$N54:$ZZ54),"")</f>
        <v>1</v>
      </c>
      <c r="M54" s="69">
        <f>IF(AND(ISNUMBER(tblY7[[#This Row],[Mean Stanine]]),ISNUMBER(tblY7[[#This Row],[Avg KS2 Band]]),ISNUMBER(SlopeY7)),tblY7[[#This Row],[Mean Stanine]]-(InterceptY7+SlopeY7*tblY7[[#This Row],[Avg KS2 Band]]),"")</f>
        <v>-2.61912641621944</v>
      </c>
      <c r="N54" s="66" t="n">
        <v>3</v>
      </c>
      <c r="O54" s="67">
        <f>IF(ISNUMBER(tblY7[[#This Row],[7B01 - Cells
Raw Score]]),IFERROR(VLOOKUP(ROUND(STANDARDIZE(tblY7[[#This Row],[7B01 - Cells
Raw Score]],AVERAGE(tblY7[[7B01 - Cells
Raw Score]]),_xlfn.STDEV.P(tblY7[[7B01 - Cells
Raw Score]])),9),_Stanine,2),5),"")</f>
        <v>1</v>
      </c>
      <c r="P54" s="66" t="n">
        <v>10</v>
      </c>
      <c r="Q54" s="67">
        <f>IF(ISNUMBER(tblY7[[#This Row],[7C01 - Particles
Raw Score]]),IFERROR(VLOOKUP(ROUND(STANDARDIZE(tblY7[[#This Row],[7C01 - Particles
Raw Score]],AVERAGE(tblY7[[7C01 - Particles
Raw Score]]),_xlfn.STDEV.P(tblY7[[7C01 - Particles
Raw Score]])),9),_Stanine,2),5),"")</f>
        <v>1</v>
      </c>
      <c r="R54" s="66" t="n">
        <v>7</v>
      </c>
      <c r="S54" s="67">
        <f>IF(ISNUMBER(tblY7[[#This Row],[7P01 - Forces
Raw Score]]),IFERROR(VLOOKUP(ROUND(STANDARDIZE(tblY7[[#This Row],[7P01 - Forces
Raw Score]],AVERAGE(tblY7[[7P01 - Forces
Raw Score]]),_xlfn.STDEV.P(tblY7[[7P01 - Forces
Raw Score]])),9),_Stanine,2),5),"")</f>
        <v>1</v>
      </c>
      <c r="T54" s="66" t="n">
        <v>5</v>
      </c>
      <c r="U54" s="67">
        <f>IF(ISNUMBER(tblY7[[#This Row],[7B02 - Organ Systems
Raw Score]]),IFERROR(VLOOKUP(ROUND(STANDARDIZE(tblY7[[#This Row],[7B02 - Organ Systems
Raw Score]],AVERAGE(tblY7[[7B02 - Organ Systems
Raw Score]]),_xlfn.STDEV.P(tblY7[[7B02 - Organ Systems
Raw Score]])),9),_Stanine,2),5),"")</f>
        <v>1</v>
      </c>
    </row>
    <row r="55">
      <c r="A55" s="65" t="inlineStr">
        <is>
          <t>X902114167275</t>
        </is>
      </c>
      <c r="B55" s="65" t="inlineStr">
        <is>
          <t>Turner</t>
        </is>
      </c>
      <c r="C55" s="65" t="inlineStr">
        <is>
          <t>Aisha</t>
        </is>
      </c>
      <c r="D55" s="66" t="inlineStr">
        <is>
          <t>M</t>
        </is>
      </c>
      <c r="E55" s="66" t="inlineStr">
        <is>
          <t>N</t>
        </is>
      </c>
      <c r="F55" s="66" t="inlineStr">
        <is>
          <t>N</t>
        </is>
      </c>
      <c r="G55" s="34" t="n">
        <v>97.3</v>
      </c>
      <c r="H55" s="34" t="n">
        <v>112</v>
      </c>
      <c r="I55" s="67">
        <f>IF(ISNUMBER(tblY7[[#This Row],[Avg KS2]]),IFERROR(VLOOKUP(ROUND(STANDARDIZE(tblY7[[#This Row],[Avg KS2]],AVERAGE(tblY7[[Avg KS2]]),_xlfn.STDEV.P(tblY7[[Avg KS2]])),9),_Stanine,2),5),"")</f>
        <v>7</v>
      </c>
      <c r="J55" s="66" t="inlineStr">
        <is>
          <t>7A/Sc2</t>
        </is>
      </c>
      <c r="K55" s="67">
        <f>IF(tblY7[[#This Row],[Preferred Last name]]="","",COUNTIFS($N$1:$ZZ$1,"*"&amp;CHAR(10)&amp;"Stanine",$N55:$ZZ55,"&gt;=1"))</f>
        <v>3</v>
      </c>
      <c r="L55" s="68">
        <f>IFERROR(AVERAGEIF($N$1:$ZZ$1,"*"&amp;CHAR(10)&amp;"Stanine",$N55:$ZZ55),"")</f>
        <v>4.66666666666667</v>
      </c>
      <c r="M55" s="69">
        <f>IF(AND(ISNUMBER(tblY7[[#This Row],[Mean Stanine]]),ISNUMBER(tblY7[[#This Row],[Avg KS2 Band]]),ISNUMBER(SlopeY7)),tblY7[[#This Row],[Mean Stanine]]-(InterceptY7+SlopeY7*tblY7[[#This Row],[Avg KS2 Band]]),"")</f>
        <v>-1.72959153249851</v>
      </c>
      <c r="N55" s="66" t="n">
        <v>19</v>
      </c>
      <c r="O55" s="67">
        <f>IF(ISNUMBER(tblY7[[#This Row],[7B01 - Cells
Raw Score]]),IFERROR(VLOOKUP(ROUND(STANDARDIZE(tblY7[[#This Row],[7B01 - Cells
Raw Score]],AVERAGE(tblY7[[7B01 - Cells
Raw Score]]),_xlfn.STDEV.P(tblY7[[7B01 - Cells
Raw Score]])),9),_Stanine,2),5),"")</f>
        <v>5</v>
      </c>
      <c r="P55" s="66" t="inlineStr">
        <is>
          <t>A</t>
        </is>
      </c>
      <c r="Q55" s="67" t="str">
        <f>IF(ISNUMBER(tblY7[[#This Row],[7C01 - Particles
Raw Score]]),IFERROR(VLOOKUP(ROUND(STANDARDIZE(tblY7[[#This Row],[7C01 - Particles
Raw Score]],AVERAGE(tblY7[[7C01 - Particles
Raw Score]]),_xlfn.STDEV.P(tblY7[[7C01 - Particles
Raw Score]])),9),_Stanine,2),5),"")</f>
        <v/>
      </c>
      <c r="R55" s="66" t="n">
        <v>19</v>
      </c>
      <c r="S55" s="67">
        <f>IF(ISNUMBER(tblY7[[#This Row],[7P01 - Forces
Raw Score]]),IFERROR(VLOOKUP(ROUND(STANDARDIZE(tblY7[[#This Row],[7P01 - Forces
Raw Score]],AVERAGE(tblY7[[7P01 - Forces
Raw Score]]),_xlfn.STDEV.P(tblY7[[7P01 - Forces
Raw Score]])),9),_Stanine,2),5),"")</f>
        <v>4</v>
      </c>
      <c r="T55" s="66" t="n">
        <v>18</v>
      </c>
      <c r="U55" s="67">
        <f>IF(ISNUMBER(tblY7[[#This Row],[7B02 - Organ Systems
Raw Score]]),IFERROR(VLOOKUP(ROUND(STANDARDIZE(tblY7[[#This Row],[7B02 - Organ Systems
Raw Score]],AVERAGE(tblY7[[7B02 - Organ Systems
Raw Score]]),_xlfn.STDEV.P(tblY7[[7B02 - Organ Systems
Raw Score]])),9),_Stanine,2),5),"")</f>
        <v>5</v>
      </c>
    </row>
    <row r="56">
      <c r="A56" s="65" t="inlineStr">
        <is>
          <t>X900212364881</t>
        </is>
      </c>
      <c r="B56" s="65" t="inlineStr">
        <is>
          <t>Ward</t>
        </is>
      </c>
      <c r="C56" s="65" t="inlineStr">
        <is>
          <t>Finley</t>
        </is>
      </c>
      <c r="D56" s="66" t="inlineStr">
        <is>
          <t>F</t>
        </is>
      </c>
      <c r="E56" s="66" t="n"/>
      <c r="F56" s="66" t="inlineStr">
        <is>
          <t>N</t>
        </is>
      </c>
      <c r="G56" s="34" t="n">
        <v>94.3</v>
      </c>
      <c r="H56" s="34" t="n">
        <v>96.5</v>
      </c>
      <c r="I56" s="67">
        <f>IF(ISNUMBER(tblY7[[#This Row],[Avg KS2]]),IFERROR(VLOOKUP(ROUND(STANDARDIZE(tblY7[[#This Row],[Avg KS2]],AVERAGE(tblY7[[Avg KS2]]),_xlfn.STDEV.P(tblY7[[Avg KS2]])),9),_Stanine,2),5),"")</f>
        <v>1</v>
      </c>
      <c r="J56" s="66" t="inlineStr">
        <is>
          <t>7A/Sc2</t>
        </is>
      </c>
      <c r="K56" s="67">
        <f>IF(tblY7[[#This Row],[Preferred Last name]]="","",COUNTIFS($N$1:$ZZ$1,"*"&amp;CHAR(10)&amp;"Stanine",$N56:$ZZ56,"&gt;=1"))</f>
        <v>4</v>
      </c>
      <c r="L56" s="68">
        <f>IFERROR(AVERAGEIF($N$1:$ZZ$1,"*"&amp;CHAR(10)&amp;"Stanine",$N56:$ZZ56),"")</f>
        <v>4.5</v>
      </c>
      <c r="M56" s="69">
        <f>IF(AND(ISNUMBER(tblY7[[#This Row],[Mean Stanine]]),ISNUMBER(tblY7[[#This Row],[Avg KS2 Band]]),ISNUMBER(SlopeY7)),tblY7[[#This Row],[Mean Stanine]]-(InterceptY7+SlopeY7*tblY7[[#This Row],[Avg KS2 Band]]),"")</f>
        <v>2.26943947525343</v>
      </c>
      <c r="N56" s="66" t="n">
        <v>15</v>
      </c>
      <c r="O56" s="67">
        <f>IF(ISNUMBER(tblY7[[#This Row],[7B01 - Cells
Raw Score]]),IFERROR(VLOOKUP(ROUND(STANDARDIZE(tblY7[[#This Row],[7B01 - Cells
Raw Score]],AVERAGE(tblY7[[7B01 - Cells
Raw Score]]),_xlfn.STDEV.P(tblY7[[7B01 - Cells
Raw Score]])),9),_Stanine,2),5),"")</f>
        <v>4</v>
      </c>
      <c r="P56" s="66" t="n">
        <v>18</v>
      </c>
      <c r="Q56" s="67">
        <f>IF(ISNUMBER(tblY7[[#This Row],[7C01 - Particles
Raw Score]]),IFERROR(VLOOKUP(ROUND(STANDARDIZE(tblY7[[#This Row],[7C01 - Particles
Raw Score]],AVERAGE(tblY7[[7C01 - Particles
Raw Score]]),_xlfn.STDEV.P(tblY7[[7C01 - Particles
Raw Score]])),9),_Stanine,2),5),"")</f>
        <v>5</v>
      </c>
      <c r="R56" s="66" t="n">
        <v>18</v>
      </c>
      <c r="S56" s="67">
        <f>IF(ISNUMBER(tblY7[[#This Row],[7P01 - Forces
Raw Score]]),IFERROR(VLOOKUP(ROUND(STANDARDIZE(tblY7[[#This Row],[7P01 - Forces
Raw Score]],AVERAGE(tblY7[[7P01 - Forces
Raw Score]]),_xlfn.STDEV.P(tblY7[[7P01 - Forces
Raw Score]])),9),_Stanine,2),5),"")</f>
        <v>4</v>
      </c>
      <c r="T56" s="66" t="n">
        <v>17</v>
      </c>
      <c r="U56" s="67">
        <f>IF(ISNUMBER(tblY7[[#This Row],[7B02 - Organ Systems
Raw Score]]),IFERROR(VLOOKUP(ROUND(STANDARDIZE(tblY7[[#This Row],[7B02 - Organ Systems
Raw Score]],AVERAGE(tblY7[[7B02 - Organ Systems
Raw Score]]),_xlfn.STDEV.P(tblY7[[7B02 - Organ Systems
Raw Score]])),9),_Stanine,2),5),"")</f>
        <v>5</v>
      </c>
    </row>
    <row r="57">
      <c r="A57" s="65" t="inlineStr">
        <is>
          <t>X906986992378</t>
        </is>
      </c>
      <c r="B57" s="65" t="inlineStr">
        <is>
          <t>Ward</t>
        </is>
      </c>
      <c r="C57" s="65" t="inlineStr">
        <is>
          <t>Grace</t>
        </is>
      </c>
      <c r="D57" s="66" t="inlineStr">
        <is>
          <t>F</t>
        </is>
      </c>
      <c r="E57" s="66" t="n"/>
      <c r="F57" s="66" t="inlineStr">
        <is>
          <t>N</t>
        </is>
      </c>
      <c r="G57" s="34" t="n">
        <v>98.8</v>
      </c>
      <c r="H57" s="34" t="n">
        <v>106.5</v>
      </c>
      <c r="I57" s="67">
        <f>IF(ISNUMBER(tblY7[[#This Row],[Avg KS2]]),IFERROR(VLOOKUP(ROUND(STANDARDIZE(tblY7[[#This Row],[Avg KS2]],AVERAGE(tblY7[[Avg KS2]]),_xlfn.STDEV.P(tblY7[[Avg KS2]])),9),_Stanine,2),5),"")</f>
        <v>5</v>
      </c>
      <c r="J57" s="66" t="inlineStr">
        <is>
          <t>7A/Sc2</t>
        </is>
      </c>
      <c r="K57" s="67">
        <f>IF(tblY7[[#This Row],[Preferred Last name]]="","",COUNTIFS($N$1:$ZZ$1,"*"&amp;CHAR(10)&amp;"Stanine",$N57:$ZZ57,"&gt;=1"))</f>
        <v>3</v>
      </c>
      <c r="L57" s="68">
        <f>IFERROR(AVERAGEIF($N$1:$ZZ$1,"*"&amp;CHAR(10)&amp;"Stanine",$N57:$ZZ57),"")</f>
        <v>5.33333333333333</v>
      </c>
      <c r="M57" s="69">
        <f>IF(AND(ISNUMBER(tblY7[[#This Row],[Mean Stanine]]),ISNUMBER(tblY7[[#This Row],[Avg KS2 Band]]),ISNUMBER(SlopeY7)),tblY7[[#This Row],[Mean Stanine]]-(InterceptY7+SlopeY7*tblY7[[#This Row],[Avg KS2 Band]]),"")</f>
        <v>0.325641025641025</v>
      </c>
      <c r="N57" s="66" t="n">
        <v>17</v>
      </c>
      <c r="O57" s="67">
        <f>IF(ISNUMBER(tblY7[[#This Row],[7B01 - Cells
Raw Score]]),IFERROR(VLOOKUP(ROUND(STANDARDIZE(tblY7[[#This Row],[7B01 - Cells
Raw Score]],AVERAGE(tblY7[[7B01 - Cells
Raw Score]]),_xlfn.STDEV.P(tblY7[[7B01 - Cells
Raw Score]])),9),_Stanine,2),5),"")</f>
        <v>5</v>
      </c>
      <c r="P57" s="66" t="inlineStr">
        <is>
          <t>A</t>
        </is>
      </c>
      <c r="Q57" s="67" t="str">
        <f>IF(ISNUMBER(tblY7[[#This Row],[7C01 - Particles
Raw Score]]),IFERROR(VLOOKUP(ROUND(STANDARDIZE(tblY7[[#This Row],[7C01 - Particles
Raw Score]],AVERAGE(tblY7[[7C01 - Particles
Raw Score]]),_xlfn.STDEV.P(tblY7[[7C01 - Particles
Raw Score]])),9),_Stanine,2),5),"")</f>
        <v/>
      </c>
      <c r="R57" s="66" t="n">
        <v>23</v>
      </c>
      <c r="S57" s="67">
        <f>IF(ISNUMBER(tblY7[[#This Row],[7P01 - Forces
Raw Score]]),IFERROR(VLOOKUP(ROUND(STANDARDIZE(tblY7[[#This Row],[7P01 - Forces
Raw Score]],AVERAGE(tblY7[[7P01 - Forces
Raw Score]]),_xlfn.STDEV.P(tblY7[[7P01 - Forces
Raw Score]])),9),_Stanine,2),5),"")</f>
        <v>6</v>
      </c>
      <c r="T57" s="66" t="n">
        <v>17</v>
      </c>
      <c r="U57" s="67">
        <f>IF(ISNUMBER(tblY7[[#This Row],[7B02 - Organ Systems
Raw Score]]),IFERROR(VLOOKUP(ROUND(STANDARDIZE(tblY7[[#This Row],[7B02 - Organ Systems
Raw Score]],AVERAGE(tblY7[[7B02 - Organ Systems
Raw Score]]),_xlfn.STDEV.P(tblY7[[7B02 - Organ Systems
Raw Score]])),9),_Stanine,2),5),"")</f>
        <v>5</v>
      </c>
    </row>
    <row r="58">
      <c r="A58" s="65" t="inlineStr">
        <is>
          <t>X905465124715</t>
        </is>
      </c>
      <c r="B58" s="65" t="inlineStr">
        <is>
          <t>White</t>
        </is>
      </c>
      <c r="C58" s="65" t="inlineStr">
        <is>
          <t>Muhammad</t>
        </is>
      </c>
      <c r="D58" s="66" t="inlineStr">
        <is>
          <t>F</t>
        </is>
      </c>
      <c r="E58" s="66" t="n"/>
      <c r="F58" s="66" t="inlineStr">
        <is>
          <t>N</t>
        </is>
      </c>
      <c r="G58" s="34" t="n">
        <v>89.59999999999999</v>
      </c>
      <c r="H58" s="34" t="n">
        <v>102.5</v>
      </c>
      <c r="I58" s="67">
        <f>IF(ISNUMBER(tblY7[[#This Row],[Avg KS2]]),IFERROR(VLOOKUP(ROUND(STANDARDIZE(tblY7[[#This Row],[Avg KS2]],AVERAGE(tblY7[[Avg KS2]]),_xlfn.STDEV.P(tblY7[[Avg KS2]])),9),_Stanine,2),5),"")</f>
        <v>3</v>
      </c>
      <c r="J58" s="66" t="inlineStr">
        <is>
          <t>7A/Sc2</t>
        </is>
      </c>
      <c r="K58" s="67">
        <f>IF(tblY7[[#This Row],[Preferred Last name]]="","",COUNTIFS($N$1:$ZZ$1,"*"&amp;CHAR(10)&amp;"Stanine",$N58:$ZZ58,"&gt;=1"))</f>
        <v>4</v>
      </c>
      <c r="L58" s="68">
        <f>IFERROR(AVERAGEIF($N$1:$ZZ$1,"*"&amp;CHAR(10)&amp;"Stanine",$N58:$ZZ58),"")</f>
        <v>5.5</v>
      </c>
      <c r="M58" s="69">
        <f>IF(AND(ISNUMBER(tblY7[[#This Row],[Mean Stanine]]),ISNUMBER(tblY7[[#This Row],[Avg KS2 Band]]),ISNUMBER(SlopeY7)),tblY7[[#This Row],[Mean Stanine]]-(InterceptY7+SlopeY7*tblY7[[#This Row],[Avg KS2 Band]]),"")</f>
        <v>1.88087358378056</v>
      </c>
      <c r="N58" s="66" t="n">
        <v>19</v>
      </c>
      <c r="O58" s="67">
        <f>IF(ISNUMBER(tblY7[[#This Row],[7B01 - Cells
Raw Score]]),IFERROR(VLOOKUP(ROUND(STANDARDIZE(tblY7[[#This Row],[7B01 - Cells
Raw Score]],AVERAGE(tblY7[[7B01 - Cells
Raw Score]]),_xlfn.STDEV.P(tblY7[[7B01 - Cells
Raw Score]])),9),_Stanine,2),5),"")</f>
        <v>5</v>
      </c>
      <c r="P58" s="66" t="n">
        <v>18</v>
      </c>
      <c r="Q58" s="67">
        <f>IF(ISNUMBER(tblY7[[#This Row],[7C01 - Particles
Raw Score]]),IFERROR(VLOOKUP(ROUND(STANDARDIZE(tblY7[[#This Row],[7C01 - Particles
Raw Score]],AVERAGE(tblY7[[7C01 - Particles
Raw Score]]),_xlfn.STDEV.P(tblY7[[7C01 - Particles
Raw Score]])),9),_Stanine,2),5),"")</f>
        <v>5</v>
      </c>
      <c r="R58" s="66" t="n">
        <v>25</v>
      </c>
      <c r="S58" s="67">
        <f>IF(ISNUMBER(tblY7[[#This Row],[7P01 - Forces
Raw Score]]),IFERROR(VLOOKUP(ROUND(STANDARDIZE(tblY7[[#This Row],[7P01 - Forces
Raw Score]],AVERAGE(tblY7[[7P01 - Forces
Raw Score]]),_xlfn.STDEV.P(tblY7[[7P01 - Forces
Raw Score]])),9),_Stanine,2),5),"")</f>
        <v>6</v>
      </c>
      <c r="T58" s="66" t="n">
        <v>20</v>
      </c>
      <c r="U58" s="67">
        <f>IF(ISNUMBER(tblY7[[#This Row],[7B02 - Organ Systems
Raw Score]]),IFERROR(VLOOKUP(ROUND(STANDARDIZE(tblY7[[#This Row],[7B02 - Organ Systems
Raw Score]],AVERAGE(tblY7[[7B02 - Organ Systems
Raw Score]]),_xlfn.STDEV.P(tblY7[[7B02 - Organ Systems
Raw Score]])),9),_Stanine,2),5),"")</f>
        <v>6</v>
      </c>
    </row>
    <row r="59">
      <c r="A59" s="65" t="inlineStr">
        <is>
          <t>X902779795172</t>
        </is>
      </c>
      <c r="B59" s="65" t="inlineStr">
        <is>
          <t>Williams</t>
        </is>
      </c>
      <c r="C59" s="65" t="inlineStr">
        <is>
          <t>Ibrahim</t>
        </is>
      </c>
      <c r="D59" s="66" t="inlineStr">
        <is>
          <t>M</t>
        </is>
      </c>
      <c r="E59" s="66" t="inlineStr">
        <is>
          <t>N</t>
        </is>
      </c>
      <c r="F59" s="66" t="inlineStr">
        <is>
          <t>N</t>
        </is>
      </c>
      <c r="G59" s="34" t="n">
        <v>83.7</v>
      </c>
      <c r="H59" s="34" t="n">
        <v>104.5</v>
      </c>
      <c r="I59" s="67">
        <f>IF(ISNUMBER(tblY7[[#This Row],[Avg KS2]]),IFERROR(VLOOKUP(ROUND(STANDARDIZE(tblY7[[#This Row],[Avg KS2]],AVERAGE(tblY7[[Avg KS2]]),_xlfn.STDEV.P(tblY7[[Avg KS2]])),9),_Stanine,2),5),"")</f>
        <v>4</v>
      </c>
      <c r="J59" s="66" t="inlineStr">
        <is>
          <t>7A/Sc2</t>
        </is>
      </c>
      <c r="K59" s="67">
        <f>IF(tblY7[[#This Row],[Preferred Last name]]="","",COUNTIFS($N$1:$ZZ$1,"*"&amp;CHAR(10)&amp;"Stanine",$N59:$ZZ59,"&gt;=1"))</f>
        <v>4</v>
      </c>
      <c r="L59" s="68">
        <f>IFERROR(AVERAGEIF($N$1:$ZZ$1,"*"&amp;CHAR(10)&amp;"Stanine",$N59:$ZZ59),"")</f>
        <v>4.5</v>
      </c>
      <c r="M59" s="69">
        <f>IF(AND(ISNUMBER(tblY7[[#This Row],[Mean Stanine]]),ISNUMBER(tblY7[[#This Row],[Avg KS2 Band]]),ISNUMBER(SlopeY7)),tblY7[[#This Row],[Mean Stanine]]-(InterceptY7+SlopeY7*tblY7[[#This Row],[Avg KS2 Band]]),"")</f>
        <v>0.186590638044127</v>
      </c>
      <c r="N59" s="66" t="n">
        <v>10</v>
      </c>
      <c r="O59" s="67">
        <f>IF(ISNUMBER(tblY7[[#This Row],[7B01 - Cells
Raw Score]]),IFERROR(VLOOKUP(ROUND(STANDARDIZE(tblY7[[#This Row],[7B01 - Cells
Raw Score]],AVERAGE(tblY7[[7B01 - Cells
Raw Score]]),_xlfn.STDEV.P(tblY7[[7B01 - Cells
Raw Score]])),9),_Stanine,2),5),"")</f>
        <v>3</v>
      </c>
      <c r="P59" s="66" t="n">
        <v>17</v>
      </c>
      <c r="Q59" s="67">
        <f>IF(ISNUMBER(tblY7[[#This Row],[7C01 - Particles
Raw Score]]),IFERROR(VLOOKUP(ROUND(STANDARDIZE(tblY7[[#This Row],[7C01 - Particles
Raw Score]],AVERAGE(tblY7[[7C01 - Particles
Raw Score]]),_xlfn.STDEV.P(tblY7[[7C01 - Particles
Raw Score]])),9),_Stanine,2),5),"")</f>
        <v>4</v>
      </c>
      <c r="R59" s="66" t="n">
        <v>23</v>
      </c>
      <c r="S59" s="67">
        <f>IF(ISNUMBER(tblY7[[#This Row],[7P01 - Forces
Raw Score]]),IFERROR(VLOOKUP(ROUND(STANDARDIZE(tblY7[[#This Row],[7P01 - Forces
Raw Score]],AVERAGE(tblY7[[7P01 - Forces
Raw Score]]),_xlfn.STDEV.P(tblY7[[7P01 - Forces
Raw Score]])),9),_Stanine,2),5),"")</f>
        <v>6</v>
      </c>
      <c r="T59" s="66" t="n">
        <v>17</v>
      </c>
      <c r="U59" s="67">
        <f>IF(ISNUMBER(tblY7[[#This Row],[7B02 - Organ Systems
Raw Score]]),IFERROR(VLOOKUP(ROUND(STANDARDIZE(tblY7[[#This Row],[7B02 - Organ Systems
Raw Score]],AVERAGE(tblY7[[7B02 - Organ Systems
Raw Score]]),_xlfn.STDEV.P(tblY7[[7B02 - Organ Systems
Raw Score]])),9),_Stanine,2),5),"")</f>
        <v>5</v>
      </c>
    </row>
    <row r="60">
      <c r="A60" s="65" t="inlineStr">
        <is>
          <t>X907610124599</t>
        </is>
      </c>
      <c r="B60" s="65" t="inlineStr">
        <is>
          <t>Wright</t>
        </is>
      </c>
      <c r="C60" s="65" t="inlineStr">
        <is>
          <t>Alfie</t>
        </is>
      </c>
      <c r="D60" s="66" t="inlineStr">
        <is>
          <t>F</t>
        </is>
      </c>
      <c r="E60" s="66" t="inlineStr">
        <is>
          <t>N</t>
        </is>
      </c>
      <c r="F60" s="66" t="inlineStr">
        <is>
          <t>N</t>
        </is>
      </c>
      <c r="G60" s="34" t="n">
        <v>90.5</v>
      </c>
      <c r="H60" s="34" t="n">
        <v>102</v>
      </c>
      <c r="I60" s="67">
        <f>IF(ISNUMBER(tblY7[[#This Row],[Avg KS2]]),IFERROR(VLOOKUP(ROUND(STANDARDIZE(tblY7[[#This Row],[Avg KS2]],AVERAGE(tblY7[[Avg KS2]]),_xlfn.STDEV.P(tblY7[[Avg KS2]])),9),_Stanine,2),5),"")</f>
        <v>3</v>
      </c>
      <c r="J60" s="66" t="inlineStr">
        <is>
          <t>7A/Sc2</t>
        </is>
      </c>
      <c r="K60" s="67">
        <f>IF(tblY7[[#This Row],[Preferred Last name]]="","",COUNTIFS($N$1:$ZZ$1,"*"&amp;CHAR(10)&amp;"Stanine",$N60:$ZZ60,"&gt;=1"))</f>
        <v>4</v>
      </c>
      <c r="L60" s="68">
        <f>IFERROR(AVERAGEIF($N$1:$ZZ$1,"*"&amp;CHAR(10)&amp;"Stanine",$N60:$ZZ60),"")</f>
        <v>1.25</v>
      </c>
      <c r="M60" s="69">
        <f>IF(AND(ISNUMBER(tblY7[[#This Row],[Mean Stanine]]),ISNUMBER(tblY7[[#This Row],[Avg KS2 Band]]),ISNUMBER(SlopeY7)),tblY7[[#This Row],[Mean Stanine]]-(InterceptY7+SlopeY7*tblY7[[#This Row],[Avg KS2 Band]]),"")</f>
        <v>-2.36912641621944</v>
      </c>
      <c r="N60" s="66" t="n">
        <v>7</v>
      </c>
      <c r="O60" s="67">
        <f>IF(ISNUMBER(tblY7[[#This Row],[7B01 - Cells
Raw Score]]),IFERROR(VLOOKUP(ROUND(STANDARDIZE(tblY7[[#This Row],[7B01 - Cells
Raw Score]],AVERAGE(tblY7[[7B01 - Cells
Raw Score]]),_xlfn.STDEV.P(tblY7[[7B01 - Cells
Raw Score]])),9),_Stanine,2),5),"")</f>
        <v>2</v>
      </c>
      <c r="P60" s="66" t="n">
        <v>5</v>
      </c>
      <c r="Q60" s="67">
        <f>IF(ISNUMBER(tblY7[[#This Row],[7C01 - Particles
Raw Score]]),IFERROR(VLOOKUP(ROUND(STANDARDIZE(tblY7[[#This Row],[7C01 - Particles
Raw Score]],AVERAGE(tblY7[[7C01 - Particles
Raw Score]]),_xlfn.STDEV.P(tblY7[[7C01 - Particles
Raw Score]])),9),_Stanine,2),5),"")</f>
        <v>1</v>
      </c>
      <c r="R60" s="66" t="n">
        <v>9</v>
      </c>
      <c r="S60" s="67">
        <f>IF(ISNUMBER(tblY7[[#This Row],[7P01 - Forces
Raw Score]]),IFERROR(VLOOKUP(ROUND(STANDARDIZE(tblY7[[#This Row],[7P01 - Forces
Raw Score]],AVERAGE(tblY7[[7P01 - Forces
Raw Score]]),_xlfn.STDEV.P(tblY7[[7P01 - Forces
Raw Score]])),9),_Stanine,2),5),"")</f>
        <v>1</v>
      </c>
      <c r="T60" s="66" t="n">
        <v>8</v>
      </c>
      <c r="U60" s="67">
        <f>IF(ISNUMBER(tblY7[[#This Row],[7B02 - Organ Systems
Raw Score]]),IFERROR(VLOOKUP(ROUND(STANDARDIZE(tblY7[[#This Row],[7B02 - Organ Systems
Raw Score]],AVERAGE(tblY7[[7B02 - Organ Systems
Raw Score]]),_xlfn.STDEV.P(tblY7[[7B02 - Organ Systems
Raw Score]])),9),_Stanine,2),5),"")</f>
        <v>1</v>
      </c>
    </row>
    <row r="61">
      <c r="A61" s="65" t="inlineStr">
        <is>
          <t>X905180733375</t>
        </is>
      </c>
      <c r="B61" s="65" t="inlineStr">
        <is>
          <t>Wright</t>
        </is>
      </c>
      <c r="C61" s="65" t="inlineStr">
        <is>
          <t>Jacob</t>
        </is>
      </c>
      <c r="D61" s="66" t="inlineStr">
        <is>
          <t>M</t>
        </is>
      </c>
      <c r="E61" s="66" t="n"/>
      <c r="F61" s="66" t="inlineStr">
        <is>
          <t>N</t>
        </is>
      </c>
      <c r="G61" s="34" t="n">
        <v>93.09999999999999</v>
      </c>
      <c r="H61" s="34" t="n">
        <v>118</v>
      </c>
      <c r="I61" s="67">
        <f>IF(ISNUMBER(tblY7[[#This Row],[Avg KS2]]),IFERROR(VLOOKUP(ROUND(STANDARDIZE(tblY7[[#This Row],[Avg KS2]],AVERAGE(tblY7[[Avg KS2]]),_xlfn.STDEV.P(tblY7[[Avg KS2]])),9),_Stanine,2),5),"")</f>
        <v>9</v>
      </c>
      <c r="J61" s="66" t="inlineStr">
        <is>
          <t>7A/Sc2</t>
        </is>
      </c>
      <c r="K61" s="67">
        <f>IF(tblY7[[#This Row],[Preferred Last name]]="","",COUNTIFS($N$1:$ZZ$1,"*"&amp;CHAR(10)&amp;"Stanine",$N61:$ZZ61,"&gt;=1"))</f>
        <v>3</v>
      </c>
      <c r="L61" s="68">
        <f>IFERROR(AVERAGEIF($N$1:$ZZ$1,"*"&amp;CHAR(10)&amp;"Stanine",$N61:$ZZ61),"")</f>
        <v>7.33333333333333</v>
      </c>
      <c r="M61" s="69">
        <f>IF(AND(ISNUMBER(tblY7[[#This Row],[Mean Stanine]]),ISNUMBER(tblY7[[#This Row],[Avg KS2 Band]]),ISNUMBER(SlopeY7)),tblY7[[#This Row],[Mean Stanine]]-(InterceptY7+SlopeY7*tblY7[[#This Row],[Avg KS2 Band]]),"")</f>
        <v>-0.451490757304711</v>
      </c>
      <c r="N61" s="66" t="n">
        <v>25</v>
      </c>
      <c r="O61" s="67">
        <f>IF(ISNUMBER(tblY7[[#This Row],[7B01 - Cells
Raw Score]]),IFERROR(VLOOKUP(ROUND(STANDARDIZE(tblY7[[#This Row],[7B01 - Cells
Raw Score]],AVERAGE(tblY7[[7B01 - Cells
Raw Score]]),_xlfn.STDEV.P(tblY7[[7B01 - Cells
Raw Score]])),9),_Stanine,2),5),"")</f>
        <v>7</v>
      </c>
      <c r="P61" s="66" t="inlineStr">
        <is>
          <t>A</t>
        </is>
      </c>
      <c r="Q61" s="67" t="str">
        <f>IF(ISNUMBER(tblY7[[#This Row],[7C01 - Particles
Raw Score]]),IFERROR(VLOOKUP(ROUND(STANDARDIZE(tblY7[[#This Row],[7C01 - Particles
Raw Score]],AVERAGE(tblY7[[7C01 - Particles
Raw Score]]),_xlfn.STDEV.P(tblY7[[7C01 - Particles
Raw Score]])),9),_Stanine,2),5),"")</f>
        <v/>
      </c>
      <c r="R61" s="66" t="n">
        <v>29</v>
      </c>
      <c r="S61" s="67">
        <f>IF(ISNUMBER(tblY7[[#This Row],[7P01 - Forces
Raw Score]]),IFERROR(VLOOKUP(ROUND(STANDARDIZE(tblY7[[#This Row],[7P01 - Forces
Raw Score]],AVERAGE(tblY7[[7P01 - Forces
Raw Score]]),_xlfn.STDEV.P(tblY7[[7P01 - Forces
Raw Score]])),9),_Stanine,2),5),"")</f>
        <v>8</v>
      </c>
      <c r="T61" s="66" t="n">
        <v>24</v>
      </c>
      <c r="U61" s="67">
        <f>IF(ISNUMBER(tblY7[[#This Row],[7B02 - Organ Systems
Raw Score]]),IFERROR(VLOOKUP(ROUND(STANDARDIZE(tblY7[[#This Row],[7B02 - Organ Systems
Raw Score]],AVERAGE(tblY7[[7B02 - Organ Systems
Raw Score]]),_xlfn.STDEV.P(tblY7[[7B02 - Organ Systems
Raw Score]])),9),_Stanine,2),5),"")</f>
        <v>7</v>
      </c>
    </row>
    <row r="62">
      <c r="A62" s="65" t="inlineStr">
        <is>
          <t>X901427130287</t>
        </is>
      </c>
      <c r="B62" s="65" t="inlineStr">
        <is>
          <t>Ahmed</t>
        </is>
      </c>
      <c r="C62" s="65" t="inlineStr">
        <is>
          <t>Niamh</t>
        </is>
      </c>
      <c r="D62" s="66" t="inlineStr">
        <is>
          <t>M</t>
        </is>
      </c>
      <c r="E62" s="66" t="inlineStr">
        <is>
          <t>N</t>
        </is>
      </c>
      <c r="F62" s="66" t="inlineStr">
        <is>
          <t>N</t>
        </is>
      </c>
      <c r="G62" s="34" t="n">
        <v>90.8</v>
      </c>
      <c r="H62" s="34" t="n">
        <v>111.5</v>
      </c>
      <c r="I62" s="67">
        <f>IF(ISNUMBER(tblY7[[#This Row],[Avg KS2]]),IFERROR(VLOOKUP(ROUND(STANDARDIZE(tblY7[[#This Row],[Avg KS2]],AVERAGE(tblY7[[Avg KS2]]),_xlfn.STDEV.P(tblY7[[Avg KS2]])),9),_Stanine,2),5),"")</f>
        <v>7</v>
      </c>
      <c r="J62" s="66" t="inlineStr">
        <is>
          <t>7B/Sc1</t>
        </is>
      </c>
      <c r="K62" s="67">
        <f>IF(tblY7[[#This Row],[Preferred Last name]]="","",COUNTIFS($N$1:$ZZ$1,"*"&amp;CHAR(10)&amp;"Stanine",$N62:$ZZ62,"&gt;=1"))</f>
        <v>4</v>
      </c>
      <c r="L62" s="68">
        <f>IFERROR(AVERAGEIF($N$1:$ZZ$1,"*"&amp;CHAR(10)&amp;"Stanine",$N62:$ZZ62),"")</f>
        <v>6</v>
      </c>
      <c r="M62" s="69">
        <f>IF(AND(ISNUMBER(tblY7[[#This Row],[Mean Stanine]]),ISNUMBER(tblY7[[#This Row],[Avg KS2 Band]]),ISNUMBER(SlopeY7)),tblY7[[#This Row],[Mean Stanine]]-(InterceptY7+SlopeY7*tblY7[[#This Row],[Avg KS2 Band]]),"")</f>
        <v>-0.396258199165175</v>
      </c>
      <c r="N62" s="66" t="n">
        <v>23</v>
      </c>
      <c r="O62" s="67">
        <f>IF(ISNUMBER(tblY7[[#This Row],[7B01 - Cells
Raw Score]]),IFERROR(VLOOKUP(ROUND(STANDARDIZE(tblY7[[#This Row],[7B01 - Cells
Raw Score]],AVERAGE(tblY7[[7B01 - Cells
Raw Score]]),_xlfn.STDEV.P(tblY7[[7B01 - Cells
Raw Score]])),9),_Stanine,2),5),"")</f>
        <v>7</v>
      </c>
      <c r="P62" s="66" t="n">
        <v>16</v>
      </c>
      <c r="Q62" s="67">
        <f>IF(ISNUMBER(tblY7[[#This Row],[7C01 - Particles
Raw Score]]),IFERROR(VLOOKUP(ROUND(STANDARDIZE(tblY7[[#This Row],[7C01 - Particles
Raw Score]],AVERAGE(tblY7[[7C01 - Particles
Raw Score]]),_xlfn.STDEV.P(tblY7[[7C01 - Particles
Raw Score]])),9),_Stanine,2),5),"")</f>
        <v>4</v>
      </c>
      <c r="R62" s="66" t="n">
        <v>26</v>
      </c>
      <c r="S62" s="67">
        <f>IF(ISNUMBER(tblY7[[#This Row],[7P01 - Forces
Raw Score]]),IFERROR(VLOOKUP(ROUND(STANDARDIZE(tblY7[[#This Row],[7P01 - Forces
Raw Score]],AVERAGE(tblY7[[7P01 - Forces
Raw Score]]),_xlfn.STDEV.P(tblY7[[7P01 - Forces
Raw Score]])),9),_Stanine,2),5),"")</f>
        <v>7</v>
      </c>
      <c r="T62" s="66" t="n">
        <v>21</v>
      </c>
      <c r="U62" s="67">
        <f>IF(ISNUMBER(tblY7[[#This Row],[7B02 - Organ Systems
Raw Score]]),IFERROR(VLOOKUP(ROUND(STANDARDIZE(tblY7[[#This Row],[7B02 - Organ Systems
Raw Score]],AVERAGE(tblY7[[7B02 - Organ Systems
Raw Score]]),_xlfn.STDEV.P(tblY7[[7B02 - Organ Systems
Raw Score]])),9),_Stanine,2),5),"")</f>
        <v>6</v>
      </c>
    </row>
    <row r="63">
      <c r="A63" s="65" t="inlineStr">
        <is>
          <t>X907373506195</t>
        </is>
      </c>
      <c r="B63" s="65" t="inlineStr">
        <is>
          <t>Begum</t>
        </is>
      </c>
      <c r="C63" s="65" t="inlineStr">
        <is>
          <t>George</t>
        </is>
      </c>
      <c r="D63" s="66" t="inlineStr">
        <is>
          <t>M</t>
        </is>
      </c>
      <c r="E63" s="66" t="inlineStr">
        <is>
          <t>N</t>
        </is>
      </c>
      <c r="F63" s="66" t="inlineStr">
        <is>
          <t>N</t>
        </is>
      </c>
      <c r="G63" s="34" t="n">
        <v>93.09999999999999</v>
      </c>
      <c r="H63" s="34" t="n">
        <v>109</v>
      </c>
      <c r="I63" s="67">
        <f>IF(ISNUMBER(tblY7[[#This Row],[Avg KS2]]),IFERROR(VLOOKUP(ROUND(STANDARDIZE(tblY7[[#This Row],[Avg KS2]],AVERAGE(tblY7[[Avg KS2]]),_xlfn.STDEV.P(tblY7[[Avg KS2]])),9),_Stanine,2),5),"")</f>
        <v>6</v>
      </c>
      <c r="J63" s="66" t="inlineStr">
        <is>
          <t>7B/Sc1</t>
        </is>
      </c>
      <c r="K63" s="67">
        <f>IF(tblY7[[#This Row],[Preferred Last name]]="","",COUNTIFS($N$1:$ZZ$1,"*"&amp;CHAR(10)&amp;"Stanine",$N63:$ZZ63,"&gt;=1"))</f>
        <v>3</v>
      </c>
      <c r="L63" s="68">
        <f>IFERROR(AVERAGEIF($N$1:$ZZ$1,"*"&amp;CHAR(10)&amp;"Stanine",$N63:$ZZ63),"")</f>
        <v>6.66666666666667</v>
      </c>
      <c r="M63" s="69">
        <f>IF(AND(ISNUMBER(tblY7[[#This Row],[Mean Stanine]]),ISNUMBER(tblY7[[#This Row],[Avg KS2 Band]]),ISNUMBER(SlopeY7)),tblY7[[#This Row],[Mean Stanine]]-(InterceptY7+SlopeY7*tblY7[[#This Row],[Avg KS2 Band]]),"")</f>
        <v>0.964691413237926</v>
      </c>
      <c r="N63" s="66" t="inlineStr">
        <is>
          <t>A</t>
        </is>
      </c>
      <c r="O63" s="67" t="str">
        <f>IF(ISNUMBER(tblY7[[#This Row],[7B01 - Cells
Raw Score]]),IFERROR(VLOOKUP(ROUND(STANDARDIZE(tblY7[[#This Row],[7B01 - Cells
Raw Score]],AVERAGE(tblY7[[7B01 - Cells
Raw Score]]),_xlfn.STDEV.P(tblY7[[7B01 - Cells
Raw Score]])),9),_Stanine,2),5),"")</f>
        <v/>
      </c>
      <c r="P63" s="66" t="n">
        <v>20</v>
      </c>
      <c r="Q63" s="67">
        <f>IF(ISNUMBER(tblY7[[#This Row],[7C01 - Particles
Raw Score]]),IFERROR(VLOOKUP(ROUND(STANDARDIZE(tblY7[[#This Row],[7C01 - Particles
Raw Score]],AVERAGE(tblY7[[7C01 - Particles
Raw Score]]),_xlfn.STDEV.P(tblY7[[7C01 - Particles
Raw Score]])),9),_Stanine,2),5),"")</f>
        <v>6</v>
      </c>
      <c r="R63" s="66" t="n">
        <v>24</v>
      </c>
      <c r="S63" s="67">
        <f>IF(ISNUMBER(tblY7[[#This Row],[7P01 - Forces
Raw Score]]),IFERROR(VLOOKUP(ROUND(STANDARDIZE(tblY7[[#This Row],[7P01 - Forces
Raw Score]],AVERAGE(tblY7[[7P01 - Forces
Raw Score]]),_xlfn.STDEV.P(tblY7[[7P01 - Forces
Raw Score]])),9),_Stanine,2),5),"")</f>
        <v>6</v>
      </c>
      <c r="T63" s="66" t="n">
        <v>25</v>
      </c>
      <c r="U63" s="67">
        <f>IF(ISNUMBER(tblY7[[#This Row],[7B02 - Organ Systems
Raw Score]]),IFERROR(VLOOKUP(ROUND(STANDARDIZE(tblY7[[#This Row],[7B02 - Organ Systems
Raw Score]],AVERAGE(tblY7[[7B02 - Organ Systems
Raw Score]]),_xlfn.STDEV.P(tblY7[[7B02 - Organ Systems
Raw Score]])),9),_Stanine,2),5),"")</f>
        <v>8</v>
      </c>
    </row>
    <row r="64">
      <c r="A64" s="65" t="inlineStr">
        <is>
          <t>X904233976661</t>
        </is>
      </c>
      <c r="B64" s="65" t="inlineStr">
        <is>
          <t>Bennett</t>
        </is>
      </c>
      <c r="C64" s="65" t="inlineStr">
        <is>
          <t>Ethan</t>
        </is>
      </c>
      <c r="D64" s="66" t="inlineStr">
        <is>
          <t>M</t>
        </is>
      </c>
      <c r="E64" s="66" t="inlineStr">
        <is>
          <t>K</t>
        </is>
      </c>
      <c r="F64" s="66" t="inlineStr">
        <is>
          <t>Y</t>
        </is>
      </c>
      <c r="G64" s="34" t="n">
        <v>94.8</v>
      </c>
      <c r="H64" s="34" t="n">
        <v>111.5</v>
      </c>
      <c r="I64" s="67">
        <f>IF(ISNUMBER(tblY7[[#This Row],[Avg KS2]]),IFERROR(VLOOKUP(ROUND(STANDARDIZE(tblY7[[#This Row],[Avg KS2]],AVERAGE(tblY7[[Avg KS2]]),_xlfn.STDEV.P(tblY7[[Avg KS2]])),9),_Stanine,2),5),"")</f>
        <v>7</v>
      </c>
      <c r="J64" s="66" t="inlineStr">
        <is>
          <t>7B/Sc1</t>
        </is>
      </c>
      <c r="K64" s="67">
        <f>IF(tblY7[[#This Row],[Preferred Last name]]="","",COUNTIFS($N$1:$ZZ$1,"*"&amp;CHAR(10)&amp;"Stanine",$N64:$ZZ64,"&gt;=1"))</f>
        <v>4</v>
      </c>
      <c r="L64" s="68">
        <f>IFERROR(AVERAGEIF($N$1:$ZZ$1,"*"&amp;CHAR(10)&amp;"Stanine",$N64:$ZZ64),"")</f>
        <v>7.25</v>
      </c>
      <c r="M64" s="69">
        <f>IF(AND(ISNUMBER(tblY7[[#This Row],[Mean Stanine]]),ISNUMBER(tblY7[[#This Row],[Avg KS2 Band]]),ISNUMBER(SlopeY7)),tblY7[[#This Row],[Mean Stanine]]-(InterceptY7+SlopeY7*tblY7[[#This Row],[Avg KS2 Band]]),"")</f>
        <v>0.853741800834825</v>
      </c>
      <c r="N64" s="66" t="n">
        <v>23</v>
      </c>
      <c r="O64" s="67">
        <f>IF(ISNUMBER(tblY7[[#This Row],[7B01 - Cells
Raw Score]]),IFERROR(VLOOKUP(ROUND(STANDARDIZE(tblY7[[#This Row],[7B01 - Cells
Raw Score]],AVERAGE(tblY7[[7B01 - Cells
Raw Score]]),_xlfn.STDEV.P(tblY7[[7B01 - Cells
Raw Score]])),9),_Stanine,2),5),"")</f>
        <v>7</v>
      </c>
      <c r="P64" s="66" t="n">
        <v>24</v>
      </c>
      <c r="Q64" s="67">
        <f>IF(ISNUMBER(tblY7[[#This Row],[7C01 - Particles
Raw Score]]),IFERROR(VLOOKUP(ROUND(STANDARDIZE(tblY7[[#This Row],[7C01 - Particles
Raw Score]],AVERAGE(tblY7[[7C01 - Particles
Raw Score]]),_xlfn.STDEV.P(tblY7[[7C01 - Particles
Raw Score]])),9),_Stanine,2),5),"")</f>
        <v>8</v>
      </c>
      <c r="R64" s="66" t="n">
        <v>26</v>
      </c>
      <c r="S64" s="67">
        <f>IF(ISNUMBER(tblY7[[#This Row],[7P01 - Forces
Raw Score]]),IFERROR(VLOOKUP(ROUND(STANDARDIZE(tblY7[[#This Row],[7P01 - Forces
Raw Score]],AVERAGE(tblY7[[7P01 - Forces
Raw Score]]),_xlfn.STDEV.P(tblY7[[7P01 - Forces
Raw Score]])),9),_Stanine,2),5),"")</f>
        <v>7</v>
      </c>
      <c r="T64" s="66" t="n">
        <v>23</v>
      </c>
      <c r="U64" s="67">
        <f>IF(ISNUMBER(tblY7[[#This Row],[7B02 - Organ Systems
Raw Score]]),IFERROR(VLOOKUP(ROUND(STANDARDIZE(tblY7[[#This Row],[7B02 - Organ Systems
Raw Score]],AVERAGE(tblY7[[7B02 - Organ Systems
Raw Score]]),_xlfn.STDEV.P(tblY7[[7B02 - Organ Systems
Raw Score]])),9),_Stanine,2),5),"")</f>
        <v>7</v>
      </c>
    </row>
    <row r="65">
      <c r="A65" s="65" t="inlineStr">
        <is>
          <t>X904967892798</t>
        </is>
      </c>
      <c r="B65" s="65" t="inlineStr">
        <is>
          <t>Bennett</t>
        </is>
      </c>
      <c r="C65" s="65" t="inlineStr">
        <is>
          <t>Noah</t>
        </is>
      </c>
      <c r="D65" s="66" t="inlineStr">
        <is>
          <t>F</t>
        </is>
      </c>
      <c r="E65" s="66" t="n"/>
      <c r="F65" s="66" t="inlineStr">
        <is>
          <t>N</t>
        </is>
      </c>
      <c r="G65" s="34" t="n">
        <v>92.2</v>
      </c>
      <c r="H65" s="34" t="n">
        <v>105.5</v>
      </c>
      <c r="I65" s="67">
        <f>IF(ISNUMBER(tblY7[[#This Row],[Avg KS2]]),IFERROR(VLOOKUP(ROUND(STANDARDIZE(tblY7[[#This Row],[Avg KS2]],AVERAGE(tblY7[[Avg KS2]]),_xlfn.STDEV.P(tblY7[[Avg KS2]])),9),_Stanine,2),5),"")</f>
        <v>4</v>
      </c>
      <c r="J65" s="66" t="inlineStr">
        <is>
          <t>7B/Sc1</t>
        </is>
      </c>
      <c r="K65" s="67">
        <f>IF(tblY7[[#This Row],[Preferred Last name]]="","",COUNTIFS($N$1:$ZZ$1,"*"&amp;CHAR(10)&amp;"Stanine",$N65:$ZZ65,"&gt;=1"))</f>
        <v>4</v>
      </c>
      <c r="L65" s="68">
        <f>IFERROR(AVERAGEIF($N$1:$ZZ$1,"*"&amp;CHAR(10)&amp;"Stanine",$N65:$ZZ65),"")</f>
        <v>5.25</v>
      </c>
      <c r="M65" s="69">
        <f>IF(AND(ISNUMBER(tblY7[[#This Row],[Mean Stanine]]),ISNUMBER(tblY7[[#This Row],[Avg KS2 Band]]),ISNUMBER(SlopeY7)),tblY7[[#This Row],[Mean Stanine]]-(InterceptY7+SlopeY7*tblY7[[#This Row],[Avg KS2 Band]]),"")</f>
        <v>0.936590638044127</v>
      </c>
      <c r="N65" s="66" t="n">
        <v>17</v>
      </c>
      <c r="O65" s="67">
        <f>IF(ISNUMBER(tblY7[[#This Row],[7B01 - Cells
Raw Score]]),IFERROR(VLOOKUP(ROUND(STANDARDIZE(tblY7[[#This Row],[7B01 - Cells
Raw Score]],AVERAGE(tblY7[[7B01 - Cells
Raw Score]]),_xlfn.STDEV.P(tblY7[[7B01 - Cells
Raw Score]])),9),_Stanine,2),5),"")</f>
        <v>5</v>
      </c>
      <c r="P65" s="66" t="n">
        <v>19</v>
      </c>
      <c r="Q65" s="67">
        <f>IF(ISNUMBER(tblY7[[#This Row],[7C01 - Particles
Raw Score]]),IFERROR(VLOOKUP(ROUND(STANDARDIZE(tblY7[[#This Row],[7C01 - Particles
Raw Score]],AVERAGE(tblY7[[7C01 - Particles
Raw Score]]),_xlfn.STDEV.P(tblY7[[7C01 - Particles
Raw Score]])),9),_Stanine,2),5),"")</f>
        <v>5</v>
      </c>
      <c r="R65" s="66" t="n">
        <v>24</v>
      </c>
      <c r="S65" s="67">
        <f>IF(ISNUMBER(tblY7[[#This Row],[7P01 - Forces
Raw Score]]),IFERROR(VLOOKUP(ROUND(STANDARDIZE(tblY7[[#This Row],[7P01 - Forces
Raw Score]],AVERAGE(tblY7[[7P01 - Forces
Raw Score]]),_xlfn.STDEV.P(tblY7[[7P01 - Forces
Raw Score]])),9),_Stanine,2),5),"")</f>
        <v>6</v>
      </c>
      <c r="T65" s="66" t="n">
        <v>19</v>
      </c>
      <c r="U65" s="67">
        <f>IF(ISNUMBER(tblY7[[#This Row],[7B02 - Organ Systems
Raw Score]]),IFERROR(VLOOKUP(ROUND(STANDARDIZE(tblY7[[#This Row],[7B02 - Organ Systems
Raw Score]],AVERAGE(tblY7[[7B02 - Organ Systems
Raw Score]]),_xlfn.STDEV.P(tblY7[[7B02 - Organ Systems
Raw Score]])),9),_Stanine,2),5),"")</f>
        <v>5</v>
      </c>
    </row>
    <row r="66">
      <c r="A66" s="65" t="inlineStr">
        <is>
          <t>X902315320065</t>
        </is>
      </c>
      <c r="B66" s="65" t="inlineStr">
        <is>
          <t>Clarke</t>
        </is>
      </c>
      <c r="C66" s="65" t="inlineStr">
        <is>
          <t>Sophie</t>
        </is>
      </c>
      <c r="D66" s="66" t="inlineStr">
        <is>
          <t>F</t>
        </is>
      </c>
      <c r="E66" s="66" t="n"/>
      <c r="F66" s="66" t="inlineStr">
        <is>
          <t>N</t>
        </is>
      </c>
      <c r="G66" s="34" t="n">
        <v>96</v>
      </c>
      <c r="H66" s="34" t="n">
        <v>101</v>
      </c>
      <c r="I66" s="67">
        <f>IF(ISNUMBER(tblY7[[#This Row],[Avg KS2]]),IFERROR(VLOOKUP(ROUND(STANDARDIZE(tblY7[[#This Row],[Avg KS2]],AVERAGE(tblY7[[Avg KS2]]),_xlfn.STDEV.P(tblY7[[Avg KS2]])),9),_Stanine,2),5),"")</f>
        <v>3</v>
      </c>
      <c r="J66" s="66" t="inlineStr">
        <is>
          <t>7B/Sc1</t>
        </is>
      </c>
      <c r="K66" s="67">
        <f>IF(tblY7[[#This Row],[Preferred Last name]]="","",COUNTIFS($N$1:$ZZ$1,"*"&amp;CHAR(10)&amp;"Stanine",$N66:$ZZ66,"&gt;=1"))</f>
        <v>4</v>
      </c>
      <c r="L66" s="68">
        <f>IFERROR(AVERAGEIF($N$1:$ZZ$1,"*"&amp;CHAR(10)&amp;"Stanine",$N66:$ZZ66),"")</f>
        <v>4.75</v>
      </c>
      <c r="M66" s="69">
        <f>IF(AND(ISNUMBER(tblY7[[#This Row],[Mean Stanine]]),ISNUMBER(tblY7[[#This Row],[Avg KS2 Band]]),ISNUMBER(SlopeY7)),tblY7[[#This Row],[Mean Stanine]]-(InterceptY7+SlopeY7*tblY7[[#This Row],[Avg KS2 Band]]),"")</f>
        <v>1.13087358378056</v>
      </c>
      <c r="N66" s="66" t="n">
        <v>18</v>
      </c>
      <c r="O66" s="67">
        <f>IF(ISNUMBER(tblY7[[#This Row],[7B01 - Cells
Raw Score]]),IFERROR(VLOOKUP(ROUND(STANDARDIZE(tblY7[[#This Row],[7B01 - Cells
Raw Score]],AVERAGE(tblY7[[7B01 - Cells
Raw Score]]),_xlfn.STDEV.P(tblY7[[7B01 - Cells
Raw Score]])),9),_Stanine,2),5),"")</f>
        <v>5</v>
      </c>
      <c r="P66" s="66" t="n">
        <v>21</v>
      </c>
      <c r="Q66" s="67">
        <f>IF(ISNUMBER(tblY7[[#This Row],[7C01 - Particles
Raw Score]]),IFERROR(VLOOKUP(ROUND(STANDARDIZE(tblY7[[#This Row],[7C01 - Particles
Raw Score]],AVERAGE(tblY7[[7C01 - Particles
Raw Score]]),_xlfn.STDEV.P(tblY7[[7C01 - Particles
Raw Score]])),9),_Stanine,2),5),"")</f>
        <v>6</v>
      </c>
      <c r="R66" s="66" t="n">
        <v>20</v>
      </c>
      <c r="S66" s="67">
        <f>IF(ISNUMBER(tblY7[[#This Row],[7P01 - Forces
Raw Score]]),IFERROR(VLOOKUP(ROUND(STANDARDIZE(tblY7[[#This Row],[7P01 - Forces
Raw Score]],AVERAGE(tblY7[[7P01 - Forces
Raw Score]]),_xlfn.STDEV.P(tblY7[[7P01 - Forces
Raw Score]])),9),_Stanine,2),5),"")</f>
        <v>4</v>
      </c>
      <c r="T66" s="66" t="n">
        <v>16</v>
      </c>
      <c r="U66" s="67">
        <f>IF(ISNUMBER(tblY7[[#This Row],[7B02 - Organ Systems
Raw Score]]),IFERROR(VLOOKUP(ROUND(STANDARDIZE(tblY7[[#This Row],[7B02 - Organ Systems
Raw Score]],AVERAGE(tblY7[[7B02 - Organ Systems
Raw Score]]),_xlfn.STDEV.P(tblY7[[7B02 - Organ Systems
Raw Score]])),9),_Stanine,2),5),"")</f>
        <v>4</v>
      </c>
    </row>
    <row r="67">
      <c r="A67" s="65" t="inlineStr">
        <is>
          <t>X906031285160</t>
        </is>
      </c>
      <c r="B67" s="65" t="inlineStr">
        <is>
          <t>Davies</t>
        </is>
      </c>
      <c r="C67" s="65" t="inlineStr">
        <is>
          <t>Nia</t>
        </is>
      </c>
      <c r="D67" s="66" t="inlineStr">
        <is>
          <t>F</t>
        </is>
      </c>
      <c r="E67" s="66" t="inlineStr">
        <is>
          <t>E</t>
        </is>
      </c>
      <c r="F67" s="66" t="inlineStr">
        <is>
          <t>N</t>
        </is>
      </c>
      <c r="G67" s="34" t="n">
        <v>93.3</v>
      </c>
      <c r="H67" s="34" t="n">
        <v>108</v>
      </c>
      <c r="I67" s="67">
        <f>IF(ISNUMBER(tblY7[[#This Row],[Avg KS2]]),IFERROR(VLOOKUP(ROUND(STANDARDIZE(tblY7[[#This Row],[Avg KS2]],AVERAGE(tblY7[[Avg KS2]]),_xlfn.STDEV.P(tblY7[[Avg KS2]])),9),_Stanine,2),5),"")</f>
        <v>5</v>
      </c>
      <c r="J67" s="66" t="inlineStr">
        <is>
          <t>7B/Sc1</t>
        </is>
      </c>
      <c r="K67" s="67">
        <f>IF(tblY7[[#This Row],[Preferred Last name]]="","",COUNTIFS($N$1:$ZZ$1,"*"&amp;CHAR(10)&amp;"Stanine",$N67:$ZZ67,"&gt;=1"))</f>
        <v>4</v>
      </c>
      <c r="L67" s="68">
        <f>IFERROR(AVERAGEIF($N$1:$ZZ$1,"*"&amp;CHAR(10)&amp;"Stanine",$N67:$ZZ67),"")</f>
        <v>5.25</v>
      </c>
      <c r="M67" s="69">
        <f>IF(AND(ISNUMBER(tblY7[[#This Row],[Mean Stanine]]),ISNUMBER(tblY7[[#This Row],[Avg KS2 Band]]),ISNUMBER(SlopeY7)),tblY7[[#This Row],[Mean Stanine]]-(InterceptY7+SlopeY7*tblY7[[#This Row],[Avg KS2 Band]]),"")</f>
        <v>0.242307692307692</v>
      </c>
      <c r="N67" s="66" t="n">
        <v>17</v>
      </c>
      <c r="O67" s="67">
        <f>IF(ISNUMBER(tblY7[[#This Row],[7B01 - Cells
Raw Score]]),IFERROR(VLOOKUP(ROUND(STANDARDIZE(tblY7[[#This Row],[7B01 - Cells
Raw Score]],AVERAGE(tblY7[[7B01 - Cells
Raw Score]]),_xlfn.STDEV.P(tblY7[[7B01 - Cells
Raw Score]])),9),_Stanine,2),5),"")</f>
        <v>5</v>
      </c>
      <c r="P67" s="66" t="n">
        <v>18</v>
      </c>
      <c r="Q67" s="67">
        <f>IF(ISNUMBER(tblY7[[#This Row],[7C01 - Particles
Raw Score]]),IFERROR(VLOOKUP(ROUND(STANDARDIZE(tblY7[[#This Row],[7C01 - Particles
Raw Score]],AVERAGE(tblY7[[7C01 - Particles
Raw Score]]),_xlfn.STDEV.P(tblY7[[7C01 - Particles
Raw Score]])),9),_Stanine,2),5),"")</f>
        <v>5</v>
      </c>
      <c r="R67" s="66" t="n">
        <v>24</v>
      </c>
      <c r="S67" s="67">
        <f>IF(ISNUMBER(tblY7[[#This Row],[7P01 - Forces
Raw Score]]),IFERROR(VLOOKUP(ROUND(STANDARDIZE(tblY7[[#This Row],[7P01 - Forces
Raw Score]],AVERAGE(tblY7[[7P01 - Forces
Raw Score]]),_xlfn.STDEV.P(tblY7[[7P01 - Forces
Raw Score]])),9),_Stanine,2),5),"")</f>
        <v>6</v>
      </c>
      <c r="T67" s="66" t="n">
        <v>19</v>
      </c>
      <c r="U67" s="67">
        <f>IF(ISNUMBER(tblY7[[#This Row],[7B02 - Organ Systems
Raw Score]]),IFERROR(VLOOKUP(ROUND(STANDARDIZE(tblY7[[#This Row],[7B02 - Organ Systems
Raw Score]],AVERAGE(tblY7[[7B02 - Organ Systems
Raw Score]]),_xlfn.STDEV.P(tblY7[[7B02 - Organ Systems
Raw Score]])),9),_Stanine,2),5),"")</f>
        <v>5</v>
      </c>
    </row>
    <row r="68">
      <c r="A68" s="65" t="inlineStr">
        <is>
          <t>X903783364628</t>
        </is>
      </c>
      <c r="B68" s="65" t="inlineStr">
        <is>
          <t>Davies</t>
        </is>
      </c>
      <c r="C68" s="65" t="inlineStr">
        <is>
          <t>Theo</t>
        </is>
      </c>
      <c r="D68" s="66" t="inlineStr">
        <is>
          <t>F</t>
        </is>
      </c>
      <c r="E68" s="66" t="inlineStr">
        <is>
          <t>N</t>
        </is>
      </c>
      <c r="F68" s="66" t="inlineStr">
        <is>
          <t>N</t>
        </is>
      </c>
      <c r="G68" s="34" t="n">
        <v>100</v>
      </c>
      <c r="H68" s="34" t="n">
        <v>112.5</v>
      </c>
      <c r="I68" s="67">
        <f>IF(ISNUMBER(tblY7[[#This Row],[Avg KS2]]),IFERROR(VLOOKUP(ROUND(STANDARDIZE(tblY7[[#This Row],[Avg KS2]],AVERAGE(tblY7[[Avg KS2]]),_xlfn.STDEV.P(tblY7[[Avg KS2]])),9),_Stanine,2),5),"")</f>
        <v>7</v>
      </c>
      <c r="J68" s="66" t="inlineStr">
        <is>
          <t>7B/Sc1</t>
        </is>
      </c>
      <c r="K68" s="67">
        <f>IF(tblY7[[#This Row],[Preferred Last name]]="","",COUNTIFS($N$1:$ZZ$1,"*"&amp;CHAR(10)&amp;"Stanine",$N68:$ZZ68,"&gt;=1"))</f>
        <v>3</v>
      </c>
      <c r="L68" s="68">
        <f>IFERROR(AVERAGEIF($N$1:$ZZ$1,"*"&amp;CHAR(10)&amp;"Stanine",$N68:$ZZ68),"")</f>
        <v>7</v>
      </c>
      <c r="M68" s="69">
        <f>IF(AND(ISNUMBER(tblY7[[#This Row],[Mean Stanine]]),ISNUMBER(tblY7[[#This Row],[Avg KS2 Band]]),ISNUMBER(SlopeY7)),tblY7[[#This Row],[Mean Stanine]]-(InterceptY7+SlopeY7*tblY7[[#This Row],[Avg KS2 Band]]),"")</f>
        <v>0.603741800834825</v>
      </c>
      <c r="N68" s="66" t="inlineStr">
        <is>
          <t>A</t>
        </is>
      </c>
      <c r="O68" s="67" t="str">
        <f>IF(ISNUMBER(tblY7[[#This Row],[7B01 - Cells
Raw Score]]),IFERROR(VLOOKUP(ROUND(STANDARDIZE(tblY7[[#This Row],[7B01 - Cells
Raw Score]],AVERAGE(tblY7[[7B01 - Cells
Raw Score]]),_xlfn.STDEV.P(tblY7[[7B01 - Cells
Raw Score]])),9),_Stanine,2),5),"")</f>
        <v/>
      </c>
      <c r="P68" s="66" t="n">
        <v>23</v>
      </c>
      <c r="Q68" s="67">
        <f>IF(ISNUMBER(tblY7[[#This Row],[7C01 - Particles
Raw Score]]),IFERROR(VLOOKUP(ROUND(STANDARDIZE(tblY7[[#This Row],[7C01 - Particles
Raw Score]],AVERAGE(tblY7[[7C01 - Particles
Raw Score]]),_xlfn.STDEV.P(tblY7[[7C01 - Particles
Raw Score]])),9),_Stanine,2),5),"")</f>
        <v>7</v>
      </c>
      <c r="R68" s="66" t="n">
        <v>27</v>
      </c>
      <c r="S68" s="67">
        <f>IF(ISNUMBER(tblY7[[#This Row],[7P01 - Forces
Raw Score]]),IFERROR(VLOOKUP(ROUND(STANDARDIZE(tblY7[[#This Row],[7P01 - Forces
Raw Score]],AVERAGE(tblY7[[7P01 - Forces
Raw Score]]),_xlfn.STDEV.P(tblY7[[7P01 - Forces
Raw Score]])),9),_Stanine,2),5),"")</f>
        <v>7</v>
      </c>
      <c r="T68" s="66" t="n">
        <v>24</v>
      </c>
      <c r="U68" s="67">
        <f>IF(ISNUMBER(tblY7[[#This Row],[7B02 - Organ Systems
Raw Score]]),IFERROR(VLOOKUP(ROUND(STANDARDIZE(tblY7[[#This Row],[7B02 - Organ Systems
Raw Score]],AVERAGE(tblY7[[7B02 - Organ Systems
Raw Score]]),_xlfn.STDEV.P(tblY7[[7B02 - Organ Systems
Raw Score]])),9),_Stanine,2),5),"")</f>
        <v>7</v>
      </c>
    </row>
    <row r="69">
      <c r="A69" s="65" t="inlineStr">
        <is>
          <t>X904592988993</t>
        </is>
      </c>
      <c r="B69" s="65" t="inlineStr">
        <is>
          <t>Edwards</t>
        </is>
      </c>
      <c r="C69" s="65" t="inlineStr">
        <is>
          <t>Sophie</t>
        </is>
      </c>
      <c r="D69" s="66" t="inlineStr">
        <is>
          <t>F</t>
        </is>
      </c>
      <c r="E69" s="66" t="n"/>
      <c r="F69" s="66" t="inlineStr">
        <is>
          <t>N</t>
        </is>
      </c>
      <c r="G69" s="34" t="n">
        <v>95.2</v>
      </c>
      <c r="H69" s="34" t="n">
        <v>101</v>
      </c>
      <c r="I69" s="67">
        <f>IF(ISNUMBER(tblY7[[#This Row],[Avg KS2]]),IFERROR(VLOOKUP(ROUND(STANDARDIZE(tblY7[[#This Row],[Avg KS2]],AVERAGE(tblY7[[Avg KS2]]),_xlfn.STDEV.P(tblY7[[Avg KS2]])),9),_Stanine,2),5),"")</f>
        <v>3</v>
      </c>
      <c r="J69" s="66" t="inlineStr">
        <is>
          <t>7B/Sc1</t>
        </is>
      </c>
      <c r="K69" s="67">
        <f>IF(tblY7[[#This Row],[Preferred Last name]]="","",COUNTIFS($N$1:$ZZ$1,"*"&amp;CHAR(10)&amp;"Stanine",$N69:$ZZ69,"&gt;=1"))</f>
        <v>4</v>
      </c>
      <c r="L69" s="68">
        <f>IFERROR(AVERAGEIF($N$1:$ZZ$1,"*"&amp;CHAR(10)&amp;"Stanine",$N69:$ZZ69),"")</f>
        <v>6</v>
      </c>
      <c r="M69" s="69">
        <f>IF(AND(ISNUMBER(tblY7[[#This Row],[Mean Stanine]]),ISNUMBER(tblY7[[#This Row],[Avg KS2 Band]]),ISNUMBER(SlopeY7)),tblY7[[#This Row],[Mean Stanine]]-(InterceptY7+SlopeY7*tblY7[[#This Row],[Avg KS2 Band]]),"")</f>
        <v>2.38087358378056</v>
      </c>
      <c r="N69" s="66" t="n">
        <v>21</v>
      </c>
      <c r="O69" s="67">
        <f>IF(ISNUMBER(tblY7[[#This Row],[7B01 - Cells
Raw Score]]),IFERROR(VLOOKUP(ROUND(STANDARDIZE(tblY7[[#This Row],[7B01 - Cells
Raw Score]],AVERAGE(tblY7[[7B01 - Cells
Raw Score]]),_xlfn.STDEV.P(tblY7[[7B01 - Cells
Raw Score]])),9),_Stanine,2),5),"")</f>
        <v>6</v>
      </c>
      <c r="P69" s="66" t="n">
        <v>20</v>
      </c>
      <c r="Q69" s="67">
        <f>IF(ISNUMBER(tblY7[[#This Row],[7C01 - Particles
Raw Score]]),IFERROR(VLOOKUP(ROUND(STANDARDIZE(tblY7[[#This Row],[7C01 - Particles
Raw Score]],AVERAGE(tblY7[[7C01 - Particles
Raw Score]]),_xlfn.STDEV.P(tblY7[[7C01 - Particles
Raw Score]])),9),_Stanine,2),5),"")</f>
        <v>6</v>
      </c>
      <c r="R69" s="66" t="n">
        <v>25</v>
      </c>
      <c r="S69" s="67">
        <f>IF(ISNUMBER(tblY7[[#This Row],[7P01 - Forces
Raw Score]]),IFERROR(VLOOKUP(ROUND(STANDARDIZE(tblY7[[#This Row],[7P01 - Forces
Raw Score]],AVERAGE(tblY7[[7P01 - Forces
Raw Score]]),_xlfn.STDEV.P(tblY7[[7P01 - Forces
Raw Score]])),9),_Stanine,2),5),"")</f>
        <v>6</v>
      </c>
      <c r="T69" s="66" t="n">
        <v>21</v>
      </c>
      <c r="U69" s="67">
        <f>IF(ISNUMBER(tblY7[[#This Row],[7B02 - Organ Systems
Raw Score]]),IFERROR(VLOOKUP(ROUND(STANDARDIZE(tblY7[[#This Row],[7B02 - Organ Systems
Raw Score]],AVERAGE(tblY7[[7B02 - Organ Systems
Raw Score]]),_xlfn.STDEV.P(tblY7[[7B02 - Organ Systems
Raw Score]])),9),_Stanine,2),5),"")</f>
        <v>6</v>
      </c>
    </row>
    <row r="70">
      <c r="A70" s="65" t="inlineStr">
        <is>
          <t>X904083204362</t>
        </is>
      </c>
      <c r="B70" s="65" t="inlineStr">
        <is>
          <t>Evans</t>
        </is>
      </c>
      <c r="C70" s="65" t="inlineStr">
        <is>
          <t>Leo</t>
        </is>
      </c>
      <c r="D70" s="66" t="inlineStr">
        <is>
          <t>M</t>
        </is>
      </c>
      <c r="E70" s="66" t="inlineStr">
        <is>
          <t>N</t>
        </is>
      </c>
      <c r="F70" s="66" t="inlineStr">
        <is>
          <t>N</t>
        </is>
      </c>
      <c r="G70" s="34" t="n">
        <v>83.2</v>
      </c>
      <c r="H70" s="34" t="n">
        <v>114.5</v>
      </c>
      <c r="I70" s="67">
        <f>IF(ISNUMBER(tblY7[[#This Row],[Avg KS2]]),IFERROR(VLOOKUP(ROUND(STANDARDIZE(tblY7[[#This Row],[Avg KS2]],AVERAGE(tblY7[[Avg KS2]]),_xlfn.STDEV.P(tblY7[[Avg KS2]])),9),_Stanine,2),5),"")</f>
        <v>8</v>
      </c>
      <c r="J70" s="66" t="inlineStr">
        <is>
          <t>7B/Sc1</t>
        </is>
      </c>
      <c r="K70" s="67">
        <f>IF(tblY7[[#This Row],[Preferred Last name]]="","",COUNTIFS($N$1:$ZZ$1,"*"&amp;CHAR(10)&amp;"Stanine",$N70:$ZZ70,"&gt;=1"))</f>
        <v>4</v>
      </c>
      <c r="L70" s="68">
        <f>IFERROR(AVERAGEIF($N$1:$ZZ$1,"*"&amp;CHAR(10)&amp;"Stanine",$N70:$ZZ70),"")</f>
        <v>7.5</v>
      </c>
      <c r="M70" s="69">
        <f>IF(AND(ISNUMBER(tblY7[[#This Row],[Mean Stanine]]),ISNUMBER(tblY7[[#This Row],[Avg KS2 Band]]),ISNUMBER(SlopeY7)),tblY7[[#This Row],[Mean Stanine]]-(InterceptY7+SlopeY7*tblY7[[#This Row],[Avg KS2 Band]]),"")</f>
        <v>0.40945885509839</v>
      </c>
      <c r="N70" s="66" t="n">
        <v>26</v>
      </c>
      <c r="O70" s="67">
        <f>IF(ISNUMBER(tblY7[[#This Row],[7B01 - Cells
Raw Score]]),IFERROR(VLOOKUP(ROUND(STANDARDIZE(tblY7[[#This Row],[7B01 - Cells
Raw Score]],AVERAGE(tblY7[[7B01 - Cells
Raw Score]]),_xlfn.STDEV.P(tblY7[[7B01 - Cells
Raw Score]])),9),_Stanine,2),5),"")</f>
        <v>8</v>
      </c>
      <c r="P70" s="66" t="n">
        <v>22</v>
      </c>
      <c r="Q70" s="67">
        <f>IF(ISNUMBER(tblY7[[#This Row],[7C01 - Particles
Raw Score]]),IFERROR(VLOOKUP(ROUND(STANDARDIZE(tblY7[[#This Row],[7C01 - Particles
Raw Score]],AVERAGE(tblY7[[7C01 - Particles
Raw Score]]),_xlfn.STDEV.P(tblY7[[7C01 - Particles
Raw Score]])),9),_Stanine,2),5),"")</f>
        <v>7</v>
      </c>
      <c r="R70" s="66" t="n">
        <v>26</v>
      </c>
      <c r="S70" s="67">
        <f>IF(ISNUMBER(tblY7[[#This Row],[7P01 - Forces
Raw Score]]),IFERROR(VLOOKUP(ROUND(STANDARDIZE(tblY7[[#This Row],[7P01 - Forces
Raw Score]],AVERAGE(tblY7[[7P01 - Forces
Raw Score]]),_xlfn.STDEV.P(tblY7[[7P01 - Forces
Raw Score]])),9),_Stanine,2),5),"")</f>
        <v>7</v>
      </c>
      <c r="T70" s="66" t="n">
        <v>25</v>
      </c>
      <c r="U70" s="67">
        <f>IF(ISNUMBER(tblY7[[#This Row],[7B02 - Organ Systems
Raw Score]]),IFERROR(VLOOKUP(ROUND(STANDARDIZE(tblY7[[#This Row],[7B02 - Organ Systems
Raw Score]],AVERAGE(tblY7[[7B02 - Organ Systems
Raw Score]]),_xlfn.STDEV.P(tblY7[[7B02 - Organ Systems
Raw Score]])),9),_Stanine,2),5),"")</f>
        <v>8</v>
      </c>
    </row>
    <row r="71">
      <c r="A71" s="65" t="inlineStr">
        <is>
          <t>X903709975205</t>
        </is>
      </c>
      <c r="B71" s="65" t="inlineStr">
        <is>
          <t>Evans</t>
        </is>
      </c>
      <c r="C71" s="65" t="inlineStr">
        <is>
          <t>Priya</t>
        </is>
      </c>
      <c r="D71" s="66" t="inlineStr">
        <is>
          <t>F</t>
        </is>
      </c>
      <c r="E71" s="66" t="inlineStr">
        <is>
          <t>N</t>
        </is>
      </c>
      <c r="F71" s="66" t="inlineStr">
        <is>
          <t>N</t>
        </is>
      </c>
      <c r="G71" s="34" t="n">
        <v>94.09999999999999</v>
      </c>
      <c r="H71" s="34" t="n">
        <v>111</v>
      </c>
      <c r="I71" s="67">
        <f>IF(ISNUMBER(tblY7[[#This Row],[Avg KS2]]),IFERROR(VLOOKUP(ROUND(STANDARDIZE(tblY7[[#This Row],[Avg KS2]],AVERAGE(tblY7[[Avg KS2]]),_xlfn.STDEV.P(tblY7[[Avg KS2]])),9),_Stanine,2),5),"")</f>
        <v>7</v>
      </c>
      <c r="J71" s="66" t="inlineStr">
        <is>
          <t>7B/Sc1</t>
        </is>
      </c>
      <c r="K71" s="67">
        <f>IF(tblY7[[#This Row],[Preferred Last name]]="","",COUNTIFS($N$1:$ZZ$1,"*"&amp;CHAR(10)&amp;"Stanine",$N71:$ZZ71,"&gt;=1"))</f>
        <v>4</v>
      </c>
      <c r="L71" s="68">
        <f>IFERROR(AVERAGEIF($N$1:$ZZ$1,"*"&amp;CHAR(10)&amp;"Stanine",$N71:$ZZ71),"")</f>
        <v>5.75</v>
      </c>
      <c r="M71" s="69">
        <f>IF(AND(ISNUMBER(tblY7[[#This Row],[Mean Stanine]]),ISNUMBER(tblY7[[#This Row],[Avg KS2 Band]]),ISNUMBER(SlopeY7)),tblY7[[#This Row],[Mean Stanine]]-(InterceptY7+SlopeY7*tblY7[[#This Row],[Avg KS2 Band]]),"")</f>
        <v>-0.646258199165176</v>
      </c>
      <c r="N71" s="66" t="n">
        <v>19</v>
      </c>
      <c r="O71" s="67">
        <f>IF(ISNUMBER(tblY7[[#This Row],[7B01 - Cells
Raw Score]]),IFERROR(VLOOKUP(ROUND(STANDARDIZE(tblY7[[#This Row],[7B01 - Cells
Raw Score]],AVERAGE(tblY7[[7B01 - Cells
Raw Score]]),_xlfn.STDEV.P(tblY7[[7B01 - Cells
Raw Score]])),9),_Stanine,2),5),"")</f>
        <v>5</v>
      </c>
      <c r="P71" s="66" t="n">
        <v>20</v>
      </c>
      <c r="Q71" s="67">
        <f>IF(ISNUMBER(tblY7[[#This Row],[7C01 - Particles
Raw Score]]),IFERROR(VLOOKUP(ROUND(STANDARDIZE(tblY7[[#This Row],[7C01 - Particles
Raw Score]],AVERAGE(tblY7[[7C01 - Particles
Raw Score]]),_xlfn.STDEV.P(tblY7[[7C01 - Particles
Raw Score]])),9),_Stanine,2),5),"")</f>
        <v>6</v>
      </c>
      <c r="R71" s="66" t="n">
        <v>24</v>
      </c>
      <c r="S71" s="67">
        <f>IF(ISNUMBER(tblY7[[#This Row],[7P01 - Forces
Raw Score]]),IFERROR(VLOOKUP(ROUND(STANDARDIZE(tblY7[[#This Row],[7P01 - Forces
Raw Score]],AVERAGE(tblY7[[7P01 - Forces
Raw Score]]),_xlfn.STDEV.P(tblY7[[7P01 - Forces
Raw Score]])),9),_Stanine,2),5),"")</f>
        <v>6</v>
      </c>
      <c r="T71" s="66" t="n">
        <v>21</v>
      </c>
      <c r="U71" s="67">
        <f>IF(ISNUMBER(tblY7[[#This Row],[7B02 - Organ Systems
Raw Score]]),IFERROR(VLOOKUP(ROUND(STANDARDIZE(tblY7[[#This Row],[7B02 - Organ Systems
Raw Score]],AVERAGE(tblY7[[7B02 - Organ Systems
Raw Score]]),_xlfn.STDEV.P(tblY7[[7B02 - Organ Systems
Raw Score]])),9),_Stanine,2),5),"")</f>
        <v>6</v>
      </c>
    </row>
    <row r="72">
      <c r="A72" s="65" t="inlineStr">
        <is>
          <t>X904965168656</t>
        </is>
      </c>
      <c r="B72" s="65" t="inlineStr">
        <is>
          <t>Green</t>
        </is>
      </c>
      <c r="C72" s="65" t="inlineStr">
        <is>
          <t>Hannah</t>
        </is>
      </c>
      <c r="D72" s="66" t="inlineStr">
        <is>
          <t>F</t>
        </is>
      </c>
      <c r="E72" s="66" t="n"/>
      <c r="F72" s="66" t="inlineStr">
        <is>
          <t>N</t>
        </is>
      </c>
      <c r="G72" s="34" t="n">
        <v>100</v>
      </c>
      <c r="H72" s="34" t="n">
        <v>110</v>
      </c>
      <c r="I72" s="67">
        <f>IF(ISNUMBER(tblY7[[#This Row],[Avg KS2]]),IFERROR(VLOOKUP(ROUND(STANDARDIZE(tblY7[[#This Row],[Avg KS2]],AVERAGE(tblY7[[Avg KS2]]),_xlfn.STDEV.P(tblY7[[Avg KS2]])),9),_Stanine,2),5),"")</f>
        <v>6</v>
      </c>
      <c r="J72" s="66" t="inlineStr">
        <is>
          <t>7B/Sc1</t>
        </is>
      </c>
      <c r="K72" s="67">
        <f>IF(tblY7[[#This Row],[Preferred Last name]]="","",COUNTIFS($N$1:$ZZ$1,"*"&amp;CHAR(10)&amp;"Stanine",$N72:$ZZ72,"&gt;=1"))</f>
        <v>4</v>
      </c>
      <c r="L72" s="68">
        <f>IFERROR(AVERAGEIF($N$1:$ZZ$1,"*"&amp;CHAR(10)&amp;"Stanine",$N72:$ZZ72),"")</f>
        <v>5.5</v>
      </c>
      <c r="M72" s="69">
        <f>IF(AND(ISNUMBER(tblY7[[#This Row],[Mean Stanine]]),ISNUMBER(tblY7[[#This Row],[Avg KS2 Band]]),ISNUMBER(SlopeY7)),tblY7[[#This Row],[Mean Stanine]]-(InterceptY7+SlopeY7*tblY7[[#This Row],[Avg KS2 Band]]),"")</f>
        <v>-0.201975253428741</v>
      </c>
      <c r="N72" s="66" t="n">
        <v>14</v>
      </c>
      <c r="O72" s="67">
        <f>IF(ISNUMBER(tblY7[[#This Row],[7B01 - Cells
Raw Score]]),IFERROR(VLOOKUP(ROUND(STANDARDIZE(tblY7[[#This Row],[7B01 - Cells
Raw Score]],AVERAGE(tblY7[[7B01 - Cells
Raw Score]]),_xlfn.STDEV.P(tblY7[[7B01 - Cells
Raw Score]])),9),_Stanine,2),5),"")</f>
        <v>4</v>
      </c>
      <c r="P72" s="66" t="n">
        <v>20</v>
      </c>
      <c r="Q72" s="67">
        <f>IF(ISNUMBER(tblY7[[#This Row],[7C01 - Particles
Raw Score]]),IFERROR(VLOOKUP(ROUND(STANDARDIZE(tblY7[[#This Row],[7C01 - Particles
Raw Score]],AVERAGE(tblY7[[7C01 - Particles
Raw Score]]),_xlfn.STDEV.P(tblY7[[7C01 - Particles
Raw Score]])),9),_Stanine,2),5),"")</f>
        <v>6</v>
      </c>
      <c r="R72" s="66" t="n">
        <v>23</v>
      </c>
      <c r="S72" s="67">
        <f>IF(ISNUMBER(tblY7[[#This Row],[7P01 - Forces
Raw Score]]),IFERROR(VLOOKUP(ROUND(STANDARDIZE(tblY7[[#This Row],[7P01 - Forces
Raw Score]],AVERAGE(tblY7[[7P01 - Forces
Raw Score]]),_xlfn.STDEV.P(tblY7[[7P01 - Forces
Raw Score]])),9),_Stanine,2),5),"")</f>
        <v>6</v>
      </c>
      <c r="T72" s="66" t="n">
        <v>20</v>
      </c>
      <c r="U72" s="67">
        <f>IF(ISNUMBER(tblY7[[#This Row],[7B02 - Organ Systems
Raw Score]]),IFERROR(VLOOKUP(ROUND(STANDARDIZE(tblY7[[#This Row],[7B02 - Organ Systems
Raw Score]],AVERAGE(tblY7[[7B02 - Organ Systems
Raw Score]]),_xlfn.STDEV.P(tblY7[[7B02 - Organ Systems
Raw Score]])),9),_Stanine,2),5),"")</f>
        <v>6</v>
      </c>
    </row>
    <row r="73">
      <c r="A73" s="65" t="inlineStr">
        <is>
          <t>X901853220911</t>
        </is>
      </c>
      <c r="B73" s="65" t="inlineStr">
        <is>
          <t>Hall</t>
        </is>
      </c>
      <c r="C73" s="65" t="inlineStr">
        <is>
          <t>Sophie</t>
        </is>
      </c>
      <c r="D73" s="66" t="inlineStr">
        <is>
          <t>M</t>
        </is>
      </c>
      <c r="E73" s="66" t="inlineStr">
        <is>
          <t>K</t>
        </is>
      </c>
      <c r="F73" s="66" t="inlineStr">
        <is>
          <t>N</t>
        </is>
      </c>
      <c r="G73" s="34" t="n">
        <v>82.8</v>
      </c>
      <c r="H73" s="34" t="n">
        <v>103.5</v>
      </c>
      <c r="I73" s="67">
        <f>IF(ISNUMBER(tblY7[[#This Row],[Avg KS2]]),IFERROR(VLOOKUP(ROUND(STANDARDIZE(tblY7[[#This Row],[Avg KS2]],AVERAGE(tblY7[[Avg KS2]]),_xlfn.STDEV.P(tblY7[[Avg KS2]])),9),_Stanine,2),5),"")</f>
        <v>4</v>
      </c>
      <c r="J73" s="66" t="inlineStr">
        <is>
          <t>7B/Sc1</t>
        </is>
      </c>
      <c r="K73" s="67">
        <f>IF(tblY7[[#This Row],[Preferred Last name]]="","",COUNTIFS($N$1:$ZZ$1,"*"&amp;CHAR(10)&amp;"Stanine",$N73:$ZZ73,"&gt;=1"))</f>
        <v>4</v>
      </c>
      <c r="L73" s="68">
        <f>IFERROR(AVERAGEIF($N$1:$ZZ$1,"*"&amp;CHAR(10)&amp;"Stanine",$N73:$ZZ73),"")</f>
        <v>5</v>
      </c>
      <c r="M73" s="69">
        <f>IF(AND(ISNUMBER(tblY7[[#This Row],[Mean Stanine]]),ISNUMBER(tblY7[[#This Row],[Avg KS2 Band]]),ISNUMBER(SlopeY7)),tblY7[[#This Row],[Mean Stanine]]-(InterceptY7+SlopeY7*tblY7[[#This Row],[Avg KS2 Band]]),"")</f>
        <v>0.686590638044127</v>
      </c>
      <c r="N73" s="66" t="n">
        <v>16</v>
      </c>
      <c r="O73" s="67">
        <f>IF(ISNUMBER(tblY7[[#This Row],[7B01 - Cells
Raw Score]]),IFERROR(VLOOKUP(ROUND(STANDARDIZE(tblY7[[#This Row],[7B01 - Cells
Raw Score]],AVERAGE(tblY7[[7B01 - Cells
Raw Score]]),_xlfn.STDEV.P(tblY7[[7B01 - Cells
Raw Score]])),9),_Stanine,2),5),"")</f>
        <v>5</v>
      </c>
      <c r="P73" s="66" t="n">
        <v>18</v>
      </c>
      <c r="Q73" s="67">
        <f>IF(ISNUMBER(tblY7[[#This Row],[7C01 - Particles
Raw Score]]),IFERROR(VLOOKUP(ROUND(STANDARDIZE(tblY7[[#This Row],[7C01 - Particles
Raw Score]],AVERAGE(tblY7[[7C01 - Particles
Raw Score]]),_xlfn.STDEV.P(tblY7[[7C01 - Particles
Raw Score]])),9),_Stanine,2),5),"")</f>
        <v>5</v>
      </c>
      <c r="R73" s="66" t="n">
        <v>23</v>
      </c>
      <c r="S73" s="67">
        <f>IF(ISNUMBER(tblY7[[#This Row],[7P01 - Forces
Raw Score]]),IFERROR(VLOOKUP(ROUND(STANDARDIZE(tblY7[[#This Row],[7P01 - Forces
Raw Score]],AVERAGE(tblY7[[7P01 - Forces
Raw Score]]),_xlfn.STDEV.P(tblY7[[7P01 - Forces
Raw Score]])),9),_Stanine,2),5),"")</f>
        <v>6</v>
      </c>
      <c r="T73" s="66" t="n">
        <v>15</v>
      </c>
      <c r="U73" s="67">
        <f>IF(ISNUMBER(tblY7[[#This Row],[7B02 - Organ Systems
Raw Score]]),IFERROR(VLOOKUP(ROUND(STANDARDIZE(tblY7[[#This Row],[7B02 - Organ Systems
Raw Score]],AVERAGE(tblY7[[7B02 - Organ Systems
Raw Score]]),_xlfn.STDEV.P(tblY7[[7B02 - Organ Systems
Raw Score]])),9),_Stanine,2),5),"")</f>
        <v>4</v>
      </c>
    </row>
    <row r="74">
      <c r="A74" s="65" t="inlineStr">
        <is>
          <t>X900421540137</t>
        </is>
      </c>
      <c r="B74" s="65" t="inlineStr">
        <is>
          <t>Jackson</t>
        </is>
      </c>
      <c r="C74" s="65" t="inlineStr">
        <is>
          <t>Layla</t>
        </is>
      </c>
      <c r="D74" s="66" t="inlineStr">
        <is>
          <t>F</t>
        </is>
      </c>
      <c r="E74" s="66" t="inlineStr">
        <is>
          <t>K</t>
        </is>
      </c>
      <c r="F74" s="66" t="inlineStr">
        <is>
          <t>N</t>
        </is>
      </c>
      <c r="G74" s="34" t="n">
        <v>89.7</v>
      </c>
      <c r="H74" s="34" t="n">
        <v>108</v>
      </c>
      <c r="I74" s="67">
        <f>IF(ISNUMBER(tblY7[[#This Row],[Avg KS2]]),IFERROR(VLOOKUP(ROUND(STANDARDIZE(tblY7[[#This Row],[Avg KS2]],AVERAGE(tblY7[[Avg KS2]]),_xlfn.STDEV.P(tblY7[[Avg KS2]])),9),_Stanine,2),5),"")</f>
        <v>5</v>
      </c>
      <c r="J74" s="66" t="inlineStr">
        <is>
          <t>7B/Sc1</t>
        </is>
      </c>
      <c r="K74" s="67">
        <f>IF(tblY7[[#This Row],[Preferred Last name]]="","",COUNTIFS($N$1:$ZZ$1,"*"&amp;CHAR(10)&amp;"Stanine",$N74:$ZZ74,"&gt;=1"))</f>
        <v>4</v>
      </c>
      <c r="L74" s="68">
        <f>IFERROR(AVERAGEIF($N$1:$ZZ$1,"*"&amp;CHAR(10)&amp;"Stanine",$N74:$ZZ74),"")</f>
        <v>4</v>
      </c>
      <c r="M74" s="69">
        <f>IF(AND(ISNUMBER(tblY7[[#This Row],[Mean Stanine]]),ISNUMBER(tblY7[[#This Row],[Avg KS2 Band]]),ISNUMBER(SlopeY7)),tblY7[[#This Row],[Mean Stanine]]-(InterceptY7+SlopeY7*tblY7[[#This Row],[Avg KS2 Band]]),"")</f>
        <v>-1.00769230769231</v>
      </c>
      <c r="N74" s="66" t="n">
        <v>15</v>
      </c>
      <c r="O74" s="67">
        <f>IF(ISNUMBER(tblY7[[#This Row],[7B01 - Cells
Raw Score]]),IFERROR(VLOOKUP(ROUND(STANDARDIZE(tblY7[[#This Row],[7B01 - Cells
Raw Score]],AVERAGE(tblY7[[7B01 - Cells
Raw Score]]),_xlfn.STDEV.P(tblY7[[7B01 - Cells
Raw Score]])),9),_Stanine,2),5),"")</f>
        <v>4</v>
      </c>
      <c r="P74" s="66" t="n">
        <v>17</v>
      </c>
      <c r="Q74" s="67">
        <f>IF(ISNUMBER(tblY7[[#This Row],[7C01 - Particles
Raw Score]]),IFERROR(VLOOKUP(ROUND(STANDARDIZE(tblY7[[#This Row],[7C01 - Particles
Raw Score]],AVERAGE(tblY7[[7C01 - Particles
Raw Score]]),_xlfn.STDEV.P(tblY7[[7C01 - Particles
Raw Score]])),9),_Stanine,2),5),"")</f>
        <v>4</v>
      </c>
      <c r="R74" s="66" t="n">
        <v>20</v>
      </c>
      <c r="S74" s="67">
        <f>IF(ISNUMBER(tblY7[[#This Row],[7P01 - Forces
Raw Score]]),IFERROR(VLOOKUP(ROUND(STANDARDIZE(tblY7[[#This Row],[7P01 - Forces
Raw Score]],AVERAGE(tblY7[[7P01 - Forces
Raw Score]]),_xlfn.STDEV.P(tblY7[[7P01 - Forces
Raw Score]])),9),_Stanine,2),5),"")</f>
        <v>4</v>
      </c>
      <c r="T74" s="66" t="n">
        <v>14</v>
      </c>
      <c r="U74" s="67">
        <f>IF(ISNUMBER(tblY7[[#This Row],[7B02 - Organ Systems
Raw Score]]),IFERROR(VLOOKUP(ROUND(STANDARDIZE(tblY7[[#This Row],[7B02 - Organ Systems
Raw Score]],AVERAGE(tblY7[[7B02 - Organ Systems
Raw Score]]),_xlfn.STDEV.P(tblY7[[7B02 - Organ Systems
Raw Score]])),9),_Stanine,2),5),"")</f>
        <v>4</v>
      </c>
    </row>
    <row r="75">
      <c r="A75" s="65" t="inlineStr">
        <is>
          <t>X901152165745</t>
        </is>
      </c>
      <c r="B75" s="65" t="inlineStr">
        <is>
          <t>Johnson</t>
        </is>
      </c>
      <c r="C75" s="65" t="inlineStr">
        <is>
          <t>Alfie</t>
        </is>
      </c>
      <c r="D75" s="66" t="inlineStr">
        <is>
          <t>F</t>
        </is>
      </c>
      <c r="E75" s="66" t="inlineStr">
        <is>
          <t>N</t>
        </is>
      </c>
      <c r="F75" s="66" t="inlineStr">
        <is>
          <t>N</t>
        </is>
      </c>
      <c r="G75" s="34" t="n">
        <v>90.09999999999999</v>
      </c>
      <c r="H75" s="34" t="n">
        <v>103</v>
      </c>
      <c r="I75" s="67">
        <f>IF(ISNUMBER(tblY7[[#This Row],[Avg KS2]]),IFERROR(VLOOKUP(ROUND(STANDARDIZE(tblY7[[#This Row],[Avg KS2]],AVERAGE(tblY7[[Avg KS2]]),_xlfn.STDEV.P(tblY7[[Avg KS2]])),9),_Stanine,2),5),"")</f>
        <v>3</v>
      </c>
      <c r="J75" s="66" t="inlineStr">
        <is>
          <t>7B/Sc1</t>
        </is>
      </c>
      <c r="K75" s="67">
        <f>IF(tblY7[[#This Row],[Preferred Last name]]="","",COUNTIFS($N$1:$ZZ$1,"*"&amp;CHAR(10)&amp;"Stanine",$N75:$ZZ75,"&gt;=1"))</f>
        <v>4</v>
      </c>
      <c r="L75" s="68">
        <f>IFERROR(AVERAGEIF($N$1:$ZZ$1,"*"&amp;CHAR(10)&amp;"Stanine",$N75:$ZZ75),"")</f>
        <v>5.75</v>
      </c>
      <c r="M75" s="69">
        <f>IF(AND(ISNUMBER(tblY7[[#This Row],[Mean Stanine]]),ISNUMBER(tblY7[[#This Row],[Avg KS2 Band]]),ISNUMBER(SlopeY7)),tblY7[[#This Row],[Mean Stanine]]-(InterceptY7+SlopeY7*tblY7[[#This Row],[Avg KS2 Band]]),"")</f>
        <v>2.13087358378056</v>
      </c>
      <c r="N75" s="66" t="n">
        <v>21</v>
      </c>
      <c r="O75" s="67">
        <f>IF(ISNUMBER(tblY7[[#This Row],[7B01 - Cells
Raw Score]]),IFERROR(VLOOKUP(ROUND(STANDARDIZE(tblY7[[#This Row],[7B01 - Cells
Raw Score]],AVERAGE(tblY7[[7B01 - Cells
Raw Score]]),_xlfn.STDEV.P(tblY7[[7B01 - Cells
Raw Score]])),9),_Stanine,2),5),"")</f>
        <v>6</v>
      </c>
      <c r="P75" s="66" t="n">
        <v>21</v>
      </c>
      <c r="Q75" s="67">
        <f>IF(ISNUMBER(tblY7[[#This Row],[7C01 - Particles
Raw Score]]),IFERROR(VLOOKUP(ROUND(STANDARDIZE(tblY7[[#This Row],[7C01 - Particles
Raw Score]],AVERAGE(tblY7[[7C01 - Particles
Raw Score]]),_xlfn.STDEV.P(tblY7[[7C01 - Particles
Raw Score]])),9),_Stanine,2),5),"")</f>
        <v>6</v>
      </c>
      <c r="R75" s="66" t="n">
        <v>25</v>
      </c>
      <c r="S75" s="67">
        <f>IF(ISNUMBER(tblY7[[#This Row],[7P01 - Forces
Raw Score]]),IFERROR(VLOOKUP(ROUND(STANDARDIZE(tblY7[[#This Row],[7P01 - Forces
Raw Score]],AVERAGE(tblY7[[7P01 - Forces
Raw Score]]),_xlfn.STDEV.P(tblY7[[7P01 - Forces
Raw Score]])),9),_Stanine,2),5),"")</f>
        <v>6</v>
      </c>
      <c r="T75" s="66" t="n">
        <v>17</v>
      </c>
      <c r="U75" s="67">
        <f>IF(ISNUMBER(tblY7[[#This Row],[7B02 - Organ Systems
Raw Score]]),IFERROR(VLOOKUP(ROUND(STANDARDIZE(tblY7[[#This Row],[7B02 - Organ Systems
Raw Score]],AVERAGE(tblY7[[7B02 - Organ Systems
Raw Score]]),_xlfn.STDEV.P(tblY7[[7B02 - Organ Systems
Raw Score]])),9),_Stanine,2),5),"")</f>
        <v>5</v>
      </c>
    </row>
    <row r="76">
      <c r="A76" s="65" t="inlineStr">
        <is>
          <t>X909125482538</t>
        </is>
      </c>
      <c r="B76" s="65" t="inlineStr">
        <is>
          <t>Mistry</t>
        </is>
      </c>
      <c r="C76" s="65" t="inlineStr">
        <is>
          <t>Ethan</t>
        </is>
      </c>
      <c r="D76" s="66" t="inlineStr">
        <is>
          <t>F</t>
        </is>
      </c>
      <c r="E76" s="66" t="n"/>
      <c r="F76" s="66" t="inlineStr">
        <is>
          <t>Y</t>
        </is>
      </c>
      <c r="G76" s="34" t="n">
        <v>90</v>
      </c>
      <c r="H76" s="34" t="n">
        <v>111</v>
      </c>
      <c r="I76" s="67">
        <f>IF(ISNUMBER(tblY7[[#This Row],[Avg KS2]]),IFERROR(VLOOKUP(ROUND(STANDARDIZE(tblY7[[#This Row],[Avg KS2]],AVERAGE(tblY7[[Avg KS2]]),_xlfn.STDEV.P(tblY7[[Avg KS2]])),9),_Stanine,2),5),"")</f>
        <v>7</v>
      </c>
      <c r="J76" s="66" t="inlineStr">
        <is>
          <t>7B/Sc1</t>
        </is>
      </c>
      <c r="K76" s="67">
        <f>IF(tblY7[[#This Row],[Preferred Last name]]="","",COUNTIFS($N$1:$ZZ$1,"*"&amp;CHAR(10)&amp;"Stanine",$N76:$ZZ76,"&gt;=1"))</f>
        <v>4</v>
      </c>
      <c r="L76" s="68">
        <f>IFERROR(AVERAGEIF($N$1:$ZZ$1,"*"&amp;CHAR(10)&amp;"Stanine",$N76:$ZZ76),"")</f>
        <v>7.25</v>
      </c>
      <c r="M76" s="69">
        <f>IF(AND(ISNUMBER(tblY7[[#This Row],[Mean Stanine]]),ISNUMBER(tblY7[[#This Row],[Avg KS2 Band]]),ISNUMBER(SlopeY7)),tblY7[[#This Row],[Mean Stanine]]-(InterceptY7+SlopeY7*tblY7[[#This Row],[Avg KS2 Band]]),"")</f>
        <v>0.853741800834825</v>
      </c>
      <c r="N76" s="66" t="n">
        <v>24</v>
      </c>
      <c r="O76" s="67">
        <f>IF(ISNUMBER(tblY7[[#This Row],[7B01 - Cells
Raw Score]]),IFERROR(VLOOKUP(ROUND(STANDARDIZE(tblY7[[#This Row],[7B01 - Cells
Raw Score]],AVERAGE(tblY7[[7B01 - Cells
Raw Score]]),_xlfn.STDEV.P(tblY7[[7B01 - Cells
Raw Score]])),9),_Stanine,2),5),"")</f>
        <v>7</v>
      </c>
      <c r="P76" s="66" t="n">
        <v>23</v>
      </c>
      <c r="Q76" s="67">
        <f>IF(ISNUMBER(tblY7[[#This Row],[7C01 - Particles
Raw Score]]),IFERROR(VLOOKUP(ROUND(STANDARDIZE(tblY7[[#This Row],[7C01 - Particles
Raw Score]],AVERAGE(tblY7[[7C01 - Particles
Raw Score]]),_xlfn.STDEV.P(tblY7[[7C01 - Particles
Raw Score]])),9),_Stanine,2),5),"")</f>
        <v>7</v>
      </c>
      <c r="R76" s="66" t="n">
        <v>28</v>
      </c>
      <c r="S76" s="67">
        <f>IF(ISNUMBER(tblY7[[#This Row],[7P01 - Forces
Raw Score]]),IFERROR(VLOOKUP(ROUND(STANDARDIZE(tblY7[[#This Row],[7P01 - Forces
Raw Score]],AVERAGE(tblY7[[7P01 - Forces
Raw Score]]),_xlfn.STDEV.P(tblY7[[7P01 - Forces
Raw Score]])),9),_Stanine,2),5),"")</f>
        <v>8</v>
      </c>
      <c r="T76" s="66" t="n">
        <v>24</v>
      </c>
      <c r="U76" s="67">
        <f>IF(ISNUMBER(tblY7[[#This Row],[7B02 - Organ Systems
Raw Score]]),IFERROR(VLOOKUP(ROUND(STANDARDIZE(tblY7[[#This Row],[7B02 - Organ Systems
Raw Score]],AVERAGE(tblY7[[7B02 - Organ Systems
Raw Score]]),_xlfn.STDEV.P(tblY7[[7B02 - Organ Systems
Raw Score]])),9),_Stanine,2),5),"")</f>
        <v>7</v>
      </c>
    </row>
    <row r="77">
      <c r="A77" s="65" t="inlineStr">
        <is>
          <t>X901596061819</t>
        </is>
      </c>
      <c r="B77" s="65" t="inlineStr">
        <is>
          <t>Morgan</t>
        </is>
      </c>
      <c r="C77" s="65" t="inlineStr">
        <is>
          <t>Rhys</t>
        </is>
      </c>
      <c r="D77" s="66" t="inlineStr">
        <is>
          <t>F</t>
        </is>
      </c>
      <c r="E77" s="66" t="inlineStr">
        <is>
          <t>N</t>
        </is>
      </c>
      <c r="F77" s="66" t="inlineStr">
        <is>
          <t>Y</t>
        </is>
      </c>
      <c r="G77" s="34" t="n">
        <v>83.2</v>
      </c>
      <c r="H77" s="34" t="n">
        <v>111.5</v>
      </c>
      <c r="I77" s="67">
        <f>IF(ISNUMBER(tblY7[[#This Row],[Avg KS2]]),IFERROR(VLOOKUP(ROUND(STANDARDIZE(tblY7[[#This Row],[Avg KS2]],AVERAGE(tblY7[[Avg KS2]]),_xlfn.STDEV.P(tblY7[[Avg KS2]])),9),_Stanine,2),5),"")</f>
        <v>7</v>
      </c>
      <c r="J77" s="66" t="inlineStr">
        <is>
          <t>7B/Sc1</t>
        </is>
      </c>
      <c r="K77" s="67">
        <f>IF(tblY7[[#This Row],[Preferred Last name]]="","",COUNTIFS($N$1:$ZZ$1,"*"&amp;CHAR(10)&amp;"Stanine",$N77:$ZZ77,"&gt;=1"))</f>
        <v>4</v>
      </c>
      <c r="L77" s="68">
        <f>IFERROR(AVERAGEIF($N$1:$ZZ$1,"*"&amp;CHAR(10)&amp;"Stanine",$N77:$ZZ77),"")</f>
        <v>7.75</v>
      </c>
      <c r="M77" s="69">
        <f>IF(AND(ISNUMBER(tblY7[[#This Row],[Mean Stanine]]),ISNUMBER(tblY7[[#This Row],[Avg KS2 Band]]),ISNUMBER(SlopeY7)),tblY7[[#This Row],[Mean Stanine]]-(InterceptY7+SlopeY7*tblY7[[#This Row],[Avg KS2 Band]]),"")</f>
        <v>1.35374180083482</v>
      </c>
      <c r="N77" s="66" t="n">
        <v>24</v>
      </c>
      <c r="O77" s="67">
        <f>IF(ISNUMBER(tblY7[[#This Row],[7B01 - Cells
Raw Score]]),IFERROR(VLOOKUP(ROUND(STANDARDIZE(tblY7[[#This Row],[7B01 - Cells
Raw Score]],AVERAGE(tblY7[[7B01 - Cells
Raw Score]]),_xlfn.STDEV.P(tblY7[[7B01 - Cells
Raw Score]])),9),_Stanine,2),5),"")</f>
        <v>7</v>
      </c>
      <c r="P77" s="66" t="n">
        <v>24</v>
      </c>
      <c r="Q77" s="67">
        <f>IF(ISNUMBER(tblY7[[#This Row],[7C01 - Particles
Raw Score]]),IFERROR(VLOOKUP(ROUND(STANDARDIZE(tblY7[[#This Row],[7C01 - Particles
Raw Score]],AVERAGE(tblY7[[7C01 - Particles
Raw Score]]),_xlfn.STDEV.P(tblY7[[7C01 - Particles
Raw Score]])),9),_Stanine,2),5),"")</f>
        <v>8</v>
      </c>
      <c r="R77" s="66" t="n">
        <v>28</v>
      </c>
      <c r="S77" s="67">
        <f>IF(ISNUMBER(tblY7[[#This Row],[7P01 - Forces
Raw Score]]),IFERROR(VLOOKUP(ROUND(STANDARDIZE(tblY7[[#This Row],[7P01 - Forces
Raw Score]],AVERAGE(tblY7[[7P01 - Forces
Raw Score]]),_xlfn.STDEV.P(tblY7[[7P01 - Forces
Raw Score]])),9),_Stanine,2),5),"")</f>
        <v>8</v>
      </c>
      <c r="T77" s="66" t="n">
        <v>25</v>
      </c>
      <c r="U77" s="67">
        <f>IF(ISNUMBER(tblY7[[#This Row],[7B02 - Organ Systems
Raw Score]]),IFERROR(VLOOKUP(ROUND(STANDARDIZE(tblY7[[#This Row],[7B02 - Organ Systems
Raw Score]],AVERAGE(tblY7[[7B02 - Organ Systems
Raw Score]]),_xlfn.STDEV.P(tblY7[[7B02 - Organ Systems
Raw Score]])),9),_Stanine,2),5),"")</f>
        <v>8</v>
      </c>
    </row>
    <row r="78">
      <c r="A78" s="65" t="inlineStr">
        <is>
          <t>X908079004286</t>
        </is>
      </c>
      <c r="B78" s="65" t="inlineStr">
        <is>
          <t>Nowak</t>
        </is>
      </c>
      <c r="C78" s="65" t="inlineStr">
        <is>
          <t>Noah</t>
        </is>
      </c>
      <c r="D78" s="66" t="inlineStr">
        <is>
          <t>F</t>
        </is>
      </c>
      <c r="E78" s="66" t="n"/>
      <c r="F78" s="66" t="inlineStr">
        <is>
          <t>N</t>
        </is>
      </c>
      <c r="G78" s="34" t="n">
        <v>100</v>
      </c>
      <c r="H78" s="34" t="n">
        <v>98</v>
      </c>
      <c r="I78" s="67">
        <f>IF(ISNUMBER(tblY7[[#This Row],[Avg KS2]]),IFERROR(VLOOKUP(ROUND(STANDARDIZE(tblY7[[#This Row],[Avg KS2]],AVERAGE(tblY7[[Avg KS2]]),_xlfn.STDEV.P(tblY7[[Avg KS2]])),9),_Stanine,2),5),"")</f>
        <v>2</v>
      </c>
      <c r="J78" s="66" t="inlineStr">
        <is>
          <t>7B/Sc1</t>
        </is>
      </c>
      <c r="K78" s="67">
        <f>IF(tblY7[[#This Row],[Preferred Last name]]="","",COUNTIFS($N$1:$ZZ$1,"*"&amp;CHAR(10)&amp;"Stanine",$N78:$ZZ78,"&gt;=1"))</f>
        <v>4</v>
      </c>
      <c r="L78" s="68">
        <f>IFERROR(AVERAGEIF($N$1:$ZZ$1,"*"&amp;CHAR(10)&amp;"Stanine",$N78:$ZZ78),"")</f>
        <v>6.75</v>
      </c>
      <c r="M78" s="69">
        <f>IF(AND(ISNUMBER(tblY7[[#This Row],[Mean Stanine]]),ISNUMBER(tblY7[[#This Row],[Avg KS2 Band]]),ISNUMBER(SlopeY7)),tblY7[[#This Row],[Mean Stanine]]-(InterceptY7+SlopeY7*tblY7[[#This Row],[Avg KS2 Band]]),"")</f>
        <v>3.82515652951699</v>
      </c>
      <c r="N78" s="66" t="n">
        <v>23</v>
      </c>
      <c r="O78" s="67">
        <f>IF(ISNUMBER(tblY7[[#This Row],[7B01 - Cells
Raw Score]]),IFERROR(VLOOKUP(ROUND(STANDARDIZE(tblY7[[#This Row],[7B01 - Cells
Raw Score]],AVERAGE(tblY7[[7B01 - Cells
Raw Score]]),_xlfn.STDEV.P(tblY7[[7B01 - Cells
Raw Score]])),9),_Stanine,2),5),"")</f>
        <v>7</v>
      </c>
      <c r="P78" s="66" t="n">
        <v>22</v>
      </c>
      <c r="Q78" s="67">
        <f>IF(ISNUMBER(tblY7[[#This Row],[7C01 - Particles
Raw Score]]),IFERROR(VLOOKUP(ROUND(STANDARDIZE(tblY7[[#This Row],[7C01 - Particles
Raw Score]],AVERAGE(tblY7[[7C01 - Particles
Raw Score]]),_xlfn.STDEV.P(tblY7[[7C01 - Particles
Raw Score]])),9),_Stanine,2),5),"")</f>
        <v>7</v>
      </c>
      <c r="R78" s="66" t="n">
        <v>23</v>
      </c>
      <c r="S78" s="67">
        <f>IF(ISNUMBER(tblY7[[#This Row],[7P01 - Forces
Raw Score]]),IFERROR(VLOOKUP(ROUND(STANDARDIZE(tblY7[[#This Row],[7P01 - Forces
Raw Score]],AVERAGE(tblY7[[7P01 - Forces
Raw Score]]),_xlfn.STDEV.P(tblY7[[7P01 - Forces
Raw Score]])),9),_Stanine,2),5),"")</f>
        <v>6</v>
      </c>
      <c r="T78" s="66" t="n">
        <v>24</v>
      </c>
      <c r="U78" s="67">
        <f>IF(ISNUMBER(tblY7[[#This Row],[7B02 - Organ Systems
Raw Score]]),IFERROR(VLOOKUP(ROUND(STANDARDIZE(tblY7[[#This Row],[7B02 - Organ Systems
Raw Score]],AVERAGE(tblY7[[7B02 - Organ Systems
Raw Score]]),_xlfn.STDEV.P(tblY7[[7B02 - Organ Systems
Raw Score]])),9),_Stanine,2),5),"")</f>
        <v>7</v>
      </c>
    </row>
    <row r="79">
      <c r="A79" s="65" t="inlineStr">
        <is>
          <t>X902771802504</t>
        </is>
      </c>
      <c r="B79" s="65" t="inlineStr">
        <is>
          <t>Nowak</t>
        </is>
      </c>
      <c r="C79" s="65" t="inlineStr">
        <is>
          <t>Theo</t>
        </is>
      </c>
      <c r="D79" s="66" t="inlineStr">
        <is>
          <t>F</t>
        </is>
      </c>
      <c r="E79" s="66" t="inlineStr">
        <is>
          <t>N</t>
        </is>
      </c>
      <c r="F79" s="66" t="inlineStr">
        <is>
          <t>N</t>
        </is>
      </c>
      <c r="G79" s="34" t="n">
        <v>84.90000000000001</v>
      </c>
      <c r="H79" s="34" t="n">
        <v>106.5</v>
      </c>
      <c r="I79" s="67">
        <f>IF(ISNUMBER(tblY7[[#This Row],[Avg KS2]]),IFERROR(VLOOKUP(ROUND(STANDARDIZE(tblY7[[#This Row],[Avg KS2]],AVERAGE(tblY7[[Avg KS2]]),_xlfn.STDEV.P(tblY7[[Avg KS2]])),9),_Stanine,2),5),"")</f>
        <v>5</v>
      </c>
      <c r="J79" s="66" t="inlineStr">
        <is>
          <t>7B/Sc1</t>
        </is>
      </c>
      <c r="K79" s="67">
        <f>IF(tblY7[[#This Row],[Preferred Last name]]="","",COUNTIFS($N$1:$ZZ$1,"*"&amp;CHAR(10)&amp;"Stanine",$N79:$ZZ79,"&gt;=1"))</f>
        <v>4</v>
      </c>
      <c r="L79" s="68">
        <f>IFERROR(AVERAGEIF($N$1:$ZZ$1,"*"&amp;CHAR(10)&amp;"Stanine",$N79:$ZZ79),"")</f>
        <v>6</v>
      </c>
      <c r="M79" s="69">
        <f>IF(AND(ISNUMBER(tblY7[[#This Row],[Mean Stanine]]),ISNUMBER(tblY7[[#This Row],[Avg KS2 Band]]),ISNUMBER(SlopeY7)),tblY7[[#This Row],[Mean Stanine]]-(InterceptY7+SlopeY7*tblY7[[#This Row],[Avg KS2 Band]]),"")</f>
        <v>0.992307692307692</v>
      </c>
      <c r="N79" s="66" t="n">
        <v>19</v>
      </c>
      <c r="O79" s="67">
        <f>IF(ISNUMBER(tblY7[[#This Row],[7B01 - Cells
Raw Score]]),IFERROR(VLOOKUP(ROUND(STANDARDIZE(tblY7[[#This Row],[7B01 - Cells
Raw Score]],AVERAGE(tblY7[[7B01 - Cells
Raw Score]]),_xlfn.STDEV.P(tblY7[[7B01 - Cells
Raw Score]])),9),_Stanine,2),5),"")</f>
        <v>5</v>
      </c>
      <c r="P79" s="66" t="n">
        <v>21</v>
      </c>
      <c r="Q79" s="67">
        <f>IF(ISNUMBER(tblY7[[#This Row],[7C01 - Particles
Raw Score]]),IFERROR(VLOOKUP(ROUND(STANDARDIZE(tblY7[[#This Row],[7C01 - Particles
Raw Score]],AVERAGE(tblY7[[7C01 - Particles
Raw Score]]),_xlfn.STDEV.P(tblY7[[7C01 - Particles
Raw Score]])),9),_Stanine,2),5),"")</f>
        <v>6</v>
      </c>
      <c r="R79" s="66" t="n">
        <v>27</v>
      </c>
      <c r="S79" s="67">
        <f>IF(ISNUMBER(tblY7[[#This Row],[7P01 - Forces
Raw Score]]),IFERROR(VLOOKUP(ROUND(STANDARDIZE(tblY7[[#This Row],[7P01 - Forces
Raw Score]],AVERAGE(tblY7[[7P01 - Forces
Raw Score]]),_xlfn.STDEV.P(tblY7[[7P01 - Forces
Raw Score]])),9),_Stanine,2),5),"")</f>
        <v>7</v>
      </c>
      <c r="T79" s="66" t="n">
        <v>20</v>
      </c>
      <c r="U79" s="67">
        <f>IF(ISNUMBER(tblY7[[#This Row],[7B02 - Organ Systems
Raw Score]]),IFERROR(VLOOKUP(ROUND(STANDARDIZE(tblY7[[#This Row],[7B02 - Organ Systems
Raw Score]],AVERAGE(tblY7[[7B02 - Organ Systems
Raw Score]]),_xlfn.STDEV.P(tblY7[[7B02 - Organ Systems
Raw Score]])),9),_Stanine,2),5),"")</f>
        <v>6</v>
      </c>
    </row>
    <row r="80">
      <c r="A80" s="65" t="inlineStr">
        <is>
          <t>X908877632318</t>
        </is>
      </c>
      <c r="B80" s="65" t="inlineStr">
        <is>
          <t>Patel</t>
        </is>
      </c>
      <c r="C80" s="65" t="inlineStr">
        <is>
          <t>Finley</t>
        </is>
      </c>
      <c r="D80" s="66" t="inlineStr">
        <is>
          <t>M</t>
        </is>
      </c>
      <c r="E80" s="66" t="inlineStr">
        <is>
          <t>K</t>
        </is>
      </c>
      <c r="F80" s="66" t="inlineStr">
        <is>
          <t>Y</t>
        </is>
      </c>
      <c r="G80" s="34" t="n">
        <v>96.5</v>
      </c>
      <c r="H80" s="34" t="n">
        <v>106.5</v>
      </c>
      <c r="I80" s="67">
        <f>IF(ISNUMBER(tblY7[[#This Row],[Avg KS2]]),IFERROR(VLOOKUP(ROUND(STANDARDIZE(tblY7[[#This Row],[Avg KS2]],AVERAGE(tblY7[[Avg KS2]]),_xlfn.STDEV.P(tblY7[[Avg KS2]])),9),_Stanine,2),5),"")</f>
        <v>5</v>
      </c>
      <c r="J80" s="66" t="inlineStr">
        <is>
          <t>7B/Sc1</t>
        </is>
      </c>
      <c r="K80" s="67">
        <f>IF(tblY7[[#This Row],[Preferred Last name]]="","",COUNTIFS($N$1:$ZZ$1,"*"&amp;CHAR(10)&amp;"Stanine",$N80:$ZZ80,"&gt;=1"))</f>
        <v>4</v>
      </c>
      <c r="L80" s="68">
        <f>IFERROR(AVERAGEIF($N$1:$ZZ$1,"*"&amp;CHAR(10)&amp;"Stanine",$N80:$ZZ80),"")</f>
        <v>5</v>
      </c>
      <c r="M80" s="69">
        <f>IF(AND(ISNUMBER(tblY7[[#This Row],[Mean Stanine]]),ISNUMBER(tblY7[[#This Row],[Avg KS2 Band]]),ISNUMBER(SlopeY7)),tblY7[[#This Row],[Mean Stanine]]-(InterceptY7+SlopeY7*tblY7[[#This Row],[Avg KS2 Band]]),"")</f>
        <v>-0.00769230769230767</v>
      </c>
      <c r="N80" s="66" t="n">
        <v>17</v>
      </c>
      <c r="O80" s="67">
        <f>IF(ISNUMBER(tblY7[[#This Row],[7B01 - Cells
Raw Score]]),IFERROR(VLOOKUP(ROUND(STANDARDIZE(tblY7[[#This Row],[7B01 - Cells
Raw Score]],AVERAGE(tblY7[[7B01 - Cells
Raw Score]]),_xlfn.STDEV.P(tblY7[[7B01 - Cells
Raw Score]])),9),_Stanine,2),5),"")</f>
        <v>5</v>
      </c>
      <c r="P80" s="66" t="n">
        <v>16</v>
      </c>
      <c r="Q80" s="67">
        <f>IF(ISNUMBER(tblY7[[#This Row],[7C01 - Particles
Raw Score]]),IFERROR(VLOOKUP(ROUND(STANDARDIZE(tblY7[[#This Row],[7C01 - Particles
Raw Score]],AVERAGE(tblY7[[7C01 - Particles
Raw Score]]),_xlfn.STDEV.P(tblY7[[7C01 - Particles
Raw Score]])),9),_Stanine,2),5),"")</f>
        <v>4</v>
      </c>
      <c r="R80" s="66" t="n">
        <v>23</v>
      </c>
      <c r="S80" s="67">
        <f>IF(ISNUMBER(tblY7[[#This Row],[7P01 - Forces
Raw Score]]),IFERROR(VLOOKUP(ROUND(STANDARDIZE(tblY7[[#This Row],[7P01 - Forces
Raw Score]],AVERAGE(tblY7[[7P01 - Forces
Raw Score]]),_xlfn.STDEV.P(tblY7[[7P01 - Forces
Raw Score]])),9),_Stanine,2),5),"")</f>
        <v>6</v>
      </c>
      <c r="T80" s="66" t="n">
        <v>17</v>
      </c>
      <c r="U80" s="67">
        <f>IF(ISNUMBER(tblY7[[#This Row],[7B02 - Organ Systems
Raw Score]]),IFERROR(VLOOKUP(ROUND(STANDARDIZE(tblY7[[#This Row],[7B02 - Organ Systems
Raw Score]],AVERAGE(tblY7[[7B02 - Organ Systems
Raw Score]]),_xlfn.STDEV.P(tblY7[[7B02 - Organ Systems
Raw Score]])),9),_Stanine,2),5),"")</f>
        <v>5</v>
      </c>
    </row>
    <row r="81">
      <c r="A81" s="65" t="inlineStr">
        <is>
          <t>X900716561941</t>
        </is>
      </c>
      <c r="B81" s="65" t="inlineStr">
        <is>
          <t>Pearson</t>
        </is>
      </c>
      <c r="C81" s="65" t="inlineStr">
        <is>
          <t>Oliver</t>
        </is>
      </c>
      <c r="D81" s="66" t="inlineStr">
        <is>
          <t>M</t>
        </is>
      </c>
      <c r="E81" s="66" t="inlineStr">
        <is>
          <t>N</t>
        </is>
      </c>
      <c r="F81" s="66" t="inlineStr">
        <is>
          <t>Y</t>
        </is>
      </c>
      <c r="G81" s="34" t="n">
        <v>100</v>
      </c>
      <c r="H81" s="34" t="n">
        <v>118.5</v>
      </c>
      <c r="I81" s="67">
        <f>IF(ISNUMBER(tblY7[[#This Row],[Avg KS2]]),IFERROR(VLOOKUP(ROUND(STANDARDIZE(tblY7[[#This Row],[Avg KS2]],AVERAGE(tblY7[[Avg KS2]]),_xlfn.STDEV.P(tblY7[[Avg KS2]])),9),_Stanine,2),5),"")</f>
        <v>9</v>
      </c>
      <c r="J81" s="66" t="inlineStr">
        <is>
          <t>7B/Sc1</t>
        </is>
      </c>
      <c r="K81" s="67">
        <f>IF(tblY7[[#This Row],[Preferred Last name]]="","",COUNTIFS($N$1:$ZZ$1,"*"&amp;CHAR(10)&amp;"Stanine",$N81:$ZZ81,"&gt;=1"))</f>
        <v>4</v>
      </c>
      <c r="L81" s="68">
        <f>IFERROR(AVERAGEIF($N$1:$ZZ$1,"*"&amp;CHAR(10)&amp;"Stanine",$N81:$ZZ81),"")</f>
        <v>8</v>
      </c>
      <c r="M81" s="69">
        <f>IF(AND(ISNUMBER(tblY7[[#This Row],[Mean Stanine]]),ISNUMBER(tblY7[[#This Row],[Avg KS2 Band]]),ISNUMBER(SlopeY7)),tblY7[[#This Row],[Mean Stanine]]-(InterceptY7+SlopeY7*tblY7[[#This Row],[Avg KS2 Band]]),"")</f>
        <v>0.215175909361956</v>
      </c>
      <c r="N81" s="66" t="n">
        <v>28</v>
      </c>
      <c r="O81" s="67">
        <f>IF(ISNUMBER(tblY7[[#This Row],[7B01 - Cells
Raw Score]]),IFERROR(VLOOKUP(ROUND(STANDARDIZE(tblY7[[#This Row],[7B01 - Cells
Raw Score]],AVERAGE(tblY7[[7B01 - Cells
Raw Score]]),_xlfn.STDEV.P(tblY7[[7B01 - Cells
Raw Score]])),9),_Stanine,2),5),"")</f>
        <v>8</v>
      </c>
      <c r="P81" s="66" t="n">
        <v>24</v>
      </c>
      <c r="Q81" s="67">
        <f>IF(ISNUMBER(tblY7[[#This Row],[7C01 - Particles
Raw Score]]),IFERROR(VLOOKUP(ROUND(STANDARDIZE(tblY7[[#This Row],[7C01 - Particles
Raw Score]],AVERAGE(tblY7[[7C01 - Particles
Raw Score]]),_xlfn.STDEV.P(tblY7[[7C01 - Particles
Raw Score]])),9),_Stanine,2),5),"")</f>
        <v>8</v>
      </c>
      <c r="R81" s="66" t="n">
        <v>28</v>
      </c>
      <c r="S81" s="67">
        <f>IF(ISNUMBER(tblY7[[#This Row],[7P01 - Forces
Raw Score]]),IFERROR(VLOOKUP(ROUND(STANDARDIZE(tblY7[[#This Row],[7P01 - Forces
Raw Score]],AVERAGE(tblY7[[7P01 - Forces
Raw Score]]),_xlfn.STDEV.P(tblY7[[7P01 - Forces
Raw Score]])),9),_Stanine,2),5),"")</f>
        <v>8</v>
      </c>
      <c r="T81" s="66" t="n">
        <v>27</v>
      </c>
      <c r="U81" s="67">
        <f>IF(ISNUMBER(tblY7[[#This Row],[7B02 - Organ Systems
Raw Score]]),IFERROR(VLOOKUP(ROUND(STANDARDIZE(tblY7[[#This Row],[7B02 - Organ Systems
Raw Score]],AVERAGE(tblY7[[7B02 - Organ Systems
Raw Score]]),_xlfn.STDEV.P(tblY7[[7B02 - Organ Systems
Raw Score]])),9),_Stanine,2),5),"")</f>
        <v>8</v>
      </c>
    </row>
    <row r="82">
      <c r="A82" s="65" t="inlineStr">
        <is>
          <t>X909432149687</t>
        </is>
      </c>
      <c r="B82" s="65" t="inlineStr">
        <is>
          <t>Price</t>
        </is>
      </c>
      <c r="C82" s="65" t="inlineStr">
        <is>
          <t>Maya</t>
        </is>
      </c>
      <c r="D82" s="66" t="inlineStr">
        <is>
          <t>M</t>
        </is>
      </c>
      <c r="E82" s="66" t="inlineStr">
        <is>
          <t>N</t>
        </is>
      </c>
      <c r="F82" s="66" t="inlineStr">
        <is>
          <t>N</t>
        </is>
      </c>
      <c r="G82" s="34" t="n">
        <v>90.8</v>
      </c>
      <c r="H82" s="34" t="n">
        <v>111.5</v>
      </c>
      <c r="I82" s="67">
        <f>IF(ISNUMBER(tblY7[[#This Row],[Avg KS2]]),IFERROR(VLOOKUP(ROUND(STANDARDIZE(tblY7[[#This Row],[Avg KS2]],AVERAGE(tblY7[[Avg KS2]]),_xlfn.STDEV.P(tblY7[[Avg KS2]])),9),_Stanine,2),5),"")</f>
        <v>7</v>
      </c>
      <c r="J82" s="66" t="inlineStr">
        <is>
          <t>7B/Sc1</t>
        </is>
      </c>
      <c r="K82" s="67">
        <f>IF(tblY7[[#This Row],[Preferred Last name]]="","",COUNTIFS($N$1:$ZZ$1,"*"&amp;CHAR(10)&amp;"Stanine",$N82:$ZZ82,"&gt;=1"))</f>
        <v>4</v>
      </c>
      <c r="L82" s="68">
        <f>IFERROR(AVERAGEIF($N$1:$ZZ$1,"*"&amp;CHAR(10)&amp;"Stanine",$N82:$ZZ82),"")</f>
        <v>8</v>
      </c>
      <c r="M82" s="69">
        <f>IF(AND(ISNUMBER(tblY7[[#This Row],[Mean Stanine]]),ISNUMBER(tblY7[[#This Row],[Avg KS2 Band]]),ISNUMBER(SlopeY7)),tblY7[[#This Row],[Mean Stanine]]-(InterceptY7+SlopeY7*tblY7[[#This Row],[Avg KS2 Band]]),"")</f>
        <v>1.60374180083482</v>
      </c>
      <c r="N82" s="66" t="n">
        <v>26</v>
      </c>
      <c r="O82" s="67">
        <f>IF(ISNUMBER(tblY7[[#This Row],[7B01 - Cells
Raw Score]]),IFERROR(VLOOKUP(ROUND(STANDARDIZE(tblY7[[#This Row],[7B01 - Cells
Raw Score]],AVERAGE(tblY7[[7B01 - Cells
Raw Score]]),_xlfn.STDEV.P(tblY7[[7B01 - Cells
Raw Score]])),9),_Stanine,2),5),"")</f>
        <v>8</v>
      </c>
      <c r="P82" s="66" t="n">
        <v>24</v>
      </c>
      <c r="Q82" s="67">
        <f>IF(ISNUMBER(tblY7[[#This Row],[7C01 - Particles
Raw Score]]),IFERROR(VLOOKUP(ROUND(STANDARDIZE(tblY7[[#This Row],[7C01 - Particles
Raw Score]],AVERAGE(tblY7[[7C01 - Particles
Raw Score]]),_xlfn.STDEV.P(tblY7[[7C01 - Particles
Raw Score]])),9),_Stanine,2),5),"")</f>
        <v>8</v>
      </c>
      <c r="R82" s="66" t="n">
        <v>29</v>
      </c>
      <c r="S82" s="67">
        <f>IF(ISNUMBER(tblY7[[#This Row],[7P01 - Forces
Raw Score]]),IFERROR(VLOOKUP(ROUND(STANDARDIZE(tblY7[[#This Row],[7P01 - Forces
Raw Score]],AVERAGE(tblY7[[7P01 - Forces
Raw Score]]),_xlfn.STDEV.P(tblY7[[7P01 - Forces
Raw Score]])),9),_Stanine,2),5),"")</f>
        <v>8</v>
      </c>
      <c r="T82" s="66" t="n">
        <v>26</v>
      </c>
      <c r="U82" s="67">
        <f>IF(ISNUMBER(tblY7[[#This Row],[7B02 - Organ Systems
Raw Score]]),IFERROR(VLOOKUP(ROUND(STANDARDIZE(tblY7[[#This Row],[7B02 - Organ Systems
Raw Score]],AVERAGE(tblY7[[7B02 - Organ Systems
Raw Score]]),_xlfn.STDEV.P(tblY7[[7B02 - Organ Systems
Raw Score]])),9),_Stanine,2),5),"")</f>
        <v>8</v>
      </c>
    </row>
    <row r="83">
      <c r="A83" s="65" t="inlineStr">
        <is>
          <t>X901096740260</t>
        </is>
      </c>
      <c r="B83" s="65" t="inlineStr">
        <is>
          <t>Price</t>
        </is>
      </c>
      <c r="C83" s="65" t="inlineStr">
        <is>
          <t>Maya</t>
        </is>
      </c>
      <c r="D83" s="66" t="inlineStr">
        <is>
          <t>M</t>
        </is>
      </c>
      <c r="E83" s="66" t="n"/>
      <c r="F83" s="66" t="inlineStr">
        <is>
          <t>N</t>
        </is>
      </c>
      <c r="G83" s="34" t="n">
        <v>100</v>
      </c>
      <c r="H83" s="34" t="n">
        <v>107.5</v>
      </c>
      <c r="I83" s="67">
        <f>IF(ISNUMBER(tblY7[[#This Row],[Avg KS2]]),IFERROR(VLOOKUP(ROUND(STANDARDIZE(tblY7[[#This Row],[Avg KS2]],AVERAGE(tblY7[[Avg KS2]]),_xlfn.STDEV.P(tblY7[[Avg KS2]])),9),_Stanine,2),5),"")</f>
        <v>5</v>
      </c>
      <c r="J83" s="66" t="inlineStr">
        <is>
          <t>7B/Sc1</t>
        </is>
      </c>
      <c r="K83" s="67">
        <f>IF(tblY7[[#This Row],[Preferred Last name]]="","",COUNTIFS($N$1:$ZZ$1,"*"&amp;CHAR(10)&amp;"Stanine",$N83:$ZZ83,"&gt;=1"))</f>
        <v>4</v>
      </c>
      <c r="L83" s="68">
        <f>IFERROR(AVERAGEIF($N$1:$ZZ$1,"*"&amp;CHAR(10)&amp;"Stanine",$N83:$ZZ83),"")</f>
        <v>6.25</v>
      </c>
      <c r="M83" s="69">
        <f>IF(AND(ISNUMBER(tblY7[[#This Row],[Mean Stanine]]),ISNUMBER(tblY7[[#This Row],[Avg KS2 Band]]),ISNUMBER(SlopeY7)),tblY7[[#This Row],[Mean Stanine]]-(InterceptY7+SlopeY7*tblY7[[#This Row],[Avg KS2 Band]]),"")</f>
        <v>1.24230769230769</v>
      </c>
      <c r="N83" s="66" t="n">
        <v>23</v>
      </c>
      <c r="O83" s="67">
        <f>IF(ISNUMBER(tblY7[[#This Row],[7B01 - Cells
Raw Score]]),IFERROR(VLOOKUP(ROUND(STANDARDIZE(tblY7[[#This Row],[7B01 - Cells
Raw Score]],AVERAGE(tblY7[[7B01 - Cells
Raw Score]]),_xlfn.STDEV.P(tblY7[[7B01 - Cells
Raw Score]])),9),_Stanine,2),5),"")</f>
        <v>7</v>
      </c>
      <c r="P83" s="66" t="n">
        <v>21</v>
      </c>
      <c r="Q83" s="67">
        <f>IF(ISNUMBER(tblY7[[#This Row],[7C01 - Particles
Raw Score]]),IFERROR(VLOOKUP(ROUND(STANDARDIZE(tblY7[[#This Row],[7C01 - Particles
Raw Score]],AVERAGE(tblY7[[7C01 - Particles
Raw Score]]),_xlfn.STDEV.P(tblY7[[7C01 - Particles
Raw Score]])),9),_Stanine,2),5),"")</f>
        <v>6</v>
      </c>
      <c r="R83" s="66" t="n">
        <v>24</v>
      </c>
      <c r="S83" s="67">
        <f>IF(ISNUMBER(tblY7[[#This Row],[7P01 - Forces
Raw Score]]),IFERROR(VLOOKUP(ROUND(STANDARDIZE(tblY7[[#This Row],[7P01 - Forces
Raw Score]],AVERAGE(tblY7[[7P01 - Forces
Raw Score]]),_xlfn.STDEV.P(tblY7[[7P01 - Forces
Raw Score]])),9),_Stanine,2),5),"")</f>
        <v>6</v>
      </c>
      <c r="T83" s="66" t="n">
        <v>21</v>
      </c>
      <c r="U83" s="67">
        <f>IF(ISNUMBER(tblY7[[#This Row],[7B02 - Organ Systems
Raw Score]]),IFERROR(VLOOKUP(ROUND(STANDARDIZE(tblY7[[#This Row],[7B02 - Organ Systems
Raw Score]],AVERAGE(tblY7[[7B02 - Organ Systems
Raw Score]]),_xlfn.STDEV.P(tblY7[[7B02 - Organ Systems
Raw Score]])),9),_Stanine,2),5),"")</f>
        <v>6</v>
      </c>
    </row>
    <row r="84">
      <c r="A84" s="65" t="inlineStr">
        <is>
          <t>X901267760309</t>
        </is>
      </c>
      <c r="B84" s="65" t="inlineStr">
        <is>
          <t>Robinson</t>
        </is>
      </c>
      <c r="C84" s="65" t="inlineStr">
        <is>
          <t>Megan</t>
        </is>
      </c>
      <c r="D84" s="66" t="inlineStr">
        <is>
          <t>F</t>
        </is>
      </c>
      <c r="E84" s="66" t="inlineStr">
        <is>
          <t>N</t>
        </is>
      </c>
      <c r="F84" s="66" t="inlineStr">
        <is>
          <t>N</t>
        </is>
      </c>
      <c r="G84" s="34" t="n">
        <v>95</v>
      </c>
      <c r="H84" s="34" t="n">
        <v>114</v>
      </c>
      <c r="I84" s="67">
        <f>IF(ISNUMBER(tblY7[[#This Row],[Avg KS2]]),IFERROR(VLOOKUP(ROUND(STANDARDIZE(tblY7[[#This Row],[Avg KS2]],AVERAGE(tblY7[[Avg KS2]]),_xlfn.STDEV.P(tblY7[[Avg KS2]])),9),_Stanine,2),5),"")</f>
        <v>8</v>
      </c>
      <c r="J84" s="66" t="inlineStr">
        <is>
          <t>7B/Sc1</t>
        </is>
      </c>
      <c r="K84" s="67">
        <f>IF(tblY7[[#This Row],[Preferred Last name]]="","",COUNTIFS($N$1:$ZZ$1,"*"&amp;CHAR(10)&amp;"Stanine",$N84:$ZZ84,"&gt;=1"))</f>
        <v>4</v>
      </c>
      <c r="L84" s="68">
        <f>IFERROR(AVERAGEIF($N$1:$ZZ$1,"*"&amp;CHAR(10)&amp;"Stanine",$N84:$ZZ84),"")</f>
        <v>7</v>
      </c>
      <c r="M84" s="69">
        <f>IF(AND(ISNUMBER(tblY7[[#This Row],[Mean Stanine]]),ISNUMBER(tblY7[[#This Row],[Avg KS2 Band]]),ISNUMBER(SlopeY7)),tblY7[[#This Row],[Mean Stanine]]-(InterceptY7+SlopeY7*tblY7[[#This Row],[Avg KS2 Band]]),"")</f>
        <v>-0.0905411449016098</v>
      </c>
      <c r="N84" s="66" t="n">
        <v>25</v>
      </c>
      <c r="O84" s="67">
        <f>IF(ISNUMBER(tblY7[[#This Row],[7B01 - Cells
Raw Score]]),IFERROR(VLOOKUP(ROUND(STANDARDIZE(tblY7[[#This Row],[7B01 - Cells
Raw Score]],AVERAGE(tblY7[[7B01 - Cells
Raw Score]]),_xlfn.STDEV.P(tblY7[[7B01 - Cells
Raw Score]])),9),_Stanine,2),5),"")</f>
        <v>7</v>
      </c>
      <c r="P84" s="66" t="n">
        <v>23</v>
      </c>
      <c r="Q84" s="67">
        <f>IF(ISNUMBER(tblY7[[#This Row],[7C01 - Particles
Raw Score]]),IFERROR(VLOOKUP(ROUND(STANDARDIZE(tblY7[[#This Row],[7C01 - Particles
Raw Score]],AVERAGE(tblY7[[7C01 - Particles
Raw Score]]),_xlfn.STDEV.P(tblY7[[7C01 - Particles
Raw Score]])),9),_Stanine,2),5),"")</f>
        <v>7</v>
      </c>
      <c r="R84" s="66" t="n">
        <v>27</v>
      </c>
      <c r="S84" s="67">
        <f>IF(ISNUMBER(tblY7[[#This Row],[7P01 - Forces
Raw Score]]),IFERROR(VLOOKUP(ROUND(STANDARDIZE(tblY7[[#This Row],[7P01 - Forces
Raw Score]],AVERAGE(tblY7[[7P01 - Forces
Raw Score]]),_xlfn.STDEV.P(tblY7[[7P01 - Forces
Raw Score]])),9),_Stanine,2),5),"")</f>
        <v>7</v>
      </c>
      <c r="T84" s="66" t="n">
        <v>23</v>
      </c>
      <c r="U84" s="67">
        <f>IF(ISNUMBER(tblY7[[#This Row],[7B02 - Organ Systems
Raw Score]]),IFERROR(VLOOKUP(ROUND(STANDARDIZE(tblY7[[#This Row],[7B02 - Organ Systems
Raw Score]],AVERAGE(tblY7[[7B02 - Organ Systems
Raw Score]]),_xlfn.STDEV.P(tblY7[[7B02 - Organ Systems
Raw Score]])),9),_Stanine,2),5),"")</f>
        <v>7</v>
      </c>
    </row>
    <row r="85">
      <c r="A85" s="65" t="inlineStr">
        <is>
          <t>X908299592475</t>
        </is>
      </c>
      <c r="B85" s="65" t="inlineStr">
        <is>
          <t>Turner</t>
        </is>
      </c>
      <c r="C85" s="65" t="inlineStr">
        <is>
          <t>Ivy</t>
        </is>
      </c>
      <c r="D85" s="66" t="inlineStr">
        <is>
          <t>M</t>
        </is>
      </c>
      <c r="E85" s="66" t="inlineStr">
        <is>
          <t>N</t>
        </is>
      </c>
      <c r="F85" s="66" t="inlineStr">
        <is>
          <t>N</t>
        </is>
      </c>
      <c r="G85" s="34" t="n">
        <v>83</v>
      </c>
      <c r="H85" s="34" t="n">
        <v>108.5</v>
      </c>
      <c r="I85" s="67">
        <f>IF(ISNUMBER(tblY7[[#This Row],[Avg KS2]]),IFERROR(VLOOKUP(ROUND(STANDARDIZE(tblY7[[#This Row],[Avg KS2]],AVERAGE(tblY7[[Avg KS2]]),_xlfn.STDEV.P(tblY7[[Avg KS2]])),9),_Stanine,2),5),"")</f>
        <v>6</v>
      </c>
      <c r="J85" s="66" t="inlineStr">
        <is>
          <t>7B/Sc1</t>
        </is>
      </c>
      <c r="K85" s="67">
        <f>IF(tblY7[[#This Row],[Preferred Last name]]="","",COUNTIFS($N$1:$ZZ$1,"*"&amp;CHAR(10)&amp;"Stanine",$N85:$ZZ85,"&gt;=1"))</f>
        <v>3</v>
      </c>
      <c r="L85" s="68">
        <f>IFERROR(AVERAGEIF($N$1:$ZZ$1,"*"&amp;CHAR(10)&amp;"Stanine",$N85:$ZZ85),"")</f>
        <v>5</v>
      </c>
      <c r="M85" s="69">
        <f>IF(AND(ISNUMBER(tblY7[[#This Row],[Mean Stanine]]),ISNUMBER(tblY7[[#This Row],[Avg KS2 Band]]),ISNUMBER(SlopeY7)),tblY7[[#This Row],[Mean Stanine]]-(InterceptY7+SlopeY7*tblY7[[#This Row],[Avg KS2 Band]]),"")</f>
        <v>-0.701975253428741</v>
      </c>
      <c r="N85" s="66" t="n">
        <v>17</v>
      </c>
      <c r="O85" s="67">
        <f>IF(ISNUMBER(tblY7[[#This Row],[7B01 - Cells
Raw Score]]),IFERROR(VLOOKUP(ROUND(STANDARDIZE(tblY7[[#This Row],[7B01 - Cells
Raw Score]],AVERAGE(tblY7[[7B01 - Cells
Raw Score]]),_xlfn.STDEV.P(tblY7[[7B01 - Cells
Raw Score]])),9),_Stanine,2),5),"")</f>
        <v>5</v>
      </c>
      <c r="P85" s="66" t="inlineStr">
        <is>
          <t>A</t>
        </is>
      </c>
      <c r="Q85" s="67" t="str">
        <f>IF(ISNUMBER(tblY7[[#This Row],[7C01 - Particles
Raw Score]]),IFERROR(VLOOKUP(ROUND(STANDARDIZE(tblY7[[#This Row],[7C01 - Particles
Raw Score]],AVERAGE(tblY7[[7C01 - Particles
Raw Score]]),_xlfn.STDEV.P(tblY7[[7C01 - Particles
Raw Score]])),9),_Stanine,2),5),"")</f>
        <v/>
      </c>
      <c r="R85" s="66" t="n">
        <v>21</v>
      </c>
      <c r="S85" s="67">
        <f>IF(ISNUMBER(tblY7[[#This Row],[7P01 - Forces
Raw Score]]),IFERROR(VLOOKUP(ROUND(STANDARDIZE(tblY7[[#This Row],[7P01 - Forces
Raw Score]],AVERAGE(tblY7[[7P01 - Forces
Raw Score]]),_xlfn.STDEV.P(tblY7[[7P01 - Forces
Raw Score]])),9),_Stanine,2),5),"")</f>
        <v>5</v>
      </c>
      <c r="T85" s="66" t="n">
        <v>19</v>
      </c>
      <c r="U85" s="67">
        <f>IF(ISNUMBER(tblY7[[#This Row],[7B02 - Organ Systems
Raw Score]]),IFERROR(VLOOKUP(ROUND(STANDARDIZE(tblY7[[#This Row],[7B02 - Organ Systems
Raw Score]],AVERAGE(tblY7[[7B02 - Organ Systems
Raw Score]]),_xlfn.STDEV.P(tblY7[[7B02 - Organ Systems
Raw Score]])),9),_Stanine,2),5),"")</f>
        <v>5</v>
      </c>
    </row>
    <row r="86">
      <c r="A86" s="65" t="inlineStr">
        <is>
          <t>X905394040953</t>
        </is>
      </c>
      <c r="B86" s="65" t="inlineStr">
        <is>
          <t>Ward</t>
        </is>
      </c>
      <c r="C86" s="65" t="inlineStr">
        <is>
          <t>Noah</t>
        </is>
      </c>
      <c r="D86" s="66" t="inlineStr">
        <is>
          <t>F</t>
        </is>
      </c>
      <c r="E86" s="66" t="inlineStr">
        <is>
          <t>N</t>
        </is>
      </c>
      <c r="F86" s="66" t="inlineStr">
        <is>
          <t>N</t>
        </is>
      </c>
      <c r="G86" s="34" t="n">
        <v>88.7</v>
      </c>
      <c r="H86" s="34" t="n">
        <v>100</v>
      </c>
      <c r="I86" s="67">
        <f>IF(ISNUMBER(tblY7[[#This Row],[Avg KS2]]),IFERROR(VLOOKUP(ROUND(STANDARDIZE(tblY7[[#This Row],[Avg KS2]],AVERAGE(tblY7[[Avg KS2]]),_xlfn.STDEV.P(tblY7[[Avg KS2]])),9),_Stanine,2),5),"")</f>
        <v>2</v>
      </c>
      <c r="J86" s="66" t="inlineStr">
        <is>
          <t>7B/Sc1</t>
        </is>
      </c>
      <c r="K86" s="67">
        <f>IF(tblY7[[#This Row],[Preferred Last name]]="","",COUNTIFS($N$1:$ZZ$1,"*"&amp;CHAR(10)&amp;"Stanine",$N86:$ZZ86,"&gt;=1"))</f>
        <v>4</v>
      </c>
      <c r="L86" s="68">
        <f>IFERROR(AVERAGEIF($N$1:$ZZ$1,"*"&amp;CHAR(10)&amp;"Stanine",$N86:$ZZ86),"")</f>
        <v>4</v>
      </c>
      <c r="M86" s="69">
        <f>IF(AND(ISNUMBER(tblY7[[#This Row],[Mean Stanine]]),ISNUMBER(tblY7[[#This Row],[Avg KS2 Band]]),ISNUMBER(SlopeY7)),tblY7[[#This Row],[Mean Stanine]]-(InterceptY7+SlopeY7*tblY7[[#This Row],[Avg KS2 Band]]),"")</f>
        <v>1.07515652951699</v>
      </c>
      <c r="N86" s="66" t="n">
        <v>14</v>
      </c>
      <c r="O86" s="67">
        <f>IF(ISNUMBER(tblY7[[#This Row],[7B01 - Cells
Raw Score]]),IFERROR(VLOOKUP(ROUND(STANDARDIZE(tblY7[[#This Row],[7B01 - Cells
Raw Score]],AVERAGE(tblY7[[7B01 - Cells
Raw Score]]),_xlfn.STDEV.P(tblY7[[7B01 - Cells
Raw Score]])),9),_Stanine,2),5),"")</f>
        <v>4</v>
      </c>
      <c r="P86" s="66" t="n">
        <v>16</v>
      </c>
      <c r="Q86" s="67">
        <f>IF(ISNUMBER(tblY7[[#This Row],[7C01 - Particles
Raw Score]]),IFERROR(VLOOKUP(ROUND(STANDARDIZE(tblY7[[#This Row],[7C01 - Particles
Raw Score]],AVERAGE(tblY7[[7C01 - Particles
Raw Score]]),_xlfn.STDEV.P(tblY7[[7C01 - Particles
Raw Score]])),9),_Stanine,2),5),"")</f>
        <v>4</v>
      </c>
      <c r="R86" s="66" t="n">
        <v>19</v>
      </c>
      <c r="S86" s="67">
        <f>IF(ISNUMBER(tblY7[[#This Row],[7P01 - Forces
Raw Score]]),IFERROR(VLOOKUP(ROUND(STANDARDIZE(tblY7[[#This Row],[7P01 - Forces
Raw Score]],AVERAGE(tblY7[[7P01 - Forces
Raw Score]]),_xlfn.STDEV.P(tblY7[[7P01 - Forces
Raw Score]])),9),_Stanine,2),5),"")</f>
        <v>4</v>
      </c>
      <c r="T86" s="66" t="n">
        <v>16</v>
      </c>
      <c r="U86" s="67">
        <f>IF(ISNUMBER(tblY7[[#This Row],[7B02 - Organ Systems
Raw Score]]),IFERROR(VLOOKUP(ROUND(STANDARDIZE(tblY7[[#This Row],[7B02 - Organ Systems
Raw Score]],AVERAGE(tblY7[[7B02 - Organ Systems
Raw Score]]),_xlfn.STDEV.P(tblY7[[7B02 - Organ Systems
Raw Score]])),9),_Stanine,2),5),"")</f>
        <v>4</v>
      </c>
    </row>
    <row r="87">
      <c r="A87" s="65" t="inlineStr">
        <is>
          <t>X909302461887</t>
        </is>
      </c>
      <c r="B87" s="65" t="inlineStr">
        <is>
          <t>White</t>
        </is>
      </c>
      <c r="C87" s="65" t="inlineStr">
        <is>
          <t>Hollie</t>
        </is>
      </c>
      <c r="D87" s="66" t="inlineStr">
        <is>
          <t>F</t>
        </is>
      </c>
      <c r="E87" s="66" t="n"/>
      <c r="F87" s="66" t="inlineStr">
        <is>
          <t>Y</t>
        </is>
      </c>
      <c r="G87" s="34" t="n">
        <v>93.2</v>
      </c>
      <c r="H87" s="34" t="n">
        <v>115</v>
      </c>
      <c r="I87" s="67">
        <f>IF(ISNUMBER(tblY7[[#This Row],[Avg KS2]]),IFERROR(VLOOKUP(ROUND(STANDARDIZE(tblY7[[#This Row],[Avg KS2]],AVERAGE(tblY7[[Avg KS2]]),_xlfn.STDEV.P(tblY7[[Avg KS2]])),9),_Stanine,2),5),"")</f>
        <v>8</v>
      </c>
      <c r="J87" s="66" t="inlineStr">
        <is>
          <t>7B/Sc1</t>
        </is>
      </c>
      <c r="K87" s="67">
        <f>IF(tblY7[[#This Row],[Preferred Last name]]="","",COUNTIFS($N$1:$ZZ$1,"*"&amp;CHAR(10)&amp;"Stanine",$N87:$ZZ87,"&gt;=1"))</f>
        <v>4</v>
      </c>
      <c r="L87" s="68">
        <f>IFERROR(AVERAGEIF($N$1:$ZZ$1,"*"&amp;CHAR(10)&amp;"Stanine",$N87:$ZZ87),"")</f>
        <v>8</v>
      </c>
      <c r="M87" s="69">
        <f>IF(AND(ISNUMBER(tblY7[[#This Row],[Mean Stanine]]),ISNUMBER(tblY7[[#This Row],[Avg KS2 Band]]),ISNUMBER(SlopeY7)),tblY7[[#This Row],[Mean Stanine]]-(InterceptY7+SlopeY7*tblY7[[#This Row],[Avg KS2 Band]]),"")</f>
        <v>0.90945885509839</v>
      </c>
      <c r="N87" s="66" t="n">
        <v>28</v>
      </c>
      <c r="O87" s="67">
        <f>IF(ISNUMBER(tblY7[[#This Row],[7B01 - Cells
Raw Score]]),IFERROR(VLOOKUP(ROUND(STANDARDIZE(tblY7[[#This Row],[7B01 - Cells
Raw Score]],AVERAGE(tblY7[[7B01 - Cells
Raw Score]]),_xlfn.STDEV.P(tblY7[[7B01 - Cells
Raw Score]])),9),_Stanine,2),5),"")</f>
        <v>8</v>
      </c>
      <c r="P87" s="66" t="n">
        <v>24</v>
      </c>
      <c r="Q87" s="67">
        <f>IF(ISNUMBER(tblY7[[#This Row],[7C01 - Particles
Raw Score]]),IFERROR(VLOOKUP(ROUND(STANDARDIZE(tblY7[[#This Row],[7C01 - Particles
Raw Score]],AVERAGE(tblY7[[7C01 - Particles
Raw Score]]),_xlfn.STDEV.P(tblY7[[7C01 - Particles
Raw Score]])),9),_Stanine,2),5),"")</f>
        <v>8</v>
      </c>
      <c r="R87" s="66" t="n">
        <v>29</v>
      </c>
      <c r="S87" s="67">
        <f>IF(ISNUMBER(tblY7[[#This Row],[7P01 - Forces
Raw Score]]),IFERROR(VLOOKUP(ROUND(STANDARDIZE(tblY7[[#This Row],[7P01 - Forces
Raw Score]],AVERAGE(tblY7[[7P01 - Forces
Raw Score]]),_xlfn.STDEV.P(tblY7[[7P01 - Forces
Raw Score]])),9),_Stanine,2),5),"")</f>
        <v>8</v>
      </c>
      <c r="T87" s="66" t="n">
        <v>26</v>
      </c>
      <c r="U87" s="67">
        <f>IF(ISNUMBER(tblY7[[#This Row],[7B02 - Organ Systems
Raw Score]]),IFERROR(VLOOKUP(ROUND(STANDARDIZE(tblY7[[#This Row],[7B02 - Organ Systems
Raw Score]],AVERAGE(tblY7[[7B02 - Organ Systems
Raw Score]]),_xlfn.STDEV.P(tblY7[[7B02 - Organ Systems
Raw Score]])),9),_Stanine,2),5),"")</f>
        <v>8</v>
      </c>
    </row>
    <row r="88">
      <c r="A88" s="65" t="inlineStr">
        <is>
          <t>X901475174927</t>
        </is>
      </c>
      <c r="B88" s="65" t="inlineStr">
        <is>
          <t>Wright</t>
        </is>
      </c>
      <c r="C88" s="65" t="inlineStr">
        <is>
          <t>Tomasz</t>
        </is>
      </c>
      <c r="D88" s="66" t="inlineStr">
        <is>
          <t>F</t>
        </is>
      </c>
      <c r="E88" s="66" t="n"/>
      <c r="F88" s="66" t="inlineStr">
        <is>
          <t>Y</t>
        </is>
      </c>
      <c r="G88" s="34" t="n">
        <v>99.2</v>
      </c>
      <c r="H88" s="34" t="n">
        <v>104.5</v>
      </c>
      <c r="I88" s="67">
        <f>IF(ISNUMBER(tblY7[[#This Row],[Avg KS2]]),IFERROR(VLOOKUP(ROUND(STANDARDIZE(tblY7[[#This Row],[Avg KS2]],AVERAGE(tblY7[[Avg KS2]]),_xlfn.STDEV.P(tblY7[[Avg KS2]])),9),_Stanine,2),5),"")</f>
        <v>4</v>
      </c>
      <c r="J88" s="66" t="inlineStr">
        <is>
          <t>7B/Sc1</t>
        </is>
      </c>
      <c r="K88" s="67">
        <f>IF(tblY7[[#This Row],[Preferred Last name]]="","",COUNTIFS($N$1:$ZZ$1,"*"&amp;CHAR(10)&amp;"Stanine",$N88:$ZZ88,"&gt;=1"))</f>
        <v>4</v>
      </c>
      <c r="L88" s="68">
        <f>IFERROR(AVERAGEIF($N$1:$ZZ$1,"*"&amp;CHAR(10)&amp;"Stanine",$N88:$ZZ88),"")</f>
        <v>5.5</v>
      </c>
      <c r="M88" s="69">
        <f>IF(AND(ISNUMBER(tblY7[[#This Row],[Mean Stanine]]),ISNUMBER(tblY7[[#This Row],[Avg KS2 Band]]),ISNUMBER(SlopeY7)),tblY7[[#This Row],[Mean Stanine]]-(InterceptY7+SlopeY7*tblY7[[#This Row],[Avg KS2 Band]]),"")</f>
        <v>1.18659063804413</v>
      </c>
      <c r="N88" s="66" t="n">
        <v>18</v>
      </c>
      <c r="O88" s="67">
        <f>IF(ISNUMBER(tblY7[[#This Row],[7B01 - Cells
Raw Score]]),IFERROR(VLOOKUP(ROUND(STANDARDIZE(tblY7[[#This Row],[7B01 - Cells
Raw Score]],AVERAGE(tblY7[[7B01 - Cells
Raw Score]]),_xlfn.STDEV.P(tblY7[[7B01 - Cells
Raw Score]])),9),_Stanine,2),5),"")</f>
        <v>5</v>
      </c>
      <c r="P88" s="66" t="n">
        <v>21</v>
      </c>
      <c r="Q88" s="67">
        <f>IF(ISNUMBER(tblY7[[#This Row],[7C01 - Particles
Raw Score]]),IFERROR(VLOOKUP(ROUND(STANDARDIZE(tblY7[[#This Row],[7C01 - Particles
Raw Score]],AVERAGE(tblY7[[7C01 - Particles
Raw Score]]),_xlfn.STDEV.P(tblY7[[7C01 - Particles
Raw Score]])),9),_Stanine,2),5),"")</f>
        <v>6</v>
      </c>
      <c r="R88" s="66" t="n">
        <v>22</v>
      </c>
      <c r="S88" s="67">
        <f>IF(ISNUMBER(tblY7[[#This Row],[7P01 - Forces
Raw Score]]),IFERROR(VLOOKUP(ROUND(STANDARDIZE(tblY7[[#This Row],[7P01 - Forces
Raw Score]],AVERAGE(tblY7[[7P01 - Forces
Raw Score]]),_xlfn.STDEV.P(tblY7[[7P01 - Forces
Raw Score]])),9),_Stanine,2),5),"")</f>
        <v>5</v>
      </c>
      <c r="T88" s="66" t="n">
        <v>20</v>
      </c>
      <c r="U88" s="67">
        <f>IF(ISNUMBER(tblY7[[#This Row],[7B02 - Organ Systems
Raw Score]]),IFERROR(VLOOKUP(ROUND(STANDARDIZE(tblY7[[#This Row],[7B02 - Organ Systems
Raw Score]],AVERAGE(tblY7[[7B02 - Organ Systems
Raw Score]]),_xlfn.STDEV.P(tblY7[[7B02 - Organ Systems
Raw Score]])),9),_Stanine,2),5),"")</f>
        <v>6</v>
      </c>
    </row>
    <row r="89">
      <c r="A89" s="65" t="inlineStr">
        <is>
          <t>X906250361873</t>
        </is>
      </c>
      <c r="B89" s="65" t="inlineStr">
        <is>
          <t>Ahmed</t>
        </is>
      </c>
      <c r="C89" s="65" t="inlineStr">
        <is>
          <t>Zofia</t>
        </is>
      </c>
      <c r="D89" s="66" t="inlineStr">
        <is>
          <t>M</t>
        </is>
      </c>
      <c r="E89" s="66" t="n"/>
      <c r="F89" s="66" t="inlineStr">
        <is>
          <t>N</t>
        </is>
      </c>
      <c r="G89" s="34" t="n">
        <v>100</v>
      </c>
      <c r="H89" s="34" t="n">
        <v>105.5</v>
      </c>
      <c r="I89" s="67">
        <f>IF(ISNUMBER(tblY7[[#This Row],[Avg KS2]]),IFERROR(VLOOKUP(ROUND(STANDARDIZE(tblY7[[#This Row],[Avg KS2]],AVERAGE(tblY7[[Avg KS2]]),_xlfn.STDEV.P(tblY7[[Avg KS2]])),9),_Stanine,2),5),"")</f>
        <v>4</v>
      </c>
      <c r="J89" s="66" t="inlineStr">
        <is>
          <t>7B/Sc2</t>
        </is>
      </c>
      <c r="K89" s="67">
        <f>IF(tblY7[[#This Row],[Preferred Last name]]="","",COUNTIFS($N$1:$ZZ$1,"*"&amp;CHAR(10)&amp;"Stanine",$N89:$ZZ89,"&gt;=1"))</f>
        <v>4</v>
      </c>
      <c r="L89" s="68">
        <f>IFERROR(AVERAGEIF($N$1:$ZZ$1,"*"&amp;CHAR(10)&amp;"Stanine",$N89:$ZZ89),"")</f>
        <v>4.75</v>
      </c>
      <c r="M89" s="69">
        <f>IF(AND(ISNUMBER(tblY7[[#This Row],[Mean Stanine]]),ISNUMBER(tblY7[[#This Row],[Avg KS2 Band]]),ISNUMBER(SlopeY7)),tblY7[[#This Row],[Mean Stanine]]-(InterceptY7+SlopeY7*tblY7[[#This Row],[Avg KS2 Band]]),"")</f>
        <v>0.436590638044127</v>
      </c>
      <c r="N89" s="66" t="n">
        <v>11</v>
      </c>
      <c r="O89" s="67">
        <f>IF(ISNUMBER(tblY7[[#This Row],[7B01 - Cells
Raw Score]]),IFERROR(VLOOKUP(ROUND(STANDARDIZE(tblY7[[#This Row],[7B01 - Cells
Raw Score]],AVERAGE(tblY7[[7B01 - Cells
Raw Score]]),_xlfn.STDEV.P(tblY7[[7B01 - Cells
Raw Score]])),9),_Stanine,2),5),"")</f>
        <v>3</v>
      </c>
      <c r="P89" s="66" t="n">
        <v>18</v>
      </c>
      <c r="Q89" s="67">
        <f>IF(ISNUMBER(tblY7[[#This Row],[7C01 - Particles
Raw Score]]),IFERROR(VLOOKUP(ROUND(STANDARDIZE(tblY7[[#This Row],[7C01 - Particles
Raw Score]],AVERAGE(tblY7[[7C01 - Particles
Raw Score]]),_xlfn.STDEV.P(tblY7[[7C01 - Particles
Raw Score]])),9),_Stanine,2),5),"")</f>
        <v>5</v>
      </c>
      <c r="R89" s="66" t="n">
        <v>23</v>
      </c>
      <c r="S89" s="67">
        <f>IF(ISNUMBER(tblY7[[#This Row],[7P01 - Forces
Raw Score]]),IFERROR(VLOOKUP(ROUND(STANDARDIZE(tblY7[[#This Row],[7P01 - Forces
Raw Score]],AVERAGE(tblY7[[7P01 - Forces
Raw Score]]),_xlfn.STDEV.P(tblY7[[7P01 - Forces
Raw Score]])),9),_Stanine,2),5),"")</f>
        <v>6</v>
      </c>
      <c r="T89" s="66" t="n">
        <v>18</v>
      </c>
      <c r="U89" s="67">
        <f>IF(ISNUMBER(tblY7[[#This Row],[7B02 - Organ Systems
Raw Score]]),IFERROR(VLOOKUP(ROUND(STANDARDIZE(tblY7[[#This Row],[7B02 - Organ Systems
Raw Score]],AVERAGE(tblY7[[7B02 - Organ Systems
Raw Score]]),_xlfn.STDEV.P(tblY7[[7B02 - Organ Systems
Raw Score]])),9),_Stanine,2),5),"")</f>
        <v>5</v>
      </c>
    </row>
    <row r="90">
      <c r="A90" s="65" t="inlineStr">
        <is>
          <t>X909988002854</t>
        </is>
      </c>
      <c r="B90" s="65" t="inlineStr">
        <is>
          <t>Barker</t>
        </is>
      </c>
      <c r="C90" s="65" t="inlineStr">
        <is>
          <t>Lily</t>
        </is>
      </c>
      <c r="D90" s="66" t="inlineStr">
        <is>
          <t>F</t>
        </is>
      </c>
      <c r="E90" s="66" t="n"/>
      <c r="F90" s="66" t="inlineStr">
        <is>
          <t>Y</t>
        </is>
      </c>
      <c r="G90" s="34" t="n">
        <v>96.90000000000001</v>
      </c>
      <c r="H90" s="34" t="n">
        <v>112.5</v>
      </c>
      <c r="I90" s="67">
        <f>IF(ISNUMBER(tblY7[[#This Row],[Avg KS2]]),IFERROR(VLOOKUP(ROUND(STANDARDIZE(tblY7[[#This Row],[Avg KS2]],AVERAGE(tblY7[[Avg KS2]]),_xlfn.STDEV.P(tblY7[[Avg KS2]])),9),_Stanine,2),5),"")</f>
        <v>7</v>
      </c>
      <c r="J90" s="66" t="inlineStr">
        <is>
          <t>7B/Sc2</t>
        </is>
      </c>
      <c r="K90" s="67">
        <f>IF(tblY7[[#This Row],[Preferred Last name]]="","",COUNTIFS($N$1:$ZZ$1,"*"&amp;CHAR(10)&amp;"Stanine",$N90:$ZZ90,"&gt;=1"))</f>
        <v>4</v>
      </c>
      <c r="L90" s="68">
        <f>IFERROR(AVERAGEIF($N$1:$ZZ$1,"*"&amp;CHAR(10)&amp;"Stanine",$N90:$ZZ90),"")</f>
        <v>5.25</v>
      </c>
      <c r="M90" s="69">
        <f>IF(AND(ISNUMBER(tblY7[[#This Row],[Mean Stanine]]),ISNUMBER(tblY7[[#This Row],[Avg KS2 Band]]),ISNUMBER(SlopeY7)),tblY7[[#This Row],[Mean Stanine]]-(InterceptY7+SlopeY7*tblY7[[#This Row],[Avg KS2 Band]]),"")</f>
        <v>-1.14625819916518</v>
      </c>
      <c r="N90" s="66" t="n">
        <v>22</v>
      </c>
      <c r="O90" s="67">
        <f>IF(ISNUMBER(tblY7[[#This Row],[7B01 - Cells
Raw Score]]),IFERROR(VLOOKUP(ROUND(STANDARDIZE(tblY7[[#This Row],[7B01 - Cells
Raw Score]],AVERAGE(tblY7[[7B01 - Cells
Raw Score]]),_xlfn.STDEV.P(tblY7[[7B01 - Cells
Raw Score]])),9),_Stanine,2),5),"")</f>
        <v>6</v>
      </c>
      <c r="P90" s="66" t="n">
        <v>18</v>
      </c>
      <c r="Q90" s="67">
        <f>IF(ISNUMBER(tblY7[[#This Row],[7C01 - Particles
Raw Score]]),IFERROR(VLOOKUP(ROUND(STANDARDIZE(tblY7[[#This Row],[7C01 - Particles
Raw Score]],AVERAGE(tblY7[[7C01 - Particles
Raw Score]]),_xlfn.STDEV.P(tblY7[[7C01 - Particles
Raw Score]])),9),_Stanine,2),5),"")</f>
        <v>5</v>
      </c>
      <c r="R90" s="66" t="n">
        <v>25</v>
      </c>
      <c r="S90" s="67">
        <f>IF(ISNUMBER(tblY7[[#This Row],[7P01 - Forces
Raw Score]]),IFERROR(VLOOKUP(ROUND(STANDARDIZE(tblY7[[#This Row],[7P01 - Forces
Raw Score]],AVERAGE(tblY7[[7P01 - Forces
Raw Score]]),_xlfn.STDEV.P(tblY7[[7P01 - Forces
Raw Score]])),9),_Stanine,2),5),"")</f>
        <v>6</v>
      </c>
      <c r="T90" s="66" t="n">
        <v>16</v>
      </c>
      <c r="U90" s="67">
        <f>IF(ISNUMBER(tblY7[[#This Row],[7B02 - Organ Systems
Raw Score]]),IFERROR(VLOOKUP(ROUND(STANDARDIZE(tblY7[[#This Row],[7B02 - Organ Systems
Raw Score]],AVERAGE(tblY7[[7B02 - Organ Systems
Raw Score]]),_xlfn.STDEV.P(tblY7[[7B02 - Organ Systems
Raw Score]])),9),_Stanine,2),5),"")</f>
        <v>4</v>
      </c>
    </row>
    <row r="91">
      <c r="A91" s="65" t="inlineStr">
        <is>
          <t>X904570251953</t>
        </is>
      </c>
      <c r="B91" s="65" t="inlineStr">
        <is>
          <t>Bennett</t>
        </is>
      </c>
      <c r="C91" s="65" t="inlineStr">
        <is>
          <t>Dylan</t>
        </is>
      </c>
      <c r="D91" s="66" t="inlineStr">
        <is>
          <t>M</t>
        </is>
      </c>
      <c r="E91" s="66" t="inlineStr">
        <is>
          <t>K</t>
        </is>
      </c>
      <c r="F91" s="66" t="inlineStr">
        <is>
          <t>Y</t>
        </is>
      </c>
      <c r="G91" s="34" t="n">
        <v>91.40000000000001</v>
      </c>
      <c r="H91" s="34" t="n">
        <v>117</v>
      </c>
      <c r="I91" s="67">
        <f>IF(ISNUMBER(tblY7[[#This Row],[Avg KS2]]),IFERROR(VLOOKUP(ROUND(STANDARDIZE(tblY7[[#This Row],[Avg KS2]],AVERAGE(tblY7[[Avg KS2]]),_xlfn.STDEV.P(tblY7[[Avg KS2]])),9),_Stanine,2),5),"")</f>
        <v>9</v>
      </c>
      <c r="J91" s="66" t="inlineStr">
        <is>
          <t>7B/Sc2</t>
        </is>
      </c>
      <c r="K91" s="67">
        <f>IF(tblY7[[#This Row],[Preferred Last name]]="","",COUNTIFS($N$1:$ZZ$1,"*"&amp;CHAR(10)&amp;"Stanine",$N91:$ZZ91,"&gt;=1"))</f>
        <v>4</v>
      </c>
      <c r="L91" s="68">
        <f>IFERROR(AVERAGEIF($N$1:$ZZ$1,"*"&amp;CHAR(10)&amp;"Stanine",$N91:$ZZ91),"")</f>
        <v>8</v>
      </c>
      <c r="M91" s="69">
        <f>IF(AND(ISNUMBER(tblY7[[#This Row],[Mean Stanine]]),ISNUMBER(tblY7[[#This Row],[Avg KS2 Band]]),ISNUMBER(SlopeY7)),tblY7[[#This Row],[Mean Stanine]]-(InterceptY7+SlopeY7*tblY7[[#This Row],[Avg KS2 Band]]),"")</f>
        <v>0.215175909361956</v>
      </c>
      <c r="N91" s="66" t="n">
        <v>26</v>
      </c>
      <c r="O91" s="67">
        <f>IF(ISNUMBER(tblY7[[#This Row],[7B01 - Cells
Raw Score]]),IFERROR(VLOOKUP(ROUND(STANDARDIZE(tblY7[[#This Row],[7B01 - Cells
Raw Score]],AVERAGE(tblY7[[7B01 - Cells
Raw Score]]),_xlfn.STDEV.P(tblY7[[7B01 - Cells
Raw Score]])),9),_Stanine,2),5),"")</f>
        <v>8</v>
      </c>
      <c r="P91" s="66" t="n">
        <v>24</v>
      </c>
      <c r="Q91" s="67">
        <f>IF(ISNUMBER(tblY7[[#This Row],[7C01 - Particles
Raw Score]]),IFERROR(VLOOKUP(ROUND(STANDARDIZE(tblY7[[#This Row],[7C01 - Particles
Raw Score]],AVERAGE(tblY7[[7C01 - Particles
Raw Score]]),_xlfn.STDEV.P(tblY7[[7C01 - Particles
Raw Score]])),9),_Stanine,2),5),"")</f>
        <v>8</v>
      </c>
      <c r="R91" s="66" t="n">
        <v>28</v>
      </c>
      <c r="S91" s="67">
        <f>IF(ISNUMBER(tblY7[[#This Row],[7P01 - Forces
Raw Score]]),IFERROR(VLOOKUP(ROUND(STANDARDIZE(tblY7[[#This Row],[7P01 - Forces
Raw Score]],AVERAGE(tblY7[[7P01 - Forces
Raw Score]]),_xlfn.STDEV.P(tblY7[[7P01 - Forces
Raw Score]])),9),_Stanine,2),5),"")</f>
        <v>8</v>
      </c>
      <c r="T91" s="66" t="n">
        <v>26</v>
      </c>
      <c r="U91" s="67">
        <f>IF(ISNUMBER(tblY7[[#This Row],[7B02 - Organ Systems
Raw Score]]),IFERROR(VLOOKUP(ROUND(STANDARDIZE(tblY7[[#This Row],[7B02 - Organ Systems
Raw Score]],AVERAGE(tblY7[[7B02 - Organ Systems
Raw Score]]),_xlfn.STDEV.P(tblY7[[7B02 - Organ Systems
Raw Score]])),9),_Stanine,2),5),"")</f>
        <v>8</v>
      </c>
    </row>
    <row r="92">
      <c r="A92" s="65" t="inlineStr">
        <is>
          <t>X907357780557</t>
        </is>
      </c>
      <c r="B92" s="65" t="inlineStr">
        <is>
          <t>Bennett</t>
        </is>
      </c>
      <c r="C92" s="65" t="inlineStr">
        <is>
          <t>Jacob</t>
        </is>
      </c>
      <c r="D92" s="66" t="inlineStr">
        <is>
          <t>F</t>
        </is>
      </c>
      <c r="E92" s="66" t="n"/>
      <c r="F92" s="66" t="inlineStr">
        <is>
          <t>N</t>
        </is>
      </c>
      <c r="G92" s="34" t="n">
        <v>98</v>
      </c>
      <c r="H92" s="34" t="n">
        <v>94.5</v>
      </c>
      <c r="I92" s="67">
        <f>IF(ISNUMBER(tblY7[[#This Row],[Avg KS2]]),IFERROR(VLOOKUP(ROUND(STANDARDIZE(tblY7[[#This Row],[Avg KS2]],AVERAGE(tblY7[[Avg KS2]]),_xlfn.STDEV.P(tblY7[[Avg KS2]])),9),_Stanine,2),5),"")</f>
        <v>1</v>
      </c>
      <c r="J92" s="66" t="inlineStr">
        <is>
          <t>7B/Sc2</t>
        </is>
      </c>
      <c r="K92" s="67">
        <f>IF(tblY7[[#This Row],[Preferred Last name]]="","",COUNTIFS($N$1:$ZZ$1,"*"&amp;CHAR(10)&amp;"Stanine",$N92:$ZZ92,"&gt;=1"))</f>
        <v>4</v>
      </c>
      <c r="L92" s="68">
        <f>IFERROR(AVERAGEIF($N$1:$ZZ$1,"*"&amp;CHAR(10)&amp;"Stanine",$N92:$ZZ92),"")</f>
        <v>1.25</v>
      </c>
      <c r="M92" s="69">
        <f>IF(AND(ISNUMBER(tblY7[[#This Row],[Mean Stanine]]),ISNUMBER(tblY7[[#This Row],[Avg KS2 Band]]),ISNUMBER(SlopeY7)),tblY7[[#This Row],[Mean Stanine]]-(InterceptY7+SlopeY7*tblY7[[#This Row],[Avg KS2 Band]]),"")</f>
        <v>-0.980560524746571</v>
      </c>
      <c r="N92" s="66" t="n">
        <v>6</v>
      </c>
      <c r="O92" s="67">
        <f>IF(ISNUMBER(tblY7[[#This Row],[7B01 - Cells
Raw Score]]),IFERROR(VLOOKUP(ROUND(STANDARDIZE(tblY7[[#This Row],[7B01 - Cells
Raw Score]],AVERAGE(tblY7[[7B01 - Cells
Raw Score]]),_xlfn.STDEV.P(tblY7[[7B01 - Cells
Raw Score]])),9),_Stanine,2),5),"")</f>
        <v>1</v>
      </c>
      <c r="P92" s="66" t="n">
        <v>9</v>
      </c>
      <c r="Q92" s="67">
        <f>IF(ISNUMBER(tblY7[[#This Row],[7C01 - Particles
Raw Score]]),IFERROR(VLOOKUP(ROUND(STANDARDIZE(tblY7[[#This Row],[7C01 - Particles
Raw Score]],AVERAGE(tblY7[[7C01 - Particles
Raw Score]]),_xlfn.STDEV.P(tblY7[[7C01 - Particles
Raw Score]])),9),_Stanine,2),5),"")</f>
        <v>1</v>
      </c>
      <c r="R92" s="66" t="n">
        <v>11</v>
      </c>
      <c r="S92" s="67">
        <f>IF(ISNUMBER(tblY7[[#This Row],[7P01 - Forces
Raw Score]]),IFERROR(VLOOKUP(ROUND(STANDARDIZE(tblY7[[#This Row],[7P01 - Forces
Raw Score]],AVERAGE(tblY7[[7P01 - Forces
Raw Score]]),_xlfn.STDEV.P(tblY7[[7P01 - Forces
Raw Score]])),9),_Stanine,2),5),"")</f>
        <v>1</v>
      </c>
      <c r="T92" s="66" t="n">
        <v>9</v>
      </c>
      <c r="U92" s="67">
        <f>IF(ISNUMBER(tblY7[[#This Row],[7B02 - Organ Systems
Raw Score]]),IFERROR(VLOOKUP(ROUND(STANDARDIZE(tblY7[[#This Row],[7B02 - Organ Systems
Raw Score]],AVERAGE(tblY7[[7B02 - Organ Systems
Raw Score]]),_xlfn.STDEV.P(tblY7[[7B02 - Organ Systems
Raw Score]])),9),_Stanine,2),5),"")</f>
        <v>2</v>
      </c>
    </row>
    <row r="93">
      <c r="A93" s="65" t="inlineStr">
        <is>
          <t>X900471050554</t>
        </is>
      </c>
      <c r="B93" s="65" t="inlineStr">
        <is>
          <t>Clarke</t>
        </is>
      </c>
      <c r="C93" s="65" t="inlineStr">
        <is>
          <t>Ava</t>
        </is>
      </c>
      <c r="D93" s="66" t="inlineStr">
        <is>
          <t>F</t>
        </is>
      </c>
      <c r="E93" s="66" t="inlineStr">
        <is>
          <t>N</t>
        </is>
      </c>
      <c r="F93" s="66" t="inlineStr">
        <is>
          <t>N</t>
        </is>
      </c>
      <c r="G93" s="34" t="n">
        <v>90.7</v>
      </c>
      <c r="H93" s="34" t="n">
        <v>109</v>
      </c>
      <c r="I93" s="67">
        <f>IF(ISNUMBER(tblY7[[#This Row],[Avg KS2]]),IFERROR(VLOOKUP(ROUND(STANDARDIZE(tblY7[[#This Row],[Avg KS2]],AVERAGE(tblY7[[Avg KS2]]),_xlfn.STDEV.P(tblY7[[Avg KS2]])),9),_Stanine,2),5),"")</f>
        <v>6</v>
      </c>
      <c r="J93" s="66" t="inlineStr">
        <is>
          <t>7B/Sc2</t>
        </is>
      </c>
      <c r="K93" s="67">
        <f>IF(tblY7[[#This Row],[Preferred Last name]]="","",COUNTIFS($N$1:$ZZ$1,"*"&amp;CHAR(10)&amp;"Stanine",$N93:$ZZ93,"&gt;=1"))</f>
        <v>4</v>
      </c>
      <c r="L93" s="68">
        <f>IFERROR(AVERAGEIF($N$1:$ZZ$1,"*"&amp;CHAR(10)&amp;"Stanine",$N93:$ZZ93),"")</f>
        <v>4.5</v>
      </c>
      <c r="M93" s="69">
        <f>IF(AND(ISNUMBER(tblY7[[#This Row],[Mean Stanine]]),ISNUMBER(tblY7[[#This Row],[Avg KS2 Band]]),ISNUMBER(SlopeY7)),tblY7[[#This Row],[Mean Stanine]]-(InterceptY7+SlopeY7*tblY7[[#This Row],[Avg KS2 Band]]),"")</f>
        <v>-1.20197525342874</v>
      </c>
      <c r="N93" s="66" t="n">
        <v>18</v>
      </c>
      <c r="O93" s="67">
        <f>IF(ISNUMBER(tblY7[[#This Row],[7B01 - Cells
Raw Score]]),IFERROR(VLOOKUP(ROUND(STANDARDIZE(tblY7[[#This Row],[7B01 - Cells
Raw Score]],AVERAGE(tblY7[[7B01 - Cells
Raw Score]]),_xlfn.STDEV.P(tblY7[[7B01 - Cells
Raw Score]])),9),_Stanine,2),5),"")</f>
        <v>5</v>
      </c>
      <c r="P93" s="66" t="n">
        <v>17</v>
      </c>
      <c r="Q93" s="67">
        <f>IF(ISNUMBER(tblY7[[#This Row],[7C01 - Particles
Raw Score]]),IFERROR(VLOOKUP(ROUND(STANDARDIZE(tblY7[[#This Row],[7C01 - Particles
Raw Score]],AVERAGE(tblY7[[7C01 - Particles
Raw Score]]),_xlfn.STDEV.P(tblY7[[7C01 - Particles
Raw Score]])),9),_Stanine,2),5),"")</f>
        <v>4</v>
      </c>
      <c r="R93" s="66" t="n">
        <v>18</v>
      </c>
      <c r="S93" s="67">
        <f>IF(ISNUMBER(tblY7[[#This Row],[7P01 - Forces
Raw Score]]),IFERROR(VLOOKUP(ROUND(STANDARDIZE(tblY7[[#This Row],[7P01 - Forces
Raw Score]],AVERAGE(tblY7[[7P01 - Forces
Raw Score]]),_xlfn.STDEV.P(tblY7[[7P01 - Forces
Raw Score]])),9),_Stanine,2),5),"")</f>
        <v>4</v>
      </c>
      <c r="T93" s="66" t="n">
        <v>19</v>
      </c>
      <c r="U93" s="67">
        <f>IF(ISNUMBER(tblY7[[#This Row],[7B02 - Organ Systems
Raw Score]]),IFERROR(VLOOKUP(ROUND(STANDARDIZE(tblY7[[#This Row],[7B02 - Organ Systems
Raw Score]],AVERAGE(tblY7[[7B02 - Organ Systems
Raw Score]]),_xlfn.STDEV.P(tblY7[[7B02 - Organ Systems
Raw Score]])),9),_Stanine,2),5),"")</f>
        <v>5</v>
      </c>
    </row>
    <row r="94">
      <c r="A94" s="65" t="inlineStr">
        <is>
          <t>X907871398629</t>
        </is>
      </c>
      <c r="B94" s="65" t="inlineStr">
        <is>
          <t>Cooper</t>
        </is>
      </c>
      <c r="C94" s="65" t="inlineStr">
        <is>
          <t>Lewis</t>
        </is>
      </c>
      <c r="D94" s="66" t="inlineStr">
        <is>
          <t>M</t>
        </is>
      </c>
      <c r="E94" s="66" t="inlineStr">
        <is>
          <t>E</t>
        </is>
      </c>
      <c r="F94" s="66" t="inlineStr">
        <is>
          <t>N</t>
        </is>
      </c>
      <c r="G94" s="34" t="n">
        <v>91.2</v>
      </c>
      <c r="H94" s="34" t="n">
        <v>98</v>
      </c>
      <c r="I94" s="67">
        <f>IF(ISNUMBER(tblY7[[#This Row],[Avg KS2]]),IFERROR(VLOOKUP(ROUND(STANDARDIZE(tblY7[[#This Row],[Avg KS2]],AVERAGE(tblY7[[Avg KS2]]),_xlfn.STDEV.P(tblY7[[Avg KS2]])),9),_Stanine,2),5),"")</f>
        <v>2</v>
      </c>
      <c r="J94" s="66" t="inlineStr">
        <is>
          <t>7B/Sc2</t>
        </is>
      </c>
      <c r="K94" s="67">
        <f>IF(tblY7[[#This Row],[Preferred Last name]]="","",COUNTIFS($N$1:$ZZ$1,"*"&amp;CHAR(10)&amp;"Stanine",$N94:$ZZ94,"&gt;=1"))</f>
        <v>4</v>
      </c>
      <c r="L94" s="68">
        <f>IFERROR(AVERAGEIF($N$1:$ZZ$1,"*"&amp;CHAR(10)&amp;"Stanine",$N94:$ZZ94),"")</f>
        <v>1.25</v>
      </c>
      <c r="M94" s="69">
        <f>IF(AND(ISNUMBER(tblY7[[#This Row],[Mean Stanine]]),ISNUMBER(tblY7[[#This Row],[Avg KS2 Band]]),ISNUMBER(SlopeY7)),tblY7[[#This Row],[Mean Stanine]]-(InterceptY7+SlopeY7*tblY7[[#This Row],[Avg KS2 Band]]),"")</f>
        <v>-1.67484347048301</v>
      </c>
      <c r="N94" s="66" t="n">
        <v>5</v>
      </c>
      <c r="O94" s="67">
        <f>IF(ISNUMBER(tblY7[[#This Row],[7B01 - Cells
Raw Score]]),IFERROR(VLOOKUP(ROUND(STANDARDIZE(tblY7[[#This Row],[7B01 - Cells
Raw Score]],AVERAGE(tblY7[[7B01 - Cells
Raw Score]]),_xlfn.STDEV.P(tblY7[[7B01 - Cells
Raw Score]])),9),_Stanine,2),5),"")</f>
        <v>1</v>
      </c>
      <c r="P94" s="66" t="n">
        <v>9</v>
      </c>
      <c r="Q94" s="67">
        <f>IF(ISNUMBER(tblY7[[#This Row],[7C01 - Particles
Raw Score]]),IFERROR(VLOOKUP(ROUND(STANDARDIZE(tblY7[[#This Row],[7C01 - Particles
Raw Score]],AVERAGE(tblY7[[7C01 - Particles
Raw Score]]),_xlfn.STDEV.P(tblY7[[7C01 - Particles
Raw Score]])),9),_Stanine,2),5),"")</f>
        <v>1</v>
      </c>
      <c r="R94" s="66" t="n">
        <v>13</v>
      </c>
      <c r="S94" s="67">
        <f>IF(ISNUMBER(tblY7[[#This Row],[7P01 - Forces
Raw Score]]),IFERROR(VLOOKUP(ROUND(STANDARDIZE(tblY7[[#This Row],[7P01 - Forces
Raw Score]],AVERAGE(tblY7[[7P01 - Forces
Raw Score]]),_xlfn.STDEV.P(tblY7[[7P01 - Forces
Raw Score]])),9),_Stanine,2),5),"")</f>
        <v>2</v>
      </c>
      <c r="T94" s="66" t="n">
        <v>6</v>
      </c>
      <c r="U94" s="67">
        <f>IF(ISNUMBER(tblY7[[#This Row],[7B02 - Organ Systems
Raw Score]]),IFERROR(VLOOKUP(ROUND(STANDARDIZE(tblY7[[#This Row],[7B02 - Organ Systems
Raw Score]],AVERAGE(tblY7[[7B02 - Organ Systems
Raw Score]]),_xlfn.STDEV.P(tblY7[[7B02 - Organ Systems
Raw Score]])),9),_Stanine,2),5),"")</f>
        <v>1</v>
      </c>
    </row>
    <row r="95">
      <c r="A95" s="65" t="inlineStr">
        <is>
          <t>X908156251184</t>
        </is>
      </c>
      <c r="B95" s="65" t="inlineStr">
        <is>
          <t>Griffiths</t>
        </is>
      </c>
      <c r="C95" s="65" t="inlineStr">
        <is>
          <t>Lewis</t>
        </is>
      </c>
      <c r="D95" s="66" t="inlineStr">
        <is>
          <t>F</t>
        </is>
      </c>
      <c r="E95" s="66" t="n"/>
      <c r="F95" s="66" t="inlineStr">
        <is>
          <t>N</t>
        </is>
      </c>
      <c r="G95" s="34" t="n">
        <v>88.3</v>
      </c>
      <c r="H95" s="34" t="n">
        <v>114</v>
      </c>
      <c r="I95" s="67">
        <f>IF(ISNUMBER(tblY7[[#This Row],[Avg KS2]]),IFERROR(VLOOKUP(ROUND(STANDARDIZE(tblY7[[#This Row],[Avg KS2]],AVERAGE(tblY7[[Avg KS2]]),_xlfn.STDEV.P(tblY7[[Avg KS2]])),9),_Stanine,2),5),"")</f>
        <v>8</v>
      </c>
      <c r="J95" s="66" t="inlineStr">
        <is>
          <t>7B/Sc2</t>
        </is>
      </c>
      <c r="K95" s="67">
        <f>IF(tblY7[[#This Row],[Preferred Last name]]="","",COUNTIFS($N$1:$ZZ$1,"*"&amp;CHAR(10)&amp;"Stanine",$N95:$ZZ95,"&gt;=1"))</f>
        <v>4</v>
      </c>
      <c r="L95" s="68">
        <f>IFERROR(AVERAGEIF($N$1:$ZZ$1,"*"&amp;CHAR(10)&amp;"Stanine",$N95:$ZZ95),"")</f>
        <v>6.75</v>
      </c>
      <c r="M95" s="69">
        <f>IF(AND(ISNUMBER(tblY7[[#This Row],[Mean Stanine]]),ISNUMBER(tblY7[[#This Row],[Avg KS2 Band]]),ISNUMBER(SlopeY7)),tblY7[[#This Row],[Mean Stanine]]-(InterceptY7+SlopeY7*tblY7[[#This Row],[Avg KS2 Band]]),"")</f>
        <v>-0.34054114490161</v>
      </c>
      <c r="N95" s="66" t="n">
        <v>25</v>
      </c>
      <c r="O95" s="67">
        <f>IF(ISNUMBER(tblY7[[#This Row],[7B01 - Cells
Raw Score]]),IFERROR(VLOOKUP(ROUND(STANDARDIZE(tblY7[[#This Row],[7B01 - Cells
Raw Score]],AVERAGE(tblY7[[7B01 - Cells
Raw Score]]),_xlfn.STDEV.P(tblY7[[7B01 - Cells
Raw Score]])),9),_Stanine,2),5),"")</f>
        <v>7</v>
      </c>
      <c r="P95" s="66" t="n">
        <v>22</v>
      </c>
      <c r="Q95" s="67">
        <f>IF(ISNUMBER(tblY7[[#This Row],[7C01 - Particles
Raw Score]]),IFERROR(VLOOKUP(ROUND(STANDARDIZE(tblY7[[#This Row],[7C01 - Particles
Raw Score]],AVERAGE(tblY7[[7C01 - Particles
Raw Score]]),_xlfn.STDEV.P(tblY7[[7C01 - Particles
Raw Score]])),9),_Stanine,2),5),"")</f>
        <v>7</v>
      </c>
      <c r="R95" s="66" t="n">
        <v>27</v>
      </c>
      <c r="S95" s="67">
        <f>IF(ISNUMBER(tblY7[[#This Row],[7P01 - Forces
Raw Score]]),IFERROR(VLOOKUP(ROUND(STANDARDIZE(tblY7[[#This Row],[7P01 - Forces
Raw Score]],AVERAGE(tblY7[[7P01 - Forces
Raw Score]]),_xlfn.STDEV.P(tblY7[[7P01 - Forces
Raw Score]])),9),_Stanine,2),5),"")</f>
        <v>7</v>
      </c>
      <c r="T95" s="66" t="n">
        <v>20</v>
      </c>
      <c r="U95" s="67">
        <f>IF(ISNUMBER(tblY7[[#This Row],[7B02 - Organ Systems
Raw Score]]),IFERROR(VLOOKUP(ROUND(STANDARDIZE(tblY7[[#This Row],[7B02 - Organ Systems
Raw Score]],AVERAGE(tblY7[[7B02 - Organ Systems
Raw Score]]),_xlfn.STDEV.P(tblY7[[7B02 - Organ Systems
Raw Score]])),9),_Stanine,2),5),"")</f>
        <v>6</v>
      </c>
    </row>
    <row r="96">
      <c r="A96" s="65" t="inlineStr">
        <is>
          <t>X909675715681</t>
        </is>
      </c>
      <c r="B96" s="65" t="inlineStr">
        <is>
          <t>Jones</t>
        </is>
      </c>
      <c r="C96" s="65" t="inlineStr">
        <is>
          <t>Chidi</t>
        </is>
      </c>
      <c r="D96" s="66" t="inlineStr">
        <is>
          <t>M</t>
        </is>
      </c>
      <c r="E96" s="66" t="n"/>
      <c r="F96" s="66" t="inlineStr">
        <is>
          <t>N</t>
        </is>
      </c>
      <c r="G96" s="34" t="n">
        <v>94</v>
      </c>
      <c r="H96" s="34" t="n">
        <v>114.5</v>
      </c>
      <c r="I96" s="67">
        <f>IF(ISNUMBER(tblY7[[#This Row],[Avg KS2]]),IFERROR(VLOOKUP(ROUND(STANDARDIZE(tblY7[[#This Row],[Avg KS2]],AVERAGE(tblY7[[Avg KS2]]),_xlfn.STDEV.P(tblY7[[Avg KS2]])),9),_Stanine,2),5),"")</f>
        <v>8</v>
      </c>
      <c r="J96" s="66" t="inlineStr">
        <is>
          <t>7B/Sc2</t>
        </is>
      </c>
      <c r="K96" s="67">
        <f>IF(tblY7[[#This Row],[Preferred Last name]]="","",COUNTIFS($N$1:$ZZ$1,"*"&amp;CHAR(10)&amp;"Stanine",$N96:$ZZ96,"&gt;=1"))</f>
        <v>4</v>
      </c>
      <c r="L96" s="68">
        <f>IFERROR(AVERAGEIF($N$1:$ZZ$1,"*"&amp;CHAR(10)&amp;"Stanine",$N96:$ZZ96),"")</f>
        <v>7</v>
      </c>
      <c r="M96" s="69">
        <f>IF(AND(ISNUMBER(tblY7[[#This Row],[Mean Stanine]]),ISNUMBER(tblY7[[#This Row],[Avg KS2 Band]]),ISNUMBER(SlopeY7)),tblY7[[#This Row],[Mean Stanine]]-(InterceptY7+SlopeY7*tblY7[[#This Row],[Avg KS2 Band]]),"")</f>
        <v>-0.0905411449016098</v>
      </c>
      <c r="N96" s="66" t="n">
        <v>23</v>
      </c>
      <c r="O96" s="67">
        <f>IF(ISNUMBER(tblY7[[#This Row],[7B01 - Cells
Raw Score]]),IFERROR(VLOOKUP(ROUND(STANDARDIZE(tblY7[[#This Row],[7B01 - Cells
Raw Score]],AVERAGE(tblY7[[7B01 - Cells
Raw Score]]),_xlfn.STDEV.P(tblY7[[7B01 - Cells
Raw Score]])),9),_Stanine,2),5),"")</f>
        <v>7</v>
      </c>
      <c r="P96" s="66" t="n">
        <v>22</v>
      </c>
      <c r="Q96" s="67">
        <f>IF(ISNUMBER(tblY7[[#This Row],[7C01 - Particles
Raw Score]]),IFERROR(VLOOKUP(ROUND(STANDARDIZE(tblY7[[#This Row],[7C01 - Particles
Raw Score]],AVERAGE(tblY7[[7C01 - Particles
Raw Score]]),_xlfn.STDEV.P(tblY7[[7C01 - Particles
Raw Score]])),9),_Stanine,2),5),"")</f>
        <v>7</v>
      </c>
      <c r="R96" s="66" t="n">
        <v>27</v>
      </c>
      <c r="S96" s="67">
        <f>IF(ISNUMBER(tblY7[[#This Row],[7P01 - Forces
Raw Score]]),IFERROR(VLOOKUP(ROUND(STANDARDIZE(tblY7[[#This Row],[7P01 - Forces
Raw Score]],AVERAGE(tblY7[[7P01 - Forces
Raw Score]]),_xlfn.STDEV.P(tblY7[[7P01 - Forces
Raw Score]])),9),_Stanine,2),5),"")</f>
        <v>7</v>
      </c>
      <c r="T96" s="66" t="n">
        <v>24</v>
      </c>
      <c r="U96" s="67">
        <f>IF(ISNUMBER(tblY7[[#This Row],[7B02 - Organ Systems
Raw Score]]),IFERROR(VLOOKUP(ROUND(STANDARDIZE(tblY7[[#This Row],[7B02 - Organ Systems
Raw Score]],AVERAGE(tblY7[[7B02 - Organ Systems
Raw Score]]),_xlfn.STDEV.P(tblY7[[7B02 - Organ Systems
Raw Score]])),9),_Stanine,2),5),"")</f>
        <v>7</v>
      </c>
    </row>
    <row r="97">
      <c r="A97" s="65" t="inlineStr">
        <is>
          <t>X908231742368</t>
        </is>
      </c>
      <c r="B97" s="65" t="inlineStr">
        <is>
          <t>Kelly</t>
        </is>
      </c>
      <c r="C97" s="65" t="inlineStr">
        <is>
          <t>Charlie</t>
        </is>
      </c>
      <c r="D97" s="66" t="inlineStr">
        <is>
          <t>M</t>
        </is>
      </c>
      <c r="E97" s="66" t="inlineStr">
        <is>
          <t>N</t>
        </is>
      </c>
      <c r="F97" s="66" t="inlineStr">
        <is>
          <t>N</t>
        </is>
      </c>
      <c r="G97" s="34" t="n">
        <v>96.7</v>
      </c>
      <c r="H97" s="34" t="n">
        <v>103</v>
      </c>
      <c r="I97" s="67">
        <f>IF(ISNUMBER(tblY7[[#This Row],[Avg KS2]]),IFERROR(VLOOKUP(ROUND(STANDARDIZE(tblY7[[#This Row],[Avg KS2]],AVERAGE(tblY7[[Avg KS2]]),_xlfn.STDEV.P(tblY7[[Avg KS2]])),9),_Stanine,2),5),"")</f>
        <v>3</v>
      </c>
      <c r="J97" s="66" t="inlineStr">
        <is>
          <t>7B/Sc2</t>
        </is>
      </c>
      <c r="K97" s="67">
        <f>IF(tblY7[[#This Row],[Preferred Last name]]="","",COUNTIFS($N$1:$ZZ$1,"*"&amp;CHAR(10)&amp;"Stanine",$N97:$ZZ97,"&gt;=1"))</f>
        <v>3</v>
      </c>
      <c r="L97" s="68">
        <f>IFERROR(AVERAGEIF($N$1:$ZZ$1,"*"&amp;CHAR(10)&amp;"Stanine",$N97:$ZZ97),"")</f>
        <v>4.66666666666667</v>
      </c>
      <c r="M97" s="69">
        <f>IF(AND(ISNUMBER(tblY7[[#This Row],[Mean Stanine]]),ISNUMBER(tblY7[[#This Row],[Avg KS2 Band]]),ISNUMBER(SlopeY7)),tblY7[[#This Row],[Mean Stanine]]-(InterceptY7+SlopeY7*tblY7[[#This Row],[Avg KS2 Band]]),"")</f>
        <v>1.04754025044723</v>
      </c>
      <c r="N97" s="66" t="n">
        <v>15</v>
      </c>
      <c r="O97" s="67">
        <f>IF(ISNUMBER(tblY7[[#This Row],[7B01 - Cells
Raw Score]]),IFERROR(VLOOKUP(ROUND(STANDARDIZE(tblY7[[#This Row],[7B01 - Cells
Raw Score]],AVERAGE(tblY7[[7B01 - Cells
Raw Score]]),_xlfn.STDEV.P(tblY7[[7B01 - Cells
Raw Score]])),9),_Stanine,2),5),"")</f>
        <v>4</v>
      </c>
      <c r="P97" s="66" t="n">
        <v>20</v>
      </c>
      <c r="Q97" s="67">
        <f>IF(ISNUMBER(tblY7[[#This Row],[7C01 - Particles
Raw Score]]),IFERROR(VLOOKUP(ROUND(STANDARDIZE(tblY7[[#This Row],[7C01 - Particles
Raw Score]],AVERAGE(tblY7[[7C01 - Particles
Raw Score]]),_xlfn.STDEV.P(tblY7[[7C01 - Particles
Raw Score]])),9),_Stanine,2),5),"")</f>
        <v>6</v>
      </c>
      <c r="R97" s="66" t="n">
        <v>20</v>
      </c>
      <c r="S97" s="67">
        <f>IF(ISNUMBER(tblY7[[#This Row],[7P01 - Forces
Raw Score]]),IFERROR(VLOOKUP(ROUND(STANDARDIZE(tblY7[[#This Row],[7P01 - Forces
Raw Score]],AVERAGE(tblY7[[7P01 - Forces
Raw Score]]),_xlfn.STDEV.P(tblY7[[7P01 - Forces
Raw Score]])),9),_Stanine,2),5),"")</f>
        <v>4</v>
      </c>
      <c r="T97" s="66" t="inlineStr">
        <is>
          <t>A</t>
        </is>
      </c>
      <c r="U97" s="67" t="str">
        <f>IF(ISNUMBER(tblY7[[#This Row],[7B02 - Organ Systems
Raw Score]]),IFERROR(VLOOKUP(ROUND(STANDARDIZE(tblY7[[#This Row],[7B02 - Organ Systems
Raw Score]],AVERAGE(tblY7[[7B02 - Organ Systems
Raw Score]]),_xlfn.STDEV.P(tblY7[[7B02 - Organ Systems
Raw Score]])),9),_Stanine,2),5),"")</f>
        <v/>
      </c>
    </row>
    <row r="98">
      <c r="A98" s="65" t="inlineStr">
        <is>
          <t>X905967811327</t>
        </is>
      </c>
      <c r="B98" s="65" t="inlineStr">
        <is>
          <t>Kowalski</t>
        </is>
      </c>
      <c r="C98" s="65" t="inlineStr">
        <is>
          <t>Dylan</t>
        </is>
      </c>
      <c r="D98" s="66" t="inlineStr">
        <is>
          <t>M</t>
        </is>
      </c>
      <c r="E98" s="66" t="inlineStr">
        <is>
          <t>N</t>
        </is>
      </c>
      <c r="F98" s="66" t="inlineStr">
        <is>
          <t>Y</t>
        </is>
      </c>
      <c r="G98" s="34" t="n">
        <v>100</v>
      </c>
      <c r="H98" s="34" t="n">
        <v>108</v>
      </c>
      <c r="I98" s="67">
        <f>IF(ISNUMBER(tblY7[[#This Row],[Avg KS2]]),IFERROR(VLOOKUP(ROUND(STANDARDIZE(tblY7[[#This Row],[Avg KS2]],AVERAGE(tblY7[[Avg KS2]]),_xlfn.STDEV.P(tblY7[[Avg KS2]])),9),_Stanine,2),5),"")</f>
        <v>5</v>
      </c>
      <c r="J98" s="66" t="inlineStr">
        <is>
          <t>7B/Sc2</t>
        </is>
      </c>
      <c r="K98" s="67">
        <f>IF(tblY7[[#This Row],[Preferred Last name]]="","",COUNTIFS($N$1:$ZZ$1,"*"&amp;CHAR(10)&amp;"Stanine",$N98:$ZZ98,"&gt;=1"))</f>
        <v>4</v>
      </c>
      <c r="L98" s="68">
        <f>IFERROR(AVERAGEIF($N$1:$ZZ$1,"*"&amp;CHAR(10)&amp;"Stanine",$N98:$ZZ98),"")</f>
        <v>7</v>
      </c>
      <c r="M98" s="69">
        <f>IF(AND(ISNUMBER(tblY7[[#This Row],[Mean Stanine]]),ISNUMBER(tblY7[[#This Row],[Avg KS2 Band]]),ISNUMBER(SlopeY7)),tblY7[[#This Row],[Mean Stanine]]-(InterceptY7+SlopeY7*tblY7[[#This Row],[Avg KS2 Band]]),"")</f>
        <v>1.99230769230769</v>
      </c>
      <c r="N98" s="66" t="n">
        <v>24</v>
      </c>
      <c r="O98" s="67">
        <f>IF(ISNUMBER(tblY7[[#This Row],[7B01 - Cells
Raw Score]]),IFERROR(VLOOKUP(ROUND(STANDARDIZE(tblY7[[#This Row],[7B01 - Cells
Raw Score]],AVERAGE(tblY7[[7B01 - Cells
Raw Score]]),_xlfn.STDEV.P(tblY7[[7B01 - Cells
Raw Score]])),9),_Stanine,2),5),"")</f>
        <v>7</v>
      </c>
      <c r="P98" s="66" t="n">
        <v>22</v>
      </c>
      <c r="Q98" s="67">
        <f>IF(ISNUMBER(tblY7[[#This Row],[7C01 - Particles
Raw Score]]),IFERROR(VLOOKUP(ROUND(STANDARDIZE(tblY7[[#This Row],[7C01 - Particles
Raw Score]],AVERAGE(tblY7[[7C01 - Particles
Raw Score]]),_xlfn.STDEV.P(tblY7[[7C01 - Particles
Raw Score]])),9),_Stanine,2),5),"")</f>
        <v>7</v>
      </c>
      <c r="R98" s="66" t="n">
        <v>26</v>
      </c>
      <c r="S98" s="67">
        <f>IF(ISNUMBER(tblY7[[#This Row],[7P01 - Forces
Raw Score]]),IFERROR(VLOOKUP(ROUND(STANDARDIZE(tblY7[[#This Row],[7P01 - Forces
Raw Score]],AVERAGE(tblY7[[7P01 - Forces
Raw Score]]),_xlfn.STDEV.P(tblY7[[7P01 - Forces
Raw Score]])),9),_Stanine,2),5),"")</f>
        <v>7</v>
      </c>
      <c r="T98" s="66" t="n">
        <v>24</v>
      </c>
      <c r="U98" s="67">
        <f>IF(ISNUMBER(tblY7[[#This Row],[7B02 - Organ Systems
Raw Score]]),IFERROR(VLOOKUP(ROUND(STANDARDIZE(tblY7[[#This Row],[7B02 - Organ Systems
Raw Score]],AVERAGE(tblY7[[7B02 - Organ Systems
Raw Score]]),_xlfn.STDEV.P(tblY7[[7B02 - Organ Systems
Raw Score]])),9),_Stanine,2),5),"")</f>
        <v>7</v>
      </c>
    </row>
    <row r="99">
      <c r="A99" s="65" t="inlineStr">
        <is>
          <t>X901105348283</t>
        </is>
      </c>
      <c r="B99" s="65" t="inlineStr">
        <is>
          <t>Kowalski</t>
        </is>
      </c>
      <c r="C99" s="65" t="inlineStr">
        <is>
          <t>Sami</t>
        </is>
      </c>
      <c r="D99" s="66" t="inlineStr">
        <is>
          <t>M</t>
        </is>
      </c>
      <c r="E99" s="66" t="n"/>
      <c r="F99" s="66" t="inlineStr">
        <is>
          <t>N</t>
        </is>
      </c>
      <c r="G99" s="34" t="n">
        <v>98.09999999999999</v>
      </c>
      <c r="H99" s="34" t="n">
        <v>98</v>
      </c>
      <c r="I99" s="67">
        <f>IF(ISNUMBER(tblY7[[#This Row],[Avg KS2]]),IFERROR(VLOOKUP(ROUND(STANDARDIZE(tblY7[[#This Row],[Avg KS2]],AVERAGE(tblY7[[Avg KS2]]),_xlfn.STDEV.P(tblY7[[Avg KS2]])),9),_Stanine,2),5),"")</f>
        <v>2</v>
      </c>
      <c r="J99" s="66" t="inlineStr">
        <is>
          <t>7B/Sc2</t>
        </is>
      </c>
      <c r="K99" s="67">
        <f>IF(tblY7[[#This Row],[Preferred Last name]]="","",COUNTIFS($N$1:$ZZ$1,"*"&amp;CHAR(10)&amp;"Stanine",$N99:$ZZ99,"&gt;=1"))</f>
        <v>4</v>
      </c>
      <c r="L99" s="68">
        <f>IFERROR(AVERAGEIF($N$1:$ZZ$1,"*"&amp;CHAR(10)&amp;"Stanine",$N99:$ZZ99),"")</f>
        <v>3.75</v>
      </c>
      <c r="M99" s="69">
        <f>IF(AND(ISNUMBER(tblY7[[#This Row],[Mean Stanine]]),ISNUMBER(tblY7[[#This Row],[Avg KS2 Band]]),ISNUMBER(SlopeY7)),tblY7[[#This Row],[Mean Stanine]]-(InterceptY7+SlopeY7*tblY7[[#This Row],[Avg KS2 Band]]),"")</f>
        <v>0.825156529516995</v>
      </c>
      <c r="N99" s="66" t="n">
        <v>8</v>
      </c>
      <c r="O99" s="67">
        <f>IF(ISNUMBER(tblY7[[#This Row],[7B01 - Cells
Raw Score]]),IFERROR(VLOOKUP(ROUND(STANDARDIZE(tblY7[[#This Row],[7B01 - Cells
Raw Score]],AVERAGE(tblY7[[7B01 - Cells
Raw Score]]),_xlfn.STDEV.P(tblY7[[7B01 - Cells
Raw Score]])),9),_Stanine,2),5),"")</f>
        <v>2</v>
      </c>
      <c r="P99" s="66" t="n">
        <v>19</v>
      </c>
      <c r="Q99" s="67">
        <f>IF(ISNUMBER(tblY7[[#This Row],[7C01 - Particles
Raw Score]]),IFERROR(VLOOKUP(ROUND(STANDARDIZE(tblY7[[#This Row],[7C01 - Particles
Raw Score]],AVERAGE(tblY7[[7C01 - Particles
Raw Score]]),_xlfn.STDEV.P(tblY7[[7C01 - Particles
Raw Score]])),9),_Stanine,2),5),"")</f>
        <v>5</v>
      </c>
      <c r="R99" s="66" t="n">
        <v>18</v>
      </c>
      <c r="S99" s="67">
        <f>IF(ISNUMBER(tblY7[[#This Row],[7P01 - Forces
Raw Score]]),IFERROR(VLOOKUP(ROUND(STANDARDIZE(tblY7[[#This Row],[7P01 - Forces
Raw Score]],AVERAGE(tblY7[[7P01 - Forces
Raw Score]]),_xlfn.STDEV.P(tblY7[[7P01 - Forces
Raw Score]])),9),_Stanine,2),5),"")</f>
        <v>4</v>
      </c>
      <c r="T99" s="66" t="n">
        <v>16</v>
      </c>
      <c r="U99" s="67">
        <f>IF(ISNUMBER(tblY7[[#This Row],[7B02 - Organ Systems
Raw Score]]),IFERROR(VLOOKUP(ROUND(STANDARDIZE(tblY7[[#This Row],[7B02 - Organ Systems
Raw Score]],AVERAGE(tblY7[[7B02 - Organ Systems
Raw Score]]),_xlfn.STDEV.P(tblY7[[7B02 - Organ Systems
Raw Score]])),9),_Stanine,2),5),"")</f>
        <v>4</v>
      </c>
    </row>
    <row r="100">
      <c r="A100" s="65" t="inlineStr">
        <is>
          <t>X901533465891</t>
        </is>
      </c>
      <c r="B100" s="65" t="inlineStr">
        <is>
          <t>Mistry</t>
        </is>
      </c>
      <c r="C100" s="65" t="inlineStr">
        <is>
          <t>Nia</t>
        </is>
      </c>
      <c r="D100" s="66" t="inlineStr">
        <is>
          <t>F</t>
        </is>
      </c>
      <c r="E100" s="66" t="inlineStr">
        <is>
          <t>N</t>
        </is>
      </c>
      <c r="F100" s="66" t="inlineStr">
        <is>
          <t>Y</t>
        </is>
      </c>
      <c r="G100" s="34" t="n">
        <v>96.8</v>
      </c>
      <c r="H100" s="34" t="n">
        <v>104.5</v>
      </c>
      <c r="I100" s="67">
        <f>IF(ISNUMBER(tblY7[[#This Row],[Avg KS2]]),IFERROR(VLOOKUP(ROUND(STANDARDIZE(tblY7[[#This Row],[Avg KS2]],AVERAGE(tblY7[[Avg KS2]]),_xlfn.STDEV.P(tblY7[[Avg KS2]])),9),_Stanine,2),5),"")</f>
        <v>4</v>
      </c>
      <c r="J100" s="66" t="inlineStr">
        <is>
          <t>7B/Sc2</t>
        </is>
      </c>
      <c r="K100" s="67">
        <f>IF(tblY7[[#This Row],[Preferred Last name]]="","",COUNTIFS($N$1:$ZZ$1,"*"&amp;CHAR(10)&amp;"Stanine",$N100:$ZZ100,"&gt;=1"))</f>
        <v>4</v>
      </c>
      <c r="L100" s="68">
        <f>IFERROR(AVERAGEIF($N$1:$ZZ$1,"*"&amp;CHAR(10)&amp;"Stanine",$N100:$ZZ100),"")</f>
        <v>6.75</v>
      </c>
      <c r="M100" s="69">
        <f>IF(AND(ISNUMBER(tblY7[[#This Row],[Mean Stanine]]),ISNUMBER(tblY7[[#This Row],[Avg KS2 Band]]),ISNUMBER(SlopeY7)),tblY7[[#This Row],[Mean Stanine]]-(InterceptY7+SlopeY7*tblY7[[#This Row],[Avg KS2 Band]]),"")</f>
        <v>2.43659063804413</v>
      </c>
      <c r="N100" s="66" t="n">
        <v>20</v>
      </c>
      <c r="O100" s="67">
        <f>IF(ISNUMBER(tblY7[[#This Row],[7B01 - Cells
Raw Score]]),IFERROR(VLOOKUP(ROUND(STANDARDIZE(tblY7[[#This Row],[7B01 - Cells
Raw Score]],AVERAGE(tblY7[[7B01 - Cells
Raw Score]]),_xlfn.STDEV.P(tblY7[[7B01 - Cells
Raw Score]])),9),_Stanine,2),5),"")</f>
        <v>6</v>
      </c>
      <c r="P100" s="66" t="n">
        <v>22</v>
      </c>
      <c r="Q100" s="67">
        <f>IF(ISNUMBER(tblY7[[#This Row],[7C01 - Particles
Raw Score]]),IFERROR(VLOOKUP(ROUND(STANDARDIZE(tblY7[[#This Row],[7C01 - Particles
Raw Score]],AVERAGE(tblY7[[7C01 - Particles
Raw Score]]),_xlfn.STDEV.P(tblY7[[7C01 - Particles
Raw Score]])),9),_Stanine,2),5),"")</f>
        <v>7</v>
      </c>
      <c r="R100" s="66" t="n">
        <v>26</v>
      </c>
      <c r="S100" s="67">
        <f>IF(ISNUMBER(tblY7[[#This Row],[7P01 - Forces
Raw Score]]),IFERROR(VLOOKUP(ROUND(STANDARDIZE(tblY7[[#This Row],[7P01 - Forces
Raw Score]],AVERAGE(tblY7[[7P01 - Forces
Raw Score]]),_xlfn.STDEV.P(tblY7[[7P01 - Forces
Raw Score]])),9),_Stanine,2),5),"")</f>
        <v>7</v>
      </c>
      <c r="T100" s="66" t="n">
        <v>23</v>
      </c>
      <c r="U100" s="67">
        <f>IF(ISNUMBER(tblY7[[#This Row],[7B02 - Organ Systems
Raw Score]]),IFERROR(VLOOKUP(ROUND(STANDARDIZE(tblY7[[#This Row],[7B02 - Organ Systems
Raw Score]],AVERAGE(tblY7[[7B02 - Organ Systems
Raw Score]]),_xlfn.STDEV.P(tblY7[[7B02 - Organ Systems
Raw Score]])),9),_Stanine,2),5),"")</f>
        <v>7</v>
      </c>
    </row>
    <row r="101">
      <c r="A101" s="65" t="inlineStr">
        <is>
          <t>X900651740945</t>
        </is>
      </c>
      <c r="B101" s="65" t="inlineStr">
        <is>
          <t>Nowak</t>
        </is>
      </c>
      <c r="C101" s="65" t="inlineStr">
        <is>
          <t>Freya</t>
        </is>
      </c>
      <c r="D101" s="66" t="inlineStr">
        <is>
          <t>F</t>
        </is>
      </c>
      <c r="E101" s="66" t="inlineStr">
        <is>
          <t>N</t>
        </is>
      </c>
      <c r="F101" s="66" t="inlineStr">
        <is>
          <t>N</t>
        </is>
      </c>
      <c r="G101" s="34" t="n">
        <v>95.40000000000001</v>
      </c>
      <c r="H101" s="34" t="n">
        <v>109</v>
      </c>
      <c r="I101" s="67">
        <f>IF(ISNUMBER(tblY7[[#This Row],[Avg KS2]]),IFERROR(VLOOKUP(ROUND(STANDARDIZE(tblY7[[#This Row],[Avg KS2]],AVERAGE(tblY7[[Avg KS2]]),_xlfn.STDEV.P(tblY7[[Avg KS2]])),9),_Stanine,2),5),"")</f>
        <v>6</v>
      </c>
      <c r="J101" s="66" t="inlineStr">
        <is>
          <t>7B/Sc2</t>
        </is>
      </c>
      <c r="K101" s="67">
        <f>IF(tblY7[[#This Row],[Preferred Last name]]="","",COUNTIFS($N$1:$ZZ$1,"*"&amp;CHAR(10)&amp;"Stanine",$N101:$ZZ101,"&gt;=1"))</f>
        <v>4</v>
      </c>
      <c r="L101" s="68">
        <f>IFERROR(AVERAGEIF($N$1:$ZZ$1,"*"&amp;CHAR(10)&amp;"Stanine",$N101:$ZZ101),"")</f>
        <v>6.5</v>
      </c>
      <c r="M101" s="69">
        <f>IF(AND(ISNUMBER(tblY7[[#This Row],[Mean Stanine]]),ISNUMBER(tblY7[[#This Row],[Avg KS2 Band]]),ISNUMBER(SlopeY7)),tblY7[[#This Row],[Mean Stanine]]-(InterceptY7+SlopeY7*tblY7[[#This Row],[Avg KS2 Band]]),"")</f>
        <v>0.798024746571259</v>
      </c>
      <c r="N101" s="66" t="n">
        <v>27</v>
      </c>
      <c r="O101" s="67">
        <f>IF(ISNUMBER(tblY7[[#This Row],[7B01 - Cells
Raw Score]]),IFERROR(VLOOKUP(ROUND(STANDARDIZE(tblY7[[#This Row],[7B01 - Cells
Raw Score]],AVERAGE(tblY7[[7B01 - Cells
Raw Score]]),_xlfn.STDEV.P(tblY7[[7B01 - Cells
Raw Score]])),9),_Stanine,2),5),"")</f>
        <v>8</v>
      </c>
      <c r="P101" s="66" t="n">
        <v>21</v>
      </c>
      <c r="Q101" s="67">
        <f>IF(ISNUMBER(tblY7[[#This Row],[7C01 - Particles
Raw Score]]),IFERROR(VLOOKUP(ROUND(STANDARDIZE(tblY7[[#This Row],[7C01 - Particles
Raw Score]],AVERAGE(tblY7[[7C01 - Particles
Raw Score]]),_xlfn.STDEV.P(tblY7[[7C01 - Particles
Raw Score]])),9),_Stanine,2),5),"")</f>
        <v>6</v>
      </c>
      <c r="R101" s="66" t="n">
        <v>26</v>
      </c>
      <c r="S101" s="67">
        <f>IF(ISNUMBER(tblY7[[#This Row],[7P01 - Forces
Raw Score]]),IFERROR(VLOOKUP(ROUND(STANDARDIZE(tblY7[[#This Row],[7P01 - Forces
Raw Score]],AVERAGE(tblY7[[7P01 - Forces
Raw Score]]),_xlfn.STDEV.P(tblY7[[7P01 - Forces
Raw Score]])),9),_Stanine,2),5),"")</f>
        <v>7</v>
      </c>
      <c r="T101" s="66" t="n">
        <v>18</v>
      </c>
      <c r="U101" s="67">
        <f>IF(ISNUMBER(tblY7[[#This Row],[7B02 - Organ Systems
Raw Score]]),IFERROR(VLOOKUP(ROUND(STANDARDIZE(tblY7[[#This Row],[7B02 - Organ Systems
Raw Score]],AVERAGE(tblY7[[7B02 - Organ Systems
Raw Score]]),_xlfn.STDEV.P(tblY7[[7B02 - Organ Systems
Raw Score]])),9),_Stanine,2),5),"")</f>
        <v>5</v>
      </c>
    </row>
    <row r="102">
      <c r="A102" s="65" t="inlineStr">
        <is>
          <t>X901854514404</t>
        </is>
      </c>
      <c r="B102" s="65" t="inlineStr">
        <is>
          <t>Nowak</t>
        </is>
      </c>
      <c r="C102" s="65" t="inlineStr">
        <is>
          <t>Zara</t>
        </is>
      </c>
      <c r="D102" s="66" t="inlineStr">
        <is>
          <t>M</t>
        </is>
      </c>
      <c r="E102" s="66" t="n"/>
      <c r="F102" s="66" t="inlineStr">
        <is>
          <t>Y</t>
        </is>
      </c>
      <c r="G102" s="34" t="n">
        <v>96.90000000000001</v>
      </c>
      <c r="H102" s="34" t="n">
        <v>103.5</v>
      </c>
      <c r="I102" s="67">
        <f>IF(ISNUMBER(tblY7[[#This Row],[Avg KS2]]),IFERROR(VLOOKUP(ROUND(STANDARDIZE(tblY7[[#This Row],[Avg KS2]],AVERAGE(tblY7[[Avg KS2]]),_xlfn.STDEV.P(tblY7[[Avg KS2]])),9),_Stanine,2),5),"")</f>
        <v>4</v>
      </c>
      <c r="J102" s="66" t="inlineStr">
        <is>
          <t>7B/Sc2</t>
        </is>
      </c>
      <c r="K102" s="67">
        <f>IF(tblY7[[#This Row],[Preferred Last name]]="","",COUNTIFS($N$1:$ZZ$1,"*"&amp;CHAR(10)&amp;"Stanine",$N102:$ZZ102,"&gt;=1"))</f>
        <v>3</v>
      </c>
      <c r="L102" s="68">
        <f>IFERROR(AVERAGEIF($N$1:$ZZ$1,"*"&amp;CHAR(10)&amp;"Stanine",$N102:$ZZ102),"")</f>
        <v>4.66666666666667</v>
      </c>
      <c r="M102" s="69">
        <f>IF(AND(ISNUMBER(tblY7[[#This Row],[Mean Stanine]]),ISNUMBER(tblY7[[#This Row],[Avg KS2 Band]]),ISNUMBER(SlopeY7)),tblY7[[#This Row],[Mean Stanine]]-(InterceptY7+SlopeY7*tblY7[[#This Row],[Avg KS2 Band]]),"")</f>
        <v>0.353257304710794</v>
      </c>
      <c r="N102" s="66" t="n">
        <v>17</v>
      </c>
      <c r="O102" s="67">
        <f>IF(ISNUMBER(tblY7[[#This Row],[7B01 - Cells
Raw Score]]),IFERROR(VLOOKUP(ROUND(STANDARDIZE(tblY7[[#This Row],[7B01 - Cells
Raw Score]],AVERAGE(tblY7[[7B01 - Cells
Raw Score]]),_xlfn.STDEV.P(tblY7[[7B01 - Cells
Raw Score]])),9),_Stanine,2),5),"")</f>
        <v>5</v>
      </c>
      <c r="P102" s="66" t="inlineStr">
        <is>
          <t>A</t>
        </is>
      </c>
      <c r="Q102" s="67" t="str">
        <f>IF(ISNUMBER(tblY7[[#This Row],[7C01 - Particles
Raw Score]]),IFERROR(VLOOKUP(ROUND(STANDARDIZE(tblY7[[#This Row],[7C01 - Particles
Raw Score]],AVERAGE(tblY7[[7C01 - Particles
Raw Score]]),_xlfn.STDEV.P(tblY7[[7C01 - Particles
Raw Score]])),9),_Stanine,2),5),"")</f>
        <v/>
      </c>
      <c r="R102" s="66" t="n">
        <v>22</v>
      </c>
      <c r="S102" s="67">
        <f>IF(ISNUMBER(tblY7[[#This Row],[7P01 - Forces
Raw Score]]),IFERROR(VLOOKUP(ROUND(STANDARDIZE(tblY7[[#This Row],[7P01 - Forces
Raw Score]],AVERAGE(tblY7[[7P01 - Forces
Raw Score]]),_xlfn.STDEV.P(tblY7[[7P01 - Forces
Raw Score]])),9),_Stanine,2),5),"")</f>
        <v>5</v>
      </c>
      <c r="T102" s="66" t="n">
        <v>15</v>
      </c>
      <c r="U102" s="67">
        <f>IF(ISNUMBER(tblY7[[#This Row],[7B02 - Organ Systems
Raw Score]]),IFERROR(VLOOKUP(ROUND(STANDARDIZE(tblY7[[#This Row],[7B02 - Organ Systems
Raw Score]],AVERAGE(tblY7[[7B02 - Organ Systems
Raw Score]]),_xlfn.STDEV.P(tblY7[[7B02 - Organ Systems
Raw Score]])),9),_Stanine,2),5),"")</f>
        <v>4</v>
      </c>
    </row>
    <row r="103">
      <c r="A103" s="65" t="inlineStr">
        <is>
          <t>X900467241202</t>
        </is>
      </c>
      <c r="B103" s="65" t="inlineStr">
        <is>
          <t>Okafor</t>
        </is>
      </c>
      <c r="C103" s="65" t="inlineStr">
        <is>
          <t>Finley</t>
        </is>
      </c>
      <c r="D103" s="66" t="inlineStr">
        <is>
          <t>F</t>
        </is>
      </c>
      <c r="E103" s="66" t="n"/>
      <c r="F103" s="66" t="inlineStr">
        <is>
          <t>Y</t>
        </is>
      </c>
      <c r="G103" s="34" t="n">
        <v>87.5</v>
      </c>
      <c r="H103" s="34" t="n">
        <v>108.5</v>
      </c>
      <c r="I103" s="67">
        <f>IF(ISNUMBER(tblY7[[#This Row],[Avg KS2]]),IFERROR(VLOOKUP(ROUND(STANDARDIZE(tblY7[[#This Row],[Avg KS2]],AVERAGE(tblY7[[Avg KS2]]),_xlfn.STDEV.P(tblY7[[Avg KS2]])),9),_Stanine,2),5),"")</f>
        <v>6</v>
      </c>
      <c r="J103" s="66" t="inlineStr">
        <is>
          <t>7B/Sc2</t>
        </is>
      </c>
      <c r="K103" s="67">
        <f>IF(tblY7[[#This Row],[Preferred Last name]]="","",COUNTIFS($N$1:$ZZ$1,"*"&amp;CHAR(10)&amp;"Stanine",$N103:$ZZ103,"&gt;=1"))</f>
        <v>3</v>
      </c>
      <c r="L103" s="68">
        <f>IFERROR(AVERAGEIF($N$1:$ZZ$1,"*"&amp;CHAR(10)&amp;"Stanine",$N103:$ZZ103),"")</f>
        <v>3.66666666666667</v>
      </c>
      <c r="M103" s="69">
        <f>IF(AND(ISNUMBER(tblY7[[#This Row],[Mean Stanine]]),ISNUMBER(tblY7[[#This Row],[Avg KS2 Band]]),ISNUMBER(SlopeY7)),tblY7[[#This Row],[Mean Stanine]]-(InterceptY7+SlopeY7*tblY7[[#This Row],[Avg KS2 Band]]),"")</f>
        <v>-2.03530858676207</v>
      </c>
      <c r="N103" s="66" t="n">
        <v>10</v>
      </c>
      <c r="O103" s="67">
        <f>IF(ISNUMBER(tblY7[[#This Row],[7B01 - Cells
Raw Score]]),IFERROR(VLOOKUP(ROUND(STANDARDIZE(tblY7[[#This Row],[7B01 - Cells
Raw Score]],AVERAGE(tblY7[[7B01 - Cells
Raw Score]]),_xlfn.STDEV.P(tblY7[[7B01 - Cells
Raw Score]])),9),_Stanine,2),5),"")</f>
        <v>3</v>
      </c>
      <c r="P103" s="66" t="n">
        <v>14</v>
      </c>
      <c r="Q103" s="67">
        <f>IF(ISNUMBER(tblY7[[#This Row],[7C01 - Particles
Raw Score]]),IFERROR(VLOOKUP(ROUND(STANDARDIZE(tblY7[[#This Row],[7C01 - Particles
Raw Score]],AVERAGE(tblY7[[7C01 - Particles
Raw Score]]),_xlfn.STDEV.P(tblY7[[7C01 - Particles
Raw Score]])),9),_Stanine,2),5),"")</f>
        <v>3</v>
      </c>
      <c r="R103" s="66" t="n">
        <v>21</v>
      </c>
      <c r="S103" s="67">
        <f>IF(ISNUMBER(tblY7[[#This Row],[7P01 - Forces
Raw Score]]),IFERROR(VLOOKUP(ROUND(STANDARDIZE(tblY7[[#This Row],[7P01 - Forces
Raw Score]],AVERAGE(tblY7[[7P01 - Forces
Raw Score]]),_xlfn.STDEV.P(tblY7[[7P01 - Forces
Raw Score]])),9),_Stanine,2),5),"")</f>
        <v>5</v>
      </c>
      <c r="T103" s="66" t="inlineStr">
        <is>
          <t>A</t>
        </is>
      </c>
      <c r="U103" s="67" t="str">
        <f>IF(ISNUMBER(tblY7[[#This Row],[7B02 - Organ Systems
Raw Score]]),IFERROR(VLOOKUP(ROUND(STANDARDIZE(tblY7[[#This Row],[7B02 - Organ Systems
Raw Score]],AVERAGE(tblY7[[7B02 - Organ Systems
Raw Score]]),_xlfn.STDEV.P(tblY7[[7B02 - Organ Systems
Raw Score]])),9),_Stanine,2),5),"")</f>
        <v/>
      </c>
    </row>
    <row r="104">
      <c r="A104" s="65" t="inlineStr">
        <is>
          <t>X903243226637</t>
        </is>
      </c>
      <c r="B104" s="65" t="inlineStr">
        <is>
          <t>Okafor</t>
        </is>
      </c>
      <c r="C104" s="65" t="inlineStr">
        <is>
          <t>Kai</t>
        </is>
      </c>
      <c r="D104" s="66" t="inlineStr">
        <is>
          <t>F</t>
        </is>
      </c>
      <c r="E104" s="66" t="inlineStr">
        <is>
          <t>N</t>
        </is>
      </c>
      <c r="F104" s="66" t="inlineStr">
        <is>
          <t>Y</t>
        </is>
      </c>
      <c r="G104" s="34" t="n">
        <v>100</v>
      </c>
      <c r="H104" s="34" t="n">
        <v>109.5</v>
      </c>
      <c r="I104" s="67">
        <f>IF(ISNUMBER(tblY7[[#This Row],[Avg KS2]]),IFERROR(VLOOKUP(ROUND(STANDARDIZE(tblY7[[#This Row],[Avg KS2]],AVERAGE(tblY7[[Avg KS2]]),_xlfn.STDEV.P(tblY7[[Avg KS2]])),9),_Stanine,2),5),"")</f>
        <v>6</v>
      </c>
      <c r="J104" s="66" t="inlineStr">
        <is>
          <t>7B/Sc2</t>
        </is>
      </c>
      <c r="K104" s="67">
        <f>IF(tblY7[[#This Row],[Preferred Last name]]="","",COUNTIFS($N$1:$ZZ$1,"*"&amp;CHAR(10)&amp;"Stanine",$N104:$ZZ104,"&gt;=1"))</f>
        <v>4</v>
      </c>
      <c r="L104" s="68">
        <f>IFERROR(AVERAGEIF($N$1:$ZZ$1,"*"&amp;CHAR(10)&amp;"Stanine",$N104:$ZZ104),"")</f>
        <v>4.75</v>
      </c>
      <c r="M104" s="69">
        <f>IF(AND(ISNUMBER(tblY7[[#This Row],[Mean Stanine]]),ISNUMBER(tblY7[[#This Row],[Avg KS2 Band]]),ISNUMBER(SlopeY7)),tblY7[[#This Row],[Mean Stanine]]-(InterceptY7+SlopeY7*tblY7[[#This Row],[Avg KS2 Band]]),"")</f>
        <v>-0.951975253428741</v>
      </c>
      <c r="N104" s="66" t="n">
        <v>14</v>
      </c>
      <c r="O104" s="67">
        <f>IF(ISNUMBER(tblY7[[#This Row],[7B01 - Cells
Raw Score]]),IFERROR(VLOOKUP(ROUND(STANDARDIZE(tblY7[[#This Row],[7B01 - Cells
Raw Score]],AVERAGE(tblY7[[7B01 - Cells
Raw Score]]),_xlfn.STDEV.P(tblY7[[7B01 - Cells
Raw Score]])),9),_Stanine,2),5),"")</f>
        <v>4</v>
      </c>
      <c r="P104" s="66" t="n">
        <v>20</v>
      </c>
      <c r="Q104" s="67">
        <f>IF(ISNUMBER(tblY7[[#This Row],[7C01 - Particles
Raw Score]]),IFERROR(VLOOKUP(ROUND(STANDARDIZE(tblY7[[#This Row],[7C01 - Particles
Raw Score]],AVERAGE(tblY7[[7C01 - Particles
Raw Score]]),_xlfn.STDEV.P(tblY7[[7C01 - Particles
Raw Score]])),9),_Stanine,2),5),"")</f>
        <v>6</v>
      </c>
      <c r="R104" s="66" t="n">
        <v>21</v>
      </c>
      <c r="S104" s="67">
        <f>IF(ISNUMBER(tblY7[[#This Row],[7P01 - Forces
Raw Score]]),IFERROR(VLOOKUP(ROUND(STANDARDIZE(tblY7[[#This Row],[7P01 - Forces
Raw Score]],AVERAGE(tblY7[[7P01 - Forces
Raw Score]]),_xlfn.STDEV.P(tblY7[[7P01 - Forces
Raw Score]])),9),_Stanine,2),5),"")</f>
        <v>5</v>
      </c>
      <c r="T104" s="66" t="n">
        <v>15</v>
      </c>
      <c r="U104" s="67">
        <f>IF(ISNUMBER(tblY7[[#This Row],[7B02 - Organ Systems
Raw Score]]),IFERROR(VLOOKUP(ROUND(STANDARDIZE(tblY7[[#This Row],[7B02 - Organ Systems
Raw Score]],AVERAGE(tblY7[[7B02 - Organ Systems
Raw Score]]),_xlfn.STDEV.P(tblY7[[7B02 - Organ Systems
Raw Score]])),9),_Stanine,2),5),"")</f>
        <v>4</v>
      </c>
    </row>
    <row r="105">
      <c r="A105" s="65" t="inlineStr">
        <is>
          <t>X901132900089</t>
        </is>
      </c>
      <c r="B105" s="65" t="inlineStr">
        <is>
          <t>Patel</t>
        </is>
      </c>
      <c r="C105" s="65" t="inlineStr">
        <is>
          <t>Arthur</t>
        </is>
      </c>
      <c r="D105" s="66" t="inlineStr">
        <is>
          <t>F</t>
        </is>
      </c>
      <c r="E105" s="66" t="n"/>
      <c r="F105" s="66" t="inlineStr">
        <is>
          <t>N</t>
        </is>
      </c>
      <c r="G105" s="34" t="n">
        <v>88.5</v>
      </c>
      <c r="H105" s="34" t="n">
        <v>102.5</v>
      </c>
      <c r="I105" s="67">
        <f>IF(ISNUMBER(tblY7[[#This Row],[Avg KS2]]),IFERROR(VLOOKUP(ROUND(STANDARDIZE(tblY7[[#This Row],[Avg KS2]],AVERAGE(tblY7[[Avg KS2]]),_xlfn.STDEV.P(tblY7[[Avg KS2]])),9),_Stanine,2),5),"")</f>
        <v>3</v>
      </c>
      <c r="J105" s="66" t="inlineStr">
        <is>
          <t>7B/Sc2</t>
        </is>
      </c>
      <c r="K105" s="67">
        <f>IF(tblY7[[#This Row],[Preferred Last name]]="","",COUNTIFS($N$1:$ZZ$1,"*"&amp;CHAR(10)&amp;"Stanine",$N105:$ZZ105,"&gt;=1"))</f>
        <v>4</v>
      </c>
      <c r="L105" s="68">
        <f>IFERROR(AVERAGEIF($N$1:$ZZ$1,"*"&amp;CHAR(10)&amp;"Stanine",$N105:$ZZ105),"")</f>
        <v>3.25</v>
      </c>
      <c r="M105" s="69">
        <f>IF(AND(ISNUMBER(tblY7[[#This Row],[Mean Stanine]]),ISNUMBER(tblY7[[#This Row],[Avg KS2 Band]]),ISNUMBER(SlopeY7)),tblY7[[#This Row],[Mean Stanine]]-(InterceptY7+SlopeY7*tblY7[[#This Row],[Avg KS2 Band]]),"")</f>
        <v>-0.369126416219439</v>
      </c>
      <c r="N105" s="66" t="n">
        <v>10</v>
      </c>
      <c r="O105" s="67">
        <f>IF(ISNUMBER(tblY7[[#This Row],[7B01 - Cells
Raw Score]]),IFERROR(VLOOKUP(ROUND(STANDARDIZE(tblY7[[#This Row],[7B01 - Cells
Raw Score]],AVERAGE(tblY7[[7B01 - Cells
Raw Score]]),_xlfn.STDEV.P(tblY7[[7B01 - Cells
Raw Score]])),9),_Stanine,2),5),"")</f>
        <v>3</v>
      </c>
      <c r="P105" s="66" t="n">
        <v>14</v>
      </c>
      <c r="Q105" s="67">
        <f>IF(ISNUMBER(tblY7[[#This Row],[7C01 - Particles
Raw Score]]),IFERROR(VLOOKUP(ROUND(STANDARDIZE(tblY7[[#This Row],[7C01 - Particles
Raw Score]],AVERAGE(tblY7[[7C01 - Particles
Raw Score]]),_xlfn.STDEV.P(tblY7[[7C01 - Particles
Raw Score]])),9),_Stanine,2),5),"")</f>
        <v>3</v>
      </c>
      <c r="R105" s="66" t="n">
        <v>19</v>
      </c>
      <c r="S105" s="67">
        <f>IF(ISNUMBER(tblY7[[#This Row],[7P01 - Forces
Raw Score]]),IFERROR(VLOOKUP(ROUND(STANDARDIZE(tblY7[[#This Row],[7P01 - Forces
Raw Score]],AVERAGE(tblY7[[7P01 - Forces
Raw Score]]),_xlfn.STDEV.P(tblY7[[7P01 - Forces
Raw Score]])),9),_Stanine,2),5),"")</f>
        <v>4</v>
      </c>
      <c r="T105" s="66" t="n">
        <v>11</v>
      </c>
      <c r="U105" s="67">
        <f>IF(ISNUMBER(tblY7[[#This Row],[7B02 - Organ Systems
Raw Score]]),IFERROR(VLOOKUP(ROUND(STANDARDIZE(tblY7[[#This Row],[7B02 - Organ Systems
Raw Score]],AVERAGE(tblY7[[7B02 - Organ Systems
Raw Score]]),_xlfn.STDEV.P(tblY7[[7B02 - Organ Systems
Raw Score]])),9),_Stanine,2),5),"")</f>
        <v>3</v>
      </c>
    </row>
    <row r="106">
      <c r="A106" s="65" t="inlineStr">
        <is>
          <t>X903806980423</t>
        </is>
      </c>
      <c r="B106" s="65" t="inlineStr">
        <is>
          <t>Pearson</t>
        </is>
      </c>
      <c r="C106" s="65" t="inlineStr">
        <is>
          <t>Hannah</t>
        </is>
      </c>
      <c r="D106" s="66" t="inlineStr">
        <is>
          <t>M</t>
        </is>
      </c>
      <c r="E106" s="66" t="inlineStr">
        <is>
          <t>N</t>
        </is>
      </c>
      <c r="F106" s="66" t="inlineStr">
        <is>
          <t>N</t>
        </is>
      </c>
      <c r="G106" s="34" t="n">
        <v>94.59999999999999</v>
      </c>
      <c r="H106" s="34" t="n">
        <v>102</v>
      </c>
      <c r="I106" s="67">
        <f>IF(ISNUMBER(tblY7[[#This Row],[Avg KS2]]),IFERROR(VLOOKUP(ROUND(STANDARDIZE(tblY7[[#This Row],[Avg KS2]],AVERAGE(tblY7[[Avg KS2]]),_xlfn.STDEV.P(tblY7[[Avg KS2]])),9),_Stanine,2),5),"")</f>
        <v>3</v>
      </c>
      <c r="J106" s="66" t="inlineStr">
        <is>
          <t>7B/Sc2</t>
        </is>
      </c>
      <c r="K106" s="67">
        <f>IF(tblY7[[#This Row],[Preferred Last name]]="","",COUNTIFS($N$1:$ZZ$1,"*"&amp;CHAR(10)&amp;"Stanine",$N106:$ZZ106,"&gt;=1"))</f>
        <v>4</v>
      </c>
      <c r="L106" s="68">
        <f>IFERROR(AVERAGEIF($N$1:$ZZ$1,"*"&amp;CHAR(10)&amp;"Stanine",$N106:$ZZ106),"")</f>
        <v>4.5</v>
      </c>
      <c r="M106" s="69">
        <f>IF(AND(ISNUMBER(tblY7[[#This Row],[Mean Stanine]]),ISNUMBER(tblY7[[#This Row],[Avg KS2 Band]]),ISNUMBER(SlopeY7)),tblY7[[#This Row],[Mean Stanine]]-(InterceptY7+SlopeY7*tblY7[[#This Row],[Avg KS2 Band]]),"")</f>
        <v>0.880873583780561</v>
      </c>
      <c r="N106" s="66" t="n">
        <v>13</v>
      </c>
      <c r="O106" s="67">
        <f>IF(ISNUMBER(tblY7[[#This Row],[7B01 - Cells
Raw Score]]),IFERROR(VLOOKUP(ROUND(STANDARDIZE(tblY7[[#This Row],[7B01 - Cells
Raw Score]],AVERAGE(tblY7[[7B01 - Cells
Raw Score]]),_xlfn.STDEV.P(tblY7[[7B01 - Cells
Raw Score]])),9),_Stanine,2),5),"")</f>
        <v>4</v>
      </c>
      <c r="P106" s="66" t="n">
        <v>20</v>
      </c>
      <c r="Q106" s="67">
        <f>IF(ISNUMBER(tblY7[[#This Row],[7C01 - Particles
Raw Score]]),IFERROR(VLOOKUP(ROUND(STANDARDIZE(tblY7[[#This Row],[7C01 - Particles
Raw Score]],AVERAGE(tblY7[[7C01 - Particles
Raw Score]]),_xlfn.STDEV.P(tblY7[[7C01 - Particles
Raw Score]])),9),_Stanine,2),5),"")</f>
        <v>6</v>
      </c>
      <c r="R106" s="66" t="n">
        <v>14</v>
      </c>
      <c r="S106" s="67">
        <f>IF(ISNUMBER(tblY7[[#This Row],[7P01 - Forces
Raw Score]]),IFERROR(VLOOKUP(ROUND(STANDARDIZE(tblY7[[#This Row],[7P01 - Forces
Raw Score]],AVERAGE(tblY7[[7P01 - Forces
Raw Score]]),_xlfn.STDEV.P(tblY7[[7P01 - Forces
Raw Score]])),9),_Stanine,2),5),"")</f>
        <v>2</v>
      </c>
      <c r="T106" s="66" t="n">
        <v>21</v>
      </c>
      <c r="U106" s="67">
        <f>IF(ISNUMBER(tblY7[[#This Row],[7B02 - Organ Systems
Raw Score]]),IFERROR(VLOOKUP(ROUND(STANDARDIZE(tblY7[[#This Row],[7B02 - Organ Systems
Raw Score]],AVERAGE(tblY7[[7B02 - Organ Systems
Raw Score]]),_xlfn.STDEV.P(tblY7[[7B02 - Organ Systems
Raw Score]])),9),_Stanine,2),5),"")</f>
        <v>6</v>
      </c>
    </row>
    <row r="107">
      <c r="A107" s="65" t="inlineStr">
        <is>
          <t>X901062222483</t>
        </is>
      </c>
      <c r="B107" s="65" t="inlineStr">
        <is>
          <t>Price</t>
        </is>
      </c>
      <c r="C107" s="65" t="inlineStr">
        <is>
          <t>Amelia</t>
        </is>
      </c>
      <c r="D107" s="66" t="inlineStr">
        <is>
          <t>M</t>
        </is>
      </c>
      <c r="E107" s="66" t="inlineStr">
        <is>
          <t>N</t>
        </is>
      </c>
      <c r="F107" s="66" t="inlineStr">
        <is>
          <t>N</t>
        </is>
      </c>
      <c r="G107" s="34" t="n">
        <v>92.40000000000001</v>
      </c>
      <c r="H107" s="34" t="n">
        <v>98</v>
      </c>
      <c r="I107" s="67">
        <f>IF(ISNUMBER(tblY7[[#This Row],[Avg KS2]]),IFERROR(VLOOKUP(ROUND(STANDARDIZE(tblY7[[#This Row],[Avg KS2]],AVERAGE(tblY7[[Avg KS2]]),_xlfn.STDEV.P(tblY7[[Avg KS2]])),9),_Stanine,2),5),"")</f>
        <v>2</v>
      </c>
      <c r="J107" s="66" t="inlineStr">
        <is>
          <t>7B/Sc2</t>
        </is>
      </c>
      <c r="K107" s="67">
        <f>IF(tblY7[[#This Row],[Preferred Last name]]="","",COUNTIFS($N$1:$ZZ$1,"*"&amp;CHAR(10)&amp;"Stanine",$N107:$ZZ107,"&gt;=1"))</f>
        <v>4</v>
      </c>
      <c r="L107" s="68">
        <f>IFERROR(AVERAGEIF($N$1:$ZZ$1,"*"&amp;CHAR(10)&amp;"Stanine",$N107:$ZZ107),"")</f>
        <v>3.5</v>
      </c>
      <c r="M107" s="69">
        <f>IF(AND(ISNUMBER(tblY7[[#This Row],[Mean Stanine]]),ISNUMBER(tblY7[[#This Row],[Avg KS2 Band]]),ISNUMBER(SlopeY7)),tblY7[[#This Row],[Mean Stanine]]-(InterceptY7+SlopeY7*tblY7[[#This Row],[Avg KS2 Band]]),"")</f>
        <v>0.575156529516995</v>
      </c>
      <c r="N107" s="66" t="n">
        <v>17</v>
      </c>
      <c r="O107" s="67">
        <f>IF(ISNUMBER(tblY7[[#This Row],[7B01 - Cells
Raw Score]]),IFERROR(VLOOKUP(ROUND(STANDARDIZE(tblY7[[#This Row],[7B01 - Cells
Raw Score]],AVERAGE(tblY7[[7B01 - Cells
Raw Score]]),_xlfn.STDEV.P(tblY7[[7B01 - Cells
Raw Score]])),9),_Stanine,2),5),"")</f>
        <v>5</v>
      </c>
      <c r="P107" s="66" t="n">
        <v>18</v>
      </c>
      <c r="Q107" s="67">
        <f>IF(ISNUMBER(tblY7[[#This Row],[7C01 - Particles
Raw Score]]),IFERROR(VLOOKUP(ROUND(STANDARDIZE(tblY7[[#This Row],[7C01 - Particles
Raw Score]],AVERAGE(tblY7[[7C01 - Particles
Raw Score]]),_xlfn.STDEV.P(tblY7[[7C01 - Particles
Raw Score]])),9),_Stanine,2),5),"")</f>
        <v>5</v>
      </c>
      <c r="R107" s="66" t="n">
        <v>16</v>
      </c>
      <c r="S107" s="67">
        <f>IF(ISNUMBER(tblY7[[#This Row],[7P01 - Forces
Raw Score]]),IFERROR(VLOOKUP(ROUND(STANDARDIZE(tblY7[[#This Row],[7P01 - Forces
Raw Score]],AVERAGE(tblY7[[7P01 - Forces
Raw Score]]),_xlfn.STDEV.P(tblY7[[7P01 - Forces
Raw Score]])),9),_Stanine,2),5),"")</f>
        <v>3</v>
      </c>
      <c r="T107" s="66" t="n">
        <v>8</v>
      </c>
      <c r="U107" s="67">
        <f>IF(ISNUMBER(tblY7[[#This Row],[7B02 - Organ Systems
Raw Score]]),IFERROR(VLOOKUP(ROUND(STANDARDIZE(tblY7[[#This Row],[7B02 - Organ Systems
Raw Score]],AVERAGE(tblY7[[7B02 - Organ Systems
Raw Score]]),_xlfn.STDEV.P(tblY7[[7B02 - Organ Systems
Raw Score]])),9),_Stanine,2),5),"")</f>
        <v>1</v>
      </c>
    </row>
    <row r="108">
      <c r="A108" s="65" t="inlineStr">
        <is>
          <t>X907312413880</t>
        </is>
      </c>
      <c r="B108" s="65" t="inlineStr">
        <is>
          <t>Price</t>
        </is>
      </c>
      <c r="C108" s="65" t="inlineStr">
        <is>
          <t>Leo</t>
        </is>
      </c>
      <c r="D108" s="66" t="inlineStr">
        <is>
          <t>M</t>
        </is>
      </c>
      <c r="E108" s="66" t="n"/>
      <c r="F108" s="66" t="inlineStr">
        <is>
          <t>N</t>
        </is>
      </c>
      <c r="G108" s="34" t="n">
        <v>100</v>
      </c>
      <c r="H108" s="34" t="n">
        <v>107.5</v>
      </c>
      <c r="I108" s="67">
        <f>IF(ISNUMBER(tblY7[[#This Row],[Avg KS2]]),IFERROR(VLOOKUP(ROUND(STANDARDIZE(tblY7[[#This Row],[Avg KS2]],AVERAGE(tblY7[[Avg KS2]]),_xlfn.STDEV.P(tblY7[[Avg KS2]])),9),_Stanine,2),5),"")</f>
        <v>5</v>
      </c>
      <c r="J108" s="66" t="inlineStr">
        <is>
          <t>7B/Sc2</t>
        </is>
      </c>
      <c r="K108" s="67">
        <f>IF(tblY7[[#This Row],[Preferred Last name]]="","",COUNTIFS($N$1:$ZZ$1,"*"&amp;CHAR(10)&amp;"Stanine",$N108:$ZZ108,"&gt;=1"))</f>
        <v>4</v>
      </c>
      <c r="L108" s="68">
        <f>IFERROR(AVERAGEIF($N$1:$ZZ$1,"*"&amp;CHAR(10)&amp;"Stanine",$N108:$ZZ108),"")</f>
        <v>3.75</v>
      </c>
      <c r="M108" s="69">
        <f>IF(AND(ISNUMBER(tblY7[[#This Row],[Mean Stanine]]),ISNUMBER(tblY7[[#This Row],[Avg KS2 Band]]),ISNUMBER(SlopeY7)),tblY7[[#This Row],[Mean Stanine]]-(InterceptY7+SlopeY7*tblY7[[#This Row],[Avg KS2 Band]]),"")</f>
        <v>-1.25769230769231</v>
      </c>
      <c r="N108" s="66" t="n">
        <v>14</v>
      </c>
      <c r="O108" s="67">
        <f>IF(ISNUMBER(tblY7[[#This Row],[7B01 - Cells
Raw Score]]),IFERROR(VLOOKUP(ROUND(STANDARDIZE(tblY7[[#This Row],[7B01 - Cells
Raw Score]],AVERAGE(tblY7[[7B01 - Cells
Raw Score]]),_xlfn.STDEV.P(tblY7[[7B01 - Cells
Raw Score]])),9),_Stanine,2),5),"")</f>
        <v>4</v>
      </c>
      <c r="P108" s="66" t="n">
        <v>14</v>
      </c>
      <c r="Q108" s="67">
        <f>IF(ISNUMBER(tblY7[[#This Row],[7C01 - Particles
Raw Score]]),IFERROR(VLOOKUP(ROUND(STANDARDIZE(tblY7[[#This Row],[7C01 - Particles
Raw Score]],AVERAGE(tblY7[[7C01 - Particles
Raw Score]]),_xlfn.STDEV.P(tblY7[[7C01 - Particles
Raw Score]])),9),_Stanine,2),5),"")</f>
        <v>3</v>
      </c>
      <c r="R108" s="66" t="n">
        <v>18</v>
      </c>
      <c r="S108" s="67">
        <f>IF(ISNUMBER(tblY7[[#This Row],[7P01 - Forces
Raw Score]]),IFERROR(VLOOKUP(ROUND(STANDARDIZE(tblY7[[#This Row],[7P01 - Forces
Raw Score]],AVERAGE(tblY7[[7P01 - Forces
Raw Score]]),_xlfn.STDEV.P(tblY7[[7P01 - Forces
Raw Score]])),9),_Stanine,2),5),"")</f>
        <v>4</v>
      </c>
      <c r="T108" s="66" t="n">
        <v>14</v>
      </c>
      <c r="U108" s="67">
        <f>IF(ISNUMBER(tblY7[[#This Row],[7B02 - Organ Systems
Raw Score]]),IFERROR(VLOOKUP(ROUND(STANDARDIZE(tblY7[[#This Row],[7B02 - Organ Systems
Raw Score]],AVERAGE(tblY7[[7B02 - Organ Systems
Raw Score]]),_xlfn.STDEV.P(tblY7[[7B02 - Organ Systems
Raw Score]])),9),_Stanine,2),5),"")</f>
        <v>4</v>
      </c>
    </row>
    <row r="109">
      <c r="A109" s="65" t="inlineStr">
        <is>
          <t>X903493571298</t>
        </is>
      </c>
      <c r="B109" s="65" t="inlineStr">
        <is>
          <t>Shaw</t>
        </is>
      </c>
      <c r="C109" s="65" t="inlineStr">
        <is>
          <t>Theo</t>
        </is>
      </c>
      <c r="D109" s="66" t="inlineStr">
        <is>
          <t>F</t>
        </is>
      </c>
      <c r="E109" s="66" t="n"/>
      <c r="F109" s="66" t="inlineStr">
        <is>
          <t>N</t>
        </is>
      </c>
      <c r="G109" s="34" t="n">
        <v>98.40000000000001</v>
      </c>
      <c r="H109" s="34" t="n">
        <v>104.5</v>
      </c>
      <c r="I109" s="67">
        <f>IF(ISNUMBER(tblY7[[#This Row],[Avg KS2]]),IFERROR(VLOOKUP(ROUND(STANDARDIZE(tblY7[[#This Row],[Avg KS2]],AVERAGE(tblY7[[Avg KS2]]),_xlfn.STDEV.P(tblY7[[Avg KS2]])),9),_Stanine,2),5),"")</f>
        <v>4</v>
      </c>
      <c r="J109" s="66" t="inlineStr">
        <is>
          <t>7B/Sc2</t>
        </is>
      </c>
      <c r="K109" s="67">
        <f>IF(tblY7[[#This Row],[Preferred Last name]]="","",COUNTIFS($N$1:$ZZ$1,"*"&amp;CHAR(10)&amp;"Stanine",$N109:$ZZ109,"&gt;=1"))</f>
        <v>4</v>
      </c>
      <c r="L109" s="68">
        <f>IFERROR(AVERAGEIF($N$1:$ZZ$1,"*"&amp;CHAR(10)&amp;"Stanine",$N109:$ZZ109),"")</f>
        <v>4.75</v>
      </c>
      <c r="M109" s="69">
        <f>IF(AND(ISNUMBER(tblY7[[#This Row],[Mean Stanine]]),ISNUMBER(tblY7[[#This Row],[Avg KS2 Band]]),ISNUMBER(SlopeY7)),tblY7[[#This Row],[Mean Stanine]]-(InterceptY7+SlopeY7*tblY7[[#This Row],[Avg KS2 Band]]),"")</f>
        <v>0.436590638044127</v>
      </c>
      <c r="N109" s="66" t="n">
        <v>21</v>
      </c>
      <c r="O109" s="67">
        <f>IF(ISNUMBER(tblY7[[#This Row],[7B01 - Cells
Raw Score]]),IFERROR(VLOOKUP(ROUND(STANDARDIZE(tblY7[[#This Row],[7B01 - Cells
Raw Score]],AVERAGE(tblY7[[7B01 - Cells
Raw Score]]),_xlfn.STDEV.P(tblY7[[7B01 - Cells
Raw Score]])),9),_Stanine,2),5),"")</f>
        <v>6</v>
      </c>
      <c r="P109" s="66" t="n">
        <v>15</v>
      </c>
      <c r="Q109" s="67">
        <f>IF(ISNUMBER(tblY7[[#This Row],[7C01 - Particles
Raw Score]]),IFERROR(VLOOKUP(ROUND(STANDARDIZE(tblY7[[#This Row],[7C01 - Particles
Raw Score]],AVERAGE(tblY7[[7C01 - Particles
Raw Score]]),_xlfn.STDEV.P(tblY7[[7C01 - Particles
Raw Score]])),9),_Stanine,2),5),"")</f>
        <v>3</v>
      </c>
      <c r="R109" s="66" t="n">
        <v>23</v>
      </c>
      <c r="S109" s="67">
        <f>IF(ISNUMBER(tblY7[[#This Row],[7P01 - Forces
Raw Score]]),IFERROR(VLOOKUP(ROUND(STANDARDIZE(tblY7[[#This Row],[7P01 - Forces
Raw Score]],AVERAGE(tblY7[[7P01 - Forces
Raw Score]]),_xlfn.STDEV.P(tblY7[[7P01 - Forces
Raw Score]])),9),_Stanine,2),5),"")</f>
        <v>6</v>
      </c>
      <c r="T109" s="66" t="n">
        <v>14</v>
      </c>
      <c r="U109" s="67">
        <f>IF(ISNUMBER(tblY7[[#This Row],[7B02 - Organ Systems
Raw Score]]),IFERROR(VLOOKUP(ROUND(STANDARDIZE(tblY7[[#This Row],[7B02 - Organ Systems
Raw Score]],AVERAGE(tblY7[[7B02 - Organ Systems
Raw Score]]),_xlfn.STDEV.P(tblY7[[7B02 - Organ Systems
Raw Score]])),9),_Stanine,2),5),"")</f>
        <v>4</v>
      </c>
    </row>
    <row r="110">
      <c r="A110" s="65" t="inlineStr">
        <is>
          <t>X906556376662</t>
        </is>
      </c>
      <c r="B110" s="65" t="inlineStr">
        <is>
          <t>Thompson</t>
        </is>
      </c>
      <c r="C110" s="65" t="inlineStr">
        <is>
          <t>Arjun</t>
        </is>
      </c>
      <c r="D110" s="66" t="inlineStr">
        <is>
          <t>M</t>
        </is>
      </c>
      <c r="E110" s="66" t="n"/>
      <c r="F110" s="66" t="inlineStr">
        <is>
          <t>Y</t>
        </is>
      </c>
      <c r="G110" s="34" t="n">
        <v>87.3</v>
      </c>
      <c r="H110" s="34" t="n">
        <v>114</v>
      </c>
      <c r="I110" s="67">
        <f>IF(ISNUMBER(tblY7[[#This Row],[Avg KS2]]),IFERROR(VLOOKUP(ROUND(STANDARDIZE(tblY7[[#This Row],[Avg KS2]],AVERAGE(tblY7[[Avg KS2]]),_xlfn.STDEV.P(tblY7[[Avg KS2]])),9),_Stanine,2),5),"")</f>
        <v>8</v>
      </c>
      <c r="J110" s="66" t="inlineStr">
        <is>
          <t>7B/Sc2</t>
        </is>
      </c>
      <c r="K110" s="67">
        <f>IF(tblY7[[#This Row],[Preferred Last name]]="","",COUNTIFS($N$1:$ZZ$1,"*"&amp;CHAR(10)&amp;"Stanine",$N110:$ZZ110,"&gt;=1"))</f>
        <v>4</v>
      </c>
      <c r="L110" s="68">
        <f>IFERROR(AVERAGEIF($N$1:$ZZ$1,"*"&amp;CHAR(10)&amp;"Stanine",$N110:$ZZ110),"")</f>
        <v>7.5</v>
      </c>
      <c r="M110" s="69">
        <f>IF(AND(ISNUMBER(tblY7[[#This Row],[Mean Stanine]]),ISNUMBER(tblY7[[#This Row],[Avg KS2 Band]]),ISNUMBER(SlopeY7)),tblY7[[#This Row],[Mean Stanine]]-(InterceptY7+SlopeY7*tblY7[[#This Row],[Avg KS2 Band]]),"")</f>
        <v>0.40945885509839</v>
      </c>
      <c r="N110" s="66" t="n">
        <v>27</v>
      </c>
      <c r="O110" s="67">
        <f>IF(ISNUMBER(tblY7[[#This Row],[7B01 - Cells
Raw Score]]),IFERROR(VLOOKUP(ROUND(STANDARDIZE(tblY7[[#This Row],[7B01 - Cells
Raw Score]],AVERAGE(tblY7[[7B01 - Cells
Raw Score]]),_xlfn.STDEV.P(tblY7[[7B01 - Cells
Raw Score]])),9),_Stanine,2),5),"")</f>
        <v>8</v>
      </c>
      <c r="P110" s="66" t="n">
        <v>23</v>
      </c>
      <c r="Q110" s="67">
        <f>IF(ISNUMBER(tblY7[[#This Row],[7C01 - Particles
Raw Score]]),IFERROR(VLOOKUP(ROUND(STANDARDIZE(tblY7[[#This Row],[7C01 - Particles
Raw Score]],AVERAGE(tblY7[[7C01 - Particles
Raw Score]]),_xlfn.STDEV.P(tblY7[[7C01 - Particles
Raw Score]])),9),_Stanine,2),5),"")</f>
        <v>7</v>
      </c>
      <c r="R110" s="66" t="n">
        <v>27</v>
      </c>
      <c r="S110" s="67">
        <f>IF(ISNUMBER(tblY7[[#This Row],[7P01 - Forces
Raw Score]]),IFERROR(VLOOKUP(ROUND(STANDARDIZE(tblY7[[#This Row],[7P01 - Forces
Raw Score]],AVERAGE(tblY7[[7P01 - Forces
Raw Score]]),_xlfn.STDEV.P(tblY7[[7P01 - Forces
Raw Score]])),9),_Stanine,2),5),"")</f>
        <v>7</v>
      </c>
      <c r="T110" s="66" t="n">
        <v>26</v>
      </c>
      <c r="U110" s="67">
        <f>IF(ISNUMBER(tblY7[[#This Row],[7B02 - Organ Systems
Raw Score]]),IFERROR(VLOOKUP(ROUND(STANDARDIZE(tblY7[[#This Row],[7B02 - Organ Systems
Raw Score]],AVERAGE(tblY7[[7B02 - Organ Systems
Raw Score]]),_xlfn.STDEV.P(tblY7[[7B02 - Organ Systems
Raw Score]])),9),_Stanine,2),5),"")</f>
        <v>8</v>
      </c>
    </row>
    <row r="111">
      <c r="A111" s="65" t="inlineStr">
        <is>
          <t>X904939967405</t>
        </is>
      </c>
      <c r="B111" s="65" t="inlineStr">
        <is>
          <t>Thompson</t>
        </is>
      </c>
      <c r="C111" s="65" t="inlineStr">
        <is>
          <t>Ella</t>
        </is>
      </c>
      <c r="D111" s="66" t="inlineStr">
        <is>
          <t>F</t>
        </is>
      </c>
      <c r="E111" s="66" t="n"/>
      <c r="F111" s="66" t="inlineStr">
        <is>
          <t>Y</t>
        </is>
      </c>
      <c r="G111" s="34" t="n">
        <v>87.40000000000001</v>
      </c>
      <c r="H111" s="34" t="n">
        <v>103.5</v>
      </c>
      <c r="I111" s="67">
        <f>IF(ISNUMBER(tblY7[[#This Row],[Avg KS2]]),IFERROR(VLOOKUP(ROUND(STANDARDIZE(tblY7[[#This Row],[Avg KS2]],AVERAGE(tblY7[[Avg KS2]]),_xlfn.STDEV.P(tblY7[[Avg KS2]])),9),_Stanine,2),5),"")</f>
        <v>4</v>
      </c>
      <c r="J111" s="66" t="inlineStr">
        <is>
          <t>7B/Sc2</t>
        </is>
      </c>
      <c r="K111" s="67">
        <f>IF(tblY7[[#This Row],[Preferred Last name]]="","",COUNTIFS($N$1:$ZZ$1,"*"&amp;CHAR(10)&amp;"Stanine",$N111:$ZZ111,"&gt;=1"))</f>
        <v>4</v>
      </c>
      <c r="L111" s="68">
        <f>IFERROR(AVERAGEIF($N$1:$ZZ$1,"*"&amp;CHAR(10)&amp;"Stanine",$N111:$ZZ111),"")</f>
        <v>4.25</v>
      </c>
      <c r="M111" s="69">
        <f>IF(AND(ISNUMBER(tblY7[[#This Row],[Mean Stanine]]),ISNUMBER(tblY7[[#This Row],[Avg KS2 Band]]),ISNUMBER(SlopeY7)),tblY7[[#This Row],[Mean Stanine]]-(InterceptY7+SlopeY7*tblY7[[#This Row],[Avg KS2 Band]]),"")</f>
        <v>-0.0634093619558733</v>
      </c>
      <c r="N111" s="66" t="n">
        <v>15</v>
      </c>
      <c r="O111" s="67">
        <f>IF(ISNUMBER(tblY7[[#This Row],[7B01 - Cells
Raw Score]]),IFERROR(VLOOKUP(ROUND(STANDARDIZE(tblY7[[#This Row],[7B01 - Cells
Raw Score]],AVERAGE(tblY7[[7B01 - Cells
Raw Score]]),_xlfn.STDEV.P(tblY7[[7B01 - Cells
Raw Score]])),9),_Stanine,2),5),"")</f>
        <v>4</v>
      </c>
      <c r="P111" s="66" t="n">
        <v>19</v>
      </c>
      <c r="Q111" s="67">
        <f>IF(ISNUMBER(tblY7[[#This Row],[7C01 - Particles
Raw Score]]),IFERROR(VLOOKUP(ROUND(STANDARDIZE(tblY7[[#This Row],[7C01 - Particles
Raw Score]],AVERAGE(tblY7[[7C01 - Particles
Raw Score]]),_xlfn.STDEV.P(tblY7[[7C01 - Particles
Raw Score]])),9),_Stanine,2),5),"")</f>
        <v>5</v>
      </c>
      <c r="R111" s="66" t="n">
        <v>20</v>
      </c>
      <c r="S111" s="67">
        <f>IF(ISNUMBER(tblY7[[#This Row],[7P01 - Forces
Raw Score]]),IFERROR(VLOOKUP(ROUND(STANDARDIZE(tblY7[[#This Row],[7P01 - Forces
Raw Score]],AVERAGE(tblY7[[7P01 - Forces
Raw Score]]),_xlfn.STDEV.P(tblY7[[7P01 - Forces
Raw Score]])),9),_Stanine,2),5),"")</f>
        <v>4</v>
      </c>
      <c r="T111" s="66" t="n">
        <v>14</v>
      </c>
      <c r="U111" s="67">
        <f>IF(ISNUMBER(tblY7[[#This Row],[7B02 - Organ Systems
Raw Score]]),IFERROR(VLOOKUP(ROUND(STANDARDIZE(tblY7[[#This Row],[7B02 - Organ Systems
Raw Score]],AVERAGE(tblY7[[7B02 - Organ Systems
Raw Score]]),_xlfn.STDEV.P(tblY7[[7B02 - Organ Systems
Raw Score]])),9),_Stanine,2),5),"")</f>
        <v>4</v>
      </c>
    </row>
    <row r="112">
      <c r="A112" s="65" t="inlineStr">
        <is>
          <t>X909729412803</t>
        </is>
      </c>
      <c r="B112" s="65" t="inlineStr">
        <is>
          <t>Wilson</t>
        </is>
      </c>
      <c r="C112" s="65" t="inlineStr">
        <is>
          <t>Mia</t>
        </is>
      </c>
      <c r="D112" s="66" t="inlineStr">
        <is>
          <t>F</t>
        </is>
      </c>
      <c r="E112" s="66" t="inlineStr">
        <is>
          <t>N</t>
        </is>
      </c>
      <c r="F112" s="66" t="inlineStr">
        <is>
          <t>N</t>
        </is>
      </c>
      <c r="G112" s="34" t="n">
        <v>93.40000000000001</v>
      </c>
      <c r="H112" s="34" t="n">
        <v>102</v>
      </c>
      <c r="I112" s="67">
        <f>IF(ISNUMBER(tblY7[[#This Row],[Avg KS2]]),IFERROR(VLOOKUP(ROUND(STANDARDIZE(tblY7[[#This Row],[Avg KS2]],AVERAGE(tblY7[[Avg KS2]]),_xlfn.STDEV.P(tblY7[[Avg KS2]])),9),_Stanine,2),5),"")</f>
        <v>3</v>
      </c>
      <c r="J112" s="66" t="inlineStr">
        <is>
          <t>7B/Sc2</t>
        </is>
      </c>
      <c r="K112" s="67">
        <f>IF(tblY7[[#This Row],[Preferred Last name]]="","",COUNTIFS($N$1:$ZZ$1,"*"&amp;CHAR(10)&amp;"Stanine",$N112:$ZZ112,"&gt;=1"))</f>
        <v>4</v>
      </c>
      <c r="L112" s="68">
        <f>IFERROR(AVERAGEIF($N$1:$ZZ$1,"*"&amp;CHAR(10)&amp;"Stanine",$N112:$ZZ112),"")</f>
        <v>2.25</v>
      </c>
      <c r="M112" s="69">
        <f>IF(AND(ISNUMBER(tblY7[[#This Row],[Mean Stanine]]),ISNUMBER(tblY7[[#This Row],[Avg KS2 Band]]),ISNUMBER(SlopeY7)),tblY7[[#This Row],[Mean Stanine]]-(InterceptY7+SlopeY7*tblY7[[#This Row],[Avg KS2 Band]]),"")</f>
        <v>-1.36912641621944</v>
      </c>
      <c r="N112" s="66" t="n">
        <v>11</v>
      </c>
      <c r="O112" s="67">
        <f>IF(ISNUMBER(tblY7[[#This Row],[7B01 - Cells
Raw Score]]),IFERROR(VLOOKUP(ROUND(STANDARDIZE(tblY7[[#This Row],[7B01 - Cells
Raw Score]],AVERAGE(tblY7[[7B01 - Cells
Raw Score]]),_xlfn.STDEV.P(tblY7[[7B01 - Cells
Raw Score]])),9),_Stanine,2),5),"")</f>
        <v>3</v>
      </c>
      <c r="P112" s="66" t="n">
        <v>11</v>
      </c>
      <c r="Q112" s="67">
        <f>IF(ISNUMBER(tblY7[[#This Row],[7C01 - Particles
Raw Score]]),IFERROR(VLOOKUP(ROUND(STANDARDIZE(tblY7[[#This Row],[7C01 - Particles
Raw Score]],AVERAGE(tblY7[[7C01 - Particles
Raw Score]]),_xlfn.STDEV.P(tblY7[[7C01 - Particles
Raw Score]])),9),_Stanine,2),5),"")</f>
        <v>1</v>
      </c>
      <c r="R112" s="66" t="n">
        <v>18</v>
      </c>
      <c r="S112" s="67">
        <f>IF(ISNUMBER(tblY7[[#This Row],[7P01 - Forces
Raw Score]]),IFERROR(VLOOKUP(ROUND(STANDARDIZE(tblY7[[#This Row],[7P01 - Forces
Raw Score]],AVERAGE(tblY7[[7P01 - Forces
Raw Score]]),_xlfn.STDEV.P(tblY7[[7P01 - Forces
Raw Score]])),9),_Stanine,2),5),"")</f>
        <v>4</v>
      </c>
      <c r="T112" s="66" t="n">
        <v>7</v>
      </c>
      <c r="U112" s="67">
        <f>IF(ISNUMBER(tblY7[[#This Row],[7B02 - Organ Systems
Raw Score]]),IFERROR(VLOOKUP(ROUND(STANDARDIZE(tblY7[[#This Row],[7B02 - Organ Systems
Raw Score]],AVERAGE(tblY7[[7B02 - Organ Systems
Raw Score]]),_xlfn.STDEV.P(tblY7[[7B02 - Organ Systems
Raw Score]])),9),_Stanine,2),5),"")</f>
        <v>1</v>
      </c>
    </row>
    <row r="113">
      <c r="A113" s="65" t="inlineStr">
        <is>
          <t>X902315778595</t>
        </is>
      </c>
      <c r="B113" s="65" t="inlineStr">
        <is>
          <t>Wood</t>
        </is>
      </c>
      <c r="C113" s="65" t="inlineStr">
        <is>
          <t>Finley</t>
        </is>
      </c>
      <c r="D113" s="66" t="inlineStr">
        <is>
          <t>M</t>
        </is>
      </c>
      <c r="E113" s="66" t="inlineStr">
        <is>
          <t>K</t>
        </is>
      </c>
      <c r="F113" s="66" t="inlineStr">
        <is>
          <t>N</t>
        </is>
      </c>
      <c r="G113" s="34" t="n">
        <v>99.59999999999999</v>
      </c>
      <c r="H113" s="34" t="n">
        <v>110</v>
      </c>
      <c r="I113" s="67">
        <f>IF(ISNUMBER(tblY7[[#This Row],[Avg KS2]]),IFERROR(VLOOKUP(ROUND(STANDARDIZE(tblY7[[#This Row],[Avg KS2]],AVERAGE(tblY7[[Avg KS2]]),_xlfn.STDEV.P(tblY7[[Avg KS2]])),9),_Stanine,2),5),"")</f>
        <v>6</v>
      </c>
      <c r="J113" s="66" t="inlineStr">
        <is>
          <t>7B/Sc2</t>
        </is>
      </c>
      <c r="K113" s="67">
        <f>IF(tblY7[[#This Row],[Preferred Last name]]="","",COUNTIFS($N$1:$ZZ$1,"*"&amp;CHAR(10)&amp;"Stanine",$N113:$ZZ113,"&gt;=1"))</f>
        <v>4</v>
      </c>
      <c r="L113" s="68">
        <f>IFERROR(AVERAGEIF($N$1:$ZZ$1,"*"&amp;CHAR(10)&amp;"Stanine",$N113:$ZZ113),"")</f>
        <v>6.5</v>
      </c>
      <c r="M113" s="69">
        <f>IF(AND(ISNUMBER(tblY7[[#This Row],[Mean Stanine]]),ISNUMBER(tblY7[[#This Row],[Avg KS2 Band]]),ISNUMBER(SlopeY7)),tblY7[[#This Row],[Mean Stanine]]-(InterceptY7+SlopeY7*tblY7[[#This Row],[Avg KS2 Band]]),"")</f>
        <v>0.798024746571259</v>
      </c>
      <c r="N113" s="66" t="n">
        <v>21</v>
      </c>
      <c r="O113" s="67">
        <f>IF(ISNUMBER(tblY7[[#This Row],[7B01 - Cells
Raw Score]]),IFERROR(VLOOKUP(ROUND(STANDARDIZE(tblY7[[#This Row],[7B01 - Cells
Raw Score]],AVERAGE(tblY7[[7B01 - Cells
Raw Score]]),_xlfn.STDEV.P(tblY7[[7B01 - Cells
Raw Score]])),9),_Stanine,2),5),"")</f>
        <v>6</v>
      </c>
      <c r="P113" s="66" t="n">
        <v>22</v>
      </c>
      <c r="Q113" s="67">
        <f>IF(ISNUMBER(tblY7[[#This Row],[7C01 - Particles
Raw Score]]),IFERROR(VLOOKUP(ROUND(STANDARDIZE(tblY7[[#This Row],[7C01 - Particles
Raw Score]],AVERAGE(tblY7[[7C01 - Particles
Raw Score]]),_xlfn.STDEV.P(tblY7[[7C01 - Particles
Raw Score]])),9),_Stanine,2),5),"")</f>
        <v>7</v>
      </c>
      <c r="R113" s="66" t="n">
        <v>23</v>
      </c>
      <c r="S113" s="67">
        <f>IF(ISNUMBER(tblY7[[#This Row],[7P01 - Forces
Raw Score]]),IFERROR(VLOOKUP(ROUND(STANDARDIZE(tblY7[[#This Row],[7P01 - Forces
Raw Score]],AVERAGE(tblY7[[7P01 - Forces
Raw Score]]),_xlfn.STDEV.P(tblY7[[7P01 - Forces
Raw Score]])),9),_Stanine,2),5),"")</f>
        <v>6</v>
      </c>
      <c r="T113" s="66" t="n">
        <v>22</v>
      </c>
      <c r="U113" s="67">
        <f>IF(ISNUMBER(tblY7[[#This Row],[7B02 - Organ Systems
Raw Score]]),IFERROR(VLOOKUP(ROUND(STANDARDIZE(tblY7[[#This Row],[7B02 - Organ Systems
Raw Score]],AVERAGE(tblY7[[7B02 - Organ Systems
Raw Score]]),_xlfn.STDEV.P(tblY7[[7B02 - Organ Systems
Raw Score]])),9),_Stanine,2),5),"")</f>
        <v>7</v>
      </c>
    </row>
    <row r="114">
      <c r="A114" s="65" t="inlineStr">
        <is>
          <t>X904442554685</t>
        </is>
      </c>
      <c r="B114" s="65" t="inlineStr">
        <is>
          <t>Wright</t>
        </is>
      </c>
      <c r="C114" s="65" t="inlineStr">
        <is>
          <t>Alfie</t>
        </is>
      </c>
      <c r="D114" s="66" t="inlineStr">
        <is>
          <t>F</t>
        </is>
      </c>
      <c r="E114" s="66" t="inlineStr">
        <is>
          <t>N</t>
        </is>
      </c>
      <c r="F114" s="66" t="inlineStr">
        <is>
          <t>N</t>
        </is>
      </c>
      <c r="G114" s="34" t="n">
        <v>88.40000000000001</v>
      </c>
      <c r="H114" s="34" t="n">
        <v>97</v>
      </c>
      <c r="I114" s="67">
        <f>IF(ISNUMBER(tblY7[[#This Row],[Avg KS2]]),IFERROR(VLOOKUP(ROUND(STANDARDIZE(tblY7[[#This Row],[Avg KS2]],AVERAGE(tblY7[[Avg KS2]]),_xlfn.STDEV.P(tblY7[[Avg KS2]])),9),_Stanine,2),5),"")</f>
        <v>1</v>
      </c>
      <c r="J114" s="66" t="inlineStr">
        <is>
          <t>7B/Sc2</t>
        </is>
      </c>
      <c r="K114" s="67">
        <f>IF(tblY7[[#This Row],[Preferred Last name]]="","",COUNTIFS($N$1:$ZZ$1,"*"&amp;CHAR(10)&amp;"Stanine",$N114:$ZZ114,"&gt;=1"))</f>
        <v>4</v>
      </c>
      <c r="L114" s="68">
        <f>IFERROR(AVERAGEIF($N$1:$ZZ$1,"*"&amp;CHAR(10)&amp;"Stanine",$N114:$ZZ114),"")</f>
        <v>1.5</v>
      </c>
      <c r="M114" s="69">
        <f>IF(AND(ISNUMBER(tblY7[[#This Row],[Mean Stanine]]),ISNUMBER(tblY7[[#This Row],[Avg KS2 Band]]),ISNUMBER(SlopeY7)),tblY7[[#This Row],[Mean Stanine]]-(InterceptY7+SlopeY7*tblY7[[#This Row],[Avg KS2 Band]]),"")</f>
        <v>-0.730560524746571</v>
      </c>
      <c r="N114" s="66" t="n">
        <v>7</v>
      </c>
      <c r="O114" s="67">
        <f>IF(ISNUMBER(tblY7[[#This Row],[7B01 - Cells
Raw Score]]),IFERROR(VLOOKUP(ROUND(STANDARDIZE(tblY7[[#This Row],[7B01 - Cells
Raw Score]],AVERAGE(tblY7[[7B01 - Cells
Raw Score]]),_xlfn.STDEV.P(tblY7[[7B01 - Cells
Raw Score]])),9),_Stanine,2),5),"")</f>
        <v>2</v>
      </c>
      <c r="P114" s="66" t="n">
        <v>13</v>
      </c>
      <c r="Q114" s="67">
        <f>IF(ISNUMBER(tblY7[[#This Row],[7C01 - Particles
Raw Score]]),IFERROR(VLOOKUP(ROUND(STANDARDIZE(tblY7[[#This Row],[7C01 - Particles
Raw Score]],AVERAGE(tblY7[[7C01 - Particles
Raw Score]]),_xlfn.STDEV.P(tblY7[[7C01 - Particles
Raw Score]])),9),_Stanine,2),5),"")</f>
        <v>2</v>
      </c>
      <c r="R114" s="66" t="n">
        <v>9</v>
      </c>
      <c r="S114" s="67">
        <f>IF(ISNUMBER(tblY7[[#This Row],[7P01 - Forces
Raw Score]]),IFERROR(VLOOKUP(ROUND(STANDARDIZE(tblY7[[#This Row],[7P01 - Forces
Raw Score]],AVERAGE(tblY7[[7P01 - Forces
Raw Score]]),_xlfn.STDEV.P(tblY7[[7P01 - Forces
Raw Score]])),9),_Stanine,2),5),"")</f>
        <v>1</v>
      </c>
      <c r="T114" s="66" t="n">
        <v>8</v>
      </c>
      <c r="U114" s="67">
        <f>IF(ISNUMBER(tblY7[[#This Row],[7B02 - Organ Systems
Raw Score]]),IFERROR(VLOOKUP(ROUND(STANDARDIZE(tblY7[[#This Row],[7B02 - Organ Systems
Raw Score]],AVERAGE(tblY7[[7B02 - Organ Systems
Raw Score]]),_xlfn.STDEV.P(tblY7[[7B02 - Organ Systems
Raw Score]])),9),_Stanine,2),5),"")</f>
        <v>1</v>
      </c>
    </row>
    <row r="115">
      <c r="A115" s="65" t="inlineStr">
        <is>
          <t>X907009119804</t>
        </is>
      </c>
      <c r="B115" s="65" t="inlineStr">
        <is>
          <t>Adeyemi</t>
        </is>
      </c>
      <c r="C115" s="65" t="inlineStr">
        <is>
          <t>Priya</t>
        </is>
      </c>
      <c r="D115" s="66" t="inlineStr">
        <is>
          <t>F</t>
        </is>
      </c>
      <c r="E115" s="66" t="n"/>
      <c r="F115" s="66" t="inlineStr">
        <is>
          <t>N</t>
        </is>
      </c>
      <c r="G115" s="34" t="n">
        <v>91.3</v>
      </c>
      <c r="H115" s="34" t="n">
        <v>102</v>
      </c>
      <c r="I115" s="67">
        <f>IF(ISNUMBER(tblY7[[#This Row],[Avg KS2]]),IFERROR(VLOOKUP(ROUND(STANDARDIZE(tblY7[[#This Row],[Avg KS2]],AVERAGE(tblY7[[Avg KS2]]),_xlfn.STDEV.P(tblY7[[Avg KS2]])),9),_Stanine,2),5),"")</f>
        <v>3</v>
      </c>
      <c r="J115" s="66" t="inlineStr">
        <is>
          <t>7B/Sc3</t>
        </is>
      </c>
      <c r="K115" s="67">
        <f>IF(tblY7[[#This Row],[Preferred Last name]]="","",COUNTIFS($N$1:$ZZ$1,"*"&amp;CHAR(10)&amp;"Stanine",$N115:$ZZ115,"&gt;=1"))</f>
        <v>4</v>
      </c>
      <c r="L115" s="68">
        <f>IFERROR(AVERAGEIF($N$1:$ZZ$1,"*"&amp;CHAR(10)&amp;"Stanine",$N115:$ZZ115),"")</f>
        <v>2.75</v>
      </c>
      <c r="M115" s="69">
        <f>IF(AND(ISNUMBER(tblY7[[#This Row],[Mean Stanine]]),ISNUMBER(tblY7[[#This Row],[Avg KS2 Band]]),ISNUMBER(SlopeY7)),tblY7[[#This Row],[Mean Stanine]]-(InterceptY7+SlopeY7*tblY7[[#This Row],[Avg KS2 Band]]),"")</f>
        <v>-0.869126416219439</v>
      </c>
      <c r="N115" s="66" t="n">
        <v>12</v>
      </c>
      <c r="O115" s="67">
        <f>IF(ISNUMBER(tblY7[[#This Row],[7B01 - Cells
Raw Score]]),IFERROR(VLOOKUP(ROUND(STANDARDIZE(tblY7[[#This Row],[7B01 - Cells
Raw Score]],AVERAGE(tblY7[[7B01 - Cells
Raw Score]]),_xlfn.STDEV.P(tblY7[[7B01 - Cells
Raw Score]])),9),_Stanine,2),5),"")</f>
        <v>3</v>
      </c>
      <c r="P115" s="66" t="n">
        <v>13</v>
      </c>
      <c r="Q115" s="67">
        <f>IF(ISNUMBER(tblY7[[#This Row],[7C01 - Particles
Raw Score]]),IFERROR(VLOOKUP(ROUND(STANDARDIZE(tblY7[[#This Row],[7C01 - Particles
Raw Score]],AVERAGE(tblY7[[7C01 - Particles
Raw Score]]),_xlfn.STDEV.P(tblY7[[7C01 - Particles
Raw Score]])),9),_Stanine,2),5),"")</f>
        <v>2</v>
      </c>
      <c r="R115" s="66" t="n">
        <v>16</v>
      </c>
      <c r="S115" s="67">
        <f>IF(ISNUMBER(tblY7[[#This Row],[7P01 - Forces
Raw Score]]),IFERROR(VLOOKUP(ROUND(STANDARDIZE(tblY7[[#This Row],[7P01 - Forces
Raw Score]],AVERAGE(tblY7[[7P01 - Forces
Raw Score]]),_xlfn.STDEV.P(tblY7[[7P01 - Forces
Raw Score]])),9),_Stanine,2),5),"")</f>
        <v>3</v>
      </c>
      <c r="T115" s="66" t="n">
        <v>13</v>
      </c>
      <c r="U115" s="67">
        <f>IF(ISNUMBER(tblY7[[#This Row],[7B02 - Organ Systems
Raw Score]]),IFERROR(VLOOKUP(ROUND(STANDARDIZE(tblY7[[#This Row],[7B02 - Organ Systems
Raw Score]],AVERAGE(tblY7[[7B02 - Organ Systems
Raw Score]]),_xlfn.STDEV.P(tblY7[[7B02 - Organ Systems
Raw Score]])),9),_Stanine,2),5),"")</f>
        <v>3</v>
      </c>
    </row>
    <row r="116">
      <c r="A116" s="65" t="inlineStr">
        <is>
          <t>X908018227438</t>
        </is>
      </c>
      <c r="B116" s="65" t="inlineStr">
        <is>
          <t>Bennett</t>
        </is>
      </c>
      <c r="C116" s="65" t="inlineStr">
        <is>
          <t>Keira</t>
        </is>
      </c>
      <c r="D116" s="66" t="inlineStr">
        <is>
          <t>M</t>
        </is>
      </c>
      <c r="E116" s="66" t="inlineStr">
        <is>
          <t>N</t>
        </is>
      </c>
      <c r="F116" s="66" t="inlineStr">
        <is>
          <t>N</t>
        </is>
      </c>
      <c r="G116" s="34" t="n">
        <v>91.8</v>
      </c>
      <c r="H116" s="34" t="n">
        <v>109</v>
      </c>
      <c r="I116" s="67">
        <f>IF(ISNUMBER(tblY7[[#This Row],[Avg KS2]]),IFERROR(VLOOKUP(ROUND(STANDARDIZE(tblY7[[#This Row],[Avg KS2]],AVERAGE(tblY7[[Avg KS2]]),_xlfn.STDEV.P(tblY7[[Avg KS2]])),9),_Stanine,2),5),"")</f>
        <v>6</v>
      </c>
      <c r="J116" s="66" t="inlineStr">
        <is>
          <t>7B/Sc3</t>
        </is>
      </c>
      <c r="K116" s="67">
        <f>IF(tblY7[[#This Row],[Preferred Last name]]="","",COUNTIFS($N$1:$ZZ$1,"*"&amp;CHAR(10)&amp;"Stanine",$N116:$ZZ116,"&gt;=1"))</f>
        <v>4</v>
      </c>
      <c r="L116" s="68">
        <f>IFERROR(AVERAGEIF($N$1:$ZZ$1,"*"&amp;CHAR(10)&amp;"Stanine",$N116:$ZZ116),"")</f>
        <v>5</v>
      </c>
      <c r="M116" s="69">
        <f>IF(AND(ISNUMBER(tblY7[[#This Row],[Mean Stanine]]),ISNUMBER(tblY7[[#This Row],[Avg KS2 Band]]),ISNUMBER(SlopeY7)),tblY7[[#This Row],[Mean Stanine]]-(InterceptY7+SlopeY7*tblY7[[#This Row],[Avg KS2 Band]]),"")</f>
        <v>-0.701975253428741</v>
      </c>
      <c r="N116" s="66" t="n">
        <v>17</v>
      </c>
      <c r="O116" s="67">
        <f>IF(ISNUMBER(tblY7[[#This Row],[7B01 - Cells
Raw Score]]),IFERROR(VLOOKUP(ROUND(STANDARDIZE(tblY7[[#This Row],[7B01 - Cells
Raw Score]],AVERAGE(tblY7[[7B01 - Cells
Raw Score]]),_xlfn.STDEV.P(tblY7[[7B01 - Cells
Raw Score]])),9),_Stanine,2),5),"")</f>
        <v>5</v>
      </c>
      <c r="P116" s="66" t="n">
        <v>19</v>
      </c>
      <c r="Q116" s="67">
        <f>IF(ISNUMBER(tblY7[[#This Row],[7C01 - Particles
Raw Score]]),IFERROR(VLOOKUP(ROUND(STANDARDIZE(tblY7[[#This Row],[7C01 - Particles
Raw Score]],AVERAGE(tblY7[[7C01 - Particles
Raw Score]]),_xlfn.STDEV.P(tblY7[[7C01 - Particles
Raw Score]])),9),_Stanine,2),5),"")</f>
        <v>5</v>
      </c>
      <c r="R116" s="66" t="n">
        <v>21</v>
      </c>
      <c r="S116" s="67">
        <f>IF(ISNUMBER(tblY7[[#This Row],[7P01 - Forces
Raw Score]]),IFERROR(VLOOKUP(ROUND(STANDARDIZE(tblY7[[#This Row],[7P01 - Forces
Raw Score]],AVERAGE(tblY7[[7P01 - Forces
Raw Score]]),_xlfn.STDEV.P(tblY7[[7P01 - Forces
Raw Score]])),9),_Stanine,2),5),"")</f>
        <v>5</v>
      </c>
      <c r="T116" s="66" t="n">
        <v>19</v>
      </c>
      <c r="U116" s="67">
        <f>IF(ISNUMBER(tblY7[[#This Row],[7B02 - Organ Systems
Raw Score]]),IFERROR(VLOOKUP(ROUND(STANDARDIZE(tblY7[[#This Row],[7B02 - Organ Systems
Raw Score]],AVERAGE(tblY7[[7B02 - Organ Systems
Raw Score]]),_xlfn.STDEV.P(tblY7[[7B02 - Organ Systems
Raw Score]])),9),_Stanine,2),5),"")</f>
        <v>5</v>
      </c>
    </row>
    <row r="117">
      <c r="A117" s="65" t="inlineStr">
        <is>
          <t>X903330895575</t>
        </is>
      </c>
      <c r="B117" s="65" t="inlineStr">
        <is>
          <t>Bennett</t>
        </is>
      </c>
      <c r="C117" s="65" t="inlineStr">
        <is>
          <t>Seren</t>
        </is>
      </c>
      <c r="D117" s="66" t="inlineStr">
        <is>
          <t>M</t>
        </is>
      </c>
      <c r="E117" s="66" t="inlineStr">
        <is>
          <t>N</t>
        </is>
      </c>
      <c r="F117" s="66" t="inlineStr">
        <is>
          <t>N</t>
        </is>
      </c>
      <c r="G117" s="34" t="n">
        <v>94.5</v>
      </c>
      <c r="H117" s="34" t="n">
        <v>105</v>
      </c>
      <c r="I117" s="67">
        <f>IF(ISNUMBER(tblY7[[#This Row],[Avg KS2]]),IFERROR(VLOOKUP(ROUND(STANDARDIZE(tblY7[[#This Row],[Avg KS2]],AVERAGE(tblY7[[Avg KS2]]),_xlfn.STDEV.P(tblY7[[Avg KS2]])),9),_Stanine,2),5),"")</f>
        <v>4</v>
      </c>
      <c r="J117" s="66" t="inlineStr">
        <is>
          <t>7B/Sc3</t>
        </is>
      </c>
      <c r="K117" s="67">
        <f>IF(tblY7[[#This Row],[Preferred Last name]]="","",COUNTIFS($N$1:$ZZ$1,"*"&amp;CHAR(10)&amp;"Stanine",$N117:$ZZ117,"&gt;=1"))</f>
        <v>4</v>
      </c>
      <c r="L117" s="68">
        <f>IFERROR(AVERAGEIF($N$1:$ZZ$1,"*"&amp;CHAR(10)&amp;"Stanine",$N117:$ZZ117),"")</f>
        <v>4</v>
      </c>
      <c r="M117" s="69">
        <f>IF(AND(ISNUMBER(tblY7[[#This Row],[Mean Stanine]]),ISNUMBER(tblY7[[#This Row],[Avg KS2 Band]]),ISNUMBER(SlopeY7)),tblY7[[#This Row],[Mean Stanine]]-(InterceptY7+SlopeY7*tblY7[[#This Row],[Avg KS2 Band]]),"")</f>
        <v>-0.313409361955873</v>
      </c>
      <c r="N117" s="66" t="n">
        <v>15</v>
      </c>
      <c r="O117" s="67">
        <f>IF(ISNUMBER(tblY7[[#This Row],[7B01 - Cells
Raw Score]]),IFERROR(VLOOKUP(ROUND(STANDARDIZE(tblY7[[#This Row],[7B01 - Cells
Raw Score]],AVERAGE(tblY7[[7B01 - Cells
Raw Score]]),_xlfn.STDEV.P(tblY7[[7B01 - Cells
Raw Score]])),9),_Stanine,2),5),"")</f>
        <v>4</v>
      </c>
      <c r="P117" s="66" t="n">
        <v>15</v>
      </c>
      <c r="Q117" s="67">
        <f>IF(ISNUMBER(tblY7[[#This Row],[7C01 - Particles
Raw Score]]),IFERROR(VLOOKUP(ROUND(STANDARDIZE(tblY7[[#This Row],[7C01 - Particles
Raw Score]],AVERAGE(tblY7[[7C01 - Particles
Raw Score]]),_xlfn.STDEV.P(tblY7[[7C01 - Particles
Raw Score]])),9),_Stanine,2),5),"")</f>
        <v>3</v>
      </c>
      <c r="R117" s="66" t="n">
        <v>22</v>
      </c>
      <c r="S117" s="67">
        <f>IF(ISNUMBER(tblY7[[#This Row],[7P01 - Forces
Raw Score]]),IFERROR(VLOOKUP(ROUND(STANDARDIZE(tblY7[[#This Row],[7P01 - Forces
Raw Score]],AVERAGE(tblY7[[7P01 - Forces
Raw Score]]),_xlfn.STDEV.P(tblY7[[7P01 - Forces
Raw Score]])),9),_Stanine,2),5),"")</f>
        <v>5</v>
      </c>
      <c r="T117" s="66" t="n">
        <v>16</v>
      </c>
      <c r="U117" s="67">
        <f>IF(ISNUMBER(tblY7[[#This Row],[7B02 - Organ Systems
Raw Score]]),IFERROR(VLOOKUP(ROUND(STANDARDIZE(tblY7[[#This Row],[7B02 - Organ Systems
Raw Score]],AVERAGE(tblY7[[7B02 - Organ Systems
Raw Score]]),_xlfn.STDEV.P(tblY7[[7B02 - Organ Systems
Raw Score]])),9),_Stanine,2),5),"")</f>
        <v>4</v>
      </c>
    </row>
    <row r="118">
      <c r="A118" s="65" t="inlineStr">
        <is>
          <t>X902105531149</t>
        </is>
      </c>
      <c r="B118" s="65" t="inlineStr">
        <is>
          <t>Davies</t>
        </is>
      </c>
      <c r="C118" s="65" t="inlineStr">
        <is>
          <t>Ella</t>
        </is>
      </c>
      <c r="D118" s="66" t="inlineStr">
        <is>
          <t>M</t>
        </is>
      </c>
      <c r="E118" s="66" t="inlineStr">
        <is>
          <t>K</t>
        </is>
      </c>
      <c r="F118" s="66" t="inlineStr">
        <is>
          <t>N</t>
        </is>
      </c>
      <c r="G118" s="34" t="n">
        <v>94.7</v>
      </c>
      <c r="H118" s="34" t="n">
        <v>105</v>
      </c>
      <c r="I118" s="67">
        <f>IF(ISNUMBER(tblY7[[#This Row],[Avg KS2]]),IFERROR(VLOOKUP(ROUND(STANDARDIZE(tblY7[[#This Row],[Avg KS2]],AVERAGE(tblY7[[Avg KS2]]),_xlfn.STDEV.P(tblY7[[Avg KS2]])),9),_Stanine,2),5),"")</f>
        <v>4</v>
      </c>
      <c r="J118" s="66" t="inlineStr">
        <is>
          <t>7B/Sc3</t>
        </is>
      </c>
      <c r="K118" s="67">
        <f>IF(tblY7[[#This Row],[Preferred Last name]]="","",COUNTIFS($N$1:$ZZ$1,"*"&amp;CHAR(10)&amp;"Stanine",$N118:$ZZ118,"&gt;=1"))</f>
        <v>2</v>
      </c>
      <c r="L118" s="68">
        <f>IFERROR(AVERAGEIF($N$1:$ZZ$1,"*"&amp;CHAR(10)&amp;"Stanine",$N118:$ZZ118),"")</f>
        <v>2.5</v>
      </c>
      <c r="M118" s="69">
        <f>IF(AND(ISNUMBER(tblY7[[#This Row],[Mean Stanine]]),ISNUMBER(tblY7[[#This Row],[Avg KS2 Band]]),ISNUMBER(SlopeY7)),tblY7[[#This Row],[Mean Stanine]]-(InterceptY7+SlopeY7*tblY7[[#This Row],[Avg KS2 Band]]),"")</f>
        <v>-1.81340936195587</v>
      </c>
      <c r="N118" s="66" t="n">
        <v>12</v>
      </c>
      <c r="O118" s="67">
        <f>IF(ISNUMBER(tblY7[[#This Row],[7B01 - Cells
Raw Score]]),IFERROR(VLOOKUP(ROUND(STANDARDIZE(tblY7[[#This Row],[7B01 - Cells
Raw Score]],AVERAGE(tblY7[[7B01 - Cells
Raw Score]]),_xlfn.STDEV.P(tblY7[[7B01 - Cells
Raw Score]])),9),_Stanine,2),5),"")</f>
        <v>3</v>
      </c>
      <c r="P118" s="66" t="inlineStr">
        <is>
          <t>A</t>
        </is>
      </c>
      <c r="Q118" s="67" t="str">
        <f>IF(ISNUMBER(tblY7[[#This Row],[7C01 - Particles
Raw Score]]),IFERROR(VLOOKUP(ROUND(STANDARDIZE(tblY7[[#This Row],[7C01 - Particles
Raw Score]],AVERAGE(tblY7[[7C01 - Particles
Raw Score]]),_xlfn.STDEV.P(tblY7[[7C01 - Particles
Raw Score]])),9),_Stanine,2),5),"")</f>
        <v/>
      </c>
      <c r="R118" s="66" t="inlineStr">
        <is>
          <t>A</t>
        </is>
      </c>
      <c r="S118" s="67" t="str">
        <f>IF(ISNUMBER(tblY7[[#This Row],[7P01 - Forces
Raw Score]]),IFERROR(VLOOKUP(ROUND(STANDARDIZE(tblY7[[#This Row],[7P01 - Forces
Raw Score]],AVERAGE(tblY7[[7P01 - Forces
Raw Score]]),_xlfn.STDEV.P(tblY7[[7P01 - Forces
Raw Score]])),9),_Stanine,2),5),"")</f>
        <v/>
      </c>
      <c r="T118" s="66" t="n">
        <v>9</v>
      </c>
      <c r="U118" s="67">
        <f>IF(ISNUMBER(tblY7[[#This Row],[7B02 - Organ Systems
Raw Score]]),IFERROR(VLOOKUP(ROUND(STANDARDIZE(tblY7[[#This Row],[7B02 - Organ Systems
Raw Score]],AVERAGE(tblY7[[7B02 - Organ Systems
Raw Score]]),_xlfn.STDEV.P(tblY7[[7B02 - Organ Systems
Raw Score]])),9),_Stanine,2),5),"")</f>
        <v>2</v>
      </c>
    </row>
    <row r="119">
      <c r="A119" s="65" t="inlineStr">
        <is>
          <t>X905077940135</t>
        </is>
      </c>
      <c r="B119" s="65" t="inlineStr">
        <is>
          <t>Harrison</t>
        </is>
      </c>
      <c r="C119" s="65" t="inlineStr">
        <is>
          <t>Reuben</t>
        </is>
      </c>
      <c r="D119" s="66" t="inlineStr">
        <is>
          <t>F</t>
        </is>
      </c>
      <c r="E119" s="66" t="inlineStr">
        <is>
          <t>K</t>
        </is>
      </c>
      <c r="F119" s="66" t="inlineStr">
        <is>
          <t>Y</t>
        </is>
      </c>
      <c r="G119" s="34" t="n">
        <v>86.2</v>
      </c>
      <c r="H119" s="34" t="n">
        <v>103</v>
      </c>
      <c r="I119" s="67">
        <f>IF(ISNUMBER(tblY7[[#This Row],[Avg KS2]]),IFERROR(VLOOKUP(ROUND(STANDARDIZE(tblY7[[#This Row],[Avg KS2]],AVERAGE(tblY7[[Avg KS2]]),_xlfn.STDEV.P(tblY7[[Avg KS2]])),9),_Stanine,2),5),"")</f>
        <v>3</v>
      </c>
      <c r="J119" s="66" t="inlineStr">
        <is>
          <t>7B/Sc3</t>
        </is>
      </c>
      <c r="K119" s="67">
        <f>IF(tblY7[[#This Row],[Preferred Last name]]="","",COUNTIFS($N$1:$ZZ$1,"*"&amp;CHAR(10)&amp;"Stanine",$N119:$ZZ119,"&gt;=1"))</f>
        <v>4</v>
      </c>
      <c r="L119" s="68">
        <f>IFERROR(AVERAGEIF($N$1:$ZZ$1,"*"&amp;CHAR(10)&amp;"Stanine",$N119:$ZZ119),"")</f>
        <v>2.25</v>
      </c>
      <c r="M119" s="69">
        <f>IF(AND(ISNUMBER(tblY7[[#This Row],[Mean Stanine]]),ISNUMBER(tblY7[[#This Row],[Avg KS2 Band]]),ISNUMBER(SlopeY7)),tblY7[[#This Row],[Mean Stanine]]-(InterceptY7+SlopeY7*tblY7[[#This Row],[Avg KS2 Band]]),"")</f>
        <v>-1.36912641621944</v>
      </c>
      <c r="N119" s="66" t="n">
        <v>7</v>
      </c>
      <c r="O119" s="67">
        <f>IF(ISNUMBER(tblY7[[#This Row],[7B01 - Cells
Raw Score]]),IFERROR(VLOOKUP(ROUND(STANDARDIZE(tblY7[[#This Row],[7B01 - Cells
Raw Score]],AVERAGE(tblY7[[7B01 - Cells
Raw Score]]),_xlfn.STDEV.P(tblY7[[7B01 - Cells
Raw Score]])),9),_Stanine,2),5),"")</f>
        <v>2</v>
      </c>
      <c r="P119" s="66" t="n">
        <v>14</v>
      </c>
      <c r="Q119" s="67">
        <f>IF(ISNUMBER(tblY7[[#This Row],[7C01 - Particles
Raw Score]]),IFERROR(VLOOKUP(ROUND(STANDARDIZE(tblY7[[#This Row],[7C01 - Particles
Raw Score]],AVERAGE(tblY7[[7C01 - Particles
Raw Score]]),_xlfn.STDEV.P(tblY7[[7C01 - Particles
Raw Score]])),9),_Stanine,2),5),"")</f>
        <v>3</v>
      </c>
      <c r="R119" s="66" t="n">
        <v>15</v>
      </c>
      <c r="S119" s="67">
        <f>IF(ISNUMBER(tblY7[[#This Row],[7P01 - Forces
Raw Score]]),IFERROR(VLOOKUP(ROUND(STANDARDIZE(tblY7[[#This Row],[7P01 - Forces
Raw Score]],AVERAGE(tblY7[[7P01 - Forces
Raw Score]]),_xlfn.STDEV.P(tblY7[[7P01 - Forces
Raw Score]])),9),_Stanine,2),5),"")</f>
        <v>2</v>
      </c>
      <c r="T119" s="66" t="n">
        <v>10</v>
      </c>
      <c r="U119" s="67">
        <f>IF(ISNUMBER(tblY7[[#This Row],[7B02 - Organ Systems
Raw Score]]),IFERROR(VLOOKUP(ROUND(STANDARDIZE(tblY7[[#This Row],[7B02 - Organ Systems
Raw Score]],AVERAGE(tblY7[[7B02 - Organ Systems
Raw Score]]),_xlfn.STDEV.P(tblY7[[7B02 - Organ Systems
Raw Score]])),9),_Stanine,2),5),"")</f>
        <v>2</v>
      </c>
    </row>
    <row r="120">
      <c r="A120" s="65" t="inlineStr">
        <is>
          <t>X906568475981</t>
        </is>
      </c>
      <c r="B120" s="65" t="inlineStr">
        <is>
          <t>Hughes</t>
        </is>
      </c>
      <c r="C120" s="65" t="inlineStr">
        <is>
          <t>Reuben</t>
        </is>
      </c>
      <c r="D120" s="66" t="inlineStr">
        <is>
          <t>F</t>
        </is>
      </c>
      <c r="E120" s="66" t="inlineStr">
        <is>
          <t>K</t>
        </is>
      </c>
      <c r="F120" s="66" t="inlineStr">
        <is>
          <t>N</t>
        </is>
      </c>
      <c r="G120" s="34" t="n">
        <v>91.3</v>
      </c>
      <c r="H120" s="34" t="n">
        <v>110</v>
      </c>
      <c r="I120" s="67">
        <f>IF(ISNUMBER(tblY7[[#This Row],[Avg KS2]]),IFERROR(VLOOKUP(ROUND(STANDARDIZE(tblY7[[#This Row],[Avg KS2]],AVERAGE(tblY7[[Avg KS2]]),_xlfn.STDEV.P(tblY7[[Avg KS2]])),9),_Stanine,2),5),"")</f>
        <v>6</v>
      </c>
      <c r="J120" s="66" t="inlineStr">
        <is>
          <t>7B/Sc3</t>
        </is>
      </c>
      <c r="K120" s="67">
        <f>IF(tblY7[[#This Row],[Preferred Last name]]="","",COUNTIFS($N$1:$ZZ$1,"*"&amp;CHAR(10)&amp;"Stanine",$N120:$ZZ120,"&gt;=1"))</f>
        <v>4</v>
      </c>
      <c r="L120" s="68">
        <f>IFERROR(AVERAGEIF($N$1:$ZZ$1,"*"&amp;CHAR(10)&amp;"Stanine",$N120:$ZZ120),"")</f>
        <v>5</v>
      </c>
      <c r="M120" s="69">
        <f>IF(AND(ISNUMBER(tblY7[[#This Row],[Mean Stanine]]),ISNUMBER(tblY7[[#This Row],[Avg KS2 Band]]),ISNUMBER(SlopeY7)),tblY7[[#This Row],[Mean Stanine]]-(InterceptY7+SlopeY7*tblY7[[#This Row],[Avg KS2 Band]]),"")</f>
        <v>-0.701975253428741</v>
      </c>
      <c r="N120" s="66" t="n">
        <v>17</v>
      </c>
      <c r="O120" s="67">
        <f>IF(ISNUMBER(tblY7[[#This Row],[7B01 - Cells
Raw Score]]),IFERROR(VLOOKUP(ROUND(STANDARDIZE(tblY7[[#This Row],[7B01 - Cells
Raw Score]],AVERAGE(tblY7[[7B01 - Cells
Raw Score]]),_xlfn.STDEV.P(tblY7[[7B01 - Cells
Raw Score]])),9),_Stanine,2),5),"")</f>
        <v>5</v>
      </c>
      <c r="P120" s="66" t="n">
        <v>18</v>
      </c>
      <c r="Q120" s="67">
        <f>IF(ISNUMBER(tblY7[[#This Row],[7C01 - Particles
Raw Score]]),IFERROR(VLOOKUP(ROUND(STANDARDIZE(tblY7[[#This Row],[7C01 - Particles
Raw Score]],AVERAGE(tblY7[[7C01 - Particles
Raw Score]]),_xlfn.STDEV.P(tblY7[[7C01 - Particles
Raw Score]])),9),_Stanine,2),5),"")</f>
        <v>5</v>
      </c>
      <c r="R120" s="66" t="n">
        <v>21</v>
      </c>
      <c r="S120" s="67">
        <f>IF(ISNUMBER(tblY7[[#This Row],[7P01 - Forces
Raw Score]]),IFERROR(VLOOKUP(ROUND(STANDARDIZE(tblY7[[#This Row],[7P01 - Forces
Raw Score]],AVERAGE(tblY7[[7P01 - Forces
Raw Score]]),_xlfn.STDEV.P(tblY7[[7P01 - Forces
Raw Score]])),9),_Stanine,2),5),"")</f>
        <v>5</v>
      </c>
      <c r="T120" s="66" t="n">
        <v>18</v>
      </c>
      <c r="U120" s="67">
        <f>IF(ISNUMBER(tblY7[[#This Row],[7B02 - Organ Systems
Raw Score]]),IFERROR(VLOOKUP(ROUND(STANDARDIZE(tblY7[[#This Row],[7B02 - Organ Systems
Raw Score]],AVERAGE(tblY7[[7B02 - Organ Systems
Raw Score]]),_xlfn.STDEV.P(tblY7[[7B02 - Organ Systems
Raw Score]])),9),_Stanine,2),5),"")</f>
        <v>5</v>
      </c>
    </row>
    <row r="121">
      <c r="A121" s="65" t="inlineStr">
        <is>
          <t>X903923052717</t>
        </is>
      </c>
      <c r="B121" s="65" t="inlineStr">
        <is>
          <t>Jones</t>
        </is>
      </c>
      <c r="C121" s="65" t="inlineStr">
        <is>
          <t>Ethan</t>
        </is>
      </c>
      <c r="D121" s="66" t="inlineStr">
        <is>
          <t>M</t>
        </is>
      </c>
      <c r="E121" s="66" t="inlineStr">
        <is>
          <t>N</t>
        </is>
      </c>
      <c r="F121" s="66" t="inlineStr">
        <is>
          <t>N</t>
        </is>
      </c>
      <c r="G121" s="34" t="n">
        <v>98.2</v>
      </c>
      <c r="H121" s="34" t="n">
        <v>98</v>
      </c>
      <c r="I121" s="67">
        <f>IF(ISNUMBER(tblY7[[#This Row],[Avg KS2]]),IFERROR(VLOOKUP(ROUND(STANDARDIZE(tblY7[[#This Row],[Avg KS2]],AVERAGE(tblY7[[Avg KS2]]),_xlfn.STDEV.P(tblY7[[Avg KS2]])),9),_Stanine,2),5),"")</f>
        <v>2</v>
      </c>
      <c r="J121" s="66" t="inlineStr">
        <is>
          <t>7B/Sc3</t>
        </is>
      </c>
      <c r="K121" s="67">
        <f>IF(tblY7[[#This Row],[Preferred Last name]]="","",COUNTIFS($N$1:$ZZ$1,"*"&amp;CHAR(10)&amp;"Stanine",$N121:$ZZ121,"&gt;=1"))</f>
        <v>4</v>
      </c>
      <c r="L121" s="68">
        <f>IFERROR(AVERAGEIF($N$1:$ZZ$1,"*"&amp;CHAR(10)&amp;"Stanine",$N121:$ZZ121),"")</f>
        <v>1</v>
      </c>
      <c r="M121" s="69">
        <f>IF(AND(ISNUMBER(tblY7[[#This Row],[Mean Stanine]]),ISNUMBER(tblY7[[#This Row],[Avg KS2 Band]]),ISNUMBER(SlopeY7)),tblY7[[#This Row],[Mean Stanine]]-(InterceptY7+SlopeY7*tblY7[[#This Row],[Avg KS2 Band]]),"")</f>
        <v>-1.92484347048301</v>
      </c>
      <c r="N121" s="66" t="n">
        <v>5</v>
      </c>
      <c r="O121" s="67">
        <f>IF(ISNUMBER(tblY7[[#This Row],[7B01 - Cells
Raw Score]]),IFERROR(VLOOKUP(ROUND(STANDARDIZE(tblY7[[#This Row],[7B01 - Cells
Raw Score]],AVERAGE(tblY7[[7B01 - Cells
Raw Score]]),_xlfn.STDEV.P(tblY7[[7B01 - Cells
Raw Score]])),9),_Stanine,2),5),"")</f>
        <v>1</v>
      </c>
      <c r="P121" s="66" t="n">
        <v>9</v>
      </c>
      <c r="Q121" s="67">
        <f>IF(ISNUMBER(tblY7[[#This Row],[7C01 - Particles
Raw Score]]),IFERROR(VLOOKUP(ROUND(STANDARDIZE(tblY7[[#This Row],[7C01 - Particles
Raw Score]],AVERAGE(tblY7[[7C01 - Particles
Raw Score]]),_xlfn.STDEV.P(tblY7[[7C01 - Particles
Raw Score]])),9),_Stanine,2),5),"")</f>
        <v>1</v>
      </c>
      <c r="R121" s="66" t="n">
        <v>10</v>
      </c>
      <c r="S121" s="67">
        <f>IF(ISNUMBER(tblY7[[#This Row],[7P01 - Forces
Raw Score]]),IFERROR(VLOOKUP(ROUND(STANDARDIZE(tblY7[[#This Row],[7P01 - Forces
Raw Score]],AVERAGE(tblY7[[7P01 - Forces
Raw Score]]),_xlfn.STDEV.P(tblY7[[7P01 - Forces
Raw Score]])),9),_Stanine,2),5),"")</f>
        <v>1</v>
      </c>
      <c r="T121" s="66" t="n">
        <v>8</v>
      </c>
      <c r="U121" s="67">
        <f>IF(ISNUMBER(tblY7[[#This Row],[7B02 - Organ Systems
Raw Score]]),IFERROR(VLOOKUP(ROUND(STANDARDIZE(tblY7[[#This Row],[7B02 - Organ Systems
Raw Score]],AVERAGE(tblY7[[7B02 - Organ Systems
Raw Score]]),_xlfn.STDEV.P(tblY7[[7B02 - Organ Systems
Raw Score]])),9),_Stanine,2),5),"")</f>
        <v>1</v>
      </c>
    </row>
    <row r="122">
      <c r="A122" s="65" t="inlineStr">
        <is>
          <t>X902645855469</t>
        </is>
      </c>
      <c r="B122" s="65" t="inlineStr">
        <is>
          <t>Jones</t>
        </is>
      </c>
      <c r="C122" s="65" t="inlineStr">
        <is>
          <t>Kai</t>
        </is>
      </c>
      <c r="D122" s="66" t="inlineStr">
        <is>
          <t>F</t>
        </is>
      </c>
      <c r="E122" s="66" t="inlineStr">
        <is>
          <t>N</t>
        </is>
      </c>
      <c r="F122" s="66" t="inlineStr">
        <is>
          <t>Y</t>
        </is>
      </c>
      <c r="G122" s="34" t="n">
        <v>96</v>
      </c>
      <c r="H122" s="34" t="n">
        <v>101</v>
      </c>
      <c r="I122" s="67">
        <f>IF(ISNUMBER(tblY7[[#This Row],[Avg KS2]]),IFERROR(VLOOKUP(ROUND(STANDARDIZE(tblY7[[#This Row],[Avg KS2]],AVERAGE(tblY7[[Avg KS2]]),_xlfn.STDEV.P(tblY7[[Avg KS2]])),9),_Stanine,2),5),"")</f>
        <v>3</v>
      </c>
      <c r="J122" s="66" t="inlineStr">
        <is>
          <t>7B/Sc3</t>
        </is>
      </c>
      <c r="K122" s="67">
        <f>IF(tblY7[[#This Row],[Preferred Last name]]="","",COUNTIFS($N$1:$ZZ$1,"*"&amp;CHAR(10)&amp;"Stanine",$N122:$ZZ122,"&gt;=1"))</f>
        <v>2</v>
      </c>
      <c r="L122" s="68">
        <f>IFERROR(AVERAGEIF($N$1:$ZZ$1,"*"&amp;CHAR(10)&amp;"Stanine",$N122:$ZZ122),"")</f>
        <v>1.5</v>
      </c>
      <c r="M122" s="69">
        <f>IF(AND(ISNUMBER(tblY7[[#This Row],[Mean Stanine]]),ISNUMBER(tblY7[[#This Row],[Avg KS2 Band]]),ISNUMBER(SlopeY7)),tblY7[[#This Row],[Mean Stanine]]-(InterceptY7+SlopeY7*tblY7[[#This Row],[Avg KS2 Band]]),"")</f>
        <v>-2.11912641621944</v>
      </c>
      <c r="N122" s="66" t="inlineStr">
        <is>
          <t>A</t>
        </is>
      </c>
      <c r="O122" s="67" t="str">
        <f>IF(ISNUMBER(tblY7[[#This Row],[7B01 - Cells
Raw Score]]),IFERROR(VLOOKUP(ROUND(STANDARDIZE(tblY7[[#This Row],[7B01 - Cells
Raw Score]],AVERAGE(tblY7[[7B01 - Cells
Raw Score]]),_xlfn.STDEV.P(tblY7[[7B01 - Cells
Raw Score]])),9),_Stanine,2),5),"")</f>
        <v/>
      </c>
      <c r="P122" s="66" t="n">
        <v>9</v>
      </c>
      <c r="Q122" s="67">
        <f>IF(ISNUMBER(tblY7[[#This Row],[7C01 - Particles
Raw Score]]),IFERROR(VLOOKUP(ROUND(STANDARDIZE(tblY7[[#This Row],[7C01 - Particles
Raw Score]],AVERAGE(tblY7[[7C01 - Particles
Raw Score]]),_xlfn.STDEV.P(tblY7[[7C01 - Particles
Raw Score]])),9),_Stanine,2),5),"")</f>
        <v>1</v>
      </c>
      <c r="R122" s="66" t="inlineStr">
        <is>
          <t>A</t>
        </is>
      </c>
      <c r="S122" s="67" t="str">
        <f>IF(ISNUMBER(tblY7[[#This Row],[7P01 - Forces
Raw Score]]),IFERROR(VLOOKUP(ROUND(STANDARDIZE(tblY7[[#This Row],[7P01 - Forces
Raw Score]],AVERAGE(tblY7[[7P01 - Forces
Raw Score]]),_xlfn.STDEV.P(tblY7[[7P01 - Forces
Raw Score]])),9),_Stanine,2),5),"")</f>
        <v/>
      </c>
      <c r="T122" s="66" t="n">
        <v>9</v>
      </c>
      <c r="U122" s="67">
        <f>IF(ISNUMBER(tblY7[[#This Row],[7B02 - Organ Systems
Raw Score]]),IFERROR(VLOOKUP(ROUND(STANDARDIZE(tblY7[[#This Row],[7B02 - Organ Systems
Raw Score]],AVERAGE(tblY7[[7B02 - Organ Systems
Raw Score]]),_xlfn.STDEV.P(tblY7[[7B02 - Organ Systems
Raw Score]])),9),_Stanine,2),5),"")</f>
        <v>2</v>
      </c>
    </row>
    <row r="123">
      <c r="A123" s="65" t="inlineStr">
        <is>
          <t>X900091821962</t>
        </is>
      </c>
      <c r="B123" s="65" t="inlineStr">
        <is>
          <t>Patel</t>
        </is>
      </c>
      <c r="C123" s="65" t="inlineStr">
        <is>
          <t>Charlie</t>
        </is>
      </c>
      <c r="D123" s="66" t="inlineStr">
        <is>
          <t>M</t>
        </is>
      </c>
      <c r="E123" s="66" t="inlineStr">
        <is>
          <t>N</t>
        </is>
      </c>
      <c r="F123" s="66" t="inlineStr">
        <is>
          <t>N</t>
        </is>
      </c>
      <c r="G123" s="34" t="n">
        <v>100</v>
      </c>
      <c r="H123" s="34" t="n">
        <v>101.5</v>
      </c>
      <c r="I123" s="67">
        <f>IF(ISNUMBER(tblY7[[#This Row],[Avg KS2]]),IFERROR(VLOOKUP(ROUND(STANDARDIZE(tblY7[[#This Row],[Avg KS2]],AVERAGE(tblY7[[Avg KS2]]),_xlfn.STDEV.P(tblY7[[Avg KS2]])),9),_Stanine,2),5),"")</f>
        <v>3</v>
      </c>
      <c r="J123" s="66" t="inlineStr">
        <is>
          <t>7B/Sc3</t>
        </is>
      </c>
      <c r="K123" s="67">
        <f>IF(tblY7[[#This Row],[Preferred Last name]]="","",COUNTIFS($N$1:$ZZ$1,"*"&amp;CHAR(10)&amp;"Stanine",$N123:$ZZ123,"&gt;=1"))</f>
        <v>3</v>
      </c>
      <c r="L123" s="68">
        <f>IFERROR(AVERAGEIF($N$1:$ZZ$1,"*"&amp;CHAR(10)&amp;"Stanine",$N123:$ZZ123),"")</f>
        <v>2</v>
      </c>
      <c r="M123" s="69">
        <f>IF(AND(ISNUMBER(tblY7[[#This Row],[Mean Stanine]]),ISNUMBER(tblY7[[#This Row],[Avg KS2 Band]]),ISNUMBER(SlopeY7)),tblY7[[#This Row],[Mean Stanine]]-(InterceptY7+SlopeY7*tblY7[[#This Row],[Avg KS2 Band]]),"")</f>
        <v>-1.61912641621944</v>
      </c>
      <c r="N123" s="66" t="n">
        <v>8</v>
      </c>
      <c r="O123" s="67">
        <f>IF(ISNUMBER(tblY7[[#This Row],[7B01 - Cells
Raw Score]]),IFERROR(VLOOKUP(ROUND(STANDARDIZE(tblY7[[#This Row],[7B01 - Cells
Raw Score]],AVERAGE(tblY7[[7B01 - Cells
Raw Score]]),_xlfn.STDEV.P(tblY7[[7B01 - Cells
Raw Score]])),9),_Stanine,2),5),"")</f>
        <v>2</v>
      </c>
      <c r="P123" s="66" t="inlineStr">
        <is>
          <t>A</t>
        </is>
      </c>
      <c r="Q123" s="67" t="str">
        <f>IF(ISNUMBER(tblY7[[#This Row],[7C01 - Particles
Raw Score]]),IFERROR(VLOOKUP(ROUND(STANDARDIZE(tblY7[[#This Row],[7C01 - Particles
Raw Score]],AVERAGE(tblY7[[7C01 - Particles
Raw Score]]),_xlfn.STDEV.P(tblY7[[7C01 - Particles
Raw Score]])),9),_Stanine,2),5),"")</f>
        <v/>
      </c>
      <c r="R123" s="66" t="n">
        <v>13</v>
      </c>
      <c r="S123" s="67">
        <f>IF(ISNUMBER(tblY7[[#This Row],[7P01 - Forces
Raw Score]]),IFERROR(VLOOKUP(ROUND(STANDARDIZE(tblY7[[#This Row],[7P01 - Forces
Raw Score]],AVERAGE(tblY7[[7P01 - Forces
Raw Score]]),_xlfn.STDEV.P(tblY7[[7P01 - Forces
Raw Score]])),9),_Stanine,2),5),"")</f>
        <v>2</v>
      </c>
      <c r="T123" s="66" t="n">
        <v>10</v>
      </c>
      <c r="U123" s="67">
        <f>IF(ISNUMBER(tblY7[[#This Row],[7B02 - Organ Systems
Raw Score]]),IFERROR(VLOOKUP(ROUND(STANDARDIZE(tblY7[[#This Row],[7B02 - Organ Systems
Raw Score]],AVERAGE(tblY7[[7B02 - Organ Systems
Raw Score]]),_xlfn.STDEV.P(tblY7[[7B02 - Organ Systems
Raw Score]])),9),_Stanine,2),5),"")</f>
        <v>2</v>
      </c>
    </row>
    <row r="124">
      <c r="A124" s="65" t="inlineStr">
        <is>
          <t>X907657882995</t>
        </is>
      </c>
      <c r="B124" s="65" t="inlineStr">
        <is>
          <t>Price</t>
        </is>
      </c>
      <c r="C124" s="65" t="inlineStr">
        <is>
          <t>Harry</t>
        </is>
      </c>
      <c r="D124" s="66" t="inlineStr">
        <is>
          <t>F</t>
        </is>
      </c>
      <c r="E124" s="66" t="n"/>
      <c r="F124" s="66" t="inlineStr">
        <is>
          <t>N</t>
        </is>
      </c>
      <c r="G124" s="34" t="n">
        <v>89.2</v>
      </c>
      <c r="H124" s="34" t="n">
        <v>108</v>
      </c>
      <c r="I124" s="67">
        <f>IF(ISNUMBER(tblY7[[#This Row],[Avg KS2]]),IFERROR(VLOOKUP(ROUND(STANDARDIZE(tblY7[[#This Row],[Avg KS2]],AVERAGE(tblY7[[Avg KS2]]),_xlfn.STDEV.P(tblY7[[Avg KS2]])),9),_Stanine,2),5),"")</f>
        <v>5</v>
      </c>
      <c r="J124" s="66" t="inlineStr">
        <is>
          <t>7B/Sc3</t>
        </is>
      </c>
      <c r="K124" s="67">
        <f>IF(tblY7[[#This Row],[Preferred Last name]]="","",COUNTIFS($N$1:$ZZ$1,"*"&amp;CHAR(10)&amp;"Stanine",$N124:$ZZ124,"&gt;=1"))</f>
        <v>3</v>
      </c>
      <c r="L124" s="68">
        <f>IFERROR(AVERAGEIF($N$1:$ZZ$1,"*"&amp;CHAR(10)&amp;"Stanine",$N124:$ZZ124),"")</f>
        <v>4.66666666666667</v>
      </c>
      <c r="M124" s="69">
        <f>IF(AND(ISNUMBER(tblY7[[#This Row],[Mean Stanine]]),ISNUMBER(tblY7[[#This Row],[Avg KS2 Band]]),ISNUMBER(SlopeY7)),tblY7[[#This Row],[Mean Stanine]]-(InterceptY7+SlopeY7*tblY7[[#This Row],[Avg KS2 Band]]),"")</f>
        <v>-0.341025641025641</v>
      </c>
      <c r="N124" s="66" t="n">
        <v>17</v>
      </c>
      <c r="O124" s="67">
        <f>IF(ISNUMBER(tblY7[[#This Row],[7B01 - Cells
Raw Score]]),IFERROR(VLOOKUP(ROUND(STANDARDIZE(tblY7[[#This Row],[7B01 - Cells
Raw Score]],AVERAGE(tblY7[[7B01 - Cells
Raw Score]]),_xlfn.STDEV.P(tblY7[[7B01 - Cells
Raw Score]])),9),_Stanine,2),5),"")</f>
        <v>5</v>
      </c>
      <c r="P124" s="66" t="n">
        <v>17</v>
      </c>
      <c r="Q124" s="67">
        <f>IF(ISNUMBER(tblY7[[#This Row],[7C01 - Particles
Raw Score]]),IFERROR(VLOOKUP(ROUND(STANDARDIZE(tblY7[[#This Row],[7C01 - Particles
Raw Score]],AVERAGE(tblY7[[7C01 - Particles
Raw Score]]),_xlfn.STDEV.P(tblY7[[7C01 - Particles
Raw Score]])),9),_Stanine,2),5),"")</f>
        <v>4</v>
      </c>
      <c r="R124" s="66" t="inlineStr">
        <is>
          <t>A</t>
        </is>
      </c>
      <c r="S124" s="67" t="str">
        <f>IF(ISNUMBER(tblY7[[#This Row],[7P01 - Forces
Raw Score]]),IFERROR(VLOOKUP(ROUND(STANDARDIZE(tblY7[[#This Row],[7P01 - Forces
Raw Score]],AVERAGE(tblY7[[7P01 - Forces
Raw Score]]),_xlfn.STDEV.P(tblY7[[7P01 - Forces
Raw Score]])),9),_Stanine,2),5),"")</f>
        <v/>
      </c>
      <c r="T124" s="66" t="n">
        <v>18</v>
      </c>
      <c r="U124" s="67">
        <f>IF(ISNUMBER(tblY7[[#This Row],[7B02 - Organ Systems
Raw Score]]),IFERROR(VLOOKUP(ROUND(STANDARDIZE(tblY7[[#This Row],[7B02 - Organ Systems
Raw Score]],AVERAGE(tblY7[[7B02 - Organ Systems
Raw Score]]),_xlfn.STDEV.P(tblY7[[7B02 - Organ Systems
Raw Score]])),9),_Stanine,2),5),"")</f>
        <v>5</v>
      </c>
    </row>
    <row r="125">
      <c r="A125" s="65" t="inlineStr">
        <is>
          <t>X908311674961</t>
        </is>
      </c>
      <c r="B125" s="65" t="inlineStr">
        <is>
          <t>Roberts</t>
        </is>
      </c>
      <c r="C125" s="65" t="inlineStr">
        <is>
          <t>Ava</t>
        </is>
      </c>
      <c r="D125" s="66" t="inlineStr">
        <is>
          <t>M</t>
        </is>
      </c>
      <c r="E125" s="66" t="inlineStr">
        <is>
          <t>K</t>
        </is>
      </c>
      <c r="F125" s="66" t="inlineStr">
        <is>
          <t>N</t>
        </is>
      </c>
      <c r="G125" s="34" t="n">
        <v>92</v>
      </c>
      <c r="H125" s="34" t="n">
        <v>100.5</v>
      </c>
      <c r="I125" s="67">
        <f>IF(ISNUMBER(tblY7[[#This Row],[Avg KS2]]),IFERROR(VLOOKUP(ROUND(STANDARDIZE(tblY7[[#This Row],[Avg KS2]],AVERAGE(tblY7[[Avg KS2]]),_xlfn.STDEV.P(tblY7[[Avg KS2]])),9),_Stanine,2),5),"")</f>
        <v>3</v>
      </c>
      <c r="J125" s="66" t="inlineStr">
        <is>
          <t>7B/Sc3</t>
        </is>
      </c>
      <c r="K125" s="67">
        <f>IF(tblY7[[#This Row],[Preferred Last name]]="","",COUNTIFS($N$1:$ZZ$1,"*"&amp;CHAR(10)&amp;"Stanine",$N125:$ZZ125,"&gt;=1"))</f>
        <v>4</v>
      </c>
      <c r="L125" s="68">
        <f>IFERROR(AVERAGEIF($N$1:$ZZ$1,"*"&amp;CHAR(10)&amp;"Stanine",$N125:$ZZ125),"")</f>
        <v>2.75</v>
      </c>
      <c r="M125" s="69">
        <f>IF(AND(ISNUMBER(tblY7[[#This Row],[Mean Stanine]]),ISNUMBER(tblY7[[#This Row],[Avg KS2 Band]]),ISNUMBER(SlopeY7)),tblY7[[#This Row],[Mean Stanine]]-(InterceptY7+SlopeY7*tblY7[[#This Row],[Avg KS2 Band]]),"")</f>
        <v>-0.869126416219439</v>
      </c>
      <c r="N125" s="66" t="n">
        <v>7</v>
      </c>
      <c r="O125" s="67">
        <f>IF(ISNUMBER(tblY7[[#This Row],[7B01 - Cells
Raw Score]]),IFERROR(VLOOKUP(ROUND(STANDARDIZE(tblY7[[#This Row],[7B01 - Cells
Raw Score]],AVERAGE(tblY7[[7B01 - Cells
Raw Score]]),_xlfn.STDEV.P(tblY7[[7B01 - Cells
Raw Score]])),9),_Stanine,2),5),"")</f>
        <v>2</v>
      </c>
      <c r="P125" s="66" t="n">
        <v>15</v>
      </c>
      <c r="Q125" s="67">
        <f>IF(ISNUMBER(tblY7[[#This Row],[7C01 - Particles
Raw Score]]),IFERROR(VLOOKUP(ROUND(STANDARDIZE(tblY7[[#This Row],[7C01 - Particles
Raw Score]],AVERAGE(tblY7[[7C01 - Particles
Raw Score]]),_xlfn.STDEV.P(tblY7[[7C01 - Particles
Raw Score]])),9),_Stanine,2),5),"")</f>
        <v>3</v>
      </c>
      <c r="R125" s="66" t="n">
        <v>18</v>
      </c>
      <c r="S125" s="67">
        <f>IF(ISNUMBER(tblY7[[#This Row],[7P01 - Forces
Raw Score]]),IFERROR(VLOOKUP(ROUND(STANDARDIZE(tblY7[[#This Row],[7P01 - Forces
Raw Score]],AVERAGE(tblY7[[7P01 - Forces
Raw Score]]),_xlfn.STDEV.P(tblY7[[7P01 - Forces
Raw Score]])),9),_Stanine,2),5),"")</f>
        <v>4</v>
      </c>
      <c r="T125" s="66" t="n">
        <v>10</v>
      </c>
      <c r="U125" s="67">
        <f>IF(ISNUMBER(tblY7[[#This Row],[7B02 - Organ Systems
Raw Score]]),IFERROR(VLOOKUP(ROUND(STANDARDIZE(tblY7[[#This Row],[7B02 - Organ Systems
Raw Score]],AVERAGE(tblY7[[7B02 - Organ Systems
Raw Score]]),_xlfn.STDEV.P(tblY7[[7B02 - Organ Systems
Raw Score]])),9),_Stanine,2),5),"")</f>
        <v>2</v>
      </c>
    </row>
    <row r="126">
      <c r="A126" s="65" t="inlineStr">
        <is>
          <t>X905095293298</t>
        </is>
      </c>
      <c r="B126" s="65" t="inlineStr">
        <is>
          <t>Roberts</t>
        </is>
      </c>
      <c r="C126" s="65" t="inlineStr">
        <is>
          <t>Ivy</t>
        </is>
      </c>
      <c r="D126" s="66" t="inlineStr">
        <is>
          <t>F</t>
        </is>
      </c>
      <c r="E126" s="66" t="n"/>
      <c r="F126" s="66" t="inlineStr">
        <is>
          <t>N</t>
        </is>
      </c>
      <c r="G126" s="34" t="n">
        <v>91.8</v>
      </c>
      <c r="H126" s="34" t="n">
        <v>114.5</v>
      </c>
      <c r="I126" s="67">
        <f>IF(ISNUMBER(tblY7[[#This Row],[Avg KS2]]),IFERROR(VLOOKUP(ROUND(STANDARDIZE(tblY7[[#This Row],[Avg KS2]],AVERAGE(tblY7[[Avg KS2]]),_xlfn.STDEV.P(tblY7[[Avg KS2]])),9),_Stanine,2),5),"")</f>
        <v>8</v>
      </c>
      <c r="J126" s="66" t="inlineStr">
        <is>
          <t>7B/Sc3</t>
        </is>
      </c>
      <c r="K126" s="67">
        <f>IF(tblY7[[#This Row],[Preferred Last name]]="","",COUNTIFS($N$1:$ZZ$1,"*"&amp;CHAR(10)&amp;"Stanine",$N126:$ZZ126,"&gt;=1"))</f>
        <v>4</v>
      </c>
      <c r="L126" s="68">
        <f>IFERROR(AVERAGEIF($N$1:$ZZ$1,"*"&amp;CHAR(10)&amp;"Stanine",$N126:$ZZ126),"")</f>
        <v>7.5</v>
      </c>
      <c r="M126" s="69">
        <f>IF(AND(ISNUMBER(tblY7[[#This Row],[Mean Stanine]]),ISNUMBER(tblY7[[#This Row],[Avg KS2 Band]]),ISNUMBER(SlopeY7)),tblY7[[#This Row],[Mean Stanine]]-(InterceptY7+SlopeY7*tblY7[[#This Row],[Avg KS2 Band]]),"")</f>
        <v>0.40945885509839</v>
      </c>
      <c r="N126" s="66" t="n">
        <v>26</v>
      </c>
      <c r="O126" s="67">
        <f>IF(ISNUMBER(tblY7[[#This Row],[7B01 - Cells
Raw Score]]),IFERROR(VLOOKUP(ROUND(STANDARDIZE(tblY7[[#This Row],[7B01 - Cells
Raw Score]],AVERAGE(tblY7[[7B01 - Cells
Raw Score]]),_xlfn.STDEV.P(tblY7[[7B01 - Cells
Raw Score]])),9),_Stanine,2),5),"")</f>
        <v>8</v>
      </c>
      <c r="P126" s="66" t="n">
        <v>23</v>
      </c>
      <c r="Q126" s="67">
        <f>IF(ISNUMBER(tblY7[[#This Row],[7C01 - Particles
Raw Score]]),IFERROR(VLOOKUP(ROUND(STANDARDIZE(tblY7[[#This Row],[7C01 - Particles
Raw Score]],AVERAGE(tblY7[[7C01 - Particles
Raw Score]]),_xlfn.STDEV.P(tblY7[[7C01 - Particles
Raw Score]])),9),_Stanine,2),5),"")</f>
        <v>7</v>
      </c>
      <c r="R126" s="66" t="n">
        <v>28</v>
      </c>
      <c r="S126" s="67">
        <f>IF(ISNUMBER(tblY7[[#This Row],[7P01 - Forces
Raw Score]]),IFERROR(VLOOKUP(ROUND(STANDARDIZE(tblY7[[#This Row],[7P01 - Forces
Raw Score]],AVERAGE(tblY7[[7P01 - Forces
Raw Score]]),_xlfn.STDEV.P(tblY7[[7P01 - Forces
Raw Score]])),9),_Stanine,2),5),"")</f>
        <v>8</v>
      </c>
      <c r="T126" s="66" t="n">
        <v>24</v>
      </c>
      <c r="U126" s="67">
        <f>IF(ISNUMBER(tblY7[[#This Row],[7B02 - Organ Systems
Raw Score]]),IFERROR(VLOOKUP(ROUND(STANDARDIZE(tblY7[[#This Row],[7B02 - Organ Systems
Raw Score]],AVERAGE(tblY7[[7B02 - Organ Systems
Raw Score]]),_xlfn.STDEV.P(tblY7[[7B02 - Organ Systems
Raw Score]])),9),_Stanine,2),5),"")</f>
        <v>7</v>
      </c>
    </row>
    <row r="127">
      <c r="A127" s="65" t="inlineStr">
        <is>
          <t>X904889840072</t>
        </is>
      </c>
      <c r="B127" s="65" t="inlineStr">
        <is>
          <t>Robinson</t>
        </is>
      </c>
      <c r="C127" s="65" t="inlineStr">
        <is>
          <t>Callum</t>
        </is>
      </c>
      <c r="D127" s="66" t="inlineStr">
        <is>
          <t>F</t>
        </is>
      </c>
      <c r="E127" s="66" t="n"/>
      <c r="F127" s="66" t="inlineStr">
        <is>
          <t>N</t>
        </is>
      </c>
      <c r="G127" s="34" t="n">
        <v>95</v>
      </c>
      <c r="H127" s="34" t="n">
        <v>101.5</v>
      </c>
      <c r="I127" s="67">
        <f>IF(ISNUMBER(tblY7[[#This Row],[Avg KS2]]),IFERROR(VLOOKUP(ROUND(STANDARDIZE(tblY7[[#This Row],[Avg KS2]],AVERAGE(tblY7[[Avg KS2]]),_xlfn.STDEV.P(tblY7[[Avg KS2]])),9),_Stanine,2),5),"")</f>
        <v>3</v>
      </c>
      <c r="J127" s="66" t="inlineStr">
        <is>
          <t>7B/Sc3</t>
        </is>
      </c>
      <c r="K127" s="67">
        <f>IF(tblY7[[#This Row],[Preferred Last name]]="","",COUNTIFS($N$1:$ZZ$1,"*"&amp;CHAR(10)&amp;"Stanine",$N127:$ZZ127,"&gt;=1"))</f>
        <v>4</v>
      </c>
      <c r="L127" s="68">
        <f>IFERROR(AVERAGEIF($N$1:$ZZ$1,"*"&amp;CHAR(10)&amp;"Stanine",$N127:$ZZ127),"")</f>
        <v>4.25</v>
      </c>
      <c r="M127" s="69">
        <f>IF(AND(ISNUMBER(tblY7[[#This Row],[Mean Stanine]]),ISNUMBER(tblY7[[#This Row],[Avg KS2 Band]]),ISNUMBER(SlopeY7)),tblY7[[#This Row],[Mean Stanine]]-(InterceptY7+SlopeY7*tblY7[[#This Row],[Avg KS2 Band]]),"")</f>
        <v>0.630873583780561</v>
      </c>
      <c r="N127" s="66" t="n">
        <v>18</v>
      </c>
      <c r="O127" s="67">
        <f>IF(ISNUMBER(tblY7[[#This Row],[7B01 - Cells
Raw Score]]),IFERROR(VLOOKUP(ROUND(STANDARDIZE(tblY7[[#This Row],[7B01 - Cells
Raw Score]],AVERAGE(tblY7[[7B01 - Cells
Raw Score]]),_xlfn.STDEV.P(tblY7[[7B01 - Cells
Raw Score]])),9),_Stanine,2),5),"")</f>
        <v>5</v>
      </c>
      <c r="P127" s="66" t="n">
        <v>15</v>
      </c>
      <c r="Q127" s="67">
        <f>IF(ISNUMBER(tblY7[[#This Row],[7C01 - Particles
Raw Score]]),IFERROR(VLOOKUP(ROUND(STANDARDIZE(tblY7[[#This Row],[7C01 - Particles
Raw Score]],AVERAGE(tblY7[[7C01 - Particles
Raw Score]]),_xlfn.STDEV.P(tblY7[[7C01 - Particles
Raw Score]])),9),_Stanine,2),5),"")</f>
        <v>3</v>
      </c>
      <c r="R127" s="66" t="n">
        <v>22</v>
      </c>
      <c r="S127" s="67">
        <f>IF(ISNUMBER(tblY7[[#This Row],[7P01 - Forces
Raw Score]]),IFERROR(VLOOKUP(ROUND(STANDARDIZE(tblY7[[#This Row],[7P01 - Forces
Raw Score]],AVERAGE(tblY7[[7P01 - Forces
Raw Score]]),_xlfn.STDEV.P(tblY7[[7P01 - Forces
Raw Score]])),9),_Stanine,2),5),"")</f>
        <v>5</v>
      </c>
      <c r="T127" s="66" t="n">
        <v>14</v>
      </c>
      <c r="U127" s="67">
        <f>IF(ISNUMBER(tblY7[[#This Row],[7B02 - Organ Systems
Raw Score]]),IFERROR(VLOOKUP(ROUND(STANDARDIZE(tblY7[[#This Row],[7B02 - Organ Systems
Raw Score]],AVERAGE(tblY7[[7B02 - Organ Systems
Raw Score]]),_xlfn.STDEV.P(tblY7[[7B02 - Organ Systems
Raw Score]])),9),_Stanine,2),5),"")</f>
        <v>4</v>
      </c>
    </row>
    <row r="128">
      <c r="A128" s="65" t="inlineStr">
        <is>
          <t>X901665412783</t>
        </is>
      </c>
      <c r="B128" s="65" t="inlineStr">
        <is>
          <t>Smith</t>
        </is>
      </c>
      <c r="C128" s="65" t="inlineStr">
        <is>
          <t>Chidi</t>
        </is>
      </c>
      <c r="D128" s="66" t="inlineStr">
        <is>
          <t>F</t>
        </is>
      </c>
      <c r="E128" s="66" t="n"/>
      <c r="F128" s="66" t="inlineStr">
        <is>
          <t>Y</t>
        </is>
      </c>
      <c r="G128" s="34" t="n">
        <v>100</v>
      </c>
      <c r="H128" s="34" t="n">
        <v>108</v>
      </c>
      <c r="I128" s="67">
        <f>IF(ISNUMBER(tblY7[[#This Row],[Avg KS2]]),IFERROR(VLOOKUP(ROUND(STANDARDIZE(tblY7[[#This Row],[Avg KS2]],AVERAGE(tblY7[[Avg KS2]]),_xlfn.STDEV.P(tblY7[[Avg KS2]])),9),_Stanine,2),5),"")</f>
        <v>5</v>
      </c>
      <c r="J128" s="66" t="inlineStr">
        <is>
          <t>7B/Sc3</t>
        </is>
      </c>
      <c r="K128" s="67">
        <f>IF(tblY7[[#This Row],[Preferred Last name]]="","",COUNTIFS($N$1:$ZZ$1,"*"&amp;CHAR(10)&amp;"Stanine",$N128:$ZZ128,"&gt;=1"))</f>
        <v>3</v>
      </c>
      <c r="L128" s="68">
        <f>IFERROR(AVERAGEIF($N$1:$ZZ$1,"*"&amp;CHAR(10)&amp;"Stanine",$N128:$ZZ128),"")</f>
        <v>6.66666666666667</v>
      </c>
      <c r="M128" s="69">
        <f>IF(AND(ISNUMBER(tblY7[[#This Row],[Mean Stanine]]),ISNUMBER(tblY7[[#This Row],[Avg KS2 Band]]),ISNUMBER(SlopeY7)),tblY7[[#This Row],[Mean Stanine]]-(InterceptY7+SlopeY7*tblY7[[#This Row],[Avg KS2 Band]]),"")</f>
        <v>1.65897435897436</v>
      </c>
      <c r="N128" s="66" t="n">
        <v>23</v>
      </c>
      <c r="O128" s="67">
        <f>IF(ISNUMBER(tblY7[[#This Row],[7B01 - Cells
Raw Score]]),IFERROR(VLOOKUP(ROUND(STANDARDIZE(tblY7[[#This Row],[7B01 - Cells
Raw Score]],AVERAGE(tblY7[[7B01 - Cells
Raw Score]]),_xlfn.STDEV.P(tblY7[[7B01 - Cells
Raw Score]])),9),_Stanine,2),5),"")</f>
        <v>7</v>
      </c>
      <c r="P128" s="66" t="n">
        <v>21</v>
      </c>
      <c r="Q128" s="67">
        <f>IF(ISNUMBER(tblY7[[#This Row],[7C01 - Particles
Raw Score]]),IFERROR(VLOOKUP(ROUND(STANDARDIZE(tblY7[[#This Row],[7C01 - Particles
Raw Score]],AVERAGE(tblY7[[7C01 - Particles
Raw Score]]),_xlfn.STDEV.P(tblY7[[7C01 - Particles
Raw Score]])),9),_Stanine,2),5),"")</f>
        <v>6</v>
      </c>
      <c r="R128" s="66" t="inlineStr">
        <is>
          <t>A</t>
        </is>
      </c>
      <c r="S128" s="67" t="str">
        <f>IF(ISNUMBER(tblY7[[#This Row],[7P01 - Forces
Raw Score]]),IFERROR(VLOOKUP(ROUND(STANDARDIZE(tblY7[[#This Row],[7P01 - Forces
Raw Score]],AVERAGE(tblY7[[7P01 - Forces
Raw Score]]),_xlfn.STDEV.P(tblY7[[7P01 - Forces
Raw Score]])),9),_Stanine,2),5),"")</f>
        <v/>
      </c>
      <c r="T128" s="66" t="n">
        <v>22</v>
      </c>
      <c r="U128" s="67">
        <f>IF(ISNUMBER(tblY7[[#This Row],[7B02 - Organ Systems
Raw Score]]),IFERROR(VLOOKUP(ROUND(STANDARDIZE(tblY7[[#This Row],[7B02 - Organ Systems
Raw Score]],AVERAGE(tblY7[[7B02 - Organ Systems
Raw Score]]),_xlfn.STDEV.P(tblY7[[7B02 - Organ Systems
Raw Score]])),9),_Stanine,2),5),"")</f>
        <v>7</v>
      </c>
    </row>
    <row r="129">
      <c r="A129" s="65" t="inlineStr">
        <is>
          <t>X903746841268</t>
        </is>
      </c>
      <c r="B129" s="65" t="inlineStr">
        <is>
          <t>Taylor</t>
        </is>
      </c>
      <c r="C129" s="65" t="inlineStr">
        <is>
          <t>Maisie</t>
        </is>
      </c>
      <c r="D129" s="66" t="inlineStr">
        <is>
          <t>F</t>
        </is>
      </c>
      <c r="E129" s="66" t="inlineStr">
        <is>
          <t>N</t>
        </is>
      </c>
      <c r="F129" s="66" t="inlineStr">
        <is>
          <t>N</t>
        </is>
      </c>
      <c r="G129" s="34" t="n">
        <v>94.09999999999999</v>
      </c>
      <c r="H129" s="34" t="n">
        <v>102.5</v>
      </c>
      <c r="I129" s="67">
        <f>IF(ISNUMBER(tblY7[[#This Row],[Avg KS2]]),IFERROR(VLOOKUP(ROUND(STANDARDIZE(tblY7[[#This Row],[Avg KS2]],AVERAGE(tblY7[[Avg KS2]]),_xlfn.STDEV.P(tblY7[[Avg KS2]])),9),_Stanine,2),5),"")</f>
        <v>3</v>
      </c>
      <c r="J129" s="66" t="inlineStr">
        <is>
          <t>7B/Sc3</t>
        </is>
      </c>
      <c r="K129" s="67">
        <f>IF(tblY7[[#This Row],[Preferred Last name]]="","",COUNTIFS($N$1:$ZZ$1,"*"&amp;CHAR(10)&amp;"Stanine",$N129:$ZZ129,"&gt;=1"))</f>
        <v>4</v>
      </c>
      <c r="L129" s="68">
        <f>IFERROR(AVERAGEIF($N$1:$ZZ$1,"*"&amp;CHAR(10)&amp;"Stanine",$N129:$ZZ129),"")</f>
        <v>3.5</v>
      </c>
      <c r="M129" s="69">
        <f>IF(AND(ISNUMBER(tblY7[[#This Row],[Mean Stanine]]),ISNUMBER(tblY7[[#This Row],[Avg KS2 Band]]),ISNUMBER(SlopeY7)),tblY7[[#This Row],[Mean Stanine]]-(InterceptY7+SlopeY7*tblY7[[#This Row],[Avg KS2 Band]]),"")</f>
        <v>-0.119126416219439</v>
      </c>
      <c r="N129" s="66" t="n">
        <v>13</v>
      </c>
      <c r="O129" s="67">
        <f>IF(ISNUMBER(tblY7[[#This Row],[7B01 - Cells
Raw Score]]),IFERROR(VLOOKUP(ROUND(STANDARDIZE(tblY7[[#This Row],[7B01 - Cells
Raw Score]],AVERAGE(tblY7[[7B01 - Cells
Raw Score]]),_xlfn.STDEV.P(tblY7[[7B01 - Cells
Raw Score]])),9),_Stanine,2),5),"")</f>
        <v>4</v>
      </c>
      <c r="P129" s="66" t="n">
        <v>13</v>
      </c>
      <c r="Q129" s="67">
        <f>IF(ISNUMBER(tblY7[[#This Row],[7C01 - Particles
Raw Score]]),IFERROR(VLOOKUP(ROUND(STANDARDIZE(tblY7[[#This Row],[7C01 - Particles
Raw Score]],AVERAGE(tblY7[[7C01 - Particles
Raw Score]]),_xlfn.STDEV.P(tblY7[[7C01 - Particles
Raw Score]])),9),_Stanine,2),5),"")</f>
        <v>2</v>
      </c>
      <c r="R129" s="66" t="n">
        <v>18</v>
      </c>
      <c r="S129" s="67">
        <f>IF(ISNUMBER(tblY7[[#This Row],[7P01 - Forces
Raw Score]]),IFERROR(VLOOKUP(ROUND(STANDARDIZE(tblY7[[#This Row],[7P01 - Forces
Raw Score]],AVERAGE(tblY7[[7P01 - Forces
Raw Score]]),_xlfn.STDEV.P(tblY7[[7P01 - Forces
Raw Score]])),9),_Stanine,2),5),"")</f>
        <v>4</v>
      </c>
      <c r="T129" s="66" t="n">
        <v>15</v>
      </c>
      <c r="U129" s="67">
        <f>IF(ISNUMBER(tblY7[[#This Row],[7B02 - Organ Systems
Raw Score]]),IFERROR(VLOOKUP(ROUND(STANDARDIZE(tblY7[[#This Row],[7B02 - Organ Systems
Raw Score]],AVERAGE(tblY7[[7B02 - Organ Systems
Raw Score]]),_xlfn.STDEV.P(tblY7[[7B02 - Organ Systems
Raw Score]])),9),_Stanine,2),5),"")</f>
        <v>4</v>
      </c>
    </row>
    <row r="130">
      <c r="A130" s="65" t="inlineStr">
        <is>
          <t>X909548331158</t>
        </is>
      </c>
      <c r="B130" s="65" t="inlineStr">
        <is>
          <t>White</t>
        </is>
      </c>
      <c r="C130" s="65" t="inlineStr">
        <is>
          <t>Ibrahim</t>
        </is>
      </c>
      <c r="D130" s="66" t="inlineStr">
        <is>
          <t>M</t>
        </is>
      </c>
      <c r="E130" s="66" t="inlineStr">
        <is>
          <t>N</t>
        </is>
      </c>
      <c r="F130" s="66" t="inlineStr">
        <is>
          <t>N</t>
        </is>
      </c>
      <c r="G130" s="34" t="n">
        <v>92.2</v>
      </c>
      <c r="H130" s="34" t="n">
        <v>100</v>
      </c>
      <c r="I130" s="67">
        <f>IF(ISNUMBER(tblY7[[#This Row],[Avg KS2]]),IFERROR(VLOOKUP(ROUND(STANDARDIZE(tblY7[[#This Row],[Avg KS2]],AVERAGE(tblY7[[Avg KS2]]),_xlfn.STDEV.P(tblY7[[Avg KS2]])),9),_Stanine,2),5),"")</f>
        <v>2</v>
      </c>
      <c r="J130" s="66" t="inlineStr">
        <is>
          <t>7B/Sc3</t>
        </is>
      </c>
      <c r="K130" s="67">
        <f>IF(tblY7[[#This Row],[Preferred Last name]]="","",COUNTIFS($N$1:$ZZ$1,"*"&amp;CHAR(10)&amp;"Stanine",$N130:$ZZ130,"&gt;=1"))</f>
        <v>3</v>
      </c>
      <c r="L130" s="68">
        <f>IFERROR(AVERAGEIF($N$1:$ZZ$1,"*"&amp;CHAR(10)&amp;"Stanine",$N130:$ZZ130),"")</f>
        <v>1</v>
      </c>
      <c r="M130" s="69">
        <f>IF(AND(ISNUMBER(tblY7[[#This Row],[Mean Stanine]]),ISNUMBER(tblY7[[#This Row],[Avg KS2 Band]]),ISNUMBER(SlopeY7)),tblY7[[#This Row],[Mean Stanine]]-(InterceptY7+SlopeY7*tblY7[[#This Row],[Avg KS2 Band]]),"")</f>
        <v>-1.92484347048301</v>
      </c>
      <c r="N130" s="66" t="n">
        <v>6</v>
      </c>
      <c r="O130" s="67">
        <f>IF(ISNUMBER(tblY7[[#This Row],[7B01 - Cells
Raw Score]]),IFERROR(VLOOKUP(ROUND(STANDARDIZE(tblY7[[#This Row],[7B01 - Cells
Raw Score]],AVERAGE(tblY7[[7B01 - Cells
Raw Score]]),_xlfn.STDEV.P(tblY7[[7B01 - Cells
Raw Score]])),9),_Stanine,2),5),"")</f>
        <v>1</v>
      </c>
      <c r="P130" s="66" t="n">
        <v>8</v>
      </c>
      <c r="Q130" s="67">
        <f>IF(ISNUMBER(tblY7[[#This Row],[7C01 - Particles
Raw Score]]),IFERROR(VLOOKUP(ROUND(STANDARDIZE(tblY7[[#This Row],[7C01 - Particles
Raw Score]],AVERAGE(tblY7[[7C01 - Particles
Raw Score]]),_xlfn.STDEV.P(tblY7[[7C01 - Particles
Raw Score]])),9),_Stanine,2),5),"")</f>
        <v>1</v>
      </c>
      <c r="R130" s="66" t="n">
        <v>10</v>
      </c>
      <c r="S130" s="67">
        <f>IF(ISNUMBER(tblY7[[#This Row],[7P01 - Forces
Raw Score]]),IFERROR(VLOOKUP(ROUND(STANDARDIZE(tblY7[[#This Row],[7P01 - Forces
Raw Score]],AVERAGE(tblY7[[7P01 - Forces
Raw Score]]),_xlfn.STDEV.P(tblY7[[7P01 - Forces
Raw Score]])),9),_Stanine,2),5),"")</f>
        <v>1</v>
      </c>
      <c r="T130" s="66" t="inlineStr">
        <is>
          <t>A</t>
        </is>
      </c>
      <c r="U130" s="67" t="str">
        <f>IF(ISNUMBER(tblY7[[#This Row],[7B02 - Organ Systems
Raw Score]]),IFERROR(VLOOKUP(ROUND(STANDARDIZE(tblY7[[#This Row],[7B02 - Organ Systems
Raw Score]],AVERAGE(tblY7[[7B02 - Organ Systems
Raw Score]]),_xlfn.STDEV.P(tblY7[[7B02 - Organ Systems
Raw Score]])),9),_Stanine,2),5),"")</f>
        <v/>
      </c>
    </row>
    <row r="131">
      <c r="A131" s="65" t="inlineStr">
        <is>
          <t>X905045697123</t>
        </is>
      </c>
      <c r="B131" s="65" t="inlineStr">
        <is>
          <t>White</t>
        </is>
      </c>
      <c r="C131" s="65" t="inlineStr">
        <is>
          <t>Niamh</t>
        </is>
      </c>
      <c r="D131" s="66" t="inlineStr">
        <is>
          <t>M</t>
        </is>
      </c>
      <c r="E131" s="66" t="inlineStr">
        <is>
          <t>N</t>
        </is>
      </c>
      <c r="F131" s="66" t="inlineStr">
        <is>
          <t>Y</t>
        </is>
      </c>
      <c r="G131" s="34" t="n">
        <v>88.09999999999999</v>
      </c>
      <c r="H131" s="34" t="n">
        <v>113</v>
      </c>
      <c r="I131" s="67">
        <f>IF(ISNUMBER(tblY7[[#This Row],[Avg KS2]]),IFERROR(VLOOKUP(ROUND(STANDARDIZE(tblY7[[#This Row],[Avg KS2]],AVERAGE(tblY7[[Avg KS2]]),_xlfn.STDEV.P(tblY7[[Avg KS2]])),9),_Stanine,2),5),"")</f>
        <v>7</v>
      </c>
      <c r="J131" s="66" t="inlineStr">
        <is>
          <t>7B/Sc3</t>
        </is>
      </c>
      <c r="K131" s="67">
        <f>IF(tblY7[[#This Row],[Preferred Last name]]="","",COUNTIFS($N$1:$ZZ$1,"*"&amp;CHAR(10)&amp;"Stanine",$N131:$ZZ131,"&gt;=1"))</f>
        <v>4</v>
      </c>
      <c r="L131" s="68">
        <f>IFERROR(AVERAGEIF($N$1:$ZZ$1,"*"&amp;CHAR(10)&amp;"Stanine",$N131:$ZZ131),"")</f>
        <v>7.25</v>
      </c>
      <c r="M131" s="69">
        <f>IF(AND(ISNUMBER(tblY7[[#This Row],[Mean Stanine]]),ISNUMBER(tblY7[[#This Row],[Avg KS2 Band]]),ISNUMBER(SlopeY7)),tblY7[[#This Row],[Mean Stanine]]-(InterceptY7+SlopeY7*tblY7[[#This Row],[Avg KS2 Band]]),"")</f>
        <v>0.853741800834825</v>
      </c>
      <c r="N131" s="66" t="n">
        <v>26</v>
      </c>
      <c r="O131" s="67">
        <f>IF(ISNUMBER(tblY7[[#This Row],[7B01 - Cells
Raw Score]]),IFERROR(VLOOKUP(ROUND(STANDARDIZE(tblY7[[#This Row],[7B01 - Cells
Raw Score]],AVERAGE(tblY7[[7B01 - Cells
Raw Score]]),_xlfn.STDEV.P(tblY7[[7B01 - Cells
Raw Score]])),9),_Stanine,2),5),"")</f>
        <v>8</v>
      </c>
      <c r="P131" s="66" t="n">
        <v>23</v>
      </c>
      <c r="Q131" s="67">
        <f>IF(ISNUMBER(tblY7[[#This Row],[7C01 - Particles
Raw Score]]),IFERROR(VLOOKUP(ROUND(STANDARDIZE(tblY7[[#This Row],[7C01 - Particles
Raw Score]],AVERAGE(tblY7[[7C01 - Particles
Raw Score]]),_xlfn.STDEV.P(tblY7[[7C01 - Particles
Raw Score]])),9),_Stanine,2),5),"")</f>
        <v>7</v>
      </c>
      <c r="R131" s="66" t="n">
        <v>27</v>
      </c>
      <c r="S131" s="67">
        <f>IF(ISNUMBER(tblY7[[#This Row],[7P01 - Forces
Raw Score]]),IFERROR(VLOOKUP(ROUND(STANDARDIZE(tblY7[[#This Row],[7P01 - Forces
Raw Score]],AVERAGE(tblY7[[7P01 - Forces
Raw Score]]),_xlfn.STDEV.P(tblY7[[7P01 - Forces
Raw Score]])),9),_Stanine,2),5),"")</f>
        <v>7</v>
      </c>
      <c r="T131" s="66" t="n">
        <v>23</v>
      </c>
      <c r="U131" s="67">
        <f>IF(ISNUMBER(tblY7[[#This Row],[7B02 - Organ Systems
Raw Score]]),IFERROR(VLOOKUP(ROUND(STANDARDIZE(tblY7[[#This Row],[7B02 - Organ Systems
Raw Score]],AVERAGE(tblY7[[7B02 - Organ Systems
Raw Score]]),_xlfn.STDEV.P(tblY7[[7B02 - Organ Systems
Raw Score]])),9),_Stanine,2),5),"")</f>
        <v>7</v>
      </c>
    </row>
    <row r="132">
      <c r="A132" s="65" t="inlineStr">
        <is>
          <t>X904388173014</t>
        </is>
      </c>
      <c r="B132" s="65" t="inlineStr">
        <is>
          <t>Williams</t>
        </is>
      </c>
      <c r="C132" s="65" t="inlineStr">
        <is>
          <t>Tomasz</t>
        </is>
      </c>
      <c r="D132" s="66" t="inlineStr">
        <is>
          <t>M</t>
        </is>
      </c>
      <c r="E132" s="66" t="n"/>
      <c r="F132" s="66" t="inlineStr">
        <is>
          <t>N</t>
        </is>
      </c>
      <c r="G132" s="34" t="n">
        <v>100</v>
      </c>
      <c r="H132" s="34" t="n">
        <v>108.5</v>
      </c>
      <c r="I132" s="67">
        <f>IF(ISNUMBER(tblY7[[#This Row],[Avg KS2]]),IFERROR(VLOOKUP(ROUND(STANDARDIZE(tblY7[[#This Row],[Avg KS2]],AVERAGE(tblY7[[Avg KS2]]),_xlfn.STDEV.P(tblY7[[Avg KS2]])),9),_Stanine,2),5),"")</f>
        <v>6</v>
      </c>
      <c r="J132" s="66" t="inlineStr">
        <is>
          <t>7B/Sc3</t>
        </is>
      </c>
      <c r="K132" s="67">
        <f>IF(tblY7[[#This Row],[Preferred Last name]]="","",COUNTIFS($N$1:$ZZ$1,"*"&amp;CHAR(10)&amp;"Stanine",$N132:$ZZ132,"&gt;=1"))</f>
        <v>3</v>
      </c>
      <c r="L132" s="68">
        <f>IFERROR(AVERAGEIF($N$1:$ZZ$1,"*"&amp;CHAR(10)&amp;"Stanine",$N132:$ZZ132),"")</f>
        <v>4</v>
      </c>
      <c r="M132" s="69">
        <f>IF(AND(ISNUMBER(tblY7[[#This Row],[Mean Stanine]]),ISNUMBER(tblY7[[#This Row],[Avg KS2 Band]]),ISNUMBER(SlopeY7)),tblY7[[#This Row],[Mean Stanine]]-(InterceptY7+SlopeY7*tblY7[[#This Row],[Avg KS2 Band]]),"")</f>
        <v>-1.70197525342874</v>
      </c>
      <c r="N132" s="66" t="n">
        <v>14</v>
      </c>
      <c r="O132" s="67">
        <f>IF(ISNUMBER(tblY7[[#This Row],[7B01 - Cells
Raw Score]]),IFERROR(VLOOKUP(ROUND(STANDARDIZE(tblY7[[#This Row],[7B01 - Cells
Raw Score]],AVERAGE(tblY7[[7B01 - Cells
Raw Score]]),_xlfn.STDEV.P(tblY7[[7B01 - Cells
Raw Score]])),9),_Stanine,2),5),"")</f>
        <v>4</v>
      </c>
      <c r="P132" s="66" t="inlineStr">
        <is>
          <t>A</t>
        </is>
      </c>
      <c r="Q132" s="67" t="str">
        <f>IF(ISNUMBER(tblY7[[#This Row],[7C01 - Particles
Raw Score]]),IFERROR(VLOOKUP(ROUND(STANDARDIZE(tblY7[[#This Row],[7C01 - Particles
Raw Score]],AVERAGE(tblY7[[7C01 - Particles
Raw Score]]),_xlfn.STDEV.P(tblY7[[7C01 - Particles
Raw Score]])),9),_Stanine,2),5),"")</f>
        <v/>
      </c>
      <c r="R132" s="66" t="n">
        <v>19</v>
      </c>
      <c r="S132" s="67">
        <f>IF(ISNUMBER(tblY7[[#This Row],[7P01 - Forces
Raw Score]]),IFERROR(VLOOKUP(ROUND(STANDARDIZE(tblY7[[#This Row],[7P01 - Forces
Raw Score]],AVERAGE(tblY7[[7P01 - Forces
Raw Score]]),_xlfn.STDEV.P(tblY7[[7P01 - Forces
Raw Score]])),9),_Stanine,2),5),"")</f>
        <v>4</v>
      </c>
      <c r="T132" s="66" t="n">
        <v>15</v>
      </c>
      <c r="U132" s="67">
        <f>IF(ISNUMBER(tblY7[[#This Row],[7B02 - Organ Systems
Raw Score]]),IFERROR(VLOOKUP(ROUND(STANDARDIZE(tblY7[[#This Row],[7B02 - Organ Systems
Raw Score]],AVERAGE(tblY7[[7B02 - Organ Systems
Raw Score]]),_xlfn.STDEV.P(tblY7[[7B02 - Organ Systems
Raw Score]])),9),_Stanine,2),5),"")</f>
        <v>4</v>
      </c>
    </row>
  </sheetData>
  <conditionalFormatting sqref="I2:I132">
    <cfRule type="iconSet" priority="1">
      <iconSet iconSet="3TrafficLights1">
        <cfvo type="percent" val="0"/>
        <cfvo type="num" val="4"/>
        <cfvo type="num" val="7"/>
      </iconSet>
    </cfRule>
  </conditionalFormatting>
  <conditionalFormatting sqref="L2:L132">
    <cfRule type="iconSet" priority="2">
      <iconSet iconSet="3TrafficLights1">
        <cfvo type="percent" val="0"/>
        <cfvo type="num" val="3.5"/>
        <cfvo type="num" val="6.5"/>
      </iconSet>
    </cfRule>
  </conditionalFormatting>
  <conditionalFormatting sqref="M2:M132">
    <cfRule type="iconSet" priority="3">
      <iconSet iconSet="3Arrows">
        <cfvo type="percent" val="0"/>
        <cfvo type="num" val="-0.99"/>
        <cfvo type="num" val="1"/>
      </iconSet>
    </cfRule>
  </conditionalFormatting>
  <conditionalFormatting sqref="O2:O132">
    <cfRule type="iconSet" priority="4">
      <iconSet iconSet="3TrafficLights1">
        <cfvo type="percent" val="0"/>
        <cfvo type="num" val="4"/>
        <cfvo type="num" val="7"/>
      </iconSet>
    </cfRule>
  </conditionalFormatting>
  <conditionalFormatting sqref="Q2:Q132">
    <cfRule type="iconSet" priority="5">
      <iconSet iconSet="3TrafficLights1">
        <cfvo type="percent" val="0"/>
        <cfvo type="num" val="4"/>
        <cfvo type="num" val="7"/>
      </iconSet>
    </cfRule>
  </conditionalFormatting>
  <conditionalFormatting sqref="S2:S132">
    <cfRule type="iconSet" priority="6">
      <iconSet iconSet="3TrafficLights1">
        <cfvo type="percent" val="0"/>
        <cfvo type="num" val="4"/>
        <cfvo type="num" val="7"/>
      </iconSet>
    </cfRule>
  </conditionalFormatting>
  <conditionalFormatting sqref="U2:U132">
    <cfRule type="iconSet" priority="7">
      <iconSet iconSet="3TrafficLights1">
        <cfvo type="percent" val="0"/>
        <cfvo type="num" val="4"/>
        <cfvo type="num" val="7"/>
      </iconSet>
    </cfRule>
  </conditionalFormatting>
  <dataValidations count="4">
    <dataValidation sqref="N2:N132"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32"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132"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32" showDropDown="0" showInputMessage="0" showErrorMessage="1" allowBlank="1" errorTitle="Score out of range" error="Type a mark from 0 to 28, or A for absent. Leave the cell blank if the student has not sat the test yet." type="custom">
      <formula1>OR(UPPER(T2)="A",AND(ISNUMBER(T2),T2&gt;=0,T2&lt;=28))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Y8">
    <outlinePr summaryBelow="1" summaryRight="1"/>
    <pageSetUpPr/>
  </sheetPr>
  <dimension ref="A1:W9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8C01 - Periodic Table
Raw Score</t>
        </is>
      </c>
      <c r="O1" s="63" t="inlineStr">
        <is>
          <t>8C01 - Periodic Table
Stanine</t>
        </is>
      </c>
      <c r="P1" s="64" t="inlineStr">
        <is>
          <t>8P01 - Energy
Raw Score</t>
        </is>
      </c>
      <c r="Q1" s="64" t="inlineStr">
        <is>
          <t>8P01 - Energy
Stanine</t>
        </is>
      </c>
      <c r="R1" s="63" t="inlineStr">
        <is>
          <t>8B01 - Digestion
Raw Score</t>
        </is>
      </c>
      <c r="S1" s="63" t="inlineStr">
        <is>
          <t>8B01 - Digestion
Stanine</t>
        </is>
      </c>
      <c r="T1" s="64" t="inlineStr">
        <is>
          <t>8C02 - Metals and Acids
Raw Score</t>
        </is>
      </c>
      <c r="U1" s="64" t="inlineStr">
        <is>
          <t>8C02 - Metals and Acids
Stanine</t>
        </is>
      </c>
      <c r="V1" s="63" t="inlineStr">
        <is>
          <t>8P02 - Light
Raw Score</t>
        </is>
      </c>
      <c r="W1" s="63" t="inlineStr">
        <is>
          <t>8P02 - Light
Stanine</t>
        </is>
      </c>
    </row>
    <row r="2">
      <c r="A2" s="65" t="inlineStr">
        <is>
          <t>X906863152979</t>
        </is>
      </c>
      <c r="B2" s="65" t="inlineStr">
        <is>
          <t>Adeyemi</t>
        </is>
      </c>
      <c r="C2" s="65" t="inlineStr">
        <is>
          <t>Hannah</t>
        </is>
      </c>
      <c r="D2" s="66" t="inlineStr">
        <is>
          <t>M</t>
        </is>
      </c>
      <c r="E2" s="66" t="n"/>
      <c r="F2" s="66" t="inlineStr">
        <is>
          <t>N</t>
        </is>
      </c>
      <c r="G2" s="34" t="n">
        <v>89.40000000000001</v>
      </c>
      <c r="H2" s="34" t="n">
        <v>112.5</v>
      </c>
      <c r="I2" s="67">
        <f>IF(ISNUMBER(tblY8[[#This Row],[Avg KS2]]),IFERROR(VLOOKUP(ROUND(STANDARDIZE(tblY8[[#This Row],[Avg KS2]],AVERAGE(tblY8[[Avg KS2]]),_xlfn.STDEV.P(tblY8[[Avg KS2]])),9),_Stanine,2),5),"")</f>
        <v>8</v>
      </c>
      <c r="J2" s="66" t="inlineStr">
        <is>
          <t>8A/Sc1</t>
        </is>
      </c>
      <c r="K2" s="67">
        <f>IF(tblY8[[#This Row],[Preferred Last name]]="","",COUNTIFS($N$1:$ZZ$1,"*"&amp;CHAR(10)&amp;"Stanine",$N2:$ZZ2,"&gt;=1"))</f>
        <v>5</v>
      </c>
      <c r="L2" s="68">
        <f>IFERROR(AVERAGEIF($N$1:$ZZ$1,"*"&amp;CHAR(10)&amp;"Stanine",$N2:$ZZ2),"")</f>
        <v>8.4</v>
      </c>
      <c r="M2" s="69">
        <f>IF(AND(ISNUMBER(tblY8[[#This Row],[Mean Stanine]]),ISNUMBER(tblY8[[#This Row],[Avg KS2 Band]]),ISNUMBER(SlopeY8)),tblY8[[#This Row],[Mean Stanine]]-(InterceptY8+SlopeY8*tblY8[[#This Row],[Avg KS2 Band]]),"")</f>
        <v>1.1214071136746</v>
      </c>
      <c r="N2" s="66" t="n">
        <v>27</v>
      </c>
      <c r="O2" s="67">
        <f>IF(ISNUMBER(tblY8[[#This Row],[8C01 - Periodic Table
Raw Score]]),IFERROR(VLOOKUP(ROUND(STANDARDIZE(tblY8[[#This Row],[8C01 - Periodic Table
Raw Score]],AVERAGE(tblY8[[8C01 - Periodic Table
Raw Score]]),_xlfn.STDEV.P(tblY8[[8C01 - Periodic Table
Raw Score]])),9),_Stanine,2),5),"")</f>
        <v>8</v>
      </c>
      <c r="P2" s="66" t="n">
        <v>19</v>
      </c>
      <c r="Q2" s="67">
        <f>IF(ISNUMBER(tblY8[[#This Row],[8P01 - Energy
Raw Score]]),IFERROR(VLOOKUP(ROUND(STANDARDIZE(tblY8[[#This Row],[8P01 - Energy
Raw Score]],AVERAGE(tblY8[[8P01 - Energy
Raw Score]]),_xlfn.STDEV.P(tblY8[[8P01 - Energy
Raw Score]])),9),_Stanine,2),5),"")</f>
        <v>8</v>
      </c>
      <c r="R2" s="66" t="n">
        <v>26</v>
      </c>
      <c r="S2" s="67">
        <f>IF(ISNUMBER(tblY8[[#This Row],[8B01 - Digestion
Raw Score]]),IFERROR(VLOOKUP(ROUND(STANDARDIZE(tblY8[[#This Row],[8B01 - Digestion
Raw Score]],AVERAGE(tblY8[[8B01 - Digestion
Raw Score]]),_xlfn.STDEV.P(tblY8[[8B01 - Digestion
Raw Score]])),9),_Stanine,2),5),"")</f>
        <v>9</v>
      </c>
      <c r="T2" s="66" t="n">
        <v>21</v>
      </c>
      <c r="U2" s="67">
        <f>IF(ISNUMBER(tblY8[[#This Row],[8C02 - Metals and Acids
Raw Score]]),IFERROR(VLOOKUP(ROUND(STANDARDIZE(tblY8[[#This Row],[8C02 - Metals and Acids
Raw Score]],AVERAGE(tblY8[[8C02 - Metals and Acids
Raw Score]]),_xlfn.STDEV.P(tblY8[[8C02 - Metals and Acids
Raw Score]])),9),_Stanine,2),5),"")</f>
        <v>9</v>
      </c>
      <c r="V2" s="66" t="n">
        <v>21</v>
      </c>
      <c r="W2" s="67">
        <f>IF(ISNUMBER(tblY8[[#This Row],[8P02 - Light
Raw Score]]),IFERROR(VLOOKUP(ROUND(STANDARDIZE(tblY8[[#This Row],[8P02 - Light
Raw Score]],AVERAGE(tblY8[[8P02 - Light
Raw Score]]),_xlfn.STDEV.P(tblY8[[8P02 - Light
Raw Score]])),9),_Stanine,2),5),"")</f>
        <v>8</v>
      </c>
    </row>
    <row r="3">
      <c r="A3" s="65" t="inlineStr">
        <is>
          <t>X903495682420</t>
        </is>
      </c>
      <c r="B3" s="65" t="inlineStr">
        <is>
          <t>Ahmed</t>
        </is>
      </c>
      <c r="C3" s="65" t="inlineStr">
        <is>
          <t>Evie</t>
        </is>
      </c>
      <c r="D3" s="66" t="inlineStr">
        <is>
          <t>F</t>
        </is>
      </c>
      <c r="E3" s="66" t="n"/>
      <c r="F3" s="66" t="inlineStr">
        <is>
          <t>N</t>
        </is>
      </c>
      <c r="G3" s="34" t="n">
        <v>92.90000000000001</v>
      </c>
      <c r="H3" s="34" t="n">
        <v>116</v>
      </c>
      <c r="I3" s="67">
        <f>IF(ISNUMBER(tblY8[[#This Row],[Avg KS2]]),IFERROR(VLOOKUP(ROUND(STANDARDIZE(tblY8[[#This Row],[Avg KS2]],AVERAGE(tblY8[[Avg KS2]]),_xlfn.STDEV.P(tblY8[[Avg KS2]])),9),_Stanine,2),5),"")</f>
        <v>9</v>
      </c>
      <c r="J3" s="66" t="inlineStr">
        <is>
          <t>8A/Sc1</t>
        </is>
      </c>
      <c r="K3" s="67">
        <f>IF(tblY8[[#This Row],[Preferred Last name]]="","",COUNTIFS($N$1:$ZZ$1,"*"&amp;CHAR(10)&amp;"Stanine",$N3:$ZZ3,"&gt;=1"))</f>
        <v>5</v>
      </c>
      <c r="L3" s="68">
        <f>IFERROR(AVERAGEIF($N$1:$ZZ$1,"*"&amp;CHAR(10)&amp;"Stanine",$N3:$ZZ3),"")</f>
        <v>7.8</v>
      </c>
      <c r="M3" s="69">
        <f>IF(AND(ISNUMBER(tblY8[[#This Row],[Mean Stanine]]),ISNUMBER(tblY8[[#This Row],[Avg KS2 Band]]),ISNUMBER(SlopeY8)),tblY8[[#This Row],[Mean Stanine]]-(InterceptY8+SlopeY8*tblY8[[#This Row],[Avg KS2 Band]]),"")</f>
        <v>-0.257504205719779</v>
      </c>
      <c r="N3" s="66" t="n">
        <v>28</v>
      </c>
      <c r="O3" s="67">
        <f>IF(ISNUMBER(tblY8[[#This Row],[8C01 - Periodic Table
Raw Score]]),IFERROR(VLOOKUP(ROUND(STANDARDIZE(tblY8[[#This Row],[8C01 - Periodic Table
Raw Score]],AVERAGE(tblY8[[8C01 - Periodic Table
Raw Score]]),_xlfn.STDEV.P(tblY8[[8C01 - Periodic Table
Raw Score]])),9),_Stanine,2),5),"")</f>
        <v>8</v>
      </c>
      <c r="P3" s="66" t="n">
        <v>18</v>
      </c>
      <c r="Q3" s="67">
        <f>IF(ISNUMBER(tblY8[[#This Row],[8P01 - Energy
Raw Score]]),IFERROR(VLOOKUP(ROUND(STANDARDIZE(tblY8[[#This Row],[8P01 - Energy
Raw Score]],AVERAGE(tblY8[[8P01 - Energy
Raw Score]]),_xlfn.STDEV.P(tblY8[[8P01 - Energy
Raw Score]])),9),_Stanine,2),5),"")</f>
        <v>8</v>
      </c>
      <c r="R3" s="66" t="n">
        <v>22</v>
      </c>
      <c r="S3" s="67">
        <f>IF(ISNUMBER(tblY8[[#This Row],[8B01 - Digestion
Raw Score]]),IFERROR(VLOOKUP(ROUND(STANDARDIZE(tblY8[[#This Row],[8B01 - Digestion
Raw Score]],AVERAGE(tblY8[[8B01 - Digestion
Raw Score]]),_xlfn.STDEV.P(tblY8[[8B01 - Digestion
Raw Score]])),9),_Stanine,2),5),"")</f>
        <v>8</v>
      </c>
      <c r="T3" s="66" t="n">
        <v>19</v>
      </c>
      <c r="U3" s="67">
        <f>IF(ISNUMBER(tblY8[[#This Row],[8C02 - Metals and Acids
Raw Score]]),IFERROR(VLOOKUP(ROUND(STANDARDIZE(tblY8[[#This Row],[8C02 - Metals and Acids
Raw Score]],AVERAGE(tblY8[[8C02 - Metals and Acids
Raw Score]]),_xlfn.STDEV.P(tblY8[[8C02 - Metals and Acids
Raw Score]])),9),_Stanine,2),5),"")</f>
        <v>8</v>
      </c>
      <c r="V3" s="66" t="n">
        <v>20</v>
      </c>
      <c r="W3" s="67">
        <f>IF(ISNUMBER(tblY8[[#This Row],[8P02 - Light
Raw Score]]),IFERROR(VLOOKUP(ROUND(STANDARDIZE(tblY8[[#This Row],[8P02 - Light
Raw Score]],AVERAGE(tblY8[[8P02 - Light
Raw Score]]),_xlfn.STDEV.P(tblY8[[8P02 - Light
Raw Score]])),9),_Stanine,2),5),"")</f>
        <v>7</v>
      </c>
    </row>
    <row r="4">
      <c r="A4" s="65" t="inlineStr">
        <is>
          <t>X909722358870</t>
        </is>
      </c>
      <c r="B4" s="65" t="inlineStr">
        <is>
          <t>Bennett</t>
        </is>
      </c>
      <c r="C4" s="65" t="inlineStr">
        <is>
          <t>Lily</t>
        </is>
      </c>
      <c r="D4" s="66" t="inlineStr">
        <is>
          <t>M</t>
        </is>
      </c>
      <c r="E4" s="66" t="inlineStr">
        <is>
          <t>N</t>
        </is>
      </c>
      <c r="F4" s="66" t="inlineStr">
        <is>
          <t>N</t>
        </is>
      </c>
      <c r="G4" s="34" t="n">
        <v>85.2</v>
      </c>
      <c r="H4" s="34" t="n">
        <v>103</v>
      </c>
      <c r="I4" s="67">
        <f>IF(ISNUMBER(tblY8[[#This Row],[Avg KS2]]),IFERROR(VLOOKUP(ROUND(STANDARDIZE(tblY8[[#This Row],[Avg KS2]],AVERAGE(tblY8[[Avg KS2]]),_xlfn.STDEV.P(tblY8[[Avg KS2]])),9),_Stanine,2),5),"")</f>
        <v>4</v>
      </c>
      <c r="J4" s="66" t="inlineStr">
        <is>
          <t>8A/Sc1</t>
        </is>
      </c>
      <c r="K4" s="67">
        <f>IF(tblY8[[#This Row],[Preferred Last name]]="","",COUNTIFS($N$1:$ZZ$1,"*"&amp;CHAR(10)&amp;"Stanine",$N4:$ZZ4,"&gt;=1"))</f>
        <v>5</v>
      </c>
      <c r="L4" s="68">
        <f>IFERROR(AVERAGEIF($N$1:$ZZ$1,"*"&amp;CHAR(10)&amp;"Stanine",$N4:$ZZ4),"")</f>
        <v>6</v>
      </c>
      <c r="M4" s="69">
        <f>IF(AND(ISNUMBER(tblY8[[#This Row],[Mean Stanine]]),ISNUMBER(tblY8[[#This Row],[Avg KS2 Band]]),ISNUMBER(SlopeY8)),tblY8[[#This Row],[Mean Stanine]]-(InterceptY8+SlopeY8*tblY8[[#This Row],[Avg KS2 Band]]),"")</f>
        <v>1.8370523912521</v>
      </c>
      <c r="N4" s="66" t="n">
        <v>21</v>
      </c>
      <c r="O4" s="67">
        <f>IF(ISNUMBER(tblY8[[#This Row],[8C01 - Periodic Table
Raw Score]]),IFERROR(VLOOKUP(ROUND(STANDARDIZE(tblY8[[#This Row],[8C01 - Periodic Table
Raw Score]],AVERAGE(tblY8[[8C01 - Periodic Table
Raw Score]]),_xlfn.STDEV.P(tblY8[[8C01 - Periodic Table
Raw Score]])),9),_Stanine,2),5),"")</f>
        <v>6</v>
      </c>
      <c r="P4" s="66" t="n">
        <v>10</v>
      </c>
      <c r="Q4" s="67">
        <f>IF(ISNUMBER(tblY8[[#This Row],[8P01 - Energy
Raw Score]]),IFERROR(VLOOKUP(ROUND(STANDARDIZE(tblY8[[#This Row],[8P01 - Energy
Raw Score]],AVERAGE(tblY8[[8P01 - Energy
Raw Score]]),_xlfn.STDEV.P(tblY8[[8P01 - Energy
Raw Score]])),9),_Stanine,2),5),"")</f>
        <v>5</v>
      </c>
      <c r="R4" s="66" t="n">
        <v>15</v>
      </c>
      <c r="S4" s="67">
        <f>IF(ISNUMBER(tblY8[[#This Row],[8B01 - Digestion
Raw Score]]),IFERROR(VLOOKUP(ROUND(STANDARDIZE(tblY8[[#This Row],[8B01 - Digestion
Raw Score]],AVERAGE(tblY8[[8B01 - Digestion
Raw Score]]),_xlfn.STDEV.P(tblY8[[8B01 - Digestion
Raw Score]])),9),_Stanine,2),5),"")</f>
        <v>5</v>
      </c>
      <c r="T4" s="66" t="n">
        <v>16</v>
      </c>
      <c r="U4" s="67">
        <f>IF(ISNUMBER(tblY8[[#This Row],[8C02 - Metals and Acids
Raw Score]]),IFERROR(VLOOKUP(ROUND(STANDARDIZE(tblY8[[#This Row],[8C02 - Metals and Acids
Raw Score]],AVERAGE(tblY8[[8C02 - Metals and Acids
Raw Score]]),_xlfn.STDEV.P(tblY8[[8C02 - Metals and Acids
Raw Score]])),9),_Stanine,2),5),"")</f>
        <v>7</v>
      </c>
      <c r="V4" s="66" t="n">
        <v>19</v>
      </c>
      <c r="W4" s="67">
        <f>IF(ISNUMBER(tblY8[[#This Row],[8P02 - Light
Raw Score]]),IFERROR(VLOOKUP(ROUND(STANDARDIZE(tblY8[[#This Row],[8P02 - Light
Raw Score]],AVERAGE(tblY8[[8P02 - Light
Raw Score]]),_xlfn.STDEV.P(tblY8[[8P02 - Light
Raw Score]])),9),_Stanine,2),5),"")</f>
        <v>7</v>
      </c>
    </row>
    <row r="5">
      <c r="A5" s="65" t="inlineStr">
        <is>
          <t>X900604320344</t>
        </is>
      </c>
      <c r="B5" s="65" t="inlineStr">
        <is>
          <t>Bennett</t>
        </is>
      </c>
      <c r="C5" s="65" t="inlineStr">
        <is>
          <t>Seren</t>
        </is>
      </c>
      <c r="D5" s="66" t="inlineStr">
        <is>
          <t>F</t>
        </is>
      </c>
      <c r="E5" s="66" t="inlineStr">
        <is>
          <t>N</t>
        </is>
      </c>
      <c r="F5" s="66" t="inlineStr">
        <is>
          <t>N</t>
        </is>
      </c>
      <c r="G5" s="34" t="n">
        <v>87.3</v>
      </c>
      <c r="H5" s="34" t="n">
        <v>107</v>
      </c>
      <c r="I5" s="67">
        <f>IF(ISNUMBER(tblY8[[#This Row],[Avg KS2]]),IFERROR(VLOOKUP(ROUND(STANDARDIZE(tblY8[[#This Row],[Avg KS2]],AVERAGE(tblY8[[Avg KS2]]),_xlfn.STDEV.P(tblY8[[Avg KS2]])),9),_Stanine,2),5),"")</f>
        <v>6</v>
      </c>
      <c r="J5" s="66" t="inlineStr">
        <is>
          <t>8A/Sc1</t>
        </is>
      </c>
      <c r="K5" s="67">
        <f>IF(tblY8[[#This Row],[Preferred Last name]]="","",COUNTIFS($N$1:$ZZ$1,"*"&amp;CHAR(10)&amp;"Stanine",$N5:$ZZ5,"&gt;=1"))</f>
        <v>5</v>
      </c>
      <c r="L5" s="68">
        <f>IFERROR(AVERAGEIF($N$1:$ZZ$1,"*"&amp;CHAR(10)&amp;"Stanine",$N5:$ZZ5),"")</f>
        <v>6</v>
      </c>
      <c r="M5" s="69">
        <f>IF(AND(ISNUMBER(tblY8[[#This Row],[Mean Stanine]]),ISNUMBER(tblY8[[#This Row],[Avg KS2 Band]]),ISNUMBER(SlopeY8)),tblY8[[#This Row],[Mean Stanine]]-(InterceptY8+SlopeY8*tblY8[[#This Row],[Avg KS2 Band]]),"")</f>
        <v>0.27922975246335</v>
      </c>
      <c r="N5" s="66" t="n">
        <v>20</v>
      </c>
      <c r="O5" s="67">
        <f>IF(ISNUMBER(tblY8[[#This Row],[8C01 - Periodic Table
Raw Score]]),IFERROR(VLOOKUP(ROUND(STANDARDIZE(tblY8[[#This Row],[8C01 - Periodic Table
Raw Score]],AVERAGE(tblY8[[8C01 - Periodic Table
Raw Score]]),_xlfn.STDEV.P(tblY8[[8C01 - Periodic Table
Raw Score]])),9),_Stanine,2),5),"")</f>
        <v>6</v>
      </c>
      <c r="P5" s="66" t="n">
        <v>15</v>
      </c>
      <c r="Q5" s="67">
        <f>IF(ISNUMBER(tblY8[[#This Row],[8P01 - Energy
Raw Score]]),IFERROR(VLOOKUP(ROUND(STANDARDIZE(tblY8[[#This Row],[8P01 - Energy
Raw Score]],AVERAGE(tblY8[[8P01 - Energy
Raw Score]]),_xlfn.STDEV.P(tblY8[[8P01 - Energy
Raw Score]])),9),_Stanine,2),5),"")</f>
        <v>7</v>
      </c>
      <c r="R5" s="66" t="n">
        <v>13</v>
      </c>
      <c r="S5" s="67">
        <f>IF(ISNUMBER(tblY8[[#This Row],[8B01 - Digestion
Raw Score]]),IFERROR(VLOOKUP(ROUND(STANDARDIZE(tblY8[[#This Row],[8B01 - Digestion
Raw Score]],AVERAGE(tblY8[[8B01 - Digestion
Raw Score]]),_xlfn.STDEV.P(tblY8[[8B01 - Digestion
Raw Score]])),9),_Stanine,2),5),"")</f>
        <v>5</v>
      </c>
      <c r="T5" s="66" t="n">
        <v>16</v>
      </c>
      <c r="U5" s="67">
        <f>IF(ISNUMBER(tblY8[[#This Row],[8C02 - Metals and Acids
Raw Score]]),IFERROR(VLOOKUP(ROUND(STANDARDIZE(tblY8[[#This Row],[8C02 - Metals and Acids
Raw Score]],AVERAGE(tblY8[[8C02 - Metals and Acids
Raw Score]]),_xlfn.STDEV.P(tblY8[[8C02 - Metals and Acids
Raw Score]])),9),_Stanine,2),5),"")</f>
        <v>7</v>
      </c>
      <c r="V5" s="66" t="n">
        <v>16</v>
      </c>
      <c r="W5" s="67">
        <f>IF(ISNUMBER(tblY8[[#This Row],[8P02 - Light
Raw Score]]),IFERROR(VLOOKUP(ROUND(STANDARDIZE(tblY8[[#This Row],[8P02 - Light
Raw Score]],AVERAGE(tblY8[[8P02 - Light
Raw Score]]),_xlfn.STDEV.P(tblY8[[8P02 - Light
Raw Score]])),9),_Stanine,2),5),"")</f>
        <v>5</v>
      </c>
    </row>
    <row r="6">
      <c r="A6" s="65" t="inlineStr">
        <is>
          <t>X908699107732</t>
        </is>
      </c>
      <c r="B6" s="65" t="inlineStr">
        <is>
          <t>Bennett</t>
        </is>
      </c>
      <c r="C6" s="65" t="inlineStr">
        <is>
          <t>Seren</t>
        </is>
      </c>
      <c r="D6" s="66" t="inlineStr">
        <is>
          <t>F</t>
        </is>
      </c>
      <c r="E6" s="66" t="inlineStr">
        <is>
          <t>N</t>
        </is>
      </c>
      <c r="F6" s="66" t="inlineStr">
        <is>
          <t>N</t>
        </is>
      </c>
      <c r="G6" s="34" t="n">
        <v>91.8</v>
      </c>
      <c r="H6" s="34" t="n">
        <v>107</v>
      </c>
      <c r="I6" s="67">
        <f>IF(ISNUMBER(tblY8[[#This Row],[Avg KS2]]),IFERROR(VLOOKUP(ROUND(STANDARDIZE(tblY8[[#This Row],[Avg KS2]],AVERAGE(tblY8[[Avg KS2]]),_xlfn.STDEV.P(tblY8[[Avg KS2]])),9),_Stanine,2),5),"")</f>
        <v>6</v>
      </c>
      <c r="J6" s="66" t="inlineStr">
        <is>
          <t>8A/Sc1</t>
        </is>
      </c>
      <c r="K6" s="67">
        <f>IF(tblY8[[#This Row],[Preferred Last name]]="","",COUNTIFS($N$1:$ZZ$1,"*"&amp;CHAR(10)&amp;"Stanine",$N6:$ZZ6,"&gt;=1"))</f>
        <v>4</v>
      </c>
      <c r="L6" s="68">
        <f>IFERROR(AVERAGEIF($N$1:$ZZ$1,"*"&amp;CHAR(10)&amp;"Stanine",$N6:$ZZ6),"")</f>
        <v>6</v>
      </c>
      <c r="M6" s="69">
        <f>IF(AND(ISNUMBER(tblY8[[#This Row],[Mean Stanine]]),ISNUMBER(tblY8[[#This Row],[Avg KS2 Band]]),ISNUMBER(SlopeY8)),tblY8[[#This Row],[Mean Stanine]]-(InterceptY8+SlopeY8*tblY8[[#This Row],[Avg KS2 Band]]),"")</f>
        <v>0.27922975246335</v>
      </c>
      <c r="N6" s="66" t="inlineStr">
        <is>
          <t>A</t>
        </is>
      </c>
      <c r="O6" s="67" t="str">
        <f>IF(ISNUMBER(tblY8[[#This Row],[8C01 - Periodic Table
Raw Score]]),IFERROR(VLOOKUP(ROUND(STANDARDIZE(tblY8[[#This Row],[8C01 - Periodic Table
Raw Score]],AVERAGE(tblY8[[8C01 - Periodic Table
Raw Score]]),_xlfn.STDEV.P(tblY8[[8C01 - Periodic Table
Raw Score]])),9),_Stanine,2),5),"")</f>
        <v/>
      </c>
      <c r="P6" s="66" t="n">
        <v>13</v>
      </c>
      <c r="Q6" s="67">
        <f>IF(ISNUMBER(tblY8[[#This Row],[8P01 - Energy
Raw Score]]),IFERROR(VLOOKUP(ROUND(STANDARDIZE(tblY8[[#This Row],[8P01 - Energy
Raw Score]],AVERAGE(tblY8[[8P01 - Energy
Raw Score]]),_xlfn.STDEV.P(tblY8[[8P01 - Energy
Raw Score]])),9),_Stanine,2),5),"")</f>
        <v>6</v>
      </c>
      <c r="R6" s="66" t="n">
        <v>16</v>
      </c>
      <c r="S6" s="67">
        <f>IF(ISNUMBER(tblY8[[#This Row],[8B01 - Digestion
Raw Score]]),IFERROR(VLOOKUP(ROUND(STANDARDIZE(tblY8[[#This Row],[8B01 - Digestion
Raw Score]],AVERAGE(tblY8[[8B01 - Digestion
Raw Score]]),_xlfn.STDEV.P(tblY8[[8B01 - Digestion
Raw Score]])),9),_Stanine,2),5),"")</f>
        <v>6</v>
      </c>
      <c r="T6" s="66" t="n">
        <v>14</v>
      </c>
      <c r="U6" s="67">
        <f>IF(ISNUMBER(tblY8[[#This Row],[8C02 - Metals and Acids
Raw Score]]),IFERROR(VLOOKUP(ROUND(STANDARDIZE(tblY8[[#This Row],[8C02 - Metals and Acids
Raw Score]],AVERAGE(tblY8[[8C02 - Metals and Acids
Raw Score]]),_xlfn.STDEV.P(tblY8[[8C02 - Metals and Acids
Raw Score]])),9),_Stanine,2),5),"")</f>
        <v>6</v>
      </c>
      <c r="V6" s="66" t="n">
        <v>18</v>
      </c>
      <c r="W6" s="67">
        <f>IF(ISNUMBER(tblY8[[#This Row],[8P02 - Light
Raw Score]]),IFERROR(VLOOKUP(ROUND(STANDARDIZE(tblY8[[#This Row],[8P02 - Light
Raw Score]],AVERAGE(tblY8[[8P02 - Light
Raw Score]]),_xlfn.STDEV.P(tblY8[[8P02 - Light
Raw Score]])),9),_Stanine,2),5),"")</f>
        <v>6</v>
      </c>
    </row>
    <row r="7">
      <c r="A7" s="65" t="inlineStr">
        <is>
          <t>X907267711206</t>
        </is>
      </c>
      <c r="B7" s="65" t="inlineStr">
        <is>
          <t>Brown</t>
        </is>
      </c>
      <c r="C7" s="65" t="inlineStr">
        <is>
          <t>Megan</t>
        </is>
      </c>
      <c r="D7" s="66" t="inlineStr">
        <is>
          <t>F</t>
        </is>
      </c>
      <c r="E7" s="66" t="inlineStr">
        <is>
          <t>K</t>
        </is>
      </c>
      <c r="F7" s="66" t="inlineStr">
        <is>
          <t>Y</t>
        </is>
      </c>
      <c r="G7" s="34" t="n">
        <v>90.8</v>
      </c>
      <c r="H7" s="34" t="n">
        <v>117</v>
      </c>
      <c r="I7" s="67">
        <f>IF(ISNUMBER(tblY8[[#This Row],[Avg KS2]]),IFERROR(VLOOKUP(ROUND(STANDARDIZE(tblY8[[#This Row],[Avg KS2]],AVERAGE(tblY8[[Avg KS2]]),_xlfn.STDEV.P(tblY8[[Avg KS2]])),9),_Stanine,2),5),"")</f>
        <v>9</v>
      </c>
      <c r="J7" s="66" t="inlineStr">
        <is>
          <t>8A/Sc1</t>
        </is>
      </c>
      <c r="K7" s="67">
        <f>IF(tblY8[[#This Row],[Preferred Last name]]="","",COUNTIFS($N$1:$ZZ$1,"*"&amp;CHAR(10)&amp;"Stanine",$N7:$ZZ7,"&gt;=1"))</f>
        <v>5</v>
      </c>
      <c r="L7" s="68">
        <f>IFERROR(AVERAGEIF($N$1:$ZZ$1,"*"&amp;CHAR(10)&amp;"Stanine",$N7:$ZZ7),"")</f>
        <v>8.4</v>
      </c>
      <c r="M7" s="69">
        <f>IF(AND(ISNUMBER(tblY8[[#This Row],[Mean Stanine]]),ISNUMBER(tblY8[[#This Row],[Avg KS2 Band]]),ISNUMBER(SlopeY8)),tblY8[[#This Row],[Mean Stanine]]-(InterceptY8+SlopeY8*tblY8[[#This Row],[Avg KS2 Band]]),"")</f>
        <v>0.342495794280222</v>
      </c>
      <c r="N7" s="66" t="n">
        <v>27</v>
      </c>
      <c r="O7" s="67">
        <f>IF(ISNUMBER(tblY8[[#This Row],[8C01 - Periodic Table
Raw Score]]),IFERROR(VLOOKUP(ROUND(STANDARDIZE(tblY8[[#This Row],[8C01 - Periodic Table
Raw Score]],AVERAGE(tblY8[[8C01 - Periodic Table
Raw Score]]),_xlfn.STDEV.P(tblY8[[8C01 - Periodic Table
Raw Score]])),9),_Stanine,2),5),"")</f>
        <v>8</v>
      </c>
      <c r="P7" s="66" t="n">
        <v>20</v>
      </c>
      <c r="Q7" s="67">
        <f>IF(ISNUMBER(tblY8[[#This Row],[8P01 - Energy
Raw Score]]),IFERROR(VLOOKUP(ROUND(STANDARDIZE(tblY8[[#This Row],[8P01 - Energy
Raw Score]],AVERAGE(tblY8[[8P01 - Energy
Raw Score]]),_xlfn.STDEV.P(tblY8[[8P01 - Energy
Raw Score]])),9),_Stanine,2),5),"")</f>
        <v>9</v>
      </c>
      <c r="R7" s="66" t="n">
        <v>25</v>
      </c>
      <c r="S7" s="67">
        <f>IF(ISNUMBER(tblY8[[#This Row],[8B01 - Digestion
Raw Score]]),IFERROR(VLOOKUP(ROUND(STANDARDIZE(tblY8[[#This Row],[8B01 - Digestion
Raw Score]],AVERAGE(tblY8[[8B01 - Digestion
Raw Score]]),_xlfn.STDEV.P(tblY8[[8B01 - Digestion
Raw Score]])),9),_Stanine,2),5),"")</f>
        <v>9</v>
      </c>
      <c r="T7" s="66" t="n">
        <v>21</v>
      </c>
      <c r="U7" s="67">
        <f>IF(ISNUMBER(tblY8[[#This Row],[8C02 - Metals and Acids
Raw Score]]),IFERROR(VLOOKUP(ROUND(STANDARDIZE(tblY8[[#This Row],[8C02 - Metals and Acids
Raw Score]],AVERAGE(tblY8[[8C02 - Metals and Acids
Raw Score]]),_xlfn.STDEV.P(tblY8[[8C02 - Metals and Acids
Raw Score]])),9),_Stanine,2),5),"")</f>
        <v>9</v>
      </c>
      <c r="V7" s="66" t="n">
        <v>20</v>
      </c>
      <c r="W7" s="67">
        <f>IF(ISNUMBER(tblY8[[#This Row],[8P02 - Light
Raw Score]]),IFERROR(VLOOKUP(ROUND(STANDARDIZE(tblY8[[#This Row],[8P02 - Light
Raw Score]],AVERAGE(tblY8[[8P02 - Light
Raw Score]]),_xlfn.STDEV.P(tblY8[[8P02 - Light
Raw Score]])),9),_Stanine,2),5),"")</f>
        <v>7</v>
      </c>
    </row>
    <row r="8">
      <c r="A8" s="65" t="inlineStr">
        <is>
          <t>X901647503146</t>
        </is>
      </c>
      <c r="B8" s="65" t="inlineStr">
        <is>
          <t>Edwards</t>
        </is>
      </c>
      <c r="C8" s="65" t="inlineStr">
        <is>
          <t>Theo</t>
        </is>
      </c>
      <c r="D8" s="66" t="inlineStr">
        <is>
          <t>M</t>
        </is>
      </c>
      <c r="E8" s="66" t="inlineStr">
        <is>
          <t>N</t>
        </is>
      </c>
      <c r="F8" s="66" t="inlineStr">
        <is>
          <t>Y</t>
        </is>
      </c>
      <c r="G8" s="34" t="n">
        <v>95.40000000000001</v>
      </c>
      <c r="H8" s="34" t="n">
        <v>115</v>
      </c>
      <c r="I8" s="67">
        <f>IF(ISNUMBER(tblY8[[#This Row],[Avg KS2]]),IFERROR(VLOOKUP(ROUND(STANDARDIZE(tblY8[[#This Row],[Avg KS2]],AVERAGE(tblY8[[Avg KS2]]),_xlfn.STDEV.P(tblY8[[Avg KS2]])),9),_Stanine,2),5),"")</f>
        <v>9</v>
      </c>
      <c r="J8" s="66" t="inlineStr">
        <is>
          <t>8A/Sc1</t>
        </is>
      </c>
      <c r="K8" s="67">
        <f>IF(tblY8[[#This Row],[Preferred Last name]]="","",COUNTIFS($N$1:$ZZ$1,"*"&amp;CHAR(10)&amp;"Stanine",$N8:$ZZ8,"&gt;=1"))</f>
        <v>5</v>
      </c>
      <c r="L8" s="68">
        <f>IFERROR(AVERAGEIF($N$1:$ZZ$1,"*"&amp;CHAR(10)&amp;"Stanine",$N8:$ZZ8),"")</f>
        <v>8.8</v>
      </c>
      <c r="M8" s="69">
        <f>IF(AND(ISNUMBER(tblY8[[#This Row],[Mean Stanine]]),ISNUMBER(tblY8[[#This Row],[Avg KS2 Band]]),ISNUMBER(SlopeY8)),tblY8[[#This Row],[Mean Stanine]]-(InterceptY8+SlopeY8*tblY8[[#This Row],[Avg KS2 Band]]),"")</f>
        <v>0.742495794280222</v>
      </c>
      <c r="N8" s="66" t="n">
        <v>27</v>
      </c>
      <c r="O8" s="67">
        <f>IF(ISNUMBER(tblY8[[#This Row],[8C01 - Periodic Table
Raw Score]]),IFERROR(VLOOKUP(ROUND(STANDARDIZE(tblY8[[#This Row],[8C01 - Periodic Table
Raw Score]],AVERAGE(tblY8[[8C01 - Periodic Table
Raw Score]]),_xlfn.STDEV.P(tblY8[[8C01 - Periodic Table
Raw Score]])),9),_Stanine,2),5),"")</f>
        <v>8</v>
      </c>
      <c r="P8" s="66" t="n">
        <v>22</v>
      </c>
      <c r="Q8" s="67">
        <f>IF(ISNUMBER(tblY8[[#This Row],[8P01 - Energy
Raw Score]]),IFERROR(VLOOKUP(ROUND(STANDARDIZE(tblY8[[#This Row],[8P01 - Energy
Raw Score]],AVERAGE(tblY8[[8P01 - Energy
Raw Score]]),_xlfn.STDEV.P(tblY8[[8P01 - Energy
Raw Score]])),9),_Stanine,2),5),"")</f>
        <v>9</v>
      </c>
      <c r="R8" s="66" t="n">
        <v>28</v>
      </c>
      <c r="S8" s="67">
        <f>IF(ISNUMBER(tblY8[[#This Row],[8B01 - Digestion
Raw Score]]),IFERROR(VLOOKUP(ROUND(STANDARDIZE(tblY8[[#This Row],[8B01 - Digestion
Raw Score]],AVERAGE(tblY8[[8B01 - Digestion
Raw Score]]),_xlfn.STDEV.P(tblY8[[8B01 - Digestion
Raw Score]])),9),_Stanine,2),5),"")</f>
        <v>9</v>
      </c>
      <c r="T8" s="66" t="n">
        <v>24</v>
      </c>
      <c r="U8" s="67">
        <f>IF(ISNUMBER(tblY8[[#This Row],[8C02 - Metals and Acids
Raw Score]]),IFERROR(VLOOKUP(ROUND(STANDARDIZE(tblY8[[#This Row],[8C02 - Metals and Acids
Raw Score]],AVERAGE(tblY8[[8C02 - Metals and Acids
Raw Score]]),_xlfn.STDEV.P(tblY8[[8C02 - Metals and Acids
Raw Score]])),9),_Stanine,2),5),"")</f>
        <v>9</v>
      </c>
      <c r="V8" s="66" t="n">
        <v>23</v>
      </c>
      <c r="W8" s="67">
        <f>IF(ISNUMBER(tblY8[[#This Row],[8P02 - Light
Raw Score]]),IFERROR(VLOOKUP(ROUND(STANDARDIZE(tblY8[[#This Row],[8P02 - Light
Raw Score]],AVERAGE(tblY8[[8P02 - Light
Raw Score]]),_xlfn.STDEV.P(tblY8[[8P02 - Light
Raw Score]])),9),_Stanine,2),5),"")</f>
        <v>9</v>
      </c>
    </row>
    <row r="9">
      <c r="A9" s="65" t="inlineStr">
        <is>
          <t>X908942539851</t>
        </is>
      </c>
      <c r="B9" s="65" t="inlineStr">
        <is>
          <t>Green</t>
        </is>
      </c>
      <c r="C9" s="65" t="inlineStr">
        <is>
          <t>Kai</t>
        </is>
      </c>
      <c r="D9" s="66" t="inlineStr">
        <is>
          <t>M</t>
        </is>
      </c>
      <c r="E9" s="66" t="inlineStr">
        <is>
          <t>N</t>
        </is>
      </c>
      <c r="F9" s="66" t="inlineStr">
        <is>
          <t>Y</t>
        </is>
      </c>
      <c r="G9" s="34" t="n">
        <v>94.7</v>
      </c>
      <c r="H9" s="34" t="n">
        <v>115.5</v>
      </c>
      <c r="I9" s="67">
        <f>IF(ISNUMBER(tblY8[[#This Row],[Avg KS2]]),IFERROR(VLOOKUP(ROUND(STANDARDIZE(tblY8[[#This Row],[Avg KS2]],AVERAGE(tblY8[[Avg KS2]]),_xlfn.STDEV.P(tblY8[[Avg KS2]])),9),_Stanine,2),5),"")</f>
        <v>9</v>
      </c>
      <c r="J9" s="66" t="inlineStr">
        <is>
          <t>8A/Sc1</t>
        </is>
      </c>
      <c r="K9" s="67">
        <f>IF(tblY8[[#This Row],[Preferred Last name]]="","",COUNTIFS($N$1:$ZZ$1,"*"&amp;CHAR(10)&amp;"Stanine",$N9:$ZZ9,"&gt;=1"))</f>
        <v>5</v>
      </c>
      <c r="L9" s="68">
        <f>IFERROR(AVERAGEIF($N$1:$ZZ$1,"*"&amp;CHAR(10)&amp;"Stanine",$N9:$ZZ9),"")</f>
        <v>6.6</v>
      </c>
      <c r="M9" s="69">
        <f>IF(AND(ISNUMBER(tblY8[[#This Row],[Mean Stanine]]),ISNUMBER(tblY8[[#This Row],[Avg KS2 Band]]),ISNUMBER(SlopeY8)),tblY8[[#This Row],[Mean Stanine]]-(InterceptY8+SlopeY8*tblY8[[#This Row],[Avg KS2 Band]]),"")</f>
        <v>-1.45750420571978</v>
      </c>
      <c r="N9" s="66" t="n">
        <v>24</v>
      </c>
      <c r="O9" s="67">
        <f>IF(ISNUMBER(tblY8[[#This Row],[8C01 - Periodic Table
Raw Score]]),IFERROR(VLOOKUP(ROUND(STANDARDIZE(tblY8[[#This Row],[8C01 - Periodic Table
Raw Score]],AVERAGE(tblY8[[8C01 - Periodic Table
Raw Score]]),_xlfn.STDEV.P(tblY8[[8C01 - Periodic Table
Raw Score]])),9),_Stanine,2),5),"")</f>
        <v>7</v>
      </c>
      <c r="P9" s="66" t="n">
        <v>12</v>
      </c>
      <c r="Q9" s="67">
        <f>IF(ISNUMBER(tblY8[[#This Row],[8P01 - Energy
Raw Score]]),IFERROR(VLOOKUP(ROUND(STANDARDIZE(tblY8[[#This Row],[8P01 - Energy
Raw Score]],AVERAGE(tblY8[[8P01 - Energy
Raw Score]]),_xlfn.STDEV.P(tblY8[[8P01 - Energy
Raw Score]])),9),_Stanine,2),5),"")</f>
        <v>6</v>
      </c>
      <c r="R9" s="66" t="n">
        <v>19</v>
      </c>
      <c r="S9" s="67">
        <f>IF(ISNUMBER(tblY8[[#This Row],[8B01 - Digestion
Raw Score]]),IFERROR(VLOOKUP(ROUND(STANDARDIZE(tblY8[[#This Row],[8B01 - Digestion
Raw Score]],AVERAGE(tblY8[[8B01 - Digestion
Raw Score]]),_xlfn.STDEV.P(tblY8[[8B01 - Digestion
Raw Score]])),9),_Stanine,2),5),"")</f>
        <v>7</v>
      </c>
      <c r="T9" s="66" t="n">
        <v>16</v>
      </c>
      <c r="U9" s="67">
        <f>IF(ISNUMBER(tblY8[[#This Row],[8C02 - Metals and Acids
Raw Score]]),IFERROR(VLOOKUP(ROUND(STANDARDIZE(tblY8[[#This Row],[8C02 - Metals and Acids
Raw Score]],AVERAGE(tblY8[[8C02 - Metals and Acids
Raw Score]]),_xlfn.STDEV.P(tblY8[[8C02 - Metals and Acids
Raw Score]])),9),_Stanine,2),5),"")</f>
        <v>7</v>
      </c>
      <c r="V9" s="66" t="n">
        <v>17</v>
      </c>
      <c r="W9" s="67">
        <f>IF(ISNUMBER(tblY8[[#This Row],[8P02 - Light
Raw Score]]),IFERROR(VLOOKUP(ROUND(STANDARDIZE(tblY8[[#This Row],[8P02 - Light
Raw Score]],AVERAGE(tblY8[[8P02 - Light
Raw Score]]),_xlfn.STDEV.P(tblY8[[8P02 - Light
Raw Score]])),9),_Stanine,2),5),"")</f>
        <v>6</v>
      </c>
    </row>
    <row r="10">
      <c r="A10" s="65" t="inlineStr">
        <is>
          <t>X903363526024</t>
        </is>
      </c>
      <c r="B10" s="65" t="inlineStr">
        <is>
          <t>Griffiths</t>
        </is>
      </c>
      <c r="C10" s="65" t="inlineStr">
        <is>
          <t>Megan</t>
        </is>
      </c>
      <c r="D10" s="66" t="inlineStr">
        <is>
          <t>F</t>
        </is>
      </c>
      <c r="E10" s="66" t="inlineStr">
        <is>
          <t>N</t>
        </is>
      </c>
      <c r="F10" s="66" t="inlineStr">
        <is>
          <t>Y</t>
        </is>
      </c>
      <c r="G10" s="34" t="n">
        <v>91.5</v>
      </c>
      <c r="H10" s="34" t="n">
        <v>100</v>
      </c>
      <c r="I10" s="67">
        <f>IF(ISNUMBER(tblY8[[#This Row],[Avg KS2]]),IFERROR(VLOOKUP(ROUND(STANDARDIZE(tblY8[[#This Row],[Avg KS2]],AVERAGE(tblY8[[Avg KS2]]),_xlfn.STDEV.P(tblY8[[Avg KS2]])),9),_Stanine,2),5),"")</f>
        <v>3</v>
      </c>
      <c r="J10" s="66" t="inlineStr">
        <is>
          <t>8A/Sc1</t>
        </is>
      </c>
      <c r="K10" s="67">
        <f>IF(tblY8[[#This Row],[Preferred Last name]]="","",COUNTIFS($N$1:$ZZ$1,"*"&amp;CHAR(10)&amp;"Stanine",$N10:$ZZ10,"&gt;=1"))</f>
        <v>5</v>
      </c>
      <c r="L10" s="68">
        <f>IFERROR(AVERAGEIF($N$1:$ZZ$1,"*"&amp;CHAR(10)&amp;"Stanine",$N10:$ZZ10),"")</f>
        <v>3</v>
      </c>
      <c r="M10" s="69">
        <f>IF(AND(ISNUMBER(tblY8[[#This Row],[Mean Stanine]]),ISNUMBER(tblY8[[#This Row],[Avg KS2 Band]]),ISNUMBER(SlopeY8)),tblY8[[#This Row],[Mean Stanine]]-(InterceptY8+SlopeY8*tblY8[[#This Row],[Avg KS2 Band]]),"")</f>
        <v>-0.384036289353521</v>
      </c>
      <c r="N10" s="66" t="n">
        <v>14</v>
      </c>
      <c r="O10" s="67">
        <f>IF(ISNUMBER(tblY8[[#This Row],[8C01 - Periodic Table
Raw Score]]),IFERROR(VLOOKUP(ROUND(STANDARDIZE(tblY8[[#This Row],[8C01 - Periodic Table
Raw Score]],AVERAGE(tblY8[[8C01 - Periodic Table
Raw Score]]),_xlfn.STDEV.P(tblY8[[8C01 - Periodic Table
Raw Score]])),9),_Stanine,2),5),"")</f>
        <v>4</v>
      </c>
      <c r="P10" s="66" t="n">
        <v>5</v>
      </c>
      <c r="Q10" s="67">
        <f>IF(ISNUMBER(tblY8[[#This Row],[8P01 - Energy
Raw Score]]),IFERROR(VLOOKUP(ROUND(STANDARDIZE(tblY8[[#This Row],[8P01 - Energy
Raw Score]],AVERAGE(tblY8[[8P01 - Energy
Raw Score]]),_xlfn.STDEV.P(tblY8[[8P01 - Energy
Raw Score]])),9),_Stanine,2),5),"")</f>
        <v>3</v>
      </c>
      <c r="R10" s="66" t="n">
        <v>8</v>
      </c>
      <c r="S10" s="67">
        <f>IF(ISNUMBER(tblY8[[#This Row],[8B01 - Digestion
Raw Score]]),IFERROR(VLOOKUP(ROUND(STANDARDIZE(tblY8[[#This Row],[8B01 - Digestion
Raw Score]],AVERAGE(tblY8[[8B01 - Digestion
Raw Score]]),_xlfn.STDEV.P(tblY8[[8B01 - Digestion
Raw Score]])),9),_Stanine,2),5),"")</f>
        <v>3</v>
      </c>
      <c r="T10" s="66" t="n">
        <v>9</v>
      </c>
      <c r="U10" s="67">
        <f>IF(ISNUMBER(tblY8[[#This Row],[8C02 - Metals and Acids
Raw Score]]),IFERROR(VLOOKUP(ROUND(STANDARDIZE(tblY8[[#This Row],[8C02 - Metals and Acids
Raw Score]],AVERAGE(tblY8[[8C02 - Metals and Acids
Raw Score]]),_xlfn.STDEV.P(tblY8[[8C02 - Metals and Acids
Raw Score]])),9),_Stanine,2),5),"")</f>
        <v>4</v>
      </c>
      <c r="V10" s="66" t="n">
        <v>8</v>
      </c>
      <c r="W10" s="67">
        <f>IF(ISNUMBER(tblY8[[#This Row],[8P02 - Light
Raw Score]]),IFERROR(VLOOKUP(ROUND(STANDARDIZE(tblY8[[#This Row],[8P02 - Light
Raw Score]],AVERAGE(tblY8[[8P02 - Light
Raw Score]]),_xlfn.STDEV.P(tblY8[[8P02 - Light
Raw Score]])),9),_Stanine,2),5),"")</f>
        <v>1</v>
      </c>
    </row>
    <row r="11">
      <c r="A11" s="65" t="inlineStr">
        <is>
          <t>X908714529660</t>
        </is>
      </c>
      <c r="B11" s="65" t="inlineStr">
        <is>
          <t>Harrison</t>
        </is>
      </c>
      <c r="C11" s="65" t="inlineStr">
        <is>
          <t>Evie</t>
        </is>
      </c>
      <c r="D11" s="66" t="inlineStr">
        <is>
          <t>M</t>
        </is>
      </c>
      <c r="E11" s="66" t="n"/>
      <c r="F11" s="66" t="inlineStr">
        <is>
          <t>N</t>
        </is>
      </c>
      <c r="G11" s="34" t="n">
        <v>99.3</v>
      </c>
      <c r="H11" s="34" t="n">
        <v>113</v>
      </c>
      <c r="I11" s="67">
        <f>IF(ISNUMBER(tblY8[[#This Row],[Avg KS2]]),IFERROR(VLOOKUP(ROUND(STANDARDIZE(tblY8[[#This Row],[Avg KS2]],AVERAGE(tblY8[[Avg KS2]]),_xlfn.STDEV.P(tblY8[[Avg KS2]])),9),_Stanine,2),5),"")</f>
        <v>8</v>
      </c>
      <c r="J11" s="66" t="inlineStr">
        <is>
          <t>8A/Sc1</t>
        </is>
      </c>
      <c r="K11" s="67">
        <f>IF(tblY8[[#This Row],[Preferred Last name]]="","",COUNTIFS($N$1:$ZZ$1,"*"&amp;CHAR(10)&amp;"Stanine",$N11:$ZZ11,"&gt;=1"))</f>
        <v>5</v>
      </c>
      <c r="L11" s="68">
        <f>IFERROR(AVERAGEIF($N$1:$ZZ$1,"*"&amp;CHAR(10)&amp;"Stanine",$N11:$ZZ11),"")</f>
        <v>7.6</v>
      </c>
      <c r="M11" s="69">
        <f>IF(AND(ISNUMBER(tblY8[[#This Row],[Mean Stanine]]),ISNUMBER(tblY8[[#This Row],[Avg KS2 Band]]),ISNUMBER(SlopeY8)),tblY8[[#This Row],[Mean Stanine]]-(InterceptY8+SlopeY8*tblY8[[#This Row],[Avg KS2 Band]]),"")</f>
        <v>0.321407113674598</v>
      </c>
      <c r="N11" s="66" t="n">
        <v>25</v>
      </c>
      <c r="O11" s="67">
        <f>IF(ISNUMBER(tblY8[[#This Row],[8C01 - Periodic Table
Raw Score]]),IFERROR(VLOOKUP(ROUND(STANDARDIZE(tblY8[[#This Row],[8C01 - Periodic Table
Raw Score]],AVERAGE(tblY8[[8C01 - Periodic Table
Raw Score]]),_xlfn.STDEV.P(tblY8[[8C01 - Periodic Table
Raw Score]])),9),_Stanine,2),5),"")</f>
        <v>7</v>
      </c>
      <c r="P11" s="66" t="n">
        <v>16</v>
      </c>
      <c r="Q11" s="67">
        <f>IF(ISNUMBER(tblY8[[#This Row],[8P01 - Energy
Raw Score]]),IFERROR(VLOOKUP(ROUND(STANDARDIZE(tblY8[[#This Row],[8P01 - Energy
Raw Score]],AVERAGE(tblY8[[8P01 - Energy
Raw Score]]),_xlfn.STDEV.P(tblY8[[8P01 - Energy
Raw Score]])),9),_Stanine,2),5),"")</f>
        <v>7</v>
      </c>
      <c r="R11" s="66" t="n">
        <v>22</v>
      </c>
      <c r="S11" s="67">
        <f>IF(ISNUMBER(tblY8[[#This Row],[8B01 - Digestion
Raw Score]]),IFERROR(VLOOKUP(ROUND(STANDARDIZE(tblY8[[#This Row],[8B01 - Digestion
Raw Score]],AVERAGE(tblY8[[8B01 - Digestion
Raw Score]]),_xlfn.STDEV.P(tblY8[[8B01 - Digestion
Raw Score]])),9),_Stanine,2),5),"")</f>
        <v>8</v>
      </c>
      <c r="T11" s="66" t="n">
        <v>21</v>
      </c>
      <c r="U11" s="67">
        <f>IF(ISNUMBER(tblY8[[#This Row],[8C02 - Metals and Acids
Raw Score]]),IFERROR(VLOOKUP(ROUND(STANDARDIZE(tblY8[[#This Row],[8C02 - Metals and Acids
Raw Score]],AVERAGE(tblY8[[8C02 - Metals and Acids
Raw Score]]),_xlfn.STDEV.P(tblY8[[8C02 - Metals and Acids
Raw Score]])),9),_Stanine,2),5),"")</f>
        <v>9</v>
      </c>
      <c r="V11" s="66" t="n">
        <v>20</v>
      </c>
      <c r="W11" s="67">
        <f>IF(ISNUMBER(tblY8[[#This Row],[8P02 - Light
Raw Score]]),IFERROR(VLOOKUP(ROUND(STANDARDIZE(tblY8[[#This Row],[8P02 - Light
Raw Score]],AVERAGE(tblY8[[8P02 - Light
Raw Score]]),_xlfn.STDEV.P(tblY8[[8P02 - Light
Raw Score]])),9),_Stanine,2),5),"")</f>
        <v>7</v>
      </c>
    </row>
    <row r="12">
      <c r="A12" s="65" t="inlineStr">
        <is>
          <t>X908981793003</t>
        </is>
      </c>
      <c r="B12" s="65" t="inlineStr">
        <is>
          <t>Hughes</t>
        </is>
      </c>
      <c r="C12" s="65" t="inlineStr">
        <is>
          <t>Sophie</t>
        </is>
      </c>
      <c r="D12" s="66" t="inlineStr">
        <is>
          <t>F</t>
        </is>
      </c>
      <c r="E12" s="66" t="n"/>
      <c r="F12" s="66" t="inlineStr">
        <is>
          <t>N</t>
        </is>
      </c>
      <c r="G12" s="34" t="n">
        <v>95.3</v>
      </c>
      <c r="H12" s="34" t="n">
        <v>110</v>
      </c>
      <c r="I12" s="67">
        <f>IF(ISNUMBER(tblY8[[#This Row],[Avg KS2]]),IFERROR(VLOOKUP(ROUND(STANDARDIZE(tblY8[[#This Row],[Avg KS2]],AVERAGE(tblY8[[Avg KS2]]),_xlfn.STDEV.P(tblY8[[Avg KS2]])),9),_Stanine,2),5),"")</f>
        <v>7</v>
      </c>
      <c r="J12" s="66" t="inlineStr">
        <is>
          <t>8A/Sc1</t>
        </is>
      </c>
      <c r="K12" s="67">
        <f>IF(tblY8[[#This Row],[Preferred Last name]]="","",COUNTIFS($N$1:$ZZ$1,"*"&amp;CHAR(10)&amp;"Stanine",$N12:$ZZ12,"&gt;=1"))</f>
        <v>5</v>
      </c>
      <c r="L12" s="68">
        <f>IFERROR(AVERAGEIF($N$1:$ZZ$1,"*"&amp;CHAR(10)&amp;"Stanine",$N12:$ZZ12),"")</f>
        <v>7.4</v>
      </c>
      <c r="M12" s="69">
        <f>IF(AND(ISNUMBER(tblY8[[#This Row],[Mean Stanine]]),ISNUMBER(tblY8[[#This Row],[Avg KS2 Band]]),ISNUMBER(SlopeY8)),tblY8[[#This Row],[Mean Stanine]]-(InterceptY8+SlopeY8*tblY8[[#This Row],[Avg KS2 Band]]),"")</f>
        <v>0.900318433068975</v>
      </c>
      <c r="N12" s="66" t="n">
        <v>25</v>
      </c>
      <c r="O12" s="67">
        <f>IF(ISNUMBER(tblY8[[#This Row],[8C01 - Periodic Table
Raw Score]]),IFERROR(VLOOKUP(ROUND(STANDARDIZE(tblY8[[#This Row],[8C01 - Periodic Table
Raw Score]],AVERAGE(tblY8[[8C01 - Periodic Table
Raw Score]]),_xlfn.STDEV.P(tblY8[[8C01 - Periodic Table
Raw Score]])),9),_Stanine,2),5),"")</f>
        <v>7</v>
      </c>
      <c r="P12" s="66" t="n">
        <v>17</v>
      </c>
      <c r="Q12" s="67">
        <f>IF(ISNUMBER(tblY8[[#This Row],[8P01 - Energy
Raw Score]]),IFERROR(VLOOKUP(ROUND(STANDARDIZE(tblY8[[#This Row],[8P01 - Energy
Raw Score]],AVERAGE(tblY8[[8P01 - Energy
Raw Score]]),_xlfn.STDEV.P(tblY8[[8P01 - Energy
Raw Score]])),9),_Stanine,2),5),"")</f>
        <v>8</v>
      </c>
      <c r="R12" s="66" t="n">
        <v>21</v>
      </c>
      <c r="S12" s="67">
        <f>IF(ISNUMBER(tblY8[[#This Row],[8B01 - Digestion
Raw Score]]),IFERROR(VLOOKUP(ROUND(STANDARDIZE(tblY8[[#This Row],[8B01 - Digestion
Raw Score]],AVERAGE(tblY8[[8B01 - Digestion
Raw Score]]),_xlfn.STDEV.P(tblY8[[8B01 - Digestion
Raw Score]])),9),_Stanine,2),5),"")</f>
        <v>7</v>
      </c>
      <c r="T12" s="66" t="n">
        <v>19</v>
      </c>
      <c r="U12" s="67">
        <f>IF(ISNUMBER(tblY8[[#This Row],[8C02 - Metals and Acids
Raw Score]]),IFERROR(VLOOKUP(ROUND(STANDARDIZE(tblY8[[#This Row],[8C02 - Metals and Acids
Raw Score]],AVERAGE(tblY8[[8C02 - Metals and Acids
Raw Score]]),_xlfn.STDEV.P(tblY8[[8C02 - Metals and Acids
Raw Score]])),9),_Stanine,2),5),"")</f>
        <v>8</v>
      </c>
      <c r="V12" s="66" t="n">
        <v>20</v>
      </c>
      <c r="W12" s="67">
        <f>IF(ISNUMBER(tblY8[[#This Row],[8P02 - Light
Raw Score]]),IFERROR(VLOOKUP(ROUND(STANDARDIZE(tblY8[[#This Row],[8P02 - Light
Raw Score]],AVERAGE(tblY8[[8P02 - Light
Raw Score]]),_xlfn.STDEV.P(tblY8[[8P02 - Light
Raw Score]])),9),_Stanine,2),5),"")</f>
        <v>7</v>
      </c>
    </row>
    <row r="13">
      <c r="A13" s="65" t="inlineStr">
        <is>
          <t>X901371565485</t>
        </is>
      </c>
      <c r="B13" s="65" t="inlineStr">
        <is>
          <t>Jackson</t>
        </is>
      </c>
      <c r="C13" s="65" t="inlineStr">
        <is>
          <t>Noah</t>
        </is>
      </c>
      <c r="D13" s="66" t="inlineStr">
        <is>
          <t>F</t>
        </is>
      </c>
      <c r="E13" s="66" t="inlineStr">
        <is>
          <t>N</t>
        </is>
      </c>
      <c r="F13" s="66" t="inlineStr">
        <is>
          <t>Y</t>
        </is>
      </c>
      <c r="G13" s="34" t="n">
        <v>85.3</v>
      </c>
      <c r="H13" s="34" t="n">
        <v>111</v>
      </c>
      <c r="I13" s="67">
        <f>IF(ISNUMBER(tblY8[[#This Row],[Avg KS2]]),IFERROR(VLOOKUP(ROUND(STANDARDIZE(tblY8[[#This Row],[Avg KS2]],AVERAGE(tblY8[[Avg KS2]]),_xlfn.STDEV.P(tblY8[[Avg KS2]])),9),_Stanine,2),5),"")</f>
        <v>7</v>
      </c>
      <c r="J13" s="66" t="inlineStr">
        <is>
          <t>8A/Sc1</t>
        </is>
      </c>
      <c r="K13" s="67">
        <f>IF(tblY8[[#This Row],[Preferred Last name]]="","",COUNTIFS($N$1:$ZZ$1,"*"&amp;CHAR(10)&amp;"Stanine",$N13:$ZZ13,"&gt;=1"))</f>
        <v>4</v>
      </c>
      <c r="L13" s="68">
        <f>IFERROR(AVERAGEIF($N$1:$ZZ$1,"*"&amp;CHAR(10)&amp;"Stanine",$N13:$ZZ13),"")</f>
        <v>8.25</v>
      </c>
      <c r="M13" s="69">
        <f>IF(AND(ISNUMBER(tblY8[[#This Row],[Mean Stanine]]),ISNUMBER(tblY8[[#This Row],[Avg KS2 Band]]),ISNUMBER(SlopeY8)),tblY8[[#This Row],[Mean Stanine]]-(InterceptY8+SlopeY8*tblY8[[#This Row],[Avg KS2 Band]]),"")</f>
        <v>1.75031843306897</v>
      </c>
      <c r="N13" s="66" t="inlineStr">
        <is>
          <t>A</t>
        </is>
      </c>
      <c r="O13" s="67" t="str">
        <f>IF(ISNUMBER(tblY8[[#This Row],[8C01 - Periodic Table
Raw Score]]),IFERROR(VLOOKUP(ROUND(STANDARDIZE(tblY8[[#This Row],[8C01 - Periodic Table
Raw Score]],AVERAGE(tblY8[[8C01 - Periodic Table
Raw Score]]),_xlfn.STDEV.P(tblY8[[8C01 - Periodic Table
Raw Score]])),9),_Stanine,2),5),"")</f>
        <v/>
      </c>
      <c r="P13" s="66" t="n">
        <v>17</v>
      </c>
      <c r="Q13" s="67">
        <f>IF(ISNUMBER(tblY8[[#This Row],[8P01 - Energy
Raw Score]]),IFERROR(VLOOKUP(ROUND(STANDARDIZE(tblY8[[#This Row],[8P01 - Energy
Raw Score]],AVERAGE(tblY8[[8P01 - Energy
Raw Score]]),_xlfn.STDEV.P(tblY8[[8P01 - Energy
Raw Score]])),9),_Stanine,2),5),"")</f>
        <v>8</v>
      </c>
      <c r="R13" s="66" t="n">
        <v>23</v>
      </c>
      <c r="S13" s="67">
        <f>IF(ISNUMBER(tblY8[[#This Row],[8B01 - Digestion
Raw Score]]),IFERROR(VLOOKUP(ROUND(STANDARDIZE(tblY8[[#This Row],[8B01 - Digestion
Raw Score]],AVERAGE(tblY8[[8B01 - Digestion
Raw Score]]),_xlfn.STDEV.P(tblY8[[8B01 - Digestion
Raw Score]])),9),_Stanine,2),5),"")</f>
        <v>8</v>
      </c>
      <c r="T13" s="66" t="n">
        <v>21</v>
      </c>
      <c r="U13" s="67">
        <f>IF(ISNUMBER(tblY8[[#This Row],[8C02 - Metals and Acids
Raw Score]]),IFERROR(VLOOKUP(ROUND(STANDARDIZE(tblY8[[#This Row],[8C02 - Metals and Acids
Raw Score]],AVERAGE(tblY8[[8C02 - Metals and Acids
Raw Score]]),_xlfn.STDEV.P(tblY8[[8C02 - Metals and Acids
Raw Score]])),9),_Stanine,2),5),"")</f>
        <v>9</v>
      </c>
      <c r="V13" s="66" t="n">
        <v>21</v>
      </c>
      <c r="W13" s="67">
        <f>IF(ISNUMBER(tblY8[[#This Row],[8P02 - Light
Raw Score]]),IFERROR(VLOOKUP(ROUND(STANDARDIZE(tblY8[[#This Row],[8P02 - Light
Raw Score]],AVERAGE(tblY8[[8P02 - Light
Raw Score]]),_xlfn.STDEV.P(tblY8[[8P02 - Light
Raw Score]])),9),_Stanine,2),5),"")</f>
        <v>8</v>
      </c>
    </row>
    <row r="14">
      <c r="A14" s="65" t="inlineStr">
        <is>
          <t>X909852596604</t>
        </is>
      </c>
      <c r="B14" s="65" t="inlineStr">
        <is>
          <t>Kowalski</t>
        </is>
      </c>
      <c r="C14" s="65" t="inlineStr">
        <is>
          <t>Ibrahim</t>
        </is>
      </c>
      <c r="D14" s="66" t="inlineStr">
        <is>
          <t>F</t>
        </is>
      </c>
      <c r="E14" s="66" t="n"/>
      <c r="F14" s="66" t="inlineStr">
        <is>
          <t>N</t>
        </is>
      </c>
      <c r="G14" s="34" t="n">
        <v>100</v>
      </c>
      <c r="H14" s="34" t="n">
        <v>104</v>
      </c>
      <c r="I14" s="67">
        <f>IF(ISNUMBER(tblY8[[#This Row],[Avg KS2]]),IFERROR(VLOOKUP(ROUND(STANDARDIZE(tblY8[[#This Row],[Avg KS2]],AVERAGE(tblY8[[Avg KS2]]),_xlfn.STDEV.P(tblY8[[Avg KS2]])),9),_Stanine,2),5),"")</f>
        <v>5</v>
      </c>
      <c r="J14" s="66" t="inlineStr">
        <is>
          <t>8A/Sc1</t>
        </is>
      </c>
      <c r="K14" s="67">
        <f>IF(tblY8[[#This Row],[Preferred Last name]]="","",COUNTIFS($N$1:$ZZ$1,"*"&amp;CHAR(10)&amp;"Stanine",$N14:$ZZ14,"&gt;=1"))</f>
        <v>5</v>
      </c>
      <c r="L14" s="68">
        <f>IFERROR(AVERAGEIF($N$1:$ZZ$1,"*"&amp;CHAR(10)&amp;"Stanine",$N14:$ZZ14),"")</f>
        <v>5.6</v>
      </c>
      <c r="M14" s="69">
        <f>IF(AND(ISNUMBER(tblY8[[#This Row],[Mean Stanine]]),ISNUMBER(tblY8[[#This Row],[Avg KS2 Band]]),ISNUMBER(SlopeY8)),tblY8[[#This Row],[Mean Stanine]]-(InterceptY8+SlopeY8*tblY8[[#This Row],[Avg KS2 Band]]),"")</f>
        <v>0.658141071857727</v>
      </c>
      <c r="N14" s="66" t="n">
        <v>22</v>
      </c>
      <c r="O14" s="67">
        <f>IF(ISNUMBER(tblY8[[#This Row],[8C01 - Periodic Table
Raw Score]]),IFERROR(VLOOKUP(ROUND(STANDARDIZE(tblY8[[#This Row],[8C01 - Periodic Table
Raw Score]],AVERAGE(tblY8[[8C01 - Periodic Table
Raw Score]]),_xlfn.STDEV.P(tblY8[[8C01 - Periodic Table
Raw Score]])),9),_Stanine,2),5),"")</f>
        <v>6</v>
      </c>
      <c r="P14" s="66" t="n">
        <v>11</v>
      </c>
      <c r="Q14" s="67">
        <f>IF(ISNUMBER(tblY8[[#This Row],[8P01 - Energy
Raw Score]]),IFERROR(VLOOKUP(ROUND(STANDARDIZE(tblY8[[#This Row],[8P01 - Energy
Raw Score]],AVERAGE(tblY8[[8P01 - Energy
Raw Score]]),_xlfn.STDEV.P(tblY8[[8P01 - Energy
Raw Score]])),9),_Stanine,2),5),"")</f>
        <v>5</v>
      </c>
      <c r="R14" s="66" t="n">
        <v>13</v>
      </c>
      <c r="S14" s="67">
        <f>IF(ISNUMBER(tblY8[[#This Row],[8B01 - Digestion
Raw Score]]),IFERROR(VLOOKUP(ROUND(STANDARDIZE(tblY8[[#This Row],[8B01 - Digestion
Raw Score]],AVERAGE(tblY8[[8B01 - Digestion
Raw Score]]),_xlfn.STDEV.P(tblY8[[8B01 - Digestion
Raw Score]])),9),_Stanine,2),5),"")</f>
        <v>5</v>
      </c>
      <c r="T14" s="66" t="n">
        <v>13</v>
      </c>
      <c r="U14" s="67">
        <f>IF(ISNUMBER(tblY8[[#This Row],[8C02 - Metals and Acids
Raw Score]]),IFERROR(VLOOKUP(ROUND(STANDARDIZE(tblY8[[#This Row],[8C02 - Metals and Acids
Raw Score]],AVERAGE(tblY8[[8C02 - Metals and Acids
Raw Score]]),_xlfn.STDEV.P(tblY8[[8C02 - Metals and Acids
Raw Score]])),9),_Stanine,2),5),"")</f>
        <v>6</v>
      </c>
      <c r="V14" s="66" t="n">
        <v>17</v>
      </c>
      <c r="W14" s="67">
        <f>IF(ISNUMBER(tblY8[[#This Row],[8P02 - Light
Raw Score]]),IFERROR(VLOOKUP(ROUND(STANDARDIZE(tblY8[[#This Row],[8P02 - Light
Raw Score]],AVERAGE(tblY8[[8P02 - Light
Raw Score]]),_xlfn.STDEV.P(tblY8[[8P02 - Light
Raw Score]])),9),_Stanine,2),5),"")</f>
        <v>6</v>
      </c>
    </row>
    <row r="15">
      <c r="A15" s="65" t="inlineStr">
        <is>
          <t>X904945341746</t>
        </is>
      </c>
      <c r="B15" s="65" t="inlineStr">
        <is>
          <t>Mistry</t>
        </is>
      </c>
      <c r="C15" s="65" t="inlineStr">
        <is>
          <t>Ava</t>
        </is>
      </c>
      <c r="D15" s="66" t="inlineStr">
        <is>
          <t>M</t>
        </is>
      </c>
      <c r="E15" s="66" t="inlineStr">
        <is>
          <t>K</t>
        </is>
      </c>
      <c r="F15" s="66" t="inlineStr">
        <is>
          <t>Y</t>
        </is>
      </c>
      <c r="G15" s="34" t="n">
        <v>86.8</v>
      </c>
      <c r="H15" s="34" t="n">
        <v>111.5</v>
      </c>
      <c r="I15" s="67">
        <f>IF(ISNUMBER(tblY8[[#This Row],[Avg KS2]]),IFERROR(VLOOKUP(ROUND(STANDARDIZE(tblY8[[#This Row],[Avg KS2]],AVERAGE(tblY8[[Avg KS2]]),_xlfn.STDEV.P(tblY8[[Avg KS2]])),9),_Stanine,2),5),"")</f>
        <v>7</v>
      </c>
      <c r="J15" s="66" t="inlineStr">
        <is>
          <t>8A/Sc1</t>
        </is>
      </c>
      <c r="K15" s="67">
        <f>IF(tblY8[[#This Row],[Preferred Last name]]="","",COUNTIFS($N$1:$ZZ$1,"*"&amp;CHAR(10)&amp;"Stanine",$N15:$ZZ15,"&gt;=1"))</f>
        <v>4</v>
      </c>
      <c r="L15" s="68">
        <f>IFERROR(AVERAGEIF($N$1:$ZZ$1,"*"&amp;CHAR(10)&amp;"Stanine",$N15:$ZZ15),"")</f>
        <v>7.25</v>
      </c>
      <c r="M15" s="69">
        <f>IF(AND(ISNUMBER(tblY8[[#This Row],[Mean Stanine]]),ISNUMBER(tblY8[[#This Row],[Avg KS2 Band]]),ISNUMBER(SlopeY8)),tblY8[[#This Row],[Mean Stanine]]-(InterceptY8+SlopeY8*tblY8[[#This Row],[Avg KS2 Band]]),"")</f>
        <v>0.750318433068975</v>
      </c>
      <c r="N15" s="66" t="n">
        <v>27</v>
      </c>
      <c r="O15" s="67">
        <f>IF(ISNUMBER(tblY8[[#This Row],[8C01 - Periodic Table
Raw Score]]),IFERROR(VLOOKUP(ROUND(STANDARDIZE(tblY8[[#This Row],[8C01 - Periodic Table
Raw Score]],AVERAGE(tblY8[[8C01 - Periodic Table
Raw Score]]),_xlfn.STDEV.P(tblY8[[8C01 - Periodic Table
Raw Score]])),9),_Stanine,2),5),"")</f>
        <v>8</v>
      </c>
      <c r="P15" s="66" t="inlineStr">
        <is>
          <t>A</t>
        </is>
      </c>
      <c r="Q15" s="67" t="str">
        <f>IF(ISNUMBER(tblY8[[#This Row],[8P01 - Energy
Raw Score]]),IFERROR(VLOOKUP(ROUND(STANDARDIZE(tblY8[[#This Row],[8P01 - Energy
Raw Score]],AVERAGE(tblY8[[8P01 - Energy
Raw Score]]),_xlfn.STDEV.P(tblY8[[8P01 - Energy
Raw Score]])),9),_Stanine,2),5),"")</f>
        <v/>
      </c>
      <c r="R15" s="66" t="n">
        <v>17</v>
      </c>
      <c r="S15" s="67">
        <f>IF(ISNUMBER(tblY8[[#This Row],[8B01 - Digestion
Raw Score]]),IFERROR(VLOOKUP(ROUND(STANDARDIZE(tblY8[[#This Row],[8B01 - Digestion
Raw Score]],AVERAGE(tblY8[[8B01 - Digestion
Raw Score]]),_xlfn.STDEV.P(tblY8[[8B01 - Digestion
Raw Score]])),9),_Stanine,2),5),"")</f>
        <v>6</v>
      </c>
      <c r="T15" s="66" t="n">
        <v>20</v>
      </c>
      <c r="U15" s="67">
        <f>IF(ISNUMBER(tblY8[[#This Row],[8C02 - Metals and Acids
Raw Score]]),IFERROR(VLOOKUP(ROUND(STANDARDIZE(tblY8[[#This Row],[8C02 - Metals and Acids
Raw Score]],AVERAGE(tblY8[[8C02 - Metals and Acids
Raw Score]]),_xlfn.STDEV.P(tblY8[[8C02 - Metals and Acids
Raw Score]])),9),_Stanine,2),5),"")</f>
        <v>8</v>
      </c>
      <c r="V15" s="66" t="n">
        <v>20</v>
      </c>
      <c r="W15" s="67">
        <f>IF(ISNUMBER(tblY8[[#This Row],[8P02 - Light
Raw Score]]),IFERROR(VLOOKUP(ROUND(STANDARDIZE(tblY8[[#This Row],[8P02 - Light
Raw Score]],AVERAGE(tblY8[[8P02 - Light
Raw Score]]),_xlfn.STDEV.P(tblY8[[8P02 - Light
Raw Score]])),9),_Stanine,2),5),"")</f>
        <v>7</v>
      </c>
    </row>
    <row r="16">
      <c r="A16" s="65" t="inlineStr">
        <is>
          <t>X906539072460</t>
        </is>
      </c>
      <c r="B16" s="65" t="inlineStr">
        <is>
          <t>Mistry</t>
        </is>
      </c>
      <c r="C16" s="65" t="inlineStr">
        <is>
          <t>Hollie</t>
        </is>
      </c>
      <c r="D16" s="66" t="inlineStr">
        <is>
          <t>M</t>
        </is>
      </c>
      <c r="E16" s="66" t="inlineStr">
        <is>
          <t>N</t>
        </is>
      </c>
      <c r="F16" s="66" t="inlineStr">
        <is>
          <t>N</t>
        </is>
      </c>
      <c r="G16" s="34" t="n">
        <v>95</v>
      </c>
      <c r="H16" s="34" t="n">
        <v>107</v>
      </c>
      <c r="I16" s="67">
        <f>IF(ISNUMBER(tblY8[[#This Row],[Avg KS2]]),IFERROR(VLOOKUP(ROUND(STANDARDIZE(tblY8[[#This Row],[Avg KS2]],AVERAGE(tblY8[[Avg KS2]]),_xlfn.STDEV.P(tblY8[[Avg KS2]])),9),_Stanine,2),5),"")</f>
        <v>6</v>
      </c>
      <c r="J16" s="66" t="inlineStr">
        <is>
          <t>8A/Sc1</t>
        </is>
      </c>
      <c r="K16" s="67">
        <f>IF(tblY8[[#This Row],[Preferred Last name]]="","",COUNTIFS($N$1:$ZZ$1,"*"&amp;CHAR(10)&amp;"Stanine",$N16:$ZZ16,"&gt;=1"))</f>
        <v>5</v>
      </c>
      <c r="L16" s="68">
        <f>IFERROR(AVERAGEIF($N$1:$ZZ$1,"*"&amp;CHAR(10)&amp;"Stanine",$N16:$ZZ16),"")</f>
        <v>6.2</v>
      </c>
      <c r="M16" s="69">
        <f>IF(AND(ISNUMBER(tblY8[[#This Row],[Mean Stanine]]),ISNUMBER(tblY8[[#This Row],[Avg KS2 Band]]),ISNUMBER(SlopeY8)),tblY8[[#This Row],[Mean Stanine]]-(InterceptY8+SlopeY8*tblY8[[#This Row],[Avg KS2 Band]]),"")</f>
        <v>0.47922975246335</v>
      </c>
      <c r="N16" s="66" t="n">
        <v>22</v>
      </c>
      <c r="O16" s="67">
        <f>IF(ISNUMBER(tblY8[[#This Row],[8C01 - Periodic Table
Raw Score]]),IFERROR(VLOOKUP(ROUND(STANDARDIZE(tblY8[[#This Row],[8C01 - Periodic Table
Raw Score]],AVERAGE(tblY8[[8C01 - Periodic Table
Raw Score]]),_xlfn.STDEV.P(tblY8[[8C01 - Periodic Table
Raw Score]])),9),_Stanine,2),5),"")</f>
        <v>6</v>
      </c>
      <c r="P16" s="66" t="n">
        <v>13</v>
      </c>
      <c r="Q16" s="67">
        <f>IF(ISNUMBER(tblY8[[#This Row],[8P01 - Energy
Raw Score]]),IFERROR(VLOOKUP(ROUND(STANDARDIZE(tblY8[[#This Row],[8P01 - Energy
Raw Score]],AVERAGE(tblY8[[8P01 - Energy
Raw Score]]),_xlfn.STDEV.P(tblY8[[8P01 - Energy
Raw Score]])),9),_Stanine,2),5),"")</f>
        <v>6</v>
      </c>
      <c r="R16" s="66" t="n">
        <v>18</v>
      </c>
      <c r="S16" s="67">
        <f>IF(ISNUMBER(tblY8[[#This Row],[8B01 - Digestion
Raw Score]]),IFERROR(VLOOKUP(ROUND(STANDARDIZE(tblY8[[#This Row],[8B01 - Digestion
Raw Score]],AVERAGE(tblY8[[8B01 - Digestion
Raw Score]]),_xlfn.STDEV.P(tblY8[[8B01 - Digestion
Raw Score]])),9),_Stanine,2),5),"")</f>
        <v>6</v>
      </c>
      <c r="T16" s="66" t="n">
        <v>16</v>
      </c>
      <c r="U16" s="67">
        <f>IF(ISNUMBER(tblY8[[#This Row],[8C02 - Metals and Acids
Raw Score]]),IFERROR(VLOOKUP(ROUND(STANDARDIZE(tblY8[[#This Row],[8C02 - Metals and Acids
Raw Score]],AVERAGE(tblY8[[8C02 - Metals and Acids
Raw Score]]),_xlfn.STDEV.P(tblY8[[8C02 - Metals and Acids
Raw Score]])),9),_Stanine,2),5),"")</f>
        <v>7</v>
      </c>
      <c r="V16" s="66" t="n">
        <v>17</v>
      </c>
      <c r="W16" s="67">
        <f>IF(ISNUMBER(tblY8[[#This Row],[8P02 - Light
Raw Score]]),IFERROR(VLOOKUP(ROUND(STANDARDIZE(tblY8[[#This Row],[8P02 - Light
Raw Score]],AVERAGE(tblY8[[8P02 - Light
Raw Score]]),_xlfn.STDEV.P(tblY8[[8P02 - Light
Raw Score]])),9),_Stanine,2),5),"")</f>
        <v>6</v>
      </c>
    </row>
    <row r="17">
      <c r="A17" s="65" t="inlineStr">
        <is>
          <t>X903594142402</t>
        </is>
      </c>
      <c r="B17" s="65" t="inlineStr">
        <is>
          <t>Morgan</t>
        </is>
      </c>
      <c r="C17" s="65" t="inlineStr">
        <is>
          <t>Freya</t>
        </is>
      </c>
      <c r="D17" s="66" t="inlineStr">
        <is>
          <t>F</t>
        </is>
      </c>
      <c r="E17" s="66" t="inlineStr">
        <is>
          <t>N</t>
        </is>
      </c>
      <c r="F17" s="66" t="inlineStr">
        <is>
          <t>Y</t>
        </is>
      </c>
      <c r="G17" s="34" t="n">
        <v>100</v>
      </c>
      <c r="H17" s="34" t="n">
        <v>113</v>
      </c>
      <c r="I17" s="67">
        <f>IF(ISNUMBER(tblY8[[#This Row],[Avg KS2]]),IFERROR(VLOOKUP(ROUND(STANDARDIZE(tblY8[[#This Row],[Avg KS2]],AVERAGE(tblY8[[Avg KS2]]),_xlfn.STDEV.P(tblY8[[Avg KS2]])),9),_Stanine,2),5),"")</f>
        <v>8</v>
      </c>
      <c r="J17" s="66" t="inlineStr">
        <is>
          <t>8A/Sc1</t>
        </is>
      </c>
      <c r="K17" s="67">
        <f>IF(tblY8[[#This Row],[Preferred Last name]]="","",COUNTIFS($N$1:$ZZ$1,"*"&amp;CHAR(10)&amp;"Stanine",$N17:$ZZ17,"&gt;=1"))</f>
        <v>5</v>
      </c>
      <c r="L17" s="68">
        <f>IFERROR(AVERAGEIF($N$1:$ZZ$1,"*"&amp;CHAR(10)&amp;"Stanine",$N17:$ZZ17),"")</f>
        <v>8.2</v>
      </c>
      <c r="M17" s="69">
        <f>IF(AND(ISNUMBER(tblY8[[#This Row],[Mean Stanine]]),ISNUMBER(tblY8[[#This Row],[Avg KS2 Band]]),ISNUMBER(SlopeY8)),tblY8[[#This Row],[Mean Stanine]]-(InterceptY8+SlopeY8*tblY8[[#This Row],[Avg KS2 Band]]),"")</f>
        <v>0.921407113674597</v>
      </c>
      <c r="N17" s="66" t="n">
        <v>27</v>
      </c>
      <c r="O17" s="67">
        <f>IF(ISNUMBER(tblY8[[#This Row],[8C01 - Periodic Table
Raw Score]]),IFERROR(VLOOKUP(ROUND(STANDARDIZE(tblY8[[#This Row],[8C01 - Periodic Table
Raw Score]],AVERAGE(tblY8[[8C01 - Periodic Table
Raw Score]]),_xlfn.STDEV.P(tblY8[[8C01 - Periodic Table
Raw Score]])),9),_Stanine,2),5),"")</f>
        <v>8</v>
      </c>
      <c r="P17" s="66" t="n">
        <v>21</v>
      </c>
      <c r="Q17" s="67">
        <f>IF(ISNUMBER(tblY8[[#This Row],[8P01 - Energy
Raw Score]]),IFERROR(VLOOKUP(ROUND(STANDARDIZE(tblY8[[#This Row],[8P01 - Energy
Raw Score]],AVERAGE(tblY8[[8P01 - Energy
Raw Score]]),_xlfn.STDEV.P(tblY8[[8P01 - Energy
Raw Score]])),9),_Stanine,2),5),"")</f>
        <v>9</v>
      </c>
      <c r="R17" s="66" t="n">
        <v>24</v>
      </c>
      <c r="S17" s="67">
        <f>IF(ISNUMBER(tblY8[[#This Row],[8B01 - Digestion
Raw Score]]),IFERROR(VLOOKUP(ROUND(STANDARDIZE(tblY8[[#This Row],[8B01 - Digestion
Raw Score]],AVERAGE(tblY8[[8B01 - Digestion
Raw Score]]),_xlfn.STDEV.P(tblY8[[8B01 - Digestion
Raw Score]])),9),_Stanine,2),5),"")</f>
        <v>8</v>
      </c>
      <c r="T17" s="66" t="n">
        <v>20</v>
      </c>
      <c r="U17" s="67">
        <f>IF(ISNUMBER(tblY8[[#This Row],[8C02 - Metals and Acids
Raw Score]]),IFERROR(VLOOKUP(ROUND(STANDARDIZE(tblY8[[#This Row],[8C02 - Metals and Acids
Raw Score]],AVERAGE(tblY8[[8C02 - Metals and Acids
Raw Score]]),_xlfn.STDEV.P(tblY8[[8C02 - Metals and Acids
Raw Score]])),9),_Stanine,2),5),"")</f>
        <v>8</v>
      </c>
      <c r="V17" s="66" t="n">
        <v>22</v>
      </c>
      <c r="W17" s="67">
        <f>IF(ISNUMBER(tblY8[[#This Row],[8P02 - Light
Raw Score]]),IFERROR(VLOOKUP(ROUND(STANDARDIZE(tblY8[[#This Row],[8P02 - Light
Raw Score]],AVERAGE(tblY8[[8P02 - Light
Raw Score]]),_xlfn.STDEV.P(tblY8[[8P02 - Light
Raw Score]])),9),_Stanine,2),5),"")</f>
        <v>8</v>
      </c>
    </row>
    <row r="18">
      <c r="A18" s="65" t="inlineStr">
        <is>
          <t>X905756499107</t>
        </is>
      </c>
      <c r="B18" s="65" t="inlineStr">
        <is>
          <t>Nowak</t>
        </is>
      </c>
      <c r="C18" s="65" t="inlineStr">
        <is>
          <t>Arjun</t>
        </is>
      </c>
      <c r="D18" s="66" t="inlineStr">
        <is>
          <t>M</t>
        </is>
      </c>
      <c r="E18" s="66" t="inlineStr">
        <is>
          <t>N</t>
        </is>
      </c>
      <c r="F18" s="66" t="inlineStr">
        <is>
          <t>Y</t>
        </is>
      </c>
      <c r="G18" s="34" t="n">
        <v>100</v>
      </c>
      <c r="H18" s="34" t="n">
        <v>109.5</v>
      </c>
      <c r="I18" s="67">
        <f>IF(ISNUMBER(tblY8[[#This Row],[Avg KS2]]),IFERROR(VLOOKUP(ROUND(STANDARDIZE(tblY8[[#This Row],[Avg KS2]],AVERAGE(tblY8[[Avg KS2]]),_xlfn.STDEV.P(tblY8[[Avg KS2]])),9),_Stanine,2),5),"")</f>
        <v>7</v>
      </c>
      <c r="J18" s="66" t="inlineStr">
        <is>
          <t>8A/Sc1</t>
        </is>
      </c>
      <c r="K18" s="67">
        <f>IF(tblY8[[#This Row],[Preferred Last name]]="","",COUNTIFS($N$1:$ZZ$1,"*"&amp;CHAR(10)&amp;"Stanine",$N18:$ZZ18,"&gt;=1"))</f>
        <v>5</v>
      </c>
      <c r="L18" s="68">
        <f>IFERROR(AVERAGEIF($N$1:$ZZ$1,"*"&amp;CHAR(10)&amp;"Stanine",$N18:$ZZ18),"")</f>
        <v>6.8</v>
      </c>
      <c r="M18" s="69">
        <f>IF(AND(ISNUMBER(tblY8[[#This Row],[Mean Stanine]]),ISNUMBER(tblY8[[#This Row],[Avg KS2 Band]]),ISNUMBER(SlopeY8)),tblY8[[#This Row],[Mean Stanine]]-(InterceptY8+SlopeY8*tblY8[[#This Row],[Avg KS2 Band]]),"")</f>
        <v>0.300318433068974</v>
      </c>
      <c r="N18" s="66" t="n">
        <v>23</v>
      </c>
      <c r="O18" s="67">
        <f>IF(ISNUMBER(tblY8[[#This Row],[8C01 - Periodic Table
Raw Score]]),IFERROR(VLOOKUP(ROUND(STANDARDIZE(tblY8[[#This Row],[8C01 - Periodic Table
Raw Score]],AVERAGE(tblY8[[8C01 - Periodic Table
Raw Score]]),_xlfn.STDEV.P(tblY8[[8C01 - Periodic Table
Raw Score]])),9),_Stanine,2),5),"")</f>
        <v>7</v>
      </c>
      <c r="P18" s="66" t="n">
        <v>15</v>
      </c>
      <c r="Q18" s="67">
        <f>IF(ISNUMBER(tblY8[[#This Row],[8P01 - Energy
Raw Score]]),IFERROR(VLOOKUP(ROUND(STANDARDIZE(tblY8[[#This Row],[8P01 - Energy
Raw Score]],AVERAGE(tblY8[[8P01 - Energy
Raw Score]]),_xlfn.STDEV.P(tblY8[[8P01 - Energy
Raw Score]])),9),_Stanine,2),5),"")</f>
        <v>7</v>
      </c>
      <c r="R18" s="66" t="n">
        <v>19</v>
      </c>
      <c r="S18" s="67">
        <f>IF(ISNUMBER(tblY8[[#This Row],[8B01 - Digestion
Raw Score]]),IFERROR(VLOOKUP(ROUND(STANDARDIZE(tblY8[[#This Row],[8B01 - Digestion
Raw Score]],AVERAGE(tblY8[[8B01 - Digestion
Raw Score]]),_xlfn.STDEV.P(tblY8[[8B01 - Digestion
Raw Score]])),9),_Stanine,2),5),"")</f>
        <v>7</v>
      </c>
      <c r="T18" s="66" t="n">
        <v>15</v>
      </c>
      <c r="U18" s="67">
        <f>IF(ISNUMBER(tblY8[[#This Row],[8C02 - Metals and Acids
Raw Score]]),IFERROR(VLOOKUP(ROUND(STANDARDIZE(tblY8[[#This Row],[8C02 - Metals and Acids
Raw Score]],AVERAGE(tblY8[[8C02 - Metals and Acids
Raw Score]]),_xlfn.STDEV.P(tblY8[[8C02 - Metals and Acids
Raw Score]])),9),_Stanine,2),5),"")</f>
        <v>6</v>
      </c>
      <c r="V18" s="66" t="n">
        <v>19</v>
      </c>
      <c r="W18" s="67">
        <f>IF(ISNUMBER(tblY8[[#This Row],[8P02 - Light
Raw Score]]),IFERROR(VLOOKUP(ROUND(STANDARDIZE(tblY8[[#This Row],[8P02 - Light
Raw Score]],AVERAGE(tblY8[[8P02 - Light
Raw Score]]),_xlfn.STDEV.P(tblY8[[8P02 - Light
Raw Score]])),9),_Stanine,2),5),"")</f>
        <v>7</v>
      </c>
    </row>
    <row r="19">
      <c r="A19" s="65" t="inlineStr">
        <is>
          <t>X906388959437</t>
        </is>
      </c>
      <c r="B19" s="65" t="inlineStr">
        <is>
          <t>Nowak</t>
        </is>
      </c>
      <c r="C19" s="65" t="inlineStr">
        <is>
          <t>Nia</t>
        </is>
      </c>
      <c r="D19" s="66" t="inlineStr">
        <is>
          <t>F</t>
        </is>
      </c>
      <c r="E19" s="66" t="n"/>
      <c r="F19" s="66" t="inlineStr">
        <is>
          <t>N</t>
        </is>
      </c>
      <c r="G19" s="34" t="n">
        <v>97.3</v>
      </c>
      <c r="H19" s="34" t="n">
        <v>108</v>
      </c>
      <c r="I19" s="67">
        <f>IF(ISNUMBER(tblY8[[#This Row],[Avg KS2]]),IFERROR(VLOOKUP(ROUND(STANDARDIZE(tblY8[[#This Row],[Avg KS2]],AVERAGE(tblY8[[Avg KS2]]),_xlfn.STDEV.P(tblY8[[Avg KS2]])),9),_Stanine,2),5),"")</f>
        <v>6</v>
      </c>
      <c r="J19" s="66" t="inlineStr">
        <is>
          <t>8A/Sc1</t>
        </is>
      </c>
      <c r="K19" s="67">
        <f>IF(tblY8[[#This Row],[Preferred Last name]]="","",COUNTIFS($N$1:$ZZ$1,"*"&amp;CHAR(10)&amp;"Stanine",$N19:$ZZ19,"&gt;=1"))</f>
        <v>5</v>
      </c>
      <c r="L19" s="68">
        <f>IFERROR(AVERAGEIF($N$1:$ZZ$1,"*"&amp;CHAR(10)&amp;"Stanine",$N19:$ZZ19),"")</f>
        <v>4.8</v>
      </c>
      <c r="M19" s="69">
        <f>IF(AND(ISNUMBER(tblY8[[#This Row],[Mean Stanine]]),ISNUMBER(tblY8[[#This Row],[Avg KS2 Band]]),ISNUMBER(SlopeY8)),tblY8[[#This Row],[Mean Stanine]]-(InterceptY8+SlopeY8*tblY8[[#This Row],[Avg KS2 Band]]),"")</f>
        <v>-0.92077024753665</v>
      </c>
      <c r="N19" s="66" t="n">
        <v>15</v>
      </c>
      <c r="O19" s="67">
        <f>IF(ISNUMBER(tblY8[[#This Row],[8C01 - Periodic Table
Raw Score]]),IFERROR(VLOOKUP(ROUND(STANDARDIZE(tblY8[[#This Row],[8C01 - Periodic Table
Raw Score]],AVERAGE(tblY8[[8C01 - Periodic Table
Raw Score]]),_xlfn.STDEV.P(tblY8[[8C01 - Periodic Table
Raw Score]])),9),_Stanine,2),5),"")</f>
        <v>4</v>
      </c>
      <c r="P19" s="66" t="n">
        <v>12</v>
      </c>
      <c r="Q19" s="67">
        <f>IF(ISNUMBER(tblY8[[#This Row],[8P01 - Energy
Raw Score]]),IFERROR(VLOOKUP(ROUND(STANDARDIZE(tblY8[[#This Row],[8P01 - Energy
Raw Score]],AVERAGE(tblY8[[8P01 - Energy
Raw Score]]),_xlfn.STDEV.P(tblY8[[8P01 - Energy
Raw Score]])),9),_Stanine,2),5),"")</f>
        <v>6</v>
      </c>
      <c r="R19" s="66" t="n">
        <v>15</v>
      </c>
      <c r="S19" s="67">
        <f>IF(ISNUMBER(tblY8[[#This Row],[8B01 - Digestion
Raw Score]]),IFERROR(VLOOKUP(ROUND(STANDARDIZE(tblY8[[#This Row],[8B01 - Digestion
Raw Score]],AVERAGE(tblY8[[8B01 - Digestion
Raw Score]]),_xlfn.STDEV.P(tblY8[[8B01 - Digestion
Raw Score]])),9),_Stanine,2),5),"")</f>
        <v>5</v>
      </c>
      <c r="T19" s="66" t="n">
        <v>11</v>
      </c>
      <c r="U19" s="67">
        <f>IF(ISNUMBER(tblY8[[#This Row],[8C02 - Metals and Acids
Raw Score]]),IFERROR(VLOOKUP(ROUND(STANDARDIZE(tblY8[[#This Row],[8C02 - Metals and Acids
Raw Score]],AVERAGE(tblY8[[8C02 - Metals and Acids
Raw Score]]),_xlfn.STDEV.P(tblY8[[8C02 - Metals and Acids
Raw Score]])),9),_Stanine,2),5),"")</f>
        <v>5</v>
      </c>
      <c r="V19" s="66" t="n">
        <v>13</v>
      </c>
      <c r="W19" s="67">
        <f>IF(ISNUMBER(tblY8[[#This Row],[8P02 - Light
Raw Score]]),IFERROR(VLOOKUP(ROUND(STANDARDIZE(tblY8[[#This Row],[8P02 - Light
Raw Score]],AVERAGE(tblY8[[8P02 - Light
Raw Score]]),_xlfn.STDEV.P(tblY8[[8P02 - Light
Raw Score]])),9),_Stanine,2),5),"")</f>
        <v>4</v>
      </c>
    </row>
    <row r="20">
      <c r="A20" s="65" t="inlineStr">
        <is>
          <t>X909473519278</t>
        </is>
      </c>
      <c r="B20" s="65" t="inlineStr">
        <is>
          <t>Nowak</t>
        </is>
      </c>
      <c r="C20" s="65" t="inlineStr">
        <is>
          <t>Rhys</t>
        </is>
      </c>
      <c r="D20" s="66" t="inlineStr">
        <is>
          <t>F</t>
        </is>
      </c>
      <c r="E20" s="66" t="inlineStr">
        <is>
          <t>N</t>
        </is>
      </c>
      <c r="F20" s="66" t="inlineStr">
        <is>
          <t>N</t>
        </is>
      </c>
      <c r="G20" s="34" t="n">
        <v>95.8</v>
      </c>
      <c r="H20" s="34" t="n">
        <v>109</v>
      </c>
      <c r="I20" s="67">
        <f>IF(ISNUMBER(tblY8[[#This Row],[Avg KS2]]),IFERROR(VLOOKUP(ROUND(STANDARDIZE(tblY8[[#This Row],[Avg KS2]],AVERAGE(tblY8[[Avg KS2]]),_xlfn.STDEV.P(tblY8[[Avg KS2]])),9),_Stanine,2),5),"")</f>
        <v>6</v>
      </c>
      <c r="J20" s="66" t="inlineStr">
        <is>
          <t>8A/Sc1</t>
        </is>
      </c>
      <c r="K20" s="67">
        <f>IF(tblY8[[#This Row],[Preferred Last name]]="","",COUNTIFS($N$1:$ZZ$1,"*"&amp;CHAR(10)&amp;"Stanine",$N20:$ZZ20,"&gt;=1"))</f>
        <v>5</v>
      </c>
      <c r="L20" s="68">
        <f>IFERROR(AVERAGEIF($N$1:$ZZ$1,"*"&amp;CHAR(10)&amp;"Stanine",$N20:$ZZ20),"")</f>
        <v>4.4</v>
      </c>
      <c r="M20" s="69">
        <f>IF(AND(ISNUMBER(tblY8[[#This Row],[Mean Stanine]]),ISNUMBER(tblY8[[#This Row],[Avg KS2 Band]]),ISNUMBER(SlopeY8)),tblY8[[#This Row],[Mean Stanine]]-(InterceptY8+SlopeY8*tblY8[[#This Row],[Avg KS2 Band]]),"")</f>
        <v>-1.32077024753665</v>
      </c>
      <c r="N20" s="66" t="n">
        <v>18</v>
      </c>
      <c r="O20" s="67">
        <f>IF(ISNUMBER(tblY8[[#This Row],[8C01 - Periodic Table
Raw Score]]),IFERROR(VLOOKUP(ROUND(STANDARDIZE(tblY8[[#This Row],[8C01 - Periodic Table
Raw Score]],AVERAGE(tblY8[[8C01 - Periodic Table
Raw Score]]),_xlfn.STDEV.P(tblY8[[8C01 - Periodic Table
Raw Score]])),9),_Stanine,2),5),"")</f>
        <v>5</v>
      </c>
      <c r="P20" s="66" t="n">
        <v>8</v>
      </c>
      <c r="Q20" s="67">
        <f>IF(ISNUMBER(tblY8[[#This Row],[8P01 - Energy
Raw Score]]),IFERROR(VLOOKUP(ROUND(STANDARDIZE(tblY8[[#This Row],[8P01 - Energy
Raw Score]],AVERAGE(tblY8[[8P01 - Energy
Raw Score]]),_xlfn.STDEV.P(tblY8[[8P01 - Energy
Raw Score]])),9),_Stanine,2),5),"")</f>
        <v>4</v>
      </c>
      <c r="R20" s="66" t="n">
        <v>12</v>
      </c>
      <c r="S20" s="67">
        <f>IF(ISNUMBER(tblY8[[#This Row],[8B01 - Digestion
Raw Score]]),IFERROR(VLOOKUP(ROUND(STANDARDIZE(tblY8[[#This Row],[8B01 - Digestion
Raw Score]],AVERAGE(tblY8[[8B01 - Digestion
Raw Score]]),_xlfn.STDEV.P(tblY8[[8B01 - Digestion
Raw Score]])),9),_Stanine,2),5),"")</f>
        <v>4</v>
      </c>
      <c r="T20" s="66" t="n">
        <v>10</v>
      </c>
      <c r="U20" s="67">
        <f>IF(ISNUMBER(tblY8[[#This Row],[8C02 - Metals and Acids
Raw Score]]),IFERROR(VLOOKUP(ROUND(STANDARDIZE(tblY8[[#This Row],[8C02 - Metals and Acids
Raw Score]],AVERAGE(tblY8[[8C02 - Metals and Acids
Raw Score]]),_xlfn.STDEV.P(tblY8[[8C02 - Metals and Acids
Raw Score]])),9),_Stanine,2),5),"")</f>
        <v>4</v>
      </c>
      <c r="V20" s="66" t="n">
        <v>15</v>
      </c>
      <c r="W20" s="67">
        <f>IF(ISNUMBER(tblY8[[#This Row],[8P02 - Light
Raw Score]]),IFERROR(VLOOKUP(ROUND(STANDARDIZE(tblY8[[#This Row],[8P02 - Light
Raw Score]],AVERAGE(tblY8[[8P02 - Light
Raw Score]]),_xlfn.STDEV.P(tblY8[[8P02 - Light
Raw Score]])),9),_Stanine,2),5),"")</f>
        <v>5</v>
      </c>
    </row>
    <row r="21">
      <c r="A21" s="65" t="inlineStr">
        <is>
          <t>X907318145186</t>
        </is>
      </c>
      <c r="B21" s="65" t="inlineStr">
        <is>
          <t>Patel</t>
        </is>
      </c>
      <c r="C21" s="65" t="inlineStr">
        <is>
          <t>Chidi</t>
        </is>
      </c>
      <c r="D21" s="66" t="inlineStr">
        <is>
          <t>M</t>
        </is>
      </c>
      <c r="E21" s="66" t="inlineStr">
        <is>
          <t>N</t>
        </is>
      </c>
      <c r="F21" s="66" t="inlineStr">
        <is>
          <t>N</t>
        </is>
      </c>
      <c r="G21" s="34" t="n">
        <v>91.7</v>
      </c>
      <c r="H21" s="34" t="n">
        <v>111</v>
      </c>
      <c r="I21" s="67">
        <f>IF(ISNUMBER(tblY8[[#This Row],[Avg KS2]]),IFERROR(VLOOKUP(ROUND(STANDARDIZE(tblY8[[#This Row],[Avg KS2]],AVERAGE(tblY8[[Avg KS2]]),_xlfn.STDEV.P(tblY8[[Avg KS2]])),9),_Stanine,2),5),"")</f>
        <v>7</v>
      </c>
      <c r="J21" s="66" t="inlineStr">
        <is>
          <t>8A/Sc1</t>
        </is>
      </c>
      <c r="K21" s="67">
        <f>IF(tblY8[[#This Row],[Preferred Last name]]="","",COUNTIFS($N$1:$ZZ$1,"*"&amp;CHAR(10)&amp;"Stanine",$N21:$ZZ21,"&gt;=1"))</f>
        <v>5</v>
      </c>
      <c r="L21" s="68">
        <f>IFERROR(AVERAGEIF($N$1:$ZZ$1,"*"&amp;CHAR(10)&amp;"Stanine",$N21:$ZZ21),"")</f>
        <v>7</v>
      </c>
      <c r="M21" s="69">
        <f>IF(AND(ISNUMBER(tblY8[[#This Row],[Mean Stanine]]),ISNUMBER(tblY8[[#This Row],[Avg KS2 Band]]),ISNUMBER(SlopeY8)),tblY8[[#This Row],[Mean Stanine]]-(InterceptY8+SlopeY8*tblY8[[#This Row],[Avg KS2 Band]]),"")</f>
        <v>0.500318433068975</v>
      </c>
      <c r="N21" s="66" t="n">
        <v>23</v>
      </c>
      <c r="O21" s="67">
        <f>IF(ISNUMBER(tblY8[[#This Row],[8C01 - Periodic Table
Raw Score]]),IFERROR(VLOOKUP(ROUND(STANDARDIZE(tblY8[[#This Row],[8C01 - Periodic Table
Raw Score]],AVERAGE(tblY8[[8C01 - Periodic Table
Raw Score]]),_xlfn.STDEV.P(tblY8[[8C01 - Periodic Table
Raw Score]])),9),_Stanine,2),5),"")</f>
        <v>7</v>
      </c>
      <c r="P21" s="66" t="n">
        <v>15</v>
      </c>
      <c r="Q21" s="67">
        <f>IF(ISNUMBER(tblY8[[#This Row],[8P01 - Energy
Raw Score]]),IFERROR(VLOOKUP(ROUND(STANDARDIZE(tblY8[[#This Row],[8P01 - Energy
Raw Score]],AVERAGE(tblY8[[8P01 - Energy
Raw Score]]),_xlfn.STDEV.P(tblY8[[8P01 - Energy
Raw Score]])),9),_Stanine,2),5),"")</f>
        <v>7</v>
      </c>
      <c r="R21" s="66" t="n">
        <v>21</v>
      </c>
      <c r="S21" s="67">
        <f>IF(ISNUMBER(tblY8[[#This Row],[8B01 - Digestion
Raw Score]]),IFERROR(VLOOKUP(ROUND(STANDARDIZE(tblY8[[#This Row],[8B01 - Digestion
Raw Score]],AVERAGE(tblY8[[8B01 - Digestion
Raw Score]]),_xlfn.STDEV.P(tblY8[[8B01 - Digestion
Raw Score]])),9),_Stanine,2),5),"")</f>
        <v>7</v>
      </c>
      <c r="T21" s="66" t="n">
        <v>16</v>
      </c>
      <c r="U21" s="67">
        <f>IF(ISNUMBER(tblY8[[#This Row],[8C02 - Metals and Acids
Raw Score]]),IFERROR(VLOOKUP(ROUND(STANDARDIZE(tblY8[[#This Row],[8C02 - Metals and Acids
Raw Score]],AVERAGE(tblY8[[8C02 - Metals and Acids
Raw Score]]),_xlfn.STDEV.P(tblY8[[8C02 - Metals and Acids
Raw Score]])),9),_Stanine,2),5),"")</f>
        <v>7</v>
      </c>
      <c r="V21" s="66" t="n">
        <v>19</v>
      </c>
      <c r="W21" s="67">
        <f>IF(ISNUMBER(tblY8[[#This Row],[8P02 - Light
Raw Score]]),IFERROR(VLOOKUP(ROUND(STANDARDIZE(tblY8[[#This Row],[8P02 - Light
Raw Score]],AVERAGE(tblY8[[8P02 - Light
Raw Score]]),_xlfn.STDEV.P(tblY8[[8P02 - Light
Raw Score]])),9),_Stanine,2),5),"")</f>
        <v>7</v>
      </c>
    </row>
    <row r="22">
      <c r="A22" s="65" t="inlineStr">
        <is>
          <t>X901743486137</t>
        </is>
      </c>
      <c r="B22" s="65" t="inlineStr">
        <is>
          <t>Shaw</t>
        </is>
      </c>
      <c r="C22" s="65" t="inlineStr">
        <is>
          <t>Finley</t>
        </is>
      </c>
      <c r="D22" s="66" t="inlineStr">
        <is>
          <t>F</t>
        </is>
      </c>
      <c r="E22" s="66" t="n"/>
      <c r="F22" s="66" t="inlineStr">
        <is>
          <t>Y</t>
        </is>
      </c>
      <c r="G22" s="34" t="n">
        <v>88.09999999999999</v>
      </c>
      <c r="H22" s="34" t="n">
        <v>110</v>
      </c>
      <c r="I22" s="67">
        <f>IF(ISNUMBER(tblY8[[#This Row],[Avg KS2]]),IFERROR(VLOOKUP(ROUND(STANDARDIZE(tblY8[[#This Row],[Avg KS2]],AVERAGE(tblY8[[Avg KS2]]),_xlfn.STDEV.P(tblY8[[Avg KS2]])),9),_Stanine,2),5),"")</f>
        <v>7</v>
      </c>
      <c r="J22" s="66" t="inlineStr">
        <is>
          <t>8A/Sc1</t>
        </is>
      </c>
      <c r="K22" s="67">
        <f>IF(tblY8[[#This Row],[Preferred Last name]]="","",COUNTIFS($N$1:$ZZ$1,"*"&amp;CHAR(10)&amp;"Stanine",$N22:$ZZ22,"&gt;=1"))</f>
        <v>5</v>
      </c>
      <c r="L22" s="68">
        <f>IFERROR(AVERAGEIF($N$1:$ZZ$1,"*"&amp;CHAR(10)&amp;"Stanine",$N22:$ZZ22),"")</f>
        <v>8</v>
      </c>
      <c r="M22" s="69">
        <f>IF(AND(ISNUMBER(tblY8[[#This Row],[Mean Stanine]]),ISNUMBER(tblY8[[#This Row],[Avg KS2 Band]]),ISNUMBER(SlopeY8)),tblY8[[#This Row],[Mean Stanine]]-(InterceptY8+SlopeY8*tblY8[[#This Row],[Avg KS2 Band]]),"")</f>
        <v>1.50031843306897</v>
      </c>
      <c r="N22" s="66" t="n">
        <v>27</v>
      </c>
      <c r="O22" s="67">
        <f>IF(ISNUMBER(tblY8[[#This Row],[8C01 - Periodic Table
Raw Score]]),IFERROR(VLOOKUP(ROUND(STANDARDIZE(tblY8[[#This Row],[8C01 - Periodic Table
Raw Score]],AVERAGE(tblY8[[8C01 - Periodic Table
Raw Score]]),_xlfn.STDEV.P(tblY8[[8C01 - Periodic Table
Raw Score]])),9),_Stanine,2),5),"")</f>
        <v>8</v>
      </c>
      <c r="P22" s="66" t="n">
        <v>19</v>
      </c>
      <c r="Q22" s="67">
        <f>IF(ISNUMBER(tblY8[[#This Row],[8P01 - Energy
Raw Score]]),IFERROR(VLOOKUP(ROUND(STANDARDIZE(tblY8[[#This Row],[8P01 - Energy
Raw Score]],AVERAGE(tblY8[[8P01 - Energy
Raw Score]]),_xlfn.STDEV.P(tblY8[[8P01 - Energy
Raw Score]])),9),_Stanine,2),5),"")</f>
        <v>8</v>
      </c>
      <c r="R22" s="66" t="n">
        <v>24</v>
      </c>
      <c r="S22" s="67">
        <f>IF(ISNUMBER(tblY8[[#This Row],[8B01 - Digestion
Raw Score]]),IFERROR(VLOOKUP(ROUND(STANDARDIZE(tblY8[[#This Row],[8B01 - Digestion
Raw Score]],AVERAGE(tblY8[[8B01 - Digestion
Raw Score]]),_xlfn.STDEV.P(tblY8[[8B01 - Digestion
Raw Score]])),9),_Stanine,2),5),"")</f>
        <v>8</v>
      </c>
      <c r="T22" s="66" t="n">
        <v>19</v>
      </c>
      <c r="U22" s="67">
        <f>IF(ISNUMBER(tblY8[[#This Row],[8C02 - Metals and Acids
Raw Score]]),IFERROR(VLOOKUP(ROUND(STANDARDIZE(tblY8[[#This Row],[8C02 - Metals and Acids
Raw Score]],AVERAGE(tblY8[[8C02 - Metals and Acids
Raw Score]]),_xlfn.STDEV.P(tblY8[[8C02 - Metals and Acids
Raw Score]])),9),_Stanine,2),5),"")</f>
        <v>8</v>
      </c>
      <c r="V22" s="66" t="n">
        <v>22</v>
      </c>
      <c r="W22" s="67">
        <f>IF(ISNUMBER(tblY8[[#This Row],[8P02 - Light
Raw Score]]),IFERROR(VLOOKUP(ROUND(STANDARDIZE(tblY8[[#This Row],[8P02 - Light
Raw Score]],AVERAGE(tblY8[[8P02 - Light
Raw Score]]),_xlfn.STDEV.P(tblY8[[8P02 - Light
Raw Score]])),9),_Stanine,2),5),"")</f>
        <v>8</v>
      </c>
    </row>
    <row r="23">
      <c r="A23" s="65" t="inlineStr">
        <is>
          <t>X900166787806</t>
        </is>
      </c>
      <c r="B23" s="65" t="inlineStr">
        <is>
          <t>Thompson</t>
        </is>
      </c>
      <c r="C23" s="65" t="inlineStr">
        <is>
          <t>Oliver</t>
        </is>
      </c>
      <c r="D23" s="66" t="inlineStr">
        <is>
          <t>M</t>
        </is>
      </c>
      <c r="E23" s="66" t="inlineStr">
        <is>
          <t>N</t>
        </is>
      </c>
      <c r="F23" s="66" t="inlineStr">
        <is>
          <t>Y</t>
        </is>
      </c>
      <c r="G23" s="34" t="n">
        <v>92.5</v>
      </c>
      <c r="H23" s="34" t="n">
        <v>110</v>
      </c>
      <c r="I23" s="67">
        <f>IF(ISNUMBER(tblY8[[#This Row],[Avg KS2]]),IFERROR(VLOOKUP(ROUND(STANDARDIZE(tblY8[[#This Row],[Avg KS2]],AVERAGE(tblY8[[Avg KS2]]),_xlfn.STDEV.P(tblY8[[Avg KS2]])),9),_Stanine,2),5),"")</f>
        <v>7</v>
      </c>
      <c r="J23" s="66" t="inlineStr">
        <is>
          <t>8A/Sc1</t>
        </is>
      </c>
      <c r="K23" s="67">
        <f>IF(tblY8[[#This Row],[Preferred Last name]]="","",COUNTIFS($N$1:$ZZ$1,"*"&amp;CHAR(10)&amp;"Stanine",$N23:$ZZ23,"&gt;=1"))</f>
        <v>4</v>
      </c>
      <c r="L23" s="68">
        <f>IFERROR(AVERAGEIF($N$1:$ZZ$1,"*"&amp;CHAR(10)&amp;"Stanine",$N23:$ZZ23),"")</f>
        <v>6</v>
      </c>
      <c r="M23" s="69">
        <f>IF(AND(ISNUMBER(tblY8[[#This Row],[Mean Stanine]]),ISNUMBER(tblY8[[#This Row],[Avg KS2 Band]]),ISNUMBER(SlopeY8)),tblY8[[#This Row],[Mean Stanine]]-(InterceptY8+SlopeY8*tblY8[[#This Row],[Avg KS2 Band]]),"")</f>
        <v>-0.499681566931026</v>
      </c>
      <c r="N23" s="66" t="inlineStr">
        <is>
          <t>A</t>
        </is>
      </c>
      <c r="O23" s="67" t="str">
        <f>IF(ISNUMBER(tblY8[[#This Row],[8C01 - Periodic Table
Raw Score]]),IFERROR(VLOOKUP(ROUND(STANDARDIZE(tblY8[[#This Row],[8C01 - Periodic Table
Raw Score]],AVERAGE(tblY8[[8C01 - Periodic Table
Raw Score]]),_xlfn.STDEV.P(tblY8[[8C01 - Periodic Table
Raw Score]])),9),_Stanine,2),5),"")</f>
        <v/>
      </c>
      <c r="P23" s="66" t="n">
        <v>16</v>
      </c>
      <c r="Q23" s="67">
        <f>IF(ISNUMBER(tblY8[[#This Row],[8P01 - Energy
Raw Score]]),IFERROR(VLOOKUP(ROUND(STANDARDIZE(tblY8[[#This Row],[8P01 - Energy
Raw Score]],AVERAGE(tblY8[[8P01 - Energy
Raw Score]]),_xlfn.STDEV.P(tblY8[[8P01 - Energy
Raw Score]])),9),_Stanine,2),5),"")</f>
        <v>7</v>
      </c>
      <c r="R23" s="66" t="n">
        <v>17</v>
      </c>
      <c r="S23" s="67">
        <f>IF(ISNUMBER(tblY8[[#This Row],[8B01 - Digestion
Raw Score]]),IFERROR(VLOOKUP(ROUND(STANDARDIZE(tblY8[[#This Row],[8B01 - Digestion
Raw Score]],AVERAGE(tblY8[[8B01 - Digestion
Raw Score]]),_xlfn.STDEV.P(tblY8[[8B01 - Digestion
Raw Score]])),9),_Stanine,2),5),"")</f>
        <v>6</v>
      </c>
      <c r="T23" s="66" t="n">
        <v>12</v>
      </c>
      <c r="U23" s="67">
        <f>IF(ISNUMBER(tblY8[[#This Row],[8C02 - Metals and Acids
Raw Score]]),IFERROR(VLOOKUP(ROUND(STANDARDIZE(tblY8[[#This Row],[8C02 - Metals and Acids
Raw Score]],AVERAGE(tblY8[[8C02 - Metals and Acids
Raw Score]]),_xlfn.STDEV.P(tblY8[[8C02 - Metals and Acids
Raw Score]])),9),_Stanine,2),5),"")</f>
        <v>5</v>
      </c>
      <c r="V23" s="66" t="n">
        <v>17</v>
      </c>
      <c r="W23" s="67">
        <f>IF(ISNUMBER(tblY8[[#This Row],[8P02 - Light
Raw Score]]),IFERROR(VLOOKUP(ROUND(STANDARDIZE(tblY8[[#This Row],[8P02 - Light
Raw Score]],AVERAGE(tblY8[[8P02 - Light
Raw Score]]),_xlfn.STDEV.P(tblY8[[8P02 - Light
Raw Score]])),9),_Stanine,2),5),"")</f>
        <v>6</v>
      </c>
    </row>
    <row r="24">
      <c r="A24" s="65" t="inlineStr">
        <is>
          <t>X901879732919</t>
        </is>
      </c>
      <c r="B24" s="65" t="inlineStr">
        <is>
          <t>Turner</t>
        </is>
      </c>
      <c r="C24" s="65" t="inlineStr">
        <is>
          <t>Ethan</t>
        </is>
      </c>
      <c r="D24" s="66" t="inlineStr">
        <is>
          <t>F</t>
        </is>
      </c>
      <c r="E24" s="66" t="inlineStr">
        <is>
          <t>N</t>
        </is>
      </c>
      <c r="F24" s="66" t="inlineStr">
        <is>
          <t>N</t>
        </is>
      </c>
      <c r="G24" s="34" t="n">
        <v>91.59999999999999</v>
      </c>
      <c r="H24" s="34" t="n">
        <v>106</v>
      </c>
      <c r="I24" s="67">
        <f>IF(ISNUMBER(tblY8[[#This Row],[Avg KS2]]),IFERROR(VLOOKUP(ROUND(STANDARDIZE(tblY8[[#This Row],[Avg KS2]],AVERAGE(tblY8[[Avg KS2]]),_xlfn.STDEV.P(tblY8[[Avg KS2]])),9),_Stanine,2),5),"")</f>
        <v>5</v>
      </c>
      <c r="J24" s="66" t="inlineStr">
        <is>
          <t>8A/Sc1</t>
        </is>
      </c>
      <c r="K24" s="67">
        <f>IF(tblY8[[#This Row],[Preferred Last name]]="","",COUNTIFS($N$1:$ZZ$1,"*"&amp;CHAR(10)&amp;"Stanine",$N24:$ZZ24,"&gt;=1"))</f>
        <v>3</v>
      </c>
      <c r="L24" s="68">
        <f>IFERROR(AVERAGEIF($N$1:$ZZ$1,"*"&amp;CHAR(10)&amp;"Stanine",$N24:$ZZ24),"")</f>
        <v>5.33333333333333</v>
      </c>
      <c r="M24" s="69">
        <f>IF(AND(ISNUMBER(tblY8[[#This Row],[Mean Stanine]]),ISNUMBER(tblY8[[#This Row],[Avg KS2 Band]]),ISNUMBER(SlopeY8)),tblY8[[#This Row],[Mean Stanine]]-(InterceptY8+SlopeY8*tblY8[[#This Row],[Avg KS2 Band]]),"")</f>
        <v>0.39147440519106</v>
      </c>
      <c r="N24" s="66" t="inlineStr">
        <is>
          <t>A</t>
        </is>
      </c>
      <c r="O24" s="67" t="str">
        <f>IF(ISNUMBER(tblY8[[#This Row],[8C01 - Periodic Table
Raw Score]]),IFERROR(VLOOKUP(ROUND(STANDARDIZE(tblY8[[#This Row],[8C01 - Periodic Table
Raw Score]],AVERAGE(tblY8[[8C01 - Periodic Table
Raw Score]]),_xlfn.STDEV.P(tblY8[[8C01 - Periodic Table
Raw Score]])),9),_Stanine,2),5),"")</f>
        <v/>
      </c>
      <c r="P24" s="66" t="n">
        <v>13</v>
      </c>
      <c r="Q24" s="67">
        <f>IF(ISNUMBER(tblY8[[#This Row],[8P01 - Energy
Raw Score]]),IFERROR(VLOOKUP(ROUND(STANDARDIZE(tblY8[[#This Row],[8P01 - Energy
Raw Score]],AVERAGE(tblY8[[8P01 - Energy
Raw Score]]),_xlfn.STDEV.P(tblY8[[8P01 - Energy
Raw Score]])),9),_Stanine,2),5),"")</f>
        <v>6</v>
      </c>
      <c r="R24" s="66" t="n">
        <v>12</v>
      </c>
      <c r="S24" s="67">
        <f>IF(ISNUMBER(tblY8[[#This Row],[8B01 - Digestion
Raw Score]]),IFERROR(VLOOKUP(ROUND(STANDARDIZE(tblY8[[#This Row],[8B01 - Digestion
Raw Score]],AVERAGE(tblY8[[8B01 - Digestion
Raw Score]]),_xlfn.STDEV.P(tblY8[[8B01 - Digestion
Raw Score]])),9),_Stanine,2),5),"")</f>
        <v>4</v>
      </c>
      <c r="T24" s="66" t="inlineStr">
        <is>
          <t>A</t>
        </is>
      </c>
      <c r="U24" s="67" t="str">
        <f>IF(ISNUMBER(tblY8[[#This Row],[8C02 - Metals and Acids
Raw Score]]),IFERROR(VLOOKUP(ROUND(STANDARDIZE(tblY8[[#This Row],[8C02 - Metals and Acids
Raw Score]],AVERAGE(tblY8[[8C02 - Metals and Acids
Raw Score]]),_xlfn.STDEV.P(tblY8[[8C02 - Metals and Acids
Raw Score]])),9),_Stanine,2),5),"")</f>
        <v/>
      </c>
      <c r="V24" s="66" t="n">
        <v>18</v>
      </c>
      <c r="W24" s="67">
        <f>IF(ISNUMBER(tblY8[[#This Row],[8P02 - Light
Raw Score]]),IFERROR(VLOOKUP(ROUND(STANDARDIZE(tblY8[[#This Row],[8P02 - Light
Raw Score]],AVERAGE(tblY8[[8P02 - Light
Raw Score]]),_xlfn.STDEV.P(tblY8[[8P02 - Light
Raw Score]])),9),_Stanine,2),5),"")</f>
        <v>6</v>
      </c>
    </row>
    <row r="25">
      <c r="A25" s="65" t="inlineStr">
        <is>
          <t>X902547368454</t>
        </is>
      </c>
      <c r="B25" s="65" t="inlineStr">
        <is>
          <t>Ward</t>
        </is>
      </c>
      <c r="C25" s="65" t="inlineStr">
        <is>
          <t>Poppy</t>
        </is>
      </c>
      <c r="D25" s="66" t="inlineStr">
        <is>
          <t>F</t>
        </is>
      </c>
      <c r="E25" s="66" t="n"/>
      <c r="F25" s="66" t="inlineStr">
        <is>
          <t>N</t>
        </is>
      </c>
      <c r="G25" s="34" t="n">
        <v>99</v>
      </c>
      <c r="H25" s="34" t="n">
        <v>110</v>
      </c>
      <c r="I25" s="67">
        <f>IF(ISNUMBER(tblY8[[#This Row],[Avg KS2]]),IFERROR(VLOOKUP(ROUND(STANDARDIZE(tblY8[[#This Row],[Avg KS2]],AVERAGE(tblY8[[Avg KS2]]),_xlfn.STDEV.P(tblY8[[Avg KS2]])),9),_Stanine,2),5),"")</f>
        <v>7</v>
      </c>
      <c r="J25" s="66" t="inlineStr">
        <is>
          <t>8A/Sc1</t>
        </is>
      </c>
      <c r="K25" s="67">
        <f>IF(tblY8[[#This Row],[Preferred Last name]]="","",COUNTIFS($N$1:$ZZ$1,"*"&amp;CHAR(10)&amp;"Stanine",$N25:$ZZ25,"&gt;=1"))</f>
        <v>4</v>
      </c>
      <c r="L25" s="68">
        <f>IFERROR(AVERAGEIF($N$1:$ZZ$1,"*"&amp;CHAR(10)&amp;"Stanine",$N25:$ZZ25),"")</f>
        <v>7.25</v>
      </c>
      <c r="M25" s="69">
        <f>IF(AND(ISNUMBER(tblY8[[#This Row],[Mean Stanine]]),ISNUMBER(tblY8[[#This Row],[Avg KS2 Band]]),ISNUMBER(SlopeY8)),tblY8[[#This Row],[Mean Stanine]]-(InterceptY8+SlopeY8*tblY8[[#This Row],[Avg KS2 Band]]),"")</f>
        <v>0.750318433068975</v>
      </c>
      <c r="N25" s="66" t="inlineStr">
        <is>
          <t>A</t>
        </is>
      </c>
      <c r="O25" s="67" t="str">
        <f>IF(ISNUMBER(tblY8[[#This Row],[8C01 - Periodic Table
Raw Score]]),IFERROR(VLOOKUP(ROUND(STANDARDIZE(tblY8[[#This Row],[8C01 - Periodic Table
Raw Score]],AVERAGE(tblY8[[8C01 - Periodic Table
Raw Score]]),_xlfn.STDEV.P(tblY8[[8C01 - Periodic Table
Raw Score]])),9),_Stanine,2),5),"")</f>
        <v/>
      </c>
      <c r="P25" s="66" t="n">
        <v>20</v>
      </c>
      <c r="Q25" s="67">
        <f>IF(ISNUMBER(tblY8[[#This Row],[8P01 - Energy
Raw Score]]),IFERROR(VLOOKUP(ROUND(STANDARDIZE(tblY8[[#This Row],[8P01 - Energy
Raw Score]],AVERAGE(tblY8[[8P01 - Energy
Raw Score]]),_xlfn.STDEV.P(tblY8[[8P01 - Energy
Raw Score]])),9),_Stanine,2),5),"")</f>
        <v>9</v>
      </c>
      <c r="R25" s="66" t="n">
        <v>18</v>
      </c>
      <c r="S25" s="67">
        <f>IF(ISNUMBER(tblY8[[#This Row],[8B01 - Digestion
Raw Score]]),IFERROR(VLOOKUP(ROUND(STANDARDIZE(tblY8[[#This Row],[8B01 - Digestion
Raw Score]],AVERAGE(tblY8[[8B01 - Digestion
Raw Score]]),_xlfn.STDEV.P(tblY8[[8B01 - Digestion
Raw Score]])),9),_Stanine,2),5),"")</f>
        <v>6</v>
      </c>
      <c r="T25" s="66" t="n">
        <v>16</v>
      </c>
      <c r="U25" s="67">
        <f>IF(ISNUMBER(tblY8[[#This Row],[8C02 - Metals and Acids
Raw Score]]),IFERROR(VLOOKUP(ROUND(STANDARDIZE(tblY8[[#This Row],[8C02 - Metals and Acids
Raw Score]],AVERAGE(tblY8[[8C02 - Metals and Acids
Raw Score]]),_xlfn.STDEV.P(tblY8[[8C02 - Metals and Acids
Raw Score]])),9),_Stanine,2),5),"")</f>
        <v>7</v>
      </c>
      <c r="V25" s="66" t="n">
        <v>19</v>
      </c>
      <c r="W25" s="67">
        <f>IF(ISNUMBER(tblY8[[#This Row],[8P02 - Light
Raw Score]]),IFERROR(VLOOKUP(ROUND(STANDARDIZE(tblY8[[#This Row],[8P02 - Light
Raw Score]],AVERAGE(tblY8[[8P02 - Light
Raw Score]]),_xlfn.STDEV.P(tblY8[[8P02 - Light
Raw Score]])),9),_Stanine,2),5),"")</f>
        <v>7</v>
      </c>
    </row>
    <row r="26">
      <c r="A26" s="65" t="inlineStr">
        <is>
          <t>X905869080032</t>
        </is>
      </c>
      <c r="B26" s="65" t="inlineStr">
        <is>
          <t>White</t>
        </is>
      </c>
      <c r="C26" s="65" t="inlineStr">
        <is>
          <t>Niamh</t>
        </is>
      </c>
      <c r="D26" s="66" t="inlineStr">
        <is>
          <t>M</t>
        </is>
      </c>
      <c r="E26" s="66" t="n"/>
      <c r="F26" s="66" t="inlineStr">
        <is>
          <t>N</t>
        </is>
      </c>
      <c r="G26" s="34" t="n">
        <v>98.7</v>
      </c>
      <c r="H26" s="34" t="n">
        <v>108</v>
      </c>
      <c r="I26" s="67">
        <f>IF(ISNUMBER(tblY8[[#This Row],[Avg KS2]]),IFERROR(VLOOKUP(ROUND(STANDARDIZE(tblY8[[#This Row],[Avg KS2]],AVERAGE(tblY8[[Avg KS2]]),_xlfn.STDEV.P(tblY8[[Avg KS2]])),9),_Stanine,2),5),"")</f>
        <v>6</v>
      </c>
      <c r="J26" s="66" t="inlineStr">
        <is>
          <t>8A/Sc1</t>
        </is>
      </c>
      <c r="K26" s="67">
        <f>IF(tblY8[[#This Row],[Preferred Last name]]="","",COUNTIFS($N$1:$ZZ$1,"*"&amp;CHAR(10)&amp;"Stanine",$N26:$ZZ26,"&gt;=1"))</f>
        <v>3</v>
      </c>
      <c r="L26" s="68">
        <f>IFERROR(AVERAGEIF($N$1:$ZZ$1,"*"&amp;CHAR(10)&amp;"Stanine",$N26:$ZZ26),"")</f>
        <v>8.33333333333333</v>
      </c>
      <c r="M26" s="69">
        <f>IF(AND(ISNUMBER(tblY8[[#This Row],[Mean Stanine]]),ISNUMBER(tblY8[[#This Row],[Avg KS2 Band]]),ISNUMBER(SlopeY8)),tblY8[[#This Row],[Mean Stanine]]-(InterceptY8+SlopeY8*tblY8[[#This Row],[Avg KS2 Band]]),"")</f>
        <v>2.61256308579668</v>
      </c>
      <c r="N26" s="66" t="inlineStr">
        <is>
          <t>A</t>
        </is>
      </c>
      <c r="O26" s="67" t="str">
        <f>IF(ISNUMBER(tblY8[[#This Row],[8C01 - Periodic Table
Raw Score]]),IFERROR(VLOOKUP(ROUND(STANDARDIZE(tblY8[[#This Row],[8C01 - Periodic Table
Raw Score]],AVERAGE(tblY8[[8C01 - Periodic Table
Raw Score]]),_xlfn.STDEV.P(tblY8[[8C01 - Periodic Table
Raw Score]])),9),_Stanine,2),5),"")</f>
        <v/>
      </c>
      <c r="P26" s="66" t="n">
        <v>18</v>
      </c>
      <c r="Q26" s="67">
        <f>IF(ISNUMBER(tblY8[[#This Row],[8P01 - Energy
Raw Score]]),IFERROR(VLOOKUP(ROUND(STANDARDIZE(tblY8[[#This Row],[8P01 - Energy
Raw Score]],AVERAGE(tblY8[[8P01 - Energy
Raw Score]]),_xlfn.STDEV.P(tblY8[[8P01 - Energy
Raw Score]])),9),_Stanine,2),5),"")</f>
        <v>8</v>
      </c>
      <c r="R26" s="66" t="n">
        <v>26</v>
      </c>
      <c r="S26" s="67">
        <f>IF(ISNUMBER(tblY8[[#This Row],[8B01 - Digestion
Raw Score]]),IFERROR(VLOOKUP(ROUND(STANDARDIZE(tblY8[[#This Row],[8B01 - Digestion
Raw Score]],AVERAGE(tblY8[[8B01 - Digestion
Raw Score]]),_xlfn.STDEV.P(tblY8[[8B01 - Digestion
Raw Score]])),9),_Stanine,2),5),"")</f>
        <v>9</v>
      </c>
      <c r="T26" s="66" t="inlineStr">
        <is>
          <t>A</t>
        </is>
      </c>
      <c r="U26" s="67" t="str">
        <f>IF(ISNUMBER(tblY8[[#This Row],[8C02 - Metals and Acids
Raw Score]]),IFERROR(VLOOKUP(ROUND(STANDARDIZE(tblY8[[#This Row],[8C02 - Metals and Acids
Raw Score]],AVERAGE(tblY8[[8C02 - Metals and Acids
Raw Score]]),_xlfn.STDEV.P(tblY8[[8C02 - Metals and Acids
Raw Score]])),9),_Stanine,2),5),"")</f>
        <v/>
      </c>
      <c r="V26" s="66" t="n">
        <v>21</v>
      </c>
      <c r="W26" s="67">
        <f>IF(ISNUMBER(tblY8[[#This Row],[8P02 - Light
Raw Score]]),IFERROR(VLOOKUP(ROUND(STANDARDIZE(tblY8[[#This Row],[8P02 - Light
Raw Score]],AVERAGE(tblY8[[8P02 - Light
Raw Score]]),_xlfn.STDEV.P(tblY8[[8P02 - Light
Raw Score]])),9),_Stanine,2),5),"")</f>
        <v>8</v>
      </c>
    </row>
    <row r="27">
      <c r="A27" s="65" t="inlineStr">
        <is>
          <t>X901480356570</t>
        </is>
      </c>
      <c r="B27" s="65" t="inlineStr">
        <is>
          <t>Williams</t>
        </is>
      </c>
      <c r="C27" s="65" t="inlineStr">
        <is>
          <t>Dylan</t>
        </is>
      </c>
      <c r="D27" s="66" t="inlineStr">
        <is>
          <t>F</t>
        </is>
      </c>
      <c r="E27" s="66" t="inlineStr">
        <is>
          <t>N</t>
        </is>
      </c>
      <c r="F27" s="66" t="inlineStr">
        <is>
          <t>N</t>
        </is>
      </c>
      <c r="G27" s="34" t="n">
        <v>78.8</v>
      </c>
      <c r="H27" s="34" t="n">
        <v>101.5</v>
      </c>
      <c r="I27" s="67">
        <f>IF(ISNUMBER(tblY8[[#This Row],[Avg KS2]]),IFERROR(VLOOKUP(ROUND(STANDARDIZE(tblY8[[#This Row],[Avg KS2]],AVERAGE(tblY8[[Avg KS2]]),_xlfn.STDEV.P(tblY8[[Avg KS2]])),9),_Stanine,2),5),"")</f>
        <v>4</v>
      </c>
      <c r="J27" s="66" t="inlineStr">
        <is>
          <t>8A/Sc1</t>
        </is>
      </c>
      <c r="K27" s="67">
        <f>IF(tblY8[[#This Row],[Preferred Last name]]="","",COUNTIFS($N$1:$ZZ$1,"*"&amp;CHAR(10)&amp;"Stanine",$N27:$ZZ27,"&gt;=1"))</f>
        <v>5</v>
      </c>
      <c r="L27" s="68">
        <f>IFERROR(AVERAGEIF($N$1:$ZZ$1,"*"&amp;CHAR(10)&amp;"Stanine",$N27:$ZZ27),"")</f>
        <v>5</v>
      </c>
      <c r="M27" s="69">
        <f>IF(AND(ISNUMBER(tblY8[[#This Row],[Mean Stanine]]),ISNUMBER(tblY8[[#This Row],[Avg KS2 Band]]),ISNUMBER(SlopeY8)),tblY8[[#This Row],[Mean Stanine]]-(InterceptY8+SlopeY8*tblY8[[#This Row],[Avg KS2 Band]]),"")</f>
        <v>0.837052391252103</v>
      </c>
      <c r="N27" s="66" t="n">
        <v>22</v>
      </c>
      <c r="O27" s="67">
        <f>IF(ISNUMBER(tblY8[[#This Row],[8C01 - Periodic Table
Raw Score]]),IFERROR(VLOOKUP(ROUND(STANDARDIZE(tblY8[[#This Row],[8C01 - Periodic Table
Raw Score]],AVERAGE(tblY8[[8C01 - Periodic Table
Raw Score]]),_xlfn.STDEV.P(tblY8[[8C01 - Periodic Table
Raw Score]])),9),_Stanine,2),5),"")</f>
        <v>6</v>
      </c>
      <c r="P27" s="66" t="n">
        <v>9</v>
      </c>
      <c r="Q27" s="67">
        <f>IF(ISNUMBER(tblY8[[#This Row],[8P01 - Energy
Raw Score]]),IFERROR(VLOOKUP(ROUND(STANDARDIZE(tblY8[[#This Row],[8P01 - Energy
Raw Score]],AVERAGE(tblY8[[8P01 - Energy
Raw Score]]),_xlfn.STDEV.P(tblY8[[8P01 - Energy
Raw Score]])),9),_Stanine,2),5),"")</f>
        <v>4</v>
      </c>
      <c r="R27" s="66" t="n">
        <v>16</v>
      </c>
      <c r="S27" s="67">
        <f>IF(ISNUMBER(tblY8[[#This Row],[8B01 - Digestion
Raw Score]]),IFERROR(VLOOKUP(ROUND(STANDARDIZE(tblY8[[#This Row],[8B01 - Digestion
Raw Score]],AVERAGE(tblY8[[8B01 - Digestion
Raw Score]]),_xlfn.STDEV.P(tblY8[[8B01 - Digestion
Raw Score]])),9),_Stanine,2),5),"")</f>
        <v>6</v>
      </c>
      <c r="T27" s="66" t="n">
        <v>11</v>
      </c>
      <c r="U27" s="67">
        <f>IF(ISNUMBER(tblY8[[#This Row],[8C02 - Metals and Acids
Raw Score]]),IFERROR(VLOOKUP(ROUND(STANDARDIZE(tblY8[[#This Row],[8C02 - Metals and Acids
Raw Score]],AVERAGE(tblY8[[8C02 - Metals and Acids
Raw Score]]),_xlfn.STDEV.P(tblY8[[8C02 - Metals and Acids
Raw Score]])),9),_Stanine,2),5),"")</f>
        <v>5</v>
      </c>
      <c r="V27" s="66" t="n">
        <v>14</v>
      </c>
      <c r="W27" s="67">
        <f>IF(ISNUMBER(tblY8[[#This Row],[8P02 - Light
Raw Score]]),IFERROR(VLOOKUP(ROUND(STANDARDIZE(tblY8[[#This Row],[8P02 - Light
Raw Score]],AVERAGE(tblY8[[8P02 - Light
Raw Score]]),_xlfn.STDEV.P(tblY8[[8P02 - Light
Raw Score]])),9),_Stanine,2),5),"")</f>
        <v>4</v>
      </c>
    </row>
    <row r="28">
      <c r="A28" s="65" t="inlineStr">
        <is>
          <t>X900661281452</t>
        </is>
      </c>
      <c r="B28" s="65" t="inlineStr">
        <is>
          <t>Williams</t>
        </is>
      </c>
      <c r="C28" s="65" t="inlineStr">
        <is>
          <t>Noah</t>
        </is>
      </c>
      <c r="D28" s="66" t="inlineStr">
        <is>
          <t>F</t>
        </is>
      </c>
      <c r="E28" s="66" t="inlineStr">
        <is>
          <t>N</t>
        </is>
      </c>
      <c r="F28" s="66" t="inlineStr">
        <is>
          <t>N</t>
        </is>
      </c>
      <c r="G28" s="34" t="n">
        <v>90.8</v>
      </c>
      <c r="H28" s="34" t="n">
        <v>103</v>
      </c>
      <c r="I28" s="67">
        <f>IF(ISNUMBER(tblY8[[#This Row],[Avg KS2]]),IFERROR(VLOOKUP(ROUND(STANDARDIZE(tblY8[[#This Row],[Avg KS2]],AVERAGE(tblY8[[Avg KS2]]),_xlfn.STDEV.P(tblY8[[Avg KS2]])),9),_Stanine,2),5),"")</f>
        <v>4</v>
      </c>
      <c r="J28" s="66" t="inlineStr">
        <is>
          <t>8A/Sc1</t>
        </is>
      </c>
      <c r="K28" s="67">
        <f>IF(tblY8[[#This Row],[Preferred Last name]]="","",COUNTIFS($N$1:$ZZ$1,"*"&amp;CHAR(10)&amp;"Stanine",$N28:$ZZ28,"&gt;=1"))</f>
        <v>5</v>
      </c>
      <c r="L28" s="68">
        <f>IFERROR(AVERAGEIF($N$1:$ZZ$1,"*"&amp;CHAR(10)&amp;"Stanine",$N28:$ZZ28),"")</f>
        <v>4.4</v>
      </c>
      <c r="M28" s="69">
        <f>IF(AND(ISNUMBER(tblY8[[#This Row],[Mean Stanine]]),ISNUMBER(tblY8[[#This Row],[Avg KS2 Band]]),ISNUMBER(SlopeY8)),tblY8[[#This Row],[Mean Stanine]]-(InterceptY8+SlopeY8*tblY8[[#This Row],[Avg KS2 Band]]),"")</f>
        <v>0.237052391252103</v>
      </c>
      <c r="N28" s="66" t="n">
        <v>15</v>
      </c>
      <c r="O28" s="67">
        <f>IF(ISNUMBER(tblY8[[#This Row],[8C01 - Periodic Table
Raw Score]]),IFERROR(VLOOKUP(ROUND(STANDARDIZE(tblY8[[#This Row],[8C01 - Periodic Table
Raw Score]],AVERAGE(tblY8[[8C01 - Periodic Table
Raw Score]]),_xlfn.STDEV.P(tblY8[[8C01 - Periodic Table
Raw Score]])),9),_Stanine,2),5),"")</f>
        <v>4</v>
      </c>
      <c r="P28" s="66" t="n">
        <v>7</v>
      </c>
      <c r="Q28" s="67">
        <f>IF(ISNUMBER(tblY8[[#This Row],[8P01 - Energy
Raw Score]]),IFERROR(VLOOKUP(ROUND(STANDARDIZE(tblY8[[#This Row],[8P01 - Energy
Raw Score]],AVERAGE(tblY8[[8P01 - Energy
Raw Score]]),_xlfn.STDEV.P(tblY8[[8P01 - Energy
Raw Score]])),9),_Stanine,2),5),"")</f>
        <v>4</v>
      </c>
      <c r="R28" s="66" t="n">
        <v>15</v>
      </c>
      <c r="S28" s="67">
        <f>IF(ISNUMBER(tblY8[[#This Row],[8B01 - Digestion
Raw Score]]),IFERROR(VLOOKUP(ROUND(STANDARDIZE(tblY8[[#This Row],[8B01 - Digestion
Raw Score]],AVERAGE(tblY8[[8B01 - Digestion
Raw Score]]),_xlfn.STDEV.P(tblY8[[8B01 - Digestion
Raw Score]])),9),_Stanine,2),5),"")</f>
        <v>5</v>
      </c>
      <c r="T28" s="66" t="n">
        <v>12</v>
      </c>
      <c r="U28" s="67">
        <f>IF(ISNUMBER(tblY8[[#This Row],[8C02 - Metals and Acids
Raw Score]]),IFERROR(VLOOKUP(ROUND(STANDARDIZE(tblY8[[#This Row],[8C02 - Metals and Acids
Raw Score]],AVERAGE(tblY8[[8C02 - Metals and Acids
Raw Score]]),_xlfn.STDEV.P(tblY8[[8C02 - Metals and Acids
Raw Score]])),9),_Stanine,2),5),"")</f>
        <v>5</v>
      </c>
      <c r="V28" s="66" t="n">
        <v>14</v>
      </c>
      <c r="W28" s="67">
        <f>IF(ISNUMBER(tblY8[[#This Row],[8P02 - Light
Raw Score]]),IFERROR(VLOOKUP(ROUND(STANDARDIZE(tblY8[[#This Row],[8P02 - Light
Raw Score]],AVERAGE(tblY8[[8P02 - Light
Raw Score]]),_xlfn.STDEV.P(tblY8[[8P02 - Light
Raw Score]])),9),_Stanine,2),5),"")</f>
        <v>4</v>
      </c>
    </row>
    <row r="29">
      <c r="A29" s="65" t="inlineStr">
        <is>
          <t>X909501948450</t>
        </is>
      </c>
      <c r="B29" s="65" t="inlineStr">
        <is>
          <t>Wilson</t>
        </is>
      </c>
      <c r="C29" s="65" t="inlineStr">
        <is>
          <t>Ella</t>
        </is>
      </c>
      <c r="D29" s="66" t="inlineStr">
        <is>
          <t>M</t>
        </is>
      </c>
      <c r="E29" s="66" t="inlineStr">
        <is>
          <t>K</t>
        </is>
      </c>
      <c r="F29" s="66" t="inlineStr">
        <is>
          <t>Y</t>
        </is>
      </c>
      <c r="G29" s="34" t="n">
        <v>100</v>
      </c>
      <c r="H29" s="34" t="n">
        <v>100</v>
      </c>
      <c r="I29" s="67">
        <f>IF(ISNUMBER(tblY8[[#This Row],[Avg KS2]]),IFERROR(VLOOKUP(ROUND(STANDARDIZE(tblY8[[#This Row],[Avg KS2]],AVERAGE(tblY8[[Avg KS2]]),_xlfn.STDEV.P(tblY8[[Avg KS2]])),9),_Stanine,2),5),"")</f>
        <v>3</v>
      </c>
      <c r="J29" s="66" t="inlineStr">
        <is>
          <t>8A/Sc1</t>
        </is>
      </c>
      <c r="K29" s="67">
        <f>IF(tblY8[[#This Row],[Preferred Last name]]="","",COUNTIFS($N$1:$ZZ$1,"*"&amp;CHAR(10)&amp;"Stanine",$N29:$ZZ29,"&gt;=1"))</f>
        <v>4</v>
      </c>
      <c r="L29" s="68">
        <f>IFERROR(AVERAGEIF($N$1:$ZZ$1,"*"&amp;CHAR(10)&amp;"Stanine",$N29:$ZZ29),"")</f>
        <v>4.25</v>
      </c>
      <c r="M29" s="69">
        <f>IF(AND(ISNUMBER(tblY8[[#This Row],[Mean Stanine]]),ISNUMBER(tblY8[[#This Row],[Avg KS2 Band]]),ISNUMBER(SlopeY8)),tblY8[[#This Row],[Mean Stanine]]-(InterceptY8+SlopeY8*tblY8[[#This Row],[Avg KS2 Band]]),"")</f>
        <v>0.865963710646479</v>
      </c>
      <c r="N29" s="66" t="inlineStr">
        <is>
          <t>A</t>
        </is>
      </c>
      <c r="O29" s="67" t="str">
        <f>IF(ISNUMBER(tblY8[[#This Row],[8C01 - Periodic Table
Raw Score]]),IFERROR(VLOOKUP(ROUND(STANDARDIZE(tblY8[[#This Row],[8C01 - Periodic Table
Raw Score]],AVERAGE(tblY8[[8C01 - Periodic Table
Raw Score]]),_xlfn.STDEV.P(tblY8[[8C01 - Periodic Table
Raw Score]])),9),_Stanine,2),5),"")</f>
        <v/>
      </c>
      <c r="P29" s="66" t="n">
        <v>7</v>
      </c>
      <c r="Q29" s="67">
        <f>IF(ISNUMBER(tblY8[[#This Row],[8P01 - Energy
Raw Score]]),IFERROR(VLOOKUP(ROUND(STANDARDIZE(tblY8[[#This Row],[8P01 - Energy
Raw Score]],AVERAGE(tblY8[[8P01 - Energy
Raw Score]]),_xlfn.STDEV.P(tblY8[[8P01 - Energy
Raw Score]])),9),_Stanine,2),5),"")</f>
        <v>4</v>
      </c>
      <c r="R29" s="66" t="n">
        <v>11</v>
      </c>
      <c r="S29" s="67">
        <f>IF(ISNUMBER(tblY8[[#This Row],[8B01 - Digestion
Raw Score]]),IFERROR(VLOOKUP(ROUND(STANDARDIZE(tblY8[[#This Row],[8B01 - Digestion
Raw Score]],AVERAGE(tblY8[[8B01 - Digestion
Raw Score]]),_xlfn.STDEV.P(tblY8[[8B01 - Digestion
Raw Score]])),9),_Stanine,2),5),"")</f>
        <v>4</v>
      </c>
      <c r="T29" s="66" t="n">
        <v>9</v>
      </c>
      <c r="U29" s="67">
        <f>IF(ISNUMBER(tblY8[[#This Row],[8C02 - Metals and Acids
Raw Score]]),IFERROR(VLOOKUP(ROUND(STANDARDIZE(tblY8[[#This Row],[8C02 - Metals and Acids
Raw Score]],AVERAGE(tblY8[[8C02 - Metals and Acids
Raw Score]]),_xlfn.STDEV.P(tblY8[[8C02 - Metals and Acids
Raw Score]])),9),_Stanine,2),5),"")</f>
        <v>4</v>
      </c>
      <c r="V29" s="66" t="n">
        <v>16</v>
      </c>
      <c r="W29" s="67">
        <f>IF(ISNUMBER(tblY8[[#This Row],[8P02 - Light
Raw Score]]),IFERROR(VLOOKUP(ROUND(STANDARDIZE(tblY8[[#This Row],[8P02 - Light
Raw Score]],AVERAGE(tblY8[[8P02 - Light
Raw Score]]),_xlfn.STDEV.P(tblY8[[8P02 - Light
Raw Score]])),9),_Stanine,2),5),"")</f>
        <v>5</v>
      </c>
    </row>
    <row r="30">
      <c r="A30" s="65" t="inlineStr">
        <is>
          <t>X901970444227</t>
        </is>
      </c>
      <c r="B30" s="65" t="inlineStr">
        <is>
          <t>Begum</t>
        </is>
      </c>
      <c r="C30" s="65" t="inlineStr">
        <is>
          <t>Callum</t>
        </is>
      </c>
      <c r="D30" s="66" t="inlineStr">
        <is>
          <t>M</t>
        </is>
      </c>
      <c r="E30" s="66" t="inlineStr">
        <is>
          <t>N</t>
        </is>
      </c>
      <c r="F30" s="66" t="inlineStr">
        <is>
          <t>Y</t>
        </is>
      </c>
      <c r="G30" s="34" t="n">
        <v>93</v>
      </c>
      <c r="H30" s="34" t="n">
        <v>104.5</v>
      </c>
      <c r="I30" s="67">
        <f>IF(ISNUMBER(tblY8[[#This Row],[Avg KS2]]),IFERROR(VLOOKUP(ROUND(STANDARDIZE(tblY8[[#This Row],[Avg KS2]],AVERAGE(tblY8[[Avg KS2]]),_xlfn.STDEV.P(tblY8[[Avg KS2]])),9),_Stanine,2),5),"")</f>
        <v>5</v>
      </c>
      <c r="J30" s="66" t="inlineStr">
        <is>
          <t>8A/Sc2</t>
        </is>
      </c>
      <c r="K30" s="67">
        <f>IF(tblY8[[#This Row],[Preferred Last name]]="","",COUNTIFS($N$1:$ZZ$1,"*"&amp;CHAR(10)&amp;"Stanine",$N30:$ZZ30,"&gt;=1"))</f>
        <v>4</v>
      </c>
      <c r="L30" s="68">
        <f>IFERROR(AVERAGEIF($N$1:$ZZ$1,"*"&amp;CHAR(10)&amp;"Stanine",$N30:$ZZ30),"")</f>
        <v>4</v>
      </c>
      <c r="M30" s="69">
        <f>IF(AND(ISNUMBER(tblY8[[#This Row],[Mean Stanine]]),ISNUMBER(tblY8[[#This Row],[Avg KS2 Band]]),ISNUMBER(SlopeY8)),tblY8[[#This Row],[Mean Stanine]]-(InterceptY8+SlopeY8*tblY8[[#This Row],[Avg KS2 Band]]),"")</f>
        <v>-0.941858928142273</v>
      </c>
      <c r="N30" s="66" t="n">
        <v>10</v>
      </c>
      <c r="O30" s="67">
        <f>IF(ISNUMBER(tblY8[[#This Row],[8C01 - Periodic Table
Raw Score]]),IFERROR(VLOOKUP(ROUND(STANDARDIZE(tblY8[[#This Row],[8C01 - Periodic Table
Raw Score]],AVERAGE(tblY8[[8C01 - Periodic Table
Raw Score]]),_xlfn.STDEV.P(tblY8[[8C01 - Periodic Table
Raw Score]])),9),_Stanine,2),5),"")</f>
        <v>2</v>
      </c>
      <c r="P30" s="66" t="inlineStr">
        <is>
          <t>A</t>
        </is>
      </c>
      <c r="Q30" s="67" t="str">
        <f>IF(ISNUMBER(tblY8[[#This Row],[8P01 - Energy
Raw Score]]),IFERROR(VLOOKUP(ROUND(STANDARDIZE(tblY8[[#This Row],[8P01 - Energy
Raw Score]],AVERAGE(tblY8[[8P01 - Energy
Raw Score]]),_xlfn.STDEV.P(tblY8[[8P01 - Energy
Raw Score]])),9),_Stanine,2),5),"")</f>
        <v/>
      </c>
      <c r="R30" s="66" t="n">
        <v>10</v>
      </c>
      <c r="S30" s="67">
        <f>IF(ISNUMBER(tblY8[[#This Row],[8B01 - Digestion
Raw Score]]),IFERROR(VLOOKUP(ROUND(STANDARDIZE(tblY8[[#This Row],[8B01 - Digestion
Raw Score]],AVERAGE(tblY8[[8B01 - Digestion
Raw Score]]),_xlfn.STDEV.P(tblY8[[8B01 - Digestion
Raw Score]])),9),_Stanine,2),5),"")</f>
        <v>4</v>
      </c>
      <c r="T30" s="66" t="n">
        <v>13</v>
      </c>
      <c r="U30" s="67">
        <f>IF(ISNUMBER(tblY8[[#This Row],[8C02 - Metals and Acids
Raw Score]]),IFERROR(VLOOKUP(ROUND(STANDARDIZE(tblY8[[#This Row],[8C02 - Metals and Acids
Raw Score]],AVERAGE(tblY8[[8C02 - Metals and Acids
Raw Score]]),_xlfn.STDEV.P(tblY8[[8C02 - Metals and Acids
Raw Score]])),9),_Stanine,2),5),"")</f>
        <v>6</v>
      </c>
      <c r="V30" s="66" t="n">
        <v>13</v>
      </c>
      <c r="W30" s="67">
        <f>IF(ISNUMBER(tblY8[[#This Row],[8P02 - Light
Raw Score]]),IFERROR(VLOOKUP(ROUND(STANDARDIZE(tblY8[[#This Row],[8P02 - Light
Raw Score]],AVERAGE(tblY8[[8P02 - Light
Raw Score]]),_xlfn.STDEV.P(tblY8[[8P02 - Light
Raw Score]])),9),_Stanine,2),5),"")</f>
        <v>4</v>
      </c>
    </row>
    <row r="31">
      <c r="A31" s="65" t="inlineStr">
        <is>
          <t>X908821102118</t>
        </is>
      </c>
      <c r="B31" s="65" t="inlineStr">
        <is>
          <t>Clarke</t>
        </is>
      </c>
      <c r="C31" s="65" t="inlineStr">
        <is>
          <t>Maya</t>
        </is>
      </c>
      <c r="D31" s="66" t="inlineStr">
        <is>
          <t>F</t>
        </is>
      </c>
      <c r="E31" s="66" t="inlineStr">
        <is>
          <t>K</t>
        </is>
      </c>
      <c r="F31" s="66" t="inlineStr">
        <is>
          <t>Y</t>
        </is>
      </c>
      <c r="G31" s="34" t="n">
        <v>91.8</v>
      </c>
      <c r="H31" s="34" t="n">
        <v>110</v>
      </c>
      <c r="I31" s="67">
        <f>IF(ISNUMBER(tblY8[[#This Row],[Avg KS2]]),IFERROR(VLOOKUP(ROUND(STANDARDIZE(tblY8[[#This Row],[Avg KS2]],AVERAGE(tblY8[[Avg KS2]]),_xlfn.STDEV.P(tblY8[[Avg KS2]])),9),_Stanine,2),5),"")</f>
        <v>7</v>
      </c>
      <c r="J31" s="66" t="inlineStr">
        <is>
          <t>8A/Sc2</t>
        </is>
      </c>
      <c r="K31" s="67">
        <f>IF(tblY8[[#This Row],[Preferred Last name]]="","",COUNTIFS($N$1:$ZZ$1,"*"&amp;CHAR(10)&amp;"Stanine",$N31:$ZZ31,"&gt;=1"))</f>
        <v>4</v>
      </c>
      <c r="L31" s="68">
        <f>IFERROR(AVERAGEIF($N$1:$ZZ$1,"*"&amp;CHAR(10)&amp;"Stanine",$N31:$ZZ31),"")</f>
        <v>6</v>
      </c>
      <c r="M31" s="69">
        <f>IF(AND(ISNUMBER(tblY8[[#This Row],[Mean Stanine]]),ISNUMBER(tblY8[[#This Row],[Avg KS2 Band]]),ISNUMBER(SlopeY8)),tblY8[[#This Row],[Mean Stanine]]-(InterceptY8+SlopeY8*tblY8[[#This Row],[Avg KS2 Band]]),"")</f>
        <v>-0.499681566931026</v>
      </c>
      <c r="N31" s="66" t="inlineStr">
        <is>
          <t>A</t>
        </is>
      </c>
      <c r="O31" s="67" t="str">
        <f>IF(ISNUMBER(tblY8[[#This Row],[8C01 - Periodic Table
Raw Score]]),IFERROR(VLOOKUP(ROUND(STANDARDIZE(tblY8[[#This Row],[8C01 - Periodic Table
Raw Score]],AVERAGE(tblY8[[8C01 - Periodic Table
Raw Score]]),_xlfn.STDEV.P(tblY8[[8C01 - Periodic Table
Raw Score]])),9),_Stanine,2),5),"")</f>
        <v/>
      </c>
      <c r="P31" s="66" t="n">
        <v>14</v>
      </c>
      <c r="Q31" s="67">
        <f>IF(ISNUMBER(tblY8[[#This Row],[8P01 - Energy
Raw Score]]),IFERROR(VLOOKUP(ROUND(STANDARDIZE(tblY8[[#This Row],[8P01 - Energy
Raw Score]],AVERAGE(tblY8[[8P01 - Energy
Raw Score]]),_xlfn.STDEV.P(tblY8[[8P01 - Energy
Raw Score]])),9),_Stanine,2),5),"")</f>
        <v>6</v>
      </c>
      <c r="R31" s="66" t="n">
        <v>19</v>
      </c>
      <c r="S31" s="67">
        <f>IF(ISNUMBER(tblY8[[#This Row],[8B01 - Digestion
Raw Score]]),IFERROR(VLOOKUP(ROUND(STANDARDIZE(tblY8[[#This Row],[8B01 - Digestion
Raw Score]],AVERAGE(tblY8[[8B01 - Digestion
Raw Score]]),_xlfn.STDEV.P(tblY8[[8B01 - Digestion
Raw Score]])),9),_Stanine,2),5),"")</f>
        <v>7</v>
      </c>
      <c r="T31" s="66" t="n">
        <v>10</v>
      </c>
      <c r="U31" s="67">
        <f>IF(ISNUMBER(tblY8[[#This Row],[8C02 - Metals and Acids
Raw Score]]),IFERROR(VLOOKUP(ROUND(STANDARDIZE(tblY8[[#This Row],[8C02 - Metals and Acids
Raw Score]],AVERAGE(tblY8[[8C02 - Metals and Acids
Raw Score]]),_xlfn.STDEV.P(tblY8[[8C02 - Metals and Acids
Raw Score]])),9),_Stanine,2),5),"")</f>
        <v>4</v>
      </c>
      <c r="V31" s="66" t="n">
        <v>20</v>
      </c>
      <c r="W31" s="67">
        <f>IF(ISNUMBER(tblY8[[#This Row],[8P02 - Light
Raw Score]]),IFERROR(VLOOKUP(ROUND(STANDARDIZE(tblY8[[#This Row],[8P02 - Light
Raw Score]],AVERAGE(tblY8[[8P02 - Light
Raw Score]]),_xlfn.STDEV.P(tblY8[[8P02 - Light
Raw Score]])),9),_Stanine,2),5),"")</f>
        <v>7</v>
      </c>
    </row>
    <row r="32">
      <c r="A32" s="65" t="inlineStr">
        <is>
          <t>X900544089078</t>
        </is>
      </c>
      <c r="B32" s="65" t="inlineStr">
        <is>
          <t>Cooper</t>
        </is>
      </c>
      <c r="C32" s="65" t="inlineStr">
        <is>
          <t>Ethan</t>
        </is>
      </c>
      <c r="D32" s="66" t="inlineStr">
        <is>
          <t>M</t>
        </is>
      </c>
      <c r="E32" s="66" t="inlineStr">
        <is>
          <t>K</t>
        </is>
      </c>
      <c r="F32" s="66" t="inlineStr">
        <is>
          <t>N</t>
        </is>
      </c>
      <c r="G32" s="34" t="n">
        <v>91.3</v>
      </c>
      <c r="H32" s="34" t="n">
        <v>106</v>
      </c>
      <c r="I32" s="67">
        <f>IF(ISNUMBER(tblY8[[#This Row],[Avg KS2]]),IFERROR(VLOOKUP(ROUND(STANDARDIZE(tblY8[[#This Row],[Avg KS2]],AVERAGE(tblY8[[Avg KS2]]),_xlfn.STDEV.P(tblY8[[Avg KS2]])),9),_Stanine,2),5),"")</f>
        <v>5</v>
      </c>
      <c r="J32" s="66" t="inlineStr">
        <is>
          <t>8A/Sc2</t>
        </is>
      </c>
      <c r="K32" s="67">
        <f>IF(tblY8[[#This Row],[Preferred Last name]]="","",COUNTIFS($N$1:$ZZ$1,"*"&amp;CHAR(10)&amp;"Stanine",$N32:$ZZ32,"&gt;=1"))</f>
        <v>5</v>
      </c>
      <c r="L32" s="68">
        <f>IFERROR(AVERAGEIF($N$1:$ZZ$1,"*"&amp;CHAR(10)&amp;"Stanine",$N32:$ZZ32),"")</f>
        <v>5.6</v>
      </c>
      <c r="M32" s="69">
        <f>IF(AND(ISNUMBER(tblY8[[#This Row],[Mean Stanine]]),ISNUMBER(tblY8[[#This Row],[Avg KS2 Band]]),ISNUMBER(SlopeY8)),tblY8[[#This Row],[Mean Stanine]]-(InterceptY8+SlopeY8*tblY8[[#This Row],[Avg KS2 Band]]),"")</f>
        <v>0.658141071857727</v>
      </c>
      <c r="N32" s="66" t="n">
        <v>22</v>
      </c>
      <c r="O32" s="67">
        <f>IF(ISNUMBER(tblY8[[#This Row],[8C01 - Periodic Table
Raw Score]]),IFERROR(VLOOKUP(ROUND(STANDARDIZE(tblY8[[#This Row],[8C01 - Periodic Table
Raw Score]],AVERAGE(tblY8[[8C01 - Periodic Table
Raw Score]]),_xlfn.STDEV.P(tblY8[[8C01 - Periodic Table
Raw Score]])),9),_Stanine,2),5),"")</f>
        <v>6</v>
      </c>
      <c r="P32" s="66" t="n">
        <v>14</v>
      </c>
      <c r="Q32" s="67">
        <f>IF(ISNUMBER(tblY8[[#This Row],[8P01 - Energy
Raw Score]]),IFERROR(VLOOKUP(ROUND(STANDARDIZE(tblY8[[#This Row],[8P01 - Energy
Raw Score]],AVERAGE(tblY8[[8P01 - Energy
Raw Score]]),_xlfn.STDEV.P(tblY8[[8P01 - Energy
Raw Score]])),9),_Stanine,2),5),"")</f>
        <v>6</v>
      </c>
      <c r="R32" s="66" t="n">
        <v>16</v>
      </c>
      <c r="S32" s="67">
        <f>IF(ISNUMBER(tblY8[[#This Row],[8B01 - Digestion
Raw Score]]),IFERROR(VLOOKUP(ROUND(STANDARDIZE(tblY8[[#This Row],[8B01 - Digestion
Raw Score]],AVERAGE(tblY8[[8B01 - Digestion
Raw Score]]),_xlfn.STDEV.P(tblY8[[8B01 - Digestion
Raw Score]])),9),_Stanine,2),5),"")</f>
        <v>6</v>
      </c>
      <c r="T32" s="66" t="n">
        <v>12</v>
      </c>
      <c r="U32" s="67">
        <f>IF(ISNUMBER(tblY8[[#This Row],[8C02 - Metals and Acids
Raw Score]]),IFERROR(VLOOKUP(ROUND(STANDARDIZE(tblY8[[#This Row],[8C02 - Metals and Acids
Raw Score]],AVERAGE(tblY8[[8C02 - Metals and Acids
Raw Score]]),_xlfn.STDEV.P(tblY8[[8C02 - Metals and Acids
Raw Score]])),9),_Stanine,2),5),"")</f>
        <v>5</v>
      </c>
      <c r="V32" s="66" t="n">
        <v>16</v>
      </c>
      <c r="W32" s="67">
        <f>IF(ISNUMBER(tblY8[[#This Row],[8P02 - Light
Raw Score]]),IFERROR(VLOOKUP(ROUND(STANDARDIZE(tblY8[[#This Row],[8P02 - Light
Raw Score]],AVERAGE(tblY8[[8P02 - Light
Raw Score]]),_xlfn.STDEV.P(tblY8[[8P02 - Light
Raw Score]])),9),_Stanine,2),5),"")</f>
        <v>5</v>
      </c>
    </row>
    <row r="33">
      <c r="A33" s="65" t="inlineStr">
        <is>
          <t>X903941689298</t>
        </is>
      </c>
      <c r="B33" s="65" t="inlineStr">
        <is>
          <t>Davies</t>
        </is>
      </c>
      <c r="C33" s="65" t="inlineStr">
        <is>
          <t>Arjun</t>
        </is>
      </c>
      <c r="D33" s="66" t="inlineStr">
        <is>
          <t>F</t>
        </is>
      </c>
      <c r="E33" s="66" t="inlineStr">
        <is>
          <t>N</t>
        </is>
      </c>
      <c r="F33" s="66" t="inlineStr">
        <is>
          <t>Y</t>
        </is>
      </c>
      <c r="G33" s="34" t="n">
        <v>86.3</v>
      </c>
      <c r="H33" s="34" t="n">
        <v>102</v>
      </c>
      <c r="I33" s="67">
        <f>IF(ISNUMBER(tblY8[[#This Row],[Avg KS2]]),IFERROR(VLOOKUP(ROUND(STANDARDIZE(tblY8[[#This Row],[Avg KS2]],AVERAGE(tblY8[[Avg KS2]]),_xlfn.STDEV.P(tblY8[[Avg KS2]])),9),_Stanine,2),5),"")</f>
        <v>4</v>
      </c>
      <c r="J33" s="66" t="inlineStr">
        <is>
          <t>8A/Sc2</t>
        </is>
      </c>
      <c r="K33" s="67">
        <f>IF(tblY8[[#This Row],[Preferred Last name]]="","",COUNTIFS($N$1:$ZZ$1,"*"&amp;CHAR(10)&amp;"Stanine",$N33:$ZZ33,"&gt;=1"))</f>
        <v>5</v>
      </c>
      <c r="L33" s="68">
        <f>IFERROR(AVERAGEIF($N$1:$ZZ$1,"*"&amp;CHAR(10)&amp;"Stanine",$N33:$ZZ33),"")</f>
        <v>4.8</v>
      </c>
      <c r="M33" s="69">
        <f>IF(AND(ISNUMBER(tblY8[[#This Row],[Mean Stanine]]),ISNUMBER(tblY8[[#This Row],[Avg KS2 Band]]),ISNUMBER(SlopeY8)),tblY8[[#This Row],[Mean Stanine]]-(InterceptY8+SlopeY8*tblY8[[#This Row],[Avg KS2 Band]]),"")</f>
        <v>0.637052391252102</v>
      </c>
      <c r="N33" s="66" t="n">
        <v>17</v>
      </c>
      <c r="O33" s="67">
        <f>IF(ISNUMBER(tblY8[[#This Row],[8C01 - Periodic Table
Raw Score]]),IFERROR(VLOOKUP(ROUND(STANDARDIZE(tblY8[[#This Row],[8C01 - Periodic Table
Raw Score]],AVERAGE(tblY8[[8C01 - Periodic Table
Raw Score]]),_xlfn.STDEV.P(tblY8[[8C01 - Periodic Table
Raw Score]])),9),_Stanine,2),5),"")</f>
        <v>5</v>
      </c>
      <c r="P33" s="66" t="n">
        <v>10</v>
      </c>
      <c r="Q33" s="67">
        <f>IF(ISNUMBER(tblY8[[#This Row],[8P01 - Energy
Raw Score]]),IFERROR(VLOOKUP(ROUND(STANDARDIZE(tblY8[[#This Row],[8P01 - Energy
Raw Score]],AVERAGE(tblY8[[8P01 - Energy
Raw Score]]),_xlfn.STDEV.P(tblY8[[8P01 - Energy
Raw Score]])),9),_Stanine,2),5),"")</f>
        <v>5</v>
      </c>
      <c r="R33" s="66" t="n">
        <v>15</v>
      </c>
      <c r="S33" s="67">
        <f>IF(ISNUMBER(tblY8[[#This Row],[8B01 - Digestion
Raw Score]]),IFERROR(VLOOKUP(ROUND(STANDARDIZE(tblY8[[#This Row],[8B01 - Digestion
Raw Score]],AVERAGE(tblY8[[8B01 - Digestion
Raw Score]]),_xlfn.STDEV.P(tblY8[[8B01 - Digestion
Raw Score]])),9),_Stanine,2),5),"")</f>
        <v>5</v>
      </c>
      <c r="T33" s="66" t="n">
        <v>14</v>
      </c>
      <c r="U33" s="67">
        <f>IF(ISNUMBER(tblY8[[#This Row],[8C02 - Metals and Acids
Raw Score]]),IFERROR(VLOOKUP(ROUND(STANDARDIZE(tblY8[[#This Row],[8C02 - Metals and Acids
Raw Score]],AVERAGE(tblY8[[8C02 - Metals and Acids
Raw Score]]),_xlfn.STDEV.P(tblY8[[8C02 - Metals and Acids
Raw Score]])),9),_Stanine,2),5),"")</f>
        <v>6</v>
      </c>
      <c r="V33" s="66" t="n">
        <v>11</v>
      </c>
      <c r="W33" s="67">
        <f>IF(ISNUMBER(tblY8[[#This Row],[8P02 - Light
Raw Score]]),IFERROR(VLOOKUP(ROUND(STANDARDIZE(tblY8[[#This Row],[8P02 - Light
Raw Score]],AVERAGE(tblY8[[8P02 - Light
Raw Score]]),_xlfn.STDEV.P(tblY8[[8P02 - Light
Raw Score]])),9),_Stanine,2),5),"")</f>
        <v>3</v>
      </c>
    </row>
    <row r="34">
      <c r="A34" s="65" t="inlineStr">
        <is>
          <t>X901503034555</t>
        </is>
      </c>
      <c r="B34" s="65" t="inlineStr">
        <is>
          <t>Fletcher</t>
        </is>
      </c>
      <c r="C34" s="65" t="inlineStr">
        <is>
          <t>Noah</t>
        </is>
      </c>
      <c r="D34" s="66" t="inlineStr">
        <is>
          <t>M</t>
        </is>
      </c>
      <c r="E34" s="66" t="n"/>
      <c r="F34" s="66" t="inlineStr">
        <is>
          <t>N</t>
        </is>
      </c>
      <c r="G34" s="34" t="n">
        <v>95.59999999999999</v>
      </c>
      <c r="H34" s="34" t="n">
        <v>106</v>
      </c>
      <c r="I34" s="67">
        <f>IF(ISNUMBER(tblY8[[#This Row],[Avg KS2]]),IFERROR(VLOOKUP(ROUND(STANDARDIZE(tblY8[[#This Row],[Avg KS2]],AVERAGE(tblY8[[Avg KS2]]),_xlfn.STDEV.P(tblY8[[Avg KS2]])),9),_Stanine,2),5),"")</f>
        <v>5</v>
      </c>
      <c r="J34" s="66" t="inlineStr">
        <is>
          <t>8A/Sc2</t>
        </is>
      </c>
      <c r="K34" s="67">
        <f>IF(tblY8[[#This Row],[Preferred Last name]]="","",COUNTIFS($N$1:$ZZ$1,"*"&amp;CHAR(10)&amp;"Stanine",$N34:$ZZ34,"&gt;=1"))</f>
        <v>4</v>
      </c>
      <c r="L34" s="68">
        <f>IFERROR(AVERAGEIF($N$1:$ZZ$1,"*"&amp;CHAR(10)&amp;"Stanine",$N34:$ZZ34),"")</f>
        <v>7.25</v>
      </c>
      <c r="M34" s="69">
        <f>IF(AND(ISNUMBER(tblY8[[#This Row],[Mean Stanine]]),ISNUMBER(tblY8[[#This Row],[Avg KS2 Band]]),ISNUMBER(SlopeY8)),tblY8[[#This Row],[Mean Stanine]]-(InterceptY8+SlopeY8*tblY8[[#This Row],[Avg KS2 Band]]),"")</f>
        <v>2.30814107185773</v>
      </c>
      <c r="N34" s="66" t="n">
        <v>23</v>
      </c>
      <c r="O34" s="67">
        <f>IF(ISNUMBER(tblY8[[#This Row],[8C01 - Periodic Table
Raw Score]]),IFERROR(VLOOKUP(ROUND(STANDARDIZE(tblY8[[#This Row],[8C01 - Periodic Table
Raw Score]],AVERAGE(tblY8[[8C01 - Periodic Table
Raw Score]]),_xlfn.STDEV.P(tblY8[[8C01 - Periodic Table
Raw Score]])),9),_Stanine,2),5),"")</f>
        <v>7</v>
      </c>
      <c r="P34" s="66" t="n">
        <v>16</v>
      </c>
      <c r="Q34" s="67">
        <f>IF(ISNUMBER(tblY8[[#This Row],[8P01 - Energy
Raw Score]]),IFERROR(VLOOKUP(ROUND(STANDARDIZE(tblY8[[#This Row],[8P01 - Energy
Raw Score]],AVERAGE(tblY8[[8P01 - Energy
Raw Score]]),_xlfn.STDEV.P(tblY8[[8P01 - Energy
Raw Score]])),9),_Stanine,2),5),"")</f>
        <v>7</v>
      </c>
      <c r="R34" s="66" t="n">
        <v>23</v>
      </c>
      <c r="S34" s="67">
        <f>IF(ISNUMBER(tblY8[[#This Row],[8B01 - Digestion
Raw Score]]),IFERROR(VLOOKUP(ROUND(STANDARDIZE(tblY8[[#This Row],[8B01 - Digestion
Raw Score]],AVERAGE(tblY8[[8B01 - Digestion
Raw Score]]),_xlfn.STDEV.P(tblY8[[8B01 - Digestion
Raw Score]])),9),_Stanine,2),5),"")</f>
        <v>8</v>
      </c>
      <c r="T34" s="66" t="n">
        <v>16</v>
      </c>
      <c r="U34" s="67">
        <f>IF(ISNUMBER(tblY8[[#This Row],[8C02 - Metals and Acids
Raw Score]]),IFERROR(VLOOKUP(ROUND(STANDARDIZE(tblY8[[#This Row],[8C02 - Metals and Acids
Raw Score]],AVERAGE(tblY8[[8C02 - Metals and Acids
Raw Score]]),_xlfn.STDEV.P(tblY8[[8C02 - Metals and Acids
Raw Score]])),9),_Stanine,2),5),"")</f>
        <v>7</v>
      </c>
      <c r="V34" s="66" t="inlineStr">
        <is>
          <t>A</t>
        </is>
      </c>
      <c r="W34" s="67" t="str">
        <f>IF(ISNUMBER(tblY8[[#This Row],[8P02 - Light
Raw Score]]),IFERROR(VLOOKUP(ROUND(STANDARDIZE(tblY8[[#This Row],[8P02 - Light
Raw Score]],AVERAGE(tblY8[[8P02 - Light
Raw Score]]),_xlfn.STDEV.P(tblY8[[8P02 - Light
Raw Score]])),9),_Stanine,2),5),"")</f>
        <v/>
      </c>
    </row>
    <row r="35">
      <c r="A35" s="65" t="inlineStr">
        <is>
          <t>X901697649052</t>
        </is>
      </c>
      <c r="B35" s="65" t="inlineStr">
        <is>
          <t>Fletcher</t>
        </is>
      </c>
      <c r="C35" s="65" t="inlineStr">
        <is>
          <t>Rosie</t>
        </is>
      </c>
      <c r="D35" s="66" t="inlineStr">
        <is>
          <t>F</t>
        </is>
      </c>
      <c r="E35" s="66" t="inlineStr">
        <is>
          <t>N</t>
        </is>
      </c>
      <c r="F35" s="66" t="inlineStr">
        <is>
          <t>N</t>
        </is>
      </c>
      <c r="G35" s="34" t="n">
        <v>98.2</v>
      </c>
      <c r="H35" s="34" t="n">
        <v>109.5</v>
      </c>
      <c r="I35" s="67">
        <f>IF(ISNUMBER(tblY8[[#This Row],[Avg KS2]]),IFERROR(VLOOKUP(ROUND(STANDARDIZE(tblY8[[#This Row],[Avg KS2]],AVERAGE(tblY8[[Avg KS2]]),_xlfn.STDEV.P(tblY8[[Avg KS2]])),9),_Stanine,2),5),"")</f>
        <v>7</v>
      </c>
      <c r="J35" s="66" t="inlineStr">
        <is>
          <t>8A/Sc2</t>
        </is>
      </c>
      <c r="K35" s="67">
        <f>IF(tblY8[[#This Row],[Preferred Last name]]="","",COUNTIFS($N$1:$ZZ$1,"*"&amp;CHAR(10)&amp;"Stanine",$N35:$ZZ35,"&gt;=1"))</f>
        <v>5</v>
      </c>
      <c r="L35" s="68">
        <f>IFERROR(AVERAGEIF($N$1:$ZZ$1,"*"&amp;CHAR(10)&amp;"Stanine",$N35:$ZZ35),"")</f>
        <v>8</v>
      </c>
      <c r="M35" s="69">
        <f>IF(AND(ISNUMBER(tblY8[[#This Row],[Mean Stanine]]),ISNUMBER(tblY8[[#This Row],[Avg KS2 Band]]),ISNUMBER(SlopeY8)),tblY8[[#This Row],[Mean Stanine]]-(InterceptY8+SlopeY8*tblY8[[#This Row],[Avg KS2 Band]]),"")</f>
        <v>1.50031843306897</v>
      </c>
      <c r="N35" s="66" t="n">
        <v>27</v>
      </c>
      <c r="O35" s="67">
        <f>IF(ISNUMBER(tblY8[[#This Row],[8C01 - Periodic Table
Raw Score]]),IFERROR(VLOOKUP(ROUND(STANDARDIZE(tblY8[[#This Row],[8C01 - Periodic Table
Raw Score]],AVERAGE(tblY8[[8C01 - Periodic Table
Raw Score]]),_xlfn.STDEV.P(tblY8[[8C01 - Periodic Table
Raw Score]])),9),_Stanine,2),5),"")</f>
        <v>8</v>
      </c>
      <c r="P35" s="66" t="n">
        <v>19</v>
      </c>
      <c r="Q35" s="67">
        <f>IF(ISNUMBER(tblY8[[#This Row],[8P01 - Energy
Raw Score]]),IFERROR(VLOOKUP(ROUND(STANDARDIZE(tblY8[[#This Row],[8P01 - Energy
Raw Score]],AVERAGE(tblY8[[8P01 - Energy
Raw Score]]),_xlfn.STDEV.P(tblY8[[8P01 - Energy
Raw Score]])),9),_Stanine,2),5),"")</f>
        <v>8</v>
      </c>
      <c r="R35" s="66" t="n">
        <v>25</v>
      </c>
      <c r="S35" s="67">
        <f>IF(ISNUMBER(tblY8[[#This Row],[8B01 - Digestion
Raw Score]]),IFERROR(VLOOKUP(ROUND(STANDARDIZE(tblY8[[#This Row],[8B01 - Digestion
Raw Score]],AVERAGE(tblY8[[8B01 - Digestion
Raw Score]]),_xlfn.STDEV.P(tblY8[[8B01 - Digestion
Raw Score]])),9),_Stanine,2),5),"")</f>
        <v>9</v>
      </c>
      <c r="T35" s="66" t="n">
        <v>18</v>
      </c>
      <c r="U35" s="67">
        <f>IF(ISNUMBER(tblY8[[#This Row],[8C02 - Metals and Acids
Raw Score]]),IFERROR(VLOOKUP(ROUND(STANDARDIZE(tblY8[[#This Row],[8C02 - Metals and Acids
Raw Score]],AVERAGE(tblY8[[8C02 - Metals and Acids
Raw Score]]),_xlfn.STDEV.P(tblY8[[8C02 - Metals and Acids
Raw Score]])),9),_Stanine,2),5),"")</f>
        <v>7</v>
      </c>
      <c r="V35" s="66" t="n">
        <v>21</v>
      </c>
      <c r="W35" s="67">
        <f>IF(ISNUMBER(tblY8[[#This Row],[8P02 - Light
Raw Score]]),IFERROR(VLOOKUP(ROUND(STANDARDIZE(tblY8[[#This Row],[8P02 - Light
Raw Score]],AVERAGE(tblY8[[8P02 - Light
Raw Score]]),_xlfn.STDEV.P(tblY8[[8P02 - Light
Raw Score]])),9),_Stanine,2),5),"")</f>
        <v>8</v>
      </c>
    </row>
    <row r="36">
      <c r="A36" s="65" t="inlineStr">
        <is>
          <t>X909752290917</t>
        </is>
      </c>
      <c r="B36" s="65" t="inlineStr">
        <is>
          <t>Green</t>
        </is>
      </c>
      <c r="C36" s="65" t="inlineStr">
        <is>
          <t>Keira</t>
        </is>
      </c>
      <c r="D36" s="66" t="inlineStr">
        <is>
          <t>F</t>
        </is>
      </c>
      <c r="E36" s="66" t="inlineStr">
        <is>
          <t>K</t>
        </is>
      </c>
      <c r="F36" s="66" t="inlineStr">
        <is>
          <t>N</t>
        </is>
      </c>
      <c r="G36" s="34" t="n">
        <v>94.3</v>
      </c>
      <c r="H36" s="34" t="n">
        <v>110</v>
      </c>
      <c r="I36" s="67">
        <f>IF(ISNUMBER(tblY8[[#This Row],[Avg KS2]]),IFERROR(VLOOKUP(ROUND(STANDARDIZE(tblY8[[#This Row],[Avg KS2]],AVERAGE(tblY8[[Avg KS2]]),_xlfn.STDEV.P(tblY8[[Avg KS2]])),9),_Stanine,2),5),"")</f>
        <v>7</v>
      </c>
      <c r="J36" s="66" t="inlineStr">
        <is>
          <t>8A/Sc2</t>
        </is>
      </c>
      <c r="K36" s="67">
        <f>IF(tblY8[[#This Row],[Preferred Last name]]="","",COUNTIFS($N$1:$ZZ$1,"*"&amp;CHAR(10)&amp;"Stanine",$N36:$ZZ36,"&gt;=1"))</f>
        <v>5</v>
      </c>
      <c r="L36" s="68">
        <f>IFERROR(AVERAGEIF($N$1:$ZZ$1,"*"&amp;CHAR(10)&amp;"Stanine",$N36:$ZZ36),"")</f>
        <v>4.8</v>
      </c>
      <c r="M36" s="69">
        <f>IF(AND(ISNUMBER(tblY8[[#This Row],[Mean Stanine]]),ISNUMBER(tblY8[[#This Row],[Avg KS2 Band]]),ISNUMBER(SlopeY8)),tblY8[[#This Row],[Mean Stanine]]-(InterceptY8+SlopeY8*tblY8[[#This Row],[Avg KS2 Band]]),"")</f>
        <v>-1.69968156693103</v>
      </c>
      <c r="N36" s="66" t="n">
        <v>16</v>
      </c>
      <c r="O36" s="67">
        <f>IF(ISNUMBER(tblY8[[#This Row],[8C01 - Periodic Table
Raw Score]]),IFERROR(VLOOKUP(ROUND(STANDARDIZE(tblY8[[#This Row],[8C01 - Periodic Table
Raw Score]],AVERAGE(tblY8[[8C01 - Periodic Table
Raw Score]]),_xlfn.STDEV.P(tblY8[[8C01 - Periodic Table
Raw Score]])),9),_Stanine,2),5),"")</f>
        <v>4</v>
      </c>
      <c r="P36" s="66" t="n">
        <v>11</v>
      </c>
      <c r="Q36" s="67">
        <f>IF(ISNUMBER(tblY8[[#This Row],[8P01 - Energy
Raw Score]]),IFERROR(VLOOKUP(ROUND(STANDARDIZE(tblY8[[#This Row],[8P01 - Energy
Raw Score]],AVERAGE(tblY8[[8P01 - Energy
Raw Score]]),_xlfn.STDEV.P(tblY8[[8P01 - Energy
Raw Score]])),9),_Stanine,2),5),"")</f>
        <v>5</v>
      </c>
      <c r="R36" s="66" t="n">
        <v>12</v>
      </c>
      <c r="S36" s="67">
        <f>IF(ISNUMBER(tblY8[[#This Row],[8B01 - Digestion
Raw Score]]),IFERROR(VLOOKUP(ROUND(STANDARDIZE(tblY8[[#This Row],[8B01 - Digestion
Raw Score]],AVERAGE(tblY8[[8B01 - Digestion
Raw Score]]),_xlfn.STDEV.P(tblY8[[8B01 - Digestion
Raw Score]])),9),_Stanine,2),5),"")</f>
        <v>4</v>
      </c>
      <c r="T36" s="66" t="n">
        <v>14</v>
      </c>
      <c r="U36" s="67">
        <f>IF(ISNUMBER(tblY8[[#This Row],[8C02 - Metals and Acids
Raw Score]]),IFERROR(VLOOKUP(ROUND(STANDARDIZE(tblY8[[#This Row],[8C02 - Metals and Acids
Raw Score]],AVERAGE(tblY8[[8C02 - Metals and Acids
Raw Score]]),_xlfn.STDEV.P(tblY8[[8C02 - Metals and Acids
Raw Score]])),9),_Stanine,2),5),"")</f>
        <v>6</v>
      </c>
      <c r="V36" s="66" t="n">
        <v>15</v>
      </c>
      <c r="W36" s="67">
        <f>IF(ISNUMBER(tblY8[[#This Row],[8P02 - Light
Raw Score]]),IFERROR(VLOOKUP(ROUND(STANDARDIZE(tblY8[[#This Row],[8P02 - Light
Raw Score]],AVERAGE(tblY8[[8P02 - Light
Raw Score]]),_xlfn.STDEV.P(tblY8[[8P02 - Light
Raw Score]])),9),_Stanine,2),5),"")</f>
        <v>5</v>
      </c>
    </row>
    <row r="37">
      <c r="A37" s="65" t="inlineStr">
        <is>
          <t>X904857958786</t>
        </is>
      </c>
      <c r="B37" s="65" t="inlineStr">
        <is>
          <t>Griffiths</t>
        </is>
      </c>
      <c r="C37" s="65" t="inlineStr">
        <is>
          <t>Arthur</t>
        </is>
      </c>
      <c r="D37" s="66" t="inlineStr">
        <is>
          <t>M</t>
        </is>
      </c>
      <c r="E37" s="66" t="n"/>
      <c r="F37" s="66" t="inlineStr">
        <is>
          <t>Y</t>
        </is>
      </c>
      <c r="G37" s="34" t="n">
        <v>100</v>
      </c>
      <c r="H37" s="34" t="n">
        <v>113</v>
      </c>
      <c r="I37" s="67">
        <f>IF(ISNUMBER(tblY8[[#This Row],[Avg KS2]]),IFERROR(VLOOKUP(ROUND(STANDARDIZE(tblY8[[#This Row],[Avg KS2]],AVERAGE(tblY8[[Avg KS2]]),_xlfn.STDEV.P(tblY8[[Avg KS2]])),9),_Stanine,2),5),"")</f>
        <v>8</v>
      </c>
      <c r="J37" s="66" t="inlineStr">
        <is>
          <t>8A/Sc2</t>
        </is>
      </c>
      <c r="K37" s="67">
        <f>IF(tblY8[[#This Row],[Preferred Last name]]="","",COUNTIFS($N$1:$ZZ$1,"*"&amp;CHAR(10)&amp;"Stanine",$N37:$ZZ37,"&gt;=1"))</f>
        <v>5</v>
      </c>
      <c r="L37" s="68">
        <f>IFERROR(AVERAGEIF($N$1:$ZZ$1,"*"&amp;CHAR(10)&amp;"Stanine",$N37:$ZZ37),"")</f>
        <v>6.8</v>
      </c>
      <c r="M37" s="69">
        <f>IF(AND(ISNUMBER(tblY8[[#This Row],[Mean Stanine]]),ISNUMBER(tblY8[[#This Row],[Avg KS2 Band]]),ISNUMBER(SlopeY8)),tblY8[[#This Row],[Mean Stanine]]-(InterceptY8+SlopeY8*tblY8[[#This Row],[Avg KS2 Band]]),"")</f>
        <v>-0.478592886325402</v>
      </c>
      <c r="N37" s="66" t="n">
        <v>23</v>
      </c>
      <c r="O37" s="67">
        <f>IF(ISNUMBER(tblY8[[#This Row],[8C01 - Periodic Table
Raw Score]]),IFERROR(VLOOKUP(ROUND(STANDARDIZE(tblY8[[#This Row],[8C01 - Periodic Table
Raw Score]],AVERAGE(tblY8[[8C01 - Periodic Table
Raw Score]]),_xlfn.STDEV.P(tblY8[[8C01 - Periodic Table
Raw Score]])),9),_Stanine,2),5),"")</f>
        <v>7</v>
      </c>
      <c r="P37" s="66" t="n">
        <v>18</v>
      </c>
      <c r="Q37" s="67">
        <f>IF(ISNUMBER(tblY8[[#This Row],[8P01 - Energy
Raw Score]]),IFERROR(VLOOKUP(ROUND(STANDARDIZE(tblY8[[#This Row],[8P01 - Energy
Raw Score]],AVERAGE(tblY8[[8P01 - Energy
Raw Score]]),_xlfn.STDEV.P(tblY8[[8P01 - Energy
Raw Score]])),9),_Stanine,2),5),"")</f>
        <v>8</v>
      </c>
      <c r="R37" s="66" t="n">
        <v>20</v>
      </c>
      <c r="S37" s="67">
        <f>IF(ISNUMBER(tblY8[[#This Row],[8B01 - Digestion
Raw Score]]),IFERROR(VLOOKUP(ROUND(STANDARDIZE(tblY8[[#This Row],[8B01 - Digestion
Raw Score]],AVERAGE(tblY8[[8B01 - Digestion
Raw Score]]),_xlfn.STDEV.P(tblY8[[8B01 - Digestion
Raw Score]])),9),_Stanine,2),5),"")</f>
        <v>7</v>
      </c>
      <c r="T37" s="66" t="n">
        <v>14</v>
      </c>
      <c r="U37" s="67">
        <f>IF(ISNUMBER(tblY8[[#This Row],[8C02 - Metals and Acids
Raw Score]]),IFERROR(VLOOKUP(ROUND(STANDARDIZE(tblY8[[#This Row],[8C02 - Metals and Acids
Raw Score]],AVERAGE(tblY8[[8C02 - Metals and Acids
Raw Score]]),_xlfn.STDEV.P(tblY8[[8C02 - Metals and Acids
Raw Score]])),9),_Stanine,2),5),"")</f>
        <v>6</v>
      </c>
      <c r="V37" s="66" t="n">
        <v>18</v>
      </c>
      <c r="W37" s="67">
        <f>IF(ISNUMBER(tblY8[[#This Row],[8P02 - Light
Raw Score]]),IFERROR(VLOOKUP(ROUND(STANDARDIZE(tblY8[[#This Row],[8P02 - Light
Raw Score]],AVERAGE(tblY8[[8P02 - Light
Raw Score]]),_xlfn.STDEV.P(tblY8[[8P02 - Light
Raw Score]])),9),_Stanine,2),5),"")</f>
        <v>6</v>
      </c>
    </row>
    <row r="38">
      <c r="A38" s="65" t="inlineStr">
        <is>
          <t>X903185482309</t>
        </is>
      </c>
      <c r="B38" s="65" t="inlineStr">
        <is>
          <t>Hall</t>
        </is>
      </c>
      <c r="C38" s="65" t="inlineStr">
        <is>
          <t>Callum</t>
        </is>
      </c>
      <c r="D38" s="66" t="inlineStr">
        <is>
          <t>M</t>
        </is>
      </c>
      <c r="E38" s="66" t="n"/>
      <c r="F38" s="66" t="inlineStr">
        <is>
          <t>N</t>
        </is>
      </c>
      <c r="G38" s="34" t="n">
        <v>100</v>
      </c>
      <c r="H38" s="34" t="n">
        <v>106</v>
      </c>
      <c r="I38" s="67">
        <f>IF(ISNUMBER(tblY8[[#This Row],[Avg KS2]]),IFERROR(VLOOKUP(ROUND(STANDARDIZE(tblY8[[#This Row],[Avg KS2]],AVERAGE(tblY8[[Avg KS2]]),_xlfn.STDEV.P(tblY8[[Avg KS2]])),9),_Stanine,2),5),"")</f>
        <v>5</v>
      </c>
      <c r="J38" s="66" t="inlineStr">
        <is>
          <t>8A/Sc2</t>
        </is>
      </c>
      <c r="K38" s="67">
        <f>IF(tblY8[[#This Row],[Preferred Last name]]="","",COUNTIFS($N$1:$ZZ$1,"*"&amp;CHAR(10)&amp;"Stanine",$N38:$ZZ38,"&gt;=1"))</f>
        <v>5</v>
      </c>
      <c r="L38" s="68">
        <f>IFERROR(AVERAGEIF($N$1:$ZZ$1,"*"&amp;CHAR(10)&amp;"Stanine",$N38:$ZZ38),"")</f>
        <v>6.4</v>
      </c>
      <c r="M38" s="69">
        <f>IF(AND(ISNUMBER(tblY8[[#This Row],[Mean Stanine]]),ISNUMBER(tblY8[[#This Row],[Avg KS2 Band]]),ISNUMBER(SlopeY8)),tblY8[[#This Row],[Mean Stanine]]-(InterceptY8+SlopeY8*tblY8[[#This Row],[Avg KS2 Band]]),"")</f>
        <v>1.45814107185773</v>
      </c>
      <c r="N38" s="66" t="n">
        <v>23</v>
      </c>
      <c r="O38" s="67">
        <f>IF(ISNUMBER(tblY8[[#This Row],[8C01 - Periodic Table
Raw Score]]),IFERROR(VLOOKUP(ROUND(STANDARDIZE(tblY8[[#This Row],[8C01 - Periodic Table
Raw Score]],AVERAGE(tblY8[[8C01 - Periodic Table
Raw Score]]),_xlfn.STDEV.P(tblY8[[8C01 - Periodic Table
Raw Score]])),9),_Stanine,2),5),"")</f>
        <v>7</v>
      </c>
      <c r="P38" s="66" t="n">
        <v>11</v>
      </c>
      <c r="Q38" s="67">
        <f>IF(ISNUMBER(tblY8[[#This Row],[8P01 - Energy
Raw Score]]),IFERROR(VLOOKUP(ROUND(STANDARDIZE(tblY8[[#This Row],[8P01 - Energy
Raw Score]],AVERAGE(tblY8[[8P01 - Energy
Raw Score]]),_xlfn.STDEV.P(tblY8[[8P01 - Energy
Raw Score]])),9),_Stanine,2),5),"")</f>
        <v>5</v>
      </c>
      <c r="R38" s="66" t="n">
        <v>22</v>
      </c>
      <c r="S38" s="67">
        <f>IF(ISNUMBER(tblY8[[#This Row],[8B01 - Digestion
Raw Score]]),IFERROR(VLOOKUP(ROUND(STANDARDIZE(tblY8[[#This Row],[8B01 - Digestion
Raw Score]],AVERAGE(tblY8[[8B01 - Digestion
Raw Score]]),_xlfn.STDEV.P(tblY8[[8B01 - Digestion
Raw Score]])),9),_Stanine,2),5),"")</f>
        <v>8</v>
      </c>
      <c r="T38" s="66" t="n">
        <v>16</v>
      </c>
      <c r="U38" s="67">
        <f>IF(ISNUMBER(tblY8[[#This Row],[8C02 - Metals and Acids
Raw Score]]),IFERROR(VLOOKUP(ROUND(STANDARDIZE(tblY8[[#This Row],[8C02 - Metals and Acids
Raw Score]],AVERAGE(tblY8[[8C02 - Metals and Acids
Raw Score]]),_xlfn.STDEV.P(tblY8[[8C02 - Metals and Acids
Raw Score]])),9),_Stanine,2),5),"")</f>
        <v>7</v>
      </c>
      <c r="V38" s="66" t="n">
        <v>15</v>
      </c>
      <c r="W38" s="67">
        <f>IF(ISNUMBER(tblY8[[#This Row],[8P02 - Light
Raw Score]]),IFERROR(VLOOKUP(ROUND(STANDARDIZE(tblY8[[#This Row],[8P02 - Light
Raw Score]],AVERAGE(tblY8[[8P02 - Light
Raw Score]]),_xlfn.STDEV.P(tblY8[[8P02 - Light
Raw Score]])),9),_Stanine,2),5),"")</f>
        <v>5</v>
      </c>
    </row>
    <row r="39">
      <c r="A39" s="65" t="inlineStr">
        <is>
          <t>X901792546778</t>
        </is>
      </c>
      <c r="B39" s="65" t="inlineStr">
        <is>
          <t>Hall</t>
        </is>
      </c>
      <c r="C39" s="65" t="inlineStr">
        <is>
          <t>Muhammad</t>
        </is>
      </c>
      <c r="D39" s="66" t="inlineStr">
        <is>
          <t>F</t>
        </is>
      </c>
      <c r="E39" s="66" t="inlineStr">
        <is>
          <t>K</t>
        </is>
      </c>
      <c r="F39" s="66" t="inlineStr">
        <is>
          <t>N</t>
        </is>
      </c>
      <c r="G39" s="34" t="n">
        <v>100</v>
      </c>
      <c r="H39" s="34" t="n">
        <v>107.5</v>
      </c>
      <c r="I39" s="67">
        <f>IF(ISNUMBER(tblY8[[#This Row],[Avg KS2]]),IFERROR(VLOOKUP(ROUND(STANDARDIZE(tblY8[[#This Row],[Avg KS2]],AVERAGE(tblY8[[Avg KS2]]),_xlfn.STDEV.P(tblY8[[Avg KS2]])),9),_Stanine,2),5),"")</f>
        <v>6</v>
      </c>
      <c r="J39" s="66" t="inlineStr">
        <is>
          <t>8A/Sc2</t>
        </is>
      </c>
      <c r="K39" s="67">
        <f>IF(tblY8[[#This Row],[Preferred Last name]]="","",COUNTIFS($N$1:$ZZ$1,"*"&amp;CHAR(10)&amp;"Stanine",$N39:$ZZ39,"&gt;=1"))</f>
        <v>5</v>
      </c>
      <c r="L39" s="68">
        <f>IFERROR(AVERAGEIF($N$1:$ZZ$1,"*"&amp;CHAR(10)&amp;"Stanine",$N39:$ZZ39),"")</f>
        <v>6.2</v>
      </c>
      <c r="M39" s="69">
        <f>IF(AND(ISNUMBER(tblY8[[#This Row],[Mean Stanine]]),ISNUMBER(tblY8[[#This Row],[Avg KS2 Band]]),ISNUMBER(SlopeY8)),tblY8[[#This Row],[Mean Stanine]]-(InterceptY8+SlopeY8*tblY8[[#This Row],[Avg KS2 Band]]),"")</f>
        <v>0.47922975246335</v>
      </c>
      <c r="N39" s="66" t="n">
        <v>21</v>
      </c>
      <c r="O39" s="67">
        <f>IF(ISNUMBER(tblY8[[#This Row],[8C01 - Periodic Table
Raw Score]]),IFERROR(VLOOKUP(ROUND(STANDARDIZE(tblY8[[#This Row],[8C01 - Periodic Table
Raw Score]],AVERAGE(tblY8[[8C01 - Periodic Table
Raw Score]]),_xlfn.STDEV.P(tblY8[[8C01 - Periodic Table
Raw Score]])),9),_Stanine,2),5),"")</f>
        <v>6</v>
      </c>
      <c r="P39" s="66" t="n">
        <v>16</v>
      </c>
      <c r="Q39" s="67">
        <f>IF(ISNUMBER(tblY8[[#This Row],[8P01 - Energy
Raw Score]]),IFERROR(VLOOKUP(ROUND(STANDARDIZE(tblY8[[#This Row],[8P01 - Energy
Raw Score]],AVERAGE(tblY8[[8P01 - Energy
Raw Score]]),_xlfn.STDEV.P(tblY8[[8P01 - Energy
Raw Score]])),9),_Stanine,2),5),"")</f>
        <v>7</v>
      </c>
      <c r="R39" s="66" t="n">
        <v>19</v>
      </c>
      <c r="S39" s="67">
        <f>IF(ISNUMBER(tblY8[[#This Row],[8B01 - Digestion
Raw Score]]),IFERROR(VLOOKUP(ROUND(STANDARDIZE(tblY8[[#This Row],[8B01 - Digestion
Raw Score]],AVERAGE(tblY8[[8B01 - Digestion
Raw Score]]),_xlfn.STDEV.P(tblY8[[8B01 - Digestion
Raw Score]])),9),_Stanine,2),5),"")</f>
        <v>7</v>
      </c>
      <c r="T39" s="66" t="n">
        <v>11</v>
      </c>
      <c r="U39" s="67">
        <f>IF(ISNUMBER(tblY8[[#This Row],[8C02 - Metals and Acids
Raw Score]]),IFERROR(VLOOKUP(ROUND(STANDARDIZE(tblY8[[#This Row],[8C02 - Metals and Acids
Raw Score]],AVERAGE(tblY8[[8C02 - Metals and Acids
Raw Score]]),_xlfn.STDEV.P(tblY8[[8C02 - Metals and Acids
Raw Score]])),9),_Stanine,2),5),"")</f>
        <v>5</v>
      </c>
      <c r="V39" s="66" t="n">
        <v>18</v>
      </c>
      <c r="W39" s="67">
        <f>IF(ISNUMBER(tblY8[[#This Row],[8P02 - Light
Raw Score]]),IFERROR(VLOOKUP(ROUND(STANDARDIZE(tblY8[[#This Row],[8P02 - Light
Raw Score]],AVERAGE(tblY8[[8P02 - Light
Raw Score]]),_xlfn.STDEV.P(tblY8[[8P02 - Light
Raw Score]])),9),_Stanine,2),5),"")</f>
        <v>6</v>
      </c>
    </row>
    <row r="40">
      <c r="A40" s="65" t="inlineStr">
        <is>
          <t>X901840811914</t>
        </is>
      </c>
      <c r="B40" s="65" t="inlineStr">
        <is>
          <t>Hall</t>
        </is>
      </c>
      <c r="C40" s="65" t="inlineStr">
        <is>
          <t>Noah</t>
        </is>
      </c>
      <c r="D40" s="66" t="inlineStr">
        <is>
          <t>M</t>
        </is>
      </c>
      <c r="E40" s="66" t="n"/>
      <c r="F40" s="66" t="inlineStr">
        <is>
          <t>Y</t>
        </is>
      </c>
      <c r="G40" s="34" t="n">
        <v>100</v>
      </c>
      <c r="H40" s="34" t="n">
        <v>97</v>
      </c>
      <c r="I40" s="67">
        <f>IF(ISNUMBER(tblY8[[#This Row],[Avg KS2]]),IFERROR(VLOOKUP(ROUND(STANDARDIZE(tblY8[[#This Row],[Avg KS2]],AVERAGE(tblY8[[Avg KS2]]),_xlfn.STDEV.P(tblY8[[Avg KS2]])),9),_Stanine,2),5),"")</f>
        <v>2</v>
      </c>
      <c r="J40" s="66" t="inlineStr">
        <is>
          <t>8A/Sc2</t>
        </is>
      </c>
      <c r="K40" s="67">
        <f>IF(tblY8[[#This Row],[Preferred Last name]]="","",COUNTIFS($N$1:$ZZ$1,"*"&amp;CHAR(10)&amp;"Stanine",$N40:$ZZ40,"&gt;=1"))</f>
        <v>5</v>
      </c>
      <c r="L40" s="68">
        <f>IFERROR(AVERAGEIF($N$1:$ZZ$1,"*"&amp;CHAR(10)&amp;"Stanine",$N40:$ZZ40),"")</f>
        <v>3.6</v>
      </c>
      <c r="M40" s="69">
        <f>IF(AND(ISNUMBER(tblY8[[#This Row],[Mean Stanine]]),ISNUMBER(tblY8[[#This Row],[Avg KS2 Band]]),ISNUMBER(SlopeY8)),tblY8[[#This Row],[Mean Stanine]]-(InterceptY8+SlopeY8*tblY8[[#This Row],[Avg KS2 Band]]),"")</f>
        <v>0.994875030040855</v>
      </c>
      <c r="N40" s="66" t="n">
        <v>14</v>
      </c>
      <c r="O40" s="67">
        <f>IF(ISNUMBER(tblY8[[#This Row],[8C01 - Periodic Table
Raw Score]]),IFERROR(VLOOKUP(ROUND(STANDARDIZE(tblY8[[#This Row],[8C01 - Periodic Table
Raw Score]],AVERAGE(tblY8[[8C01 - Periodic Table
Raw Score]]),_xlfn.STDEV.P(tblY8[[8C01 - Periodic Table
Raw Score]])),9),_Stanine,2),5),"")</f>
        <v>4</v>
      </c>
      <c r="P40" s="66" t="n">
        <v>7</v>
      </c>
      <c r="Q40" s="67">
        <f>IF(ISNUMBER(tblY8[[#This Row],[8P01 - Energy
Raw Score]]),IFERROR(VLOOKUP(ROUND(STANDARDIZE(tblY8[[#This Row],[8P01 - Energy
Raw Score]],AVERAGE(tblY8[[8P01 - Energy
Raw Score]]),_xlfn.STDEV.P(tblY8[[8P01 - Energy
Raw Score]])),9),_Stanine,2),5),"")</f>
        <v>4</v>
      </c>
      <c r="R40" s="66" t="n">
        <v>10</v>
      </c>
      <c r="S40" s="67">
        <f>IF(ISNUMBER(tblY8[[#This Row],[8B01 - Digestion
Raw Score]]),IFERROR(VLOOKUP(ROUND(STANDARDIZE(tblY8[[#This Row],[8B01 - Digestion
Raw Score]],AVERAGE(tblY8[[8B01 - Digestion
Raw Score]]),_xlfn.STDEV.P(tblY8[[8B01 - Digestion
Raw Score]])),9),_Stanine,2),5),"")</f>
        <v>4</v>
      </c>
      <c r="T40" s="66" t="n">
        <v>7</v>
      </c>
      <c r="U40" s="67">
        <f>IF(ISNUMBER(tblY8[[#This Row],[8C02 - Metals and Acids
Raw Score]]),IFERROR(VLOOKUP(ROUND(STANDARDIZE(tblY8[[#This Row],[8C02 - Metals and Acids
Raw Score]],AVERAGE(tblY8[[8C02 - Metals and Acids
Raw Score]]),_xlfn.STDEV.P(tblY8[[8C02 - Metals and Acids
Raw Score]])),9),_Stanine,2),5),"")</f>
        <v>3</v>
      </c>
      <c r="V40" s="66" t="n">
        <v>11</v>
      </c>
      <c r="W40" s="67">
        <f>IF(ISNUMBER(tblY8[[#This Row],[8P02 - Light
Raw Score]]),IFERROR(VLOOKUP(ROUND(STANDARDIZE(tblY8[[#This Row],[8P02 - Light
Raw Score]],AVERAGE(tblY8[[8P02 - Light
Raw Score]]),_xlfn.STDEV.P(tblY8[[8P02 - Light
Raw Score]])),9),_Stanine,2),5),"")</f>
        <v>3</v>
      </c>
    </row>
    <row r="41">
      <c r="A41" s="65" t="inlineStr">
        <is>
          <t>X907462902239</t>
        </is>
      </c>
      <c r="B41" s="65" t="inlineStr">
        <is>
          <t>Harrison</t>
        </is>
      </c>
      <c r="C41" s="65" t="inlineStr">
        <is>
          <t>Maya</t>
        </is>
      </c>
      <c r="D41" s="66" t="inlineStr">
        <is>
          <t>M</t>
        </is>
      </c>
      <c r="E41" s="66" t="n"/>
      <c r="F41" s="66" t="inlineStr">
        <is>
          <t>Y</t>
        </is>
      </c>
      <c r="G41" s="34" t="n">
        <v>100</v>
      </c>
      <c r="H41" s="34" t="n">
        <v>106</v>
      </c>
      <c r="I41" s="67">
        <f>IF(ISNUMBER(tblY8[[#This Row],[Avg KS2]]),IFERROR(VLOOKUP(ROUND(STANDARDIZE(tblY8[[#This Row],[Avg KS2]],AVERAGE(tblY8[[Avg KS2]]),_xlfn.STDEV.P(tblY8[[Avg KS2]])),9),_Stanine,2),5),"")</f>
        <v>5</v>
      </c>
      <c r="J41" s="66" t="inlineStr">
        <is>
          <t>8A/Sc2</t>
        </is>
      </c>
      <c r="K41" s="67">
        <f>IF(tblY8[[#This Row],[Preferred Last name]]="","",COUNTIFS($N$1:$ZZ$1,"*"&amp;CHAR(10)&amp;"Stanine",$N41:$ZZ41,"&gt;=1"))</f>
        <v>5</v>
      </c>
      <c r="L41" s="68">
        <f>IFERROR(AVERAGEIF($N$1:$ZZ$1,"*"&amp;CHAR(10)&amp;"Stanine",$N41:$ZZ41),"")</f>
        <v>4.6</v>
      </c>
      <c r="M41" s="69">
        <f>IF(AND(ISNUMBER(tblY8[[#This Row],[Mean Stanine]]),ISNUMBER(tblY8[[#This Row],[Avg KS2 Band]]),ISNUMBER(SlopeY8)),tblY8[[#This Row],[Mean Stanine]]-(InterceptY8+SlopeY8*tblY8[[#This Row],[Avg KS2 Band]]),"")</f>
        <v>-0.341858928142274</v>
      </c>
      <c r="N41" s="66" t="n">
        <v>15</v>
      </c>
      <c r="O41" s="67">
        <f>IF(ISNUMBER(tblY8[[#This Row],[8C01 - Periodic Table
Raw Score]]),IFERROR(VLOOKUP(ROUND(STANDARDIZE(tblY8[[#This Row],[8C01 - Periodic Table
Raw Score]],AVERAGE(tblY8[[8C01 - Periodic Table
Raw Score]]),_xlfn.STDEV.P(tblY8[[8C01 - Periodic Table
Raw Score]])),9),_Stanine,2),5),"")</f>
        <v>4</v>
      </c>
      <c r="P41" s="66" t="n">
        <v>11</v>
      </c>
      <c r="Q41" s="67">
        <f>IF(ISNUMBER(tblY8[[#This Row],[8P01 - Energy
Raw Score]]),IFERROR(VLOOKUP(ROUND(STANDARDIZE(tblY8[[#This Row],[8P01 - Energy
Raw Score]],AVERAGE(tblY8[[8P01 - Energy
Raw Score]]),_xlfn.STDEV.P(tblY8[[8P01 - Energy
Raw Score]])),9),_Stanine,2),5),"")</f>
        <v>5</v>
      </c>
      <c r="R41" s="66" t="n">
        <v>12</v>
      </c>
      <c r="S41" s="67">
        <f>IF(ISNUMBER(tblY8[[#This Row],[8B01 - Digestion
Raw Score]]),IFERROR(VLOOKUP(ROUND(STANDARDIZE(tblY8[[#This Row],[8B01 - Digestion
Raw Score]],AVERAGE(tblY8[[8B01 - Digestion
Raw Score]]),_xlfn.STDEV.P(tblY8[[8B01 - Digestion
Raw Score]])),9),_Stanine,2),5),"")</f>
        <v>4</v>
      </c>
      <c r="T41" s="66" t="n">
        <v>14</v>
      </c>
      <c r="U41" s="67">
        <f>IF(ISNUMBER(tblY8[[#This Row],[8C02 - Metals and Acids
Raw Score]]),IFERROR(VLOOKUP(ROUND(STANDARDIZE(tblY8[[#This Row],[8C02 - Metals and Acids
Raw Score]],AVERAGE(tblY8[[8C02 - Metals and Acids
Raw Score]]),_xlfn.STDEV.P(tblY8[[8C02 - Metals and Acids
Raw Score]])),9),_Stanine,2),5),"")</f>
        <v>6</v>
      </c>
      <c r="V41" s="66" t="n">
        <v>14</v>
      </c>
      <c r="W41" s="67">
        <f>IF(ISNUMBER(tblY8[[#This Row],[8P02 - Light
Raw Score]]),IFERROR(VLOOKUP(ROUND(STANDARDIZE(tblY8[[#This Row],[8P02 - Light
Raw Score]],AVERAGE(tblY8[[8P02 - Light
Raw Score]]),_xlfn.STDEV.P(tblY8[[8P02 - Light
Raw Score]])),9),_Stanine,2),5),"")</f>
        <v>4</v>
      </c>
    </row>
    <row r="42">
      <c r="A42" s="65" t="inlineStr">
        <is>
          <t>X903276559690</t>
        </is>
      </c>
      <c r="B42" s="65" t="inlineStr">
        <is>
          <t>Johnson</t>
        </is>
      </c>
      <c r="C42" s="65" t="inlineStr">
        <is>
          <t>Amara</t>
        </is>
      </c>
      <c r="D42" s="66" t="inlineStr">
        <is>
          <t>M</t>
        </is>
      </c>
      <c r="E42" s="66" t="n"/>
      <c r="F42" s="66" t="inlineStr">
        <is>
          <t>Y</t>
        </is>
      </c>
      <c r="G42" s="34" t="n">
        <v>100</v>
      </c>
      <c r="H42" s="34" t="n">
        <v>107.5</v>
      </c>
      <c r="I42" s="67">
        <f>IF(ISNUMBER(tblY8[[#This Row],[Avg KS2]]),IFERROR(VLOOKUP(ROUND(STANDARDIZE(tblY8[[#This Row],[Avg KS2]],AVERAGE(tblY8[[Avg KS2]]),_xlfn.STDEV.P(tblY8[[Avg KS2]])),9),_Stanine,2),5),"")</f>
        <v>6</v>
      </c>
      <c r="J42" s="66" t="inlineStr">
        <is>
          <t>8A/Sc2</t>
        </is>
      </c>
      <c r="K42" s="67">
        <f>IF(tblY8[[#This Row],[Preferred Last name]]="","",COUNTIFS($N$1:$ZZ$1,"*"&amp;CHAR(10)&amp;"Stanine",$N42:$ZZ42,"&gt;=1"))</f>
        <v>4</v>
      </c>
      <c r="L42" s="68">
        <f>IFERROR(AVERAGEIF($N$1:$ZZ$1,"*"&amp;CHAR(10)&amp;"Stanine",$N42:$ZZ42),"")</f>
        <v>6</v>
      </c>
      <c r="M42" s="69">
        <f>IF(AND(ISNUMBER(tblY8[[#This Row],[Mean Stanine]]),ISNUMBER(tblY8[[#This Row],[Avg KS2 Band]]),ISNUMBER(SlopeY8)),tblY8[[#This Row],[Mean Stanine]]-(InterceptY8+SlopeY8*tblY8[[#This Row],[Avg KS2 Band]]),"")</f>
        <v>0.27922975246335</v>
      </c>
      <c r="N42" s="66" t="n">
        <v>21</v>
      </c>
      <c r="O42" s="67">
        <f>IF(ISNUMBER(tblY8[[#This Row],[8C01 - Periodic Table
Raw Score]]),IFERROR(VLOOKUP(ROUND(STANDARDIZE(tblY8[[#This Row],[8C01 - Periodic Table
Raw Score]],AVERAGE(tblY8[[8C01 - Periodic Table
Raw Score]]),_xlfn.STDEV.P(tblY8[[8C01 - Periodic Table
Raw Score]])),9),_Stanine,2),5),"")</f>
        <v>6</v>
      </c>
      <c r="P42" s="66" t="inlineStr">
        <is>
          <t>A</t>
        </is>
      </c>
      <c r="Q42" s="67" t="str">
        <f>IF(ISNUMBER(tblY8[[#This Row],[8P01 - Energy
Raw Score]]),IFERROR(VLOOKUP(ROUND(STANDARDIZE(tblY8[[#This Row],[8P01 - Energy
Raw Score]],AVERAGE(tblY8[[8P01 - Energy
Raw Score]]),_xlfn.STDEV.P(tblY8[[8P01 - Energy
Raw Score]])),9),_Stanine,2),5),"")</f>
        <v/>
      </c>
      <c r="R42" s="66" t="n">
        <v>19</v>
      </c>
      <c r="S42" s="67">
        <f>IF(ISNUMBER(tblY8[[#This Row],[8B01 - Digestion
Raw Score]]),IFERROR(VLOOKUP(ROUND(STANDARDIZE(tblY8[[#This Row],[8B01 - Digestion
Raw Score]],AVERAGE(tblY8[[8B01 - Digestion
Raw Score]]),_xlfn.STDEV.P(tblY8[[8B01 - Digestion
Raw Score]])),9),_Stanine,2),5),"")</f>
        <v>7</v>
      </c>
      <c r="T42" s="66" t="n">
        <v>15</v>
      </c>
      <c r="U42" s="67">
        <f>IF(ISNUMBER(tblY8[[#This Row],[8C02 - Metals and Acids
Raw Score]]),IFERROR(VLOOKUP(ROUND(STANDARDIZE(tblY8[[#This Row],[8C02 - Metals and Acids
Raw Score]],AVERAGE(tblY8[[8C02 - Metals and Acids
Raw Score]]),_xlfn.STDEV.P(tblY8[[8C02 - Metals and Acids
Raw Score]])),9),_Stanine,2),5),"")</f>
        <v>6</v>
      </c>
      <c r="V42" s="66" t="n">
        <v>16</v>
      </c>
      <c r="W42" s="67">
        <f>IF(ISNUMBER(tblY8[[#This Row],[8P02 - Light
Raw Score]]),IFERROR(VLOOKUP(ROUND(STANDARDIZE(tblY8[[#This Row],[8P02 - Light
Raw Score]],AVERAGE(tblY8[[8P02 - Light
Raw Score]]),_xlfn.STDEV.P(tblY8[[8P02 - Light
Raw Score]])),9),_Stanine,2),5),"")</f>
        <v>5</v>
      </c>
    </row>
    <row r="43">
      <c r="A43" s="65" t="inlineStr">
        <is>
          <t>X907762209957</t>
        </is>
      </c>
      <c r="B43" s="65" t="inlineStr">
        <is>
          <t>Kelly</t>
        </is>
      </c>
      <c r="C43" s="65" t="inlineStr">
        <is>
          <t>Jacob</t>
        </is>
      </c>
      <c r="D43" s="66" t="inlineStr">
        <is>
          <t>F</t>
        </is>
      </c>
      <c r="E43" s="66" t="inlineStr">
        <is>
          <t>N</t>
        </is>
      </c>
      <c r="F43" s="66" t="inlineStr">
        <is>
          <t>N</t>
        </is>
      </c>
      <c r="G43" s="34" t="n">
        <v>91.09999999999999</v>
      </c>
      <c r="H43" s="34" t="n">
        <v>103</v>
      </c>
      <c r="I43" s="67">
        <f>IF(ISNUMBER(tblY8[[#This Row],[Avg KS2]]),IFERROR(VLOOKUP(ROUND(STANDARDIZE(tblY8[[#This Row],[Avg KS2]],AVERAGE(tblY8[[Avg KS2]]),_xlfn.STDEV.P(tblY8[[Avg KS2]])),9),_Stanine,2),5),"")</f>
        <v>4</v>
      </c>
      <c r="J43" s="66" t="inlineStr">
        <is>
          <t>8A/Sc2</t>
        </is>
      </c>
      <c r="K43" s="67">
        <f>IF(tblY8[[#This Row],[Preferred Last name]]="","",COUNTIFS($N$1:$ZZ$1,"*"&amp;CHAR(10)&amp;"Stanine",$N43:$ZZ43,"&gt;=1"))</f>
        <v>4</v>
      </c>
      <c r="L43" s="68">
        <f>IFERROR(AVERAGEIF($N$1:$ZZ$1,"*"&amp;CHAR(10)&amp;"Stanine",$N43:$ZZ43),"")</f>
        <v>5.25</v>
      </c>
      <c r="M43" s="69">
        <f>IF(AND(ISNUMBER(tblY8[[#This Row],[Mean Stanine]]),ISNUMBER(tblY8[[#This Row],[Avg KS2 Band]]),ISNUMBER(SlopeY8)),tblY8[[#This Row],[Mean Stanine]]-(InterceptY8+SlopeY8*tblY8[[#This Row],[Avg KS2 Band]]),"")</f>
        <v>1.0870523912521</v>
      </c>
      <c r="N43" s="66" t="n">
        <v>21</v>
      </c>
      <c r="O43" s="67">
        <f>IF(ISNUMBER(tblY8[[#This Row],[8C01 - Periodic Table
Raw Score]]),IFERROR(VLOOKUP(ROUND(STANDARDIZE(tblY8[[#This Row],[8C01 - Periodic Table
Raw Score]],AVERAGE(tblY8[[8C01 - Periodic Table
Raw Score]]),_xlfn.STDEV.P(tblY8[[8C01 - Periodic Table
Raw Score]])),9),_Stanine,2),5),"")</f>
        <v>6</v>
      </c>
      <c r="P43" s="66" t="n">
        <v>12</v>
      </c>
      <c r="Q43" s="67">
        <f>IF(ISNUMBER(tblY8[[#This Row],[8P01 - Energy
Raw Score]]),IFERROR(VLOOKUP(ROUND(STANDARDIZE(tblY8[[#This Row],[8P01 - Energy
Raw Score]],AVERAGE(tblY8[[8P01 - Energy
Raw Score]]),_xlfn.STDEV.P(tblY8[[8P01 - Energy
Raw Score]])),9),_Stanine,2),5),"")</f>
        <v>6</v>
      </c>
      <c r="R43" s="66" t="n">
        <v>15</v>
      </c>
      <c r="S43" s="67">
        <f>IF(ISNUMBER(tblY8[[#This Row],[8B01 - Digestion
Raw Score]]),IFERROR(VLOOKUP(ROUND(STANDARDIZE(tblY8[[#This Row],[8B01 - Digestion
Raw Score]],AVERAGE(tblY8[[8B01 - Digestion
Raw Score]]),_xlfn.STDEV.P(tblY8[[8B01 - Digestion
Raw Score]])),9),_Stanine,2),5),"")</f>
        <v>5</v>
      </c>
      <c r="T43" s="66" t="n">
        <v>10</v>
      </c>
      <c r="U43" s="67">
        <f>IF(ISNUMBER(tblY8[[#This Row],[8C02 - Metals and Acids
Raw Score]]),IFERROR(VLOOKUP(ROUND(STANDARDIZE(tblY8[[#This Row],[8C02 - Metals and Acids
Raw Score]],AVERAGE(tblY8[[8C02 - Metals and Acids
Raw Score]]),_xlfn.STDEV.P(tblY8[[8C02 - Metals and Acids
Raw Score]])),9),_Stanine,2),5),"")</f>
        <v>4</v>
      </c>
      <c r="V43" s="66" t="inlineStr">
        <is>
          <t>A</t>
        </is>
      </c>
      <c r="W43" s="67" t="str">
        <f>IF(ISNUMBER(tblY8[[#This Row],[8P02 - Light
Raw Score]]),IFERROR(VLOOKUP(ROUND(STANDARDIZE(tblY8[[#This Row],[8P02 - Light
Raw Score]],AVERAGE(tblY8[[8P02 - Light
Raw Score]]),_xlfn.STDEV.P(tblY8[[8P02 - Light
Raw Score]])),9),_Stanine,2),5),"")</f>
        <v/>
      </c>
    </row>
    <row r="44">
      <c r="A44" s="65" t="inlineStr">
        <is>
          <t>X900504625303</t>
        </is>
      </c>
      <c r="B44" s="65" t="inlineStr">
        <is>
          <t>Kowalski</t>
        </is>
      </c>
      <c r="C44" s="65" t="inlineStr">
        <is>
          <t>Keira</t>
        </is>
      </c>
      <c r="D44" s="66" t="inlineStr">
        <is>
          <t>F</t>
        </is>
      </c>
      <c r="E44" s="66" t="inlineStr">
        <is>
          <t>N</t>
        </is>
      </c>
      <c r="F44" s="66" t="inlineStr">
        <is>
          <t>Y</t>
        </is>
      </c>
      <c r="G44" s="34" t="n">
        <v>95.09999999999999</v>
      </c>
      <c r="H44" s="34" t="n">
        <v>105.5</v>
      </c>
      <c r="I44" s="67">
        <f>IF(ISNUMBER(tblY8[[#This Row],[Avg KS2]]),IFERROR(VLOOKUP(ROUND(STANDARDIZE(tblY8[[#This Row],[Avg KS2]],AVERAGE(tblY8[[Avg KS2]]),_xlfn.STDEV.P(tblY8[[Avg KS2]])),9),_Stanine,2),5),"")</f>
        <v>5</v>
      </c>
      <c r="J44" s="66" t="inlineStr">
        <is>
          <t>8A/Sc2</t>
        </is>
      </c>
      <c r="K44" s="67">
        <f>IF(tblY8[[#This Row],[Preferred Last name]]="","",COUNTIFS($N$1:$ZZ$1,"*"&amp;CHAR(10)&amp;"Stanine",$N44:$ZZ44,"&gt;=1"))</f>
        <v>5</v>
      </c>
      <c r="L44" s="68">
        <f>IFERROR(AVERAGEIF($N$1:$ZZ$1,"*"&amp;CHAR(10)&amp;"Stanine",$N44:$ZZ44),"")</f>
        <v>3.6</v>
      </c>
      <c r="M44" s="69">
        <f>IF(AND(ISNUMBER(tblY8[[#This Row],[Mean Stanine]]),ISNUMBER(tblY8[[#This Row],[Avg KS2 Band]]),ISNUMBER(SlopeY8)),tblY8[[#This Row],[Mean Stanine]]-(InterceptY8+SlopeY8*tblY8[[#This Row],[Avg KS2 Band]]),"")</f>
        <v>-1.34185892814227</v>
      </c>
      <c r="N44" s="66" t="n">
        <v>13</v>
      </c>
      <c r="O44" s="67">
        <f>IF(ISNUMBER(tblY8[[#This Row],[8C01 - Periodic Table
Raw Score]]),IFERROR(VLOOKUP(ROUND(STANDARDIZE(tblY8[[#This Row],[8C01 - Periodic Table
Raw Score]],AVERAGE(tblY8[[8C01 - Periodic Table
Raw Score]]),_xlfn.STDEV.P(tblY8[[8C01 - Periodic Table
Raw Score]])),9),_Stanine,2),5),"")</f>
        <v>3</v>
      </c>
      <c r="P44" s="66" t="n">
        <v>5</v>
      </c>
      <c r="Q44" s="67">
        <f>IF(ISNUMBER(tblY8[[#This Row],[8P01 - Energy
Raw Score]]),IFERROR(VLOOKUP(ROUND(STANDARDIZE(tblY8[[#This Row],[8P01 - Energy
Raw Score]],AVERAGE(tblY8[[8P01 - Energy
Raw Score]]),_xlfn.STDEV.P(tblY8[[8P01 - Energy
Raw Score]])),9),_Stanine,2),5),"")</f>
        <v>3</v>
      </c>
      <c r="R44" s="66" t="n">
        <v>9</v>
      </c>
      <c r="S44" s="67">
        <f>IF(ISNUMBER(tblY8[[#This Row],[8B01 - Digestion
Raw Score]]),IFERROR(VLOOKUP(ROUND(STANDARDIZE(tblY8[[#This Row],[8B01 - Digestion
Raw Score]],AVERAGE(tblY8[[8B01 - Digestion
Raw Score]]),_xlfn.STDEV.P(tblY8[[8B01 - Digestion
Raw Score]])),9),_Stanine,2),5),"")</f>
        <v>3</v>
      </c>
      <c r="T44" s="66" t="n">
        <v>11</v>
      </c>
      <c r="U44" s="67">
        <f>IF(ISNUMBER(tblY8[[#This Row],[8C02 - Metals and Acids
Raw Score]]),IFERROR(VLOOKUP(ROUND(STANDARDIZE(tblY8[[#This Row],[8C02 - Metals and Acids
Raw Score]],AVERAGE(tblY8[[8C02 - Metals and Acids
Raw Score]]),_xlfn.STDEV.P(tblY8[[8C02 - Metals and Acids
Raw Score]])),9),_Stanine,2),5),"")</f>
        <v>5</v>
      </c>
      <c r="V44" s="66" t="n">
        <v>13</v>
      </c>
      <c r="W44" s="67">
        <f>IF(ISNUMBER(tblY8[[#This Row],[8P02 - Light
Raw Score]]),IFERROR(VLOOKUP(ROUND(STANDARDIZE(tblY8[[#This Row],[8P02 - Light
Raw Score]],AVERAGE(tblY8[[8P02 - Light
Raw Score]]),_xlfn.STDEV.P(tblY8[[8P02 - Light
Raw Score]])),9),_Stanine,2),5),"")</f>
        <v>4</v>
      </c>
    </row>
    <row r="45">
      <c r="A45" s="65" t="inlineStr">
        <is>
          <t>X907144996938</t>
        </is>
      </c>
      <c r="B45" s="65" t="inlineStr">
        <is>
          <t>Lewis</t>
        </is>
      </c>
      <c r="C45" s="65" t="inlineStr">
        <is>
          <t>Layla</t>
        </is>
      </c>
      <c r="D45" s="66" t="inlineStr">
        <is>
          <t>F</t>
        </is>
      </c>
      <c r="E45" s="66" t="inlineStr">
        <is>
          <t>N</t>
        </is>
      </c>
      <c r="F45" s="66" t="inlineStr">
        <is>
          <t>N</t>
        </is>
      </c>
      <c r="G45" s="34" t="n">
        <v>100</v>
      </c>
      <c r="H45" s="34" t="n">
        <v>108.5</v>
      </c>
      <c r="I45" s="67">
        <f>IF(ISNUMBER(tblY8[[#This Row],[Avg KS2]]),IFERROR(VLOOKUP(ROUND(STANDARDIZE(tblY8[[#This Row],[Avg KS2]],AVERAGE(tblY8[[Avg KS2]]),_xlfn.STDEV.P(tblY8[[Avg KS2]])),9),_Stanine,2),5),"")</f>
        <v>6</v>
      </c>
      <c r="J45" s="66" t="inlineStr">
        <is>
          <t>8A/Sc2</t>
        </is>
      </c>
      <c r="K45" s="67">
        <f>IF(tblY8[[#This Row],[Preferred Last name]]="","",COUNTIFS($N$1:$ZZ$1,"*"&amp;CHAR(10)&amp;"Stanine",$N45:$ZZ45,"&gt;=1"))</f>
        <v>5</v>
      </c>
      <c r="L45" s="68">
        <f>IFERROR(AVERAGEIF($N$1:$ZZ$1,"*"&amp;CHAR(10)&amp;"Stanine",$N45:$ZZ45),"")</f>
        <v>4.6</v>
      </c>
      <c r="M45" s="69">
        <f>IF(AND(ISNUMBER(tblY8[[#This Row],[Mean Stanine]]),ISNUMBER(tblY8[[#This Row],[Avg KS2 Band]]),ISNUMBER(SlopeY8)),tblY8[[#This Row],[Mean Stanine]]-(InterceptY8+SlopeY8*tblY8[[#This Row],[Avg KS2 Band]]),"")</f>
        <v>-1.12077024753665</v>
      </c>
      <c r="N45" s="66" t="n">
        <v>21</v>
      </c>
      <c r="O45" s="67">
        <f>IF(ISNUMBER(tblY8[[#This Row],[8C01 - Periodic Table
Raw Score]]),IFERROR(VLOOKUP(ROUND(STANDARDIZE(tblY8[[#This Row],[8C01 - Periodic Table
Raw Score]],AVERAGE(tblY8[[8C01 - Periodic Table
Raw Score]]),_xlfn.STDEV.P(tblY8[[8C01 - Periodic Table
Raw Score]])),9),_Stanine,2),5),"")</f>
        <v>6</v>
      </c>
      <c r="P45" s="66" t="n">
        <v>8</v>
      </c>
      <c r="Q45" s="67">
        <f>IF(ISNUMBER(tblY8[[#This Row],[8P01 - Energy
Raw Score]]),IFERROR(VLOOKUP(ROUND(STANDARDIZE(tblY8[[#This Row],[8P01 - Energy
Raw Score]],AVERAGE(tblY8[[8P01 - Energy
Raw Score]]),_xlfn.STDEV.P(tblY8[[8P01 - Energy
Raw Score]])),9),_Stanine,2),5),"")</f>
        <v>4</v>
      </c>
      <c r="R45" s="66" t="n">
        <v>10</v>
      </c>
      <c r="S45" s="67">
        <f>IF(ISNUMBER(tblY8[[#This Row],[8B01 - Digestion
Raw Score]]),IFERROR(VLOOKUP(ROUND(STANDARDIZE(tblY8[[#This Row],[8B01 - Digestion
Raw Score]],AVERAGE(tblY8[[8B01 - Digestion
Raw Score]]),_xlfn.STDEV.P(tblY8[[8B01 - Digestion
Raw Score]])),9),_Stanine,2),5),"")</f>
        <v>4</v>
      </c>
      <c r="T45" s="66" t="n">
        <v>11</v>
      </c>
      <c r="U45" s="67">
        <f>IF(ISNUMBER(tblY8[[#This Row],[8C02 - Metals and Acids
Raw Score]]),IFERROR(VLOOKUP(ROUND(STANDARDIZE(tblY8[[#This Row],[8C02 - Metals and Acids
Raw Score]],AVERAGE(tblY8[[8C02 - Metals and Acids
Raw Score]]),_xlfn.STDEV.P(tblY8[[8C02 - Metals and Acids
Raw Score]])),9),_Stanine,2),5),"")</f>
        <v>5</v>
      </c>
      <c r="V45" s="66" t="n">
        <v>14</v>
      </c>
      <c r="W45" s="67">
        <f>IF(ISNUMBER(tblY8[[#This Row],[8P02 - Light
Raw Score]]),IFERROR(VLOOKUP(ROUND(STANDARDIZE(tblY8[[#This Row],[8P02 - Light
Raw Score]],AVERAGE(tblY8[[8P02 - Light
Raw Score]]),_xlfn.STDEV.P(tblY8[[8P02 - Light
Raw Score]])),9),_Stanine,2),5),"")</f>
        <v>4</v>
      </c>
    </row>
    <row r="46">
      <c r="A46" s="65" t="inlineStr">
        <is>
          <t>X903693569526</t>
        </is>
      </c>
      <c r="B46" s="65" t="inlineStr">
        <is>
          <t>Lewis</t>
        </is>
      </c>
      <c r="C46" s="65" t="inlineStr">
        <is>
          <t>Zofia</t>
        </is>
      </c>
      <c r="D46" s="66" t="inlineStr">
        <is>
          <t>M</t>
        </is>
      </c>
      <c r="E46" s="66" t="n"/>
      <c r="F46" s="66" t="inlineStr">
        <is>
          <t>N</t>
        </is>
      </c>
      <c r="G46" s="34" t="n">
        <v>87.40000000000001</v>
      </c>
      <c r="H46" s="34" t="n">
        <v>99</v>
      </c>
      <c r="I46" s="67">
        <f>IF(ISNUMBER(tblY8[[#This Row],[Avg KS2]]),IFERROR(VLOOKUP(ROUND(STANDARDIZE(tblY8[[#This Row],[Avg KS2]],AVERAGE(tblY8[[Avg KS2]]),_xlfn.STDEV.P(tblY8[[Avg KS2]])),9),_Stanine,2),5),"")</f>
        <v>3</v>
      </c>
      <c r="J46" s="66" t="inlineStr">
        <is>
          <t>8A/Sc2</t>
        </is>
      </c>
      <c r="K46" s="67">
        <f>IF(tblY8[[#This Row],[Preferred Last name]]="","",COUNTIFS($N$1:$ZZ$1,"*"&amp;CHAR(10)&amp;"Stanine",$N46:$ZZ46,"&gt;=1"))</f>
        <v>5</v>
      </c>
      <c r="L46" s="68">
        <f>IFERROR(AVERAGEIF($N$1:$ZZ$1,"*"&amp;CHAR(10)&amp;"Stanine",$N46:$ZZ46),"")</f>
        <v>2</v>
      </c>
      <c r="M46" s="69">
        <f>IF(AND(ISNUMBER(tblY8[[#This Row],[Mean Stanine]]),ISNUMBER(tblY8[[#This Row],[Avg KS2 Band]]),ISNUMBER(SlopeY8)),tblY8[[#This Row],[Mean Stanine]]-(InterceptY8+SlopeY8*tblY8[[#This Row],[Avg KS2 Band]]),"")</f>
        <v>-1.38403628935352</v>
      </c>
      <c r="N46" s="66" t="n">
        <v>9</v>
      </c>
      <c r="O46" s="67">
        <f>IF(ISNUMBER(tblY8[[#This Row],[8C01 - Periodic Table
Raw Score]]),IFERROR(VLOOKUP(ROUND(STANDARDIZE(tblY8[[#This Row],[8C01 - Periodic Table
Raw Score]],AVERAGE(tblY8[[8C01 - Periodic Table
Raw Score]]),_xlfn.STDEV.P(tblY8[[8C01 - Periodic Table
Raw Score]])),9),_Stanine,2),5),"")</f>
        <v>2</v>
      </c>
      <c r="P46" s="66" t="n">
        <v>5</v>
      </c>
      <c r="Q46" s="67">
        <f>IF(ISNUMBER(tblY8[[#This Row],[8P01 - Energy
Raw Score]]),IFERROR(VLOOKUP(ROUND(STANDARDIZE(tblY8[[#This Row],[8P01 - Energy
Raw Score]],AVERAGE(tblY8[[8P01 - Energy
Raw Score]]),_xlfn.STDEV.P(tblY8[[8P01 - Energy
Raw Score]])),9),_Stanine,2),5),"")</f>
        <v>3</v>
      </c>
      <c r="R46" s="66" t="n">
        <v>6</v>
      </c>
      <c r="S46" s="67">
        <f>IF(ISNUMBER(tblY8[[#This Row],[8B01 - Digestion
Raw Score]]),IFERROR(VLOOKUP(ROUND(STANDARDIZE(tblY8[[#This Row],[8B01 - Digestion
Raw Score]],AVERAGE(tblY8[[8B01 - Digestion
Raw Score]]),_xlfn.STDEV.P(tblY8[[8B01 - Digestion
Raw Score]])),9),_Stanine,2),5),"")</f>
        <v>2</v>
      </c>
      <c r="T46" s="66" t="n">
        <v>3</v>
      </c>
      <c r="U46" s="67">
        <f>IF(ISNUMBER(tblY8[[#This Row],[8C02 - Metals and Acids
Raw Score]]),IFERROR(VLOOKUP(ROUND(STANDARDIZE(tblY8[[#This Row],[8C02 - Metals and Acids
Raw Score]],AVERAGE(tblY8[[8C02 - Metals and Acids
Raw Score]]),_xlfn.STDEV.P(tblY8[[8C02 - Metals and Acids
Raw Score]])),9),_Stanine,2),5),"")</f>
        <v>2</v>
      </c>
      <c r="V46" s="66" t="n">
        <v>7</v>
      </c>
      <c r="W46" s="67">
        <f>IF(ISNUMBER(tblY8[[#This Row],[8P02 - Light
Raw Score]]),IFERROR(VLOOKUP(ROUND(STANDARDIZE(tblY8[[#This Row],[8P02 - Light
Raw Score]],AVERAGE(tblY8[[8P02 - Light
Raw Score]]),_xlfn.STDEV.P(tblY8[[8P02 - Light
Raw Score]])),9),_Stanine,2),5),"")</f>
        <v>1</v>
      </c>
    </row>
    <row r="47">
      <c r="A47" s="65" t="inlineStr">
        <is>
          <t>X902069116779</t>
        </is>
      </c>
      <c r="B47" s="65" t="inlineStr">
        <is>
          <t>Lloyd</t>
        </is>
      </c>
      <c r="C47" s="65" t="inlineStr">
        <is>
          <t>Hannah</t>
        </is>
      </c>
      <c r="D47" s="66" t="inlineStr">
        <is>
          <t>F</t>
        </is>
      </c>
      <c r="E47" s="66" t="n"/>
      <c r="F47" s="66" t="inlineStr">
        <is>
          <t>N</t>
        </is>
      </c>
      <c r="G47" s="34" t="n">
        <v>100</v>
      </c>
      <c r="H47" s="34" t="n">
        <v>99</v>
      </c>
      <c r="I47" s="67">
        <f>IF(ISNUMBER(tblY8[[#This Row],[Avg KS2]]),IFERROR(VLOOKUP(ROUND(STANDARDIZE(tblY8[[#This Row],[Avg KS2]],AVERAGE(tblY8[[Avg KS2]]),_xlfn.STDEV.P(tblY8[[Avg KS2]])),9),_Stanine,2),5),"")</f>
        <v>3</v>
      </c>
      <c r="J47" s="66" t="inlineStr">
        <is>
          <t>8A/Sc2</t>
        </is>
      </c>
      <c r="K47" s="67">
        <f>IF(tblY8[[#This Row],[Preferred Last name]]="","",COUNTIFS($N$1:$ZZ$1,"*"&amp;CHAR(10)&amp;"Stanine",$N47:$ZZ47,"&gt;=1"))</f>
        <v>5</v>
      </c>
      <c r="L47" s="68">
        <f>IFERROR(AVERAGEIF($N$1:$ZZ$1,"*"&amp;CHAR(10)&amp;"Stanine",$N47:$ZZ47),"")</f>
        <v>2.8</v>
      </c>
      <c r="M47" s="69">
        <f>IF(AND(ISNUMBER(tblY8[[#This Row],[Mean Stanine]]),ISNUMBER(tblY8[[#This Row],[Avg KS2 Band]]),ISNUMBER(SlopeY8)),tblY8[[#This Row],[Mean Stanine]]-(InterceptY8+SlopeY8*tblY8[[#This Row],[Avg KS2 Band]]),"")</f>
        <v>-0.584036289353521</v>
      </c>
      <c r="N47" s="66" t="n">
        <v>17</v>
      </c>
      <c r="O47" s="67">
        <f>IF(ISNUMBER(tblY8[[#This Row],[8C01 - Periodic Table
Raw Score]]),IFERROR(VLOOKUP(ROUND(STANDARDIZE(tblY8[[#This Row],[8C01 - Periodic Table
Raw Score]],AVERAGE(tblY8[[8C01 - Periodic Table
Raw Score]]),_xlfn.STDEV.P(tblY8[[8C01 - Periodic Table
Raw Score]])),9),_Stanine,2),5),"")</f>
        <v>5</v>
      </c>
      <c r="P47" s="66" t="n">
        <v>4</v>
      </c>
      <c r="Q47" s="67">
        <f>IF(ISNUMBER(tblY8[[#This Row],[8P01 - Energy
Raw Score]]),IFERROR(VLOOKUP(ROUND(STANDARDIZE(tblY8[[#This Row],[8P01 - Energy
Raw Score]],AVERAGE(tblY8[[8P01 - Energy
Raw Score]]),_xlfn.STDEV.P(tblY8[[8P01 - Energy
Raw Score]])),9),_Stanine,2),5),"")</f>
        <v>3</v>
      </c>
      <c r="R47" s="66" t="n">
        <v>6</v>
      </c>
      <c r="S47" s="67">
        <f>IF(ISNUMBER(tblY8[[#This Row],[8B01 - Digestion
Raw Score]]),IFERROR(VLOOKUP(ROUND(STANDARDIZE(tblY8[[#This Row],[8B01 - Digestion
Raw Score]],AVERAGE(tblY8[[8B01 - Digestion
Raw Score]]),_xlfn.STDEV.P(tblY8[[8B01 - Digestion
Raw Score]])),9),_Stanine,2),5),"")</f>
        <v>2</v>
      </c>
      <c r="T47" s="66" t="n">
        <v>3</v>
      </c>
      <c r="U47" s="67">
        <f>IF(ISNUMBER(tblY8[[#This Row],[8C02 - Metals and Acids
Raw Score]]),IFERROR(VLOOKUP(ROUND(STANDARDIZE(tblY8[[#This Row],[8C02 - Metals and Acids
Raw Score]],AVERAGE(tblY8[[8C02 - Metals and Acids
Raw Score]]),_xlfn.STDEV.P(tblY8[[8C02 - Metals and Acids
Raw Score]])),9),_Stanine,2),5),"")</f>
        <v>2</v>
      </c>
      <c r="V47" s="66" t="n">
        <v>9</v>
      </c>
      <c r="W47" s="67">
        <f>IF(ISNUMBER(tblY8[[#This Row],[8P02 - Light
Raw Score]]),IFERROR(VLOOKUP(ROUND(STANDARDIZE(tblY8[[#This Row],[8P02 - Light
Raw Score]],AVERAGE(tblY8[[8P02 - Light
Raw Score]]),_xlfn.STDEV.P(tblY8[[8P02 - Light
Raw Score]])),9),_Stanine,2),5),"")</f>
        <v>2</v>
      </c>
    </row>
    <row r="48">
      <c r="A48" s="65" t="inlineStr">
        <is>
          <t>X902389690191</t>
        </is>
      </c>
      <c r="B48" s="65" t="inlineStr">
        <is>
          <t>Morgan</t>
        </is>
      </c>
      <c r="C48" s="65" t="inlineStr">
        <is>
          <t>Maya</t>
        </is>
      </c>
      <c r="D48" s="66" t="inlineStr">
        <is>
          <t>M</t>
        </is>
      </c>
      <c r="E48" s="66" t="n"/>
      <c r="F48" s="66" t="inlineStr">
        <is>
          <t>Y</t>
        </is>
      </c>
      <c r="G48" s="34" t="n">
        <v>90.5</v>
      </c>
      <c r="H48" s="34" t="n">
        <v>106.5</v>
      </c>
      <c r="I48" s="67">
        <f>IF(ISNUMBER(tblY8[[#This Row],[Avg KS2]]),IFERROR(VLOOKUP(ROUND(STANDARDIZE(tblY8[[#This Row],[Avg KS2]],AVERAGE(tblY8[[Avg KS2]]),_xlfn.STDEV.P(tblY8[[Avg KS2]])),9),_Stanine,2),5),"")</f>
        <v>6</v>
      </c>
      <c r="J48" s="66" t="inlineStr">
        <is>
          <t>8A/Sc2</t>
        </is>
      </c>
      <c r="K48" s="67">
        <f>IF(tblY8[[#This Row],[Preferred Last name]]="","",COUNTIFS($N$1:$ZZ$1,"*"&amp;CHAR(10)&amp;"Stanine",$N48:$ZZ48,"&gt;=1"))</f>
        <v>5</v>
      </c>
      <c r="L48" s="68">
        <f>IFERROR(AVERAGEIF($N$1:$ZZ$1,"*"&amp;CHAR(10)&amp;"Stanine",$N48:$ZZ48),"")</f>
        <v>4.8</v>
      </c>
      <c r="M48" s="69">
        <f>IF(AND(ISNUMBER(tblY8[[#This Row],[Mean Stanine]]),ISNUMBER(tblY8[[#This Row],[Avg KS2 Band]]),ISNUMBER(SlopeY8)),tblY8[[#This Row],[Mean Stanine]]-(InterceptY8+SlopeY8*tblY8[[#This Row],[Avg KS2 Band]]),"")</f>
        <v>-0.92077024753665</v>
      </c>
      <c r="N48" s="66" t="n">
        <v>17</v>
      </c>
      <c r="O48" s="67">
        <f>IF(ISNUMBER(tblY8[[#This Row],[8C01 - Periodic Table
Raw Score]]),IFERROR(VLOOKUP(ROUND(STANDARDIZE(tblY8[[#This Row],[8C01 - Periodic Table
Raw Score]],AVERAGE(tblY8[[8C01 - Periodic Table
Raw Score]]),_xlfn.STDEV.P(tblY8[[8C01 - Periodic Table
Raw Score]])),9),_Stanine,2),5),"")</f>
        <v>5</v>
      </c>
      <c r="P48" s="66" t="n">
        <v>10</v>
      </c>
      <c r="Q48" s="67">
        <f>IF(ISNUMBER(tblY8[[#This Row],[8P01 - Energy
Raw Score]]),IFERROR(VLOOKUP(ROUND(STANDARDIZE(tblY8[[#This Row],[8P01 - Energy
Raw Score]],AVERAGE(tblY8[[8P01 - Energy
Raw Score]]),_xlfn.STDEV.P(tblY8[[8P01 - Energy
Raw Score]])),9),_Stanine,2),5),"")</f>
        <v>5</v>
      </c>
      <c r="R48" s="66" t="n">
        <v>10</v>
      </c>
      <c r="S48" s="67">
        <f>IF(ISNUMBER(tblY8[[#This Row],[8B01 - Digestion
Raw Score]]),IFERROR(VLOOKUP(ROUND(STANDARDIZE(tblY8[[#This Row],[8B01 - Digestion
Raw Score]],AVERAGE(tblY8[[8B01 - Digestion
Raw Score]]),_xlfn.STDEV.P(tblY8[[8B01 - Digestion
Raw Score]])),9),_Stanine,2),5),"")</f>
        <v>4</v>
      </c>
      <c r="T48" s="66" t="n">
        <v>13</v>
      </c>
      <c r="U48" s="67">
        <f>IF(ISNUMBER(tblY8[[#This Row],[8C02 - Metals and Acids
Raw Score]]),IFERROR(VLOOKUP(ROUND(STANDARDIZE(tblY8[[#This Row],[8C02 - Metals and Acids
Raw Score]],AVERAGE(tblY8[[8C02 - Metals and Acids
Raw Score]]),_xlfn.STDEV.P(tblY8[[8C02 - Metals and Acids
Raw Score]])),9),_Stanine,2),5),"")</f>
        <v>6</v>
      </c>
      <c r="V48" s="66" t="n">
        <v>14</v>
      </c>
      <c r="W48" s="67">
        <f>IF(ISNUMBER(tblY8[[#This Row],[8P02 - Light
Raw Score]]),IFERROR(VLOOKUP(ROUND(STANDARDIZE(tblY8[[#This Row],[8P02 - Light
Raw Score]],AVERAGE(tblY8[[8P02 - Light
Raw Score]]),_xlfn.STDEV.P(tblY8[[8P02 - Light
Raw Score]])),9),_Stanine,2),5),"")</f>
        <v>4</v>
      </c>
    </row>
    <row r="49">
      <c r="A49" s="65" t="inlineStr">
        <is>
          <t>X901601371374</t>
        </is>
      </c>
      <c r="B49" s="65" t="inlineStr">
        <is>
          <t>Roberts</t>
        </is>
      </c>
      <c r="C49" s="65" t="inlineStr">
        <is>
          <t>Ethan</t>
        </is>
      </c>
      <c r="D49" s="66" t="inlineStr">
        <is>
          <t>M</t>
        </is>
      </c>
      <c r="E49" s="66" t="n"/>
      <c r="F49" s="66" t="inlineStr">
        <is>
          <t>N</t>
        </is>
      </c>
      <c r="G49" s="34" t="n">
        <v>89.2</v>
      </c>
      <c r="H49" s="34" t="n">
        <v>100</v>
      </c>
      <c r="I49" s="67">
        <f>IF(ISNUMBER(tblY8[[#This Row],[Avg KS2]]),IFERROR(VLOOKUP(ROUND(STANDARDIZE(tblY8[[#This Row],[Avg KS2]],AVERAGE(tblY8[[Avg KS2]]),_xlfn.STDEV.P(tblY8[[Avg KS2]])),9),_Stanine,2),5),"")</f>
        <v>3</v>
      </c>
      <c r="J49" s="66" t="inlineStr">
        <is>
          <t>8A/Sc2</t>
        </is>
      </c>
      <c r="K49" s="67">
        <f>IF(tblY8[[#This Row],[Preferred Last name]]="","",COUNTIFS($N$1:$ZZ$1,"*"&amp;CHAR(10)&amp;"Stanine",$N49:$ZZ49,"&gt;=1"))</f>
        <v>5</v>
      </c>
      <c r="L49" s="68">
        <f>IFERROR(AVERAGEIF($N$1:$ZZ$1,"*"&amp;CHAR(10)&amp;"Stanine",$N49:$ZZ49),"")</f>
        <v>6.8</v>
      </c>
      <c r="M49" s="69">
        <f>IF(AND(ISNUMBER(tblY8[[#This Row],[Mean Stanine]]),ISNUMBER(tblY8[[#This Row],[Avg KS2 Band]]),ISNUMBER(SlopeY8)),tblY8[[#This Row],[Mean Stanine]]-(InterceptY8+SlopeY8*tblY8[[#This Row],[Avg KS2 Band]]),"")</f>
        <v>3.41596371064648</v>
      </c>
      <c r="N49" s="66" t="n">
        <v>24</v>
      </c>
      <c r="O49" s="67">
        <f>IF(ISNUMBER(tblY8[[#This Row],[8C01 - Periodic Table
Raw Score]]),IFERROR(VLOOKUP(ROUND(STANDARDIZE(tblY8[[#This Row],[8C01 - Periodic Table
Raw Score]],AVERAGE(tblY8[[8C01 - Periodic Table
Raw Score]]),_xlfn.STDEV.P(tblY8[[8C01 - Periodic Table
Raw Score]])),9),_Stanine,2),5),"")</f>
        <v>7</v>
      </c>
      <c r="P49" s="66" t="n">
        <v>18</v>
      </c>
      <c r="Q49" s="67">
        <f>IF(ISNUMBER(tblY8[[#This Row],[8P01 - Energy
Raw Score]]),IFERROR(VLOOKUP(ROUND(STANDARDIZE(tblY8[[#This Row],[8P01 - Energy
Raw Score]],AVERAGE(tblY8[[8P01 - Energy
Raw Score]]),_xlfn.STDEV.P(tblY8[[8P01 - Energy
Raw Score]])),9),_Stanine,2),5),"")</f>
        <v>8</v>
      </c>
      <c r="R49" s="66" t="n">
        <v>17</v>
      </c>
      <c r="S49" s="67">
        <f>IF(ISNUMBER(tblY8[[#This Row],[8B01 - Digestion
Raw Score]]),IFERROR(VLOOKUP(ROUND(STANDARDIZE(tblY8[[#This Row],[8B01 - Digestion
Raw Score]],AVERAGE(tblY8[[8B01 - Digestion
Raw Score]]),_xlfn.STDEV.P(tblY8[[8B01 - Digestion
Raw Score]])),9),_Stanine,2),5),"")</f>
        <v>6</v>
      </c>
      <c r="T49" s="66" t="n">
        <v>15</v>
      </c>
      <c r="U49" s="67">
        <f>IF(ISNUMBER(tblY8[[#This Row],[8C02 - Metals and Acids
Raw Score]]),IFERROR(VLOOKUP(ROUND(STANDARDIZE(tblY8[[#This Row],[8C02 - Metals and Acids
Raw Score]],AVERAGE(tblY8[[8C02 - Metals and Acids
Raw Score]]),_xlfn.STDEV.P(tblY8[[8C02 - Metals and Acids
Raw Score]])),9),_Stanine,2),5),"")</f>
        <v>6</v>
      </c>
      <c r="V49" s="66" t="n">
        <v>20</v>
      </c>
      <c r="W49" s="67">
        <f>IF(ISNUMBER(tblY8[[#This Row],[8P02 - Light
Raw Score]]),IFERROR(VLOOKUP(ROUND(STANDARDIZE(tblY8[[#This Row],[8P02 - Light
Raw Score]],AVERAGE(tblY8[[8P02 - Light
Raw Score]]),_xlfn.STDEV.P(tblY8[[8P02 - Light
Raw Score]])),9),_Stanine,2),5),"")</f>
        <v>7</v>
      </c>
    </row>
    <row r="50">
      <c r="A50" s="65" t="inlineStr">
        <is>
          <t>X900804294470</t>
        </is>
      </c>
      <c r="B50" s="65" t="inlineStr">
        <is>
          <t>Thompson</t>
        </is>
      </c>
      <c r="C50" s="65" t="inlineStr">
        <is>
          <t>Rhys</t>
        </is>
      </c>
      <c r="D50" s="66" t="inlineStr">
        <is>
          <t>F</t>
        </is>
      </c>
      <c r="E50" s="66" t="inlineStr">
        <is>
          <t>N</t>
        </is>
      </c>
      <c r="F50" s="66" t="inlineStr">
        <is>
          <t>N</t>
        </is>
      </c>
      <c r="G50" s="34" t="n">
        <v>92.8</v>
      </c>
      <c r="H50" s="34" t="n">
        <v>107</v>
      </c>
      <c r="I50" s="67">
        <f>IF(ISNUMBER(tblY8[[#This Row],[Avg KS2]]),IFERROR(VLOOKUP(ROUND(STANDARDIZE(tblY8[[#This Row],[Avg KS2]],AVERAGE(tblY8[[Avg KS2]]),_xlfn.STDEV.P(tblY8[[Avg KS2]])),9),_Stanine,2),5),"")</f>
        <v>6</v>
      </c>
      <c r="J50" s="66" t="inlineStr">
        <is>
          <t>8A/Sc2</t>
        </is>
      </c>
      <c r="K50" s="67">
        <f>IF(tblY8[[#This Row],[Preferred Last name]]="","",COUNTIFS($N$1:$ZZ$1,"*"&amp;CHAR(10)&amp;"Stanine",$N50:$ZZ50,"&gt;=1"))</f>
        <v>5</v>
      </c>
      <c r="L50" s="68">
        <f>IFERROR(AVERAGEIF($N$1:$ZZ$1,"*"&amp;CHAR(10)&amp;"Stanine",$N50:$ZZ50),"")</f>
        <v>4.2</v>
      </c>
      <c r="M50" s="69">
        <f>IF(AND(ISNUMBER(tblY8[[#This Row],[Mean Stanine]]),ISNUMBER(tblY8[[#This Row],[Avg KS2 Band]]),ISNUMBER(SlopeY8)),tblY8[[#This Row],[Mean Stanine]]-(InterceptY8+SlopeY8*tblY8[[#This Row],[Avg KS2 Band]]),"")</f>
        <v>-1.52077024753665</v>
      </c>
      <c r="N50" s="66" t="n">
        <v>21</v>
      </c>
      <c r="O50" s="67">
        <f>IF(ISNUMBER(tblY8[[#This Row],[8C01 - Periodic Table
Raw Score]]),IFERROR(VLOOKUP(ROUND(STANDARDIZE(tblY8[[#This Row],[8C01 - Periodic Table
Raw Score]],AVERAGE(tblY8[[8C01 - Periodic Table
Raw Score]]),_xlfn.STDEV.P(tblY8[[8C01 - Periodic Table
Raw Score]])),9),_Stanine,2),5),"")</f>
        <v>6</v>
      </c>
      <c r="P50" s="66" t="n">
        <v>6</v>
      </c>
      <c r="Q50" s="67">
        <f>IF(ISNUMBER(tblY8[[#This Row],[8P01 - Energy
Raw Score]]),IFERROR(VLOOKUP(ROUND(STANDARDIZE(tblY8[[#This Row],[8P01 - Energy
Raw Score]],AVERAGE(tblY8[[8P01 - Energy
Raw Score]]),_xlfn.STDEV.P(tblY8[[8P01 - Energy
Raw Score]])),9),_Stanine,2),5),"")</f>
        <v>3</v>
      </c>
      <c r="R50" s="66" t="n">
        <v>14</v>
      </c>
      <c r="S50" s="67">
        <f>IF(ISNUMBER(tblY8[[#This Row],[8B01 - Digestion
Raw Score]]),IFERROR(VLOOKUP(ROUND(STANDARDIZE(tblY8[[#This Row],[8B01 - Digestion
Raw Score]],AVERAGE(tblY8[[8B01 - Digestion
Raw Score]]),_xlfn.STDEV.P(tblY8[[8B01 - Digestion
Raw Score]])),9),_Stanine,2),5),"")</f>
        <v>5</v>
      </c>
      <c r="T50" s="66" t="n">
        <v>9</v>
      </c>
      <c r="U50" s="67">
        <f>IF(ISNUMBER(tblY8[[#This Row],[8C02 - Metals and Acids
Raw Score]]),IFERROR(VLOOKUP(ROUND(STANDARDIZE(tblY8[[#This Row],[8C02 - Metals and Acids
Raw Score]],AVERAGE(tblY8[[8C02 - Metals and Acids
Raw Score]]),_xlfn.STDEV.P(tblY8[[8C02 - Metals and Acids
Raw Score]])),9),_Stanine,2),5),"")</f>
        <v>4</v>
      </c>
      <c r="V50" s="66" t="n">
        <v>11</v>
      </c>
      <c r="W50" s="67">
        <f>IF(ISNUMBER(tblY8[[#This Row],[8P02 - Light
Raw Score]]),IFERROR(VLOOKUP(ROUND(STANDARDIZE(tblY8[[#This Row],[8P02 - Light
Raw Score]],AVERAGE(tblY8[[8P02 - Light
Raw Score]]),_xlfn.STDEV.P(tblY8[[8P02 - Light
Raw Score]])),9),_Stanine,2),5),"")</f>
        <v>3</v>
      </c>
    </row>
    <row r="51">
      <c r="A51" s="65" t="inlineStr">
        <is>
          <t>X907109221692</t>
        </is>
      </c>
      <c r="B51" s="65" t="inlineStr">
        <is>
          <t>White</t>
        </is>
      </c>
      <c r="C51" s="65" t="inlineStr">
        <is>
          <t>Freya</t>
        </is>
      </c>
      <c r="D51" s="66" t="inlineStr">
        <is>
          <t>F</t>
        </is>
      </c>
      <c r="E51" s="66" t="inlineStr">
        <is>
          <t>K</t>
        </is>
      </c>
      <c r="F51" s="66" t="inlineStr">
        <is>
          <t>N</t>
        </is>
      </c>
      <c r="G51" s="34" t="n">
        <v>86.2</v>
      </c>
      <c r="H51" s="34" t="n">
        <v>110.5</v>
      </c>
      <c r="I51" s="67">
        <f>IF(ISNUMBER(tblY8[[#This Row],[Avg KS2]]),IFERROR(VLOOKUP(ROUND(STANDARDIZE(tblY8[[#This Row],[Avg KS2]],AVERAGE(tblY8[[Avg KS2]]),_xlfn.STDEV.P(tblY8[[Avg KS2]])),9),_Stanine,2),5),"")</f>
        <v>7</v>
      </c>
      <c r="J51" s="66" t="inlineStr">
        <is>
          <t>8A/Sc2</t>
        </is>
      </c>
      <c r="K51" s="67">
        <f>IF(tblY8[[#This Row],[Preferred Last name]]="","",COUNTIFS($N$1:$ZZ$1,"*"&amp;CHAR(10)&amp;"Stanine",$N51:$ZZ51,"&gt;=1"))</f>
        <v>5</v>
      </c>
      <c r="L51" s="68">
        <f>IFERROR(AVERAGEIF($N$1:$ZZ$1,"*"&amp;CHAR(10)&amp;"Stanine",$N51:$ZZ51),"")</f>
        <v>6</v>
      </c>
      <c r="M51" s="69">
        <f>IF(AND(ISNUMBER(tblY8[[#This Row],[Mean Stanine]]),ISNUMBER(tblY8[[#This Row],[Avg KS2 Band]]),ISNUMBER(SlopeY8)),tblY8[[#This Row],[Mean Stanine]]-(InterceptY8+SlopeY8*tblY8[[#This Row],[Avg KS2 Band]]),"")</f>
        <v>-0.499681566931026</v>
      </c>
      <c r="N51" s="66" t="n">
        <v>22</v>
      </c>
      <c r="O51" s="67">
        <f>IF(ISNUMBER(tblY8[[#This Row],[8C01 - Periodic Table
Raw Score]]),IFERROR(VLOOKUP(ROUND(STANDARDIZE(tblY8[[#This Row],[8C01 - Periodic Table
Raw Score]],AVERAGE(tblY8[[8C01 - Periodic Table
Raw Score]]),_xlfn.STDEV.P(tblY8[[8C01 - Periodic Table
Raw Score]])),9),_Stanine,2),5),"")</f>
        <v>6</v>
      </c>
      <c r="P51" s="66" t="n">
        <v>14</v>
      </c>
      <c r="Q51" s="67">
        <f>IF(ISNUMBER(tblY8[[#This Row],[8P01 - Energy
Raw Score]]),IFERROR(VLOOKUP(ROUND(STANDARDIZE(tblY8[[#This Row],[8P01 - Energy
Raw Score]],AVERAGE(tblY8[[8P01 - Energy
Raw Score]]),_xlfn.STDEV.P(tblY8[[8P01 - Energy
Raw Score]])),9),_Stanine,2),5),"")</f>
        <v>6</v>
      </c>
      <c r="R51" s="66" t="n">
        <v>18</v>
      </c>
      <c r="S51" s="67">
        <f>IF(ISNUMBER(tblY8[[#This Row],[8B01 - Digestion
Raw Score]]),IFERROR(VLOOKUP(ROUND(STANDARDIZE(tblY8[[#This Row],[8B01 - Digestion
Raw Score]],AVERAGE(tblY8[[8B01 - Digestion
Raw Score]]),_xlfn.STDEV.P(tblY8[[8B01 - Digestion
Raw Score]])),9),_Stanine,2),5),"")</f>
        <v>6</v>
      </c>
      <c r="T51" s="66" t="n">
        <v>18</v>
      </c>
      <c r="U51" s="67">
        <f>IF(ISNUMBER(tblY8[[#This Row],[8C02 - Metals and Acids
Raw Score]]),IFERROR(VLOOKUP(ROUND(STANDARDIZE(tblY8[[#This Row],[8C02 - Metals and Acids
Raw Score]],AVERAGE(tblY8[[8C02 - Metals and Acids
Raw Score]]),_xlfn.STDEV.P(tblY8[[8C02 - Metals and Acids
Raw Score]])),9),_Stanine,2),5),"")</f>
        <v>7</v>
      </c>
      <c r="V51" s="66" t="n">
        <v>16</v>
      </c>
      <c r="W51" s="67">
        <f>IF(ISNUMBER(tblY8[[#This Row],[8P02 - Light
Raw Score]]),IFERROR(VLOOKUP(ROUND(STANDARDIZE(tblY8[[#This Row],[8P02 - Light
Raw Score]],AVERAGE(tblY8[[8P02 - Light
Raw Score]]),_xlfn.STDEV.P(tblY8[[8P02 - Light
Raw Score]])),9),_Stanine,2),5),"")</f>
        <v>5</v>
      </c>
    </row>
    <row r="52">
      <c r="A52" s="65" t="inlineStr">
        <is>
          <t>X903411923764</t>
        </is>
      </c>
      <c r="B52" s="65" t="inlineStr">
        <is>
          <t>Williams</t>
        </is>
      </c>
      <c r="C52" s="65" t="inlineStr">
        <is>
          <t>Reuben</t>
        </is>
      </c>
      <c r="D52" s="66" t="inlineStr">
        <is>
          <t>F</t>
        </is>
      </c>
      <c r="E52" s="66" t="inlineStr">
        <is>
          <t>K</t>
        </is>
      </c>
      <c r="F52" s="66" t="inlineStr">
        <is>
          <t>N</t>
        </is>
      </c>
      <c r="G52" s="34" t="n">
        <v>99.5</v>
      </c>
      <c r="H52" s="34" t="n">
        <v>108</v>
      </c>
      <c r="I52" s="67">
        <f>IF(ISNUMBER(tblY8[[#This Row],[Avg KS2]]),IFERROR(VLOOKUP(ROUND(STANDARDIZE(tblY8[[#This Row],[Avg KS2]],AVERAGE(tblY8[[Avg KS2]]),_xlfn.STDEV.P(tblY8[[Avg KS2]])),9),_Stanine,2),5),"")</f>
        <v>6</v>
      </c>
      <c r="J52" s="66" t="inlineStr">
        <is>
          <t>8A/Sc2</t>
        </is>
      </c>
      <c r="K52" s="67">
        <f>IF(tblY8[[#This Row],[Preferred Last name]]="","",COUNTIFS($N$1:$ZZ$1,"*"&amp;CHAR(10)&amp;"Stanine",$N52:$ZZ52,"&gt;=1"))</f>
        <v>5</v>
      </c>
      <c r="L52" s="68">
        <f>IFERROR(AVERAGEIF($N$1:$ZZ$1,"*"&amp;CHAR(10)&amp;"Stanine",$N52:$ZZ52),"")</f>
        <v>5.6</v>
      </c>
      <c r="M52" s="69">
        <f>IF(AND(ISNUMBER(tblY8[[#This Row],[Mean Stanine]]),ISNUMBER(tblY8[[#This Row],[Avg KS2 Band]]),ISNUMBER(SlopeY8)),tblY8[[#This Row],[Mean Stanine]]-(InterceptY8+SlopeY8*tblY8[[#This Row],[Avg KS2 Band]]),"")</f>
        <v>-0.12077024753665</v>
      </c>
      <c r="N52" s="66" t="n">
        <v>19</v>
      </c>
      <c r="O52" s="67">
        <f>IF(ISNUMBER(tblY8[[#This Row],[8C01 - Periodic Table
Raw Score]]),IFERROR(VLOOKUP(ROUND(STANDARDIZE(tblY8[[#This Row],[8C01 - Periodic Table
Raw Score]],AVERAGE(tblY8[[8C01 - Periodic Table
Raw Score]]),_xlfn.STDEV.P(tblY8[[8C01 - Periodic Table
Raw Score]])),9),_Stanine,2),5),"")</f>
        <v>5</v>
      </c>
      <c r="P52" s="66" t="n">
        <v>12</v>
      </c>
      <c r="Q52" s="67">
        <f>IF(ISNUMBER(tblY8[[#This Row],[8P01 - Energy
Raw Score]]),IFERROR(VLOOKUP(ROUND(STANDARDIZE(tblY8[[#This Row],[8P01 - Energy
Raw Score]],AVERAGE(tblY8[[8P01 - Energy
Raw Score]]),_xlfn.STDEV.P(tblY8[[8P01 - Energy
Raw Score]])),9),_Stanine,2),5),"")</f>
        <v>6</v>
      </c>
      <c r="R52" s="66" t="n">
        <v>16</v>
      </c>
      <c r="S52" s="67">
        <f>IF(ISNUMBER(tblY8[[#This Row],[8B01 - Digestion
Raw Score]]),IFERROR(VLOOKUP(ROUND(STANDARDIZE(tblY8[[#This Row],[8B01 - Digestion
Raw Score]],AVERAGE(tblY8[[8B01 - Digestion
Raw Score]]),_xlfn.STDEV.P(tblY8[[8B01 - Digestion
Raw Score]])),9),_Stanine,2),5),"")</f>
        <v>6</v>
      </c>
      <c r="T52" s="66" t="n">
        <v>15</v>
      </c>
      <c r="U52" s="67">
        <f>IF(ISNUMBER(tblY8[[#This Row],[8C02 - Metals and Acids
Raw Score]]),IFERROR(VLOOKUP(ROUND(STANDARDIZE(tblY8[[#This Row],[8C02 - Metals and Acids
Raw Score]],AVERAGE(tblY8[[8C02 - Metals and Acids
Raw Score]]),_xlfn.STDEV.P(tblY8[[8C02 - Metals and Acids
Raw Score]])),9),_Stanine,2),5),"")</f>
        <v>6</v>
      </c>
      <c r="V52" s="66" t="n">
        <v>16</v>
      </c>
      <c r="W52" s="67">
        <f>IF(ISNUMBER(tblY8[[#This Row],[8P02 - Light
Raw Score]]),IFERROR(VLOOKUP(ROUND(STANDARDIZE(tblY8[[#This Row],[8P02 - Light
Raw Score]],AVERAGE(tblY8[[8P02 - Light
Raw Score]]),_xlfn.STDEV.P(tblY8[[8P02 - Light
Raw Score]])),9),_Stanine,2),5),"")</f>
        <v>5</v>
      </c>
    </row>
    <row r="53">
      <c r="A53" s="65" t="inlineStr">
        <is>
          <t>X904715173343</t>
        </is>
      </c>
      <c r="B53" s="65" t="inlineStr">
        <is>
          <t>Wilson</t>
        </is>
      </c>
      <c r="C53" s="65" t="inlineStr">
        <is>
          <t>Ivy</t>
        </is>
      </c>
      <c r="D53" s="66" t="inlineStr">
        <is>
          <t>M</t>
        </is>
      </c>
      <c r="E53" s="66" t="inlineStr">
        <is>
          <t>N</t>
        </is>
      </c>
      <c r="F53" s="66" t="inlineStr">
        <is>
          <t>Y</t>
        </is>
      </c>
      <c r="G53" s="34" t="n">
        <v>85.40000000000001</v>
      </c>
      <c r="H53" s="34" t="n">
        <v>108</v>
      </c>
      <c r="I53" s="67">
        <f>IF(ISNUMBER(tblY8[[#This Row],[Avg KS2]]),IFERROR(VLOOKUP(ROUND(STANDARDIZE(tblY8[[#This Row],[Avg KS2]],AVERAGE(tblY8[[Avg KS2]]),_xlfn.STDEV.P(tblY8[[Avg KS2]])),9),_Stanine,2),5),"")</f>
        <v>6</v>
      </c>
      <c r="J53" s="66" t="inlineStr">
        <is>
          <t>8A/Sc2</t>
        </is>
      </c>
      <c r="K53" s="67">
        <f>IF(tblY8[[#This Row],[Preferred Last name]]="","",COUNTIFS($N$1:$ZZ$1,"*"&amp;CHAR(10)&amp;"Stanine",$N53:$ZZ53,"&gt;=1"))</f>
        <v>4</v>
      </c>
      <c r="L53" s="68">
        <f>IFERROR(AVERAGEIF($N$1:$ZZ$1,"*"&amp;CHAR(10)&amp;"Stanine",$N53:$ZZ53),"")</f>
        <v>5</v>
      </c>
      <c r="M53" s="69">
        <f>IF(AND(ISNUMBER(tblY8[[#This Row],[Mean Stanine]]),ISNUMBER(tblY8[[#This Row],[Avg KS2 Band]]),ISNUMBER(SlopeY8)),tblY8[[#This Row],[Mean Stanine]]-(InterceptY8+SlopeY8*tblY8[[#This Row],[Avg KS2 Band]]),"")</f>
        <v>-0.72077024753665</v>
      </c>
      <c r="N53" s="66" t="n">
        <v>21</v>
      </c>
      <c r="O53" s="67">
        <f>IF(ISNUMBER(tblY8[[#This Row],[8C01 - Periodic Table
Raw Score]]),IFERROR(VLOOKUP(ROUND(STANDARDIZE(tblY8[[#This Row],[8C01 - Periodic Table
Raw Score]],AVERAGE(tblY8[[8C01 - Periodic Table
Raw Score]]),_xlfn.STDEV.P(tblY8[[8C01 - Periodic Table
Raw Score]])),9),_Stanine,2),5),"")</f>
        <v>6</v>
      </c>
      <c r="P53" s="66" t="inlineStr">
        <is>
          <t>A</t>
        </is>
      </c>
      <c r="Q53" s="67" t="str">
        <f>IF(ISNUMBER(tblY8[[#This Row],[8P01 - Energy
Raw Score]]),IFERROR(VLOOKUP(ROUND(STANDARDIZE(tblY8[[#This Row],[8P01 - Energy
Raw Score]],AVERAGE(tblY8[[8P01 - Energy
Raw Score]]),_xlfn.STDEV.P(tblY8[[8P01 - Energy
Raw Score]])),9),_Stanine,2),5),"")</f>
        <v/>
      </c>
      <c r="R53" s="66" t="n">
        <v>14</v>
      </c>
      <c r="S53" s="67">
        <f>IF(ISNUMBER(tblY8[[#This Row],[8B01 - Digestion
Raw Score]]),IFERROR(VLOOKUP(ROUND(STANDARDIZE(tblY8[[#This Row],[8B01 - Digestion
Raw Score]],AVERAGE(tblY8[[8B01 - Digestion
Raw Score]]),_xlfn.STDEV.P(tblY8[[8B01 - Digestion
Raw Score]])),9),_Stanine,2),5),"")</f>
        <v>5</v>
      </c>
      <c r="T53" s="66" t="n">
        <v>10</v>
      </c>
      <c r="U53" s="67">
        <f>IF(ISNUMBER(tblY8[[#This Row],[8C02 - Metals and Acids
Raw Score]]),IFERROR(VLOOKUP(ROUND(STANDARDIZE(tblY8[[#This Row],[8C02 - Metals and Acids
Raw Score]],AVERAGE(tblY8[[8C02 - Metals and Acids
Raw Score]]),_xlfn.STDEV.P(tblY8[[8C02 - Metals and Acids
Raw Score]])),9),_Stanine,2),5),"")</f>
        <v>4</v>
      </c>
      <c r="V53" s="66" t="n">
        <v>15</v>
      </c>
      <c r="W53" s="67">
        <f>IF(ISNUMBER(tblY8[[#This Row],[8P02 - Light
Raw Score]]),IFERROR(VLOOKUP(ROUND(STANDARDIZE(tblY8[[#This Row],[8P02 - Light
Raw Score]],AVERAGE(tblY8[[8P02 - Light
Raw Score]]),_xlfn.STDEV.P(tblY8[[8P02 - Light
Raw Score]])),9),_Stanine,2),5),"")</f>
        <v>5</v>
      </c>
    </row>
    <row r="54">
      <c r="A54" s="65" t="inlineStr">
        <is>
          <t>X906921399090</t>
        </is>
      </c>
      <c r="B54" s="65" t="inlineStr">
        <is>
          <t>Wright</t>
        </is>
      </c>
      <c r="C54" s="65" t="inlineStr">
        <is>
          <t>Arthur</t>
        </is>
      </c>
      <c r="D54" s="66" t="inlineStr">
        <is>
          <t>F</t>
        </is>
      </c>
      <c r="E54" s="66" t="inlineStr">
        <is>
          <t>N</t>
        </is>
      </c>
      <c r="F54" s="66" t="inlineStr">
        <is>
          <t>Y</t>
        </is>
      </c>
      <c r="G54" s="34" t="n">
        <v>98</v>
      </c>
      <c r="H54" s="34" t="n">
        <v>99.5</v>
      </c>
      <c r="I54" s="67">
        <f>IF(ISNUMBER(tblY8[[#This Row],[Avg KS2]]),IFERROR(VLOOKUP(ROUND(STANDARDIZE(tblY8[[#This Row],[Avg KS2]],AVERAGE(tblY8[[Avg KS2]]),_xlfn.STDEV.P(tblY8[[Avg KS2]])),9),_Stanine,2),5),"")</f>
        <v>3</v>
      </c>
      <c r="J54" s="66" t="inlineStr">
        <is>
          <t>8A/Sc2</t>
        </is>
      </c>
      <c r="K54" s="67">
        <f>IF(tblY8[[#This Row],[Preferred Last name]]="","",COUNTIFS($N$1:$ZZ$1,"*"&amp;CHAR(10)&amp;"Stanine",$N54:$ZZ54,"&gt;=1"))</f>
        <v>5</v>
      </c>
      <c r="L54" s="68">
        <f>IFERROR(AVERAGEIF($N$1:$ZZ$1,"*"&amp;CHAR(10)&amp;"Stanine",$N54:$ZZ54),"")</f>
        <v>3</v>
      </c>
      <c r="M54" s="69">
        <f>IF(AND(ISNUMBER(tblY8[[#This Row],[Mean Stanine]]),ISNUMBER(tblY8[[#This Row],[Avg KS2 Band]]),ISNUMBER(SlopeY8)),tblY8[[#This Row],[Mean Stanine]]-(InterceptY8+SlopeY8*tblY8[[#This Row],[Avg KS2 Band]]),"")</f>
        <v>-0.384036289353521</v>
      </c>
      <c r="N54" s="66" t="n">
        <v>16</v>
      </c>
      <c r="O54" s="67">
        <f>IF(ISNUMBER(tblY8[[#This Row],[8C01 - Periodic Table
Raw Score]]),IFERROR(VLOOKUP(ROUND(STANDARDIZE(tblY8[[#This Row],[8C01 - Periodic Table
Raw Score]],AVERAGE(tblY8[[8C01 - Periodic Table
Raw Score]]),_xlfn.STDEV.P(tblY8[[8C01 - Periodic Table
Raw Score]])),9),_Stanine,2),5),"")</f>
        <v>4</v>
      </c>
      <c r="P54" s="66" t="n">
        <v>6</v>
      </c>
      <c r="Q54" s="67">
        <f>IF(ISNUMBER(tblY8[[#This Row],[8P01 - Energy
Raw Score]]),IFERROR(VLOOKUP(ROUND(STANDARDIZE(tblY8[[#This Row],[8P01 - Energy
Raw Score]],AVERAGE(tblY8[[8P01 - Energy
Raw Score]]),_xlfn.STDEV.P(tblY8[[8P01 - Energy
Raw Score]])),9),_Stanine,2),5),"")</f>
        <v>3</v>
      </c>
      <c r="R54" s="66" t="n">
        <v>11</v>
      </c>
      <c r="S54" s="67">
        <f>IF(ISNUMBER(tblY8[[#This Row],[8B01 - Digestion
Raw Score]]),IFERROR(VLOOKUP(ROUND(STANDARDIZE(tblY8[[#This Row],[8B01 - Digestion
Raw Score]],AVERAGE(tblY8[[8B01 - Digestion
Raw Score]]),_xlfn.STDEV.P(tblY8[[8B01 - Digestion
Raw Score]])),9),_Stanine,2),5),"")</f>
        <v>4</v>
      </c>
      <c r="T54" s="66" t="n">
        <v>6</v>
      </c>
      <c r="U54" s="67">
        <f>IF(ISNUMBER(tblY8[[#This Row],[8C02 - Metals and Acids
Raw Score]]),IFERROR(VLOOKUP(ROUND(STANDARDIZE(tblY8[[#This Row],[8C02 - Metals and Acids
Raw Score]],AVERAGE(tblY8[[8C02 - Metals and Acids
Raw Score]]),_xlfn.STDEV.P(tblY8[[8C02 - Metals and Acids
Raw Score]])),9),_Stanine,2),5),"")</f>
        <v>3</v>
      </c>
      <c r="V54" s="66" t="n">
        <v>8</v>
      </c>
      <c r="W54" s="67">
        <f>IF(ISNUMBER(tblY8[[#This Row],[8P02 - Light
Raw Score]]),IFERROR(VLOOKUP(ROUND(STANDARDIZE(tblY8[[#This Row],[8P02 - Light
Raw Score]],AVERAGE(tblY8[[8P02 - Light
Raw Score]]),_xlfn.STDEV.P(tblY8[[8P02 - Light
Raw Score]])),9),_Stanine,2),5),"")</f>
        <v>1</v>
      </c>
    </row>
    <row r="55">
      <c r="A55" s="65" t="inlineStr">
        <is>
          <t>X908478030243</t>
        </is>
      </c>
      <c r="B55" s="65" t="inlineStr">
        <is>
          <t>Begum</t>
        </is>
      </c>
      <c r="C55" s="65" t="inlineStr">
        <is>
          <t>Ethan</t>
        </is>
      </c>
      <c r="D55" s="66" t="inlineStr">
        <is>
          <t>F</t>
        </is>
      </c>
      <c r="E55" s="66" t="inlineStr">
        <is>
          <t>K</t>
        </is>
      </c>
      <c r="F55" s="66" t="inlineStr">
        <is>
          <t>Y</t>
        </is>
      </c>
      <c r="G55" s="34" t="n">
        <v>97.5</v>
      </c>
      <c r="H55" s="34" t="n">
        <v>108</v>
      </c>
      <c r="I55" s="67">
        <f>IF(ISNUMBER(tblY8[[#This Row],[Avg KS2]]),IFERROR(VLOOKUP(ROUND(STANDARDIZE(tblY8[[#This Row],[Avg KS2]],AVERAGE(tblY8[[Avg KS2]]),_xlfn.STDEV.P(tblY8[[Avg KS2]])),9),_Stanine,2),5),"")</f>
        <v>6</v>
      </c>
      <c r="J55" s="66" t="inlineStr">
        <is>
          <t>8A/Sc3</t>
        </is>
      </c>
      <c r="K55" s="67">
        <f>IF(tblY8[[#This Row],[Preferred Last name]]="","",COUNTIFS($N$1:$ZZ$1,"*"&amp;CHAR(10)&amp;"Stanine",$N55:$ZZ55,"&gt;=1"))</f>
        <v>5</v>
      </c>
      <c r="L55" s="68">
        <f>IFERROR(AVERAGEIF($N$1:$ZZ$1,"*"&amp;CHAR(10)&amp;"Stanine",$N55:$ZZ55),"")</f>
        <v>6.6</v>
      </c>
      <c r="M55" s="69">
        <f>IF(AND(ISNUMBER(tblY8[[#This Row],[Mean Stanine]]),ISNUMBER(tblY8[[#This Row],[Avg KS2 Band]]),ISNUMBER(SlopeY8)),tblY8[[#This Row],[Mean Stanine]]-(InterceptY8+SlopeY8*tblY8[[#This Row],[Avg KS2 Band]]),"")</f>
        <v>0.87922975246335</v>
      </c>
      <c r="N55" s="66" t="n">
        <v>23</v>
      </c>
      <c r="O55" s="67">
        <f>IF(ISNUMBER(tblY8[[#This Row],[8C01 - Periodic Table
Raw Score]]),IFERROR(VLOOKUP(ROUND(STANDARDIZE(tblY8[[#This Row],[8C01 - Periodic Table
Raw Score]],AVERAGE(tblY8[[8C01 - Periodic Table
Raw Score]]),_xlfn.STDEV.P(tblY8[[8C01 - Periodic Table
Raw Score]])),9),_Stanine,2),5),"")</f>
        <v>7</v>
      </c>
      <c r="P55" s="66" t="n">
        <v>12</v>
      </c>
      <c r="Q55" s="67">
        <f>IF(ISNUMBER(tblY8[[#This Row],[8P01 - Energy
Raw Score]]),IFERROR(VLOOKUP(ROUND(STANDARDIZE(tblY8[[#This Row],[8P01 - Energy
Raw Score]],AVERAGE(tblY8[[8P01 - Energy
Raw Score]]),_xlfn.STDEV.P(tblY8[[8P01 - Energy
Raw Score]])),9),_Stanine,2),5),"")</f>
        <v>6</v>
      </c>
      <c r="R55" s="66" t="n">
        <v>19</v>
      </c>
      <c r="S55" s="67">
        <f>IF(ISNUMBER(tblY8[[#This Row],[8B01 - Digestion
Raw Score]]),IFERROR(VLOOKUP(ROUND(STANDARDIZE(tblY8[[#This Row],[8B01 - Digestion
Raw Score]],AVERAGE(tblY8[[8B01 - Digestion
Raw Score]]),_xlfn.STDEV.P(tblY8[[8B01 - Digestion
Raw Score]])),9),_Stanine,2),5),"")</f>
        <v>7</v>
      </c>
      <c r="T55" s="66" t="n">
        <v>16</v>
      </c>
      <c r="U55" s="67">
        <f>IF(ISNUMBER(tblY8[[#This Row],[8C02 - Metals and Acids
Raw Score]]),IFERROR(VLOOKUP(ROUND(STANDARDIZE(tblY8[[#This Row],[8C02 - Metals and Acids
Raw Score]],AVERAGE(tblY8[[8C02 - Metals and Acids
Raw Score]]),_xlfn.STDEV.P(tblY8[[8C02 - Metals and Acids
Raw Score]])),9),_Stanine,2),5),"")</f>
        <v>7</v>
      </c>
      <c r="V55" s="66" t="n">
        <v>18</v>
      </c>
      <c r="W55" s="67">
        <f>IF(ISNUMBER(tblY8[[#This Row],[8P02 - Light
Raw Score]]),IFERROR(VLOOKUP(ROUND(STANDARDIZE(tblY8[[#This Row],[8P02 - Light
Raw Score]],AVERAGE(tblY8[[8P02 - Light
Raw Score]]),_xlfn.STDEV.P(tblY8[[8P02 - Light
Raw Score]])),9),_Stanine,2),5),"")</f>
        <v>6</v>
      </c>
    </row>
    <row r="56">
      <c r="A56" s="65" t="inlineStr">
        <is>
          <t>X908666421864</t>
        </is>
      </c>
      <c r="B56" s="65" t="inlineStr">
        <is>
          <t>Brown</t>
        </is>
      </c>
      <c r="C56" s="65" t="inlineStr">
        <is>
          <t>George</t>
        </is>
      </c>
      <c r="D56" s="66" t="inlineStr">
        <is>
          <t>F</t>
        </is>
      </c>
      <c r="E56" s="66" t="inlineStr">
        <is>
          <t>N</t>
        </is>
      </c>
      <c r="F56" s="66" t="inlineStr">
        <is>
          <t>N</t>
        </is>
      </c>
      <c r="G56" s="34" t="n">
        <v>93.8</v>
      </c>
      <c r="H56" s="34" t="n">
        <v>104.5</v>
      </c>
      <c r="I56" s="67">
        <f>IF(ISNUMBER(tblY8[[#This Row],[Avg KS2]]),IFERROR(VLOOKUP(ROUND(STANDARDIZE(tblY8[[#This Row],[Avg KS2]],AVERAGE(tblY8[[Avg KS2]]),_xlfn.STDEV.P(tblY8[[Avg KS2]])),9),_Stanine,2),5),"")</f>
        <v>5</v>
      </c>
      <c r="J56" s="66" t="inlineStr">
        <is>
          <t>8A/Sc3</t>
        </is>
      </c>
      <c r="K56" s="67">
        <f>IF(tblY8[[#This Row],[Preferred Last name]]="","",COUNTIFS($N$1:$ZZ$1,"*"&amp;CHAR(10)&amp;"Stanine",$N56:$ZZ56,"&gt;=1"))</f>
        <v>5</v>
      </c>
      <c r="L56" s="68">
        <f>IFERROR(AVERAGEIF($N$1:$ZZ$1,"*"&amp;CHAR(10)&amp;"Stanine",$N56:$ZZ56),"")</f>
        <v>3.4</v>
      </c>
      <c r="M56" s="69">
        <f>IF(AND(ISNUMBER(tblY8[[#This Row],[Mean Stanine]]),ISNUMBER(tblY8[[#This Row],[Avg KS2 Band]]),ISNUMBER(SlopeY8)),tblY8[[#This Row],[Mean Stanine]]-(InterceptY8+SlopeY8*tblY8[[#This Row],[Avg KS2 Band]]),"")</f>
        <v>-1.54185892814227</v>
      </c>
      <c r="N56" s="66" t="n">
        <v>13</v>
      </c>
      <c r="O56" s="67">
        <f>IF(ISNUMBER(tblY8[[#This Row],[8C01 - Periodic Table
Raw Score]]),IFERROR(VLOOKUP(ROUND(STANDARDIZE(tblY8[[#This Row],[8C01 - Periodic Table
Raw Score]],AVERAGE(tblY8[[8C01 - Periodic Table
Raw Score]]),_xlfn.STDEV.P(tblY8[[8C01 - Periodic Table
Raw Score]])),9),_Stanine,2),5),"")</f>
        <v>3</v>
      </c>
      <c r="P56" s="66" t="n">
        <v>8</v>
      </c>
      <c r="Q56" s="67">
        <f>IF(ISNUMBER(tblY8[[#This Row],[8P01 - Energy
Raw Score]]),IFERROR(VLOOKUP(ROUND(STANDARDIZE(tblY8[[#This Row],[8P01 - Energy
Raw Score]],AVERAGE(tblY8[[8P01 - Energy
Raw Score]]),_xlfn.STDEV.P(tblY8[[8P01 - Energy
Raw Score]])),9),_Stanine,2),5),"")</f>
        <v>4</v>
      </c>
      <c r="R56" s="66" t="n">
        <v>9</v>
      </c>
      <c r="S56" s="67">
        <f>IF(ISNUMBER(tblY8[[#This Row],[8B01 - Digestion
Raw Score]]),IFERROR(VLOOKUP(ROUND(STANDARDIZE(tblY8[[#This Row],[8B01 - Digestion
Raw Score]],AVERAGE(tblY8[[8B01 - Digestion
Raw Score]]),_xlfn.STDEV.P(tblY8[[8B01 - Digestion
Raw Score]])),9),_Stanine,2),5),"")</f>
        <v>3</v>
      </c>
      <c r="T56" s="66" t="n">
        <v>9</v>
      </c>
      <c r="U56" s="67">
        <f>IF(ISNUMBER(tblY8[[#This Row],[8C02 - Metals and Acids
Raw Score]]),IFERROR(VLOOKUP(ROUND(STANDARDIZE(tblY8[[#This Row],[8C02 - Metals and Acids
Raw Score]],AVERAGE(tblY8[[8C02 - Metals and Acids
Raw Score]]),_xlfn.STDEV.P(tblY8[[8C02 - Metals and Acids
Raw Score]])),9),_Stanine,2),5),"")</f>
        <v>4</v>
      </c>
      <c r="V56" s="66" t="n">
        <v>12</v>
      </c>
      <c r="W56" s="67">
        <f>IF(ISNUMBER(tblY8[[#This Row],[8P02 - Light
Raw Score]]),IFERROR(VLOOKUP(ROUND(STANDARDIZE(tblY8[[#This Row],[8P02 - Light
Raw Score]],AVERAGE(tblY8[[8P02 - Light
Raw Score]]),_xlfn.STDEV.P(tblY8[[8P02 - Light
Raw Score]])),9),_Stanine,2),5),"")</f>
        <v>3</v>
      </c>
    </row>
    <row r="57">
      <c r="A57" s="65" t="inlineStr">
        <is>
          <t>X903772738381</t>
        </is>
      </c>
      <c r="B57" s="65" t="inlineStr">
        <is>
          <t>Clarke</t>
        </is>
      </c>
      <c r="C57" s="65" t="inlineStr">
        <is>
          <t>Sami</t>
        </is>
      </c>
      <c r="D57" s="66" t="inlineStr">
        <is>
          <t>M</t>
        </is>
      </c>
      <c r="E57" s="66" t="inlineStr">
        <is>
          <t>K</t>
        </is>
      </c>
      <c r="F57" s="66" t="inlineStr">
        <is>
          <t>N</t>
        </is>
      </c>
      <c r="G57" s="34" t="n">
        <v>90.09999999999999</v>
      </c>
      <c r="H57" s="34" t="n">
        <v>102</v>
      </c>
      <c r="I57" s="67">
        <f>IF(ISNUMBER(tblY8[[#This Row],[Avg KS2]]),IFERROR(VLOOKUP(ROUND(STANDARDIZE(tblY8[[#This Row],[Avg KS2]],AVERAGE(tblY8[[Avg KS2]]),_xlfn.STDEV.P(tblY8[[Avg KS2]])),9),_Stanine,2),5),"")</f>
        <v>4</v>
      </c>
      <c r="J57" s="66" t="inlineStr">
        <is>
          <t>8A/Sc3</t>
        </is>
      </c>
      <c r="K57" s="67">
        <f>IF(tblY8[[#This Row],[Preferred Last name]]="","",COUNTIFS($N$1:$ZZ$1,"*"&amp;CHAR(10)&amp;"Stanine",$N57:$ZZ57,"&gt;=1"))</f>
        <v>5</v>
      </c>
      <c r="L57" s="68">
        <f>IFERROR(AVERAGEIF($N$1:$ZZ$1,"*"&amp;CHAR(10)&amp;"Stanine",$N57:$ZZ57),"")</f>
        <v>4.2</v>
      </c>
      <c r="M57" s="69">
        <f>IF(AND(ISNUMBER(tblY8[[#This Row],[Mean Stanine]]),ISNUMBER(tblY8[[#This Row],[Avg KS2 Band]]),ISNUMBER(SlopeY8)),tblY8[[#This Row],[Mean Stanine]]-(InterceptY8+SlopeY8*tblY8[[#This Row],[Avg KS2 Band]]),"")</f>
        <v>0.0370523912521028</v>
      </c>
      <c r="N57" s="66" t="n">
        <v>18</v>
      </c>
      <c r="O57" s="67">
        <f>IF(ISNUMBER(tblY8[[#This Row],[8C01 - Periodic Table
Raw Score]]),IFERROR(VLOOKUP(ROUND(STANDARDIZE(tblY8[[#This Row],[8C01 - Periodic Table
Raw Score]],AVERAGE(tblY8[[8C01 - Periodic Table
Raw Score]]),_xlfn.STDEV.P(tblY8[[8C01 - Periodic Table
Raw Score]])),9),_Stanine,2),5),"")</f>
        <v>5</v>
      </c>
      <c r="P57" s="66" t="n">
        <v>7</v>
      </c>
      <c r="Q57" s="67">
        <f>IF(ISNUMBER(tblY8[[#This Row],[8P01 - Energy
Raw Score]]),IFERROR(VLOOKUP(ROUND(STANDARDIZE(tblY8[[#This Row],[8P01 - Energy
Raw Score]],AVERAGE(tblY8[[8P01 - Energy
Raw Score]]),_xlfn.STDEV.P(tblY8[[8P01 - Energy
Raw Score]])),9),_Stanine,2),5),"")</f>
        <v>4</v>
      </c>
      <c r="R57" s="66" t="n">
        <v>7</v>
      </c>
      <c r="S57" s="67">
        <f>IF(ISNUMBER(tblY8[[#This Row],[8B01 - Digestion
Raw Score]]),IFERROR(VLOOKUP(ROUND(STANDARDIZE(tblY8[[#This Row],[8B01 - Digestion
Raw Score]],AVERAGE(tblY8[[8B01 - Digestion
Raw Score]]),_xlfn.STDEV.P(tblY8[[8B01 - Digestion
Raw Score]])),9),_Stanine,2),5),"")</f>
        <v>3</v>
      </c>
      <c r="T57" s="66" t="n">
        <v>11</v>
      </c>
      <c r="U57" s="67">
        <f>IF(ISNUMBER(tblY8[[#This Row],[8C02 - Metals and Acids
Raw Score]]),IFERROR(VLOOKUP(ROUND(STANDARDIZE(tblY8[[#This Row],[8C02 - Metals and Acids
Raw Score]],AVERAGE(tblY8[[8C02 - Metals and Acids
Raw Score]]),_xlfn.STDEV.P(tblY8[[8C02 - Metals and Acids
Raw Score]])),9),_Stanine,2),5),"")</f>
        <v>5</v>
      </c>
      <c r="V57" s="66" t="n">
        <v>14</v>
      </c>
      <c r="W57" s="67">
        <f>IF(ISNUMBER(tblY8[[#This Row],[8P02 - Light
Raw Score]]),IFERROR(VLOOKUP(ROUND(STANDARDIZE(tblY8[[#This Row],[8P02 - Light
Raw Score]],AVERAGE(tblY8[[8P02 - Light
Raw Score]]),_xlfn.STDEV.P(tblY8[[8P02 - Light
Raw Score]])),9),_Stanine,2),5),"")</f>
        <v>4</v>
      </c>
    </row>
    <row r="58">
      <c r="A58" s="65" t="inlineStr">
        <is>
          <t>X909590344037</t>
        </is>
      </c>
      <c r="B58" s="65" t="inlineStr">
        <is>
          <t>Cooper</t>
        </is>
      </c>
      <c r="C58" s="65" t="inlineStr">
        <is>
          <t>Ava</t>
        </is>
      </c>
      <c r="D58" s="66" t="inlineStr">
        <is>
          <t>F</t>
        </is>
      </c>
      <c r="E58" s="66" t="inlineStr">
        <is>
          <t>N</t>
        </is>
      </c>
      <c r="F58" s="66" t="inlineStr">
        <is>
          <t>N</t>
        </is>
      </c>
      <c r="G58" s="34" t="n">
        <v>95.7</v>
      </c>
      <c r="H58" s="34" t="n">
        <v>105</v>
      </c>
      <c r="I58" s="67">
        <f>IF(ISNUMBER(tblY8[[#This Row],[Avg KS2]]),IFERROR(VLOOKUP(ROUND(STANDARDIZE(tblY8[[#This Row],[Avg KS2]],AVERAGE(tblY8[[Avg KS2]]),_xlfn.STDEV.P(tblY8[[Avg KS2]])),9),_Stanine,2),5),"")</f>
        <v>5</v>
      </c>
      <c r="J58" s="66" t="inlineStr">
        <is>
          <t>8A/Sc3</t>
        </is>
      </c>
      <c r="K58" s="67">
        <f>IF(tblY8[[#This Row],[Preferred Last name]]="","",COUNTIFS($N$1:$ZZ$1,"*"&amp;CHAR(10)&amp;"Stanine",$N58:$ZZ58,"&gt;=1"))</f>
        <v>5</v>
      </c>
      <c r="L58" s="68">
        <f>IFERROR(AVERAGEIF($N$1:$ZZ$1,"*"&amp;CHAR(10)&amp;"Stanine",$N58:$ZZ58),"")</f>
        <v>3.2</v>
      </c>
      <c r="M58" s="69">
        <f>IF(AND(ISNUMBER(tblY8[[#This Row],[Mean Stanine]]),ISNUMBER(tblY8[[#This Row],[Avg KS2 Band]]),ISNUMBER(SlopeY8)),tblY8[[#This Row],[Mean Stanine]]-(InterceptY8+SlopeY8*tblY8[[#This Row],[Avg KS2 Band]]),"")</f>
        <v>-1.74185892814227</v>
      </c>
      <c r="N58" s="66" t="n">
        <v>17</v>
      </c>
      <c r="O58" s="67">
        <f>IF(ISNUMBER(tblY8[[#This Row],[8C01 - Periodic Table
Raw Score]]),IFERROR(VLOOKUP(ROUND(STANDARDIZE(tblY8[[#This Row],[8C01 - Periodic Table
Raw Score]],AVERAGE(tblY8[[8C01 - Periodic Table
Raw Score]]),_xlfn.STDEV.P(tblY8[[8C01 - Periodic Table
Raw Score]])),9),_Stanine,2),5),"")</f>
        <v>5</v>
      </c>
      <c r="P58" s="66" t="n">
        <v>8</v>
      </c>
      <c r="Q58" s="67">
        <f>IF(ISNUMBER(tblY8[[#This Row],[8P01 - Energy
Raw Score]]),IFERROR(VLOOKUP(ROUND(STANDARDIZE(tblY8[[#This Row],[8P01 - Energy
Raw Score]],AVERAGE(tblY8[[8P01 - Energy
Raw Score]]),_xlfn.STDEV.P(tblY8[[8P01 - Energy
Raw Score]])),9),_Stanine,2),5),"")</f>
        <v>4</v>
      </c>
      <c r="R58" s="66" t="n">
        <v>5</v>
      </c>
      <c r="S58" s="67">
        <f>IF(ISNUMBER(tblY8[[#This Row],[8B01 - Digestion
Raw Score]]),IFERROR(VLOOKUP(ROUND(STANDARDIZE(tblY8[[#This Row],[8B01 - Digestion
Raw Score]],AVERAGE(tblY8[[8B01 - Digestion
Raw Score]]),_xlfn.STDEV.P(tblY8[[8B01 - Digestion
Raw Score]])),9),_Stanine,2),5),"")</f>
        <v>2</v>
      </c>
      <c r="T58" s="66" t="n">
        <v>5</v>
      </c>
      <c r="U58" s="67">
        <f>IF(ISNUMBER(tblY8[[#This Row],[8C02 - Metals and Acids
Raw Score]]),IFERROR(VLOOKUP(ROUND(STANDARDIZE(tblY8[[#This Row],[8C02 - Metals and Acids
Raw Score]],AVERAGE(tblY8[[8C02 - Metals and Acids
Raw Score]]),_xlfn.STDEV.P(tblY8[[8C02 - Metals and Acids
Raw Score]])),9),_Stanine,2),5),"")</f>
        <v>3</v>
      </c>
      <c r="V58" s="66" t="n">
        <v>10</v>
      </c>
      <c r="W58" s="67">
        <f>IF(ISNUMBER(tblY8[[#This Row],[8P02 - Light
Raw Score]]),IFERROR(VLOOKUP(ROUND(STANDARDIZE(tblY8[[#This Row],[8P02 - Light
Raw Score]],AVERAGE(tblY8[[8P02 - Light
Raw Score]]),_xlfn.STDEV.P(tblY8[[8P02 - Light
Raw Score]])),9),_Stanine,2),5),"")</f>
        <v>2</v>
      </c>
    </row>
    <row r="59">
      <c r="A59" s="65" t="inlineStr">
        <is>
          <t>X904097842862</t>
        </is>
      </c>
      <c r="B59" s="65" t="inlineStr">
        <is>
          <t>Cooper</t>
        </is>
      </c>
      <c r="C59" s="65" t="inlineStr">
        <is>
          <t>Reuben</t>
        </is>
      </c>
      <c r="D59" s="66" t="inlineStr">
        <is>
          <t>M</t>
        </is>
      </c>
      <c r="E59" s="66" t="n"/>
      <c r="F59" s="66" t="inlineStr">
        <is>
          <t>N</t>
        </is>
      </c>
      <c r="G59" s="34" t="n">
        <v>100</v>
      </c>
      <c r="H59" s="34" t="inlineStr">
        <is>
          <t>No Data</t>
        </is>
      </c>
      <c r="I59" s="67" t="str">
        <f>IF(ISNUMBER(tblY8[[#This Row],[Avg KS2]]),IFERROR(VLOOKUP(ROUND(STANDARDIZE(tblY8[[#This Row],[Avg KS2]],AVERAGE(tblY8[[Avg KS2]]),_xlfn.STDEV.P(tblY8[[Avg KS2]])),9),_Stanine,2),5),"")</f>
        <v/>
      </c>
      <c r="J59" s="66" t="inlineStr">
        <is>
          <t>8A/Sc3</t>
        </is>
      </c>
      <c r="K59" s="67">
        <f>IF(tblY8[[#This Row],[Preferred Last name]]="","",COUNTIFS($N$1:$ZZ$1,"*"&amp;CHAR(10)&amp;"Stanine",$N59:$ZZ59,"&gt;=1"))</f>
        <v>5</v>
      </c>
      <c r="L59" s="68">
        <f>IFERROR(AVERAGEIF($N$1:$ZZ$1,"*"&amp;CHAR(10)&amp;"Stanine",$N59:$ZZ59),"")</f>
        <v>2.8</v>
      </c>
      <c r="M59" s="69" t="str">
        <f>IF(AND(ISNUMBER(tblY8[[#This Row],[Mean Stanine]]),ISNUMBER(tblY8[[#This Row],[Avg KS2 Band]]),ISNUMBER(SlopeY8)),tblY8[[#This Row],[Mean Stanine]]-(InterceptY8+SlopeY8*tblY8[[#This Row],[Avg KS2 Band]]),"")</f>
        <v/>
      </c>
      <c r="N59" s="66" t="n">
        <v>9</v>
      </c>
      <c r="O59" s="67">
        <f>IF(ISNUMBER(tblY8[[#This Row],[8C01 - Periodic Table
Raw Score]]),IFERROR(VLOOKUP(ROUND(STANDARDIZE(tblY8[[#This Row],[8C01 - Periodic Table
Raw Score]],AVERAGE(tblY8[[8C01 - Periodic Table
Raw Score]]),_xlfn.STDEV.P(tblY8[[8C01 - Periodic Table
Raw Score]])),9),_Stanine,2),5),"")</f>
        <v>2</v>
      </c>
      <c r="P59" s="66" t="n">
        <v>6</v>
      </c>
      <c r="Q59" s="67">
        <f>IF(ISNUMBER(tblY8[[#This Row],[8P01 - Energy
Raw Score]]),IFERROR(VLOOKUP(ROUND(STANDARDIZE(tblY8[[#This Row],[8P01 - Energy
Raw Score]],AVERAGE(tblY8[[8P01 - Energy
Raw Score]]),_xlfn.STDEV.P(tblY8[[8P01 - Energy
Raw Score]])),9),_Stanine,2),5),"")</f>
        <v>3</v>
      </c>
      <c r="R59" s="66" t="n">
        <v>11</v>
      </c>
      <c r="S59" s="67">
        <f>IF(ISNUMBER(tblY8[[#This Row],[8B01 - Digestion
Raw Score]]),IFERROR(VLOOKUP(ROUND(STANDARDIZE(tblY8[[#This Row],[8B01 - Digestion
Raw Score]],AVERAGE(tblY8[[8B01 - Digestion
Raw Score]]),_xlfn.STDEV.P(tblY8[[8B01 - Digestion
Raw Score]])),9),_Stanine,2),5),"")</f>
        <v>4</v>
      </c>
      <c r="T59" s="66" t="n">
        <v>6</v>
      </c>
      <c r="U59" s="67">
        <f>IF(ISNUMBER(tblY8[[#This Row],[8C02 - Metals and Acids
Raw Score]]),IFERROR(VLOOKUP(ROUND(STANDARDIZE(tblY8[[#This Row],[8C02 - Metals and Acids
Raw Score]],AVERAGE(tblY8[[8C02 - Metals and Acids
Raw Score]]),_xlfn.STDEV.P(tblY8[[8C02 - Metals and Acids
Raw Score]])),9),_Stanine,2),5),"")</f>
        <v>3</v>
      </c>
      <c r="V59" s="66" t="n">
        <v>9</v>
      </c>
      <c r="W59" s="67">
        <f>IF(ISNUMBER(tblY8[[#This Row],[8P02 - Light
Raw Score]]),IFERROR(VLOOKUP(ROUND(STANDARDIZE(tblY8[[#This Row],[8P02 - Light
Raw Score]],AVERAGE(tblY8[[8P02 - Light
Raw Score]]),_xlfn.STDEV.P(tblY8[[8P02 - Light
Raw Score]])),9),_Stanine,2),5),"")</f>
        <v>2</v>
      </c>
    </row>
    <row r="60">
      <c r="A60" s="65" t="inlineStr">
        <is>
          <t>X903960377630</t>
        </is>
      </c>
      <c r="B60" s="65" t="inlineStr">
        <is>
          <t>Davies</t>
        </is>
      </c>
      <c r="C60" s="65" t="inlineStr">
        <is>
          <t>Isla</t>
        </is>
      </c>
      <c r="D60" s="66" t="inlineStr">
        <is>
          <t>F</t>
        </is>
      </c>
      <c r="E60" s="66" t="inlineStr">
        <is>
          <t>N</t>
        </is>
      </c>
      <c r="F60" s="66" t="inlineStr">
        <is>
          <t>Y</t>
        </is>
      </c>
      <c r="G60" s="34" t="n">
        <v>96.59999999999999</v>
      </c>
      <c r="H60" s="34" t="n">
        <v>110</v>
      </c>
      <c r="I60" s="67">
        <f>IF(ISNUMBER(tblY8[[#This Row],[Avg KS2]]),IFERROR(VLOOKUP(ROUND(STANDARDIZE(tblY8[[#This Row],[Avg KS2]],AVERAGE(tblY8[[Avg KS2]]),_xlfn.STDEV.P(tblY8[[Avg KS2]])),9),_Stanine,2),5),"")</f>
        <v>7</v>
      </c>
      <c r="J60" s="66" t="inlineStr">
        <is>
          <t>8A/Sc3</t>
        </is>
      </c>
      <c r="K60" s="67">
        <f>IF(tblY8[[#This Row],[Preferred Last name]]="","",COUNTIFS($N$1:$ZZ$1,"*"&amp;CHAR(10)&amp;"Stanine",$N60:$ZZ60,"&gt;=1"))</f>
        <v>5</v>
      </c>
      <c r="L60" s="68">
        <f>IFERROR(AVERAGEIF($N$1:$ZZ$1,"*"&amp;CHAR(10)&amp;"Stanine",$N60:$ZZ60),"")</f>
        <v>4.4</v>
      </c>
      <c r="M60" s="69">
        <f>IF(AND(ISNUMBER(tblY8[[#This Row],[Mean Stanine]]),ISNUMBER(tblY8[[#This Row],[Avg KS2 Band]]),ISNUMBER(SlopeY8)),tblY8[[#This Row],[Mean Stanine]]-(InterceptY8+SlopeY8*tblY8[[#This Row],[Avg KS2 Band]]),"")</f>
        <v>-2.09968156693103</v>
      </c>
      <c r="N60" s="66" t="n">
        <v>20</v>
      </c>
      <c r="O60" s="67">
        <f>IF(ISNUMBER(tblY8[[#This Row],[8C01 - Periodic Table
Raw Score]]),IFERROR(VLOOKUP(ROUND(STANDARDIZE(tblY8[[#This Row],[8C01 - Periodic Table
Raw Score]],AVERAGE(tblY8[[8C01 - Periodic Table
Raw Score]]),_xlfn.STDEV.P(tblY8[[8C01 - Periodic Table
Raw Score]])),9),_Stanine,2),5),"")</f>
        <v>6</v>
      </c>
      <c r="P60" s="66" t="n">
        <v>7</v>
      </c>
      <c r="Q60" s="67">
        <f>IF(ISNUMBER(tblY8[[#This Row],[8P01 - Energy
Raw Score]]),IFERROR(VLOOKUP(ROUND(STANDARDIZE(tblY8[[#This Row],[8P01 - Energy
Raw Score]],AVERAGE(tblY8[[8P01 - Energy
Raw Score]]),_xlfn.STDEV.P(tblY8[[8P01 - Energy
Raw Score]])),9),_Stanine,2),5),"")</f>
        <v>4</v>
      </c>
      <c r="R60" s="66" t="n">
        <v>14</v>
      </c>
      <c r="S60" s="67">
        <f>IF(ISNUMBER(tblY8[[#This Row],[8B01 - Digestion
Raw Score]]),IFERROR(VLOOKUP(ROUND(STANDARDIZE(tblY8[[#This Row],[8B01 - Digestion
Raw Score]],AVERAGE(tblY8[[8B01 - Digestion
Raw Score]]),_xlfn.STDEV.P(tblY8[[8B01 - Digestion
Raw Score]])),9),_Stanine,2),5),"")</f>
        <v>5</v>
      </c>
      <c r="T60" s="66" t="n">
        <v>10</v>
      </c>
      <c r="U60" s="67">
        <f>IF(ISNUMBER(tblY8[[#This Row],[8C02 - Metals and Acids
Raw Score]]),IFERROR(VLOOKUP(ROUND(STANDARDIZE(tblY8[[#This Row],[8C02 - Metals and Acids
Raw Score]],AVERAGE(tblY8[[8C02 - Metals and Acids
Raw Score]]),_xlfn.STDEV.P(tblY8[[8C02 - Metals and Acids
Raw Score]])),9),_Stanine,2),5),"")</f>
        <v>4</v>
      </c>
      <c r="V60" s="66" t="n">
        <v>12</v>
      </c>
      <c r="W60" s="67">
        <f>IF(ISNUMBER(tblY8[[#This Row],[8P02 - Light
Raw Score]]),IFERROR(VLOOKUP(ROUND(STANDARDIZE(tblY8[[#This Row],[8P02 - Light
Raw Score]],AVERAGE(tblY8[[8P02 - Light
Raw Score]]),_xlfn.STDEV.P(tblY8[[8P02 - Light
Raw Score]])),9),_Stanine,2),5),"")</f>
        <v>3</v>
      </c>
    </row>
    <row r="61">
      <c r="A61" s="65" t="inlineStr">
        <is>
          <t>X904744189952</t>
        </is>
      </c>
      <c r="B61" s="65" t="inlineStr">
        <is>
          <t>Green</t>
        </is>
      </c>
      <c r="C61" s="65" t="inlineStr">
        <is>
          <t>Oliver</t>
        </is>
      </c>
      <c r="D61" s="66" t="inlineStr">
        <is>
          <t>M</t>
        </is>
      </c>
      <c r="E61" s="66" t="n"/>
      <c r="F61" s="66" t="inlineStr">
        <is>
          <t>N</t>
        </is>
      </c>
      <c r="G61" s="34" t="n">
        <v>100</v>
      </c>
      <c r="H61" s="34" t="n">
        <v>97</v>
      </c>
      <c r="I61" s="67">
        <f>IF(ISNUMBER(tblY8[[#This Row],[Avg KS2]]),IFERROR(VLOOKUP(ROUND(STANDARDIZE(tblY8[[#This Row],[Avg KS2]],AVERAGE(tblY8[[Avg KS2]]),_xlfn.STDEV.P(tblY8[[Avg KS2]])),9),_Stanine,2),5),"")</f>
        <v>2</v>
      </c>
      <c r="J61" s="66" t="inlineStr">
        <is>
          <t>8A/Sc3</t>
        </is>
      </c>
      <c r="K61" s="67">
        <f>IF(tblY8[[#This Row],[Preferred Last name]]="","",COUNTIFS($N$1:$ZZ$1,"*"&amp;CHAR(10)&amp;"Stanine",$N61:$ZZ61,"&gt;=1"))</f>
        <v>5</v>
      </c>
      <c r="L61" s="68">
        <f>IFERROR(AVERAGEIF($N$1:$ZZ$1,"*"&amp;CHAR(10)&amp;"Stanine",$N61:$ZZ61),"")</f>
        <v>2</v>
      </c>
      <c r="M61" s="69">
        <f>IF(AND(ISNUMBER(tblY8[[#This Row],[Mean Stanine]]),ISNUMBER(tblY8[[#This Row],[Avg KS2 Band]]),ISNUMBER(SlopeY8)),tblY8[[#This Row],[Mean Stanine]]-(InterceptY8+SlopeY8*tblY8[[#This Row],[Avg KS2 Band]]),"")</f>
        <v>-0.605124969959145</v>
      </c>
      <c r="N61" s="66" t="n">
        <v>10</v>
      </c>
      <c r="O61" s="67">
        <f>IF(ISNUMBER(tblY8[[#This Row],[8C01 - Periodic Table
Raw Score]]),IFERROR(VLOOKUP(ROUND(STANDARDIZE(tblY8[[#This Row],[8C01 - Periodic Table
Raw Score]],AVERAGE(tblY8[[8C01 - Periodic Table
Raw Score]]),_xlfn.STDEV.P(tblY8[[8C01 - Periodic Table
Raw Score]])),9),_Stanine,2),5),"")</f>
        <v>2</v>
      </c>
      <c r="P61" s="66" t="n">
        <v>3</v>
      </c>
      <c r="Q61" s="67">
        <f>IF(ISNUMBER(tblY8[[#This Row],[8P01 - Energy
Raw Score]]),IFERROR(VLOOKUP(ROUND(STANDARDIZE(tblY8[[#This Row],[8P01 - Energy
Raw Score]],AVERAGE(tblY8[[8P01 - Energy
Raw Score]]),_xlfn.STDEV.P(tblY8[[8P01 - Energy
Raw Score]])),9),_Stanine,2),5),"")</f>
        <v>2</v>
      </c>
      <c r="R61" s="66" t="n">
        <v>6</v>
      </c>
      <c r="S61" s="67">
        <f>IF(ISNUMBER(tblY8[[#This Row],[8B01 - Digestion
Raw Score]]),IFERROR(VLOOKUP(ROUND(STANDARDIZE(tblY8[[#This Row],[8B01 - Digestion
Raw Score]],AVERAGE(tblY8[[8B01 - Digestion
Raw Score]]),_xlfn.STDEV.P(tblY8[[8B01 - Digestion
Raw Score]])),9),_Stanine,2),5),"")</f>
        <v>2</v>
      </c>
      <c r="T61" s="66" t="n">
        <v>4</v>
      </c>
      <c r="U61" s="67">
        <f>IF(ISNUMBER(tblY8[[#This Row],[8C02 - Metals and Acids
Raw Score]]),IFERROR(VLOOKUP(ROUND(STANDARDIZE(tblY8[[#This Row],[8C02 - Metals and Acids
Raw Score]],AVERAGE(tblY8[[8C02 - Metals and Acids
Raw Score]]),_xlfn.STDEV.P(tblY8[[8C02 - Metals and Acids
Raw Score]])),9),_Stanine,2),5),"")</f>
        <v>2</v>
      </c>
      <c r="V61" s="66" t="n">
        <v>10</v>
      </c>
      <c r="W61" s="67">
        <f>IF(ISNUMBER(tblY8[[#This Row],[8P02 - Light
Raw Score]]),IFERROR(VLOOKUP(ROUND(STANDARDIZE(tblY8[[#This Row],[8P02 - Light
Raw Score]],AVERAGE(tblY8[[8P02 - Light
Raw Score]]),_xlfn.STDEV.P(tblY8[[8P02 - Light
Raw Score]])),9),_Stanine,2),5),"")</f>
        <v>2</v>
      </c>
    </row>
    <row r="62">
      <c r="A62" s="65" t="inlineStr">
        <is>
          <t>X900199228588</t>
        </is>
      </c>
      <c r="B62" s="65" t="inlineStr">
        <is>
          <t>Harrison</t>
        </is>
      </c>
      <c r="C62" s="65" t="inlineStr">
        <is>
          <t>Zofia</t>
        </is>
      </c>
      <c r="D62" s="66" t="inlineStr">
        <is>
          <t>F</t>
        </is>
      </c>
      <c r="E62" s="66" t="inlineStr">
        <is>
          <t>N</t>
        </is>
      </c>
      <c r="F62" s="66" t="inlineStr">
        <is>
          <t>N</t>
        </is>
      </c>
      <c r="G62" s="34" t="n">
        <v>93.09999999999999</v>
      </c>
      <c r="H62" s="34" t="n">
        <v>100.5</v>
      </c>
      <c r="I62" s="67">
        <f>IF(ISNUMBER(tblY8[[#This Row],[Avg KS2]]),IFERROR(VLOOKUP(ROUND(STANDARDIZE(tblY8[[#This Row],[Avg KS2]],AVERAGE(tblY8[[Avg KS2]]),_xlfn.STDEV.P(tblY8[[Avg KS2]])),9),_Stanine,2),5),"")</f>
        <v>3</v>
      </c>
      <c r="J62" s="66" t="inlineStr">
        <is>
          <t>8A/Sc3</t>
        </is>
      </c>
      <c r="K62" s="67">
        <f>IF(tblY8[[#This Row],[Preferred Last name]]="","",COUNTIFS($N$1:$ZZ$1,"*"&amp;CHAR(10)&amp;"Stanine",$N62:$ZZ62,"&gt;=1"))</f>
        <v>5</v>
      </c>
      <c r="L62" s="68">
        <f>IFERROR(AVERAGEIF($N$1:$ZZ$1,"*"&amp;CHAR(10)&amp;"Stanine",$N62:$ZZ62),"")</f>
        <v>3.2</v>
      </c>
      <c r="M62" s="69">
        <f>IF(AND(ISNUMBER(tblY8[[#This Row],[Mean Stanine]]),ISNUMBER(tblY8[[#This Row],[Avg KS2 Band]]),ISNUMBER(SlopeY8)),tblY8[[#This Row],[Mean Stanine]]-(InterceptY8+SlopeY8*tblY8[[#This Row],[Avg KS2 Band]]),"")</f>
        <v>-0.184036289353521</v>
      </c>
      <c r="N62" s="66" t="n">
        <v>12</v>
      </c>
      <c r="O62" s="67">
        <f>IF(ISNUMBER(tblY8[[#This Row],[8C01 - Periodic Table
Raw Score]]),IFERROR(VLOOKUP(ROUND(STANDARDIZE(tblY8[[#This Row],[8C01 - Periodic Table
Raw Score]],AVERAGE(tblY8[[8C01 - Periodic Table
Raw Score]]),_xlfn.STDEV.P(tblY8[[8C01 - Periodic Table
Raw Score]])),9),_Stanine,2),5),"")</f>
        <v>3</v>
      </c>
      <c r="P62" s="66" t="n">
        <v>5</v>
      </c>
      <c r="Q62" s="67">
        <f>IF(ISNUMBER(tblY8[[#This Row],[8P01 - Energy
Raw Score]]),IFERROR(VLOOKUP(ROUND(STANDARDIZE(tblY8[[#This Row],[8P01 - Energy
Raw Score]],AVERAGE(tblY8[[8P01 - Energy
Raw Score]]),_xlfn.STDEV.P(tblY8[[8P01 - Energy
Raw Score]])),9),_Stanine,2),5),"")</f>
        <v>3</v>
      </c>
      <c r="R62" s="66" t="n">
        <v>8</v>
      </c>
      <c r="S62" s="67">
        <f>IF(ISNUMBER(tblY8[[#This Row],[8B01 - Digestion
Raw Score]]),IFERROR(VLOOKUP(ROUND(STANDARDIZE(tblY8[[#This Row],[8B01 - Digestion
Raw Score]],AVERAGE(tblY8[[8B01 - Digestion
Raw Score]]),_xlfn.STDEV.P(tblY8[[8B01 - Digestion
Raw Score]])),9),_Stanine,2),5),"")</f>
        <v>3</v>
      </c>
      <c r="T62" s="66" t="n">
        <v>9</v>
      </c>
      <c r="U62" s="67">
        <f>IF(ISNUMBER(tblY8[[#This Row],[8C02 - Metals and Acids
Raw Score]]),IFERROR(VLOOKUP(ROUND(STANDARDIZE(tblY8[[#This Row],[8C02 - Metals and Acids
Raw Score]],AVERAGE(tblY8[[8C02 - Metals and Acids
Raw Score]]),_xlfn.STDEV.P(tblY8[[8C02 - Metals and Acids
Raw Score]])),9),_Stanine,2),5),"")</f>
        <v>4</v>
      </c>
      <c r="V62" s="66" t="n">
        <v>12</v>
      </c>
      <c r="W62" s="67">
        <f>IF(ISNUMBER(tblY8[[#This Row],[8P02 - Light
Raw Score]]),IFERROR(VLOOKUP(ROUND(STANDARDIZE(tblY8[[#This Row],[8P02 - Light
Raw Score]],AVERAGE(tblY8[[8P02 - Light
Raw Score]]),_xlfn.STDEV.P(tblY8[[8P02 - Light
Raw Score]])),9),_Stanine,2),5),"")</f>
        <v>3</v>
      </c>
    </row>
    <row r="63">
      <c r="A63" s="65" t="inlineStr">
        <is>
          <t>X907480887302</t>
        </is>
      </c>
      <c r="B63" s="65" t="inlineStr">
        <is>
          <t>Hughes</t>
        </is>
      </c>
      <c r="C63" s="65" t="inlineStr">
        <is>
          <t>Layla</t>
        </is>
      </c>
      <c r="D63" s="66" t="inlineStr">
        <is>
          <t>F</t>
        </is>
      </c>
      <c r="E63" s="66" t="inlineStr">
        <is>
          <t>N</t>
        </is>
      </c>
      <c r="F63" s="66" t="inlineStr">
        <is>
          <t>N</t>
        </is>
      </c>
      <c r="G63" s="34" t="n">
        <v>86</v>
      </c>
      <c r="H63" s="34" t="n">
        <v>104</v>
      </c>
      <c r="I63" s="67">
        <f>IF(ISNUMBER(tblY8[[#This Row],[Avg KS2]]),IFERROR(VLOOKUP(ROUND(STANDARDIZE(tblY8[[#This Row],[Avg KS2]],AVERAGE(tblY8[[Avg KS2]]),_xlfn.STDEV.P(tblY8[[Avg KS2]])),9),_Stanine,2),5),"")</f>
        <v>5</v>
      </c>
      <c r="J63" s="66" t="inlineStr">
        <is>
          <t>8A/Sc3</t>
        </is>
      </c>
      <c r="K63" s="67">
        <f>IF(tblY8[[#This Row],[Preferred Last name]]="","",COUNTIFS($N$1:$ZZ$1,"*"&amp;CHAR(10)&amp;"Stanine",$N63:$ZZ63,"&gt;=1"))</f>
        <v>5</v>
      </c>
      <c r="L63" s="68">
        <f>IFERROR(AVERAGEIF($N$1:$ZZ$1,"*"&amp;CHAR(10)&amp;"Stanine",$N63:$ZZ63),"")</f>
        <v>6.8</v>
      </c>
      <c r="M63" s="69">
        <f>IF(AND(ISNUMBER(tblY8[[#This Row],[Mean Stanine]]),ISNUMBER(tblY8[[#This Row],[Avg KS2 Band]]),ISNUMBER(SlopeY8)),tblY8[[#This Row],[Mean Stanine]]-(InterceptY8+SlopeY8*tblY8[[#This Row],[Avg KS2 Band]]),"")</f>
        <v>1.85814107185773</v>
      </c>
      <c r="N63" s="66" t="n">
        <v>25</v>
      </c>
      <c r="O63" s="67">
        <f>IF(ISNUMBER(tblY8[[#This Row],[8C01 - Periodic Table
Raw Score]]),IFERROR(VLOOKUP(ROUND(STANDARDIZE(tblY8[[#This Row],[8C01 - Periodic Table
Raw Score]],AVERAGE(tblY8[[8C01 - Periodic Table
Raw Score]]),_xlfn.STDEV.P(tblY8[[8C01 - Periodic Table
Raw Score]])),9),_Stanine,2),5),"")</f>
        <v>7</v>
      </c>
      <c r="P63" s="66" t="n">
        <v>15</v>
      </c>
      <c r="Q63" s="67">
        <f>IF(ISNUMBER(tblY8[[#This Row],[8P01 - Energy
Raw Score]]),IFERROR(VLOOKUP(ROUND(STANDARDIZE(tblY8[[#This Row],[8P01 - Energy
Raw Score]],AVERAGE(tblY8[[8P01 - Energy
Raw Score]]),_xlfn.STDEV.P(tblY8[[8P01 - Energy
Raw Score]])),9),_Stanine,2),5),"")</f>
        <v>7</v>
      </c>
      <c r="R63" s="66" t="n">
        <v>18</v>
      </c>
      <c r="S63" s="67">
        <f>IF(ISNUMBER(tblY8[[#This Row],[8B01 - Digestion
Raw Score]]),IFERROR(VLOOKUP(ROUND(STANDARDIZE(tblY8[[#This Row],[8B01 - Digestion
Raw Score]],AVERAGE(tblY8[[8B01 - Digestion
Raw Score]]),_xlfn.STDEV.P(tblY8[[8B01 - Digestion
Raw Score]])),9),_Stanine,2),5),"")</f>
        <v>6</v>
      </c>
      <c r="T63" s="66" t="n">
        <v>19</v>
      </c>
      <c r="U63" s="67">
        <f>IF(ISNUMBER(tblY8[[#This Row],[8C02 - Metals and Acids
Raw Score]]),IFERROR(VLOOKUP(ROUND(STANDARDIZE(tblY8[[#This Row],[8C02 - Metals and Acids
Raw Score]],AVERAGE(tblY8[[8C02 - Metals and Acids
Raw Score]]),_xlfn.STDEV.P(tblY8[[8C02 - Metals and Acids
Raw Score]])),9),_Stanine,2),5),"")</f>
        <v>8</v>
      </c>
      <c r="V63" s="66" t="n">
        <v>17</v>
      </c>
      <c r="W63" s="67">
        <f>IF(ISNUMBER(tblY8[[#This Row],[8P02 - Light
Raw Score]]),IFERROR(VLOOKUP(ROUND(STANDARDIZE(tblY8[[#This Row],[8P02 - Light
Raw Score]],AVERAGE(tblY8[[8P02 - Light
Raw Score]]),_xlfn.STDEV.P(tblY8[[8P02 - Light
Raw Score]])),9),_Stanine,2),5),"")</f>
        <v>6</v>
      </c>
    </row>
    <row r="64">
      <c r="A64" s="65" t="inlineStr">
        <is>
          <t>X908477537997</t>
        </is>
      </c>
      <c r="B64" s="65" t="inlineStr">
        <is>
          <t>Hughes</t>
        </is>
      </c>
      <c r="C64" s="65" t="inlineStr">
        <is>
          <t>Sami</t>
        </is>
      </c>
      <c r="D64" s="66" t="inlineStr">
        <is>
          <t>F</t>
        </is>
      </c>
      <c r="E64" s="66" t="inlineStr">
        <is>
          <t>N</t>
        </is>
      </c>
      <c r="F64" s="66" t="inlineStr">
        <is>
          <t>N</t>
        </is>
      </c>
      <c r="G64" s="34" t="n">
        <v>88.90000000000001</v>
      </c>
      <c r="H64" s="34" t="n">
        <v>99</v>
      </c>
      <c r="I64" s="67">
        <f>IF(ISNUMBER(tblY8[[#This Row],[Avg KS2]]),IFERROR(VLOOKUP(ROUND(STANDARDIZE(tblY8[[#This Row],[Avg KS2]],AVERAGE(tblY8[[Avg KS2]]),_xlfn.STDEV.P(tblY8[[Avg KS2]])),9),_Stanine,2),5),"")</f>
        <v>3</v>
      </c>
      <c r="J64" s="66" t="inlineStr">
        <is>
          <t>8A/Sc3</t>
        </is>
      </c>
      <c r="K64" s="67">
        <f>IF(tblY8[[#This Row],[Preferred Last name]]="","",COUNTIFS($N$1:$ZZ$1,"*"&amp;CHAR(10)&amp;"Stanine",$N64:$ZZ64,"&gt;=1"))</f>
        <v>5</v>
      </c>
      <c r="L64" s="68">
        <f>IFERROR(AVERAGEIF($N$1:$ZZ$1,"*"&amp;CHAR(10)&amp;"Stanine",$N64:$ZZ64),"")</f>
        <v>2</v>
      </c>
      <c r="M64" s="69">
        <f>IF(AND(ISNUMBER(tblY8[[#This Row],[Mean Stanine]]),ISNUMBER(tblY8[[#This Row],[Avg KS2 Band]]),ISNUMBER(SlopeY8)),tblY8[[#This Row],[Mean Stanine]]-(InterceptY8+SlopeY8*tblY8[[#This Row],[Avg KS2 Band]]),"")</f>
        <v>-1.38403628935352</v>
      </c>
      <c r="N64" s="66" t="n">
        <v>7</v>
      </c>
      <c r="O64" s="67">
        <f>IF(ISNUMBER(tblY8[[#This Row],[8C01 - Periodic Table
Raw Score]]),IFERROR(VLOOKUP(ROUND(STANDARDIZE(tblY8[[#This Row],[8C01 - Periodic Table
Raw Score]],AVERAGE(tblY8[[8C01 - Periodic Table
Raw Score]]),_xlfn.STDEV.P(tblY8[[8C01 - Periodic Table
Raw Score]])),9),_Stanine,2),5),"")</f>
        <v>1</v>
      </c>
      <c r="P64" s="66" t="n">
        <v>5</v>
      </c>
      <c r="Q64" s="67">
        <f>IF(ISNUMBER(tblY8[[#This Row],[8P01 - Energy
Raw Score]]),IFERROR(VLOOKUP(ROUND(STANDARDIZE(tblY8[[#This Row],[8P01 - Energy
Raw Score]],AVERAGE(tblY8[[8P01 - Energy
Raw Score]]),_xlfn.STDEV.P(tblY8[[8P01 - Energy
Raw Score]])),9),_Stanine,2),5),"")</f>
        <v>3</v>
      </c>
      <c r="R64" s="66" t="n">
        <v>7</v>
      </c>
      <c r="S64" s="67">
        <f>IF(ISNUMBER(tblY8[[#This Row],[8B01 - Digestion
Raw Score]]),IFERROR(VLOOKUP(ROUND(STANDARDIZE(tblY8[[#This Row],[8B01 - Digestion
Raw Score]],AVERAGE(tblY8[[8B01 - Digestion
Raw Score]]),_xlfn.STDEV.P(tblY8[[8B01 - Digestion
Raw Score]])),9),_Stanine,2),5),"")</f>
        <v>3</v>
      </c>
      <c r="T64" s="66" t="n">
        <v>3</v>
      </c>
      <c r="U64" s="67">
        <f>IF(ISNUMBER(tblY8[[#This Row],[8C02 - Metals and Acids
Raw Score]]),IFERROR(VLOOKUP(ROUND(STANDARDIZE(tblY8[[#This Row],[8C02 - Metals and Acids
Raw Score]],AVERAGE(tblY8[[8C02 - Metals and Acids
Raw Score]]),_xlfn.STDEV.P(tblY8[[8C02 - Metals and Acids
Raw Score]])),9),_Stanine,2),5),"")</f>
        <v>2</v>
      </c>
      <c r="V64" s="66" t="n">
        <v>8</v>
      </c>
      <c r="W64" s="67">
        <f>IF(ISNUMBER(tblY8[[#This Row],[8P02 - Light
Raw Score]]),IFERROR(VLOOKUP(ROUND(STANDARDIZE(tblY8[[#This Row],[8P02 - Light
Raw Score]],AVERAGE(tblY8[[8P02 - Light
Raw Score]]),_xlfn.STDEV.P(tblY8[[8P02 - Light
Raw Score]])),9),_Stanine,2),5),"")</f>
        <v>1</v>
      </c>
    </row>
    <row r="65">
      <c r="A65" s="65" t="inlineStr">
        <is>
          <t>X908653911619</t>
        </is>
      </c>
      <c r="B65" s="65" t="inlineStr">
        <is>
          <t>Johnson</t>
        </is>
      </c>
      <c r="C65" s="65" t="inlineStr">
        <is>
          <t>Sami</t>
        </is>
      </c>
      <c r="D65" s="66" t="inlineStr">
        <is>
          <t>F</t>
        </is>
      </c>
      <c r="E65" s="66" t="inlineStr">
        <is>
          <t>K</t>
        </is>
      </c>
      <c r="F65" s="66" t="inlineStr">
        <is>
          <t>N</t>
        </is>
      </c>
      <c r="G65" s="34" t="n">
        <v>99.5</v>
      </c>
      <c r="H65" s="34" t="n">
        <v>107.5</v>
      </c>
      <c r="I65" s="67">
        <f>IF(ISNUMBER(tblY8[[#This Row],[Avg KS2]]),IFERROR(VLOOKUP(ROUND(STANDARDIZE(tblY8[[#This Row],[Avg KS2]],AVERAGE(tblY8[[Avg KS2]]),_xlfn.STDEV.P(tblY8[[Avg KS2]])),9),_Stanine,2),5),"")</f>
        <v>6</v>
      </c>
      <c r="J65" s="66" t="inlineStr">
        <is>
          <t>8A/Sc3</t>
        </is>
      </c>
      <c r="K65" s="67">
        <f>IF(tblY8[[#This Row],[Preferred Last name]]="","",COUNTIFS($N$1:$ZZ$1,"*"&amp;CHAR(10)&amp;"Stanine",$N65:$ZZ65,"&gt;=1"))</f>
        <v>5</v>
      </c>
      <c r="L65" s="68">
        <f>IFERROR(AVERAGEIF($N$1:$ZZ$1,"*"&amp;CHAR(10)&amp;"Stanine",$N65:$ZZ65),"")</f>
        <v>3.8</v>
      </c>
      <c r="M65" s="69">
        <f>IF(AND(ISNUMBER(tblY8[[#This Row],[Mean Stanine]]),ISNUMBER(tblY8[[#This Row],[Avg KS2 Band]]),ISNUMBER(SlopeY8)),tblY8[[#This Row],[Mean Stanine]]-(InterceptY8+SlopeY8*tblY8[[#This Row],[Avg KS2 Band]]),"")</f>
        <v>-1.92077024753665</v>
      </c>
      <c r="N65" s="66" t="n">
        <v>14</v>
      </c>
      <c r="O65" s="67">
        <f>IF(ISNUMBER(tblY8[[#This Row],[8C01 - Periodic Table
Raw Score]]),IFERROR(VLOOKUP(ROUND(STANDARDIZE(tblY8[[#This Row],[8C01 - Periodic Table
Raw Score]],AVERAGE(tblY8[[8C01 - Periodic Table
Raw Score]]),_xlfn.STDEV.P(tblY8[[8C01 - Periodic Table
Raw Score]])),9),_Stanine,2),5),"")</f>
        <v>4</v>
      </c>
      <c r="P65" s="66" t="n">
        <v>9</v>
      </c>
      <c r="Q65" s="67">
        <f>IF(ISNUMBER(tblY8[[#This Row],[8P01 - Energy
Raw Score]]),IFERROR(VLOOKUP(ROUND(STANDARDIZE(tblY8[[#This Row],[8P01 - Energy
Raw Score]],AVERAGE(tblY8[[8P01 - Energy
Raw Score]]),_xlfn.STDEV.P(tblY8[[8P01 - Energy
Raw Score]])),9),_Stanine,2),5),"")</f>
        <v>4</v>
      </c>
      <c r="R65" s="66" t="n">
        <v>9</v>
      </c>
      <c r="S65" s="67">
        <f>IF(ISNUMBER(tblY8[[#This Row],[8B01 - Digestion
Raw Score]]),IFERROR(VLOOKUP(ROUND(STANDARDIZE(tblY8[[#This Row],[8B01 - Digestion
Raw Score]],AVERAGE(tblY8[[8B01 - Digestion
Raw Score]]),_xlfn.STDEV.P(tblY8[[8B01 - Digestion
Raw Score]])),9),_Stanine,2),5),"")</f>
        <v>3</v>
      </c>
      <c r="T65" s="66" t="n">
        <v>8</v>
      </c>
      <c r="U65" s="67">
        <f>IF(ISNUMBER(tblY8[[#This Row],[8C02 - Metals and Acids
Raw Score]]),IFERROR(VLOOKUP(ROUND(STANDARDIZE(tblY8[[#This Row],[8C02 - Metals and Acids
Raw Score]],AVERAGE(tblY8[[8C02 - Metals and Acids
Raw Score]]),_xlfn.STDEV.P(tblY8[[8C02 - Metals and Acids
Raw Score]])),9),_Stanine,2),5),"")</f>
        <v>4</v>
      </c>
      <c r="V65" s="66" t="n">
        <v>13</v>
      </c>
      <c r="W65" s="67">
        <f>IF(ISNUMBER(tblY8[[#This Row],[8P02 - Light
Raw Score]]),IFERROR(VLOOKUP(ROUND(STANDARDIZE(tblY8[[#This Row],[8P02 - Light
Raw Score]],AVERAGE(tblY8[[8P02 - Light
Raw Score]]),_xlfn.STDEV.P(tblY8[[8P02 - Light
Raw Score]])),9),_Stanine,2),5),"")</f>
        <v>4</v>
      </c>
    </row>
    <row r="66">
      <c r="A66" s="65" t="inlineStr">
        <is>
          <t>X903061444339</t>
        </is>
      </c>
      <c r="B66" s="65" t="inlineStr">
        <is>
          <t>Kelly</t>
        </is>
      </c>
      <c r="C66" s="65" t="inlineStr">
        <is>
          <t>Dylan</t>
        </is>
      </c>
      <c r="D66" s="66" t="inlineStr">
        <is>
          <t>M</t>
        </is>
      </c>
      <c r="E66" s="66" t="n"/>
      <c r="F66" s="66" t="inlineStr">
        <is>
          <t>N</t>
        </is>
      </c>
      <c r="G66" s="34" t="n">
        <v>100</v>
      </c>
      <c r="H66" s="34" t="n">
        <v>101</v>
      </c>
      <c r="I66" s="67">
        <f>IF(ISNUMBER(tblY8[[#This Row],[Avg KS2]]),IFERROR(VLOOKUP(ROUND(STANDARDIZE(tblY8[[#This Row],[Avg KS2]],AVERAGE(tblY8[[Avg KS2]]),_xlfn.STDEV.P(tblY8[[Avg KS2]])),9),_Stanine,2),5),"")</f>
        <v>4</v>
      </c>
      <c r="J66" s="66" t="inlineStr">
        <is>
          <t>8A/Sc3</t>
        </is>
      </c>
      <c r="K66" s="67">
        <f>IF(tblY8[[#This Row],[Preferred Last name]]="","",COUNTIFS($N$1:$ZZ$1,"*"&amp;CHAR(10)&amp;"Stanine",$N66:$ZZ66,"&gt;=1"))</f>
        <v>5</v>
      </c>
      <c r="L66" s="68">
        <f>IFERROR(AVERAGEIF($N$1:$ZZ$1,"*"&amp;CHAR(10)&amp;"Stanine",$N66:$ZZ66),"")</f>
        <v>3.6</v>
      </c>
      <c r="M66" s="69">
        <f>IF(AND(ISNUMBER(tblY8[[#This Row],[Mean Stanine]]),ISNUMBER(tblY8[[#This Row],[Avg KS2 Band]]),ISNUMBER(SlopeY8)),tblY8[[#This Row],[Mean Stanine]]-(InterceptY8+SlopeY8*tblY8[[#This Row],[Avg KS2 Band]]),"")</f>
        <v>-0.562947608747897</v>
      </c>
      <c r="N66" s="66" t="n">
        <v>14</v>
      </c>
      <c r="O66" s="67">
        <f>IF(ISNUMBER(tblY8[[#This Row],[8C01 - Periodic Table
Raw Score]]),IFERROR(VLOOKUP(ROUND(STANDARDIZE(tblY8[[#This Row],[8C01 - Periodic Table
Raw Score]],AVERAGE(tblY8[[8C01 - Periodic Table
Raw Score]]),_xlfn.STDEV.P(tblY8[[8C01 - Periodic Table
Raw Score]])),9),_Stanine,2),5),"")</f>
        <v>4</v>
      </c>
      <c r="P66" s="66" t="n">
        <v>7</v>
      </c>
      <c r="Q66" s="67">
        <f>IF(ISNUMBER(tblY8[[#This Row],[8P01 - Energy
Raw Score]]),IFERROR(VLOOKUP(ROUND(STANDARDIZE(tblY8[[#This Row],[8P01 - Energy
Raw Score]],AVERAGE(tblY8[[8P01 - Energy
Raw Score]]),_xlfn.STDEV.P(tblY8[[8P01 - Energy
Raw Score]])),9),_Stanine,2),5),"")</f>
        <v>4</v>
      </c>
      <c r="R66" s="66" t="n">
        <v>7</v>
      </c>
      <c r="S66" s="67">
        <f>IF(ISNUMBER(tblY8[[#This Row],[8B01 - Digestion
Raw Score]]),IFERROR(VLOOKUP(ROUND(STANDARDIZE(tblY8[[#This Row],[8B01 - Digestion
Raw Score]],AVERAGE(tblY8[[8B01 - Digestion
Raw Score]]),_xlfn.STDEV.P(tblY8[[8B01 - Digestion
Raw Score]])),9),_Stanine,2),5),"")</f>
        <v>3</v>
      </c>
      <c r="T66" s="66" t="n">
        <v>9</v>
      </c>
      <c r="U66" s="67">
        <f>IF(ISNUMBER(tblY8[[#This Row],[8C02 - Metals and Acids
Raw Score]]),IFERROR(VLOOKUP(ROUND(STANDARDIZE(tblY8[[#This Row],[8C02 - Metals and Acids
Raw Score]],AVERAGE(tblY8[[8C02 - Metals and Acids
Raw Score]]),_xlfn.STDEV.P(tblY8[[8C02 - Metals and Acids
Raw Score]])),9),_Stanine,2),5),"")</f>
        <v>4</v>
      </c>
      <c r="V66" s="66" t="n">
        <v>11</v>
      </c>
      <c r="W66" s="67">
        <f>IF(ISNUMBER(tblY8[[#This Row],[8P02 - Light
Raw Score]]),IFERROR(VLOOKUP(ROUND(STANDARDIZE(tblY8[[#This Row],[8P02 - Light
Raw Score]],AVERAGE(tblY8[[8P02 - Light
Raw Score]]),_xlfn.STDEV.P(tblY8[[8P02 - Light
Raw Score]])),9),_Stanine,2),5),"")</f>
        <v>3</v>
      </c>
    </row>
    <row r="67">
      <c r="A67" s="65" t="inlineStr">
        <is>
          <t>X907136017624</t>
        </is>
      </c>
      <c r="B67" s="65" t="inlineStr">
        <is>
          <t>Lloyd</t>
        </is>
      </c>
      <c r="C67" s="65" t="inlineStr">
        <is>
          <t>Finley</t>
        </is>
      </c>
      <c r="D67" s="66" t="inlineStr">
        <is>
          <t>F</t>
        </is>
      </c>
      <c r="E67" s="66" t="inlineStr">
        <is>
          <t>N</t>
        </is>
      </c>
      <c r="F67" s="66" t="inlineStr">
        <is>
          <t>Y</t>
        </is>
      </c>
      <c r="G67" s="34" t="n">
        <v>98.8</v>
      </c>
      <c r="H67" s="34" t="n">
        <v>97</v>
      </c>
      <c r="I67" s="67">
        <f>IF(ISNUMBER(tblY8[[#This Row],[Avg KS2]]),IFERROR(VLOOKUP(ROUND(STANDARDIZE(tblY8[[#This Row],[Avg KS2]],AVERAGE(tblY8[[Avg KS2]]),_xlfn.STDEV.P(tblY8[[Avg KS2]])),9),_Stanine,2),5),"")</f>
        <v>2</v>
      </c>
      <c r="J67" s="66" t="inlineStr">
        <is>
          <t>8A/Sc3</t>
        </is>
      </c>
      <c r="K67" s="67">
        <f>IF(tblY8[[#This Row],[Preferred Last name]]="","",COUNTIFS($N$1:$ZZ$1,"*"&amp;CHAR(10)&amp;"Stanine",$N67:$ZZ67,"&gt;=1"))</f>
        <v>4</v>
      </c>
      <c r="L67" s="68">
        <f>IFERROR(AVERAGEIF($N$1:$ZZ$1,"*"&amp;CHAR(10)&amp;"Stanine",$N67:$ZZ67),"")</f>
        <v>4.5</v>
      </c>
      <c r="M67" s="69">
        <f>IF(AND(ISNUMBER(tblY8[[#This Row],[Mean Stanine]]),ISNUMBER(tblY8[[#This Row],[Avg KS2 Band]]),ISNUMBER(SlopeY8)),tblY8[[#This Row],[Mean Stanine]]-(InterceptY8+SlopeY8*tblY8[[#This Row],[Avg KS2 Band]]),"")</f>
        <v>1.89487503004086</v>
      </c>
      <c r="N67" s="66" t="n">
        <v>18</v>
      </c>
      <c r="O67" s="67">
        <f>IF(ISNUMBER(tblY8[[#This Row],[8C01 - Periodic Table
Raw Score]]),IFERROR(VLOOKUP(ROUND(STANDARDIZE(tblY8[[#This Row],[8C01 - Periodic Table
Raw Score]],AVERAGE(tblY8[[8C01 - Periodic Table
Raw Score]]),_xlfn.STDEV.P(tblY8[[8C01 - Periodic Table
Raw Score]])),9),_Stanine,2),5),"")</f>
        <v>5</v>
      </c>
      <c r="P67" s="66" t="n">
        <v>8</v>
      </c>
      <c r="Q67" s="67">
        <f>IF(ISNUMBER(tblY8[[#This Row],[8P01 - Energy
Raw Score]]),IFERROR(VLOOKUP(ROUND(STANDARDIZE(tblY8[[#This Row],[8P01 - Energy
Raw Score]],AVERAGE(tblY8[[8P01 - Energy
Raw Score]]),_xlfn.STDEV.P(tblY8[[8P01 - Energy
Raw Score]])),9),_Stanine,2),5),"")</f>
        <v>4</v>
      </c>
      <c r="R67" s="66" t="n">
        <v>10</v>
      </c>
      <c r="S67" s="67">
        <f>IF(ISNUMBER(tblY8[[#This Row],[8B01 - Digestion
Raw Score]]),IFERROR(VLOOKUP(ROUND(STANDARDIZE(tblY8[[#This Row],[8B01 - Digestion
Raw Score]],AVERAGE(tblY8[[8B01 - Digestion
Raw Score]]),_xlfn.STDEV.P(tblY8[[8B01 - Digestion
Raw Score]])),9),_Stanine,2),5),"")</f>
        <v>4</v>
      </c>
      <c r="T67" s="66" t="n">
        <v>11</v>
      </c>
      <c r="U67" s="67">
        <f>IF(ISNUMBER(tblY8[[#This Row],[8C02 - Metals and Acids
Raw Score]]),IFERROR(VLOOKUP(ROUND(STANDARDIZE(tblY8[[#This Row],[8C02 - Metals and Acids
Raw Score]],AVERAGE(tblY8[[8C02 - Metals and Acids
Raw Score]]),_xlfn.STDEV.P(tblY8[[8C02 - Metals and Acids
Raw Score]])),9),_Stanine,2),5),"")</f>
        <v>5</v>
      </c>
      <c r="V67" s="66" t="inlineStr">
        <is>
          <t>A</t>
        </is>
      </c>
      <c r="W67" s="67" t="str">
        <f>IF(ISNUMBER(tblY8[[#This Row],[8P02 - Light
Raw Score]]),IFERROR(VLOOKUP(ROUND(STANDARDIZE(tblY8[[#This Row],[8P02 - Light
Raw Score]],AVERAGE(tblY8[[8P02 - Light
Raw Score]]),_xlfn.STDEV.P(tblY8[[8P02 - Light
Raw Score]])),9),_Stanine,2),5),"")</f>
        <v/>
      </c>
    </row>
    <row r="68">
      <c r="A68" s="65" t="inlineStr">
        <is>
          <t>X907265158115</t>
        </is>
      </c>
      <c r="B68" s="65" t="inlineStr">
        <is>
          <t>Lloyd</t>
        </is>
      </c>
      <c r="C68" s="65" t="inlineStr">
        <is>
          <t>Ibrahim</t>
        </is>
      </c>
      <c r="D68" s="66" t="inlineStr">
        <is>
          <t>M</t>
        </is>
      </c>
      <c r="E68" s="66" t="n"/>
      <c r="F68" s="66" t="inlineStr">
        <is>
          <t>Y</t>
        </is>
      </c>
      <c r="G68" s="34" t="n">
        <v>91.8</v>
      </c>
      <c r="H68" s="34" t="n">
        <v>105.5</v>
      </c>
      <c r="I68" s="67">
        <f>IF(ISNUMBER(tblY8[[#This Row],[Avg KS2]]),IFERROR(VLOOKUP(ROUND(STANDARDIZE(tblY8[[#This Row],[Avg KS2]],AVERAGE(tblY8[[Avg KS2]]),_xlfn.STDEV.P(tblY8[[Avg KS2]])),9),_Stanine,2),5),"")</f>
        <v>5</v>
      </c>
      <c r="J68" s="66" t="inlineStr">
        <is>
          <t>8A/Sc3</t>
        </is>
      </c>
      <c r="K68" s="67">
        <f>IF(tblY8[[#This Row],[Preferred Last name]]="","",COUNTIFS($N$1:$ZZ$1,"*"&amp;CHAR(10)&amp;"Stanine",$N68:$ZZ68,"&gt;=1"))</f>
        <v>5</v>
      </c>
      <c r="L68" s="68">
        <f>IFERROR(AVERAGEIF($N$1:$ZZ$1,"*"&amp;CHAR(10)&amp;"Stanine",$N68:$ZZ68),"")</f>
        <v>4.8</v>
      </c>
      <c r="M68" s="69">
        <f>IF(AND(ISNUMBER(tblY8[[#This Row],[Mean Stanine]]),ISNUMBER(tblY8[[#This Row],[Avg KS2 Band]]),ISNUMBER(SlopeY8)),tblY8[[#This Row],[Mean Stanine]]-(InterceptY8+SlopeY8*tblY8[[#This Row],[Avg KS2 Band]]),"")</f>
        <v>-0.141858928142273</v>
      </c>
      <c r="N68" s="66" t="n">
        <v>14</v>
      </c>
      <c r="O68" s="67">
        <f>IF(ISNUMBER(tblY8[[#This Row],[8C01 - Periodic Table
Raw Score]]),IFERROR(VLOOKUP(ROUND(STANDARDIZE(tblY8[[#This Row],[8C01 - Periodic Table
Raw Score]],AVERAGE(tblY8[[8C01 - Periodic Table
Raw Score]]),_xlfn.STDEV.P(tblY8[[8C01 - Periodic Table
Raw Score]])),9),_Stanine,2),5),"")</f>
        <v>4</v>
      </c>
      <c r="P68" s="66" t="n">
        <v>11</v>
      </c>
      <c r="Q68" s="67">
        <f>IF(ISNUMBER(tblY8[[#This Row],[8P01 - Energy
Raw Score]]),IFERROR(VLOOKUP(ROUND(STANDARDIZE(tblY8[[#This Row],[8P01 - Energy
Raw Score]],AVERAGE(tblY8[[8P01 - Energy
Raw Score]]),_xlfn.STDEV.P(tblY8[[8P01 - Energy
Raw Score]])),9),_Stanine,2),5),"")</f>
        <v>5</v>
      </c>
      <c r="R68" s="66" t="n">
        <v>15</v>
      </c>
      <c r="S68" s="67">
        <f>IF(ISNUMBER(tblY8[[#This Row],[8B01 - Digestion
Raw Score]]),IFERROR(VLOOKUP(ROUND(STANDARDIZE(tblY8[[#This Row],[8B01 - Digestion
Raw Score]],AVERAGE(tblY8[[8B01 - Digestion
Raw Score]]),_xlfn.STDEV.P(tblY8[[8B01 - Digestion
Raw Score]])),9),_Stanine,2),5),"")</f>
        <v>5</v>
      </c>
      <c r="T68" s="66" t="n">
        <v>9</v>
      </c>
      <c r="U68" s="67">
        <f>IF(ISNUMBER(tblY8[[#This Row],[8C02 - Metals and Acids
Raw Score]]),IFERROR(VLOOKUP(ROUND(STANDARDIZE(tblY8[[#This Row],[8C02 - Metals and Acids
Raw Score]],AVERAGE(tblY8[[8C02 - Metals and Acids
Raw Score]]),_xlfn.STDEV.P(tblY8[[8C02 - Metals and Acids
Raw Score]])),9),_Stanine,2),5),"")</f>
        <v>4</v>
      </c>
      <c r="V68" s="66" t="n">
        <v>17</v>
      </c>
      <c r="W68" s="67">
        <f>IF(ISNUMBER(tblY8[[#This Row],[8P02 - Light
Raw Score]]),IFERROR(VLOOKUP(ROUND(STANDARDIZE(tblY8[[#This Row],[8P02 - Light
Raw Score]],AVERAGE(tblY8[[8P02 - Light
Raw Score]]),_xlfn.STDEV.P(tblY8[[8P02 - Light
Raw Score]])),9),_Stanine,2),5),"")</f>
        <v>6</v>
      </c>
    </row>
    <row r="69">
      <c r="A69" s="65" t="inlineStr">
        <is>
          <t>X909630456956</t>
        </is>
      </c>
      <c r="B69" s="65" t="inlineStr">
        <is>
          <t>Lloyd</t>
        </is>
      </c>
      <c r="C69" s="65" t="inlineStr">
        <is>
          <t>Sami</t>
        </is>
      </c>
      <c r="D69" s="66" t="inlineStr">
        <is>
          <t>M</t>
        </is>
      </c>
      <c r="E69" s="66" t="n"/>
      <c r="F69" s="66" t="inlineStr">
        <is>
          <t>N</t>
        </is>
      </c>
      <c r="G69" s="34" t="n">
        <v>88.40000000000001</v>
      </c>
      <c r="H69" s="34" t="n">
        <v>96.5</v>
      </c>
      <c r="I69" s="67">
        <f>IF(ISNUMBER(tblY8[[#This Row],[Avg KS2]]),IFERROR(VLOOKUP(ROUND(STANDARDIZE(tblY8[[#This Row],[Avg KS2]],AVERAGE(tblY8[[Avg KS2]]),_xlfn.STDEV.P(tblY8[[Avg KS2]])),9),_Stanine,2),5),"")</f>
        <v>2</v>
      </c>
      <c r="J69" s="66" t="inlineStr">
        <is>
          <t>8A/Sc3</t>
        </is>
      </c>
      <c r="K69" s="67">
        <f>IF(tblY8[[#This Row],[Preferred Last name]]="","",COUNTIFS($N$1:$ZZ$1,"*"&amp;CHAR(10)&amp;"Stanine",$N69:$ZZ69,"&gt;=1"))</f>
        <v>5</v>
      </c>
      <c r="L69" s="68">
        <f>IFERROR(AVERAGEIF($N$1:$ZZ$1,"*"&amp;CHAR(10)&amp;"Stanine",$N69:$ZZ69),"")</f>
        <v>3</v>
      </c>
      <c r="M69" s="69">
        <f>IF(AND(ISNUMBER(tblY8[[#This Row],[Mean Stanine]]),ISNUMBER(tblY8[[#This Row],[Avg KS2 Band]]),ISNUMBER(SlopeY8)),tblY8[[#This Row],[Mean Stanine]]-(InterceptY8+SlopeY8*tblY8[[#This Row],[Avg KS2 Band]]),"")</f>
        <v>0.394875030040855</v>
      </c>
      <c r="N69" s="66" t="n">
        <v>13</v>
      </c>
      <c r="O69" s="67">
        <f>IF(ISNUMBER(tblY8[[#This Row],[8C01 - Periodic Table
Raw Score]]),IFERROR(VLOOKUP(ROUND(STANDARDIZE(tblY8[[#This Row],[8C01 - Periodic Table
Raw Score]],AVERAGE(tblY8[[8C01 - Periodic Table
Raw Score]]),_xlfn.STDEV.P(tblY8[[8C01 - Periodic Table
Raw Score]])),9),_Stanine,2),5),"")</f>
        <v>3</v>
      </c>
      <c r="P69" s="66" t="n">
        <v>5</v>
      </c>
      <c r="Q69" s="67">
        <f>IF(ISNUMBER(tblY8[[#This Row],[8P01 - Energy
Raw Score]]),IFERROR(VLOOKUP(ROUND(STANDARDIZE(tblY8[[#This Row],[8P01 - Energy
Raw Score]],AVERAGE(tblY8[[8P01 - Energy
Raw Score]]),_xlfn.STDEV.P(tblY8[[8P01 - Energy
Raw Score]])),9),_Stanine,2),5),"")</f>
        <v>3</v>
      </c>
      <c r="R69" s="66" t="n">
        <v>7</v>
      </c>
      <c r="S69" s="67">
        <f>IF(ISNUMBER(tblY8[[#This Row],[8B01 - Digestion
Raw Score]]),IFERROR(VLOOKUP(ROUND(STANDARDIZE(tblY8[[#This Row],[8B01 - Digestion
Raw Score]],AVERAGE(tblY8[[8B01 - Digestion
Raw Score]]),_xlfn.STDEV.P(tblY8[[8B01 - Digestion
Raw Score]])),9),_Stanine,2),5),"")</f>
        <v>3</v>
      </c>
      <c r="T69" s="66" t="n">
        <v>5</v>
      </c>
      <c r="U69" s="67">
        <f>IF(ISNUMBER(tblY8[[#This Row],[8C02 - Metals and Acids
Raw Score]]),IFERROR(VLOOKUP(ROUND(STANDARDIZE(tblY8[[#This Row],[8C02 - Metals and Acids
Raw Score]],AVERAGE(tblY8[[8C02 - Metals and Acids
Raw Score]]),_xlfn.STDEV.P(tblY8[[8C02 - Metals and Acids
Raw Score]])),9),_Stanine,2),5),"")</f>
        <v>3</v>
      </c>
      <c r="V69" s="66" t="n">
        <v>11</v>
      </c>
      <c r="W69" s="67">
        <f>IF(ISNUMBER(tblY8[[#This Row],[8P02 - Light
Raw Score]]),IFERROR(VLOOKUP(ROUND(STANDARDIZE(tblY8[[#This Row],[8P02 - Light
Raw Score]],AVERAGE(tblY8[[8P02 - Light
Raw Score]]),_xlfn.STDEV.P(tblY8[[8P02 - Light
Raw Score]])),9),_Stanine,2),5),"")</f>
        <v>3</v>
      </c>
    </row>
    <row r="70">
      <c r="A70" s="65" t="inlineStr">
        <is>
          <t>X903127131664</t>
        </is>
      </c>
      <c r="B70" s="65" t="inlineStr">
        <is>
          <t>Pearson</t>
        </is>
      </c>
      <c r="C70" s="65" t="inlineStr">
        <is>
          <t>Callum</t>
        </is>
      </c>
      <c r="D70" s="66" t="inlineStr">
        <is>
          <t>F</t>
        </is>
      </c>
      <c r="E70" s="66" t="n"/>
      <c r="F70" s="66" t="inlineStr">
        <is>
          <t>N</t>
        </is>
      </c>
      <c r="G70" s="34" t="n">
        <v>83.2</v>
      </c>
      <c r="H70" s="34" t="n">
        <v>100.5</v>
      </c>
      <c r="I70" s="67">
        <f>IF(ISNUMBER(tblY8[[#This Row],[Avg KS2]]),IFERROR(VLOOKUP(ROUND(STANDARDIZE(tblY8[[#This Row],[Avg KS2]],AVERAGE(tblY8[[Avg KS2]]),_xlfn.STDEV.P(tblY8[[Avg KS2]])),9),_Stanine,2),5),"")</f>
        <v>3</v>
      </c>
      <c r="J70" s="66" t="inlineStr">
        <is>
          <t>8A/Sc3</t>
        </is>
      </c>
      <c r="K70" s="67">
        <f>IF(tblY8[[#This Row],[Preferred Last name]]="","",COUNTIFS($N$1:$ZZ$1,"*"&amp;CHAR(10)&amp;"Stanine",$N70:$ZZ70,"&gt;=1"))</f>
        <v>5</v>
      </c>
      <c r="L70" s="68">
        <f>IFERROR(AVERAGEIF($N$1:$ZZ$1,"*"&amp;CHAR(10)&amp;"Stanine",$N70:$ZZ70),"")</f>
        <v>1.8</v>
      </c>
      <c r="M70" s="69">
        <f>IF(AND(ISNUMBER(tblY8[[#This Row],[Mean Stanine]]),ISNUMBER(tblY8[[#This Row],[Avg KS2 Band]]),ISNUMBER(SlopeY8)),tblY8[[#This Row],[Mean Stanine]]-(InterceptY8+SlopeY8*tblY8[[#This Row],[Avg KS2 Band]]),"")</f>
        <v>-1.58403628935352</v>
      </c>
      <c r="N70" s="66" t="n">
        <v>8</v>
      </c>
      <c r="O70" s="67">
        <f>IF(ISNUMBER(tblY8[[#This Row],[8C01 - Periodic Table
Raw Score]]),IFERROR(VLOOKUP(ROUND(STANDARDIZE(tblY8[[#This Row],[8C01 - Periodic Table
Raw Score]],AVERAGE(tblY8[[8C01 - Periodic Table
Raw Score]]),_xlfn.STDEV.P(tblY8[[8C01 - Periodic Table
Raw Score]])),9),_Stanine,2),5),"")</f>
        <v>2</v>
      </c>
      <c r="P70" s="66" t="n">
        <v>2</v>
      </c>
      <c r="Q70" s="67">
        <f>IF(ISNUMBER(tblY8[[#This Row],[8P01 - Energy
Raw Score]]),IFERROR(VLOOKUP(ROUND(STANDARDIZE(tblY8[[#This Row],[8P01 - Energy
Raw Score]],AVERAGE(tblY8[[8P01 - Energy
Raw Score]]),_xlfn.STDEV.P(tblY8[[8P01 - Energy
Raw Score]])),9),_Stanine,2),5),"")</f>
        <v>2</v>
      </c>
      <c r="R70" s="66" t="n">
        <v>3</v>
      </c>
      <c r="S70" s="67">
        <f>IF(ISNUMBER(tblY8[[#This Row],[8B01 - Digestion
Raw Score]]),IFERROR(VLOOKUP(ROUND(STANDARDIZE(tblY8[[#This Row],[8B01 - Digestion
Raw Score]],AVERAGE(tblY8[[8B01 - Digestion
Raw Score]]),_xlfn.STDEV.P(tblY8[[8B01 - Digestion
Raw Score]])),9),_Stanine,2),5),"")</f>
        <v>2</v>
      </c>
      <c r="T70" s="66" t="n">
        <v>4</v>
      </c>
      <c r="U70" s="67">
        <f>IF(ISNUMBER(tblY8[[#This Row],[8C02 - Metals and Acids
Raw Score]]),IFERROR(VLOOKUP(ROUND(STANDARDIZE(tblY8[[#This Row],[8C02 - Metals and Acids
Raw Score]],AVERAGE(tblY8[[8C02 - Metals and Acids
Raw Score]]),_xlfn.STDEV.P(tblY8[[8C02 - Metals and Acids
Raw Score]])),9),_Stanine,2),5),"")</f>
        <v>2</v>
      </c>
      <c r="V70" s="66" t="n">
        <v>4</v>
      </c>
      <c r="W70" s="67">
        <f>IF(ISNUMBER(tblY8[[#This Row],[8P02 - Light
Raw Score]]),IFERROR(VLOOKUP(ROUND(STANDARDIZE(tblY8[[#This Row],[8P02 - Light
Raw Score]],AVERAGE(tblY8[[8P02 - Light
Raw Score]]),_xlfn.STDEV.P(tblY8[[8P02 - Light
Raw Score]])),9),_Stanine,2),5),"")</f>
        <v>1</v>
      </c>
    </row>
    <row r="71">
      <c r="A71" s="65" t="inlineStr">
        <is>
          <t>X901541503466</t>
        </is>
      </c>
      <c r="B71" s="65" t="inlineStr">
        <is>
          <t>Pearson</t>
        </is>
      </c>
      <c r="C71" s="65" t="inlineStr">
        <is>
          <t>Nia</t>
        </is>
      </c>
      <c r="D71" s="66" t="inlineStr">
        <is>
          <t>F</t>
        </is>
      </c>
      <c r="E71" s="66" t="inlineStr">
        <is>
          <t>E</t>
        </is>
      </c>
      <c r="F71" s="66" t="inlineStr">
        <is>
          <t>Y</t>
        </is>
      </c>
      <c r="G71" s="34" t="n">
        <v>100</v>
      </c>
      <c r="H71" s="34" t="n">
        <v>109.5</v>
      </c>
      <c r="I71" s="67">
        <f>IF(ISNUMBER(tblY8[[#This Row],[Avg KS2]]),IFERROR(VLOOKUP(ROUND(STANDARDIZE(tblY8[[#This Row],[Avg KS2]],AVERAGE(tblY8[[Avg KS2]]),_xlfn.STDEV.P(tblY8[[Avg KS2]])),9),_Stanine,2),5),"")</f>
        <v>7</v>
      </c>
      <c r="J71" s="66" t="inlineStr">
        <is>
          <t>8A/Sc3</t>
        </is>
      </c>
      <c r="K71" s="67">
        <f>IF(tblY8[[#This Row],[Preferred Last name]]="","",COUNTIFS($N$1:$ZZ$1,"*"&amp;CHAR(10)&amp;"Stanine",$N71:$ZZ71,"&gt;=1"))</f>
        <v>5</v>
      </c>
      <c r="L71" s="68">
        <f>IFERROR(AVERAGEIF($N$1:$ZZ$1,"*"&amp;CHAR(10)&amp;"Stanine",$N71:$ZZ71),"")</f>
        <v>6.4</v>
      </c>
      <c r="M71" s="69">
        <f>IF(AND(ISNUMBER(tblY8[[#This Row],[Mean Stanine]]),ISNUMBER(tblY8[[#This Row],[Avg KS2 Band]]),ISNUMBER(SlopeY8)),tblY8[[#This Row],[Mean Stanine]]-(InterceptY8+SlopeY8*tblY8[[#This Row],[Avg KS2 Band]]),"")</f>
        <v>-0.0996815669310252</v>
      </c>
      <c r="N71" s="66" t="n">
        <v>22</v>
      </c>
      <c r="O71" s="67">
        <f>IF(ISNUMBER(tblY8[[#This Row],[8C01 - Periodic Table
Raw Score]]),IFERROR(VLOOKUP(ROUND(STANDARDIZE(tblY8[[#This Row],[8C01 - Periodic Table
Raw Score]],AVERAGE(tblY8[[8C01 - Periodic Table
Raw Score]]),_xlfn.STDEV.P(tblY8[[8C01 - Periodic Table
Raw Score]])),9),_Stanine,2),5),"")</f>
        <v>6</v>
      </c>
      <c r="P71" s="66" t="n">
        <v>12</v>
      </c>
      <c r="Q71" s="67">
        <f>IF(ISNUMBER(tblY8[[#This Row],[8P01 - Energy
Raw Score]]),IFERROR(VLOOKUP(ROUND(STANDARDIZE(tblY8[[#This Row],[8P01 - Energy
Raw Score]],AVERAGE(tblY8[[8P01 - Energy
Raw Score]]),_xlfn.STDEV.P(tblY8[[8P01 - Energy
Raw Score]])),9),_Stanine,2),5),"")</f>
        <v>6</v>
      </c>
      <c r="R71" s="66" t="n">
        <v>20</v>
      </c>
      <c r="S71" s="67">
        <f>IF(ISNUMBER(tblY8[[#This Row],[8B01 - Digestion
Raw Score]]),IFERROR(VLOOKUP(ROUND(STANDARDIZE(tblY8[[#This Row],[8B01 - Digestion
Raw Score]],AVERAGE(tblY8[[8B01 - Digestion
Raw Score]]),_xlfn.STDEV.P(tblY8[[8B01 - Digestion
Raw Score]])),9),_Stanine,2),5),"")</f>
        <v>7</v>
      </c>
      <c r="T71" s="66" t="n">
        <v>15</v>
      </c>
      <c r="U71" s="67">
        <f>IF(ISNUMBER(tblY8[[#This Row],[8C02 - Metals and Acids
Raw Score]]),IFERROR(VLOOKUP(ROUND(STANDARDIZE(tblY8[[#This Row],[8C02 - Metals and Acids
Raw Score]],AVERAGE(tblY8[[8C02 - Metals and Acids
Raw Score]]),_xlfn.STDEV.P(tblY8[[8C02 - Metals and Acids
Raw Score]])),9),_Stanine,2),5),"")</f>
        <v>6</v>
      </c>
      <c r="V71" s="66" t="n">
        <v>19</v>
      </c>
      <c r="W71" s="67">
        <f>IF(ISNUMBER(tblY8[[#This Row],[8P02 - Light
Raw Score]]),IFERROR(VLOOKUP(ROUND(STANDARDIZE(tblY8[[#This Row],[8P02 - Light
Raw Score]],AVERAGE(tblY8[[8P02 - Light
Raw Score]]),_xlfn.STDEV.P(tblY8[[8P02 - Light
Raw Score]])),9),_Stanine,2),5),"")</f>
        <v>7</v>
      </c>
    </row>
    <row r="72">
      <c r="A72" s="65" t="inlineStr">
        <is>
          <t>X909232617192</t>
        </is>
      </c>
      <c r="B72" s="65" t="inlineStr">
        <is>
          <t>Robinson</t>
        </is>
      </c>
      <c r="C72" s="65" t="inlineStr">
        <is>
          <t>Hollie</t>
        </is>
      </c>
      <c r="D72" s="66" t="inlineStr">
        <is>
          <t>F</t>
        </is>
      </c>
      <c r="E72" s="66" t="inlineStr">
        <is>
          <t>N</t>
        </is>
      </c>
      <c r="F72" s="66" t="inlineStr">
        <is>
          <t>N</t>
        </is>
      </c>
      <c r="G72" s="34" t="n">
        <v>94.59999999999999</v>
      </c>
      <c r="H72" s="34" t="n">
        <v>99.5</v>
      </c>
      <c r="I72" s="67">
        <f>IF(ISNUMBER(tblY8[[#This Row],[Avg KS2]]),IFERROR(VLOOKUP(ROUND(STANDARDIZE(tblY8[[#This Row],[Avg KS2]],AVERAGE(tblY8[[Avg KS2]]),_xlfn.STDEV.P(tblY8[[Avg KS2]])),9),_Stanine,2),5),"")</f>
        <v>3</v>
      </c>
      <c r="J72" s="66" t="inlineStr">
        <is>
          <t>8A/Sc3</t>
        </is>
      </c>
      <c r="K72" s="67">
        <f>IF(tblY8[[#This Row],[Preferred Last name]]="","",COUNTIFS($N$1:$ZZ$1,"*"&amp;CHAR(10)&amp;"Stanine",$N72:$ZZ72,"&gt;=1"))</f>
        <v>4</v>
      </c>
      <c r="L72" s="68">
        <f>IFERROR(AVERAGEIF($N$1:$ZZ$1,"*"&amp;CHAR(10)&amp;"Stanine",$N72:$ZZ72),"")</f>
        <v>2.75</v>
      </c>
      <c r="M72" s="69">
        <f>IF(AND(ISNUMBER(tblY8[[#This Row],[Mean Stanine]]),ISNUMBER(tblY8[[#This Row],[Avg KS2 Band]]),ISNUMBER(SlopeY8)),tblY8[[#This Row],[Mean Stanine]]-(InterceptY8+SlopeY8*tblY8[[#This Row],[Avg KS2 Band]]),"")</f>
        <v>-0.634036289353521</v>
      </c>
      <c r="N72" s="66" t="n">
        <v>16</v>
      </c>
      <c r="O72" s="67">
        <f>IF(ISNUMBER(tblY8[[#This Row],[8C01 - Periodic Table
Raw Score]]),IFERROR(VLOOKUP(ROUND(STANDARDIZE(tblY8[[#This Row],[8C01 - Periodic Table
Raw Score]],AVERAGE(tblY8[[8C01 - Periodic Table
Raw Score]]),_xlfn.STDEV.P(tblY8[[8C01 - Periodic Table
Raw Score]])),9),_Stanine,2),5),"")</f>
        <v>4</v>
      </c>
      <c r="P72" s="66" t="n">
        <v>4</v>
      </c>
      <c r="Q72" s="67">
        <f>IF(ISNUMBER(tblY8[[#This Row],[8P01 - Energy
Raw Score]]),IFERROR(VLOOKUP(ROUND(STANDARDIZE(tblY8[[#This Row],[8P01 - Energy
Raw Score]],AVERAGE(tblY8[[8P01 - Energy
Raw Score]]),_xlfn.STDEV.P(tblY8[[8P01 - Energy
Raw Score]])),9),_Stanine,2),5),"")</f>
        <v>3</v>
      </c>
      <c r="R72" s="66" t="n">
        <v>4</v>
      </c>
      <c r="S72" s="67">
        <f>IF(ISNUMBER(tblY8[[#This Row],[8B01 - Digestion
Raw Score]]),IFERROR(VLOOKUP(ROUND(STANDARDIZE(tblY8[[#This Row],[8B01 - Digestion
Raw Score]],AVERAGE(tblY8[[8B01 - Digestion
Raw Score]]),_xlfn.STDEV.P(tblY8[[8B01 - Digestion
Raw Score]])),9),_Stanine,2),5),"")</f>
        <v>2</v>
      </c>
      <c r="T72" s="66" t="n">
        <v>3</v>
      </c>
      <c r="U72" s="67">
        <f>IF(ISNUMBER(tblY8[[#This Row],[8C02 - Metals and Acids
Raw Score]]),IFERROR(VLOOKUP(ROUND(STANDARDIZE(tblY8[[#This Row],[8C02 - Metals and Acids
Raw Score]],AVERAGE(tblY8[[8C02 - Metals and Acids
Raw Score]]),_xlfn.STDEV.P(tblY8[[8C02 - Metals and Acids
Raw Score]])),9),_Stanine,2),5),"")</f>
        <v>2</v>
      </c>
      <c r="V72" s="66" t="inlineStr">
        <is>
          <t>A</t>
        </is>
      </c>
      <c r="W72" s="67" t="str">
        <f>IF(ISNUMBER(tblY8[[#This Row],[8P02 - Light
Raw Score]]),IFERROR(VLOOKUP(ROUND(STANDARDIZE(tblY8[[#This Row],[8P02 - Light
Raw Score]],AVERAGE(tblY8[[8P02 - Light
Raw Score]]),_xlfn.STDEV.P(tblY8[[8P02 - Light
Raw Score]])),9),_Stanine,2),5),"")</f>
        <v/>
      </c>
    </row>
    <row r="73">
      <c r="A73" s="65" t="inlineStr">
        <is>
          <t>X903337650092</t>
        </is>
      </c>
      <c r="B73" s="65" t="inlineStr">
        <is>
          <t>Robinson</t>
        </is>
      </c>
      <c r="C73" s="65" t="inlineStr">
        <is>
          <t>Kai</t>
        </is>
      </c>
      <c r="D73" s="66" t="inlineStr">
        <is>
          <t>M</t>
        </is>
      </c>
      <c r="E73" s="66" t="inlineStr">
        <is>
          <t>N</t>
        </is>
      </c>
      <c r="F73" s="66" t="inlineStr">
        <is>
          <t>N</t>
        </is>
      </c>
      <c r="G73" s="34" t="n">
        <v>100</v>
      </c>
      <c r="H73" s="34" t="n">
        <v>107.5</v>
      </c>
      <c r="I73" s="67">
        <f>IF(ISNUMBER(tblY8[[#This Row],[Avg KS2]]),IFERROR(VLOOKUP(ROUND(STANDARDIZE(tblY8[[#This Row],[Avg KS2]],AVERAGE(tblY8[[Avg KS2]]),_xlfn.STDEV.P(tblY8[[Avg KS2]])),9),_Stanine,2),5),"")</f>
        <v>6</v>
      </c>
      <c r="J73" s="66" t="inlineStr">
        <is>
          <t>8A/Sc3</t>
        </is>
      </c>
      <c r="K73" s="67">
        <f>IF(tblY8[[#This Row],[Preferred Last name]]="","",COUNTIFS($N$1:$ZZ$1,"*"&amp;CHAR(10)&amp;"Stanine",$N73:$ZZ73,"&gt;=1"))</f>
        <v>5</v>
      </c>
      <c r="L73" s="68">
        <f>IFERROR(AVERAGEIF($N$1:$ZZ$1,"*"&amp;CHAR(10)&amp;"Stanine",$N73:$ZZ73),"")</f>
        <v>5.8</v>
      </c>
      <c r="M73" s="69">
        <f>IF(AND(ISNUMBER(tblY8[[#This Row],[Mean Stanine]]),ISNUMBER(tblY8[[#This Row],[Avg KS2 Band]]),ISNUMBER(SlopeY8)),tblY8[[#This Row],[Mean Stanine]]-(InterceptY8+SlopeY8*tblY8[[#This Row],[Avg KS2 Band]]),"")</f>
        <v>0.0792297524633501</v>
      </c>
      <c r="N73" s="66" t="n">
        <v>22</v>
      </c>
      <c r="O73" s="67">
        <f>IF(ISNUMBER(tblY8[[#This Row],[8C01 - Periodic Table
Raw Score]]),IFERROR(VLOOKUP(ROUND(STANDARDIZE(tblY8[[#This Row],[8C01 - Periodic Table
Raw Score]],AVERAGE(tblY8[[8C01 - Periodic Table
Raw Score]]),_xlfn.STDEV.P(tblY8[[8C01 - Periodic Table
Raw Score]])),9),_Stanine,2),5),"")</f>
        <v>6</v>
      </c>
      <c r="P73" s="66" t="n">
        <v>13</v>
      </c>
      <c r="Q73" s="67">
        <f>IF(ISNUMBER(tblY8[[#This Row],[8P01 - Energy
Raw Score]]),IFERROR(VLOOKUP(ROUND(STANDARDIZE(tblY8[[#This Row],[8P01 - Energy
Raw Score]],AVERAGE(tblY8[[8P01 - Energy
Raw Score]]),_xlfn.STDEV.P(tblY8[[8P01 - Energy
Raw Score]])),9),_Stanine,2),5),"")</f>
        <v>6</v>
      </c>
      <c r="R73" s="66" t="n">
        <v>18</v>
      </c>
      <c r="S73" s="67">
        <f>IF(ISNUMBER(tblY8[[#This Row],[8B01 - Digestion
Raw Score]]),IFERROR(VLOOKUP(ROUND(STANDARDIZE(tblY8[[#This Row],[8B01 - Digestion
Raw Score]],AVERAGE(tblY8[[8B01 - Digestion
Raw Score]]),_xlfn.STDEV.P(tblY8[[8B01 - Digestion
Raw Score]])),9),_Stanine,2),5),"")</f>
        <v>6</v>
      </c>
      <c r="T73" s="66" t="n">
        <v>10</v>
      </c>
      <c r="U73" s="67">
        <f>IF(ISNUMBER(tblY8[[#This Row],[8C02 - Metals and Acids
Raw Score]]),IFERROR(VLOOKUP(ROUND(STANDARDIZE(tblY8[[#This Row],[8C02 - Metals and Acids
Raw Score]],AVERAGE(tblY8[[8C02 - Metals and Acids
Raw Score]]),_xlfn.STDEV.P(tblY8[[8C02 - Metals and Acids
Raw Score]])),9),_Stanine,2),5),"")</f>
        <v>4</v>
      </c>
      <c r="V73" s="66" t="n">
        <v>19</v>
      </c>
      <c r="W73" s="67">
        <f>IF(ISNUMBER(tblY8[[#This Row],[8P02 - Light
Raw Score]]),IFERROR(VLOOKUP(ROUND(STANDARDIZE(tblY8[[#This Row],[8P02 - Light
Raw Score]],AVERAGE(tblY8[[8P02 - Light
Raw Score]]),_xlfn.STDEV.P(tblY8[[8P02 - Light
Raw Score]])),9),_Stanine,2),5),"")</f>
        <v>7</v>
      </c>
    </row>
    <row r="74">
      <c r="A74" s="65" t="inlineStr">
        <is>
          <t>X908693427249</t>
        </is>
      </c>
      <c r="B74" s="65" t="inlineStr">
        <is>
          <t>Taylor</t>
        </is>
      </c>
      <c r="C74" s="65" t="inlineStr">
        <is>
          <t>Ivy</t>
        </is>
      </c>
      <c r="D74" s="66" t="inlineStr">
        <is>
          <t>M</t>
        </is>
      </c>
      <c r="E74" s="66" t="inlineStr">
        <is>
          <t>K</t>
        </is>
      </c>
      <c r="F74" s="66" t="inlineStr">
        <is>
          <t>Y</t>
        </is>
      </c>
      <c r="G74" s="34" t="n">
        <v>93.59999999999999</v>
      </c>
      <c r="H74" s="34" t="n">
        <v>103.5</v>
      </c>
      <c r="I74" s="67">
        <f>IF(ISNUMBER(tblY8[[#This Row],[Avg KS2]]),IFERROR(VLOOKUP(ROUND(STANDARDIZE(tblY8[[#This Row],[Avg KS2]],AVERAGE(tblY8[[Avg KS2]]),_xlfn.STDEV.P(tblY8[[Avg KS2]])),9),_Stanine,2),5),"")</f>
        <v>4</v>
      </c>
      <c r="J74" s="66" t="inlineStr">
        <is>
          <t>8A/Sc3</t>
        </is>
      </c>
      <c r="K74" s="67">
        <f>IF(tblY8[[#This Row],[Preferred Last name]]="","",COUNTIFS($N$1:$ZZ$1,"*"&amp;CHAR(10)&amp;"Stanine",$N74:$ZZ74,"&gt;=1"))</f>
        <v>5</v>
      </c>
      <c r="L74" s="68">
        <f>IFERROR(AVERAGEIF($N$1:$ZZ$1,"*"&amp;CHAR(10)&amp;"Stanine",$N74:$ZZ74),"")</f>
        <v>4.4</v>
      </c>
      <c r="M74" s="69">
        <f>IF(AND(ISNUMBER(tblY8[[#This Row],[Mean Stanine]]),ISNUMBER(tblY8[[#This Row],[Avg KS2 Band]]),ISNUMBER(SlopeY8)),tblY8[[#This Row],[Mean Stanine]]-(InterceptY8+SlopeY8*tblY8[[#This Row],[Avg KS2 Band]]),"")</f>
        <v>0.237052391252103</v>
      </c>
      <c r="N74" s="66" t="n">
        <v>14</v>
      </c>
      <c r="O74" s="67">
        <f>IF(ISNUMBER(tblY8[[#This Row],[8C01 - Periodic Table
Raw Score]]),IFERROR(VLOOKUP(ROUND(STANDARDIZE(tblY8[[#This Row],[8C01 - Periodic Table
Raw Score]],AVERAGE(tblY8[[8C01 - Periodic Table
Raw Score]]),_xlfn.STDEV.P(tblY8[[8C01 - Periodic Table
Raw Score]])),9),_Stanine,2),5),"")</f>
        <v>4</v>
      </c>
      <c r="P74" s="66" t="n">
        <v>8</v>
      </c>
      <c r="Q74" s="67">
        <f>IF(ISNUMBER(tblY8[[#This Row],[8P01 - Energy
Raw Score]]),IFERROR(VLOOKUP(ROUND(STANDARDIZE(tblY8[[#This Row],[8P01 - Energy
Raw Score]],AVERAGE(tblY8[[8P01 - Energy
Raw Score]]),_xlfn.STDEV.P(tblY8[[8P01 - Energy
Raw Score]])),9),_Stanine,2),5),"")</f>
        <v>4</v>
      </c>
      <c r="R74" s="66" t="n">
        <v>15</v>
      </c>
      <c r="S74" s="67">
        <f>IF(ISNUMBER(tblY8[[#This Row],[8B01 - Digestion
Raw Score]]),IFERROR(VLOOKUP(ROUND(STANDARDIZE(tblY8[[#This Row],[8B01 - Digestion
Raw Score]],AVERAGE(tblY8[[8B01 - Digestion
Raw Score]]),_xlfn.STDEV.P(tblY8[[8B01 - Digestion
Raw Score]])),9),_Stanine,2),5),"")</f>
        <v>5</v>
      </c>
      <c r="T74" s="66" t="n">
        <v>9</v>
      </c>
      <c r="U74" s="67">
        <f>IF(ISNUMBER(tblY8[[#This Row],[8C02 - Metals and Acids
Raw Score]]),IFERROR(VLOOKUP(ROUND(STANDARDIZE(tblY8[[#This Row],[8C02 - Metals and Acids
Raw Score]],AVERAGE(tblY8[[8C02 - Metals and Acids
Raw Score]]),_xlfn.STDEV.P(tblY8[[8C02 - Metals and Acids
Raw Score]])),9),_Stanine,2),5),"")</f>
        <v>4</v>
      </c>
      <c r="V74" s="66" t="n">
        <v>16</v>
      </c>
      <c r="W74" s="67">
        <f>IF(ISNUMBER(tblY8[[#This Row],[8P02 - Light
Raw Score]]),IFERROR(VLOOKUP(ROUND(STANDARDIZE(tblY8[[#This Row],[8P02 - Light
Raw Score]],AVERAGE(tblY8[[8P02 - Light
Raw Score]]),_xlfn.STDEV.P(tblY8[[8P02 - Light
Raw Score]])),9),_Stanine,2),5),"")</f>
        <v>5</v>
      </c>
    </row>
    <row r="75">
      <c r="A75" s="65" t="inlineStr">
        <is>
          <t>X900627838527</t>
        </is>
      </c>
      <c r="B75" s="65" t="inlineStr">
        <is>
          <t>Ward</t>
        </is>
      </c>
      <c r="C75" s="65" t="inlineStr">
        <is>
          <t>Alfie</t>
        </is>
      </c>
      <c r="D75" s="66" t="inlineStr">
        <is>
          <t>F</t>
        </is>
      </c>
      <c r="E75" s="66" t="n"/>
      <c r="F75" s="66" t="inlineStr">
        <is>
          <t>N</t>
        </is>
      </c>
      <c r="G75" s="34" t="n">
        <v>98.3</v>
      </c>
      <c r="H75" s="34" t="n">
        <v>113</v>
      </c>
      <c r="I75" s="67">
        <f>IF(ISNUMBER(tblY8[[#This Row],[Avg KS2]]),IFERROR(VLOOKUP(ROUND(STANDARDIZE(tblY8[[#This Row],[Avg KS2]],AVERAGE(tblY8[[Avg KS2]]),_xlfn.STDEV.P(tblY8[[Avg KS2]])),9),_Stanine,2),5),"")</f>
        <v>8</v>
      </c>
      <c r="J75" s="66" t="inlineStr">
        <is>
          <t>8A/Sc3</t>
        </is>
      </c>
      <c r="K75" s="67">
        <f>IF(tblY8[[#This Row],[Preferred Last name]]="","",COUNTIFS($N$1:$ZZ$1,"*"&amp;CHAR(10)&amp;"Stanine",$N75:$ZZ75,"&gt;=1"))</f>
        <v>5</v>
      </c>
      <c r="L75" s="68">
        <f>IFERROR(AVERAGEIF($N$1:$ZZ$1,"*"&amp;CHAR(10)&amp;"Stanine",$N75:$ZZ75),"")</f>
        <v>7.6</v>
      </c>
      <c r="M75" s="69">
        <f>IF(AND(ISNUMBER(tblY8[[#This Row],[Mean Stanine]]),ISNUMBER(tblY8[[#This Row],[Avg KS2 Band]]),ISNUMBER(SlopeY8)),tblY8[[#This Row],[Mean Stanine]]-(InterceptY8+SlopeY8*tblY8[[#This Row],[Avg KS2 Band]]),"")</f>
        <v>0.321407113674598</v>
      </c>
      <c r="N75" s="66" t="n">
        <v>24</v>
      </c>
      <c r="O75" s="67">
        <f>IF(ISNUMBER(tblY8[[#This Row],[8C01 - Periodic Table
Raw Score]]),IFERROR(VLOOKUP(ROUND(STANDARDIZE(tblY8[[#This Row],[8C01 - Periodic Table
Raw Score]],AVERAGE(tblY8[[8C01 - Periodic Table
Raw Score]]),_xlfn.STDEV.P(tblY8[[8C01 - Periodic Table
Raw Score]])),9),_Stanine,2),5),"")</f>
        <v>7</v>
      </c>
      <c r="P75" s="66" t="n">
        <v>18</v>
      </c>
      <c r="Q75" s="67">
        <f>IF(ISNUMBER(tblY8[[#This Row],[8P01 - Energy
Raw Score]]),IFERROR(VLOOKUP(ROUND(STANDARDIZE(tblY8[[#This Row],[8P01 - Energy
Raw Score]],AVERAGE(tblY8[[8P01 - Energy
Raw Score]]),_xlfn.STDEV.P(tblY8[[8P01 - Energy
Raw Score]])),9),_Stanine,2),5),"")</f>
        <v>8</v>
      </c>
      <c r="R75" s="66" t="n">
        <v>20</v>
      </c>
      <c r="S75" s="67">
        <f>IF(ISNUMBER(tblY8[[#This Row],[8B01 - Digestion
Raw Score]]),IFERROR(VLOOKUP(ROUND(STANDARDIZE(tblY8[[#This Row],[8B01 - Digestion
Raw Score]],AVERAGE(tblY8[[8B01 - Digestion
Raw Score]]),_xlfn.STDEV.P(tblY8[[8B01 - Digestion
Raw Score]])),9),_Stanine,2),5),"")</f>
        <v>7</v>
      </c>
      <c r="T75" s="66" t="n">
        <v>19</v>
      </c>
      <c r="U75" s="67">
        <f>IF(ISNUMBER(tblY8[[#This Row],[8C02 - Metals and Acids
Raw Score]]),IFERROR(VLOOKUP(ROUND(STANDARDIZE(tblY8[[#This Row],[8C02 - Metals and Acids
Raw Score]],AVERAGE(tblY8[[8C02 - Metals and Acids
Raw Score]]),_xlfn.STDEV.P(tblY8[[8C02 - Metals and Acids
Raw Score]])),9),_Stanine,2),5),"")</f>
        <v>8</v>
      </c>
      <c r="V75" s="66" t="n">
        <v>22</v>
      </c>
      <c r="W75" s="67">
        <f>IF(ISNUMBER(tblY8[[#This Row],[8P02 - Light
Raw Score]]),IFERROR(VLOOKUP(ROUND(STANDARDIZE(tblY8[[#This Row],[8P02 - Light
Raw Score]],AVERAGE(tblY8[[8P02 - Light
Raw Score]]),_xlfn.STDEV.P(tblY8[[8P02 - Light
Raw Score]])),9),_Stanine,2),5),"")</f>
        <v>8</v>
      </c>
    </row>
    <row r="76">
      <c r="A76" s="65" t="inlineStr">
        <is>
          <t>X908584384496</t>
        </is>
      </c>
      <c r="B76" s="65" t="inlineStr">
        <is>
          <t>Wood</t>
        </is>
      </c>
      <c r="C76" s="65" t="inlineStr">
        <is>
          <t>Seren</t>
        </is>
      </c>
      <c r="D76" s="66" t="inlineStr">
        <is>
          <t>M</t>
        </is>
      </c>
      <c r="E76" s="66" t="inlineStr">
        <is>
          <t>K</t>
        </is>
      </c>
      <c r="F76" s="66" t="inlineStr">
        <is>
          <t>N</t>
        </is>
      </c>
      <c r="G76" s="34" t="n">
        <v>93.59999999999999</v>
      </c>
      <c r="H76" s="34" t="n">
        <v>104</v>
      </c>
      <c r="I76" s="67">
        <f>IF(ISNUMBER(tblY8[[#This Row],[Avg KS2]]),IFERROR(VLOOKUP(ROUND(STANDARDIZE(tblY8[[#This Row],[Avg KS2]],AVERAGE(tblY8[[Avg KS2]]),_xlfn.STDEV.P(tblY8[[Avg KS2]])),9),_Stanine,2),5),"")</f>
        <v>5</v>
      </c>
      <c r="J76" s="66" t="inlineStr">
        <is>
          <t>8A/Sc3</t>
        </is>
      </c>
      <c r="K76" s="67">
        <f>IF(tblY8[[#This Row],[Preferred Last name]]="","",COUNTIFS($N$1:$ZZ$1,"*"&amp;CHAR(10)&amp;"Stanine",$N76:$ZZ76,"&gt;=1"))</f>
        <v>5</v>
      </c>
      <c r="L76" s="68">
        <f>IFERROR(AVERAGEIF($N$1:$ZZ$1,"*"&amp;CHAR(10)&amp;"Stanine",$N76:$ZZ76),"")</f>
        <v>4</v>
      </c>
      <c r="M76" s="69">
        <f>IF(AND(ISNUMBER(tblY8[[#This Row],[Mean Stanine]]),ISNUMBER(tblY8[[#This Row],[Avg KS2 Band]]),ISNUMBER(SlopeY8)),tblY8[[#This Row],[Mean Stanine]]-(InterceptY8+SlopeY8*tblY8[[#This Row],[Avg KS2 Band]]),"")</f>
        <v>-0.941858928142273</v>
      </c>
      <c r="N76" s="66" t="n">
        <v>14</v>
      </c>
      <c r="O76" s="67">
        <f>IF(ISNUMBER(tblY8[[#This Row],[8C01 - Periodic Table
Raw Score]]),IFERROR(VLOOKUP(ROUND(STANDARDIZE(tblY8[[#This Row],[8C01 - Periodic Table
Raw Score]],AVERAGE(tblY8[[8C01 - Periodic Table
Raw Score]]),_xlfn.STDEV.P(tblY8[[8C01 - Periodic Table
Raw Score]])),9),_Stanine,2),5),"")</f>
        <v>4</v>
      </c>
      <c r="P76" s="66" t="n">
        <v>9</v>
      </c>
      <c r="Q76" s="67">
        <f>IF(ISNUMBER(tblY8[[#This Row],[8P01 - Energy
Raw Score]]),IFERROR(VLOOKUP(ROUND(STANDARDIZE(tblY8[[#This Row],[8P01 - Energy
Raw Score]],AVERAGE(tblY8[[8P01 - Energy
Raw Score]]),_xlfn.STDEV.P(tblY8[[8P01 - Energy
Raw Score]])),9),_Stanine,2),5),"")</f>
        <v>4</v>
      </c>
      <c r="R76" s="66" t="n">
        <v>8</v>
      </c>
      <c r="S76" s="67">
        <f>IF(ISNUMBER(tblY8[[#This Row],[8B01 - Digestion
Raw Score]]),IFERROR(VLOOKUP(ROUND(STANDARDIZE(tblY8[[#This Row],[8B01 - Digestion
Raw Score]],AVERAGE(tblY8[[8B01 - Digestion
Raw Score]]),_xlfn.STDEV.P(tblY8[[8B01 - Digestion
Raw Score]])),9),_Stanine,2),5),"")</f>
        <v>3</v>
      </c>
      <c r="T76" s="66" t="n">
        <v>9</v>
      </c>
      <c r="U76" s="67">
        <f>IF(ISNUMBER(tblY8[[#This Row],[8C02 - Metals and Acids
Raw Score]]),IFERROR(VLOOKUP(ROUND(STANDARDIZE(tblY8[[#This Row],[8C02 - Metals and Acids
Raw Score]],AVERAGE(tblY8[[8C02 - Metals and Acids
Raw Score]]),_xlfn.STDEV.P(tblY8[[8C02 - Metals and Acids
Raw Score]])),9),_Stanine,2),5),"")</f>
        <v>4</v>
      </c>
      <c r="V76" s="66" t="n">
        <v>15</v>
      </c>
      <c r="W76" s="67">
        <f>IF(ISNUMBER(tblY8[[#This Row],[8P02 - Light
Raw Score]]),IFERROR(VLOOKUP(ROUND(STANDARDIZE(tblY8[[#This Row],[8P02 - Light
Raw Score]],AVERAGE(tblY8[[8P02 - Light
Raw Score]]),_xlfn.STDEV.P(tblY8[[8P02 - Light
Raw Score]])),9),_Stanine,2),5),"")</f>
        <v>5</v>
      </c>
    </row>
    <row r="77">
      <c r="A77" s="65" t="inlineStr">
        <is>
          <t>X905873930311</t>
        </is>
      </c>
      <c r="B77" s="65" t="inlineStr">
        <is>
          <t>Bennett</t>
        </is>
      </c>
      <c r="C77" s="65" t="inlineStr">
        <is>
          <t>Rosie</t>
        </is>
      </c>
      <c r="D77" s="66" t="inlineStr">
        <is>
          <t>M</t>
        </is>
      </c>
      <c r="E77" s="66" t="inlineStr">
        <is>
          <t>N</t>
        </is>
      </c>
      <c r="F77" s="66" t="inlineStr">
        <is>
          <t>N</t>
        </is>
      </c>
      <c r="G77" s="34" t="n">
        <v>97.59999999999999</v>
      </c>
      <c r="H77" s="34" t="n">
        <v>98.5</v>
      </c>
      <c r="I77" s="67">
        <f>IF(ISNUMBER(tblY8[[#This Row],[Avg KS2]]),IFERROR(VLOOKUP(ROUND(STANDARDIZE(tblY8[[#This Row],[Avg KS2]],AVERAGE(tblY8[[Avg KS2]]),_xlfn.STDEV.P(tblY8[[Avg KS2]])),9),_Stanine,2),5),"")</f>
        <v>3</v>
      </c>
      <c r="J77" s="66" t="inlineStr">
        <is>
          <t>8A/Sc4</t>
        </is>
      </c>
      <c r="K77" s="67">
        <f>IF(tblY8[[#This Row],[Preferred Last name]]="","",COUNTIFS($N$1:$ZZ$1,"*"&amp;CHAR(10)&amp;"Stanine",$N77:$ZZ77,"&gt;=1"))</f>
        <v>4</v>
      </c>
      <c r="L77" s="68">
        <f>IFERROR(AVERAGEIF($N$1:$ZZ$1,"*"&amp;CHAR(10)&amp;"Stanine",$N77:$ZZ77),"")</f>
        <v>2.5</v>
      </c>
      <c r="M77" s="69">
        <f>IF(AND(ISNUMBER(tblY8[[#This Row],[Mean Stanine]]),ISNUMBER(tblY8[[#This Row],[Avg KS2 Band]]),ISNUMBER(SlopeY8)),tblY8[[#This Row],[Mean Stanine]]-(InterceptY8+SlopeY8*tblY8[[#This Row],[Avg KS2 Band]]),"")</f>
        <v>-0.884036289353521</v>
      </c>
      <c r="N77" s="66" t="n">
        <v>10</v>
      </c>
      <c r="O77" s="67">
        <f>IF(ISNUMBER(tblY8[[#This Row],[8C01 - Periodic Table
Raw Score]]),IFERROR(VLOOKUP(ROUND(STANDARDIZE(tblY8[[#This Row],[8C01 - Periodic Table
Raw Score]],AVERAGE(tblY8[[8C01 - Periodic Table
Raw Score]]),_xlfn.STDEV.P(tblY8[[8C01 - Periodic Table
Raw Score]])),9),_Stanine,2),5),"")</f>
        <v>2</v>
      </c>
      <c r="P77" s="66" t="n">
        <v>5</v>
      </c>
      <c r="Q77" s="67">
        <f>IF(ISNUMBER(tblY8[[#This Row],[8P01 - Energy
Raw Score]]),IFERROR(VLOOKUP(ROUND(STANDARDIZE(tblY8[[#This Row],[8P01 - Energy
Raw Score]],AVERAGE(tblY8[[8P01 - Energy
Raw Score]]),_xlfn.STDEV.P(tblY8[[8P01 - Energy
Raw Score]])),9),_Stanine,2),5),"")</f>
        <v>3</v>
      </c>
      <c r="R77" s="66" t="n">
        <v>6</v>
      </c>
      <c r="S77" s="67">
        <f>IF(ISNUMBER(tblY8[[#This Row],[8B01 - Digestion
Raw Score]]),IFERROR(VLOOKUP(ROUND(STANDARDIZE(tblY8[[#This Row],[8B01 - Digestion
Raw Score]],AVERAGE(tblY8[[8B01 - Digestion
Raw Score]]),_xlfn.STDEV.P(tblY8[[8B01 - Digestion
Raw Score]])),9),_Stanine,2),5),"")</f>
        <v>2</v>
      </c>
      <c r="T77" s="66" t="n">
        <v>7</v>
      </c>
      <c r="U77" s="67">
        <f>IF(ISNUMBER(tblY8[[#This Row],[8C02 - Metals and Acids
Raw Score]]),IFERROR(VLOOKUP(ROUND(STANDARDIZE(tblY8[[#This Row],[8C02 - Metals and Acids
Raw Score]],AVERAGE(tblY8[[8C02 - Metals and Acids
Raw Score]]),_xlfn.STDEV.P(tblY8[[8C02 - Metals and Acids
Raw Score]])),9),_Stanine,2),5),"")</f>
        <v>3</v>
      </c>
      <c r="V77" s="66" t="n"/>
      <c r="W77" s="67" t="str">
        <f>IF(ISNUMBER(tblY8[[#This Row],[8P02 - Light
Raw Score]]),IFERROR(VLOOKUP(ROUND(STANDARDIZE(tblY8[[#This Row],[8P02 - Light
Raw Score]],AVERAGE(tblY8[[8P02 - Light
Raw Score]]),_xlfn.STDEV.P(tblY8[[8P02 - Light
Raw Score]])),9),_Stanine,2),5),"")</f>
        <v/>
      </c>
    </row>
    <row r="78">
      <c r="A78" s="65" t="inlineStr">
        <is>
          <t>X905618076855</t>
        </is>
      </c>
      <c r="B78" s="65" t="inlineStr">
        <is>
          <t>Brown</t>
        </is>
      </c>
      <c r="C78" s="65" t="inlineStr">
        <is>
          <t>Oliver</t>
        </is>
      </c>
      <c r="D78" s="66" t="inlineStr">
        <is>
          <t>F</t>
        </is>
      </c>
      <c r="E78" s="66" t="inlineStr">
        <is>
          <t>K</t>
        </is>
      </c>
      <c r="F78" s="66" t="inlineStr">
        <is>
          <t>N</t>
        </is>
      </c>
      <c r="G78" s="34" t="n">
        <v>91.59999999999999</v>
      </c>
      <c r="H78" s="34" t="n">
        <v>105.5</v>
      </c>
      <c r="I78" s="67">
        <f>IF(ISNUMBER(tblY8[[#This Row],[Avg KS2]]),IFERROR(VLOOKUP(ROUND(STANDARDIZE(tblY8[[#This Row],[Avg KS2]],AVERAGE(tblY8[[Avg KS2]]),_xlfn.STDEV.P(tblY8[[Avg KS2]])),9),_Stanine,2),5),"")</f>
        <v>5</v>
      </c>
      <c r="J78" s="66" t="inlineStr">
        <is>
          <t>8A/Sc4</t>
        </is>
      </c>
      <c r="K78" s="67">
        <f>IF(tblY8[[#This Row],[Preferred Last name]]="","",COUNTIFS($N$1:$ZZ$1,"*"&amp;CHAR(10)&amp;"Stanine",$N78:$ZZ78,"&gt;=1"))</f>
        <v>4</v>
      </c>
      <c r="L78" s="68">
        <f>IFERROR(AVERAGEIF($N$1:$ZZ$1,"*"&amp;CHAR(10)&amp;"Stanine",$N78:$ZZ78),"")</f>
        <v>3</v>
      </c>
      <c r="M78" s="69">
        <f>IF(AND(ISNUMBER(tblY8[[#This Row],[Mean Stanine]]),ISNUMBER(tblY8[[#This Row],[Avg KS2 Band]]),ISNUMBER(SlopeY8)),tblY8[[#This Row],[Mean Stanine]]-(InterceptY8+SlopeY8*tblY8[[#This Row],[Avg KS2 Band]]),"")</f>
        <v>-1.94185892814227</v>
      </c>
      <c r="N78" s="66" t="n">
        <v>8</v>
      </c>
      <c r="O78" s="67">
        <f>IF(ISNUMBER(tblY8[[#This Row],[8C01 - Periodic Table
Raw Score]]),IFERROR(VLOOKUP(ROUND(STANDARDIZE(tblY8[[#This Row],[8C01 - Periodic Table
Raw Score]],AVERAGE(tblY8[[8C01 - Periodic Table
Raw Score]]),_xlfn.STDEV.P(tblY8[[8C01 - Periodic Table
Raw Score]])),9),_Stanine,2),5),"")</f>
        <v>2</v>
      </c>
      <c r="P78" s="66" t="n">
        <v>6</v>
      </c>
      <c r="Q78" s="67">
        <f>IF(ISNUMBER(tblY8[[#This Row],[8P01 - Energy
Raw Score]]),IFERROR(VLOOKUP(ROUND(STANDARDIZE(tblY8[[#This Row],[8P01 - Energy
Raw Score]],AVERAGE(tblY8[[8P01 - Energy
Raw Score]]),_xlfn.STDEV.P(tblY8[[8P01 - Energy
Raw Score]])),9),_Stanine,2),5),"")</f>
        <v>3</v>
      </c>
      <c r="R78" s="66" t="n">
        <v>9</v>
      </c>
      <c r="S78" s="67">
        <f>IF(ISNUMBER(tblY8[[#This Row],[8B01 - Digestion
Raw Score]]),IFERROR(VLOOKUP(ROUND(STANDARDIZE(tblY8[[#This Row],[8B01 - Digestion
Raw Score]],AVERAGE(tblY8[[8B01 - Digestion
Raw Score]]),_xlfn.STDEV.P(tblY8[[8B01 - Digestion
Raw Score]])),9),_Stanine,2),5),"")</f>
        <v>3</v>
      </c>
      <c r="T78" s="66" t="n">
        <v>8</v>
      </c>
      <c r="U78" s="67">
        <f>IF(ISNUMBER(tblY8[[#This Row],[8C02 - Metals and Acids
Raw Score]]),IFERROR(VLOOKUP(ROUND(STANDARDIZE(tblY8[[#This Row],[8C02 - Metals and Acids
Raw Score]],AVERAGE(tblY8[[8C02 - Metals and Acids
Raw Score]]),_xlfn.STDEV.P(tblY8[[8C02 - Metals and Acids
Raw Score]])),9),_Stanine,2),5),"")</f>
        <v>4</v>
      </c>
      <c r="V78" s="66" t="n"/>
      <c r="W78" s="67" t="str">
        <f>IF(ISNUMBER(tblY8[[#This Row],[8P02 - Light
Raw Score]]),IFERROR(VLOOKUP(ROUND(STANDARDIZE(tblY8[[#This Row],[8P02 - Light
Raw Score]],AVERAGE(tblY8[[8P02 - Light
Raw Score]]),_xlfn.STDEV.P(tblY8[[8P02 - Light
Raw Score]])),9),_Stanine,2),5),"")</f>
        <v/>
      </c>
    </row>
    <row r="79">
      <c r="A79" s="65" t="inlineStr">
        <is>
          <t>X905134497989</t>
        </is>
      </c>
      <c r="B79" s="65" t="inlineStr">
        <is>
          <t>Clarke</t>
        </is>
      </c>
      <c r="C79" s="65" t="inlineStr">
        <is>
          <t>George</t>
        </is>
      </c>
      <c r="D79" s="66" t="inlineStr">
        <is>
          <t>F</t>
        </is>
      </c>
      <c r="E79" s="66" t="n"/>
      <c r="F79" s="66" t="inlineStr">
        <is>
          <t>N</t>
        </is>
      </c>
      <c r="G79" s="34" t="n">
        <v>85.40000000000001</v>
      </c>
      <c r="H79" s="34" t="n">
        <v>98</v>
      </c>
      <c r="I79" s="67">
        <f>IF(ISNUMBER(tblY8[[#This Row],[Avg KS2]]),IFERROR(VLOOKUP(ROUND(STANDARDIZE(tblY8[[#This Row],[Avg KS2]],AVERAGE(tblY8[[Avg KS2]]),_xlfn.STDEV.P(tblY8[[Avg KS2]])),9),_Stanine,2),5),"")</f>
        <v>3</v>
      </c>
      <c r="J79" s="66" t="inlineStr">
        <is>
          <t>8A/Sc4</t>
        </is>
      </c>
      <c r="K79" s="67">
        <f>IF(tblY8[[#This Row],[Preferred Last name]]="","",COUNTIFS($N$1:$ZZ$1,"*"&amp;CHAR(10)&amp;"Stanine",$N79:$ZZ79,"&gt;=1"))</f>
        <v>4</v>
      </c>
      <c r="L79" s="68">
        <f>IFERROR(AVERAGEIF($N$1:$ZZ$1,"*"&amp;CHAR(10)&amp;"Stanine",$N79:$ZZ79),"")</f>
        <v>3.75</v>
      </c>
      <c r="M79" s="69">
        <f>IF(AND(ISNUMBER(tblY8[[#This Row],[Mean Stanine]]),ISNUMBER(tblY8[[#This Row],[Avg KS2 Band]]),ISNUMBER(SlopeY8)),tblY8[[#This Row],[Mean Stanine]]-(InterceptY8+SlopeY8*tblY8[[#This Row],[Avg KS2 Band]]),"")</f>
        <v>0.365963710646479</v>
      </c>
      <c r="N79" s="66" t="n">
        <v>15</v>
      </c>
      <c r="O79" s="67">
        <f>IF(ISNUMBER(tblY8[[#This Row],[8C01 - Periodic Table
Raw Score]]),IFERROR(VLOOKUP(ROUND(STANDARDIZE(tblY8[[#This Row],[8C01 - Periodic Table
Raw Score]],AVERAGE(tblY8[[8C01 - Periodic Table
Raw Score]]),_xlfn.STDEV.P(tblY8[[8C01 - Periodic Table
Raw Score]])),9),_Stanine,2),5),"")</f>
        <v>4</v>
      </c>
      <c r="P79" s="66" t="n">
        <v>6</v>
      </c>
      <c r="Q79" s="67">
        <f>IF(ISNUMBER(tblY8[[#This Row],[8P01 - Energy
Raw Score]]),IFERROR(VLOOKUP(ROUND(STANDARDIZE(tblY8[[#This Row],[8P01 - Energy
Raw Score]],AVERAGE(tblY8[[8P01 - Energy
Raw Score]]),_xlfn.STDEV.P(tblY8[[8P01 - Energy
Raw Score]])),9),_Stanine,2),5),"")</f>
        <v>3</v>
      </c>
      <c r="R79" s="66" t="n">
        <v>13</v>
      </c>
      <c r="S79" s="67">
        <f>IF(ISNUMBER(tblY8[[#This Row],[8B01 - Digestion
Raw Score]]),IFERROR(VLOOKUP(ROUND(STANDARDIZE(tblY8[[#This Row],[8B01 - Digestion
Raw Score]],AVERAGE(tblY8[[8B01 - Digestion
Raw Score]]),_xlfn.STDEV.P(tblY8[[8B01 - Digestion
Raw Score]])),9),_Stanine,2),5),"")</f>
        <v>5</v>
      </c>
      <c r="T79" s="66" t="n">
        <v>5</v>
      </c>
      <c r="U79" s="67">
        <f>IF(ISNUMBER(tblY8[[#This Row],[8C02 - Metals and Acids
Raw Score]]),IFERROR(VLOOKUP(ROUND(STANDARDIZE(tblY8[[#This Row],[8C02 - Metals and Acids
Raw Score]],AVERAGE(tblY8[[8C02 - Metals and Acids
Raw Score]]),_xlfn.STDEV.P(tblY8[[8C02 - Metals and Acids
Raw Score]])),9),_Stanine,2),5),"")</f>
        <v>3</v>
      </c>
      <c r="V79" s="66" t="n"/>
      <c r="W79" s="67" t="str">
        <f>IF(ISNUMBER(tblY8[[#This Row],[8P02 - Light
Raw Score]]),IFERROR(VLOOKUP(ROUND(STANDARDIZE(tblY8[[#This Row],[8P02 - Light
Raw Score]],AVERAGE(tblY8[[8P02 - Light
Raw Score]]),_xlfn.STDEV.P(tblY8[[8P02 - Light
Raw Score]])),9),_Stanine,2),5),"")</f>
        <v/>
      </c>
    </row>
    <row r="80">
      <c r="A80" s="65" t="inlineStr">
        <is>
          <t>X901909722274</t>
        </is>
      </c>
      <c r="B80" s="65" t="inlineStr">
        <is>
          <t>Fletcher</t>
        </is>
      </c>
      <c r="C80" s="65" t="inlineStr">
        <is>
          <t>Priya</t>
        </is>
      </c>
      <c r="D80" s="66" t="inlineStr">
        <is>
          <t>F</t>
        </is>
      </c>
      <c r="E80" s="66" t="inlineStr">
        <is>
          <t>N</t>
        </is>
      </c>
      <c r="F80" s="66" t="inlineStr">
        <is>
          <t>Y</t>
        </is>
      </c>
      <c r="G80" s="34" t="n">
        <v>97.8</v>
      </c>
      <c r="H80" s="34" t="n">
        <v>104</v>
      </c>
      <c r="I80" s="67">
        <f>IF(ISNUMBER(tblY8[[#This Row],[Avg KS2]]),IFERROR(VLOOKUP(ROUND(STANDARDIZE(tblY8[[#This Row],[Avg KS2]],AVERAGE(tblY8[[Avg KS2]]),_xlfn.STDEV.P(tblY8[[Avg KS2]])),9),_Stanine,2),5),"")</f>
        <v>5</v>
      </c>
      <c r="J80" s="66" t="inlineStr">
        <is>
          <t>8A/Sc4</t>
        </is>
      </c>
      <c r="K80" s="67">
        <f>IF(tblY8[[#This Row],[Preferred Last name]]="","",COUNTIFS($N$1:$ZZ$1,"*"&amp;CHAR(10)&amp;"Stanine",$N80:$ZZ80,"&gt;=1"))</f>
        <v>4</v>
      </c>
      <c r="L80" s="68">
        <f>IFERROR(AVERAGEIF($N$1:$ZZ$1,"*"&amp;CHAR(10)&amp;"Stanine",$N80:$ZZ80),"")</f>
        <v>2.25</v>
      </c>
      <c r="M80" s="69">
        <f>IF(AND(ISNUMBER(tblY8[[#This Row],[Mean Stanine]]),ISNUMBER(tblY8[[#This Row],[Avg KS2 Band]]),ISNUMBER(SlopeY8)),tblY8[[#This Row],[Mean Stanine]]-(InterceptY8+SlopeY8*tblY8[[#This Row],[Avg KS2 Band]]),"")</f>
        <v>-2.69185892814227</v>
      </c>
      <c r="N80" s="66" t="n">
        <v>10</v>
      </c>
      <c r="O80" s="67">
        <f>IF(ISNUMBER(tblY8[[#This Row],[8C01 - Periodic Table
Raw Score]]),IFERROR(VLOOKUP(ROUND(STANDARDIZE(tblY8[[#This Row],[8C01 - Periodic Table
Raw Score]],AVERAGE(tblY8[[8C01 - Periodic Table
Raw Score]]),_xlfn.STDEV.P(tblY8[[8C01 - Periodic Table
Raw Score]])),9),_Stanine,2),5),"")</f>
        <v>2</v>
      </c>
      <c r="P80" s="66" t="n">
        <v>4</v>
      </c>
      <c r="Q80" s="67">
        <f>IF(ISNUMBER(tblY8[[#This Row],[8P01 - Energy
Raw Score]]),IFERROR(VLOOKUP(ROUND(STANDARDIZE(tblY8[[#This Row],[8P01 - Energy
Raw Score]],AVERAGE(tblY8[[8P01 - Energy
Raw Score]]),_xlfn.STDEV.P(tblY8[[8P01 - Energy
Raw Score]])),9),_Stanine,2),5),"")</f>
        <v>3</v>
      </c>
      <c r="R80" s="66" t="n">
        <v>6</v>
      </c>
      <c r="S80" s="67">
        <f>IF(ISNUMBER(tblY8[[#This Row],[8B01 - Digestion
Raw Score]]),IFERROR(VLOOKUP(ROUND(STANDARDIZE(tblY8[[#This Row],[8B01 - Digestion
Raw Score]],AVERAGE(tblY8[[8B01 - Digestion
Raw Score]]),_xlfn.STDEV.P(tblY8[[8B01 - Digestion
Raw Score]])),9),_Stanine,2),5),"")</f>
        <v>2</v>
      </c>
      <c r="T80" s="66" t="n">
        <v>3</v>
      </c>
      <c r="U80" s="67">
        <f>IF(ISNUMBER(tblY8[[#This Row],[8C02 - Metals and Acids
Raw Score]]),IFERROR(VLOOKUP(ROUND(STANDARDIZE(tblY8[[#This Row],[8C02 - Metals and Acids
Raw Score]],AVERAGE(tblY8[[8C02 - Metals and Acids
Raw Score]]),_xlfn.STDEV.P(tblY8[[8C02 - Metals and Acids
Raw Score]])),9),_Stanine,2),5),"")</f>
        <v>2</v>
      </c>
      <c r="V80" s="66" t="n"/>
      <c r="W80" s="67" t="str">
        <f>IF(ISNUMBER(tblY8[[#This Row],[8P02 - Light
Raw Score]]),IFERROR(VLOOKUP(ROUND(STANDARDIZE(tblY8[[#This Row],[8P02 - Light
Raw Score]],AVERAGE(tblY8[[8P02 - Light
Raw Score]]),_xlfn.STDEV.P(tblY8[[8P02 - Light
Raw Score]])),9),_Stanine,2),5),"")</f>
        <v/>
      </c>
    </row>
    <row r="81">
      <c r="A81" s="65" t="inlineStr">
        <is>
          <t>X903442695647</t>
        </is>
      </c>
      <c r="B81" s="65" t="inlineStr">
        <is>
          <t>Harrison</t>
        </is>
      </c>
      <c r="C81" s="65" t="inlineStr">
        <is>
          <t>Freya</t>
        </is>
      </c>
      <c r="D81" s="66" t="inlineStr">
        <is>
          <t>M</t>
        </is>
      </c>
      <c r="E81" s="66" t="inlineStr">
        <is>
          <t>K</t>
        </is>
      </c>
      <c r="F81" s="66" t="inlineStr">
        <is>
          <t>Y</t>
        </is>
      </c>
      <c r="G81" s="34" t="n">
        <v>95.59999999999999</v>
      </c>
      <c r="H81" s="34" t="n">
        <v>98</v>
      </c>
      <c r="I81" s="67">
        <f>IF(ISNUMBER(tblY8[[#This Row],[Avg KS2]]),IFERROR(VLOOKUP(ROUND(STANDARDIZE(tblY8[[#This Row],[Avg KS2]],AVERAGE(tblY8[[Avg KS2]]),_xlfn.STDEV.P(tblY8[[Avg KS2]])),9),_Stanine,2),5),"")</f>
        <v>3</v>
      </c>
      <c r="J81" s="66" t="inlineStr">
        <is>
          <t>8A/Sc4</t>
        </is>
      </c>
      <c r="K81" s="67">
        <f>IF(tblY8[[#This Row],[Preferred Last name]]="","",COUNTIFS($N$1:$ZZ$1,"*"&amp;CHAR(10)&amp;"Stanine",$N81:$ZZ81,"&gt;=1"))</f>
        <v>3</v>
      </c>
      <c r="L81" s="68">
        <f>IFERROR(AVERAGEIF($N$1:$ZZ$1,"*"&amp;CHAR(10)&amp;"Stanine",$N81:$ZZ81),"")</f>
        <v>3</v>
      </c>
      <c r="M81" s="69">
        <f>IF(AND(ISNUMBER(tblY8[[#This Row],[Mean Stanine]]),ISNUMBER(tblY8[[#This Row],[Avg KS2 Band]]),ISNUMBER(SlopeY8)),tblY8[[#This Row],[Mean Stanine]]-(InterceptY8+SlopeY8*tblY8[[#This Row],[Avg KS2 Band]]),"")</f>
        <v>-0.384036289353521</v>
      </c>
      <c r="N81" s="66" t="n">
        <v>12</v>
      </c>
      <c r="O81" s="67">
        <f>IF(ISNUMBER(tblY8[[#This Row],[8C01 - Periodic Table
Raw Score]]),IFERROR(VLOOKUP(ROUND(STANDARDIZE(tblY8[[#This Row],[8C01 - Periodic Table
Raw Score]],AVERAGE(tblY8[[8C01 - Periodic Table
Raw Score]]),_xlfn.STDEV.P(tblY8[[8C01 - Periodic Table
Raw Score]])),9),_Stanine,2),5),"")</f>
        <v>3</v>
      </c>
      <c r="P81" s="66" t="n">
        <v>5</v>
      </c>
      <c r="Q81" s="67">
        <f>IF(ISNUMBER(tblY8[[#This Row],[8P01 - Energy
Raw Score]]),IFERROR(VLOOKUP(ROUND(STANDARDIZE(tblY8[[#This Row],[8P01 - Energy
Raw Score]],AVERAGE(tblY8[[8P01 - Energy
Raw Score]]),_xlfn.STDEV.P(tblY8[[8P01 - Energy
Raw Score]])),9),_Stanine,2),5),"")</f>
        <v>3</v>
      </c>
      <c r="R81" s="66" t="inlineStr">
        <is>
          <t>A</t>
        </is>
      </c>
      <c r="S81" s="67" t="str">
        <f>IF(ISNUMBER(tblY8[[#This Row],[8B01 - Digestion
Raw Score]]),IFERROR(VLOOKUP(ROUND(STANDARDIZE(tblY8[[#This Row],[8B01 - Digestion
Raw Score]],AVERAGE(tblY8[[8B01 - Digestion
Raw Score]]),_xlfn.STDEV.P(tblY8[[8B01 - Digestion
Raw Score]])),9),_Stanine,2),5),"")</f>
        <v/>
      </c>
      <c r="T81" s="66" t="n">
        <v>6</v>
      </c>
      <c r="U81" s="67">
        <f>IF(ISNUMBER(tblY8[[#This Row],[8C02 - Metals and Acids
Raw Score]]),IFERROR(VLOOKUP(ROUND(STANDARDIZE(tblY8[[#This Row],[8C02 - Metals and Acids
Raw Score]],AVERAGE(tblY8[[8C02 - Metals and Acids
Raw Score]]),_xlfn.STDEV.P(tblY8[[8C02 - Metals and Acids
Raw Score]])),9),_Stanine,2),5),"")</f>
        <v>3</v>
      </c>
      <c r="V81" s="66" t="n"/>
      <c r="W81" s="67" t="str">
        <f>IF(ISNUMBER(tblY8[[#This Row],[8P02 - Light
Raw Score]]),IFERROR(VLOOKUP(ROUND(STANDARDIZE(tblY8[[#This Row],[8P02 - Light
Raw Score]],AVERAGE(tblY8[[8P02 - Light
Raw Score]]),_xlfn.STDEV.P(tblY8[[8P02 - Light
Raw Score]])),9),_Stanine,2),5),"")</f>
        <v/>
      </c>
    </row>
    <row r="82">
      <c r="A82" s="65" t="inlineStr">
        <is>
          <t>X908919508008</t>
        </is>
      </c>
      <c r="B82" s="65" t="inlineStr">
        <is>
          <t>Hussain</t>
        </is>
      </c>
      <c r="C82" s="65" t="inlineStr">
        <is>
          <t>Theo</t>
        </is>
      </c>
      <c r="D82" s="66" t="inlineStr">
        <is>
          <t>M</t>
        </is>
      </c>
      <c r="E82" s="66" t="n"/>
      <c r="F82" s="66" t="inlineStr">
        <is>
          <t>Y</t>
        </is>
      </c>
      <c r="G82" s="34" t="n">
        <v>90.2</v>
      </c>
      <c r="H82" s="34" t="n">
        <v>102.5</v>
      </c>
      <c r="I82" s="67">
        <f>IF(ISNUMBER(tblY8[[#This Row],[Avg KS2]]),IFERROR(VLOOKUP(ROUND(STANDARDIZE(tblY8[[#This Row],[Avg KS2]],AVERAGE(tblY8[[Avg KS2]]),_xlfn.STDEV.P(tblY8[[Avg KS2]])),9),_Stanine,2),5),"")</f>
        <v>4</v>
      </c>
      <c r="J82" s="66" t="inlineStr">
        <is>
          <t>8A/Sc4</t>
        </is>
      </c>
      <c r="K82" s="67">
        <f>IF(tblY8[[#This Row],[Preferred Last name]]="","",COUNTIFS($N$1:$ZZ$1,"*"&amp;CHAR(10)&amp;"Stanine",$N82:$ZZ82,"&gt;=1"))</f>
        <v>4</v>
      </c>
      <c r="L82" s="68">
        <f>IFERROR(AVERAGEIF($N$1:$ZZ$1,"*"&amp;CHAR(10)&amp;"Stanine",$N82:$ZZ82),"")</f>
        <v>4.25</v>
      </c>
      <c r="M82" s="69">
        <f>IF(AND(ISNUMBER(tblY8[[#This Row],[Mean Stanine]]),ISNUMBER(tblY8[[#This Row],[Avg KS2 Band]]),ISNUMBER(SlopeY8)),tblY8[[#This Row],[Mean Stanine]]-(InterceptY8+SlopeY8*tblY8[[#This Row],[Avg KS2 Band]]),"")</f>
        <v>0.0870523912521026</v>
      </c>
      <c r="N82" s="66" t="n">
        <v>18</v>
      </c>
      <c r="O82" s="67">
        <f>IF(ISNUMBER(tblY8[[#This Row],[8C01 - Periodic Table
Raw Score]]),IFERROR(VLOOKUP(ROUND(STANDARDIZE(tblY8[[#This Row],[8C01 - Periodic Table
Raw Score]],AVERAGE(tblY8[[8C01 - Periodic Table
Raw Score]]),_xlfn.STDEV.P(tblY8[[8C01 - Periodic Table
Raw Score]])),9),_Stanine,2),5),"")</f>
        <v>5</v>
      </c>
      <c r="P82" s="66" t="n">
        <v>5</v>
      </c>
      <c r="Q82" s="67">
        <f>IF(ISNUMBER(tblY8[[#This Row],[8P01 - Energy
Raw Score]]),IFERROR(VLOOKUP(ROUND(STANDARDIZE(tblY8[[#This Row],[8P01 - Energy
Raw Score]],AVERAGE(tblY8[[8P01 - Energy
Raw Score]]),_xlfn.STDEV.P(tblY8[[8P01 - Energy
Raw Score]])),9),_Stanine,2),5),"")</f>
        <v>3</v>
      </c>
      <c r="R82" s="66" t="n">
        <v>15</v>
      </c>
      <c r="S82" s="67">
        <f>IF(ISNUMBER(tblY8[[#This Row],[8B01 - Digestion
Raw Score]]),IFERROR(VLOOKUP(ROUND(STANDARDIZE(tblY8[[#This Row],[8B01 - Digestion
Raw Score]],AVERAGE(tblY8[[8B01 - Digestion
Raw Score]]),_xlfn.STDEV.P(tblY8[[8B01 - Digestion
Raw Score]])),9),_Stanine,2),5),"")</f>
        <v>5</v>
      </c>
      <c r="T82" s="66" t="n">
        <v>9</v>
      </c>
      <c r="U82" s="67">
        <f>IF(ISNUMBER(tblY8[[#This Row],[8C02 - Metals and Acids
Raw Score]]),IFERROR(VLOOKUP(ROUND(STANDARDIZE(tblY8[[#This Row],[8C02 - Metals and Acids
Raw Score]],AVERAGE(tblY8[[8C02 - Metals and Acids
Raw Score]]),_xlfn.STDEV.P(tblY8[[8C02 - Metals and Acids
Raw Score]])),9),_Stanine,2),5),"")</f>
        <v>4</v>
      </c>
      <c r="V82" s="66" t="n"/>
      <c r="W82" s="67" t="str">
        <f>IF(ISNUMBER(tblY8[[#This Row],[8P02 - Light
Raw Score]]),IFERROR(VLOOKUP(ROUND(STANDARDIZE(tblY8[[#This Row],[8P02 - Light
Raw Score]],AVERAGE(tblY8[[8P02 - Light
Raw Score]]),_xlfn.STDEV.P(tblY8[[8P02 - Light
Raw Score]])),9),_Stanine,2),5),"")</f>
        <v/>
      </c>
    </row>
    <row r="83">
      <c r="A83" s="65" t="inlineStr">
        <is>
          <t>X904907659383</t>
        </is>
      </c>
      <c r="B83" s="65" t="inlineStr">
        <is>
          <t>Kelly</t>
        </is>
      </c>
      <c r="C83" s="65" t="inlineStr">
        <is>
          <t>Niamh</t>
        </is>
      </c>
      <c r="D83" s="66" t="inlineStr">
        <is>
          <t>F</t>
        </is>
      </c>
      <c r="E83" s="66" t="n"/>
      <c r="F83" s="66" t="inlineStr">
        <is>
          <t>N</t>
        </is>
      </c>
      <c r="G83" s="34" t="n">
        <v>92.3</v>
      </c>
      <c r="H83" s="34" t="n">
        <v>96</v>
      </c>
      <c r="I83" s="67">
        <f>IF(ISNUMBER(tblY8[[#This Row],[Avg KS2]]),IFERROR(VLOOKUP(ROUND(STANDARDIZE(tblY8[[#This Row],[Avg KS2]],AVERAGE(tblY8[[Avg KS2]]),_xlfn.STDEV.P(tblY8[[Avg KS2]])),9),_Stanine,2),5),"")</f>
        <v>2</v>
      </c>
      <c r="J83" s="66" t="inlineStr">
        <is>
          <t>8A/Sc4</t>
        </is>
      </c>
      <c r="K83" s="67">
        <f>IF(tblY8[[#This Row],[Preferred Last name]]="","",COUNTIFS($N$1:$ZZ$1,"*"&amp;CHAR(10)&amp;"Stanine",$N83:$ZZ83,"&gt;=1"))</f>
        <v>4</v>
      </c>
      <c r="L83" s="68">
        <f>IFERROR(AVERAGEIF($N$1:$ZZ$1,"*"&amp;CHAR(10)&amp;"Stanine",$N83:$ZZ83),"")</f>
        <v>3.75</v>
      </c>
      <c r="M83" s="69">
        <f>IF(AND(ISNUMBER(tblY8[[#This Row],[Mean Stanine]]),ISNUMBER(tblY8[[#This Row],[Avg KS2 Band]]),ISNUMBER(SlopeY8)),tblY8[[#This Row],[Mean Stanine]]-(InterceptY8+SlopeY8*tblY8[[#This Row],[Avg KS2 Band]]),"")</f>
        <v>1.14487503004086</v>
      </c>
      <c r="N83" s="66" t="n">
        <v>14</v>
      </c>
      <c r="O83" s="67">
        <f>IF(ISNUMBER(tblY8[[#This Row],[8C01 - Periodic Table
Raw Score]]),IFERROR(VLOOKUP(ROUND(STANDARDIZE(tblY8[[#This Row],[8C01 - Periodic Table
Raw Score]],AVERAGE(tblY8[[8C01 - Periodic Table
Raw Score]]),_xlfn.STDEV.P(tblY8[[8C01 - Periodic Table
Raw Score]])),9),_Stanine,2),5),"")</f>
        <v>4</v>
      </c>
      <c r="P83" s="66" t="n">
        <v>6</v>
      </c>
      <c r="Q83" s="67">
        <f>IF(ISNUMBER(tblY8[[#This Row],[8P01 - Energy
Raw Score]]),IFERROR(VLOOKUP(ROUND(STANDARDIZE(tblY8[[#This Row],[8P01 - Energy
Raw Score]],AVERAGE(tblY8[[8P01 - Energy
Raw Score]]),_xlfn.STDEV.P(tblY8[[8P01 - Energy
Raw Score]])),9),_Stanine,2),5),"")</f>
        <v>3</v>
      </c>
      <c r="R83" s="66" t="n">
        <v>14</v>
      </c>
      <c r="S83" s="67">
        <f>IF(ISNUMBER(tblY8[[#This Row],[8B01 - Digestion
Raw Score]]),IFERROR(VLOOKUP(ROUND(STANDARDIZE(tblY8[[#This Row],[8B01 - Digestion
Raw Score]],AVERAGE(tblY8[[8B01 - Digestion
Raw Score]]),_xlfn.STDEV.P(tblY8[[8B01 - Digestion
Raw Score]])),9),_Stanine,2),5),"")</f>
        <v>5</v>
      </c>
      <c r="T83" s="66" t="n">
        <v>6</v>
      </c>
      <c r="U83" s="67">
        <f>IF(ISNUMBER(tblY8[[#This Row],[8C02 - Metals and Acids
Raw Score]]),IFERROR(VLOOKUP(ROUND(STANDARDIZE(tblY8[[#This Row],[8C02 - Metals and Acids
Raw Score]],AVERAGE(tblY8[[8C02 - Metals and Acids
Raw Score]]),_xlfn.STDEV.P(tblY8[[8C02 - Metals and Acids
Raw Score]])),9),_Stanine,2),5),"")</f>
        <v>3</v>
      </c>
      <c r="V83" s="66" t="n"/>
      <c r="W83" s="67" t="str">
        <f>IF(ISNUMBER(tblY8[[#This Row],[8P02 - Light
Raw Score]]),IFERROR(VLOOKUP(ROUND(STANDARDIZE(tblY8[[#This Row],[8P02 - Light
Raw Score]],AVERAGE(tblY8[[8P02 - Light
Raw Score]]),_xlfn.STDEV.P(tblY8[[8P02 - Light
Raw Score]])),9),_Stanine,2),5),"")</f>
        <v/>
      </c>
    </row>
    <row r="84">
      <c r="A84" s="65" t="inlineStr">
        <is>
          <t>X901033096794</t>
        </is>
      </c>
      <c r="B84" s="65" t="inlineStr">
        <is>
          <t>Kowalski</t>
        </is>
      </c>
      <c r="C84" s="65" t="inlineStr">
        <is>
          <t>Oliver</t>
        </is>
      </c>
      <c r="D84" s="66" t="inlineStr">
        <is>
          <t>M</t>
        </is>
      </c>
      <c r="E84" s="66" t="inlineStr">
        <is>
          <t>K</t>
        </is>
      </c>
      <c r="F84" s="66" t="inlineStr">
        <is>
          <t>N</t>
        </is>
      </c>
      <c r="G84" s="34" t="n">
        <v>85.40000000000001</v>
      </c>
      <c r="H84" s="34" t="n">
        <v>103</v>
      </c>
      <c r="I84" s="67">
        <f>IF(ISNUMBER(tblY8[[#This Row],[Avg KS2]]),IFERROR(VLOOKUP(ROUND(STANDARDIZE(tblY8[[#This Row],[Avg KS2]],AVERAGE(tblY8[[Avg KS2]]),_xlfn.STDEV.P(tblY8[[Avg KS2]])),9),_Stanine,2),5),"")</f>
        <v>4</v>
      </c>
      <c r="J84" s="66" t="inlineStr">
        <is>
          <t>8A/Sc4</t>
        </is>
      </c>
      <c r="K84" s="67">
        <f>IF(tblY8[[#This Row],[Preferred Last name]]="","",COUNTIFS($N$1:$ZZ$1,"*"&amp;CHAR(10)&amp;"Stanine",$N84:$ZZ84,"&gt;=1"))</f>
        <v>4</v>
      </c>
      <c r="L84" s="68">
        <f>IFERROR(AVERAGEIF($N$1:$ZZ$1,"*"&amp;CHAR(10)&amp;"Stanine",$N84:$ZZ84),"")</f>
        <v>4.5</v>
      </c>
      <c r="M84" s="69">
        <f>IF(AND(ISNUMBER(tblY8[[#This Row],[Mean Stanine]]),ISNUMBER(tblY8[[#This Row],[Avg KS2 Band]]),ISNUMBER(SlopeY8)),tblY8[[#This Row],[Mean Stanine]]-(InterceptY8+SlopeY8*tblY8[[#This Row],[Avg KS2 Band]]),"")</f>
        <v>0.337052391252103</v>
      </c>
      <c r="N84" s="66" t="n">
        <v>20</v>
      </c>
      <c r="O84" s="67">
        <f>IF(ISNUMBER(tblY8[[#This Row],[8C01 - Periodic Table
Raw Score]]),IFERROR(VLOOKUP(ROUND(STANDARDIZE(tblY8[[#This Row],[8C01 - Periodic Table
Raw Score]],AVERAGE(tblY8[[8C01 - Periodic Table
Raw Score]]),_xlfn.STDEV.P(tblY8[[8C01 - Periodic Table
Raw Score]])),9),_Stanine,2),5),"")</f>
        <v>6</v>
      </c>
      <c r="P84" s="66" t="n">
        <v>9</v>
      </c>
      <c r="Q84" s="67">
        <f>IF(ISNUMBER(tblY8[[#This Row],[8P01 - Energy
Raw Score]]),IFERROR(VLOOKUP(ROUND(STANDARDIZE(tblY8[[#This Row],[8P01 - Energy
Raw Score]],AVERAGE(tblY8[[8P01 - Energy
Raw Score]]),_xlfn.STDEV.P(tblY8[[8P01 - Energy
Raw Score]])),9),_Stanine,2),5),"")</f>
        <v>4</v>
      </c>
      <c r="R84" s="66" t="n">
        <v>12</v>
      </c>
      <c r="S84" s="67">
        <f>IF(ISNUMBER(tblY8[[#This Row],[8B01 - Digestion
Raw Score]]),IFERROR(VLOOKUP(ROUND(STANDARDIZE(tblY8[[#This Row],[8B01 - Digestion
Raw Score]],AVERAGE(tblY8[[8B01 - Digestion
Raw Score]]),_xlfn.STDEV.P(tblY8[[8B01 - Digestion
Raw Score]])),9),_Stanine,2),5),"")</f>
        <v>4</v>
      </c>
      <c r="T84" s="66" t="n">
        <v>10</v>
      </c>
      <c r="U84" s="67">
        <f>IF(ISNUMBER(tblY8[[#This Row],[8C02 - Metals and Acids
Raw Score]]),IFERROR(VLOOKUP(ROUND(STANDARDIZE(tblY8[[#This Row],[8C02 - Metals and Acids
Raw Score]],AVERAGE(tblY8[[8C02 - Metals and Acids
Raw Score]]),_xlfn.STDEV.P(tblY8[[8C02 - Metals and Acids
Raw Score]])),9),_Stanine,2),5),"")</f>
        <v>4</v>
      </c>
      <c r="V84" s="66" t="n"/>
      <c r="W84" s="67" t="str">
        <f>IF(ISNUMBER(tblY8[[#This Row],[8P02 - Light
Raw Score]]),IFERROR(VLOOKUP(ROUND(STANDARDIZE(tblY8[[#This Row],[8P02 - Light
Raw Score]],AVERAGE(tblY8[[8P02 - Light
Raw Score]]),_xlfn.STDEV.P(tblY8[[8P02 - Light
Raw Score]])),9),_Stanine,2),5),"")</f>
        <v/>
      </c>
    </row>
    <row r="85">
      <c r="A85" s="65" t="inlineStr">
        <is>
          <t>X902087216549</t>
        </is>
      </c>
      <c r="B85" s="65" t="inlineStr">
        <is>
          <t>Lloyd</t>
        </is>
      </c>
      <c r="C85" s="65" t="inlineStr">
        <is>
          <t>Jacob</t>
        </is>
      </c>
      <c r="D85" s="66" t="inlineStr">
        <is>
          <t>M</t>
        </is>
      </c>
      <c r="E85" s="66" t="inlineStr">
        <is>
          <t>N</t>
        </is>
      </c>
      <c r="F85" s="66" t="inlineStr">
        <is>
          <t>N</t>
        </is>
      </c>
      <c r="G85" s="34" t="n">
        <v>92.40000000000001</v>
      </c>
      <c r="H85" s="34" t="n">
        <v>101</v>
      </c>
      <c r="I85" s="67">
        <f>IF(ISNUMBER(tblY8[[#This Row],[Avg KS2]]),IFERROR(VLOOKUP(ROUND(STANDARDIZE(tblY8[[#This Row],[Avg KS2]],AVERAGE(tblY8[[Avg KS2]]),_xlfn.STDEV.P(tblY8[[Avg KS2]])),9),_Stanine,2),5),"")</f>
        <v>4</v>
      </c>
      <c r="J85" s="66" t="inlineStr">
        <is>
          <t>8A/Sc4</t>
        </is>
      </c>
      <c r="K85" s="67">
        <f>IF(tblY8[[#This Row],[Preferred Last name]]="","",COUNTIFS($N$1:$ZZ$1,"*"&amp;CHAR(10)&amp;"Stanine",$N85:$ZZ85,"&gt;=1"))</f>
        <v>4</v>
      </c>
      <c r="L85" s="68">
        <f>IFERROR(AVERAGEIF($N$1:$ZZ$1,"*"&amp;CHAR(10)&amp;"Stanine",$N85:$ZZ85),"")</f>
        <v>3.75</v>
      </c>
      <c r="M85" s="69">
        <f>IF(AND(ISNUMBER(tblY8[[#This Row],[Mean Stanine]]),ISNUMBER(tblY8[[#This Row],[Avg KS2 Band]]),ISNUMBER(SlopeY8)),tblY8[[#This Row],[Mean Stanine]]-(InterceptY8+SlopeY8*tblY8[[#This Row],[Avg KS2 Band]]),"")</f>
        <v>-0.412947608747897</v>
      </c>
      <c r="N85" s="66" t="n">
        <v>14</v>
      </c>
      <c r="O85" s="67">
        <f>IF(ISNUMBER(tblY8[[#This Row],[8C01 - Periodic Table
Raw Score]]),IFERROR(VLOOKUP(ROUND(STANDARDIZE(tblY8[[#This Row],[8C01 - Periodic Table
Raw Score]],AVERAGE(tblY8[[8C01 - Periodic Table
Raw Score]]),_xlfn.STDEV.P(tblY8[[8C01 - Periodic Table
Raw Score]])),9),_Stanine,2),5),"")</f>
        <v>4</v>
      </c>
      <c r="P85" s="66" t="n">
        <v>8</v>
      </c>
      <c r="Q85" s="67">
        <f>IF(ISNUMBER(tblY8[[#This Row],[8P01 - Energy
Raw Score]]),IFERROR(VLOOKUP(ROUND(STANDARDIZE(tblY8[[#This Row],[8P01 - Energy
Raw Score]],AVERAGE(tblY8[[8P01 - Energy
Raw Score]]),_xlfn.STDEV.P(tblY8[[8P01 - Energy
Raw Score]])),9),_Stanine,2),5),"")</f>
        <v>4</v>
      </c>
      <c r="R85" s="66" t="n">
        <v>9</v>
      </c>
      <c r="S85" s="67">
        <f>IF(ISNUMBER(tblY8[[#This Row],[8B01 - Digestion
Raw Score]]),IFERROR(VLOOKUP(ROUND(STANDARDIZE(tblY8[[#This Row],[8B01 - Digestion
Raw Score]],AVERAGE(tblY8[[8B01 - Digestion
Raw Score]]),_xlfn.STDEV.P(tblY8[[8B01 - Digestion
Raw Score]])),9),_Stanine,2),5),"")</f>
        <v>3</v>
      </c>
      <c r="T85" s="66" t="n">
        <v>10</v>
      </c>
      <c r="U85" s="67">
        <f>IF(ISNUMBER(tblY8[[#This Row],[8C02 - Metals and Acids
Raw Score]]),IFERROR(VLOOKUP(ROUND(STANDARDIZE(tblY8[[#This Row],[8C02 - Metals and Acids
Raw Score]],AVERAGE(tblY8[[8C02 - Metals and Acids
Raw Score]]),_xlfn.STDEV.P(tblY8[[8C02 - Metals and Acids
Raw Score]])),9),_Stanine,2),5),"")</f>
        <v>4</v>
      </c>
      <c r="V85" s="66" t="n"/>
      <c r="W85" s="67" t="str">
        <f>IF(ISNUMBER(tblY8[[#This Row],[8P02 - Light
Raw Score]]),IFERROR(VLOOKUP(ROUND(STANDARDIZE(tblY8[[#This Row],[8P02 - Light
Raw Score]],AVERAGE(tblY8[[8P02 - Light
Raw Score]]),_xlfn.STDEV.P(tblY8[[8P02 - Light
Raw Score]])),9),_Stanine,2),5),"")</f>
        <v/>
      </c>
    </row>
    <row r="86">
      <c r="A86" s="65" t="inlineStr">
        <is>
          <t>X909997091897</t>
        </is>
      </c>
      <c r="B86" s="65" t="inlineStr">
        <is>
          <t>Lloyd</t>
        </is>
      </c>
      <c r="C86" s="65" t="inlineStr">
        <is>
          <t>Zara</t>
        </is>
      </c>
      <c r="D86" s="66" t="inlineStr">
        <is>
          <t>M</t>
        </is>
      </c>
      <c r="E86" s="66" t="inlineStr">
        <is>
          <t>K</t>
        </is>
      </c>
      <c r="F86" s="66" t="inlineStr">
        <is>
          <t>N</t>
        </is>
      </c>
      <c r="G86" s="34" t="n">
        <v>89.5</v>
      </c>
      <c r="H86" s="34" t="n">
        <v>89.5</v>
      </c>
      <c r="I86" s="67">
        <f>IF(ISNUMBER(tblY8[[#This Row],[Avg KS2]]),IFERROR(VLOOKUP(ROUND(STANDARDIZE(tblY8[[#This Row],[Avg KS2]],AVERAGE(tblY8[[Avg KS2]]),_xlfn.STDEV.P(tblY8[[Avg KS2]])),9),_Stanine,2),5),"")</f>
        <v>1</v>
      </c>
      <c r="J86" s="66" t="inlineStr">
        <is>
          <t>8A/Sc4</t>
        </is>
      </c>
      <c r="K86" s="67">
        <f>IF(tblY8[[#This Row],[Preferred Last name]]="","",COUNTIFS($N$1:$ZZ$1,"*"&amp;CHAR(10)&amp;"Stanine",$N86:$ZZ86,"&gt;=1"))</f>
        <v>4</v>
      </c>
      <c r="L86" s="68">
        <f>IFERROR(AVERAGEIF($N$1:$ZZ$1,"*"&amp;CHAR(10)&amp;"Stanine",$N86:$ZZ86),"")</f>
        <v>1.25</v>
      </c>
      <c r="M86" s="69">
        <f>IF(AND(ISNUMBER(tblY8[[#This Row],[Mean Stanine]]),ISNUMBER(tblY8[[#This Row],[Avg KS2 Band]]),ISNUMBER(SlopeY8)),tblY8[[#This Row],[Mean Stanine]]-(InterceptY8+SlopeY8*tblY8[[#This Row],[Avg KS2 Band]]),"")</f>
        <v>-0.576213650564769</v>
      </c>
      <c r="N86" s="66" t="n">
        <v>4</v>
      </c>
      <c r="O86" s="67">
        <f>IF(ISNUMBER(tblY8[[#This Row],[8C01 - Periodic Table
Raw Score]]),IFERROR(VLOOKUP(ROUND(STANDARDIZE(tblY8[[#This Row],[8C01 - Periodic Table
Raw Score]],AVERAGE(tblY8[[8C01 - Periodic Table
Raw Score]]),_xlfn.STDEV.P(tblY8[[8C01 - Periodic Table
Raw Score]])),9),_Stanine,2),5),"")</f>
        <v>1</v>
      </c>
      <c r="P86" s="66" t="n">
        <v>2</v>
      </c>
      <c r="Q86" s="67">
        <f>IF(ISNUMBER(tblY8[[#This Row],[8P01 - Energy
Raw Score]]),IFERROR(VLOOKUP(ROUND(STANDARDIZE(tblY8[[#This Row],[8P01 - Energy
Raw Score]],AVERAGE(tblY8[[8P01 - Energy
Raw Score]]),_xlfn.STDEV.P(tblY8[[8P01 - Energy
Raw Score]])),9),_Stanine,2),5),"")</f>
        <v>2</v>
      </c>
      <c r="R86" s="66" t="n">
        <v>2</v>
      </c>
      <c r="S86" s="67">
        <f>IF(ISNUMBER(tblY8[[#This Row],[8B01 - Digestion
Raw Score]]),IFERROR(VLOOKUP(ROUND(STANDARDIZE(tblY8[[#This Row],[8B01 - Digestion
Raw Score]],AVERAGE(tblY8[[8B01 - Digestion
Raw Score]]),_xlfn.STDEV.P(tblY8[[8B01 - Digestion
Raw Score]])),9),_Stanine,2),5),"")</f>
        <v>1</v>
      </c>
      <c r="T86" s="66" t="n">
        <v>2</v>
      </c>
      <c r="U86" s="67">
        <f>IF(ISNUMBER(tblY8[[#This Row],[8C02 - Metals and Acids
Raw Score]]),IFERROR(VLOOKUP(ROUND(STANDARDIZE(tblY8[[#This Row],[8C02 - Metals and Acids
Raw Score]],AVERAGE(tblY8[[8C02 - Metals and Acids
Raw Score]]),_xlfn.STDEV.P(tblY8[[8C02 - Metals and Acids
Raw Score]])),9),_Stanine,2),5),"")</f>
        <v>1</v>
      </c>
      <c r="V86" s="66" t="n"/>
      <c r="W86" s="67" t="str">
        <f>IF(ISNUMBER(tblY8[[#This Row],[8P02 - Light
Raw Score]]),IFERROR(VLOOKUP(ROUND(STANDARDIZE(tblY8[[#This Row],[8P02 - Light
Raw Score]],AVERAGE(tblY8[[8P02 - Light
Raw Score]]),_xlfn.STDEV.P(tblY8[[8P02 - Light
Raw Score]])),9),_Stanine,2),5),"")</f>
        <v/>
      </c>
    </row>
    <row r="87">
      <c r="A87" s="65" t="inlineStr">
        <is>
          <t>X904361657829</t>
        </is>
      </c>
      <c r="B87" s="65" t="inlineStr">
        <is>
          <t>Okafor</t>
        </is>
      </c>
      <c r="C87" s="65" t="inlineStr">
        <is>
          <t>Hollie</t>
        </is>
      </c>
      <c r="D87" s="66" t="inlineStr">
        <is>
          <t>F</t>
        </is>
      </c>
      <c r="E87" s="66" t="n"/>
      <c r="F87" s="66" t="inlineStr">
        <is>
          <t>N</t>
        </is>
      </c>
      <c r="G87" s="34" t="n">
        <v>92.3</v>
      </c>
      <c r="H87" s="34" t="n">
        <v>103</v>
      </c>
      <c r="I87" s="67">
        <f>IF(ISNUMBER(tblY8[[#This Row],[Avg KS2]]),IFERROR(VLOOKUP(ROUND(STANDARDIZE(tblY8[[#This Row],[Avg KS2]],AVERAGE(tblY8[[Avg KS2]]),_xlfn.STDEV.P(tblY8[[Avg KS2]])),9),_Stanine,2),5),"")</f>
        <v>4</v>
      </c>
      <c r="J87" s="66" t="inlineStr">
        <is>
          <t>8A/Sc4</t>
        </is>
      </c>
      <c r="K87" s="67">
        <f>IF(tblY8[[#This Row],[Preferred Last name]]="","",COUNTIFS($N$1:$ZZ$1,"*"&amp;CHAR(10)&amp;"Stanine",$N87:$ZZ87,"&gt;=1"))</f>
        <v>4</v>
      </c>
      <c r="L87" s="68">
        <f>IFERROR(AVERAGEIF($N$1:$ZZ$1,"*"&amp;CHAR(10)&amp;"Stanine",$N87:$ZZ87),"")</f>
        <v>6.25</v>
      </c>
      <c r="M87" s="69">
        <f>IF(AND(ISNUMBER(tblY8[[#This Row],[Mean Stanine]]),ISNUMBER(tblY8[[#This Row],[Avg KS2 Band]]),ISNUMBER(SlopeY8)),tblY8[[#This Row],[Mean Stanine]]-(InterceptY8+SlopeY8*tblY8[[#This Row],[Avg KS2 Band]]),"")</f>
        <v>2.0870523912521</v>
      </c>
      <c r="N87" s="66" t="n">
        <v>22</v>
      </c>
      <c r="O87" s="67">
        <f>IF(ISNUMBER(tblY8[[#This Row],[8C01 - Periodic Table
Raw Score]]),IFERROR(VLOOKUP(ROUND(STANDARDIZE(tblY8[[#This Row],[8C01 - Periodic Table
Raw Score]],AVERAGE(tblY8[[8C01 - Periodic Table
Raw Score]]),_xlfn.STDEV.P(tblY8[[8C01 - Periodic Table
Raw Score]])),9),_Stanine,2),5),"")</f>
        <v>6</v>
      </c>
      <c r="P87" s="66" t="n">
        <v>15</v>
      </c>
      <c r="Q87" s="67">
        <f>IF(ISNUMBER(tblY8[[#This Row],[8P01 - Energy
Raw Score]]),IFERROR(VLOOKUP(ROUND(STANDARDIZE(tblY8[[#This Row],[8P01 - Energy
Raw Score]],AVERAGE(tblY8[[8P01 - Energy
Raw Score]]),_xlfn.STDEV.P(tblY8[[8P01 - Energy
Raw Score]])),9),_Stanine,2),5),"")</f>
        <v>7</v>
      </c>
      <c r="R87" s="66" t="n">
        <v>18</v>
      </c>
      <c r="S87" s="67">
        <f>IF(ISNUMBER(tblY8[[#This Row],[8B01 - Digestion
Raw Score]]),IFERROR(VLOOKUP(ROUND(STANDARDIZE(tblY8[[#This Row],[8B01 - Digestion
Raw Score]],AVERAGE(tblY8[[8B01 - Digestion
Raw Score]]),_xlfn.STDEV.P(tblY8[[8B01 - Digestion
Raw Score]])),9),_Stanine,2),5),"")</f>
        <v>6</v>
      </c>
      <c r="T87" s="66" t="n">
        <v>14</v>
      </c>
      <c r="U87" s="67">
        <f>IF(ISNUMBER(tblY8[[#This Row],[8C02 - Metals and Acids
Raw Score]]),IFERROR(VLOOKUP(ROUND(STANDARDIZE(tblY8[[#This Row],[8C02 - Metals and Acids
Raw Score]],AVERAGE(tblY8[[8C02 - Metals and Acids
Raw Score]]),_xlfn.STDEV.P(tblY8[[8C02 - Metals and Acids
Raw Score]])),9),_Stanine,2),5),"")</f>
        <v>6</v>
      </c>
      <c r="V87" s="66" t="n"/>
      <c r="W87" s="67" t="str">
        <f>IF(ISNUMBER(tblY8[[#This Row],[8P02 - Light
Raw Score]]),IFERROR(VLOOKUP(ROUND(STANDARDIZE(tblY8[[#This Row],[8P02 - Light
Raw Score]],AVERAGE(tblY8[[8P02 - Light
Raw Score]]),_xlfn.STDEV.P(tblY8[[8P02 - Light
Raw Score]])),9),_Stanine,2),5),"")</f>
        <v/>
      </c>
    </row>
    <row r="88">
      <c r="A88" s="65" t="inlineStr">
        <is>
          <t>X902080559922</t>
        </is>
      </c>
      <c r="B88" s="65" t="inlineStr">
        <is>
          <t>Patel</t>
        </is>
      </c>
      <c r="C88" s="65" t="inlineStr">
        <is>
          <t>Lewis</t>
        </is>
      </c>
      <c r="D88" s="66" t="inlineStr">
        <is>
          <t>F</t>
        </is>
      </c>
      <c r="E88" s="66" t="inlineStr">
        <is>
          <t>N</t>
        </is>
      </c>
      <c r="F88" s="66" t="inlineStr">
        <is>
          <t>N</t>
        </is>
      </c>
      <c r="G88" s="34" t="n">
        <v>90.8</v>
      </c>
      <c r="H88" s="34" t="n">
        <v>112</v>
      </c>
      <c r="I88" s="67">
        <f>IF(ISNUMBER(tblY8[[#This Row],[Avg KS2]]),IFERROR(VLOOKUP(ROUND(STANDARDIZE(tblY8[[#This Row],[Avg KS2]],AVERAGE(tblY8[[Avg KS2]]),_xlfn.STDEV.P(tblY8[[Avg KS2]])),9),_Stanine,2),5),"")</f>
        <v>7</v>
      </c>
      <c r="J88" s="66" t="inlineStr">
        <is>
          <t>8A/Sc4</t>
        </is>
      </c>
      <c r="K88" s="67">
        <f>IF(tblY8[[#This Row],[Preferred Last name]]="","",COUNTIFS($N$1:$ZZ$1,"*"&amp;CHAR(10)&amp;"Stanine",$N88:$ZZ88,"&gt;=1"))</f>
        <v>4</v>
      </c>
      <c r="L88" s="68">
        <f>IFERROR(AVERAGEIF($N$1:$ZZ$1,"*"&amp;CHAR(10)&amp;"Stanine",$N88:$ZZ88),"")</f>
        <v>5.25</v>
      </c>
      <c r="M88" s="69">
        <f>IF(AND(ISNUMBER(tblY8[[#This Row],[Mean Stanine]]),ISNUMBER(tblY8[[#This Row],[Avg KS2 Band]]),ISNUMBER(SlopeY8)),tblY8[[#This Row],[Mean Stanine]]-(InterceptY8+SlopeY8*tblY8[[#This Row],[Avg KS2 Band]]),"")</f>
        <v>-1.24968156693103</v>
      </c>
      <c r="N88" s="66" t="n">
        <v>23</v>
      </c>
      <c r="O88" s="67">
        <f>IF(ISNUMBER(tblY8[[#This Row],[8C01 - Periodic Table
Raw Score]]),IFERROR(VLOOKUP(ROUND(STANDARDIZE(tblY8[[#This Row],[8C01 - Periodic Table
Raw Score]],AVERAGE(tblY8[[8C01 - Periodic Table
Raw Score]]),_xlfn.STDEV.P(tblY8[[8C01 - Periodic Table
Raw Score]])),9),_Stanine,2),5),"")</f>
        <v>7</v>
      </c>
      <c r="P88" s="66" t="n">
        <v>11</v>
      </c>
      <c r="Q88" s="67">
        <f>IF(ISNUMBER(tblY8[[#This Row],[8P01 - Energy
Raw Score]]),IFERROR(VLOOKUP(ROUND(STANDARDIZE(tblY8[[#This Row],[8P01 - Energy
Raw Score]],AVERAGE(tblY8[[8P01 - Energy
Raw Score]]),_xlfn.STDEV.P(tblY8[[8P01 - Energy
Raw Score]])),9),_Stanine,2),5),"")</f>
        <v>5</v>
      </c>
      <c r="R88" s="66" t="n">
        <v>12</v>
      </c>
      <c r="S88" s="67">
        <f>IF(ISNUMBER(tblY8[[#This Row],[8B01 - Digestion
Raw Score]]),IFERROR(VLOOKUP(ROUND(STANDARDIZE(tblY8[[#This Row],[8B01 - Digestion
Raw Score]],AVERAGE(tblY8[[8B01 - Digestion
Raw Score]]),_xlfn.STDEV.P(tblY8[[8B01 - Digestion
Raw Score]])),9),_Stanine,2),5),"")</f>
        <v>4</v>
      </c>
      <c r="T88" s="66" t="n">
        <v>12</v>
      </c>
      <c r="U88" s="67">
        <f>IF(ISNUMBER(tblY8[[#This Row],[8C02 - Metals and Acids
Raw Score]]),IFERROR(VLOOKUP(ROUND(STANDARDIZE(tblY8[[#This Row],[8C02 - Metals and Acids
Raw Score]],AVERAGE(tblY8[[8C02 - Metals and Acids
Raw Score]]),_xlfn.STDEV.P(tblY8[[8C02 - Metals and Acids
Raw Score]])),9),_Stanine,2),5),"")</f>
        <v>5</v>
      </c>
      <c r="V88" s="66" t="n"/>
      <c r="W88" s="67" t="str">
        <f>IF(ISNUMBER(tblY8[[#This Row],[8P02 - Light
Raw Score]]),IFERROR(VLOOKUP(ROUND(STANDARDIZE(tblY8[[#This Row],[8P02 - Light
Raw Score]],AVERAGE(tblY8[[8P02 - Light
Raw Score]]),_xlfn.STDEV.P(tblY8[[8P02 - Light
Raw Score]])),9),_Stanine,2),5),"")</f>
        <v/>
      </c>
    </row>
    <row r="89">
      <c r="A89" s="65" t="inlineStr">
        <is>
          <t>X908110105831</t>
        </is>
      </c>
      <c r="B89" s="65" t="inlineStr">
        <is>
          <t>Shaw</t>
        </is>
      </c>
      <c r="C89" s="65" t="inlineStr">
        <is>
          <t>Rhys</t>
        </is>
      </c>
      <c r="D89" s="66" t="inlineStr">
        <is>
          <t>F</t>
        </is>
      </c>
      <c r="E89" s="66" t="inlineStr">
        <is>
          <t>N</t>
        </is>
      </c>
      <c r="F89" s="66" t="inlineStr">
        <is>
          <t>Y</t>
        </is>
      </c>
      <c r="G89" s="34" t="n">
        <v>90.09999999999999</v>
      </c>
      <c r="H89" s="34" t="n">
        <v>90</v>
      </c>
      <c r="I89" s="67">
        <f>IF(ISNUMBER(tblY8[[#This Row],[Avg KS2]]),IFERROR(VLOOKUP(ROUND(STANDARDIZE(tblY8[[#This Row],[Avg KS2]],AVERAGE(tblY8[[Avg KS2]]),_xlfn.STDEV.P(tblY8[[Avg KS2]])),9),_Stanine,2),5),"")</f>
        <v>1</v>
      </c>
      <c r="J89" s="66" t="inlineStr">
        <is>
          <t>8A/Sc4</t>
        </is>
      </c>
      <c r="K89" s="67">
        <f>IF(tblY8[[#This Row],[Preferred Last name]]="","",COUNTIFS($N$1:$ZZ$1,"*"&amp;CHAR(10)&amp;"Stanine",$N89:$ZZ89,"&gt;=1"))</f>
        <v>4</v>
      </c>
      <c r="L89" s="68">
        <f>IFERROR(AVERAGEIF($N$1:$ZZ$1,"*"&amp;CHAR(10)&amp;"Stanine",$N89:$ZZ89),"")</f>
        <v>1</v>
      </c>
      <c r="M89" s="69">
        <f>IF(AND(ISNUMBER(tblY8[[#This Row],[Mean Stanine]]),ISNUMBER(tblY8[[#This Row],[Avg KS2 Band]]),ISNUMBER(SlopeY8)),tblY8[[#This Row],[Mean Stanine]]-(InterceptY8+SlopeY8*tblY8[[#This Row],[Avg KS2 Band]]),"")</f>
        <v>-0.826213650564769</v>
      </c>
      <c r="N89" s="66" t="n">
        <v>4</v>
      </c>
      <c r="O89" s="67">
        <f>IF(ISNUMBER(tblY8[[#This Row],[8C01 - Periodic Table
Raw Score]]),IFERROR(VLOOKUP(ROUND(STANDARDIZE(tblY8[[#This Row],[8C01 - Periodic Table
Raw Score]],AVERAGE(tblY8[[8C01 - Periodic Table
Raw Score]]),_xlfn.STDEV.P(tblY8[[8C01 - Periodic Table
Raw Score]])),9),_Stanine,2),5),"")</f>
        <v>1</v>
      </c>
      <c r="P89" s="66" t="n">
        <v>1</v>
      </c>
      <c r="Q89" s="67">
        <f>IF(ISNUMBER(tblY8[[#This Row],[8P01 - Energy
Raw Score]]),IFERROR(VLOOKUP(ROUND(STANDARDIZE(tblY8[[#This Row],[8P01 - Energy
Raw Score]],AVERAGE(tblY8[[8P01 - Energy
Raw Score]]),_xlfn.STDEV.P(tblY8[[8P01 - Energy
Raw Score]])),9),_Stanine,2),5),"")</f>
        <v>1</v>
      </c>
      <c r="R89" s="66" t="n">
        <v>2</v>
      </c>
      <c r="S89" s="67">
        <f>IF(ISNUMBER(tblY8[[#This Row],[8B01 - Digestion
Raw Score]]),IFERROR(VLOOKUP(ROUND(STANDARDIZE(tblY8[[#This Row],[8B01 - Digestion
Raw Score]],AVERAGE(tblY8[[8B01 - Digestion
Raw Score]]),_xlfn.STDEV.P(tblY8[[8B01 - Digestion
Raw Score]])),9),_Stanine,2),5),"")</f>
        <v>1</v>
      </c>
      <c r="T89" s="66" t="n">
        <v>2</v>
      </c>
      <c r="U89" s="67">
        <f>IF(ISNUMBER(tblY8[[#This Row],[8C02 - Metals and Acids
Raw Score]]),IFERROR(VLOOKUP(ROUND(STANDARDIZE(tblY8[[#This Row],[8C02 - Metals and Acids
Raw Score]],AVERAGE(tblY8[[8C02 - Metals and Acids
Raw Score]]),_xlfn.STDEV.P(tblY8[[8C02 - Metals and Acids
Raw Score]])),9),_Stanine,2),5),"")</f>
        <v>1</v>
      </c>
      <c r="V89" s="66" t="n"/>
      <c r="W89" s="67" t="str">
        <f>IF(ISNUMBER(tblY8[[#This Row],[8P02 - Light
Raw Score]]),IFERROR(VLOOKUP(ROUND(STANDARDIZE(tblY8[[#This Row],[8P02 - Light
Raw Score]],AVERAGE(tblY8[[8P02 - Light
Raw Score]]),_xlfn.STDEV.P(tblY8[[8P02 - Light
Raw Score]])),9),_Stanine,2),5),"")</f>
        <v/>
      </c>
    </row>
    <row r="90">
      <c r="A90" s="65" t="inlineStr">
        <is>
          <t>X901240175943</t>
        </is>
      </c>
      <c r="B90" s="65" t="inlineStr">
        <is>
          <t>Thompson</t>
        </is>
      </c>
      <c r="C90" s="65" t="inlineStr">
        <is>
          <t>Ava</t>
        </is>
      </c>
      <c r="D90" s="66" t="inlineStr">
        <is>
          <t>F</t>
        </is>
      </c>
      <c r="E90" s="66" t="n"/>
      <c r="F90" s="66" t="inlineStr">
        <is>
          <t>Y</t>
        </is>
      </c>
      <c r="G90" s="34" t="n">
        <v>84.59999999999999</v>
      </c>
      <c r="H90" s="34" t="n">
        <v>96.5</v>
      </c>
      <c r="I90" s="67">
        <f>IF(ISNUMBER(tblY8[[#This Row],[Avg KS2]]),IFERROR(VLOOKUP(ROUND(STANDARDIZE(tblY8[[#This Row],[Avg KS2]],AVERAGE(tblY8[[Avg KS2]]),_xlfn.STDEV.P(tblY8[[Avg KS2]])),9),_Stanine,2),5),"")</f>
        <v>2</v>
      </c>
      <c r="J90" s="66" t="inlineStr">
        <is>
          <t>8A/Sc4</t>
        </is>
      </c>
      <c r="K90" s="67">
        <f>IF(tblY8[[#This Row],[Preferred Last name]]="","",COUNTIFS($N$1:$ZZ$1,"*"&amp;CHAR(10)&amp;"Stanine",$N90:$ZZ90,"&gt;=1"))</f>
        <v>4</v>
      </c>
      <c r="L90" s="68">
        <f>IFERROR(AVERAGEIF($N$1:$ZZ$1,"*"&amp;CHAR(10)&amp;"Stanine",$N90:$ZZ90),"")</f>
        <v>3</v>
      </c>
      <c r="M90" s="69">
        <f>IF(AND(ISNUMBER(tblY8[[#This Row],[Mean Stanine]]),ISNUMBER(tblY8[[#This Row],[Avg KS2 Band]]),ISNUMBER(SlopeY8)),tblY8[[#This Row],[Mean Stanine]]-(InterceptY8+SlopeY8*tblY8[[#This Row],[Avg KS2 Band]]),"")</f>
        <v>0.394875030040855</v>
      </c>
      <c r="N90" s="66" t="n">
        <v>12</v>
      </c>
      <c r="O90" s="67">
        <f>IF(ISNUMBER(tblY8[[#This Row],[8C01 - Periodic Table
Raw Score]]),IFERROR(VLOOKUP(ROUND(STANDARDIZE(tblY8[[#This Row],[8C01 - Periodic Table
Raw Score]],AVERAGE(tblY8[[8C01 - Periodic Table
Raw Score]]),_xlfn.STDEV.P(tblY8[[8C01 - Periodic Table
Raw Score]])),9),_Stanine,2),5),"")</f>
        <v>3</v>
      </c>
      <c r="P90" s="66" t="n">
        <v>5</v>
      </c>
      <c r="Q90" s="67">
        <f>IF(ISNUMBER(tblY8[[#This Row],[8P01 - Energy
Raw Score]]),IFERROR(VLOOKUP(ROUND(STANDARDIZE(tblY8[[#This Row],[8P01 - Energy
Raw Score]],AVERAGE(tblY8[[8P01 - Energy
Raw Score]]),_xlfn.STDEV.P(tblY8[[8P01 - Energy
Raw Score]])),9),_Stanine,2),5),"")</f>
        <v>3</v>
      </c>
      <c r="R90" s="66" t="n">
        <v>9</v>
      </c>
      <c r="S90" s="67">
        <f>IF(ISNUMBER(tblY8[[#This Row],[8B01 - Digestion
Raw Score]]),IFERROR(VLOOKUP(ROUND(STANDARDIZE(tblY8[[#This Row],[8B01 - Digestion
Raw Score]],AVERAGE(tblY8[[8B01 - Digestion
Raw Score]]),_xlfn.STDEV.P(tblY8[[8B01 - Digestion
Raw Score]])),9),_Stanine,2),5),"")</f>
        <v>3</v>
      </c>
      <c r="T90" s="66" t="n">
        <v>5</v>
      </c>
      <c r="U90" s="67">
        <f>IF(ISNUMBER(tblY8[[#This Row],[8C02 - Metals and Acids
Raw Score]]),IFERROR(VLOOKUP(ROUND(STANDARDIZE(tblY8[[#This Row],[8C02 - Metals and Acids
Raw Score]],AVERAGE(tblY8[[8C02 - Metals and Acids
Raw Score]]),_xlfn.STDEV.P(tblY8[[8C02 - Metals and Acids
Raw Score]])),9),_Stanine,2),5),"")</f>
        <v>3</v>
      </c>
      <c r="V90" s="66" t="n"/>
      <c r="W90" s="67" t="str">
        <f>IF(ISNUMBER(tblY8[[#This Row],[8P02 - Light
Raw Score]]),IFERROR(VLOOKUP(ROUND(STANDARDIZE(tblY8[[#This Row],[8P02 - Light
Raw Score]],AVERAGE(tblY8[[8P02 - Light
Raw Score]]),_xlfn.STDEV.P(tblY8[[8P02 - Light
Raw Score]])),9),_Stanine,2),5),"")</f>
        <v/>
      </c>
    </row>
    <row r="91">
      <c r="A91" s="65" t="inlineStr">
        <is>
          <t>X905145649490</t>
        </is>
      </c>
      <c r="B91" s="65" t="inlineStr">
        <is>
          <t>Turner</t>
        </is>
      </c>
      <c r="C91" s="65" t="inlineStr">
        <is>
          <t>Callum</t>
        </is>
      </c>
      <c r="D91" s="66" t="inlineStr">
        <is>
          <t>M</t>
        </is>
      </c>
      <c r="E91" s="66" t="n"/>
      <c r="F91" s="66" t="inlineStr">
        <is>
          <t>N</t>
        </is>
      </c>
      <c r="G91" s="34" t="n">
        <v>94.59999999999999</v>
      </c>
      <c r="H91" s="34" t="n">
        <v>103.5</v>
      </c>
      <c r="I91" s="67">
        <f>IF(ISNUMBER(tblY8[[#This Row],[Avg KS2]]),IFERROR(VLOOKUP(ROUND(STANDARDIZE(tblY8[[#This Row],[Avg KS2]],AVERAGE(tblY8[[Avg KS2]]),_xlfn.STDEV.P(tblY8[[Avg KS2]])),9),_Stanine,2),5),"")</f>
        <v>4</v>
      </c>
      <c r="J91" s="66" t="inlineStr">
        <is>
          <t>8A/Sc4</t>
        </is>
      </c>
      <c r="K91" s="67">
        <f>IF(tblY8[[#This Row],[Preferred Last name]]="","",COUNTIFS($N$1:$ZZ$1,"*"&amp;CHAR(10)&amp;"Stanine",$N91:$ZZ91,"&gt;=1"))</f>
        <v>4</v>
      </c>
      <c r="L91" s="68">
        <f>IFERROR(AVERAGEIF($N$1:$ZZ$1,"*"&amp;CHAR(10)&amp;"Stanine",$N91:$ZZ91),"")</f>
        <v>5.5</v>
      </c>
      <c r="M91" s="69">
        <f>IF(AND(ISNUMBER(tblY8[[#This Row],[Mean Stanine]]),ISNUMBER(tblY8[[#This Row],[Avg KS2 Band]]),ISNUMBER(SlopeY8)),tblY8[[#This Row],[Mean Stanine]]-(InterceptY8+SlopeY8*tblY8[[#This Row],[Avg KS2 Band]]),"")</f>
        <v>1.3370523912521</v>
      </c>
      <c r="N91" s="66" t="n">
        <v>18</v>
      </c>
      <c r="O91" s="67">
        <f>IF(ISNUMBER(tblY8[[#This Row],[8C01 - Periodic Table
Raw Score]]),IFERROR(VLOOKUP(ROUND(STANDARDIZE(tblY8[[#This Row],[8C01 - Periodic Table
Raw Score]],AVERAGE(tblY8[[8C01 - Periodic Table
Raw Score]]),_xlfn.STDEV.P(tblY8[[8C01 - Periodic Table
Raw Score]])),9),_Stanine,2),5),"")</f>
        <v>5</v>
      </c>
      <c r="P91" s="66" t="n">
        <v>12</v>
      </c>
      <c r="Q91" s="67">
        <f>IF(ISNUMBER(tblY8[[#This Row],[8P01 - Energy
Raw Score]]),IFERROR(VLOOKUP(ROUND(STANDARDIZE(tblY8[[#This Row],[8P01 - Energy
Raw Score]],AVERAGE(tblY8[[8P01 - Energy
Raw Score]]),_xlfn.STDEV.P(tblY8[[8P01 - Energy
Raw Score]])),9),_Stanine,2),5),"")</f>
        <v>6</v>
      </c>
      <c r="R91" s="66" t="n">
        <v>16</v>
      </c>
      <c r="S91" s="67">
        <f>IF(ISNUMBER(tblY8[[#This Row],[8B01 - Digestion
Raw Score]]),IFERROR(VLOOKUP(ROUND(STANDARDIZE(tblY8[[#This Row],[8B01 - Digestion
Raw Score]],AVERAGE(tblY8[[8B01 - Digestion
Raw Score]]),_xlfn.STDEV.P(tblY8[[8B01 - Digestion
Raw Score]])),9),_Stanine,2),5),"")</f>
        <v>6</v>
      </c>
      <c r="T91" s="66" t="n">
        <v>11</v>
      </c>
      <c r="U91" s="67">
        <f>IF(ISNUMBER(tblY8[[#This Row],[8C02 - Metals and Acids
Raw Score]]),IFERROR(VLOOKUP(ROUND(STANDARDIZE(tblY8[[#This Row],[8C02 - Metals and Acids
Raw Score]],AVERAGE(tblY8[[8C02 - Metals and Acids
Raw Score]]),_xlfn.STDEV.P(tblY8[[8C02 - Metals and Acids
Raw Score]])),9),_Stanine,2),5),"")</f>
        <v>5</v>
      </c>
      <c r="V91" s="66" t="n"/>
      <c r="W91" s="67" t="str">
        <f>IF(ISNUMBER(tblY8[[#This Row],[8P02 - Light
Raw Score]]),IFERROR(VLOOKUP(ROUND(STANDARDIZE(tblY8[[#This Row],[8P02 - Light
Raw Score]],AVERAGE(tblY8[[8P02 - Light
Raw Score]]),_xlfn.STDEV.P(tblY8[[8P02 - Light
Raw Score]])),9),_Stanine,2),5),"")</f>
        <v/>
      </c>
    </row>
    <row r="92">
      <c r="A92" s="65" t="inlineStr">
        <is>
          <t>X900481937924</t>
        </is>
      </c>
      <c r="B92" s="65" t="inlineStr">
        <is>
          <t>Walker</t>
        </is>
      </c>
      <c r="C92" s="65" t="inlineStr">
        <is>
          <t>Jack</t>
        </is>
      </c>
      <c r="D92" s="66" t="inlineStr">
        <is>
          <t>M</t>
        </is>
      </c>
      <c r="E92" s="66" t="inlineStr">
        <is>
          <t>N</t>
        </is>
      </c>
      <c r="F92" s="66" t="inlineStr">
        <is>
          <t>N</t>
        </is>
      </c>
      <c r="G92" s="34" t="n">
        <v>100</v>
      </c>
      <c r="H92" s="34" t="n">
        <v>96</v>
      </c>
      <c r="I92" s="67">
        <f>IF(ISNUMBER(tblY8[[#This Row],[Avg KS2]]),IFERROR(VLOOKUP(ROUND(STANDARDIZE(tblY8[[#This Row],[Avg KS2]],AVERAGE(tblY8[[Avg KS2]]),_xlfn.STDEV.P(tblY8[[Avg KS2]])),9),_Stanine,2),5),"")</f>
        <v>2</v>
      </c>
      <c r="J92" s="66" t="inlineStr">
        <is>
          <t>8A/Sc4</t>
        </is>
      </c>
      <c r="K92" s="67">
        <f>IF(tblY8[[#This Row],[Preferred Last name]]="","",COUNTIFS($N$1:$ZZ$1,"*"&amp;CHAR(10)&amp;"Stanine",$N92:$ZZ92,"&gt;=1"))</f>
        <v>4</v>
      </c>
      <c r="L92" s="68">
        <f>IFERROR(AVERAGEIF($N$1:$ZZ$1,"*"&amp;CHAR(10)&amp;"Stanine",$N92:$ZZ92),"")</f>
        <v>2.75</v>
      </c>
      <c r="M92" s="69">
        <f>IF(AND(ISNUMBER(tblY8[[#This Row],[Mean Stanine]]),ISNUMBER(tblY8[[#This Row],[Avg KS2 Band]]),ISNUMBER(SlopeY8)),tblY8[[#This Row],[Mean Stanine]]-(InterceptY8+SlopeY8*tblY8[[#This Row],[Avg KS2 Band]]),"")</f>
        <v>0.144875030040855</v>
      </c>
      <c r="N92" s="66" t="n">
        <v>8</v>
      </c>
      <c r="O92" s="67">
        <f>IF(ISNUMBER(tblY8[[#This Row],[8C01 - Periodic Table
Raw Score]]),IFERROR(VLOOKUP(ROUND(STANDARDIZE(tblY8[[#This Row],[8C01 - Periodic Table
Raw Score]],AVERAGE(tblY8[[8C01 - Periodic Table
Raw Score]]),_xlfn.STDEV.P(tblY8[[8C01 - Periodic Table
Raw Score]])),9),_Stanine,2),5),"")</f>
        <v>2</v>
      </c>
      <c r="P92" s="66" t="n">
        <v>7</v>
      </c>
      <c r="Q92" s="67">
        <f>IF(ISNUMBER(tblY8[[#This Row],[8P01 - Energy
Raw Score]]),IFERROR(VLOOKUP(ROUND(STANDARDIZE(tblY8[[#This Row],[8P01 - Energy
Raw Score]],AVERAGE(tblY8[[8P01 - Energy
Raw Score]]),_xlfn.STDEV.P(tblY8[[8P01 - Energy
Raw Score]])),9),_Stanine,2),5),"")</f>
        <v>4</v>
      </c>
      <c r="R92" s="66" t="n">
        <v>6</v>
      </c>
      <c r="S92" s="67">
        <f>IF(ISNUMBER(tblY8[[#This Row],[8B01 - Digestion
Raw Score]]),IFERROR(VLOOKUP(ROUND(STANDARDIZE(tblY8[[#This Row],[8B01 - Digestion
Raw Score]],AVERAGE(tblY8[[8B01 - Digestion
Raw Score]]),_xlfn.STDEV.P(tblY8[[8B01 - Digestion
Raw Score]])),9),_Stanine,2),5),"")</f>
        <v>2</v>
      </c>
      <c r="T92" s="66" t="n">
        <v>7</v>
      </c>
      <c r="U92" s="67">
        <f>IF(ISNUMBER(tblY8[[#This Row],[8C02 - Metals and Acids
Raw Score]]),IFERROR(VLOOKUP(ROUND(STANDARDIZE(tblY8[[#This Row],[8C02 - Metals and Acids
Raw Score]],AVERAGE(tblY8[[8C02 - Metals and Acids
Raw Score]]),_xlfn.STDEV.P(tblY8[[8C02 - Metals and Acids
Raw Score]])),9),_Stanine,2),5),"")</f>
        <v>3</v>
      </c>
      <c r="V92" s="66" t="n"/>
      <c r="W92" s="67" t="str">
        <f>IF(ISNUMBER(tblY8[[#This Row],[8P02 - Light
Raw Score]]),IFERROR(VLOOKUP(ROUND(STANDARDIZE(tblY8[[#This Row],[8P02 - Light
Raw Score]],AVERAGE(tblY8[[8P02 - Light
Raw Score]]),_xlfn.STDEV.P(tblY8[[8P02 - Light
Raw Score]])),9),_Stanine,2),5),"")</f>
        <v/>
      </c>
    </row>
    <row r="93">
      <c r="A93" s="65" t="inlineStr">
        <is>
          <t>X909788816754</t>
        </is>
      </c>
      <c r="B93" s="65" t="inlineStr">
        <is>
          <t>Clarke</t>
        </is>
      </c>
      <c r="C93" s="65" t="inlineStr">
        <is>
          <t>Amara</t>
        </is>
      </c>
      <c r="D93" s="66" t="inlineStr">
        <is>
          <t>M</t>
        </is>
      </c>
      <c r="E93" s="66" t="inlineStr">
        <is>
          <t>K</t>
        </is>
      </c>
      <c r="F93" s="66" t="inlineStr">
        <is>
          <t>Y</t>
        </is>
      </c>
      <c r="G93" s="34" t="n">
        <v>100</v>
      </c>
      <c r="H93" s="34" t="n">
        <v>101</v>
      </c>
      <c r="I93" s="67">
        <f>IF(ISNUMBER(tblY8[[#This Row],[Avg KS2]]),IFERROR(VLOOKUP(ROUND(STANDARDIZE(tblY8[[#This Row],[Avg KS2]],AVERAGE(tblY8[[Avg KS2]]),_xlfn.STDEV.P(tblY8[[Avg KS2]])),9),_Stanine,2),5),"")</f>
        <v>4</v>
      </c>
      <c r="J93" s="66" t="inlineStr">
        <is>
          <t>Science Support</t>
        </is>
      </c>
      <c r="K93" s="67">
        <f>IF(tblY8[[#This Row],[Preferred Last name]]="","",COUNTIFS($N$1:$ZZ$1,"*"&amp;CHAR(10)&amp;"Stanine",$N93:$ZZ93,"&gt;=1"))</f>
        <v>4</v>
      </c>
      <c r="L93" s="68">
        <f>IFERROR(AVERAGEIF($N$1:$ZZ$1,"*"&amp;CHAR(10)&amp;"Stanine",$N93:$ZZ93),"")</f>
        <v>2</v>
      </c>
      <c r="M93" s="69">
        <f>IF(AND(ISNUMBER(tblY8[[#This Row],[Mean Stanine]]),ISNUMBER(tblY8[[#This Row],[Avg KS2 Band]]),ISNUMBER(SlopeY8)),tblY8[[#This Row],[Mean Stanine]]-(InterceptY8+SlopeY8*tblY8[[#This Row],[Avg KS2 Band]]),"")</f>
        <v>-2.1629476087479</v>
      </c>
      <c r="N93" s="66" t="n">
        <v>10</v>
      </c>
      <c r="O93" s="67">
        <f>IF(ISNUMBER(tblY8[[#This Row],[8C01 - Periodic Table
Raw Score]]),IFERROR(VLOOKUP(ROUND(STANDARDIZE(tblY8[[#This Row],[8C01 - Periodic Table
Raw Score]],AVERAGE(tblY8[[8C01 - Periodic Table
Raw Score]]),_xlfn.STDEV.P(tblY8[[8C01 - Periodic Table
Raw Score]])),9),_Stanine,2),5),"")</f>
        <v>2</v>
      </c>
      <c r="P93" s="66" t="n">
        <v>3</v>
      </c>
      <c r="Q93" s="67">
        <f>IF(ISNUMBER(tblY8[[#This Row],[8P01 - Energy
Raw Score]]),IFERROR(VLOOKUP(ROUND(STANDARDIZE(tblY8[[#This Row],[8P01 - Energy
Raw Score]],AVERAGE(tblY8[[8P01 - Energy
Raw Score]]),_xlfn.STDEV.P(tblY8[[8P01 - Energy
Raw Score]])),9),_Stanine,2),5),"")</f>
        <v>2</v>
      </c>
      <c r="R93" s="66" t="n">
        <v>3</v>
      </c>
      <c r="S93" s="67">
        <f>IF(ISNUMBER(tblY8[[#This Row],[8B01 - Digestion
Raw Score]]),IFERROR(VLOOKUP(ROUND(STANDARDIZE(tblY8[[#This Row],[8B01 - Digestion
Raw Score]],AVERAGE(tblY8[[8B01 - Digestion
Raw Score]]),_xlfn.STDEV.P(tblY8[[8B01 - Digestion
Raw Score]])),9),_Stanine,2),5),"")</f>
        <v>2</v>
      </c>
      <c r="T93" s="66" t="n">
        <v>4</v>
      </c>
      <c r="U93" s="67">
        <f>IF(ISNUMBER(tblY8[[#This Row],[8C02 - Metals and Acids
Raw Score]]),IFERROR(VLOOKUP(ROUND(STANDARDIZE(tblY8[[#This Row],[8C02 - Metals and Acids
Raw Score]],AVERAGE(tblY8[[8C02 - Metals and Acids
Raw Score]]),_xlfn.STDEV.P(tblY8[[8C02 - Metals and Acids
Raw Score]])),9),_Stanine,2),5),"")</f>
        <v>2</v>
      </c>
      <c r="V93" s="66" t="n"/>
      <c r="W93" s="67" t="str">
        <f>IF(ISNUMBER(tblY8[[#This Row],[8P02 - Light
Raw Score]]),IFERROR(VLOOKUP(ROUND(STANDARDIZE(tblY8[[#This Row],[8P02 - Light
Raw Score]],AVERAGE(tblY8[[8P02 - Light
Raw Score]]),_xlfn.STDEV.P(tblY8[[8P02 - Light
Raw Score]])),9),_Stanine,2),5),"")</f>
        <v/>
      </c>
    </row>
    <row r="94">
      <c r="A94" s="65" t="inlineStr">
        <is>
          <t>X902450462357</t>
        </is>
      </c>
      <c r="B94" s="65" t="inlineStr">
        <is>
          <t>Roberts</t>
        </is>
      </c>
      <c r="C94" s="65" t="inlineStr">
        <is>
          <t>Dylan</t>
        </is>
      </c>
      <c r="D94" s="66" t="inlineStr">
        <is>
          <t>M</t>
        </is>
      </c>
      <c r="E94" s="66" t="inlineStr">
        <is>
          <t>N</t>
        </is>
      </c>
      <c r="F94" s="66" t="inlineStr">
        <is>
          <t>N</t>
        </is>
      </c>
      <c r="G94" s="34" t="n">
        <v>90.90000000000001</v>
      </c>
      <c r="H94" s="34" t="n">
        <v>95</v>
      </c>
      <c r="I94" s="67">
        <f>IF(ISNUMBER(tblY8[[#This Row],[Avg KS2]]),IFERROR(VLOOKUP(ROUND(STANDARDIZE(tblY8[[#This Row],[Avg KS2]],AVERAGE(tblY8[[Avg KS2]]),_xlfn.STDEV.P(tblY8[[Avg KS2]])),9),_Stanine,2),5),"")</f>
        <v>1</v>
      </c>
      <c r="J94" s="66" t="inlineStr">
        <is>
          <t>Science Support</t>
        </is>
      </c>
      <c r="K94" s="67">
        <f>IF(tblY8[[#This Row],[Preferred Last name]]="","",COUNTIFS($N$1:$ZZ$1,"*"&amp;CHAR(10)&amp;"Stanine",$N94:$ZZ94,"&gt;=1"))</f>
        <v>4</v>
      </c>
      <c r="L94" s="68">
        <f>IFERROR(AVERAGEIF($N$1:$ZZ$1,"*"&amp;CHAR(10)&amp;"Stanine",$N94:$ZZ94),"")</f>
        <v>1</v>
      </c>
      <c r="M94" s="69">
        <f>IF(AND(ISNUMBER(tblY8[[#This Row],[Mean Stanine]]),ISNUMBER(tblY8[[#This Row],[Avg KS2 Band]]),ISNUMBER(SlopeY8)),tblY8[[#This Row],[Mean Stanine]]-(InterceptY8+SlopeY8*tblY8[[#This Row],[Avg KS2 Band]]),"")</f>
        <v>-0.826213650564769</v>
      </c>
      <c r="N94" s="66" t="n">
        <v>4</v>
      </c>
      <c r="O94" s="67">
        <f>IF(ISNUMBER(tblY8[[#This Row],[8C01 - Periodic Table
Raw Score]]),IFERROR(VLOOKUP(ROUND(STANDARDIZE(tblY8[[#This Row],[8C01 - Periodic Table
Raw Score]],AVERAGE(tblY8[[8C01 - Periodic Table
Raw Score]]),_xlfn.STDEV.P(tblY8[[8C01 - Periodic Table
Raw Score]])),9),_Stanine,2),5),"")</f>
        <v>1</v>
      </c>
      <c r="P94" s="66" t="n">
        <v>1</v>
      </c>
      <c r="Q94" s="67">
        <f>IF(ISNUMBER(tblY8[[#This Row],[8P01 - Energy
Raw Score]]),IFERROR(VLOOKUP(ROUND(STANDARDIZE(tblY8[[#This Row],[8P01 - Energy
Raw Score]],AVERAGE(tblY8[[8P01 - Energy
Raw Score]]),_xlfn.STDEV.P(tblY8[[8P01 - Energy
Raw Score]])),9),_Stanine,2),5),"")</f>
        <v>1</v>
      </c>
      <c r="R94" s="66" t="n">
        <v>1</v>
      </c>
      <c r="S94" s="67">
        <f>IF(ISNUMBER(tblY8[[#This Row],[8B01 - Digestion
Raw Score]]),IFERROR(VLOOKUP(ROUND(STANDARDIZE(tblY8[[#This Row],[8B01 - Digestion
Raw Score]],AVERAGE(tblY8[[8B01 - Digestion
Raw Score]]),_xlfn.STDEV.P(tblY8[[8B01 - Digestion
Raw Score]])),9),_Stanine,2),5),"")</f>
        <v>1</v>
      </c>
      <c r="T94" s="66" t="n">
        <v>1</v>
      </c>
      <c r="U94" s="67">
        <f>IF(ISNUMBER(tblY8[[#This Row],[8C02 - Metals and Acids
Raw Score]]),IFERROR(VLOOKUP(ROUND(STANDARDIZE(tblY8[[#This Row],[8C02 - Metals and Acids
Raw Score]],AVERAGE(tblY8[[8C02 - Metals and Acids
Raw Score]]),_xlfn.STDEV.P(tblY8[[8C02 - Metals and Acids
Raw Score]])),9),_Stanine,2),5),"")</f>
        <v>1</v>
      </c>
      <c r="V94" s="66" t="n"/>
      <c r="W94" s="67" t="str">
        <f>IF(ISNUMBER(tblY8[[#This Row],[8P02 - Light
Raw Score]]),IFERROR(VLOOKUP(ROUND(STANDARDIZE(tblY8[[#This Row],[8P02 - Light
Raw Score]],AVERAGE(tblY8[[8P02 - Light
Raw Score]]),_xlfn.STDEV.P(tblY8[[8P02 - Light
Raw Score]])),9),_Stanine,2),5),"")</f>
        <v/>
      </c>
    </row>
  </sheetData>
  <conditionalFormatting sqref="I2:I94">
    <cfRule type="iconSet" priority="1">
      <iconSet iconSet="3TrafficLights1">
        <cfvo type="percent" val="0"/>
        <cfvo type="num" val="4"/>
        <cfvo type="num" val="7"/>
      </iconSet>
    </cfRule>
  </conditionalFormatting>
  <conditionalFormatting sqref="L2:L94">
    <cfRule type="iconSet" priority="2">
      <iconSet iconSet="3TrafficLights1">
        <cfvo type="percent" val="0"/>
        <cfvo type="num" val="3.5"/>
        <cfvo type="num" val="6.5"/>
      </iconSet>
    </cfRule>
  </conditionalFormatting>
  <conditionalFormatting sqref="M2:M94">
    <cfRule type="iconSet" priority="3">
      <iconSet iconSet="3Arrows">
        <cfvo type="percent" val="0"/>
        <cfvo type="num" val="-0.99"/>
        <cfvo type="num" val="1"/>
      </iconSet>
    </cfRule>
  </conditionalFormatting>
  <conditionalFormatting sqref="O2:O94">
    <cfRule type="iconSet" priority="4">
      <iconSet iconSet="3TrafficLights1">
        <cfvo type="percent" val="0"/>
        <cfvo type="num" val="4"/>
        <cfvo type="num" val="7"/>
      </iconSet>
    </cfRule>
  </conditionalFormatting>
  <conditionalFormatting sqref="Q2:Q94">
    <cfRule type="iconSet" priority="5">
      <iconSet iconSet="3TrafficLights1">
        <cfvo type="percent" val="0"/>
        <cfvo type="num" val="4"/>
        <cfvo type="num" val="7"/>
      </iconSet>
    </cfRule>
  </conditionalFormatting>
  <conditionalFormatting sqref="S2:S94">
    <cfRule type="iconSet" priority="6">
      <iconSet iconSet="3TrafficLights1">
        <cfvo type="percent" val="0"/>
        <cfvo type="num" val="4"/>
        <cfvo type="num" val="7"/>
      </iconSet>
    </cfRule>
  </conditionalFormatting>
  <conditionalFormatting sqref="U2:U94">
    <cfRule type="iconSet" priority="7">
      <iconSet iconSet="3TrafficLights1">
        <cfvo type="percent" val="0"/>
        <cfvo type="num" val="4"/>
        <cfvo type="num" val="7"/>
      </iconSet>
    </cfRule>
  </conditionalFormatting>
  <conditionalFormatting sqref="W2:W94">
    <cfRule type="iconSet" priority="8">
      <iconSet iconSet="3TrafficLights1">
        <cfvo type="percent" val="0"/>
        <cfvo type="num" val="4"/>
        <cfvo type="num" val="7"/>
      </iconSet>
    </cfRule>
  </conditionalFormatting>
  <dataValidations count="5">
    <dataValidation sqref="N2:N94"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94"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94"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94" showDropDown="0" showInputMessage="0" showErrorMessage="1" allowBlank="1" errorTitle="Score out of range" error="Type a mark from 0 to 26, or A for absent. Leave the cell blank if the student has not sat the test yet." type="custom">
      <formula1>OR(UPPER(T2)="A",AND(ISNUMBER(T2),T2&gt;=0,T2&lt;=26))</formula1>
    </dataValidation>
    <dataValidation sqref="V2:V94" showDropDown="0" showInputMessage="0" showErrorMessage="1" allowBlank="1" errorTitle="Score out of range" error="Type a mark from 0 to 24, or A for absent. Leave the cell blank if the student has not sat the test yet." type="custom">
      <formula1>OR(UPPER(V2)="A",AND(ISNUMBER(V2),V2&gt;=0,V2&lt;=24))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7.xml><?xml version="1.0" encoding="utf-8"?>
<worksheet xmlns="http://schemas.openxmlformats.org/spreadsheetml/2006/main">
  <sheetPr codeName="shY9">
    <outlinePr summaryBelow="1" summaryRight="1"/>
    <pageSetUpPr/>
  </sheetPr>
  <dimension ref="A1:U12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9B01 - Genetics
Raw Score</t>
        </is>
      </c>
      <c r="O1" s="63" t="inlineStr">
        <is>
          <t>9B01 - Genetics
Stanine</t>
        </is>
      </c>
      <c r="P1" s="64" t="inlineStr">
        <is>
          <t>9C01 - Chemical Reactions
Raw Score</t>
        </is>
      </c>
      <c r="Q1" s="64" t="inlineStr">
        <is>
          <t>9C01 - Chemical Reactions
Stanine</t>
        </is>
      </c>
      <c r="R1" s="63" t="inlineStr">
        <is>
          <t>9P01 - Electricity
Raw Score</t>
        </is>
      </c>
      <c r="S1" s="63" t="inlineStr">
        <is>
          <t>9P01 - Electricity
Stanine</t>
        </is>
      </c>
      <c r="T1" s="64" t="inlineStr">
        <is>
          <t>9B02 - Ecology
Raw Score</t>
        </is>
      </c>
      <c r="U1" s="64" t="inlineStr">
        <is>
          <t>9B02 - Ecology
Stanine</t>
        </is>
      </c>
    </row>
    <row r="2">
      <c r="A2" s="65" t="inlineStr">
        <is>
          <t>X903235269744</t>
        </is>
      </c>
      <c r="B2" s="65" t="inlineStr">
        <is>
          <t>Adeyemi</t>
        </is>
      </c>
      <c r="C2" s="65" t="inlineStr">
        <is>
          <t>Mia</t>
        </is>
      </c>
      <c r="D2" s="66" t="inlineStr">
        <is>
          <t>F</t>
        </is>
      </c>
      <c r="E2" s="66" t="inlineStr">
        <is>
          <t>K</t>
        </is>
      </c>
      <c r="F2" s="66" t="inlineStr">
        <is>
          <t>Y</t>
        </is>
      </c>
      <c r="G2" s="34" t="n">
        <v>89</v>
      </c>
      <c r="H2" s="34" t="n">
        <v>103.5</v>
      </c>
      <c r="I2" s="67">
        <f>IF(ISNUMBER(tblY9[[#This Row],[Avg KS2]]),IFERROR(VLOOKUP(ROUND(STANDARDIZE(tblY9[[#This Row],[Avg KS2]],AVERAGE(tblY9[[Avg KS2]]),_xlfn.STDEV.P(tblY9[[Avg KS2]])),9),_Stanine,2),5),"")</f>
        <v>4</v>
      </c>
      <c r="J2" s="66" t="inlineStr">
        <is>
          <t>9A/Sc1</t>
        </is>
      </c>
      <c r="K2" s="67">
        <f>IF(tblY9[[#This Row],[Preferred Last name]]="","",COUNTIFS($N$1:$ZZ$1,"*"&amp;CHAR(10)&amp;"Stanine",$N2:$ZZ2,"&gt;=1"))</f>
        <v>4</v>
      </c>
      <c r="L2" s="68">
        <f>IFERROR(AVERAGEIF($N$1:$ZZ$1,"*"&amp;CHAR(10)&amp;"Stanine",$N2:$ZZ2),"")</f>
        <v>3</v>
      </c>
      <c r="M2" s="69">
        <f>IF(AND(ISNUMBER(tblY9[[#This Row],[Mean Stanine]]),ISNUMBER(tblY9[[#This Row],[Avg KS2 Band]]),ISNUMBER(SlopeY9)),tblY9[[#This Row],[Mean Stanine]]-(InterceptY9+SlopeY9*tblY9[[#This Row],[Avg KS2 Band]]),"")</f>
        <v>-1.31015698219306</v>
      </c>
      <c r="N2" s="66" t="n">
        <v>13</v>
      </c>
      <c r="O2" s="67">
        <f>IF(ISNUMBER(tblY9[[#This Row],[9B01 - Genetics
Raw Score]]),IFERROR(VLOOKUP(ROUND(STANDARDIZE(tblY9[[#This Row],[9B01 - Genetics
Raw Score]],AVERAGE(tblY9[[9B01 - Genetics
Raw Score]]),_xlfn.STDEV.P(tblY9[[9B01 - Genetics
Raw Score]])),9),_Stanine,2),5),"")</f>
        <v>2</v>
      </c>
      <c r="P2" s="66" t="n">
        <v>15</v>
      </c>
      <c r="Q2" s="67">
        <f>IF(ISNUMBER(tblY9[[#This Row],[9C01 - Chemical Reactions
Raw Score]]),IFERROR(VLOOKUP(ROUND(STANDARDIZE(tblY9[[#This Row],[9C01 - Chemical Reactions
Raw Score]],AVERAGE(tblY9[[9C01 - Chemical Reactions
Raw Score]]),_xlfn.STDEV.P(tblY9[[9C01 - Chemical Reactions
Raw Score]])),9),_Stanine,2),5),"")</f>
        <v>3</v>
      </c>
      <c r="R2" s="66" t="n">
        <v>13</v>
      </c>
      <c r="S2" s="67">
        <f>IF(ISNUMBER(tblY9[[#This Row],[9P01 - Electricity
Raw Score]]),IFERROR(VLOOKUP(ROUND(STANDARDIZE(tblY9[[#This Row],[9P01 - Electricity
Raw Score]],AVERAGE(tblY9[[9P01 - Electricity
Raw Score]]),_xlfn.STDEV.P(tblY9[[9P01 - Electricity
Raw Score]])),9),_Stanine,2),5),"")</f>
        <v>2</v>
      </c>
      <c r="T2" s="66" t="n">
        <v>17</v>
      </c>
      <c r="U2" s="67">
        <f>IF(ISNUMBER(tblY9[[#This Row],[9B02 - Ecology
Raw Score]]),IFERROR(VLOOKUP(ROUND(STANDARDIZE(tblY9[[#This Row],[9B02 - Ecology
Raw Score]],AVERAGE(tblY9[[9B02 - Ecology
Raw Score]]),_xlfn.STDEV.P(tblY9[[9B02 - Ecology
Raw Score]])),9),_Stanine,2),5),"")</f>
        <v>5</v>
      </c>
    </row>
    <row r="3">
      <c r="A3" s="65" t="inlineStr">
        <is>
          <t>X903103409788</t>
        </is>
      </c>
      <c r="B3" s="65" t="inlineStr">
        <is>
          <t>Begum</t>
        </is>
      </c>
      <c r="C3" s="65" t="inlineStr">
        <is>
          <t>Priya</t>
        </is>
      </c>
      <c r="D3" s="66" t="inlineStr">
        <is>
          <t>M</t>
        </is>
      </c>
      <c r="E3" s="66" t="inlineStr">
        <is>
          <t>N</t>
        </is>
      </c>
      <c r="F3" s="66" t="inlineStr">
        <is>
          <t>N</t>
        </is>
      </c>
      <c r="G3" s="34" t="n">
        <v>100</v>
      </c>
      <c r="H3" s="34" t="n">
        <v>114</v>
      </c>
      <c r="I3" s="67">
        <f>IF(ISNUMBER(tblY9[[#This Row],[Avg KS2]]),IFERROR(VLOOKUP(ROUND(STANDARDIZE(tblY9[[#This Row],[Avg KS2]],AVERAGE(tblY9[[Avg KS2]]),_xlfn.STDEV.P(tblY9[[Avg KS2]])),9),_Stanine,2),5),"")</f>
        <v>8</v>
      </c>
      <c r="J3" s="66" t="inlineStr">
        <is>
          <t>9A/Sc1</t>
        </is>
      </c>
      <c r="K3" s="67">
        <f>IF(tblY9[[#This Row],[Preferred Last name]]="","",COUNTIFS($N$1:$ZZ$1,"*"&amp;CHAR(10)&amp;"Stanine",$N3:$ZZ3,"&gt;=1"))</f>
        <v>4</v>
      </c>
      <c r="L3" s="68">
        <f>IFERROR(AVERAGEIF($N$1:$ZZ$1,"*"&amp;CHAR(10)&amp;"Stanine",$N3:$ZZ3),"")</f>
        <v>7.25</v>
      </c>
      <c r="M3" s="69">
        <f>IF(AND(ISNUMBER(tblY9[[#This Row],[Mean Stanine]]),ISNUMBER(tblY9[[#This Row],[Avg KS2 Band]]),ISNUMBER(SlopeY9)),tblY9[[#This Row],[Mean Stanine]]-(InterceptY9+SlopeY9*tblY9[[#This Row],[Avg KS2 Band]]),"")</f>
        <v>-0.113812089971884</v>
      </c>
      <c r="N3" s="66" t="n">
        <v>27</v>
      </c>
      <c r="O3" s="67">
        <f>IF(ISNUMBER(tblY9[[#This Row],[9B01 - Genetics
Raw Score]]),IFERROR(VLOOKUP(ROUND(STANDARDIZE(tblY9[[#This Row],[9B01 - Genetics
Raw Score]],AVERAGE(tblY9[[9B01 - Genetics
Raw Score]]),_xlfn.STDEV.P(tblY9[[9B01 - Genetics
Raw Score]])),9),_Stanine,2),5),"")</f>
        <v>7</v>
      </c>
      <c r="P3" s="66" t="n">
        <v>27</v>
      </c>
      <c r="Q3" s="67">
        <f>IF(ISNUMBER(tblY9[[#This Row],[9C01 - Chemical Reactions
Raw Score]]),IFERROR(VLOOKUP(ROUND(STANDARDIZE(tblY9[[#This Row],[9C01 - Chemical Reactions
Raw Score]],AVERAGE(tblY9[[9C01 - Chemical Reactions
Raw Score]]),_xlfn.STDEV.P(tblY9[[9C01 - Chemical Reactions
Raw Score]])),9),_Stanine,2),5),"")</f>
        <v>7</v>
      </c>
      <c r="R3" s="66" t="n">
        <v>28</v>
      </c>
      <c r="S3" s="67">
        <f>IF(ISNUMBER(tblY9[[#This Row],[9P01 - Electricity
Raw Score]]),IFERROR(VLOOKUP(ROUND(STANDARDIZE(tblY9[[#This Row],[9P01 - Electricity
Raw Score]],AVERAGE(tblY9[[9P01 - Electricity
Raw Score]]),_xlfn.STDEV.P(tblY9[[9P01 - Electricity
Raw Score]])),9),_Stanine,2),5),"")</f>
        <v>8</v>
      </c>
      <c r="T3" s="66" t="n">
        <v>22</v>
      </c>
      <c r="U3" s="67">
        <f>IF(ISNUMBER(tblY9[[#This Row],[9B02 - Ecology
Raw Score]]),IFERROR(VLOOKUP(ROUND(STANDARDIZE(tblY9[[#This Row],[9B02 - Ecology
Raw Score]],AVERAGE(tblY9[[9B02 - Ecology
Raw Score]]),_xlfn.STDEV.P(tblY9[[9B02 - Ecology
Raw Score]])),9),_Stanine,2),5),"")</f>
        <v>7</v>
      </c>
    </row>
    <row r="4">
      <c r="A4" s="65" t="inlineStr">
        <is>
          <t>X901020424529</t>
        </is>
      </c>
      <c r="B4" s="65" t="inlineStr">
        <is>
          <t>Brown</t>
        </is>
      </c>
      <c r="C4" s="65" t="inlineStr">
        <is>
          <t>Callum</t>
        </is>
      </c>
      <c r="D4" s="66" t="inlineStr">
        <is>
          <t>F</t>
        </is>
      </c>
      <c r="E4" s="66" t="inlineStr">
        <is>
          <t>N</t>
        </is>
      </c>
      <c r="F4" s="66" t="inlineStr">
        <is>
          <t>N</t>
        </is>
      </c>
      <c r="G4" s="34" t="n">
        <v>98.09999999999999</v>
      </c>
      <c r="H4" s="34" t="n">
        <v>106.5</v>
      </c>
      <c r="I4" s="67">
        <f>IF(ISNUMBER(tblY9[[#This Row],[Avg KS2]]),IFERROR(VLOOKUP(ROUND(STANDARDIZE(tblY9[[#This Row],[Avg KS2]],AVERAGE(tblY9[[Avg KS2]]),_xlfn.STDEV.P(tblY9[[Avg KS2]])),9),_Stanine,2),5),"")</f>
        <v>5</v>
      </c>
      <c r="J4" s="66" t="inlineStr">
        <is>
          <t>9A/Sc1</t>
        </is>
      </c>
      <c r="K4" s="67">
        <f>IF(tblY9[[#This Row],[Preferred Last name]]="","",COUNTIFS($N$1:$ZZ$1,"*"&amp;CHAR(10)&amp;"Stanine",$N4:$ZZ4,"&gt;=1"))</f>
        <v>4</v>
      </c>
      <c r="L4" s="68">
        <f>IFERROR(AVERAGEIF($N$1:$ZZ$1,"*"&amp;CHAR(10)&amp;"Stanine",$N4:$ZZ4),"")</f>
        <v>6.75</v>
      </c>
      <c r="M4" s="69">
        <f>IF(AND(ISNUMBER(tblY9[[#This Row],[Mean Stanine]]),ISNUMBER(tblY9[[#This Row],[Avg KS2 Band]]),ISNUMBER(SlopeY9)),tblY9[[#This Row],[Mean Stanine]]-(InterceptY9+SlopeY9*tblY9[[#This Row],[Avg KS2 Band]]),"")</f>
        <v>1.67642924086223</v>
      </c>
      <c r="N4" s="66" t="n">
        <v>26</v>
      </c>
      <c r="O4" s="67">
        <f>IF(ISNUMBER(tblY9[[#This Row],[9B01 - Genetics
Raw Score]]),IFERROR(VLOOKUP(ROUND(STANDARDIZE(tblY9[[#This Row],[9B01 - Genetics
Raw Score]],AVERAGE(tblY9[[9B01 - Genetics
Raw Score]]),_xlfn.STDEV.P(tblY9[[9B01 - Genetics
Raw Score]])),9),_Stanine,2),5),"")</f>
        <v>7</v>
      </c>
      <c r="P4" s="66" t="n">
        <v>28</v>
      </c>
      <c r="Q4" s="67">
        <f>IF(ISNUMBER(tblY9[[#This Row],[9C01 - Chemical Reactions
Raw Score]]),IFERROR(VLOOKUP(ROUND(STANDARDIZE(tblY9[[#This Row],[9C01 - Chemical Reactions
Raw Score]],AVERAGE(tblY9[[9C01 - Chemical Reactions
Raw Score]]),_xlfn.STDEV.P(tblY9[[9C01 - Chemical Reactions
Raw Score]])),9),_Stanine,2),5),"")</f>
        <v>7</v>
      </c>
      <c r="R4" s="66" t="n">
        <v>25</v>
      </c>
      <c r="S4" s="67">
        <f>IF(ISNUMBER(tblY9[[#This Row],[9P01 - Electricity
Raw Score]]),IFERROR(VLOOKUP(ROUND(STANDARDIZE(tblY9[[#This Row],[9P01 - Electricity
Raw Score]],AVERAGE(tblY9[[9P01 - Electricity
Raw Score]]),_xlfn.STDEV.P(tblY9[[9P01 - Electricity
Raw Score]])),9),_Stanine,2),5),"")</f>
        <v>7</v>
      </c>
      <c r="T4" s="66" t="n">
        <v>20</v>
      </c>
      <c r="U4" s="67">
        <f>IF(ISNUMBER(tblY9[[#This Row],[9B02 - Ecology
Raw Score]]),IFERROR(VLOOKUP(ROUND(STANDARDIZE(tblY9[[#This Row],[9B02 - Ecology
Raw Score]],AVERAGE(tblY9[[9B02 - Ecology
Raw Score]]),_xlfn.STDEV.P(tblY9[[9B02 - Ecology
Raw Score]])),9),_Stanine,2),5),"")</f>
        <v>6</v>
      </c>
    </row>
    <row r="5">
      <c r="A5" s="65" t="inlineStr">
        <is>
          <t>X908999931463</t>
        </is>
      </c>
      <c r="B5" s="65" t="inlineStr">
        <is>
          <t>Clarke</t>
        </is>
      </c>
      <c r="C5" s="65" t="inlineStr">
        <is>
          <t>Lewis</t>
        </is>
      </c>
      <c r="D5" s="66" t="inlineStr">
        <is>
          <t>F</t>
        </is>
      </c>
      <c r="E5" s="66" t="n"/>
      <c r="F5" s="66" t="inlineStr">
        <is>
          <t>Y</t>
        </is>
      </c>
      <c r="G5" s="34" t="n">
        <v>97.40000000000001</v>
      </c>
      <c r="H5" s="34" t="n">
        <v>112</v>
      </c>
      <c r="I5" s="67">
        <f>IF(ISNUMBER(tblY9[[#This Row],[Avg KS2]]),IFERROR(VLOOKUP(ROUND(STANDARDIZE(tblY9[[#This Row],[Avg KS2]],AVERAGE(tblY9[[Avg KS2]]),_xlfn.STDEV.P(tblY9[[Avg KS2]])),9),_Stanine,2),5),"")</f>
        <v>7</v>
      </c>
      <c r="J5" s="66" t="inlineStr">
        <is>
          <t>9A/Sc1</t>
        </is>
      </c>
      <c r="K5" s="67">
        <f>IF(tblY9[[#This Row],[Preferred Last name]]="","",COUNTIFS($N$1:$ZZ$1,"*"&amp;CHAR(10)&amp;"Stanine",$N5:$ZZ5,"&gt;=1"))</f>
        <v>4</v>
      </c>
      <c r="L5" s="68">
        <f>IFERROR(AVERAGEIF($N$1:$ZZ$1,"*"&amp;CHAR(10)&amp;"Stanine",$N5:$ZZ5),"")</f>
        <v>6.75</v>
      </c>
      <c r="M5" s="69">
        <f>IF(AND(ISNUMBER(tblY9[[#This Row],[Mean Stanine]]),ISNUMBER(tblY9[[#This Row],[Avg KS2 Band]]),ISNUMBER(SlopeY9)),tblY9[[#This Row],[Mean Stanine]]-(InterceptY9+SlopeY9*tblY9[[#This Row],[Avg KS2 Band]]),"")</f>
        <v>0.149601686972821</v>
      </c>
      <c r="N5" s="66" t="n">
        <v>27</v>
      </c>
      <c r="O5" s="67">
        <f>IF(ISNUMBER(tblY9[[#This Row],[9B01 - Genetics
Raw Score]]),IFERROR(VLOOKUP(ROUND(STANDARDIZE(tblY9[[#This Row],[9B01 - Genetics
Raw Score]],AVERAGE(tblY9[[9B01 - Genetics
Raw Score]]),_xlfn.STDEV.P(tblY9[[9B01 - Genetics
Raw Score]])),9),_Stanine,2),5),"")</f>
        <v>7</v>
      </c>
      <c r="P5" s="66" t="n">
        <v>28</v>
      </c>
      <c r="Q5" s="67">
        <f>IF(ISNUMBER(tblY9[[#This Row],[9C01 - Chemical Reactions
Raw Score]]),IFERROR(VLOOKUP(ROUND(STANDARDIZE(tblY9[[#This Row],[9C01 - Chemical Reactions
Raw Score]],AVERAGE(tblY9[[9C01 - Chemical Reactions
Raw Score]]),_xlfn.STDEV.P(tblY9[[9C01 - Chemical Reactions
Raw Score]])),9),_Stanine,2),5),"")</f>
        <v>7</v>
      </c>
      <c r="R5" s="66" t="n">
        <v>25</v>
      </c>
      <c r="S5" s="67">
        <f>IF(ISNUMBER(tblY9[[#This Row],[9P01 - Electricity
Raw Score]]),IFERROR(VLOOKUP(ROUND(STANDARDIZE(tblY9[[#This Row],[9P01 - Electricity
Raw Score]],AVERAGE(tblY9[[9P01 - Electricity
Raw Score]]),_xlfn.STDEV.P(tblY9[[9P01 - Electricity
Raw Score]])),9),_Stanine,2),5),"")</f>
        <v>7</v>
      </c>
      <c r="T5" s="66" t="n">
        <v>20</v>
      </c>
      <c r="U5" s="67">
        <f>IF(ISNUMBER(tblY9[[#This Row],[9B02 - Ecology
Raw Score]]),IFERROR(VLOOKUP(ROUND(STANDARDIZE(tblY9[[#This Row],[9B02 - Ecology
Raw Score]],AVERAGE(tblY9[[9B02 - Ecology
Raw Score]]),_xlfn.STDEV.P(tblY9[[9B02 - Ecology
Raw Score]])),9),_Stanine,2),5),"")</f>
        <v>6</v>
      </c>
    </row>
    <row r="6">
      <c r="A6" s="65" t="inlineStr">
        <is>
          <t>X906421098552</t>
        </is>
      </c>
      <c r="B6" s="65" t="inlineStr">
        <is>
          <t>Davies</t>
        </is>
      </c>
      <c r="C6" s="65" t="inlineStr">
        <is>
          <t>Nia</t>
        </is>
      </c>
      <c r="D6" s="66" t="inlineStr">
        <is>
          <t>F</t>
        </is>
      </c>
      <c r="E6" s="66" t="inlineStr">
        <is>
          <t>N</t>
        </is>
      </c>
      <c r="F6" s="66" t="inlineStr">
        <is>
          <t>Y</t>
        </is>
      </c>
      <c r="G6" s="34" t="n">
        <v>82.3</v>
      </c>
      <c r="H6" s="34" t="n">
        <v>100</v>
      </c>
      <c r="I6" s="67">
        <f>IF(ISNUMBER(tblY9[[#This Row],[Avg KS2]]),IFERROR(VLOOKUP(ROUND(STANDARDIZE(tblY9[[#This Row],[Avg KS2]],AVERAGE(tblY9[[Avg KS2]]),_xlfn.STDEV.P(tblY9[[Avg KS2]])),9),_Stanine,2),5),"")</f>
        <v>2</v>
      </c>
      <c r="J6" s="66" t="inlineStr">
        <is>
          <t>9A/Sc1</t>
        </is>
      </c>
      <c r="K6" s="67">
        <f>IF(tblY9[[#This Row],[Preferred Last name]]="","",COUNTIFS($N$1:$ZZ$1,"*"&amp;CHAR(10)&amp;"Stanine",$N6:$ZZ6,"&gt;=1"))</f>
        <v>4</v>
      </c>
      <c r="L6" s="68">
        <f>IFERROR(AVERAGEIF($N$1:$ZZ$1,"*"&amp;CHAR(10)&amp;"Stanine",$N6:$ZZ6),"")</f>
        <v>5</v>
      </c>
      <c r="M6" s="69">
        <f>IF(AND(ISNUMBER(tblY9[[#This Row],[Mean Stanine]]),ISNUMBER(tblY9[[#This Row],[Avg KS2 Band]]),ISNUMBER(SlopeY9)),tblY9[[#This Row],[Mean Stanine]]-(InterceptY9+SlopeY9*tblY9[[#This Row],[Avg KS2 Band]]),"")</f>
        <v>2.21667057169635</v>
      </c>
      <c r="N6" s="66" t="n">
        <v>21</v>
      </c>
      <c r="O6" s="67">
        <f>IF(ISNUMBER(tblY9[[#This Row],[9B01 - Genetics
Raw Score]]),IFERROR(VLOOKUP(ROUND(STANDARDIZE(tblY9[[#This Row],[9B01 - Genetics
Raw Score]],AVERAGE(tblY9[[9B01 - Genetics
Raw Score]]),_xlfn.STDEV.P(tblY9[[9B01 - Genetics
Raw Score]])),9),_Stanine,2),5),"")</f>
        <v>5</v>
      </c>
      <c r="P6" s="66" t="n">
        <v>21</v>
      </c>
      <c r="Q6" s="67">
        <f>IF(ISNUMBER(tblY9[[#This Row],[9C01 - Chemical Reactions
Raw Score]]),IFERROR(VLOOKUP(ROUND(STANDARDIZE(tblY9[[#This Row],[9C01 - Chemical Reactions
Raw Score]],AVERAGE(tblY9[[9C01 - Chemical Reactions
Raw Score]]),_xlfn.STDEV.P(tblY9[[9C01 - Chemical Reactions
Raw Score]])),9),_Stanine,2),5),"")</f>
        <v>5</v>
      </c>
      <c r="R6" s="66" t="n">
        <v>20</v>
      </c>
      <c r="S6" s="67">
        <f>IF(ISNUMBER(tblY9[[#This Row],[9P01 - Electricity
Raw Score]]),IFERROR(VLOOKUP(ROUND(STANDARDIZE(tblY9[[#This Row],[9P01 - Electricity
Raw Score]],AVERAGE(tblY9[[9P01 - Electricity
Raw Score]]),_xlfn.STDEV.P(tblY9[[9P01 - Electricity
Raw Score]])),9),_Stanine,2),5),"")</f>
        <v>5</v>
      </c>
      <c r="T6" s="66" t="n">
        <v>18</v>
      </c>
      <c r="U6" s="67">
        <f>IF(ISNUMBER(tblY9[[#This Row],[9B02 - Ecology
Raw Score]]),IFERROR(VLOOKUP(ROUND(STANDARDIZE(tblY9[[#This Row],[9B02 - Ecology
Raw Score]],AVERAGE(tblY9[[9B02 - Ecology
Raw Score]]),_xlfn.STDEV.P(tblY9[[9B02 - Ecology
Raw Score]])),9),_Stanine,2),5),"")</f>
        <v>5</v>
      </c>
    </row>
    <row r="7">
      <c r="A7" s="65" t="inlineStr">
        <is>
          <t>X908992802420</t>
        </is>
      </c>
      <c r="B7" s="65" t="inlineStr">
        <is>
          <t>Green</t>
        </is>
      </c>
      <c r="C7" s="65" t="inlineStr">
        <is>
          <t>Tomasz</t>
        </is>
      </c>
      <c r="D7" s="66" t="inlineStr">
        <is>
          <t>F</t>
        </is>
      </c>
      <c r="E7" s="66" t="inlineStr">
        <is>
          <t>N</t>
        </is>
      </c>
      <c r="F7" s="66" t="inlineStr">
        <is>
          <t>N</t>
        </is>
      </c>
      <c r="G7" s="34" t="n">
        <v>85</v>
      </c>
      <c r="H7" s="34" t="n">
        <v>109.5</v>
      </c>
      <c r="I7" s="67">
        <f>IF(ISNUMBER(tblY9[[#This Row],[Avg KS2]]),IFERROR(VLOOKUP(ROUND(STANDARDIZE(tblY9[[#This Row],[Avg KS2]],AVERAGE(tblY9[[Avg KS2]]),_xlfn.STDEV.P(tblY9[[Avg KS2]])),9),_Stanine,2),5),"")</f>
        <v>6</v>
      </c>
      <c r="J7" s="66" t="inlineStr">
        <is>
          <t>9A/Sc1</t>
        </is>
      </c>
      <c r="K7" s="67">
        <f>IF(tblY9[[#This Row],[Preferred Last name]]="","",COUNTIFS($N$1:$ZZ$1,"*"&amp;CHAR(10)&amp;"Stanine",$N7:$ZZ7,"&gt;=1"))</f>
        <v>3</v>
      </c>
      <c r="L7" s="68">
        <f>IFERROR(AVERAGEIF($N$1:$ZZ$1,"*"&amp;CHAR(10)&amp;"Stanine",$N7:$ZZ7),"")</f>
        <v>6.33333333333333</v>
      </c>
      <c r="M7" s="69">
        <f>IF(AND(ISNUMBER(tblY9[[#This Row],[Mean Stanine]]),ISNUMBER(tblY9[[#This Row],[Avg KS2 Band]]),ISNUMBER(SlopeY9)),tblY9[[#This Row],[Mean Stanine]]-(InterceptY9+SlopeY9*tblY9[[#This Row],[Avg KS2 Band]]),"")</f>
        <v>0.496348797250859</v>
      </c>
      <c r="N7" s="66" t="inlineStr">
        <is>
          <t>A</t>
        </is>
      </c>
      <c r="O7" s="67" t="str">
        <f>IF(ISNUMBER(tblY9[[#This Row],[9B01 - Genetics
Raw Score]]),IFERROR(VLOOKUP(ROUND(STANDARDIZE(tblY9[[#This Row],[9B01 - Genetics
Raw Score]],AVERAGE(tblY9[[9B01 - Genetics
Raw Score]]),_xlfn.STDEV.P(tblY9[[9B01 - Genetics
Raw Score]])),9),_Stanine,2),5),"")</f>
        <v/>
      </c>
      <c r="P7" s="66" t="n">
        <v>25</v>
      </c>
      <c r="Q7" s="67">
        <f>IF(ISNUMBER(tblY9[[#This Row],[9C01 - Chemical Reactions
Raw Score]]),IFERROR(VLOOKUP(ROUND(STANDARDIZE(tblY9[[#This Row],[9C01 - Chemical Reactions
Raw Score]],AVERAGE(tblY9[[9C01 - Chemical Reactions
Raw Score]]),_xlfn.STDEV.P(tblY9[[9C01 - Chemical Reactions
Raw Score]])),9),_Stanine,2),5),"")</f>
        <v>6</v>
      </c>
      <c r="R7" s="66" t="n">
        <v>22</v>
      </c>
      <c r="S7" s="67">
        <f>IF(ISNUMBER(tblY9[[#This Row],[9P01 - Electricity
Raw Score]]),IFERROR(VLOOKUP(ROUND(STANDARDIZE(tblY9[[#This Row],[9P01 - Electricity
Raw Score]],AVERAGE(tblY9[[9P01 - Electricity
Raw Score]]),_xlfn.STDEV.P(tblY9[[9P01 - Electricity
Raw Score]])),9),_Stanine,2),5),"")</f>
        <v>6</v>
      </c>
      <c r="T7" s="66" t="n">
        <v>22</v>
      </c>
      <c r="U7" s="67">
        <f>IF(ISNUMBER(tblY9[[#This Row],[9B02 - Ecology
Raw Score]]),IFERROR(VLOOKUP(ROUND(STANDARDIZE(tblY9[[#This Row],[9B02 - Ecology
Raw Score]],AVERAGE(tblY9[[9B02 - Ecology
Raw Score]]),_xlfn.STDEV.P(tblY9[[9B02 - Ecology
Raw Score]])),9),_Stanine,2),5),"")</f>
        <v>7</v>
      </c>
    </row>
    <row r="8">
      <c r="A8" s="65" t="inlineStr">
        <is>
          <t>X902988626109</t>
        </is>
      </c>
      <c r="B8" s="65" t="inlineStr">
        <is>
          <t>Griffiths</t>
        </is>
      </c>
      <c r="C8" s="65" t="inlineStr">
        <is>
          <t>Callum</t>
        </is>
      </c>
      <c r="D8" s="66" t="inlineStr">
        <is>
          <t>F</t>
        </is>
      </c>
      <c r="E8" s="66" t="inlineStr">
        <is>
          <t>N</t>
        </is>
      </c>
      <c r="F8" s="66" t="inlineStr">
        <is>
          <t>Y</t>
        </is>
      </c>
      <c r="G8" s="34" t="n">
        <v>89.8</v>
      </c>
      <c r="H8" s="34" t="n">
        <v>105.5</v>
      </c>
      <c r="I8" s="67">
        <f>IF(ISNUMBER(tblY9[[#This Row],[Avg KS2]]),IFERROR(VLOOKUP(ROUND(STANDARDIZE(tblY9[[#This Row],[Avg KS2]],AVERAGE(tblY9[[Avg KS2]]),_xlfn.STDEV.P(tblY9[[Avg KS2]])),9),_Stanine,2),5),"")</f>
        <v>5</v>
      </c>
      <c r="J8" s="66" t="inlineStr">
        <is>
          <t>9A/Sc1</t>
        </is>
      </c>
      <c r="K8" s="67">
        <f>IF(tblY9[[#This Row],[Preferred Last name]]="","",COUNTIFS($N$1:$ZZ$1,"*"&amp;CHAR(10)&amp;"Stanine",$N8:$ZZ8,"&gt;=1"))</f>
        <v>4</v>
      </c>
      <c r="L8" s="68">
        <f>IFERROR(AVERAGEIF($N$1:$ZZ$1,"*"&amp;CHAR(10)&amp;"Stanine",$N8:$ZZ8),"")</f>
        <v>5.75</v>
      </c>
      <c r="M8" s="69">
        <f>IF(AND(ISNUMBER(tblY9[[#This Row],[Mean Stanine]]),ISNUMBER(tblY9[[#This Row],[Avg KS2 Band]]),ISNUMBER(SlopeY9)),tblY9[[#This Row],[Mean Stanine]]-(InterceptY9+SlopeY9*tblY9[[#This Row],[Avg KS2 Band]]),"")</f>
        <v>0.67642924086223</v>
      </c>
      <c r="N8" s="66" t="n">
        <v>22</v>
      </c>
      <c r="O8" s="67">
        <f>IF(ISNUMBER(tblY9[[#This Row],[9B01 - Genetics
Raw Score]]),IFERROR(VLOOKUP(ROUND(STANDARDIZE(tblY9[[#This Row],[9B01 - Genetics
Raw Score]],AVERAGE(tblY9[[9B01 - Genetics
Raw Score]]),_xlfn.STDEV.P(tblY9[[9B01 - Genetics
Raw Score]])),9),_Stanine,2),5),"")</f>
        <v>6</v>
      </c>
      <c r="P8" s="66" t="n">
        <v>20</v>
      </c>
      <c r="Q8" s="67">
        <f>IF(ISNUMBER(tblY9[[#This Row],[9C01 - Chemical Reactions
Raw Score]]),IFERROR(VLOOKUP(ROUND(STANDARDIZE(tblY9[[#This Row],[9C01 - Chemical Reactions
Raw Score]],AVERAGE(tblY9[[9C01 - Chemical Reactions
Raw Score]]),_xlfn.STDEV.P(tblY9[[9C01 - Chemical Reactions
Raw Score]])),9),_Stanine,2),5),"")</f>
        <v>5</v>
      </c>
      <c r="R8" s="66" t="n">
        <v>23</v>
      </c>
      <c r="S8" s="67">
        <f>IF(ISNUMBER(tblY9[[#This Row],[9P01 - Electricity
Raw Score]]),IFERROR(VLOOKUP(ROUND(STANDARDIZE(tblY9[[#This Row],[9P01 - Electricity
Raw Score]],AVERAGE(tblY9[[9P01 - Electricity
Raw Score]]),_xlfn.STDEV.P(tblY9[[9P01 - Electricity
Raw Score]])),9),_Stanine,2),5),"")</f>
        <v>6</v>
      </c>
      <c r="T8" s="66" t="n">
        <v>19</v>
      </c>
      <c r="U8" s="67">
        <f>IF(ISNUMBER(tblY9[[#This Row],[9B02 - Ecology
Raw Score]]),IFERROR(VLOOKUP(ROUND(STANDARDIZE(tblY9[[#This Row],[9B02 - Ecology
Raw Score]],AVERAGE(tblY9[[9B02 - Ecology
Raw Score]]),_xlfn.STDEV.P(tblY9[[9B02 - Ecology
Raw Score]])),9),_Stanine,2),5),"")</f>
        <v>6</v>
      </c>
    </row>
    <row r="9">
      <c r="A9" s="65" t="inlineStr">
        <is>
          <t>X903581951246</t>
        </is>
      </c>
      <c r="B9" s="65" t="inlineStr">
        <is>
          <t>Harrison</t>
        </is>
      </c>
      <c r="C9" s="65" t="inlineStr">
        <is>
          <t>Lily</t>
        </is>
      </c>
      <c r="D9" s="66" t="inlineStr">
        <is>
          <t>M</t>
        </is>
      </c>
      <c r="E9" s="66" t="n"/>
      <c r="F9" s="66" t="inlineStr">
        <is>
          <t>Y</t>
        </is>
      </c>
      <c r="G9" s="34" t="n">
        <v>94.40000000000001</v>
      </c>
      <c r="H9" s="34" t="n">
        <v>115</v>
      </c>
      <c r="I9" s="67">
        <f>IF(ISNUMBER(tblY9[[#This Row],[Avg KS2]]),IFERROR(VLOOKUP(ROUND(STANDARDIZE(tblY9[[#This Row],[Avg KS2]],AVERAGE(tblY9[[Avg KS2]]),_xlfn.STDEV.P(tblY9[[Avg KS2]])),9),_Stanine,2),5),"")</f>
        <v>8</v>
      </c>
      <c r="J9" s="66" t="inlineStr">
        <is>
          <t>9A/Sc1</t>
        </is>
      </c>
      <c r="K9" s="67">
        <f>IF(tblY9[[#This Row],[Preferred Last name]]="","",COUNTIFS($N$1:$ZZ$1,"*"&amp;CHAR(10)&amp;"Stanine",$N9:$ZZ9,"&gt;=1"))</f>
        <v>4</v>
      </c>
      <c r="L9" s="68">
        <f>IFERROR(AVERAGEIF($N$1:$ZZ$1,"*"&amp;CHAR(10)&amp;"Stanine",$N9:$ZZ9),"")</f>
        <v>7</v>
      </c>
      <c r="M9" s="69">
        <f>IF(AND(ISNUMBER(tblY9[[#This Row],[Mean Stanine]]),ISNUMBER(tblY9[[#This Row],[Avg KS2 Band]]),ISNUMBER(SlopeY9)),tblY9[[#This Row],[Mean Stanine]]-(InterceptY9+SlopeY9*tblY9[[#This Row],[Avg KS2 Band]]),"")</f>
        <v>-0.363812089971884</v>
      </c>
      <c r="N9" s="66" t="n">
        <v>25</v>
      </c>
      <c r="O9" s="67">
        <f>IF(ISNUMBER(tblY9[[#This Row],[9B01 - Genetics
Raw Score]]),IFERROR(VLOOKUP(ROUND(STANDARDIZE(tblY9[[#This Row],[9B01 - Genetics
Raw Score]],AVERAGE(tblY9[[9B01 - Genetics
Raw Score]]),_xlfn.STDEV.P(tblY9[[9B01 - Genetics
Raw Score]])),9),_Stanine,2),5),"")</f>
        <v>7</v>
      </c>
      <c r="P9" s="66" t="n">
        <v>28</v>
      </c>
      <c r="Q9" s="67">
        <f>IF(ISNUMBER(tblY9[[#This Row],[9C01 - Chemical Reactions
Raw Score]]),IFERROR(VLOOKUP(ROUND(STANDARDIZE(tblY9[[#This Row],[9C01 - Chemical Reactions
Raw Score]],AVERAGE(tblY9[[9C01 - Chemical Reactions
Raw Score]]),_xlfn.STDEV.P(tblY9[[9C01 - Chemical Reactions
Raw Score]])),9),_Stanine,2),5),"")</f>
        <v>7</v>
      </c>
      <c r="R9" s="66" t="n">
        <v>26</v>
      </c>
      <c r="S9" s="67">
        <f>IF(ISNUMBER(tblY9[[#This Row],[9P01 - Electricity
Raw Score]]),IFERROR(VLOOKUP(ROUND(STANDARDIZE(tblY9[[#This Row],[9P01 - Electricity
Raw Score]],AVERAGE(tblY9[[9P01 - Electricity
Raw Score]]),_xlfn.STDEV.P(tblY9[[9P01 - Electricity
Raw Score]])),9),_Stanine,2),5),"")</f>
        <v>7</v>
      </c>
      <c r="T9" s="66" t="n">
        <v>22</v>
      </c>
      <c r="U9" s="67">
        <f>IF(ISNUMBER(tblY9[[#This Row],[9B02 - Ecology
Raw Score]]),IFERROR(VLOOKUP(ROUND(STANDARDIZE(tblY9[[#This Row],[9B02 - Ecology
Raw Score]],AVERAGE(tblY9[[9B02 - Ecology
Raw Score]]),_xlfn.STDEV.P(tblY9[[9B02 - Ecology
Raw Score]])),9),_Stanine,2),5),"")</f>
        <v>7</v>
      </c>
    </row>
    <row r="10">
      <c r="A10" s="65" t="inlineStr">
        <is>
          <t>X907953832429</t>
        </is>
      </c>
      <c r="B10" s="65" t="inlineStr">
        <is>
          <t>Harrison</t>
        </is>
      </c>
      <c r="C10" s="65" t="inlineStr">
        <is>
          <t>Poppy</t>
        </is>
      </c>
      <c r="D10" s="66" t="inlineStr">
        <is>
          <t>F</t>
        </is>
      </c>
      <c r="E10" s="66" t="inlineStr">
        <is>
          <t>N</t>
        </is>
      </c>
      <c r="F10" s="66" t="inlineStr">
        <is>
          <t>Y</t>
        </is>
      </c>
      <c r="G10" s="34" t="n">
        <v>85.2</v>
      </c>
      <c r="H10" s="34" t="n">
        <v>105</v>
      </c>
      <c r="I10" s="67">
        <f>IF(ISNUMBER(tblY9[[#This Row],[Avg KS2]]),IFERROR(VLOOKUP(ROUND(STANDARDIZE(tblY9[[#This Row],[Avg KS2]],AVERAGE(tblY9[[Avg KS2]]),_xlfn.STDEV.P(tblY9[[Avg KS2]])),9),_Stanine,2),5),"")</f>
        <v>4</v>
      </c>
      <c r="J10" s="66" t="inlineStr">
        <is>
          <t>9A/Sc1</t>
        </is>
      </c>
      <c r="K10" s="67">
        <f>IF(tblY9[[#This Row],[Preferred Last name]]="","",COUNTIFS($N$1:$ZZ$1,"*"&amp;CHAR(10)&amp;"Stanine",$N10:$ZZ10,"&gt;=1"))</f>
        <v>4</v>
      </c>
      <c r="L10" s="68">
        <f>IFERROR(AVERAGEIF($N$1:$ZZ$1,"*"&amp;CHAR(10)&amp;"Stanine",$N10:$ZZ10),"")</f>
        <v>6</v>
      </c>
      <c r="M10" s="69">
        <f>IF(AND(ISNUMBER(tblY9[[#This Row],[Mean Stanine]]),ISNUMBER(tblY9[[#This Row],[Avg KS2 Band]]),ISNUMBER(SlopeY9)),tblY9[[#This Row],[Mean Stanine]]-(InterceptY9+SlopeY9*tblY9[[#This Row],[Avg KS2 Band]]),"")</f>
        <v>1.68984301780694</v>
      </c>
      <c r="N10" s="66" t="n">
        <v>25</v>
      </c>
      <c r="O10" s="67">
        <f>IF(ISNUMBER(tblY9[[#This Row],[9B01 - Genetics
Raw Score]]),IFERROR(VLOOKUP(ROUND(STANDARDIZE(tblY9[[#This Row],[9B01 - Genetics
Raw Score]],AVERAGE(tblY9[[9B01 - Genetics
Raw Score]]),_xlfn.STDEV.P(tblY9[[9B01 - Genetics
Raw Score]])),9),_Stanine,2),5),"")</f>
        <v>7</v>
      </c>
      <c r="P10" s="66" t="n">
        <v>24</v>
      </c>
      <c r="Q10" s="67">
        <f>IF(ISNUMBER(tblY9[[#This Row],[9C01 - Chemical Reactions
Raw Score]]),IFERROR(VLOOKUP(ROUND(STANDARDIZE(tblY9[[#This Row],[9C01 - Chemical Reactions
Raw Score]],AVERAGE(tblY9[[9C01 - Chemical Reactions
Raw Score]]),_xlfn.STDEV.P(tblY9[[9C01 - Chemical Reactions
Raw Score]])),9),_Stanine,2),5),"")</f>
        <v>6</v>
      </c>
      <c r="R10" s="66" t="n">
        <v>24</v>
      </c>
      <c r="S10" s="67">
        <f>IF(ISNUMBER(tblY9[[#This Row],[9P01 - Electricity
Raw Score]]),IFERROR(VLOOKUP(ROUND(STANDARDIZE(tblY9[[#This Row],[9P01 - Electricity
Raw Score]],AVERAGE(tblY9[[9P01 - Electricity
Raw Score]]),_xlfn.STDEV.P(tblY9[[9P01 - Electricity
Raw Score]])),9),_Stanine,2),5),"")</f>
        <v>6</v>
      </c>
      <c r="T10" s="66" t="n">
        <v>18</v>
      </c>
      <c r="U10" s="67">
        <f>IF(ISNUMBER(tblY9[[#This Row],[9B02 - Ecology
Raw Score]]),IFERROR(VLOOKUP(ROUND(STANDARDIZE(tblY9[[#This Row],[9B02 - Ecology
Raw Score]],AVERAGE(tblY9[[9B02 - Ecology
Raw Score]]),_xlfn.STDEV.P(tblY9[[9B02 - Ecology
Raw Score]])),9),_Stanine,2),5),"")</f>
        <v>5</v>
      </c>
    </row>
    <row r="11">
      <c r="A11" s="65" t="inlineStr">
        <is>
          <t>X909718254575</t>
        </is>
      </c>
      <c r="B11" s="65" t="inlineStr">
        <is>
          <t>Kelly</t>
        </is>
      </c>
      <c r="C11" s="65" t="inlineStr">
        <is>
          <t>Amelia</t>
        </is>
      </c>
      <c r="D11" s="66" t="inlineStr">
        <is>
          <t>M</t>
        </is>
      </c>
      <c r="E11" s="66" t="inlineStr">
        <is>
          <t>N</t>
        </is>
      </c>
      <c r="F11" s="66" t="inlineStr">
        <is>
          <t>N</t>
        </is>
      </c>
      <c r="G11" s="34" t="n">
        <v>90.7</v>
      </c>
      <c r="H11" s="34" t="n">
        <v>103.5</v>
      </c>
      <c r="I11" s="67">
        <f>IF(ISNUMBER(tblY9[[#This Row],[Avg KS2]]),IFERROR(VLOOKUP(ROUND(STANDARDIZE(tblY9[[#This Row],[Avg KS2]],AVERAGE(tblY9[[Avg KS2]]),_xlfn.STDEV.P(tblY9[[Avg KS2]])),9),_Stanine,2),5),"")</f>
        <v>4</v>
      </c>
      <c r="J11" s="66" t="inlineStr">
        <is>
          <t>9A/Sc1</t>
        </is>
      </c>
      <c r="K11" s="67">
        <f>IF(tblY9[[#This Row],[Preferred Last name]]="","",COUNTIFS($N$1:$ZZ$1,"*"&amp;CHAR(10)&amp;"Stanine",$N11:$ZZ11,"&gt;=1"))</f>
        <v>4</v>
      </c>
      <c r="L11" s="68">
        <f>IFERROR(AVERAGEIF($N$1:$ZZ$1,"*"&amp;CHAR(10)&amp;"Stanine",$N11:$ZZ11),"")</f>
        <v>4</v>
      </c>
      <c r="M11" s="69">
        <f>IF(AND(ISNUMBER(tblY9[[#This Row],[Mean Stanine]]),ISNUMBER(tblY9[[#This Row],[Avg KS2 Band]]),ISNUMBER(SlopeY9)),tblY9[[#This Row],[Mean Stanine]]-(InterceptY9+SlopeY9*tblY9[[#This Row],[Avg KS2 Band]]),"")</f>
        <v>-0.310156982193065</v>
      </c>
      <c r="N11" s="66" t="n">
        <v>18</v>
      </c>
      <c r="O11" s="67">
        <f>IF(ISNUMBER(tblY9[[#This Row],[9B01 - Genetics
Raw Score]]),IFERROR(VLOOKUP(ROUND(STANDARDIZE(tblY9[[#This Row],[9B01 - Genetics
Raw Score]],AVERAGE(tblY9[[9B01 - Genetics
Raw Score]]),_xlfn.STDEV.P(tblY9[[9B01 - Genetics
Raw Score]])),9),_Stanine,2),5),"")</f>
        <v>4</v>
      </c>
      <c r="P11" s="66" t="n">
        <v>22</v>
      </c>
      <c r="Q11" s="67">
        <f>IF(ISNUMBER(tblY9[[#This Row],[9C01 - Chemical Reactions
Raw Score]]),IFERROR(VLOOKUP(ROUND(STANDARDIZE(tblY9[[#This Row],[9C01 - Chemical Reactions
Raw Score]],AVERAGE(tblY9[[9C01 - Chemical Reactions
Raw Score]]),_xlfn.STDEV.P(tblY9[[9C01 - Chemical Reactions
Raw Score]])),9),_Stanine,2),5),"")</f>
        <v>5</v>
      </c>
      <c r="R11" s="66" t="n">
        <v>17</v>
      </c>
      <c r="S11" s="67">
        <f>IF(ISNUMBER(tblY9[[#This Row],[9P01 - Electricity
Raw Score]]),IFERROR(VLOOKUP(ROUND(STANDARDIZE(tblY9[[#This Row],[9P01 - Electricity
Raw Score]],AVERAGE(tblY9[[9P01 - Electricity
Raw Score]]),_xlfn.STDEV.P(tblY9[[9P01 - Electricity
Raw Score]])),9),_Stanine,2),5),"")</f>
        <v>4</v>
      </c>
      <c r="T11" s="66" t="n">
        <v>13</v>
      </c>
      <c r="U11" s="67">
        <f>IF(ISNUMBER(tblY9[[#This Row],[9B02 - Ecology
Raw Score]]),IFERROR(VLOOKUP(ROUND(STANDARDIZE(tblY9[[#This Row],[9B02 - Ecology
Raw Score]],AVERAGE(tblY9[[9B02 - Ecology
Raw Score]]),_xlfn.STDEV.P(tblY9[[9B02 - Ecology
Raw Score]])),9),_Stanine,2),5),"")</f>
        <v>3</v>
      </c>
    </row>
    <row r="12">
      <c r="A12" s="65" t="inlineStr">
        <is>
          <t>X909060511491</t>
        </is>
      </c>
      <c r="B12" s="65" t="inlineStr">
        <is>
          <t>Kelly</t>
        </is>
      </c>
      <c r="C12" s="65" t="inlineStr">
        <is>
          <t>Ella</t>
        </is>
      </c>
      <c r="D12" s="66" t="inlineStr">
        <is>
          <t>F</t>
        </is>
      </c>
      <c r="E12" s="66" t="n"/>
      <c r="F12" s="66" t="inlineStr">
        <is>
          <t>N</t>
        </is>
      </c>
      <c r="G12" s="34" t="n">
        <v>98.5</v>
      </c>
      <c r="H12" s="34" t="n">
        <v>111</v>
      </c>
      <c r="I12" s="67">
        <f>IF(ISNUMBER(tblY9[[#This Row],[Avg KS2]]),IFERROR(VLOOKUP(ROUND(STANDARDIZE(tblY9[[#This Row],[Avg KS2]],AVERAGE(tblY9[[Avg KS2]]),_xlfn.STDEV.P(tblY9[[Avg KS2]])),9),_Stanine,2),5),"")</f>
        <v>7</v>
      </c>
      <c r="J12" s="66" t="inlineStr">
        <is>
          <t>9A/Sc1</t>
        </is>
      </c>
      <c r="K12" s="67">
        <f>IF(tblY9[[#This Row],[Preferred Last name]]="","",COUNTIFS($N$1:$ZZ$1,"*"&amp;CHAR(10)&amp;"Stanine",$N12:$ZZ12,"&gt;=1"))</f>
        <v>4</v>
      </c>
      <c r="L12" s="68">
        <f>IFERROR(AVERAGEIF($N$1:$ZZ$1,"*"&amp;CHAR(10)&amp;"Stanine",$N12:$ZZ12),"")</f>
        <v>5.25</v>
      </c>
      <c r="M12" s="69">
        <f>IF(AND(ISNUMBER(tblY9[[#This Row],[Mean Stanine]]),ISNUMBER(tblY9[[#This Row],[Avg KS2 Band]]),ISNUMBER(SlopeY9)),tblY9[[#This Row],[Mean Stanine]]-(InterceptY9+SlopeY9*tblY9[[#This Row],[Avg KS2 Band]]),"")</f>
        <v>-1.35039831302718</v>
      </c>
      <c r="N12" s="66" t="n">
        <v>19</v>
      </c>
      <c r="O12" s="67">
        <f>IF(ISNUMBER(tblY9[[#This Row],[9B01 - Genetics
Raw Score]]),IFERROR(VLOOKUP(ROUND(STANDARDIZE(tblY9[[#This Row],[9B01 - Genetics
Raw Score]],AVERAGE(tblY9[[9B01 - Genetics
Raw Score]]),_xlfn.STDEV.P(tblY9[[9B01 - Genetics
Raw Score]])),9),_Stanine,2),5),"")</f>
        <v>5</v>
      </c>
      <c r="P12" s="66" t="n">
        <v>22</v>
      </c>
      <c r="Q12" s="67">
        <f>IF(ISNUMBER(tblY9[[#This Row],[9C01 - Chemical Reactions
Raw Score]]),IFERROR(VLOOKUP(ROUND(STANDARDIZE(tblY9[[#This Row],[9C01 - Chemical Reactions
Raw Score]],AVERAGE(tblY9[[9C01 - Chemical Reactions
Raw Score]]),_xlfn.STDEV.P(tblY9[[9C01 - Chemical Reactions
Raw Score]])),9),_Stanine,2),5),"")</f>
        <v>5</v>
      </c>
      <c r="R12" s="66" t="n">
        <v>22</v>
      </c>
      <c r="S12" s="67">
        <f>IF(ISNUMBER(tblY9[[#This Row],[9P01 - Electricity
Raw Score]]),IFERROR(VLOOKUP(ROUND(STANDARDIZE(tblY9[[#This Row],[9P01 - Electricity
Raw Score]],AVERAGE(tblY9[[9P01 - Electricity
Raw Score]]),_xlfn.STDEV.P(tblY9[[9P01 - Electricity
Raw Score]])),9),_Stanine,2),5),"")</f>
        <v>6</v>
      </c>
      <c r="T12" s="66" t="n">
        <v>17</v>
      </c>
      <c r="U12" s="67">
        <f>IF(ISNUMBER(tblY9[[#This Row],[9B02 - Ecology
Raw Score]]),IFERROR(VLOOKUP(ROUND(STANDARDIZE(tblY9[[#This Row],[9B02 - Ecology
Raw Score]],AVERAGE(tblY9[[9B02 - Ecology
Raw Score]]),_xlfn.STDEV.P(tblY9[[9B02 - Ecology
Raw Score]])),9),_Stanine,2),5),"")</f>
        <v>5</v>
      </c>
    </row>
    <row r="13">
      <c r="A13" s="65" t="inlineStr">
        <is>
          <t>X908488450524</t>
        </is>
      </c>
      <c r="B13" s="65" t="inlineStr">
        <is>
          <t>Kelly</t>
        </is>
      </c>
      <c r="C13" s="65" t="inlineStr">
        <is>
          <t>Ibrahim</t>
        </is>
      </c>
      <c r="D13" s="66" t="inlineStr">
        <is>
          <t>M</t>
        </is>
      </c>
      <c r="E13" s="66" t="inlineStr">
        <is>
          <t>N</t>
        </is>
      </c>
      <c r="F13" s="66" t="inlineStr">
        <is>
          <t>N</t>
        </is>
      </c>
      <c r="G13" s="34" t="n">
        <v>95.3</v>
      </c>
      <c r="H13" s="34" t="n">
        <v>114</v>
      </c>
      <c r="I13" s="67">
        <f>IF(ISNUMBER(tblY9[[#This Row],[Avg KS2]]),IFERROR(VLOOKUP(ROUND(STANDARDIZE(tblY9[[#This Row],[Avg KS2]],AVERAGE(tblY9[[Avg KS2]]),_xlfn.STDEV.P(tblY9[[Avg KS2]])),9),_Stanine,2),5),"")</f>
        <v>8</v>
      </c>
      <c r="J13" s="66" t="inlineStr">
        <is>
          <t>9A/Sc1</t>
        </is>
      </c>
      <c r="K13" s="67">
        <f>IF(tblY9[[#This Row],[Preferred Last name]]="","",COUNTIFS($N$1:$ZZ$1,"*"&amp;CHAR(10)&amp;"Stanine",$N13:$ZZ13,"&gt;=1"))</f>
        <v>4</v>
      </c>
      <c r="L13" s="68">
        <f>IFERROR(AVERAGEIF($N$1:$ZZ$1,"*"&amp;CHAR(10)&amp;"Stanine",$N13:$ZZ13),"")</f>
        <v>7.5</v>
      </c>
      <c r="M13" s="69">
        <f>IF(AND(ISNUMBER(tblY9[[#This Row],[Mean Stanine]]),ISNUMBER(tblY9[[#This Row],[Avg KS2 Band]]),ISNUMBER(SlopeY9)),tblY9[[#This Row],[Mean Stanine]]-(InterceptY9+SlopeY9*tblY9[[#This Row],[Avg KS2 Band]]),"")</f>
        <v>0.136187910028116</v>
      </c>
      <c r="N13" s="66" t="n">
        <v>28</v>
      </c>
      <c r="O13" s="67">
        <f>IF(ISNUMBER(tblY9[[#This Row],[9B01 - Genetics
Raw Score]]),IFERROR(VLOOKUP(ROUND(STANDARDIZE(tblY9[[#This Row],[9B01 - Genetics
Raw Score]],AVERAGE(tblY9[[9B01 - Genetics
Raw Score]]),_xlfn.STDEV.P(tblY9[[9B01 - Genetics
Raw Score]])),9),_Stanine,2),5),"")</f>
        <v>8</v>
      </c>
      <c r="P13" s="66" t="n">
        <v>27</v>
      </c>
      <c r="Q13" s="67">
        <f>IF(ISNUMBER(tblY9[[#This Row],[9C01 - Chemical Reactions
Raw Score]]),IFERROR(VLOOKUP(ROUND(STANDARDIZE(tblY9[[#This Row],[9C01 - Chemical Reactions
Raw Score]],AVERAGE(tblY9[[9C01 - Chemical Reactions
Raw Score]]),_xlfn.STDEV.P(tblY9[[9C01 - Chemical Reactions
Raw Score]])),9),_Stanine,2),5),"")</f>
        <v>7</v>
      </c>
      <c r="R13" s="66" t="n">
        <v>27</v>
      </c>
      <c r="S13" s="67">
        <f>IF(ISNUMBER(tblY9[[#This Row],[9P01 - Electricity
Raw Score]]),IFERROR(VLOOKUP(ROUND(STANDARDIZE(tblY9[[#This Row],[9P01 - Electricity
Raw Score]],AVERAGE(tblY9[[9P01 - Electricity
Raw Score]]),_xlfn.STDEV.P(tblY9[[9P01 - Electricity
Raw Score]])),9),_Stanine,2),5),"")</f>
        <v>8</v>
      </c>
      <c r="T13" s="66" t="n">
        <v>23</v>
      </c>
      <c r="U13" s="67">
        <f>IF(ISNUMBER(tblY9[[#This Row],[9B02 - Ecology
Raw Score]]),IFERROR(VLOOKUP(ROUND(STANDARDIZE(tblY9[[#This Row],[9B02 - Ecology
Raw Score]],AVERAGE(tblY9[[9B02 - Ecology
Raw Score]]),_xlfn.STDEV.P(tblY9[[9B02 - Ecology
Raw Score]])),9),_Stanine,2),5),"")</f>
        <v>7</v>
      </c>
    </row>
    <row r="14">
      <c r="A14" s="65" t="inlineStr">
        <is>
          <t>X906871215864</t>
        </is>
      </c>
      <c r="B14" s="65" t="inlineStr">
        <is>
          <t>Khan</t>
        </is>
      </c>
      <c r="C14" s="65" t="inlineStr">
        <is>
          <t>Zofia</t>
        </is>
      </c>
      <c r="D14" s="66" t="inlineStr">
        <is>
          <t>M</t>
        </is>
      </c>
      <c r="E14" s="66" t="inlineStr">
        <is>
          <t>N</t>
        </is>
      </c>
      <c r="F14" s="66" t="inlineStr">
        <is>
          <t>N</t>
        </is>
      </c>
      <c r="G14" s="34" t="n">
        <v>93.40000000000001</v>
      </c>
      <c r="H14" s="34" t="n">
        <v>116.5</v>
      </c>
      <c r="I14" s="67">
        <f>IF(ISNUMBER(tblY9[[#This Row],[Avg KS2]]),IFERROR(VLOOKUP(ROUND(STANDARDIZE(tblY9[[#This Row],[Avg KS2]],AVERAGE(tblY9[[Avg KS2]]),_xlfn.STDEV.P(tblY9[[Avg KS2]])),9),_Stanine,2),5),"")</f>
        <v>9</v>
      </c>
      <c r="J14" s="66" t="inlineStr">
        <is>
          <t>9A/Sc1</t>
        </is>
      </c>
      <c r="K14" s="67">
        <f>IF(tblY9[[#This Row],[Preferred Last name]]="","",COUNTIFS($N$1:$ZZ$1,"*"&amp;CHAR(10)&amp;"Stanine",$N14:$ZZ14,"&gt;=1"))</f>
        <v>4</v>
      </c>
      <c r="L14" s="68">
        <f>IFERROR(AVERAGEIF($N$1:$ZZ$1,"*"&amp;CHAR(10)&amp;"Stanine",$N14:$ZZ14),"")</f>
        <v>8</v>
      </c>
      <c r="M14" s="69">
        <f>IF(AND(ISNUMBER(tblY9[[#This Row],[Mean Stanine]]),ISNUMBER(tblY9[[#This Row],[Avg KS2 Band]]),ISNUMBER(SlopeY9)),tblY9[[#This Row],[Mean Stanine]]-(InterceptY9+SlopeY9*tblY9[[#This Row],[Avg KS2 Band]]),"")</f>
        <v>-0.127225866916589</v>
      </c>
      <c r="N14" s="66" t="n">
        <v>28</v>
      </c>
      <c r="O14" s="67">
        <f>IF(ISNUMBER(tblY9[[#This Row],[9B01 - Genetics
Raw Score]]),IFERROR(VLOOKUP(ROUND(STANDARDIZE(tblY9[[#This Row],[9B01 - Genetics
Raw Score]],AVERAGE(tblY9[[9B01 - Genetics
Raw Score]]),_xlfn.STDEV.P(tblY9[[9B01 - Genetics
Raw Score]])),9),_Stanine,2),5),"")</f>
        <v>8</v>
      </c>
      <c r="P14" s="66" t="n">
        <v>29</v>
      </c>
      <c r="Q14" s="67">
        <f>IF(ISNUMBER(tblY9[[#This Row],[9C01 - Chemical Reactions
Raw Score]]),IFERROR(VLOOKUP(ROUND(STANDARDIZE(tblY9[[#This Row],[9C01 - Chemical Reactions
Raw Score]],AVERAGE(tblY9[[9C01 - Chemical Reactions
Raw Score]]),_xlfn.STDEV.P(tblY9[[9C01 - Chemical Reactions
Raw Score]])),9),_Stanine,2),5),"")</f>
        <v>8</v>
      </c>
      <c r="R14" s="66" t="n">
        <v>28</v>
      </c>
      <c r="S14" s="67">
        <f>IF(ISNUMBER(tblY9[[#This Row],[9P01 - Electricity
Raw Score]]),IFERROR(VLOOKUP(ROUND(STANDARDIZE(tblY9[[#This Row],[9P01 - Electricity
Raw Score]],AVERAGE(tblY9[[9P01 - Electricity
Raw Score]]),_xlfn.STDEV.P(tblY9[[9P01 - Electricity
Raw Score]])),9),_Stanine,2),5),"")</f>
        <v>8</v>
      </c>
      <c r="T14" s="66" t="n">
        <v>24</v>
      </c>
      <c r="U14" s="67">
        <f>IF(ISNUMBER(tblY9[[#This Row],[9B02 - Ecology
Raw Score]]),IFERROR(VLOOKUP(ROUND(STANDARDIZE(tblY9[[#This Row],[9B02 - Ecology
Raw Score]],AVERAGE(tblY9[[9B02 - Ecology
Raw Score]]),_xlfn.STDEV.P(tblY9[[9B02 - Ecology
Raw Score]])),9),_Stanine,2),5),"")</f>
        <v>8</v>
      </c>
    </row>
    <row r="15">
      <c r="A15" s="65" t="inlineStr">
        <is>
          <t>X909593549445</t>
        </is>
      </c>
      <c r="B15" s="65" t="inlineStr">
        <is>
          <t>Morgan</t>
        </is>
      </c>
      <c r="C15" s="65" t="inlineStr">
        <is>
          <t>Sophie</t>
        </is>
      </c>
      <c r="D15" s="66" t="inlineStr">
        <is>
          <t>M</t>
        </is>
      </c>
      <c r="E15" s="66" t="n"/>
      <c r="F15" s="66" t="inlineStr">
        <is>
          <t>N</t>
        </is>
      </c>
      <c r="G15" s="34" t="n">
        <v>100</v>
      </c>
      <c r="H15" s="34" t="n">
        <v>114</v>
      </c>
      <c r="I15" s="67">
        <f>IF(ISNUMBER(tblY9[[#This Row],[Avg KS2]]),IFERROR(VLOOKUP(ROUND(STANDARDIZE(tblY9[[#This Row],[Avg KS2]],AVERAGE(tblY9[[Avg KS2]]),_xlfn.STDEV.P(tblY9[[Avg KS2]])),9),_Stanine,2),5),"")</f>
        <v>8</v>
      </c>
      <c r="J15" s="66" t="inlineStr">
        <is>
          <t>9A/Sc1</t>
        </is>
      </c>
      <c r="K15" s="67">
        <f>IF(tblY9[[#This Row],[Preferred Last name]]="","",COUNTIFS($N$1:$ZZ$1,"*"&amp;CHAR(10)&amp;"Stanine",$N15:$ZZ15,"&gt;=1"))</f>
        <v>3</v>
      </c>
      <c r="L15" s="68">
        <f>IFERROR(AVERAGEIF($N$1:$ZZ$1,"*"&amp;CHAR(10)&amp;"Stanine",$N15:$ZZ15),"")</f>
        <v>7.66666666666667</v>
      </c>
      <c r="M15" s="69">
        <f>IF(AND(ISNUMBER(tblY9[[#This Row],[Mean Stanine]]),ISNUMBER(tblY9[[#This Row],[Avg KS2 Band]]),ISNUMBER(SlopeY9)),tblY9[[#This Row],[Mean Stanine]]-(InterceptY9+SlopeY9*tblY9[[#This Row],[Avg KS2 Band]]),"")</f>
        <v>0.302854576694783</v>
      </c>
      <c r="N15" s="66" t="n">
        <v>27</v>
      </c>
      <c r="O15" s="67">
        <f>IF(ISNUMBER(tblY9[[#This Row],[9B01 - Genetics
Raw Score]]),IFERROR(VLOOKUP(ROUND(STANDARDIZE(tblY9[[#This Row],[9B01 - Genetics
Raw Score]],AVERAGE(tblY9[[9B01 - Genetics
Raw Score]]),_xlfn.STDEV.P(tblY9[[9B01 - Genetics
Raw Score]])),9),_Stanine,2),5),"")</f>
        <v>7</v>
      </c>
      <c r="P15" s="66" t="inlineStr">
        <is>
          <t>A</t>
        </is>
      </c>
      <c r="Q15" s="67" t="str">
        <f>IF(ISNUMBER(tblY9[[#This Row],[9C01 - Chemical Reactions
Raw Score]]),IFERROR(VLOOKUP(ROUND(STANDARDIZE(tblY9[[#This Row],[9C01 - Chemical Reactions
Raw Score]],AVERAGE(tblY9[[9C01 - Chemical Reactions
Raw Score]]),_xlfn.STDEV.P(tblY9[[9C01 - Chemical Reactions
Raw Score]])),9),_Stanine,2),5),"")</f>
        <v/>
      </c>
      <c r="R15" s="66" t="n">
        <v>27</v>
      </c>
      <c r="S15" s="67">
        <f>IF(ISNUMBER(tblY9[[#This Row],[9P01 - Electricity
Raw Score]]),IFERROR(VLOOKUP(ROUND(STANDARDIZE(tblY9[[#This Row],[9P01 - Electricity
Raw Score]],AVERAGE(tblY9[[9P01 - Electricity
Raw Score]]),_xlfn.STDEV.P(tblY9[[9P01 - Electricity
Raw Score]])),9),_Stanine,2),5),"")</f>
        <v>8</v>
      </c>
      <c r="T15" s="66" t="n">
        <v>24</v>
      </c>
      <c r="U15" s="67">
        <f>IF(ISNUMBER(tblY9[[#This Row],[9B02 - Ecology
Raw Score]]),IFERROR(VLOOKUP(ROUND(STANDARDIZE(tblY9[[#This Row],[9B02 - Ecology
Raw Score]],AVERAGE(tblY9[[9B02 - Ecology
Raw Score]]),_xlfn.STDEV.P(tblY9[[9B02 - Ecology
Raw Score]])),9),_Stanine,2),5),"")</f>
        <v>8</v>
      </c>
    </row>
    <row r="16">
      <c r="A16" s="65" t="inlineStr">
        <is>
          <t>X902552492180</t>
        </is>
      </c>
      <c r="B16" s="65" t="inlineStr">
        <is>
          <t>Murphy</t>
        </is>
      </c>
      <c r="C16" s="65" t="inlineStr">
        <is>
          <t>Muhammad</t>
        </is>
      </c>
      <c r="D16" s="66" t="inlineStr">
        <is>
          <t>M</t>
        </is>
      </c>
      <c r="E16" s="66" t="inlineStr">
        <is>
          <t>K</t>
        </is>
      </c>
      <c r="F16" s="66" t="inlineStr">
        <is>
          <t>Y</t>
        </is>
      </c>
      <c r="G16" s="34" t="n">
        <v>96.40000000000001</v>
      </c>
      <c r="H16" s="34" t="n">
        <v>111.5</v>
      </c>
      <c r="I16" s="67">
        <f>IF(ISNUMBER(tblY9[[#This Row],[Avg KS2]]),IFERROR(VLOOKUP(ROUND(STANDARDIZE(tblY9[[#This Row],[Avg KS2]],AVERAGE(tblY9[[Avg KS2]]),_xlfn.STDEV.P(tblY9[[Avg KS2]])),9),_Stanine,2),5),"")</f>
        <v>7</v>
      </c>
      <c r="J16" s="66" t="inlineStr">
        <is>
          <t>9A/Sc1</t>
        </is>
      </c>
      <c r="K16" s="67">
        <f>IF(tblY9[[#This Row],[Preferred Last name]]="","",COUNTIFS($N$1:$ZZ$1,"*"&amp;CHAR(10)&amp;"Stanine",$N16:$ZZ16,"&gt;=1"))</f>
        <v>4</v>
      </c>
      <c r="L16" s="68">
        <f>IFERROR(AVERAGEIF($N$1:$ZZ$1,"*"&amp;CHAR(10)&amp;"Stanine",$N16:$ZZ16),"")</f>
        <v>7</v>
      </c>
      <c r="M16" s="69">
        <f>IF(AND(ISNUMBER(tblY9[[#This Row],[Mean Stanine]]),ISNUMBER(tblY9[[#This Row],[Avg KS2 Band]]),ISNUMBER(SlopeY9)),tblY9[[#This Row],[Mean Stanine]]-(InterceptY9+SlopeY9*tblY9[[#This Row],[Avg KS2 Band]]),"")</f>
        <v>0.399601686972821</v>
      </c>
      <c r="N16" s="66" t="n">
        <v>26</v>
      </c>
      <c r="O16" s="67">
        <f>IF(ISNUMBER(tblY9[[#This Row],[9B01 - Genetics
Raw Score]]),IFERROR(VLOOKUP(ROUND(STANDARDIZE(tblY9[[#This Row],[9B01 - Genetics
Raw Score]],AVERAGE(tblY9[[9B01 - Genetics
Raw Score]]),_xlfn.STDEV.P(tblY9[[9B01 - Genetics
Raw Score]])),9),_Stanine,2),5),"")</f>
        <v>7</v>
      </c>
      <c r="P16" s="66" t="n">
        <v>28</v>
      </c>
      <c r="Q16" s="67">
        <f>IF(ISNUMBER(tblY9[[#This Row],[9C01 - Chemical Reactions
Raw Score]]),IFERROR(VLOOKUP(ROUND(STANDARDIZE(tblY9[[#This Row],[9C01 - Chemical Reactions
Raw Score]],AVERAGE(tblY9[[9C01 - Chemical Reactions
Raw Score]]),_xlfn.STDEV.P(tblY9[[9C01 - Chemical Reactions
Raw Score]])),9),_Stanine,2),5),"")</f>
        <v>7</v>
      </c>
      <c r="R16" s="66" t="n">
        <v>26</v>
      </c>
      <c r="S16" s="67">
        <f>IF(ISNUMBER(tblY9[[#This Row],[9P01 - Electricity
Raw Score]]),IFERROR(VLOOKUP(ROUND(STANDARDIZE(tblY9[[#This Row],[9P01 - Electricity
Raw Score]],AVERAGE(tblY9[[9P01 - Electricity
Raw Score]]),_xlfn.STDEV.P(tblY9[[9P01 - Electricity
Raw Score]])),9),_Stanine,2),5),"")</f>
        <v>7</v>
      </c>
      <c r="T16" s="66" t="n">
        <v>21</v>
      </c>
      <c r="U16" s="67">
        <f>IF(ISNUMBER(tblY9[[#This Row],[9B02 - Ecology
Raw Score]]),IFERROR(VLOOKUP(ROUND(STANDARDIZE(tblY9[[#This Row],[9B02 - Ecology
Raw Score]],AVERAGE(tblY9[[9B02 - Ecology
Raw Score]]),_xlfn.STDEV.P(tblY9[[9B02 - Ecology
Raw Score]])),9),_Stanine,2),5),"")</f>
        <v>7</v>
      </c>
    </row>
    <row r="17">
      <c r="A17" s="65" t="inlineStr">
        <is>
          <t>X901834713817</t>
        </is>
      </c>
      <c r="B17" s="65" t="inlineStr">
        <is>
          <t>Parker</t>
        </is>
      </c>
      <c r="C17" s="65" t="inlineStr">
        <is>
          <t>Keira</t>
        </is>
      </c>
      <c r="D17" s="66" t="inlineStr">
        <is>
          <t>M</t>
        </is>
      </c>
      <c r="E17" s="66" t="n"/>
      <c r="F17" s="66" t="inlineStr">
        <is>
          <t>N</t>
        </is>
      </c>
      <c r="G17" s="34" t="n">
        <v>100</v>
      </c>
      <c r="H17" s="34" t="n">
        <v>110</v>
      </c>
      <c r="I17" s="67">
        <f>IF(ISNUMBER(tblY9[[#This Row],[Avg KS2]]),IFERROR(VLOOKUP(ROUND(STANDARDIZE(tblY9[[#This Row],[Avg KS2]],AVERAGE(tblY9[[Avg KS2]]),_xlfn.STDEV.P(tblY9[[Avg KS2]])),9),_Stanine,2),5),"")</f>
        <v>6</v>
      </c>
      <c r="J17" s="66" t="inlineStr">
        <is>
          <t>9A/Sc1</t>
        </is>
      </c>
      <c r="K17" s="67">
        <f>IF(tblY9[[#This Row],[Preferred Last name]]="","",COUNTIFS($N$1:$ZZ$1,"*"&amp;CHAR(10)&amp;"Stanine",$N17:$ZZ17,"&gt;=1"))</f>
        <v>3</v>
      </c>
      <c r="L17" s="68">
        <f>IFERROR(AVERAGEIF($N$1:$ZZ$1,"*"&amp;CHAR(10)&amp;"Stanine",$N17:$ZZ17),"")</f>
        <v>7.33333333333333</v>
      </c>
      <c r="M17" s="69">
        <f>IF(AND(ISNUMBER(tblY9[[#This Row],[Mean Stanine]]),ISNUMBER(tblY9[[#This Row],[Avg KS2 Band]]),ISNUMBER(SlopeY9)),tblY9[[#This Row],[Mean Stanine]]-(InterceptY9+SlopeY9*tblY9[[#This Row],[Avg KS2 Band]]),"")</f>
        <v>1.49634879725086</v>
      </c>
      <c r="N17" s="66" t="n">
        <v>27</v>
      </c>
      <c r="O17" s="67">
        <f>IF(ISNUMBER(tblY9[[#This Row],[9B01 - Genetics
Raw Score]]),IFERROR(VLOOKUP(ROUND(STANDARDIZE(tblY9[[#This Row],[9B01 - Genetics
Raw Score]],AVERAGE(tblY9[[9B01 - Genetics
Raw Score]]),_xlfn.STDEV.P(tblY9[[9B01 - Genetics
Raw Score]])),9),_Stanine,2),5),"")</f>
        <v>7</v>
      </c>
      <c r="P17" s="66" t="n">
        <v>30</v>
      </c>
      <c r="Q17" s="67">
        <f>IF(ISNUMBER(tblY9[[#This Row],[9C01 - Chemical Reactions
Raw Score]]),IFERROR(VLOOKUP(ROUND(STANDARDIZE(tblY9[[#This Row],[9C01 - Chemical Reactions
Raw Score]],AVERAGE(tblY9[[9C01 - Chemical Reactions
Raw Score]]),_xlfn.STDEV.P(tblY9[[9C01 - Chemical Reactions
Raw Score]])),9),_Stanine,2),5),"")</f>
        <v>8</v>
      </c>
      <c r="R17" s="66" t="n">
        <v>25</v>
      </c>
      <c r="S17" s="67">
        <f>IF(ISNUMBER(tblY9[[#This Row],[9P01 - Electricity
Raw Score]]),IFERROR(VLOOKUP(ROUND(STANDARDIZE(tblY9[[#This Row],[9P01 - Electricity
Raw Score]],AVERAGE(tblY9[[9P01 - Electricity
Raw Score]]),_xlfn.STDEV.P(tblY9[[9P01 - Electricity
Raw Score]])),9),_Stanine,2),5),"")</f>
        <v>7</v>
      </c>
      <c r="T17" s="66" t="inlineStr">
        <is>
          <t>A</t>
        </is>
      </c>
      <c r="U17" s="67" t="str">
        <f>IF(ISNUMBER(tblY9[[#This Row],[9B02 - Ecology
Raw Score]]),IFERROR(VLOOKUP(ROUND(STANDARDIZE(tblY9[[#This Row],[9B02 - Ecology
Raw Score]],AVERAGE(tblY9[[9B02 - Ecology
Raw Score]]),_xlfn.STDEV.P(tblY9[[9B02 - Ecology
Raw Score]])),9),_Stanine,2),5),"")</f>
        <v/>
      </c>
    </row>
    <row r="18">
      <c r="A18" s="65" t="inlineStr">
        <is>
          <t>X901987569544</t>
        </is>
      </c>
      <c r="B18" s="65" t="inlineStr">
        <is>
          <t>Roberts</t>
        </is>
      </c>
      <c r="C18" s="65" t="inlineStr">
        <is>
          <t>Aisha</t>
        </is>
      </c>
      <c r="D18" s="66" t="inlineStr">
        <is>
          <t>F</t>
        </is>
      </c>
      <c r="E18" s="66" t="inlineStr">
        <is>
          <t>N</t>
        </is>
      </c>
      <c r="F18" s="66" t="inlineStr">
        <is>
          <t>N</t>
        </is>
      </c>
      <c r="G18" s="34" t="n">
        <v>94</v>
      </c>
      <c r="H18" s="34" t="n">
        <v>108.5</v>
      </c>
      <c r="I18" s="67">
        <f>IF(ISNUMBER(tblY9[[#This Row],[Avg KS2]]),IFERROR(VLOOKUP(ROUND(STANDARDIZE(tblY9[[#This Row],[Avg KS2]],AVERAGE(tblY9[[Avg KS2]]),_xlfn.STDEV.P(tblY9[[Avg KS2]])),9),_Stanine,2),5),"")</f>
        <v>6</v>
      </c>
      <c r="J18" s="66" t="inlineStr">
        <is>
          <t>9A/Sc1</t>
        </is>
      </c>
      <c r="K18" s="67">
        <f>IF(tblY9[[#This Row],[Preferred Last name]]="","",COUNTIFS($N$1:$ZZ$1,"*"&amp;CHAR(10)&amp;"Stanine",$N18:$ZZ18,"&gt;=1"))</f>
        <v>4</v>
      </c>
      <c r="L18" s="68">
        <f>IFERROR(AVERAGEIF($N$1:$ZZ$1,"*"&amp;CHAR(10)&amp;"Stanine",$N18:$ZZ18),"")</f>
        <v>7.25</v>
      </c>
      <c r="M18" s="69">
        <f>IF(AND(ISNUMBER(tblY9[[#This Row],[Mean Stanine]]),ISNUMBER(tblY9[[#This Row],[Avg KS2 Band]]),ISNUMBER(SlopeY9)),tblY9[[#This Row],[Mean Stanine]]-(InterceptY9+SlopeY9*tblY9[[#This Row],[Avg KS2 Band]]),"")</f>
        <v>1.41301546391753</v>
      </c>
      <c r="N18" s="66" t="n">
        <v>25</v>
      </c>
      <c r="O18" s="67">
        <f>IF(ISNUMBER(tblY9[[#This Row],[9B01 - Genetics
Raw Score]]),IFERROR(VLOOKUP(ROUND(STANDARDIZE(tblY9[[#This Row],[9B01 - Genetics
Raw Score]],AVERAGE(tblY9[[9B01 - Genetics
Raw Score]]),_xlfn.STDEV.P(tblY9[[9B01 - Genetics
Raw Score]])),9),_Stanine,2),5),"")</f>
        <v>7</v>
      </c>
      <c r="P18" s="66" t="n">
        <v>29</v>
      </c>
      <c r="Q18" s="67">
        <f>IF(ISNUMBER(tblY9[[#This Row],[9C01 - Chemical Reactions
Raw Score]]),IFERROR(VLOOKUP(ROUND(STANDARDIZE(tblY9[[#This Row],[9C01 - Chemical Reactions
Raw Score]],AVERAGE(tblY9[[9C01 - Chemical Reactions
Raw Score]]),_xlfn.STDEV.P(tblY9[[9C01 - Chemical Reactions
Raw Score]])),9),_Stanine,2),5),"")</f>
        <v>8</v>
      </c>
      <c r="R18" s="66" t="n">
        <v>26</v>
      </c>
      <c r="S18" s="67">
        <f>IF(ISNUMBER(tblY9[[#This Row],[9P01 - Electricity
Raw Score]]),IFERROR(VLOOKUP(ROUND(STANDARDIZE(tblY9[[#This Row],[9P01 - Electricity
Raw Score]],AVERAGE(tblY9[[9P01 - Electricity
Raw Score]]),_xlfn.STDEV.P(tblY9[[9P01 - Electricity
Raw Score]])),9),_Stanine,2),5),"")</f>
        <v>7</v>
      </c>
      <c r="T18" s="66" t="n">
        <v>23</v>
      </c>
      <c r="U18" s="67">
        <f>IF(ISNUMBER(tblY9[[#This Row],[9B02 - Ecology
Raw Score]]),IFERROR(VLOOKUP(ROUND(STANDARDIZE(tblY9[[#This Row],[9B02 - Ecology
Raw Score]],AVERAGE(tblY9[[9B02 - Ecology
Raw Score]]),_xlfn.STDEV.P(tblY9[[9B02 - Ecology
Raw Score]])),9),_Stanine,2),5),"")</f>
        <v>7</v>
      </c>
    </row>
    <row r="19">
      <c r="A19" s="65" t="inlineStr">
        <is>
          <t>X905974967175</t>
        </is>
      </c>
      <c r="B19" s="65" t="inlineStr">
        <is>
          <t>Robinson</t>
        </is>
      </c>
      <c r="C19" s="65" t="inlineStr">
        <is>
          <t>Jacob</t>
        </is>
      </c>
      <c r="D19" s="66" t="inlineStr">
        <is>
          <t>M</t>
        </is>
      </c>
      <c r="E19" s="66" t="inlineStr">
        <is>
          <t>N</t>
        </is>
      </c>
      <c r="F19" s="66" t="inlineStr">
        <is>
          <t>N</t>
        </is>
      </c>
      <c r="G19" s="34" t="n">
        <v>95.7</v>
      </c>
      <c r="H19" s="34" t="n">
        <v>113</v>
      </c>
      <c r="I19" s="67">
        <f>IF(ISNUMBER(tblY9[[#This Row],[Avg KS2]]),IFERROR(VLOOKUP(ROUND(STANDARDIZE(tblY9[[#This Row],[Avg KS2]],AVERAGE(tblY9[[Avg KS2]]),_xlfn.STDEV.P(tblY9[[Avg KS2]])),9),_Stanine,2),5),"")</f>
        <v>7</v>
      </c>
      <c r="J19" s="66" t="inlineStr">
        <is>
          <t>9A/Sc1</t>
        </is>
      </c>
      <c r="K19" s="67">
        <f>IF(tblY9[[#This Row],[Preferred Last name]]="","",COUNTIFS($N$1:$ZZ$1,"*"&amp;CHAR(10)&amp;"Stanine",$N19:$ZZ19,"&gt;=1"))</f>
        <v>4</v>
      </c>
      <c r="L19" s="68">
        <f>IFERROR(AVERAGEIF($N$1:$ZZ$1,"*"&amp;CHAR(10)&amp;"Stanine",$N19:$ZZ19),"")</f>
        <v>6.75</v>
      </c>
      <c r="M19" s="69">
        <f>IF(AND(ISNUMBER(tblY9[[#This Row],[Mean Stanine]]),ISNUMBER(tblY9[[#This Row],[Avg KS2 Band]]),ISNUMBER(SlopeY9)),tblY9[[#This Row],[Mean Stanine]]-(InterceptY9+SlopeY9*tblY9[[#This Row],[Avg KS2 Band]]),"")</f>
        <v>0.149601686972821</v>
      </c>
      <c r="N19" s="66" t="n">
        <v>25</v>
      </c>
      <c r="O19" s="67">
        <f>IF(ISNUMBER(tblY9[[#This Row],[9B01 - Genetics
Raw Score]]),IFERROR(VLOOKUP(ROUND(STANDARDIZE(tblY9[[#This Row],[9B01 - Genetics
Raw Score]],AVERAGE(tblY9[[9B01 - Genetics
Raw Score]]),_xlfn.STDEV.P(tblY9[[9B01 - Genetics
Raw Score]])),9),_Stanine,2),5),"")</f>
        <v>7</v>
      </c>
      <c r="P19" s="66" t="n">
        <v>24</v>
      </c>
      <c r="Q19" s="67">
        <f>IF(ISNUMBER(tblY9[[#This Row],[9C01 - Chemical Reactions
Raw Score]]),IFERROR(VLOOKUP(ROUND(STANDARDIZE(tblY9[[#This Row],[9C01 - Chemical Reactions
Raw Score]],AVERAGE(tblY9[[9C01 - Chemical Reactions
Raw Score]]),_xlfn.STDEV.P(tblY9[[9C01 - Chemical Reactions
Raw Score]])),9),_Stanine,2),5),"")</f>
        <v>6</v>
      </c>
      <c r="R19" s="66" t="n">
        <v>25</v>
      </c>
      <c r="S19" s="67">
        <f>IF(ISNUMBER(tblY9[[#This Row],[9P01 - Electricity
Raw Score]]),IFERROR(VLOOKUP(ROUND(STANDARDIZE(tblY9[[#This Row],[9P01 - Electricity
Raw Score]],AVERAGE(tblY9[[9P01 - Electricity
Raw Score]]),_xlfn.STDEV.P(tblY9[[9P01 - Electricity
Raw Score]])),9),_Stanine,2),5),"")</f>
        <v>7</v>
      </c>
      <c r="T19" s="66" t="n">
        <v>21</v>
      </c>
      <c r="U19" s="67">
        <f>IF(ISNUMBER(tblY9[[#This Row],[9B02 - Ecology
Raw Score]]),IFERROR(VLOOKUP(ROUND(STANDARDIZE(tblY9[[#This Row],[9B02 - Ecology
Raw Score]],AVERAGE(tblY9[[9B02 - Ecology
Raw Score]]),_xlfn.STDEV.P(tblY9[[9B02 - Ecology
Raw Score]])),9),_Stanine,2),5),"")</f>
        <v>7</v>
      </c>
    </row>
    <row r="20">
      <c r="A20" s="65" t="inlineStr">
        <is>
          <t>X906586767704</t>
        </is>
      </c>
      <c r="B20" s="65" t="inlineStr">
        <is>
          <t>Smith</t>
        </is>
      </c>
      <c r="C20" s="65" t="inlineStr">
        <is>
          <t>Poppy</t>
        </is>
      </c>
      <c r="D20" s="66" t="inlineStr">
        <is>
          <t>M</t>
        </is>
      </c>
      <c r="E20" s="66" t="inlineStr">
        <is>
          <t>N</t>
        </is>
      </c>
      <c r="F20" s="66" t="inlineStr">
        <is>
          <t>N</t>
        </is>
      </c>
      <c r="G20" s="34" t="n">
        <v>90.8</v>
      </c>
      <c r="H20" s="34" t="n">
        <v>105.5</v>
      </c>
      <c r="I20" s="67">
        <f>IF(ISNUMBER(tblY9[[#This Row],[Avg KS2]]),IFERROR(VLOOKUP(ROUND(STANDARDIZE(tblY9[[#This Row],[Avg KS2]],AVERAGE(tblY9[[Avg KS2]]),_xlfn.STDEV.P(tblY9[[Avg KS2]])),9),_Stanine,2),5),"")</f>
        <v>5</v>
      </c>
      <c r="J20" s="66" t="inlineStr">
        <is>
          <t>9A/Sc1</t>
        </is>
      </c>
      <c r="K20" s="67">
        <f>IF(tblY9[[#This Row],[Preferred Last name]]="","",COUNTIFS($N$1:$ZZ$1,"*"&amp;CHAR(10)&amp;"Stanine",$N20:$ZZ20,"&gt;=1"))</f>
        <v>4</v>
      </c>
      <c r="L20" s="68">
        <f>IFERROR(AVERAGEIF($N$1:$ZZ$1,"*"&amp;CHAR(10)&amp;"Stanine",$N20:$ZZ20),"")</f>
        <v>5.25</v>
      </c>
      <c r="M20" s="69">
        <f>IF(AND(ISNUMBER(tblY9[[#This Row],[Mean Stanine]]),ISNUMBER(tblY9[[#This Row],[Avg KS2 Band]]),ISNUMBER(SlopeY9)),tblY9[[#This Row],[Mean Stanine]]-(InterceptY9+SlopeY9*tblY9[[#This Row],[Avg KS2 Band]]),"")</f>
        <v>0.17642924086223</v>
      </c>
      <c r="N20" s="66" t="n">
        <v>18</v>
      </c>
      <c r="O20" s="67">
        <f>IF(ISNUMBER(tblY9[[#This Row],[9B01 - Genetics
Raw Score]]),IFERROR(VLOOKUP(ROUND(STANDARDIZE(tblY9[[#This Row],[9B01 - Genetics
Raw Score]],AVERAGE(tblY9[[9B01 - Genetics
Raw Score]]),_xlfn.STDEV.P(tblY9[[9B01 - Genetics
Raw Score]])),9),_Stanine,2),5),"")</f>
        <v>4</v>
      </c>
      <c r="P20" s="66" t="n">
        <v>22</v>
      </c>
      <c r="Q20" s="67">
        <f>IF(ISNUMBER(tblY9[[#This Row],[9C01 - Chemical Reactions
Raw Score]]),IFERROR(VLOOKUP(ROUND(STANDARDIZE(tblY9[[#This Row],[9C01 - Chemical Reactions
Raw Score]],AVERAGE(tblY9[[9C01 - Chemical Reactions
Raw Score]]),_xlfn.STDEV.P(tblY9[[9C01 - Chemical Reactions
Raw Score]])),9),_Stanine,2),5),"")</f>
        <v>5</v>
      </c>
      <c r="R20" s="66" t="n">
        <v>22</v>
      </c>
      <c r="S20" s="67">
        <f>IF(ISNUMBER(tblY9[[#This Row],[9P01 - Electricity
Raw Score]]),IFERROR(VLOOKUP(ROUND(STANDARDIZE(tblY9[[#This Row],[9P01 - Electricity
Raw Score]],AVERAGE(tblY9[[9P01 - Electricity
Raw Score]]),_xlfn.STDEV.P(tblY9[[9P01 - Electricity
Raw Score]])),9),_Stanine,2),5),"")</f>
        <v>6</v>
      </c>
      <c r="T20" s="66" t="n">
        <v>19</v>
      </c>
      <c r="U20" s="67">
        <f>IF(ISNUMBER(tblY9[[#This Row],[9B02 - Ecology
Raw Score]]),IFERROR(VLOOKUP(ROUND(STANDARDIZE(tblY9[[#This Row],[9B02 - Ecology
Raw Score]],AVERAGE(tblY9[[9B02 - Ecology
Raw Score]]),_xlfn.STDEV.P(tblY9[[9B02 - Ecology
Raw Score]])),9),_Stanine,2),5),"")</f>
        <v>6</v>
      </c>
    </row>
    <row r="21">
      <c r="A21" s="65" t="inlineStr">
        <is>
          <t>X900007347330</t>
        </is>
      </c>
      <c r="B21" s="65" t="inlineStr">
        <is>
          <t>Taylor</t>
        </is>
      </c>
      <c r="C21" s="65" t="inlineStr">
        <is>
          <t>Nia</t>
        </is>
      </c>
      <c r="D21" s="66" t="inlineStr">
        <is>
          <t>M</t>
        </is>
      </c>
      <c r="E21" s="66" t="n"/>
      <c r="F21" s="66" t="inlineStr">
        <is>
          <t>Y</t>
        </is>
      </c>
      <c r="G21" s="34" t="n">
        <v>95.5</v>
      </c>
      <c r="H21" s="34" t="n">
        <v>110.5</v>
      </c>
      <c r="I21" s="67">
        <f>IF(ISNUMBER(tblY9[[#This Row],[Avg KS2]]),IFERROR(VLOOKUP(ROUND(STANDARDIZE(tblY9[[#This Row],[Avg KS2]],AVERAGE(tblY9[[Avg KS2]]),_xlfn.STDEV.P(tblY9[[Avg KS2]])),9),_Stanine,2),5),"")</f>
        <v>6</v>
      </c>
      <c r="J21" s="66" t="inlineStr">
        <is>
          <t>9A/Sc1</t>
        </is>
      </c>
      <c r="K21" s="67">
        <f>IF(tblY9[[#This Row],[Preferred Last name]]="","",COUNTIFS($N$1:$ZZ$1,"*"&amp;CHAR(10)&amp;"Stanine",$N21:$ZZ21,"&gt;=1"))</f>
        <v>4</v>
      </c>
      <c r="L21" s="68">
        <f>IFERROR(AVERAGEIF($N$1:$ZZ$1,"*"&amp;CHAR(10)&amp;"Stanine",$N21:$ZZ21),"")</f>
        <v>6.25</v>
      </c>
      <c r="M21" s="69">
        <f>IF(AND(ISNUMBER(tblY9[[#This Row],[Mean Stanine]]),ISNUMBER(tblY9[[#This Row],[Avg KS2 Band]]),ISNUMBER(SlopeY9)),tblY9[[#This Row],[Mean Stanine]]-(InterceptY9+SlopeY9*tblY9[[#This Row],[Avg KS2 Band]]),"")</f>
        <v>0.413015463917526</v>
      </c>
      <c r="N21" s="66" t="n">
        <v>23</v>
      </c>
      <c r="O21" s="67">
        <f>IF(ISNUMBER(tblY9[[#This Row],[9B01 - Genetics
Raw Score]]),IFERROR(VLOOKUP(ROUND(STANDARDIZE(tblY9[[#This Row],[9B01 - Genetics
Raw Score]],AVERAGE(tblY9[[9B01 - Genetics
Raw Score]]),_xlfn.STDEV.P(tblY9[[9B01 - Genetics
Raw Score]])),9),_Stanine,2),5),"")</f>
        <v>6</v>
      </c>
      <c r="P21" s="66" t="n">
        <v>25</v>
      </c>
      <c r="Q21" s="67">
        <f>IF(ISNUMBER(tblY9[[#This Row],[9C01 - Chemical Reactions
Raw Score]]),IFERROR(VLOOKUP(ROUND(STANDARDIZE(tblY9[[#This Row],[9C01 - Chemical Reactions
Raw Score]],AVERAGE(tblY9[[9C01 - Chemical Reactions
Raw Score]]),_xlfn.STDEV.P(tblY9[[9C01 - Chemical Reactions
Raw Score]])),9),_Stanine,2),5),"")</f>
        <v>6</v>
      </c>
      <c r="R21" s="66" t="n">
        <v>23</v>
      </c>
      <c r="S21" s="67">
        <f>IF(ISNUMBER(tblY9[[#This Row],[9P01 - Electricity
Raw Score]]),IFERROR(VLOOKUP(ROUND(STANDARDIZE(tblY9[[#This Row],[9P01 - Electricity
Raw Score]],AVERAGE(tblY9[[9P01 - Electricity
Raw Score]]),_xlfn.STDEV.P(tblY9[[9P01 - Electricity
Raw Score]])),9),_Stanine,2),5),"")</f>
        <v>6</v>
      </c>
      <c r="T21" s="66" t="n">
        <v>21</v>
      </c>
      <c r="U21" s="67">
        <f>IF(ISNUMBER(tblY9[[#This Row],[9B02 - Ecology
Raw Score]]),IFERROR(VLOOKUP(ROUND(STANDARDIZE(tblY9[[#This Row],[9B02 - Ecology
Raw Score]],AVERAGE(tblY9[[9B02 - Ecology
Raw Score]]),_xlfn.STDEV.P(tblY9[[9B02 - Ecology
Raw Score]])),9),_Stanine,2),5),"")</f>
        <v>7</v>
      </c>
    </row>
    <row r="22">
      <c r="A22" s="65" t="inlineStr">
        <is>
          <t>X908072301193</t>
        </is>
      </c>
      <c r="B22" s="65" t="inlineStr">
        <is>
          <t>Williams</t>
        </is>
      </c>
      <c r="C22" s="65" t="inlineStr">
        <is>
          <t>Chidi</t>
        </is>
      </c>
      <c r="D22" s="66" t="inlineStr">
        <is>
          <t>F</t>
        </is>
      </c>
      <c r="E22" s="66" t="inlineStr">
        <is>
          <t>E</t>
        </is>
      </c>
      <c r="F22" s="66" t="inlineStr">
        <is>
          <t>N</t>
        </is>
      </c>
      <c r="G22" s="34" t="n">
        <v>86.2</v>
      </c>
      <c r="H22" s="34" t="n">
        <v>112</v>
      </c>
      <c r="I22" s="67">
        <f>IF(ISNUMBER(tblY9[[#This Row],[Avg KS2]]),IFERROR(VLOOKUP(ROUND(STANDARDIZE(tblY9[[#This Row],[Avg KS2]],AVERAGE(tblY9[[Avg KS2]]),_xlfn.STDEV.P(tblY9[[Avg KS2]])),9),_Stanine,2),5),"")</f>
        <v>7</v>
      </c>
      <c r="J22" s="66" t="inlineStr">
        <is>
          <t>9A/Sc1</t>
        </is>
      </c>
      <c r="K22" s="67">
        <f>IF(tblY9[[#This Row],[Preferred Last name]]="","",COUNTIFS($N$1:$ZZ$1,"*"&amp;CHAR(10)&amp;"Stanine",$N22:$ZZ22,"&gt;=1"))</f>
        <v>4</v>
      </c>
      <c r="L22" s="68">
        <f>IFERROR(AVERAGEIF($N$1:$ZZ$1,"*"&amp;CHAR(10)&amp;"Stanine",$N22:$ZZ22),"")</f>
        <v>7.5</v>
      </c>
      <c r="M22" s="69">
        <f>IF(AND(ISNUMBER(tblY9[[#This Row],[Mean Stanine]]),ISNUMBER(tblY9[[#This Row],[Avg KS2 Band]]),ISNUMBER(SlopeY9)),tblY9[[#This Row],[Mean Stanine]]-(InterceptY9+SlopeY9*tblY9[[#This Row],[Avg KS2 Band]]),"")</f>
        <v>0.899601686972821</v>
      </c>
      <c r="N22" s="66" t="n">
        <v>27</v>
      </c>
      <c r="O22" s="67">
        <f>IF(ISNUMBER(tblY9[[#This Row],[9B01 - Genetics
Raw Score]]),IFERROR(VLOOKUP(ROUND(STANDARDIZE(tblY9[[#This Row],[9B01 - Genetics
Raw Score]],AVERAGE(tblY9[[9B01 - Genetics
Raw Score]]),_xlfn.STDEV.P(tblY9[[9B01 - Genetics
Raw Score]])),9),_Stanine,2),5),"")</f>
        <v>7</v>
      </c>
      <c r="P22" s="66" t="n">
        <v>29</v>
      </c>
      <c r="Q22" s="67">
        <f>IF(ISNUMBER(tblY9[[#This Row],[9C01 - Chemical Reactions
Raw Score]]),IFERROR(VLOOKUP(ROUND(STANDARDIZE(tblY9[[#This Row],[9C01 - Chemical Reactions
Raw Score]],AVERAGE(tblY9[[9C01 - Chemical Reactions
Raw Score]]),_xlfn.STDEV.P(tblY9[[9C01 - Chemical Reactions
Raw Score]])),9),_Stanine,2),5),"")</f>
        <v>8</v>
      </c>
      <c r="R22" s="66" t="n">
        <v>27</v>
      </c>
      <c r="S22" s="67">
        <f>IF(ISNUMBER(tblY9[[#This Row],[9P01 - Electricity
Raw Score]]),IFERROR(VLOOKUP(ROUND(STANDARDIZE(tblY9[[#This Row],[9P01 - Electricity
Raw Score]],AVERAGE(tblY9[[9P01 - Electricity
Raw Score]]),_xlfn.STDEV.P(tblY9[[9P01 - Electricity
Raw Score]])),9),_Stanine,2),5),"")</f>
        <v>8</v>
      </c>
      <c r="T22" s="66" t="n">
        <v>22</v>
      </c>
      <c r="U22" s="67">
        <f>IF(ISNUMBER(tblY9[[#This Row],[9B02 - Ecology
Raw Score]]),IFERROR(VLOOKUP(ROUND(STANDARDIZE(tblY9[[#This Row],[9B02 - Ecology
Raw Score]],AVERAGE(tblY9[[9B02 - Ecology
Raw Score]]),_xlfn.STDEV.P(tblY9[[9B02 - Ecology
Raw Score]])),9),_Stanine,2),5),"")</f>
        <v>7</v>
      </c>
    </row>
    <row r="23">
      <c r="A23" s="65" t="inlineStr">
        <is>
          <t>X906434638561</t>
        </is>
      </c>
      <c r="B23" s="65" t="inlineStr">
        <is>
          <t>Wright</t>
        </is>
      </c>
      <c r="C23" s="65" t="inlineStr">
        <is>
          <t>Keira</t>
        </is>
      </c>
      <c r="D23" s="66" t="inlineStr">
        <is>
          <t>M</t>
        </is>
      </c>
      <c r="E23" s="66" t="inlineStr">
        <is>
          <t>N</t>
        </is>
      </c>
      <c r="F23" s="66" t="inlineStr">
        <is>
          <t>Y</t>
        </is>
      </c>
      <c r="G23" s="34" t="n">
        <v>97.09999999999999</v>
      </c>
      <c r="H23" s="34" t="n">
        <v>112.5</v>
      </c>
      <c r="I23" s="67">
        <f>IF(ISNUMBER(tblY9[[#This Row],[Avg KS2]]),IFERROR(VLOOKUP(ROUND(STANDARDIZE(tblY9[[#This Row],[Avg KS2]],AVERAGE(tblY9[[Avg KS2]]),_xlfn.STDEV.P(tblY9[[Avg KS2]])),9),_Stanine,2),5),"")</f>
        <v>7</v>
      </c>
      <c r="J23" s="66" t="inlineStr">
        <is>
          <t>9A/Sc1</t>
        </is>
      </c>
      <c r="K23" s="67">
        <f>IF(tblY9[[#This Row],[Preferred Last name]]="","",COUNTIFS($N$1:$ZZ$1,"*"&amp;CHAR(10)&amp;"Stanine",$N23:$ZZ23,"&gt;=1"))</f>
        <v>4</v>
      </c>
      <c r="L23" s="68">
        <f>IFERROR(AVERAGEIF($N$1:$ZZ$1,"*"&amp;CHAR(10)&amp;"Stanine",$N23:$ZZ23),"")</f>
        <v>7</v>
      </c>
      <c r="M23" s="69">
        <f>IF(AND(ISNUMBER(tblY9[[#This Row],[Mean Stanine]]),ISNUMBER(tblY9[[#This Row],[Avg KS2 Band]]),ISNUMBER(SlopeY9)),tblY9[[#This Row],[Mean Stanine]]-(InterceptY9+SlopeY9*tblY9[[#This Row],[Avg KS2 Band]]),"")</f>
        <v>0.399601686972821</v>
      </c>
      <c r="N23" s="66" t="n">
        <v>27</v>
      </c>
      <c r="O23" s="67">
        <f>IF(ISNUMBER(tblY9[[#This Row],[9B01 - Genetics
Raw Score]]),IFERROR(VLOOKUP(ROUND(STANDARDIZE(tblY9[[#This Row],[9B01 - Genetics
Raw Score]],AVERAGE(tblY9[[9B01 - Genetics
Raw Score]]),_xlfn.STDEV.P(tblY9[[9B01 - Genetics
Raw Score]])),9),_Stanine,2),5),"")</f>
        <v>7</v>
      </c>
      <c r="P23" s="66" t="n">
        <v>27</v>
      </c>
      <c r="Q23" s="67">
        <f>IF(ISNUMBER(tblY9[[#This Row],[9C01 - Chemical Reactions
Raw Score]]),IFERROR(VLOOKUP(ROUND(STANDARDIZE(tblY9[[#This Row],[9C01 - Chemical Reactions
Raw Score]],AVERAGE(tblY9[[9C01 - Chemical Reactions
Raw Score]]),_xlfn.STDEV.P(tblY9[[9C01 - Chemical Reactions
Raw Score]])),9),_Stanine,2),5),"")</f>
        <v>7</v>
      </c>
      <c r="R23" s="66" t="n">
        <v>26</v>
      </c>
      <c r="S23" s="67">
        <f>IF(ISNUMBER(tblY9[[#This Row],[9P01 - Electricity
Raw Score]]),IFERROR(VLOOKUP(ROUND(STANDARDIZE(tblY9[[#This Row],[9P01 - Electricity
Raw Score]],AVERAGE(tblY9[[9P01 - Electricity
Raw Score]]),_xlfn.STDEV.P(tblY9[[9P01 - Electricity
Raw Score]])),9),_Stanine,2),5),"")</f>
        <v>7</v>
      </c>
      <c r="T23" s="66" t="n">
        <v>22</v>
      </c>
      <c r="U23" s="67">
        <f>IF(ISNUMBER(tblY9[[#This Row],[9B02 - Ecology
Raw Score]]),IFERROR(VLOOKUP(ROUND(STANDARDIZE(tblY9[[#This Row],[9B02 - Ecology
Raw Score]],AVERAGE(tblY9[[9B02 - Ecology
Raw Score]]),_xlfn.STDEV.P(tblY9[[9B02 - Ecology
Raw Score]])),9),_Stanine,2),5),"")</f>
        <v>7</v>
      </c>
    </row>
    <row r="24">
      <c r="A24" s="65" t="inlineStr">
        <is>
          <t>X901622558376</t>
        </is>
      </c>
      <c r="B24" s="65" t="inlineStr">
        <is>
          <t>Adeyemi</t>
        </is>
      </c>
      <c r="C24" s="65" t="inlineStr">
        <is>
          <t>Alfie</t>
        </is>
      </c>
      <c r="D24" s="66" t="inlineStr">
        <is>
          <t>M</t>
        </is>
      </c>
      <c r="E24" s="66" t="n"/>
      <c r="F24" s="66" t="inlineStr">
        <is>
          <t>N</t>
        </is>
      </c>
      <c r="G24" s="34" t="n">
        <v>90.8</v>
      </c>
      <c r="H24" s="34" t="n">
        <v>98.5</v>
      </c>
      <c r="I24" s="67">
        <f>IF(ISNUMBER(tblY9[[#This Row],[Avg KS2]]),IFERROR(VLOOKUP(ROUND(STANDARDIZE(tblY9[[#This Row],[Avg KS2]],AVERAGE(tblY9[[Avg KS2]]),_xlfn.STDEV.P(tblY9[[Avg KS2]])),9),_Stanine,2),5),"")</f>
        <v>2</v>
      </c>
      <c r="J24" s="66" t="inlineStr">
        <is>
          <t>9A/Sc2</t>
        </is>
      </c>
      <c r="K24" s="67">
        <f>IF(tblY9[[#This Row],[Preferred Last name]]="","",COUNTIFS($N$1:$ZZ$1,"*"&amp;CHAR(10)&amp;"Stanine",$N24:$ZZ24,"&gt;=1"))</f>
        <v>4</v>
      </c>
      <c r="L24" s="68">
        <f>IFERROR(AVERAGEIF($N$1:$ZZ$1,"*"&amp;CHAR(10)&amp;"Stanine",$N24:$ZZ24),"")</f>
        <v>2.25</v>
      </c>
      <c r="M24" s="69">
        <f>IF(AND(ISNUMBER(tblY9[[#This Row],[Mean Stanine]]),ISNUMBER(tblY9[[#This Row],[Avg KS2 Band]]),ISNUMBER(SlopeY9)),tblY9[[#This Row],[Mean Stanine]]-(InterceptY9+SlopeY9*tblY9[[#This Row],[Avg KS2 Band]]),"")</f>
        <v>-0.533329428303655</v>
      </c>
      <c r="N24" s="66" t="n">
        <v>12</v>
      </c>
      <c r="O24" s="67">
        <f>IF(ISNUMBER(tblY9[[#This Row],[9B01 - Genetics
Raw Score]]),IFERROR(VLOOKUP(ROUND(STANDARDIZE(tblY9[[#This Row],[9B01 - Genetics
Raw Score]],AVERAGE(tblY9[[9B01 - Genetics
Raw Score]]),_xlfn.STDEV.P(tblY9[[9B01 - Genetics
Raw Score]])),9),_Stanine,2),5),"")</f>
        <v>2</v>
      </c>
      <c r="P24" s="66" t="n">
        <v>11</v>
      </c>
      <c r="Q24" s="67">
        <f>IF(ISNUMBER(tblY9[[#This Row],[9C01 - Chemical Reactions
Raw Score]]),IFERROR(VLOOKUP(ROUND(STANDARDIZE(tblY9[[#This Row],[9C01 - Chemical Reactions
Raw Score]],AVERAGE(tblY9[[9C01 - Chemical Reactions
Raw Score]]),_xlfn.STDEV.P(tblY9[[9C01 - Chemical Reactions
Raw Score]])),9),_Stanine,2),5),"")</f>
        <v>2</v>
      </c>
      <c r="R24" s="66" t="n">
        <v>17</v>
      </c>
      <c r="S24" s="67">
        <f>IF(ISNUMBER(tblY9[[#This Row],[9P01 - Electricity
Raw Score]]),IFERROR(VLOOKUP(ROUND(STANDARDIZE(tblY9[[#This Row],[9P01 - Electricity
Raw Score]],AVERAGE(tblY9[[9P01 - Electricity
Raw Score]]),_xlfn.STDEV.P(tblY9[[9P01 - Electricity
Raw Score]])),9),_Stanine,2),5),"")</f>
        <v>4</v>
      </c>
      <c r="T24" s="66" t="n">
        <v>9</v>
      </c>
      <c r="U24" s="67">
        <f>IF(ISNUMBER(tblY9[[#This Row],[9B02 - Ecology
Raw Score]]),IFERROR(VLOOKUP(ROUND(STANDARDIZE(tblY9[[#This Row],[9B02 - Ecology
Raw Score]],AVERAGE(tblY9[[9B02 - Ecology
Raw Score]]),_xlfn.STDEV.P(tblY9[[9B02 - Ecology
Raw Score]])),9),_Stanine,2),5),"")</f>
        <v>1</v>
      </c>
    </row>
    <row r="25">
      <c r="A25" s="65" t="inlineStr">
        <is>
          <t>X900049396637</t>
        </is>
      </c>
      <c r="B25" s="65" t="inlineStr">
        <is>
          <t>Adeyemi</t>
        </is>
      </c>
      <c r="C25" s="65" t="inlineStr">
        <is>
          <t>Arthur</t>
        </is>
      </c>
      <c r="D25" s="66" t="inlineStr">
        <is>
          <t>M</t>
        </is>
      </c>
      <c r="E25" s="66" t="inlineStr">
        <is>
          <t>N</t>
        </is>
      </c>
      <c r="F25" s="66" t="inlineStr">
        <is>
          <t>N</t>
        </is>
      </c>
      <c r="G25" s="34" t="n">
        <v>97.09999999999999</v>
      </c>
      <c r="H25" s="34" t="n">
        <v>95</v>
      </c>
      <c r="I25" s="67">
        <f>IF(ISNUMBER(tblY9[[#This Row],[Avg KS2]]),IFERROR(VLOOKUP(ROUND(STANDARDIZE(tblY9[[#This Row],[Avg KS2]],AVERAGE(tblY9[[Avg KS2]]),_xlfn.STDEV.P(tblY9[[Avg KS2]])),9),_Stanine,2),5),"")</f>
        <v>1</v>
      </c>
      <c r="J25" s="66" t="inlineStr">
        <is>
          <t>9A/Sc2</t>
        </is>
      </c>
      <c r="K25" s="67">
        <f>IF(tblY9[[#This Row],[Preferred Last name]]="","",COUNTIFS($N$1:$ZZ$1,"*"&amp;CHAR(10)&amp;"Stanine",$N25:$ZZ25,"&gt;=1"))</f>
        <v>4</v>
      </c>
      <c r="L25" s="68">
        <f>IFERROR(AVERAGEIF($N$1:$ZZ$1,"*"&amp;CHAR(10)&amp;"Stanine",$N25:$ZZ25),"")</f>
        <v>2.25</v>
      </c>
      <c r="M25" s="69">
        <f>IF(AND(ISNUMBER(tblY9[[#This Row],[Mean Stanine]]),ISNUMBER(tblY9[[#This Row],[Avg KS2 Band]]),ISNUMBER(SlopeY9)),tblY9[[#This Row],[Mean Stanine]]-(InterceptY9+SlopeY9*tblY9[[#This Row],[Avg KS2 Band]]),"")</f>
        <v>0.23008434864105</v>
      </c>
      <c r="N25" s="66" t="n">
        <v>14</v>
      </c>
      <c r="O25" s="67">
        <f>IF(ISNUMBER(tblY9[[#This Row],[9B01 - Genetics
Raw Score]]),IFERROR(VLOOKUP(ROUND(STANDARDIZE(tblY9[[#This Row],[9B01 - Genetics
Raw Score]],AVERAGE(tblY9[[9B01 - Genetics
Raw Score]]),_xlfn.STDEV.P(tblY9[[9B01 - Genetics
Raw Score]])),9),_Stanine,2),5),"")</f>
        <v>3</v>
      </c>
      <c r="P25" s="66" t="n">
        <v>11</v>
      </c>
      <c r="Q25" s="67">
        <f>IF(ISNUMBER(tblY9[[#This Row],[9C01 - Chemical Reactions
Raw Score]]),IFERROR(VLOOKUP(ROUND(STANDARDIZE(tblY9[[#This Row],[9C01 - Chemical Reactions
Raw Score]],AVERAGE(tblY9[[9C01 - Chemical Reactions
Raw Score]]),_xlfn.STDEV.P(tblY9[[9C01 - Chemical Reactions
Raw Score]])),9),_Stanine,2),5),"")</f>
        <v>2</v>
      </c>
      <c r="R25" s="66" t="n">
        <v>13</v>
      </c>
      <c r="S25" s="67">
        <f>IF(ISNUMBER(tblY9[[#This Row],[9P01 - Electricity
Raw Score]]),IFERROR(VLOOKUP(ROUND(STANDARDIZE(tblY9[[#This Row],[9P01 - Electricity
Raw Score]],AVERAGE(tblY9[[9P01 - Electricity
Raw Score]]),_xlfn.STDEV.P(tblY9[[9P01 - Electricity
Raw Score]])),9),_Stanine,2),5),"")</f>
        <v>2</v>
      </c>
      <c r="T25" s="66" t="n">
        <v>12</v>
      </c>
      <c r="U25" s="67">
        <f>IF(ISNUMBER(tblY9[[#This Row],[9B02 - Ecology
Raw Score]]),IFERROR(VLOOKUP(ROUND(STANDARDIZE(tblY9[[#This Row],[9B02 - Ecology
Raw Score]],AVERAGE(tblY9[[9B02 - Ecology
Raw Score]]),_xlfn.STDEV.P(tblY9[[9B02 - Ecology
Raw Score]])),9),_Stanine,2),5),"")</f>
        <v>2</v>
      </c>
    </row>
    <row r="26">
      <c r="A26" s="65" t="inlineStr">
        <is>
          <t>X902471760499</t>
        </is>
      </c>
      <c r="B26" s="65" t="inlineStr">
        <is>
          <t>Bennett</t>
        </is>
      </c>
      <c r="C26" s="65" t="inlineStr">
        <is>
          <t>Grace</t>
        </is>
      </c>
      <c r="D26" s="66" t="inlineStr">
        <is>
          <t>M</t>
        </is>
      </c>
      <c r="E26" s="66" t="n"/>
      <c r="F26" s="66" t="inlineStr">
        <is>
          <t>N</t>
        </is>
      </c>
      <c r="G26" s="34" t="n">
        <v>90.7</v>
      </c>
      <c r="H26" s="34" t="n">
        <v>109</v>
      </c>
      <c r="I26" s="67">
        <f>IF(ISNUMBER(tblY9[[#This Row],[Avg KS2]]),IFERROR(VLOOKUP(ROUND(STANDARDIZE(tblY9[[#This Row],[Avg KS2]],AVERAGE(tblY9[[Avg KS2]]),_xlfn.STDEV.P(tblY9[[Avg KS2]])),9),_Stanine,2),5),"")</f>
        <v>6</v>
      </c>
      <c r="J26" s="66" t="inlineStr">
        <is>
          <t>9A/Sc2</t>
        </is>
      </c>
      <c r="K26" s="67">
        <f>IF(tblY9[[#This Row],[Preferred Last name]]="","",COUNTIFS($N$1:$ZZ$1,"*"&amp;CHAR(10)&amp;"Stanine",$N26:$ZZ26,"&gt;=1"))</f>
        <v>4</v>
      </c>
      <c r="L26" s="68">
        <f>IFERROR(AVERAGEIF($N$1:$ZZ$1,"*"&amp;CHAR(10)&amp;"Stanine",$N26:$ZZ26),"")</f>
        <v>7.75</v>
      </c>
      <c r="M26" s="69">
        <f>IF(AND(ISNUMBER(tblY9[[#This Row],[Mean Stanine]]),ISNUMBER(tblY9[[#This Row],[Avg KS2 Band]]),ISNUMBER(SlopeY9)),tblY9[[#This Row],[Mean Stanine]]-(InterceptY9+SlopeY9*tblY9[[#This Row],[Avg KS2 Band]]),"")</f>
        <v>1.91301546391753</v>
      </c>
      <c r="N26" s="66" t="n">
        <v>28</v>
      </c>
      <c r="O26" s="67">
        <f>IF(ISNUMBER(tblY9[[#This Row],[9B01 - Genetics
Raw Score]]),IFERROR(VLOOKUP(ROUND(STANDARDIZE(tblY9[[#This Row],[9B01 - Genetics
Raw Score]],AVERAGE(tblY9[[9B01 - Genetics
Raw Score]]),_xlfn.STDEV.P(tblY9[[9B01 - Genetics
Raw Score]])),9),_Stanine,2),5),"")</f>
        <v>8</v>
      </c>
      <c r="P26" s="66" t="n">
        <v>30</v>
      </c>
      <c r="Q26" s="67">
        <f>IF(ISNUMBER(tblY9[[#This Row],[9C01 - Chemical Reactions
Raw Score]]),IFERROR(VLOOKUP(ROUND(STANDARDIZE(tblY9[[#This Row],[9C01 - Chemical Reactions
Raw Score]],AVERAGE(tblY9[[9C01 - Chemical Reactions
Raw Score]]),_xlfn.STDEV.P(tblY9[[9C01 - Chemical Reactions
Raw Score]])),9),_Stanine,2),5),"")</f>
        <v>8</v>
      </c>
      <c r="R26" s="66" t="n">
        <v>28</v>
      </c>
      <c r="S26" s="67">
        <f>IF(ISNUMBER(tblY9[[#This Row],[9P01 - Electricity
Raw Score]]),IFERROR(VLOOKUP(ROUND(STANDARDIZE(tblY9[[#This Row],[9P01 - Electricity
Raw Score]],AVERAGE(tblY9[[9P01 - Electricity
Raw Score]]),_xlfn.STDEV.P(tblY9[[9P01 - Electricity
Raw Score]])),9),_Stanine,2),5),"")</f>
        <v>8</v>
      </c>
      <c r="T26" s="66" t="n">
        <v>23</v>
      </c>
      <c r="U26" s="67">
        <f>IF(ISNUMBER(tblY9[[#This Row],[9B02 - Ecology
Raw Score]]),IFERROR(VLOOKUP(ROUND(STANDARDIZE(tblY9[[#This Row],[9B02 - Ecology
Raw Score]],AVERAGE(tblY9[[9B02 - Ecology
Raw Score]]),_xlfn.STDEV.P(tblY9[[9B02 - Ecology
Raw Score]])),9),_Stanine,2),5),"")</f>
        <v>7</v>
      </c>
    </row>
    <row r="27">
      <c r="A27" s="65" t="inlineStr">
        <is>
          <t>X901593756344</t>
        </is>
      </c>
      <c r="B27" s="65" t="inlineStr">
        <is>
          <t>Brown</t>
        </is>
      </c>
      <c r="C27" s="65" t="inlineStr">
        <is>
          <t>Aisha</t>
        </is>
      </c>
      <c r="D27" s="66" t="inlineStr">
        <is>
          <t>M</t>
        </is>
      </c>
      <c r="E27" s="66" t="n"/>
      <c r="F27" s="66" t="inlineStr">
        <is>
          <t>N</t>
        </is>
      </c>
      <c r="G27" s="34" t="n">
        <v>95.59999999999999</v>
      </c>
      <c r="H27" s="34" t="n">
        <v>107</v>
      </c>
      <c r="I27" s="67">
        <f>IF(ISNUMBER(tblY9[[#This Row],[Avg KS2]]),IFERROR(VLOOKUP(ROUND(STANDARDIZE(tblY9[[#This Row],[Avg KS2]],AVERAGE(tblY9[[Avg KS2]]),_xlfn.STDEV.P(tblY9[[Avg KS2]])),9),_Stanine,2),5),"")</f>
        <v>5</v>
      </c>
      <c r="J27" s="66" t="inlineStr">
        <is>
          <t>9A/Sc2</t>
        </is>
      </c>
      <c r="K27" s="67">
        <f>IF(tblY9[[#This Row],[Preferred Last name]]="","",COUNTIFS($N$1:$ZZ$1,"*"&amp;CHAR(10)&amp;"Stanine",$N27:$ZZ27,"&gt;=1"))</f>
        <v>4</v>
      </c>
      <c r="L27" s="68">
        <f>IFERROR(AVERAGEIF($N$1:$ZZ$1,"*"&amp;CHAR(10)&amp;"Stanine",$N27:$ZZ27),"")</f>
        <v>6.5</v>
      </c>
      <c r="M27" s="69">
        <f>IF(AND(ISNUMBER(tblY9[[#This Row],[Mean Stanine]]),ISNUMBER(tblY9[[#This Row],[Avg KS2 Band]]),ISNUMBER(SlopeY9)),tblY9[[#This Row],[Mean Stanine]]-(InterceptY9+SlopeY9*tblY9[[#This Row],[Avg KS2 Band]]),"")</f>
        <v>1.42642924086223</v>
      </c>
      <c r="N27" s="66" t="n">
        <v>25</v>
      </c>
      <c r="O27" s="67">
        <f>IF(ISNUMBER(tblY9[[#This Row],[9B01 - Genetics
Raw Score]]),IFERROR(VLOOKUP(ROUND(STANDARDIZE(tblY9[[#This Row],[9B01 - Genetics
Raw Score]],AVERAGE(tblY9[[9B01 - Genetics
Raw Score]]),_xlfn.STDEV.P(tblY9[[9B01 - Genetics
Raw Score]])),9),_Stanine,2),5),"")</f>
        <v>7</v>
      </c>
      <c r="P27" s="66" t="n">
        <v>27</v>
      </c>
      <c r="Q27" s="67">
        <f>IF(ISNUMBER(tblY9[[#This Row],[9C01 - Chemical Reactions
Raw Score]]),IFERROR(VLOOKUP(ROUND(STANDARDIZE(tblY9[[#This Row],[9C01 - Chemical Reactions
Raw Score]],AVERAGE(tblY9[[9C01 - Chemical Reactions
Raw Score]]),_xlfn.STDEV.P(tblY9[[9C01 - Chemical Reactions
Raw Score]])),9),_Stanine,2),5),"")</f>
        <v>7</v>
      </c>
      <c r="R27" s="66" t="n">
        <v>24</v>
      </c>
      <c r="S27" s="67">
        <f>IF(ISNUMBER(tblY9[[#This Row],[9P01 - Electricity
Raw Score]]),IFERROR(VLOOKUP(ROUND(STANDARDIZE(tblY9[[#This Row],[9P01 - Electricity
Raw Score]],AVERAGE(tblY9[[9P01 - Electricity
Raw Score]]),_xlfn.STDEV.P(tblY9[[9P01 - Electricity
Raw Score]])),9),_Stanine,2),5),"")</f>
        <v>6</v>
      </c>
      <c r="T27" s="66" t="n">
        <v>20</v>
      </c>
      <c r="U27" s="67">
        <f>IF(ISNUMBER(tblY9[[#This Row],[9B02 - Ecology
Raw Score]]),IFERROR(VLOOKUP(ROUND(STANDARDIZE(tblY9[[#This Row],[9B02 - Ecology
Raw Score]],AVERAGE(tblY9[[9B02 - Ecology
Raw Score]]),_xlfn.STDEV.P(tblY9[[9B02 - Ecology
Raw Score]])),9),_Stanine,2),5),"")</f>
        <v>6</v>
      </c>
    </row>
    <row r="28">
      <c r="A28" s="65" t="inlineStr">
        <is>
          <t>X902738179964</t>
        </is>
      </c>
      <c r="B28" s="65" t="inlineStr">
        <is>
          <t>Clarke</t>
        </is>
      </c>
      <c r="C28" s="65" t="inlineStr">
        <is>
          <t>Chidi</t>
        </is>
      </c>
      <c r="D28" s="66" t="inlineStr">
        <is>
          <t>M</t>
        </is>
      </c>
      <c r="E28" s="66" t="inlineStr">
        <is>
          <t>N</t>
        </is>
      </c>
      <c r="F28" s="66" t="inlineStr">
        <is>
          <t>N</t>
        </is>
      </c>
      <c r="G28" s="34" t="n">
        <v>92.40000000000001</v>
      </c>
      <c r="H28" s="34" t="n">
        <v>103</v>
      </c>
      <c r="I28" s="67">
        <f>IF(ISNUMBER(tblY9[[#This Row],[Avg KS2]]),IFERROR(VLOOKUP(ROUND(STANDARDIZE(tblY9[[#This Row],[Avg KS2]],AVERAGE(tblY9[[Avg KS2]]),_xlfn.STDEV.P(tblY9[[Avg KS2]])),9),_Stanine,2),5),"")</f>
        <v>4</v>
      </c>
      <c r="J28" s="66" t="inlineStr">
        <is>
          <t>9A/Sc2</t>
        </is>
      </c>
      <c r="K28" s="67">
        <f>IF(tblY9[[#This Row],[Preferred Last name]]="","",COUNTIFS($N$1:$ZZ$1,"*"&amp;CHAR(10)&amp;"Stanine",$N28:$ZZ28,"&gt;=1"))</f>
        <v>4</v>
      </c>
      <c r="L28" s="68">
        <f>IFERROR(AVERAGEIF($N$1:$ZZ$1,"*"&amp;CHAR(10)&amp;"Stanine",$N28:$ZZ28),"")</f>
        <v>5.5</v>
      </c>
      <c r="M28" s="69">
        <f>IF(AND(ISNUMBER(tblY9[[#This Row],[Mean Stanine]]),ISNUMBER(tblY9[[#This Row],[Avg KS2 Band]]),ISNUMBER(SlopeY9)),tblY9[[#This Row],[Mean Stanine]]-(InterceptY9+SlopeY9*tblY9[[#This Row],[Avg KS2 Band]]),"")</f>
        <v>1.18984301780694</v>
      </c>
      <c r="N28" s="66" t="n">
        <v>22</v>
      </c>
      <c r="O28" s="67">
        <f>IF(ISNUMBER(tblY9[[#This Row],[9B01 - Genetics
Raw Score]]),IFERROR(VLOOKUP(ROUND(STANDARDIZE(tblY9[[#This Row],[9B01 - Genetics
Raw Score]],AVERAGE(tblY9[[9B01 - Genetics
Raw Score]]),_xlfn.STDEV.P(tblY9[[9B01 - Genetics
Raw Score]])),9),_Stanine,2),5),"")</f>
        <v>6</v>
      </c>
      <c r="P28" s="66" t="n">
        <v>23</v>
      </c>
      <c r="Q28" s="67">
        <f>IF(ISNUMBER(tblY9[[#This Row],[9C01 - Chemical Reactions
Raw Score]]),IFERROR(VLOOKUP(ROUND(STANDARDIZE(tblY9[[#This Row],[9C01 - Chemical Reactions
Raw Score]],AVERAGE(tblY9[[9C01 - Chemical Reactions
Raw Score]]),_xlfn.STDEV.P(tblY9[[9C01 - Chemical Reactions
Raw Score]])),9),_Stanine,2),5),"")</f>
        <v>6</v>
      </c>
      <c r="R28" s="66" t="n">
        <v>18</v>
      </c>
      <c r="S28" s="67">
        <f>IF(ISNUMBER(tblY9[[#This Row],[9P01 - Electricity
Raw Score]]),IFERROR(VLOOKUP(ROUND(STANDARDIZE(tblY9[[#This Row],[9P01 - Electricity
Raw Score]],AVERAGE(tblY9[[9P01 - Electricity
Raw Score]]),_xlfn.STDEV.P(tblY9[[9P01 - Electricity
Raw Score]])),9),_Stanine,2),5),"")</f>
        <v>4</v>
      </c>
      <c r="T28" s="66" t="n">
        <v>20</v>
      </c>
      <c r="U28" s="67">
        <f>IF(ISNUMBER(tblY9[[#This Row],[9B02 - Ecology
Raw Score]]),IFERROR(VLOOKUP(ROUND(STANDARDIZE(tblY9[[#This Row],[9B02 - Ecology
Raw Score]],AVERAGE(tblY9[[9B02 - Ecology
Raw Score]]),_xlfn.STDEV.P(tblY9[[9B02 - Ecology
Raw Score]])),9),_Stanine,2),5),"")</f>
        <v>6</v>
      </c>
    </row>
    <row r="29">
      <c r="A29" s="65" t="inlineStr">
        <is>
          <t>X907604829872</t>
        </is>
      </c>
      <c r="B29" s="65" t="inlineStr">
        <is>
          <t>Clarke</t>
        </is>
      </c>
      <c r="C29" s="65" t="inlineStr">
        <is>
          <t>Evie</t>
        </is>
      </c>
      <c r="D29" s="66" t="inlineStr">
        <is>
          <t>F</t>
        </is>
      </c>
      <c r="E29" s="66" t="n"/>
      <c r="F29" s="66" t="inlineStr">
        <is>
          <t>Y</t>
        </is>
      </c>
      <c r="G29" s="34" t="n">
        <v>90</v>
      </c>
      <c r="H29" s="34" t="n">
        <v>108</v>
      </c>
      <c r="I29" s="67">
        <f>IF(ISNUMBER(tblY9[[#This Row],[Avg KS2]]),IFERROR(VLOOKUP(ROUND(STANDARDIZE(tblY9[[#This Row],[Avg KS2]],AVERAGE(tblY9[[Avg KS2]]),_xlfn.STDEV.P(tblY9[[Avg KS2]])),9),_Stanine,2),5),"")</f>
        <v>6</v>
      </c>
      <c r="J29" s="66" t="inlineStr">
        <is>
          <t>9A/Sc2</t>
        </is>
      </c>
      <c r="K29" s="67">
        <f>IF(tblY9[[#This Row],[Preferred Last name]]="","",COUNTIFS($N$1:$ZZ$1,"*"&amp;CHAR(10)&amp;"Stanine",$N29:$ZZ29,"&gt;=1"))</f>
        <v>4</v>
      </c>
      <c r="L29" s="68">
        <f>IFERROR(AVERAGEIF($N$1:$ZZ$1,"*"&amp;CHAR(10)&amp;"Stanine",$N29:$ZZ29),"")</f>
        <v>5.25</v>
      </c>
      <c r="M29" s="69">
        <f>IF(AND(ISNUMBER(tblY9[[#This Row],[Mean Stanine]]),ISNUMBER(tblY9[[#This Row],[Avg KS2 Band]]),ISNUMBER(SlopeY9)),tblY9[[#This Row],[Mean Stanine]]-(InterceptY9+SlopeY9*tblY9[[#This Row],[Avg KS2 Band]]),"")</f>
        <v>-0.586984536082474</v>
      </c>
      <c r="N29" s="66" t="n">
        <v>17</v>
      </c>
      <c r="O29" s="67">
        <f>IF(ISNUMBER(tblY9[[#This Row],[9B01 - Genetics
Raw Score]]),IFERROR(VLOOKUP(ROUND(STANDARDIZE(tblY9[[#This Row],[9B01 - Genetics
Raw Score]],AVERAGE(tblY9[[9B01 - Genetics
Raw Score]]),_xlfn.STDEV.P(tblY9[[9B01 - Genetics
Raw Score]])),9),_Stanine,2),5),"")</f>
        <v>4</v>
      </c>
      <c r="P29" s="66" t="n">
        <v>23</v>
      </c>
      <c r="Q29" s="67">
        <f>IF(ISNUMBER(tblY9[[#This Row],[9C01 - Chemical Reactions
Raw Score]]),IFERROR(VLOOKUP(ROUND(STANDARDIZE(tblY9[[#This Row],[9C01 - Chemical Reactions
Raw Score]],AVERAGE(tblY9[[9C01 - Chemical Reactions
Raw Score]]),_xlfn.STDEV.P(tblY9[[9C01 - Chemical Reactions
Raw Score]])),9),_Stanine,2),5),"")</f>
        <v>6</v>
      </c>
      <c r="R29" s="66" t="n">
        <v>23</v>
      </c>
      <c r="S29" s="67">
        <f>IF(ISNUMBER(tblY9[[#This Row],[9P01 - Electricity
Raw Score]]),IFERROR(VLOOKUP(ROUND(STANDARDIZE(tblY9[[#This Row],[9P01 - Electricity
Raw Score]],AVERAGE(tblY9[[9P01 - Electricity
Raw Score]]),_xlfn.STDEV.P(tblY9[[9P01 - Electricity
Raw Score]])),9),_Stanine,2),5),"")</f>
        <v>6</v>
      </c>
      <c r="T29" s="66" t="n">
        <v>18</v>
      </c>
      <c r="U29" s="67">
        <f>IF(ISNUMBER(tblY9[[#This Row],[9B02 - Ecology
Raw Score]]),IFERROR(VLOOKUP(ROUND(STANDARDIZE(tblY9[[#This Row],[9B02 - Ecology
Raw Score]],AVERAGE(tblY9[[9B02 - Ecology
Raw Score]]),_xlfn.STDEV.P(tblY9[[9B02 - Ecology
Raw Score]])),9),_Stanine,2),5),"")</f>
        <v>5</v>
      </c>
    </row>
    <row r="30">
      <c r="A30" s="65" t="inlineStr">
        <is>
          <t>X908289055848</t>
        </is>
      </c>
      <c r="B30" s="65" t="inlineStr">
        <is>
          <t>Davies</t>
        </is>
      </c>
      <c r="C30" s="65" t="inlineStr">
        <is>
          <t>Oliver</t>
        </is>
      </c>
      <c r="D30" s="66" t="inlineStr">
        <is>
          <t>M</t>
        </is>
      </c>
      <c r="E30" s="66" t="n"/>
      <c r="F30" s="66" t="inlineStr">
        <is>
          <t>N</t>
        </is>
      </c>
      <c r="G30" s="34" t="n">
        <v>86.8</v>
      </c>
      <c r="H30" s="34" t="n">
        <v>106.5</v>
      </c>
      <c r="I30" s="67">
        <f>IF(ISNUMBER(tblY9[[#This Row],[Avg KS2]]),IFERROR(VLOOKUP(ROUND(STANDARDIZE(tblY9[[#This Row],[Avg KS2]],AVERAGE(tblY9[[Avg KS2]]),_xlfn.STDEV.P(tblY9[[Avg KS2]])),9),_Stanine,2),5),"")</f>
        <v>5</v>
      </c>
      <c r="J30" s="66" t="inlineStr">
        <is>
          <t>9A/Sc2</t>
        </is>
      </c>
      <c r="K30" s="67">
        <f>IF(tblY9[[#This Row],[Preferred Last name]]="","",COUNTIFS($N$1:$ZZ$1,"*"&amp;CHAR(10)&amp;"Stanine",$N30:$ZZ30,"&gt;=1"))</f>
        <v>4</v>
      </c>
      <c r="L30" s="68">
        <f>IFERROR(AVERAGEIF($N$1:$ZZ$1,"*"&amp;CHAR(10)&amp;"Stanine",$N30:$ZZ30),"")</f>
        <v>2</v>
      </c>
      <c r="M30" s="69">
        <f>IF(AND(ISNUMBER(tblY9[[#This Row],[Mean Stanine]]),ISNUMBER(tblY9[[#This Row],[Avg KS2 Band]]),ISNUMBER(SlopeY9)),tblY9[[#This Row],[Mean Stanine]]-(InterceptY9+SlopeY9*tblY9[[#This Row],[Avg KS2 Band]]),"")</f>
        <v>-3.07357075913777</v>
      </c>
      <c r="N30" s="66" t="n">
        <v>11</v>
      </c>
      <c r="O30" s="67">
        <f>IF(ISNUMBER(tblY9[[#This Row],[9B01 - Genetics
Raw Score]]),IFERROR(VLOOKUP(ROUND(STANDARDIZE(tblY9[[#This Row],[9B01 - Genetics
Raw Score]],AVERAGE(tblY9[[9B01 - Genetics
Raw Score]]),_xlfn.STDEV.P(tblY9[[9B01 - Genetics
Raw Score]])),9),_Stanine,2),5),"")</f>
        <v>2</v>
      </c>
      <c r="P30" s="66" t="n">
        <v>15</v>
      </c>
      <c r="Q30" s="67">
        <f>IF(ISNUMBER(tblY9[[#This Row],[9C01 - Chemical Reactions
Raw Score]]),IFERROR(VLOOKUP(ROUND(STANDARDIZE(tblY9[[#This Row],[9C01 - Chemical Reactions
Raw Score]],AVERAGE(tblY9[[9C01 - Chemical Reactions
Raw Score]]),_xlfn.STDEV.P(tblY9[[9C01 - Chemical Reactions
Raw Score]])),9),_Stanine,2),5),"")</f>
        <v>3</v>
      </c>
      <c r="R30" s="66" t="n">
        <v>11</v>
      </c>
      <c r="S30" s="67">
        <f>IF(ISNUMBER(tblY9[[#This Row],[9P01 - Electricity
Raw Score]]),IFERROR(VLOOKUP(ROUND(STANDARDIZE(tblY9[[#This Row],[9P01 - Electricity
Raw Score]],AVERAGE(tblY9[[9P01 - Electricity
Raw Score]]),_xlfn.STDEV.P(tblY9[[9P01 - Electricity
Raw Score]])),9),_Stanine,2),5),"")</f>
        <v>1</v>
      </c>
      <c r="T30" s="66" t="n">
        <v>12</v>
      </c>
      <c r="U30" s="67">
        <f>IF(ISNUMBER(tblY9[[#This Row],[9B02 - Ecology
Raw Score]]),IFERROR(VLOOKUP(ROUND(STANDARDIZE(tblY9[[#This Row],[9B02 - Ecology
Raw Score]],AVERAGE(tblY9[[9B02 - Ecology
Raw Score]]),_xlfn.STDEV.P(tblY9[[9B02 - Ecology
Raw Score]])),9),_Stanine,2),5),"")</f>
        <v>2</v>
      </c>
    </row>
    <row r="31">
      <c r="A31" s="65" t="inlineStr">
        <is>
          <t>X907994037774</t>
        </is>
      </c>
      <c r="B31" s="65" t="inlineStr">
        <is>
          <t>Edwards</t>
        </is>
      </c>
      <c r="C31" s="65" t="inlineStr">
        <is>
          <t>Lewis</t>
        </is>
      </c>
      <c r="D31" s="66" t="inlineStr">
        <is>
          <t>M</t>
        </is>
      </c>
      <c r="E31" s="66" t="inlineStr">
        <is>
          <t>K</t>
        </is>
      </c>
      <c r="F31" s="66" t="inlineStr">
        <is>
          <t>N</t>
        </is>
      </c>
      <c r="G31" s="34" t="n">
        <v>93.09999999999999</v>
      </c>
      <c r="H31" s="34" t="n">
        <v>99.5</v>
      </c>
      <c r="I31" s="67">
        <f>IF(ISNUMBER(tblY9[[#This Row],[Avg KS2]]),IFERROR(VLOOKUP(ROUND(STANDARDIZE(tblY9[[#This Row],[Avg KS2]],AVERAGE(tblY9[[Avg KS2]]),_xlfn.STDEV.P(tblY9[[Avg KS2]])),9),_Stanine,2),5),"")</f>
        <v>2</v>
      </c>
      <c r="J31" s="66" t="inlineStr">
        <is>
          <t>9A/Sc2</t>
        </is>
      </c>
      <c r="K31" s="67">
        <f>IF(tblY9[[#This Row],[Preferred Last name]]="","",COUNTIFS($N$1:$ZZ$1,"*"&amp;CHAR(10)&amp;"Stanine",$N31:$ZZ31,"&gt;=1"))</f>
        <v>4</v>
      </c>
      <c r="L31" s="68">
        <f>IFERROR(AVERAGEIF($N$1:$ZZ$1,"*"&amp;CHAR(10)&amp;"Stanine",$N31:$ZZ31),"")</f>
        <v>2.25</v>
      </c>
      <c r="M31" s="69">
        <f>IF(AND(ISNUMBER(tblY9[[#This Row],[Mean Stanine]]),ISNUMBER(tblY9[[#This Row],[Avg KS2 Band]]),ISNUMBER(SlopeY9)),tblY9[[#This Row],[Mean Stanine]]-(InterceptY9+SlopeY9*tblY9[[#This Row],[Avg KS2 Band]]),"")</f>
        <v>-0.533329428303655</v>
      </c>
      <c r="N31" s="66" t="n">
        <v>13</v>
      </c>
      <c r="O31" s="67">
        <f>IF(ISNUMBER(tblY9[[#This Row],[9B01 - Genetics
Raw Score]]),IFERROR(VLOOKUP(ROUND(STANDARDIZE(tblY9[[#This Row],[9B01 - Genetics
Raw Score]],AVERAGE(tblY9[[9B01 - Genetics
Raw Score]]),_xlfn.STDEV.P(tblY9[[9B01 - Genetics
Raw Score]])),9),_Stanine,2),5),"")</f>
        <v>2</v>
      </c>
      <c r="P31" s="66" t="n">
        <v>11</v>
      </c>
      <c r="Q31" s="67">
        <f>IF(ISNUMBER(tblY9[[#This Row],[9C01 - Chemical Reactions
Raw Score]]),IFERROR(VLOOKUP(ROUND(STANDARDIZE(tblY9[[#This Row],[9C01 - Chemical Reactions
Raw Score]],AVERAGE(tblY9[[9C01 - Chemical Reactions
Raw Score]]),_xlfn.STDEV.P(tblY9[[9C01 - Chemical Reactions
Raw Score]])),9),_Stanine,2),5),"")</f>
        <v>2</v>
      </c>
      <c r="R31" s="66" t="n">
        <v>15</v>
      </c>
      <c r="S31" s="67">
        <f>IF(ISNUMBER(tblY9[[#This Row],[9P01 - Electricity
Raw Score]]),IFERROR(VLOOKUP(ROUND(STANDARDIZE(tblY9[[#This Row],[9P01 - Electricity
Raw Score]],AVERAGE(tblY9[[9P01 - Electricity
Raw Score]]),_xlfn.STDEV.P(tblY9[[9P01 - Electricity
Raw Score]])),9),_Stanine,2),5),"")</f>
        <v>3</v>
      </c>
      <c r="T31" s="66" t="n">
        <v>10</v>
      </c>
      <c r="U31" s="67">
        <f>IF(ISNUMBER(tblY9[[#This Row],[9B02 - Ecology
Raw Score]]),IFERROR(VLOOKUP(ROUND(STANDARDIZE(tblY9[[#This Row],[9B02 - Ecology
Raw Score]],AVERAGE(tblY9[[9B02 - Ecology
Raw Score]]),_xlfn.STDEV.P(tblY9[[9B02 - Ecology
Raw Score]])),9),_Stanine,2),5),"")</f>
        <v>2</v>
      </c>
    </row>
    <row r="32">
      <c r="A32" s="65" t="inlineStr">
        <is>
          <t>X909467260383</t>
        </is>
      </c>
      <c r="B32" s="65" t="inlineStr">
        <is>
          <t>Fletcher</t>
        </is>
      </c>
      <c r="C32" s="65" t="inlineStr">
        <is>
          <t>Nia</t>
        </is>
      </c>
      <c r="D32" s="66" t="inlineStr">
        <is>
          <t>M</t>
        </is>
      </c>
      <c r="E32" s="66" t="inlineStr">
        <is>
          <t>E</t>
        </is>
      </c>
      <c r="F32" s="66" t="inlineStr">
        <is>
          <t>Y</t>
        </is>
      </c>
      <c r="G32" s="34" t="n">
        <v>91.3</v>
      </c>
      <c r="H32" s="34" t="n">
        <v>110</v>
      </c>
      <c r="I32" s="67">
        <f>IF(ISNUMBER(tblY9[[#This Row],[Avg KS2]]),IFERROR(VLOOKUP(ROUND(STANDARDIZE(tblY9[[#This Row],[Avg KS2]],AVERAGE(tblY9[[Avg KS2]]),_xlfn.STDEV.P(tblY9[[Avg KS2]])),9),_Stanine,2),5),"")</f>
        <v>6</v>
      </c>
      <c r="J32" s="66" t="inlineStr">
        <is>
          <t>9A/Sc2</t>
        </is>
      </c>
      <c r="K32" s="67">
        <f>IF(tblY9[[#This Row],[Preferred Last name]]="","",COUNTIFS($N$1:$ZZ$1,"*"&amp;CHAR(10)&amp;"Stanine",$N32:$ZZ32,"&gt;=1"))</f>
        <v>4</v>
      </c>
      <c r="L32" s="68">
        <f>IFERROR(AVERAGEIF($N$1:$ZZ$1,"*"&amp;CHAR(10)&amp;"Stanine",$N32:$ZZ32),"")</f>
        <v>4.75</v>
      </c>
      <c r="M32" s="69">
        <f>IF(AND(ISNUMBER(tblY9[[#This Row],[Mean Stanine]]),ISNUMBER(tblY9[[#This Row],[Avg KS2 Band]]),ISNUMBER(SlopeY9)),tblY9[[#This Row],[Mean Stanine]]-(InterceptY9+SlopeY9*tblY9[[#This Row],[Avg KS2 Band]]),"")</f>
        <v>-1.08698453608247</v>
      </c>
      <c r="N32" s="66" t="n">
        <v>21</v>
      </c>
      <c r="O32" s="67">
        <f>IF(ISNUMBER(tblY9[[#This Row],[9B01 - Genetics
Raw Score]]),IFERROR(VLOOKUP(ROUND(STANDARDIZE(tblY9[[#This Row],[9B01 - Genetics
Raw Score]],AVERAGE(tblY9[[9B01 - Genetics
Raw Score]]),_xlfn.STDEV.P(tblY9[[9B01 - Genetics
Raw Score]])),9),_Stanine,2),5),"")</f>
        <v>5</v>
      </c>
      <c r="P32" s="66" t="n">
        <v>17</v>
      </c>
      <c r="Q32" s="67">
        <f>IF(ISNUMBER(tblY9[[#This Row],[9C01 - Chemical Reactions
Raw Score]]),IFERROR(VLOOKUP(ROUND(STANDARDIZE(tblY9[[#This Row],[9C01 - Chemical Reactions
Raw Score]],AVERAGE(tblY9[[9C01 - Chemical Reactions
Raw Score]]),_xlfn.STDEV.P(tblY9[[9C01 - Chemical Reactions
Raw Score]])),9),_Stanine,2),5),"")</f>
        <v>4</v>
      </c>
      <c r="R32" s="66" t="n">
        <v>19</v>
      </c>
      <c r="S32" s="67">
        <f>IF(ISNUMBER(tblY9[[#This Row],[9P01 - Electricity
Raw Score]]),IFERROR(VLOOKUP(ROUND(STANDARDIZE(tblY9[[#This Row],[9P01 - Electricity
Raw Score]],AVERAGE(tblY9[[9P01 - Electricity
Raw Score]]),_xlfn.STDEV.P(tblY9[[9P01 - Electricity
Raw Score]])),9),_Stanine,2),5),"")</f>
        <v>4</v>
      </c>
      <c r="T32" s="66" t="n">
        <v>19</v>
      </c>
      <c r="U32" s="67">
        <f>IF(ISNUMBER(tblY9[[#This Row],[9B02 - Ecology
Raw Score]]),IFERROR(VLOOKUP(ROUND(STANDARDIZE(tblY9[[#This Row],[9B02 - Ecology
Raw Score]],AVERAGE(tblY9[[9B02 - Ecology
Raw Score]]),_xlfn.STDEV.P(tblY9[[9B02 - Ecology
Raw Score]])),9),_Stanine,2),5),"")</f>
        <v>6</v>
      </c>
    </row>
    <row r="33">
      <c r="A33" s="65" t="inlineStr">
        <is>
          <t>X903929952991</t>
        </is>
      </c>
      <c r="B33" s="65" t="inlineStr">
        <is>
          <t>Green</t>
        </is>
      </c>
      <c r="C33" s="65" t="inlineStr">
        <is>
          <t>Hollie</t>
        </is>
      </c>
      <c r="D33" s="66" t="inlineStr">
        <is>
          <t>M</t>
        </is>
      </c>
      <c r="E33" s="66" t="inlineStr">
        <is>
          <t>N</t>
        </is>
      </c>
      <c r="F33" s="66" t="inlineStr">
        <is>
          <t>Y</t>
        </is>
      </c>
      <c r="G33" s="34" t="n">
        <v>90.8</v>
      </c>
      <c r="H33" s="34" t="n">
        <v>109</v>
      </c>
      <c r="I33" s="67">
        <f>IF(ISNUMBER(tblY9[[#This Row],[Avg KS2]]),IFERROR(VLOOKUP(ROUND(STANDARDIZE(tblY9[[#This Row],[Avg KS2]],AVERAGE(tblY9[[Avg KS2]]),_xlfn.STDEV.P(tblY9[[Avg KS2]])),9),_Stanine,2),5),"")</f>
        <v>6</v>
      </c>
      <c r="J33" s="66" t="inlineStr">
        <is>
          <t>9A/Sc2</t>
        </is>
      </c>
      <c r="K33" s="67">
        <f>IF(tblY9[[#This Row],[Preferred Last name]]="","",COUNTIFS($N$1:$ZZ$1,"*"&amp;CHAR(10)&amp;"Stanine",$N33:$ZZ33,"&gt;=1"))</f>
        <v>4</v>
      </c>
      <c r="L33" s="68">
        <f>IFERROR(AVERAGEIF($N$1:$ZZ$1,"*"&amp;CHAR(10)&amp;"Stanine",$N33:$ZZ33),"")</f>
        <v>4.75</v>
      </c>
      <c r="M33" s="69">
        <f>IF(AND(ISNUMBER(tblY9[[#This Row],[Mean Stanine]]),ISNUMBER(tblY9[[#This Row],[Avg KS2 Band]]),ISNUMBER(SlopeY9)),tblY9[[#This Row],[Mean Stanine]]-(InterceptY9+SlopeY9*tblY9[[#This Row],[Avg KS2 Band]]),"")</f>
        <v>-1.08698453608247</v>
      </c>
      <c r="N33" s="66" t="n">
        <v>17</v>
      </c>
      <c r="O33" s="67">
        <f>IF(ISNUMBER(tblY9[[#This Row],[9B01 - Genetics
Raw Score]]),IFERROR(VLOOKUP(ROUND(STANDARDIZE(tblY9[[#This Row],[9B01 - Genetics
Raw Score]],AVERAGE(tblY9[[9B01 - Genetics
Raw Score]]),_xlfn.STDEV.P(tblY9[[9B01 - Genetics
Raw Score]])),9),_Stanine,2),5),"")</f>
        <v>4</v>
      </c>
      <c r="P33" s="66" t="n">
        <v>20</v>
      </c>
      <c r="Q33" s="67">
        <f>IF(ISNUMBER(tblY9[[#This Row],[9C01 - Chemical Reactions
Raw Score]]),IFERROR(VLOOKUP(ROUND(STANDARDIZE(tblY9[[#This Row],[9C01 - Chemical Reactions
Raw Score]],AVERAGE(tblY9[[9C01 - Chemical Reactions
Raw Score]]),_xlfn.STDEV.P(tblY9[[9C01 - Chemical Reactions
Raw Score]])),9),_Stanine,2),5),"")</f>
        <v>5</v>
      </c>
      <c r="R33" s="66" t="n">
        <v>21</v>
      </c>
      <c r="S33" s="67">
        <f>IF(ISNUMBER(tblY9[[#This Row],[9P01 - Electricity
Raw Score]]),IFERROR(VLOOKUP(ROUND(STANDARDIZE(tblY9[[#This Row],[9P01 - Electricity
Raw Score]],AVERAGE(tblY9[[9P01 - Electricity
Raw Score]]),_xlfn.STDEV.P(tblY9[[9P01 - Electricity
Raw Score]])),9),_Stanine,2),5),"")</f>
        <v>5</v>
      </c>
      <c r="T33" s="66" t="n">
        <v>17</v>
      </c>
      <c r="U33" s="67">
        <f>IF(ISNUMBER(tblY9[[#This Row],[9B02 - Ecology
Raw Score]]),IFERROR(VLOOKUP(ROUND(STANDARDIZE(tblY9[[#This Row],[9B02 - Ecology
Raw Score]],AVERAGE(tblY9[[9B02 - Ecology
Raw Score]]),_xlfn.STDEV.P(tblY9[[9B02 - Ecology
Raw Score]])),9),_Stanine,2),5),"")</f>
        <v>5</v>
      </c>
    </row>
    <row r="34">
      <c r="A34" s="65" t="inlineStr">
        <is>
          <t>X905533724469</t>
        </is>
      </c>
      <c r="B34" s="65" t="inlineStr">
        <is>
          <t>Griffiths</t>
        </is>
      </c>
      <c r="C34" s="65" t="inlineStr">
        <is>
          <t>Aisha</t>
        </is>
      </c>
      <c r="D34" s="66" t="inlineStr">
        <is>
          <t>F</t>
        </is>
      </c>
      <c r="E34" s="66" t="inlineStr">
        <is>
          <t>N</t>
        </is>
      </c>
      <c r="F34" s="66" t="inlineStr">
        <is>
          <t>N</t>
        </is>
      </c>
      <c r="G34" s="34" t="n">
        <v>95.7</v>
      </c>
      <c r="H34" s="34" t="n">
        <v>109</v>
      </c>
      <c r="I34" s="67">
        <f>IF(ISNUMBER(tblY9[[#This Row],[Avg KS2]]),IFERROR(VLOOKUP(ROUND(STANDARDIZE(tblY9[[#This Row],[Avg KS2]],AVERAGE(tblY9[[Avg KS2]]),_xlfn.STDEV.P(tblY9[[Avg KS2]])),9),_Stanine,2),5),"")</f>
        <v>6</v>
      </c>
      <c r="J34" s="66" t="inlineStr">
        <is>
          <t>9A/Sc2</t>
        </is>
      </c>
      <c r="K34" s="67">
        <f>IF(tblY9[[#This Row],[Preferred Last name]]="","",COUNTIFS($N$1:$ZZ$1,"*"&amp;CHAR(10)&amp;"Stanine",$N34:$ZZ34,"&gt;=1"))</f>
        <v>4</v>
      </c>
      <c r="L34" s="68">
        <f>IFERROR(AVERAGEIF($N$1:$ZZ$1,"*"&amp;CHAR(10)&amp;"Stanine",$N34:$ZZ34),"")</f>
        <v>5</v>
      </c>
      <c r="M34" s="69">
        <f>IF(AND(ISNUMBER(tblY9[[#This Row],[Mean Stanine]]),ISNUMBER(tblY9[[#This Row],[Avg KS2 Band]]),ISNUMBER(SlopeY9)),tblY9[[#This Row],[Mean Stanine]]-(InterceptY9+SlopeY9*tblY9[[#This Row],[Avg KS2 Band]]),"")</f>
        <v>-0.836984536082474</v>
      </c>
      <c r="N34" s="66" t="n">
        <v>17</v>
      </c>
      <c r="O34" s="67">
        <f>IF(ISNUMBER(tblY9[[#This Row],[9B01 - Genetics
Raw Score]]),IFERROR(VLOOKUP(ROUND(STANDARDIZE(tblY9[[#This Row],[9B01 - Genetics
Raw Score]],AVERAGE(tblY9[[9B01 - Genetics
Raw Score]]),_xlfn.STDEV.P(tblY9[[9B01 - Genetics
Raw Score]])),9),_Stanine,2),5),"")</f>
        <v>4</v>
      </c>
      <c r="P34" s="66" t="n">
        <v>20</v>
      </c>
      <c r="Q34" s="67">
        <f>IF(ISNUMBER(tblY9[[#This Row],[9C01 - Chemical Reactions
Raw Score]]),IFERROR(VLOOKUP(ROUND(STANDARDIZE(tblY9[[#This Row],[9C01 - Chemical Reactions
Raw Score]],AVERAGE(tblY9[[9C01 - Chemical Reactions
Raw Score]]),_xlfn.STDEV.P(tblY9[[9C01 - Chemical Reactions
Raw Score]])),9),_Stanine,2),5),"")</f>
        <v>5</v>
      </c>
      <c r="R34" s="66" t="n">
        <v>21</v>
      </c>
      <c r="S34" s="67">
        <f>IF(ISNUMBER(tblY9[[#This Row],[9P01 - Electricity
Raw Score]]),IFERROR(VLOOKUP(ROUND(STANDARDIZE(tblY9[[#This Row],[9P01 - Electricity
Raw Score]],AVERAGE(tblY9[[9P01 - Electricity
Raw Score]]),_xlfn.STDEV.P(tblY9[[9P01 - Electricity
Raw Score]])),9),_Stanine,2),5),"")</f>
        <v>5</v>
      </c>
      <c r="T34" s="66" t="n">
        <v>19</v>
      </c>
      <c r="U34" s="67">
        <f>IF(ISNUMBER(tblY9[[#This Row],[9B02 - Ecology
Raw Score]]),IFERROR(VLOOKUP(ROUND(STANDARDIZE(tblY9[[#This Row],[9B02 - Ecology
Raw Score]],AVERAGE(tblY9[[9B02 - Ecology
Raw Score]]),_xlfn.STDEV.P(tblY9[[9B02 - Ecology
Raw Score]])),9),_Stanine,2),5),"")</f>
        <v>6</v>
      </c>
    </row>
    <row r="35">
      <c r="A35" s="65" t="inlineStr">
        <is>
          <t>X900302601881</t>
        </is>
      </c>
      <c r="B35" s="65" t="inlineStr">
        <is>
          <t>Harrison</t>
        </is>
      </c>
      <c r="C35" s="65" t="inlineStr">
        <is>
          <t>Arjun</t>
        </is>
      </c>
      <c r="D35" s="66" t="inlineStr">
        <is>
          <t>M</t>
        </is>
      </c>
      <c r="E35" s="66" t="inlineStr">
        <is>
          <t>N</t>
        </is>
      </c>
      <c r="F35" s="66" t="inlineStr">
        <is>
          <t>N</t>
        </is>
      </c>
      <c r="G35" s="34" t="n">
        <v>93.90000000000001</v>
      </c>
      <c r="H35" s="34" t="n">
        <v>105.5</v>
      </c>
      <c r="I35" s="67">
        <f>IF(ISNUMBER(tblY9[[#This Row],[Avg KS2]]),IFERROR(VLOOKUP(ROUND(STANDARDIZE(tblY9[[#This Row],[Avg KS2]],AVERAGE(tblY9[[Avg KS2]]),_xlfn.STDEV.P(tblY9[[Avg KS2]])),9),_Stanine,2),5),"")</f>
        <v>5</v>
      </c>
      <c r="J35" s="66" t="inlineStr">
        <is>
          <t>9A/Sc2</t>
        </is>
      </c>
      <c r="K35" s="67">
        <f>IF(tblY9[[#This Row],[Preferred Last name]]="","",COUNTIFS($N$1:$ZZ$1,"*"&amp;CHAR(10)&amp;"Stanine",$N35:$ZZ35,"&gt;=1"))</f>
        <v>4</v>
      </c>
      <c r="L35" s="68">
        <f>IFERROR(AVERAGEIF($N$1:$ZZ$1,"*"&amp;CHAR(10)&amp;"Stanine",$N35:$ZZ35),"")</f>
        <v>5.5</v>
      </c>
      <c r="M35" s="69">
        <f>IF(AND(ISNUMBER(tblY9[[#This Row],[Mean Stanine]]),ISNUMBER(tblY9[[#This Row],[Avg KS2 Band]]),ISNUMBER(SlopeY9)),tblY9[[#This Row],[Mean Stanine]]-(InterceptY9+SlopeY9*tblY9[[#This Row],[Avg KS2 Band]]),"")</f>
        <v>0.42642924086223</v>
      </c>
      <c r="N35" s="66" t="n">
        <v>23</v>
      </c>
      <c r="O35" s="67">
        <f>IF(ISNUMBER(tblY9[[#This Row],[9B01 - Genetics
Raw Score]]),IFERROR(VLOOKUP(ROUND(STANDARDIZE(tblY9[[#This Row],[9B01 - Genetics
Raw Score]],AVERAGE(tblY9[[9B01 - Genetics
Raw Score]]),_xlfn.STDEV.P(tblY9[[9B01 - Genetics
Raw Score]])),9),_Stanine,2),5),"")</f>
        <v>6</v>
      </c>
      <c r="P35" s="66" t="n">
        <v>19</v>
      </c>
      <c r="Q35" s="67">
        <f>IF(ISNUMBER(tblY9[[#This Row],[9C01 - Chemical Reactions
Raw Score]]),IFERROR(VLOOKUP(ROUND(STANDARDIZE(tblY9[[#This Row],[9C01 - Chemical Reactions
Raw Score]],AVERAGE(tblY9[[9C01 - Chemical Reactions
Raw Score]]),_xlfn.STDEV.P(tblY9[[9C01 - Chemical Reactions
Raw Score]])),9),_Stanine,2),5),"")</f>
        <v>4</v>
      </c>
      <c r="R35" s="66" t="n">
        <v>25</v>
      </c>
      <c r="S35" s="67">
        <f>IF(ISNUMBER(tblY9[[#This Row],[9P01 - Electricity
Raw Score]]),IFERROR(VLOOKUP(ROUND(STANDARDIZE(tblY9[[#This Row],[9P01 - Electricity
Raw Score]],AVERAGE(tblY9[[9P01 - Electricity
Raw Score]]),_xlfn.STDEV.P(tblY9[[9P01 - Electricity
Raw Score]])),9),_Stanine,2),5),"")</f>
        <v>7</v>
      </c>
      <c r="T35" s="66" t="n">
        <v>18</v>
      </c>
      <c r="U35" s="67">
        <f>IF(ISNUMBER(tblY9[[#This Row],[9B02 - Ecology
Raw Score]]),IFERROR(VLOOKUP(ROUND(STANDARDIZE(tblY9[[#This Row],[9B02 - Ecology
Raw Score]],AVERAGE(tblY9[[9B02 - Ecology
Raw Score]]),_xlfn.STDEV.P(tblY9[[9B02 - Ecology
Raw Score]])),9),_Stanine,2),5),"")</f>
        <v>5</v>
      </c>
    </row>
    <row r="36">
      <c r="A36" s="65" t="inlineStr">
        <is>
          <t>X903089253650</t>
        </is>
      </c>
      <c r="B36" s="65" t="inlineStr">
        <is>
          <t>Jackson</t>
        </is>
      </c>
      <c r="C36" s="65" t="inlineStr">
        <is>
          <t>Rhys</t>
        </is>
      </c>
      <c r="D36" s="66" t="inlineStr">
        <is>
          <t>M</t>
        </is>
      </c>
      <c r="E36" s="66" t="inlineStr">
        <is>
          <t>K</t>
        </is>
      </c>
      <c r="F36" s="66" t="inlineStr">
        <is>
          <t>N</t>
        </is>
      </c>
      <c r="G36" s="34" t="n">
        <v>97.09999999999999</v>
      </c>
      <c r="H36" s="34" t="n">
        <v>111</v>
      </c>
      <c r="I36" s="67">
        <f>IF(ISNUMBER(tblY9[[#This Row],[Avg KS2]]),IFERROR(VLOOKUP(ROUND(STANDARDIZE(tblY9[[#This Row],[Avg KS2]],AVERAGE(tblY9[[Avg KS2]]),_xlfn.STDEV.P(tblY9[[Avg KS2]])),9),_Stanine,2),5),"")</f>
        <v>7</v>
      </c>
      <c r="J36" s="66" t="inlineStr">
        <is>
          <t>9A/Sc2</t>
        </is>
      </c>
      <c r="K36" s="67">
        <f>IF(tblY9[[#This Row],[Preferred Last name]]="","",COUNTIFS($N$1:$ZZ$1,"*"&amp;CHAR(10)&amp;"Stanine",$N36:$ZZ36,"&gt;=1"))</f>
        <v>4</v>
      </c>
      <c r="L36" s="68">
        <f>IFERROR(AVERAGEIF($N$1:$ZZ$1,"*"&amp;CHAR(10)&amp;"Stanine",$N36:$ZZ36),"")</f>
        <v>6.5</v>
      </c>
      <c r="M36" s="69">
        <f>IF(AND(ISNUMBER(tblY9[[#This Row],[Mean Stanine]]),ISNUMBER(tblY9[[#This Row],[Avg KS2 Band]]),ISNUMBER(SlopeY9)),tblY9[[#This Row],[Mean Stanine]]-(InterceptY9+SlopeY9*tblY9[[#This Row],[Avg KS2 Band]]),"")</f>
        <v>-0.100398313027179</v>
      </c>
      <c r="N36" s="66" t="n">
        <v>25</v>
      </c>
      <c r="O36" s="67">
        <f>IF(ISNUMBER(tblY9[[#This Row],[9B01 - Genetics
Raw Score]]),IFERROR(VLOOKUP(ROUND(STANDARDIZE(tblY9[[#This Row],[9B01 - Genetics
Raw Score]],AVERAGE(tblY9[[9B01 - Genetics
Raw Score]]),_xlfn.STDEV.P(tblY9[[9B01 - Genetics
Raw Score]])),9),_Stanine,2),5),"")</f>
        <v>7</v>
      </c>
      <c r="P36" s="66" t="n">
        <v>25</v>
      </c>
      <c r="Q36" s="67">
        <f>IF(ISNUMBER(tblY9[[#This Row],[9C01 - Chemical Reactions
Raw Score]]),IFERROR(VLOOKUP(ROUND(STANDARDIZE(tblY9[[#This Row],[9C01 - Chemical Reactions
Raw Score]],AVERAGE(tblY9[[9C01 - Chemical Reactions
Raw Score]]),_xlfn.STDEV.P(tblY9[[9C01 - Chemical Reactions
Raw Score]])),9),_Stanine,2),5),"")</f>
        <v>6</v>
      </c>
      <c r="R36" s="66" t="n">
        <v>23</v>
      </c>
      <c r="S36" s="67">
        <f>IF(ISNUMBER(tblY9[[#This Row],[9P01 - Electricity
Raw Score]]),IFERROR(VLOOKUP(ROUND(STANDARDIZE(tblY9[[#This Row],[9P01 - Electricity
Raw Score]],AVERAGE(tblY9[[9P01 - Electricity
Raw Score]]),_xlfn.STDEV.P(tblY9[[9P01 - Electricity
Raw Score]])),9),_Stanine,2),5),"")</f>
        <v>6</v>
      </c>
      <c r="T36" s="66" t="n">
        <v>23</v>
      </c>
      <c r="U36" s="67">
        <f>IF(ISNUMBER(tblY9[[#This Row],[9B02 - Ecology
Raw Score]]),IFERROR(VLOOKUP(ROUND(STANDARDIZE(tblY9[[#This Row],[9B02 - Ecology
Raw Score]],AVERAGE(tblY9[[9B02 - Ecology
Raw Score]]),_xlfn.STDEV.P(tblY9[[9B02 - Ecology
Raw Score]])),9),_Stanine,2),5),"")</f>
        <v>7</v>
      </c>
    </row>
    <row r="37">
      <c r="A37" s="65" t="inlineStr">
        <is>
          <t>X902064003100</t>
        </is>
      </c>
      <c r="B37" s="65" t="inlineStr">
        <is>
          <t>Kowalski</t>
        </is>
      </c>
      <c r="C37" s="65" t="inlineStr">
        <is>
          <t>Arthur</t>
        </is>
      </c>
      <c r="D37" s="66" t="inlineStr">
        <is>
          <t>F</t>
        </is>
      </c>
      <c r="E37" s="66" t="n"/>
      <c r="F37" s="66" t="inlineStr">
        <is>
          <t>N</t>
        </is>
      </c>
      <c r="G37" s="34" t="n">
        <v>96</v>
      </c>
      <c r="H37" s="34" t="n">
        <v>100</v>
      </c>
      <c r="I37" s="67">
        <f>IF(ISNUMBER(tblY9[[#This Row],[Avg KS2]]),IFERROR(VLOOKUP(ROUND(STANDARDIZE(tblY9[[#This Row],[Avg KS2]],AVERAGE(tblY9[[Avg KS2]]),_xlfn.STDEV.P(tblY9[[Avg KS2]])),9),_Stanine,2),5),"")</f>
        <v>2</v>
      </c>
      <c r="J37" s="66" t="inlineStr">
        <is>
          <t>9A/Sc2</t>
        </is>
      </c>
      <c r="K37" s="67">
        <f>IF(tblY9[[#This Row],[Preferred Last name]]="","",COUNTIFS($N$1:$ZZ$1,"*"&amp;CHAR(10)&amp;"Stanine",$N37:$ZZ37,"&gt;=1"))</f>
        <v>4</v>
      </c>
      <c r="L37" s="68">
        <f>IFERROR(AVERAGEIF($N$1:$ZZ$1,"*"&amp;CHAR(10)&amp;"Stanine",$N37:$ZZ37),"")</f>
        <v>3</v>
      </c>
      <c r="M37" s="69">
        <f>IF(AND(ISNUMBER(tblY9[[#This Row],[Mean Stanine]]),ISNUMBER(tblY9[[#This Row],[Avg KS2 Band]]),ISNUMBER(SlopeY9)),tblY9[[#This Row],[Mean Stanine]]-(InterceptY9+SlopeY9*tblY9[[#This Row],[Avg KS2 Band]]),"")</f>
        <v>0.216670571696345</v>
      </c>
      <c r="N37" s="66" t="n">
        <v>15</v>
      </c>
      <c r="O37" s="67">
        <f>IF(ISNUMBER(tblY9[[#This Row],[9B01 - Genetics
Raw Score]]),IFERROR(VLOOKUP(ROUND(STANDARDIZE(tblY9[[#This Row],[9B01 - Genetics
Raw Score]],AVERAGE(tblY9[[9B01 - Genetics
Raw Score]]),_xlfn.STDEV.P(tblY9[[9B01 - Genetics
Raw Score]])),9),_Stanine,2),5),"")</f>
        <v>3</v>
      </c>
      <c r="P37" s="66" t="n">
        <v>14</v>
      </c>
      <c r="Q37" s="67">
        <f>IF(ISNUMBER(tblY9[[#This Row],[9C01 - Chemical Reactions
Raw Score]]),IFERROR(VLOOKUP(ROUND(STANDARDIZE(tblY9[[#This Row],[9C01 - Chemical Reactions
Raw Score]],AVERAGE(tblY9[[9C01 - Chemical Reactions
Raw Score]]),_xlfn.STDEV.P(tblY9[[9C01 - Chemical Reactions
Raw Score]])),9),_Stanine,2),5),"")</f>
        <v>3</v>
      </c>
      <c r="R37" s="66" t="n">
        <v>16</v>
      </c>
      <c r="S37" s="67">
        <f>IF(ISNUMBER(tblY9[[#This Row],[9P01 - Electricity
Raw Score]]),IFERROR(VLOOKUP(ROUND(STANDARDIZE(tblY9[[#This Row],[9P01 - Electricity
Raw Score]],AVERAGE(tblY9[[9P01 - Electricity
Raw Score]]),_xlfn.STDEV.P(tblY9[[9P01 - Electricity
Raw Score]])),9),_Stanine,2),5),"")</f>
        <v>3</v>
      </c>
      <c r="T37" s="66" t="n">
        <v>14</v>
      </c>
      <c r="U37" s="67">
        <f>IF(ISNUMBER(tblY9[[#This Row],[9B02 - Ecology
Raw Score]]),IFERROR(VLOOKUP(ROUND(STANDARDIZE(tblY9[[#This Row],[9B02 - Ecology
Raw Score]],AVERAGE(tblY9[[9B02 - Ecology
Raw Score]]),_xlfn.STDEV.P(tblY9[[9B02 - Ecology
Raw Score]])),9),_Stanine,2),5),"")</f>
        <v>3</v>
      </c>
    </row>
    <row r="38">
      <c r="A38" s="65" t="inlineStr">
        <is>
          <t>X905974439460</t>
        </is>
      </c>
      <c r="B38" s="65" t="inlineStr">
        <is>
          <t>Lloyd</t>
        </is>
      </c>
      <c r="C38" s="65" t="inlineStr">
        <is>
          <t>Chidi</t>
        </is>
      </c>
      <c r="D38" s="66" t="inlineStr">
        <is>
          <t>M</t>
        </is>
      </c>
      <c r="E38" s="66" t="inlineStr">
        <is>
          <t>N</t>
        </is>
      </c>
      <c r="F38" s="66" t="inlineStr">
        <is>
          <t>N</t>
        </is>
      </c>
      <c r="G38" s="34" t="n">
        <v>93.3</v>
      </c>
      <c r="H38" s="34" t="n">
        <v>110</v>
      </c>
      <c r="I38" s="67">
        <f>IF(ISNUMBER(tblY9[[#This Row],[Avg KS2]]),IFERROR(VLOOKUP(ROUND(STANDARDIZE(tblY9[[#This Row],[Avg KS2]],AVERAGE(tblY9[[Avg KS2]]),_xlfn.STDEV.P(tblY9[[Avg KS2]])),9),_Stanine,2),5),"")</f>
        <v>6</v>
      </c>
      <c r="J38" s="66" t="inlineStr">
        <is>
          <t>9A/Sc2</t>
        </is>
      </c>
      <c r="K38" s="67">
        <f>IF(tblY9[[#This Row],[Preferred Last name]]="","",COUNTIFS($N$1:$ZZ$1,"*"&amp;CHAR(10)&amp;"Stanine",$N38:$ZZ38,"&gt;=1"))</f>
        <v>4</v>
      </c>
      <c r="L38" s="68">
        <f>IFERROR(AVERAGEIF($N$1:$ZZ$1,"*"&amp;CHAR(10)&amp;"Stanine",$N38:$ZZ38),"")</f>
        <v>6</v>
      </c>
      <c r="M38" s="69">
        <f>IF(AND(ISNUMBER(tblY9[[#This Row],[Mean Stanine]]),ISNUMBER(tblY9[[#This Row],[Avg KS2 Band]]),ISNUMBER(SlopeY9)),tblY9[[#This Row],[Mean Stanine]]-(InterceptY9+SlopeY9*tblY9[[#This Row],[Avg KS2 Band]]),"")</f>
        <v>0.163015463917526</v>
      </c>
      <c r="N38" s="66" t="n">
        <v>21</v>
      </c>
      <c r="O38" s="67">
        <f>IF(ISNUMBER(tblY9[[#This Row],[9B01 - Genetics
Raw Score]]),IFERROR(VLOOKUP(ROUND(STANDARDIZE(tblY9[[#This Row],[9B01 - Genetics
Raw Score]],AVERAGE(tblY9[[9B01 - Genetics
Raw Score]]),_xlfn.STDEV.P(tblY9[[9B01 - Genetics
Raw Score]])),9),_Stanine,2),5),"")</f>
        <v>5</v>
      </c>
      <c r="P38" s="66" t="n">
        <v>24</v>
      </c>
      <c r="Q38" s="67">
        <f>IF(ISNUMBER(tblY9[[#This Row],[9C01 - Chemical Reactions
Raw Score]]),IFERROR(VLOOKUP(ROUND(STANDARDIZE(tblY9[[#This Row],[9C01 - Chemical Reactions
Raw Score]],AVERAGE(tblY9[[9C01 - Chemical Reactions
Raw Score]]),_xlfn.STDEV.P(tblY9[[9C01 - Chemical Reactions
Raw Score]])),9),_Stanine,2),5),"")</f>
        <v>6</v>
      </c>
      <c r="R38" s="66" t="n">
        <v>22</v>
      </c>
      <c r="S38" s="67">
        <f>IF(ISNUMBER(tblY9[[#This Row],[9P01 - Electricity
Raw Score]]),IFERROR(VLOOKUP(ROUND(STANDARDIZE(tblY9[[#This Row],[9P01 - Electricity
Raw Score]],AVERAGE(tblY9[[9P01 - Electricity
Raw Score]]),_xlfn.STDEV.P(tblY9[[9P01 - Electricity
Raw Score]])),9),_Stanine,2),5),"")</f>
        <v>6</v>
      </c>
      <c r="T38" s="66" t="n">
        <v>21</v>
      </c>
      <c r="U38" s="67">
        <f>IF(ISNUMBER(tblY9[[#This Row],[9B02 - Ecology
Raw Score]]),IFERROR(VLOOKUP(ROUND(STANDARDIZE(tblY9[[#This Row],[9B02 - Ecology
Raw Score]],AVERAGE(tblY9[[9B02 - Ecology
Raw Score]]),_xlfn.STDEV.P(tblY9[[9B02 - Ecology
Raw Score]])),9),_Stanine,2),5),"")</f>
        <v>7</v>
      </c>
    </row>
    <row r="39">
      <c r="A39" s="65" t="inlineStr">
        <is>
          <t>X907576318127</t>
        </is>
      </c>
      <c r="B39" s="65" t="inlineStr">
        <is>
          <t>Mistry</t>
        </is>
      </c>
      <c r="C39" s="65" t="inlineStr">
        <is>
          <t>Ethan</t>
        </is>
      </c>
      <c r="D39" s="66" t="inlineStr">
        <is>
          <t>M</t>
        </is>
      </c>
      <c r="E39" s="66" t="inlineStr">
        <is>
          <t>K</t>
        </is>
      </c>
      <c r="F39" s="66" t="inlineStr">
        <is>
          <t>N</t>
        </is>
      </c>
      <c r="G39" s="34" t="n">
        <v>95.2</v>
      </c>
      <c r="H39" s="34" t="n">
        <v>106.5</v>
      </c>
      <c r="I39" s="67">
        <f>IF(ISNUMBER(tblY9[[#This Row],[Avg KS2]]),IFERROR(VLOOKUP(ROUND(STANDARDIZE(tblY9[[#This Row],[Avg KS2]],AVERAGE(tblY9[[Avg KS2]]),_xlfn.STDEV.P(tblY9[[Avg KS2]])),9),_Stanine,2),5),"")</f>
        <v>5</v>
      </c>
      <c r="J39" s="66" t="inlineStr">
        <is>
          <t>9A/Sc2</t>
        </is>
      </c>
      <c r="K39" s="67">
        <f>IF(tblY9[[#This Row],[Preferred Last name]]="","",COUNTIFS($N$1:$ZZ$1,"*"&amp;CHAR(10)&amp;"Stanine",$N39:$ZZ39,"&gt;=1"))</f>
        <v>3</v>
      </c>
      <c r="L39" s="68">
        <f>IFERROR(AVERAGEIF($N$1:$ZZ$1,"*"&amp;CHAR(10)&amp;"Stanine",$N39:$ZZ39),"")</f>
        <v>4.66666666666667</v>
      </c>
      <c r="M39" s="69">
        <f>IF(AND(ISNUMBER(tblY9[[#This Row],[Mean Stanine]]),ISNUMBER(tblY9[[#This Row],[Avg KS2 Band]]),ISNUMBER(SlopeY9)),tblY9[[#This Row],[Mean Stanine]]-(InterceptY9+SlopeY9*tblY9[[#This Row],[Avg KS2 Band]]),"")</f>
        <v>-0.406904092471103</v>
      </c>
      <c r="N39" s="66" t="n">
        <v>23</v>
      </c>
      <c r="O39" s="67">
        <f>IF(ISNUMBER(tblY9[[#This Row],[9B01 - Genetics
Raw Score]]),IFERROR(VLOOKUP(ROUND(STANDARDIZE(tblY9[[#This Row],[9B01 - Genetics
Raw Score]],AVERAGE(tblY9[[9B01 - Genetics
Raw Score]]),_xlfn.STDEV.P(tblY9[[9B01 - Genetics
Raw Score]])),9),_Stanine,2),5),"")</f>
        <v>6</v>
      </c>
      <c r="P39" s="66" t="n">
        <v>18</v>
      </c>
      <c r="Q39" s="67">
        <f>IF(ISNUMBER(tblY9[[#This Row],[9C01 - Chemical Reactions
Raw Score]]),IFERROR(VLOOKUP(ROUND(STANDARDIZE(tblY9[[#This Row],[9C01 - Chemical Reactions
Raw Score]],AVERAGE(tblY9[[9C01 - Chemical Reactions
Raw Score]]),_xlfn.STDEV.P(tblY9[[9C01 - Chemical Reactions
Raw Score]])),9),_Stanine,2),5),"")</f>
        <v>4</v>
      </c>
      <c r="R39" s="66" t="n">
        <v>17</v>
      </c>
      <c r="S39" s="67">
        <f>IF(ISNUMBER(tblY9[[#This Row],[9P01 - Electricity
Raw Score]]),IFERROR(VLOOKUP(ROUND(STANDARDIZE(tblY9[[#This Row],[9P01 - Electricity
Raw Score]],AVERAGE(tblY9[[9P01 - Electricity
Raw Score]]),_xlfn.STDEV.P(tblY9[[9P01 - Electricity
Raw Score]])),9),_Stanine,2),5),"")</f>
        <v>4</v>
      </c>
      <c r="T39" s="66" t="inlineStr">
        <is>
          <t>A</t>
        </is>
      </c>
      <c r="U39" s="67" t="str">
        <f>IF(ISNUMBER(tblY9[[#This Row],[9B02 - Ecology
Raw Score]]),IFERROR(VLOOKUP(ROUND(STANDARDIZE(tblY9[[#This Row],[9B02 - Ecology
Raw Score]],AVERAGE(tblY9[[9B02 - Ecology
Raw Score]]),_xlfn.STDEV.P(tblY9[[9B02 - Ecology
Raw Score]])),9),_Stanine,2),5),"")</f>
        <v/>
      </c>
    </row>
    <row r="40">
      <c r="A40" s="65" t="inlineStr">
        <is>
          <t>X907920906779</t>
        </is>
      </c>
      <c r="B40" s="65" t="inlineStr">
        <is>
          <t>Morgan</t>
        </is>
      </c>
      <c r="C40" s="65" t="inlineStr">
        <is>
          <t>Rosie</t>
        </is>
      </c>
      <c r="D40" s="66" t="inlineStr">
        <is>
          <t>M</t>
        </is>
      </c>
      <c r="E40" s="66" t="inlineStr">
        <is>
          <t>N</t>
        </is>
      </c>
      <c r="F40" s="66" t="inlineStr">
        <is>
          <t>N</t>
        </is>
      </c>
      <c r="G40" s="34" t="n">
        <v>82.7</v>
      </c>
      <c r="H40" s="34" t="n">
        <v>106</v>
      </c>
      <c r="I40" s="67">
        <f>IF(ISNUMBER(tblY9[[#This Row],[Avg KS2]]),IFERROR(VLOOKUP(ROUND(STANDARDIZE(tblY9[[#This Row],[Avg KS2]],AVERAGE(tblY9[[Avg KS2]]),_xlfn.STDEV.P(tblY9[[Avg KS2]])),9),_Stanine,2),5),"")</f>
        <v>5</v>
      </c>
      <c r="J40" s="66" t="inlineStr">
        <is>
          <t>9A/Sc2</t>
        </is>
      </c>
      <c r="K40" s="67">
        <f>IF(tblY9[[#This Row],[Preferred Last name]]="","",COUNTIFS($N$1:$ZZ$1,"*"&amp;CHAR(10)&amp;"Stanine",$N40:$ZZ40,"&gt;=1"))</f>
        <v>4</v>
      </c>
      <c r="L40" s="68">
        <f>IFERROR(AVERAGEIF($N$1:$ZZ$1,"*"&amp;CHAR(10)&amp;"Stanine",$N40:$ZZ40),"")</f>
        <v>5.5</v>
      </c>
      <c r="M40" s="69">
        <f>IF(AND(ISNUMBER(tblY9[[#This Row],[Mean Stanine]]),ISNUMBER(tblY9[[#This Row],[Avg KS2 Band]]),ISNUMBER(SlopeY9)),tblY9[[#This Row],[Mean Stanine]]-(InterceptY9+SlopeY9*tblY9[[#This Row],[Avg KS2 Band]]),"")</f>
        <v>0.42642924086223</v>
      </c>
      <c r="N40" s="66" t="n">
        <v>25</v>
      </c>
      <c r="O40" s="67">
        <f>IF(ISNUMBER(tblY9[[#This Row],[9B01 - Genetics
Raw Score]]),IFERROR(VLOOKUP(ROUND(STANDARDIZE(tblY9[[#This Row],[9B01 - Genetics
Raw Score]],AVERAGE(tblY9[[9B01 - Genetics
Raw Score]]),_xlfn.STDEV.P(tblY9[[9B01 - Genetics
Raw Score]])),9),_Stanine,2),5),"")</f>
        <v>7</v>
      </c>
      <c r="P40" s="66" t="n">
        <v>21</v>
      </c>
      <c r="Q40" s="67">
        <f>IF(ISNUMBER(tblY9[[#This Row],[9C01 - Chemical Reactions
Raw Score]]),IFERROR(VLOOKUP(ROUND(STANDARDIZE(tblY9[[#This Row],[9C01 - Chemical Reactions
Raw Score]],AVERAGE(tblY9[[9C01 - Chemical Reactions
Raw Score]]),_xlfn.STDEV.P(tblY9[[9C01 - Chemical Reactions
Raw Score]])),9),_Stanine,2),5),"")</f>
        <v>5</v>
      </c>
      <c r="R40" s="66" t="n">
        <v>20</v>
      </c>
      <c r="S40" s="67">
        <f>IF(ISNUMBER(tblY9[[#This Row],[9P01 - Electricity
Raw Score]]),IFERROR(VLOOKUP(ROUND(STANDARDIZE(tblY9[[#This Row],[9P01 - Electricity
Raw Score]],AVERAGE(tblY9[[9P01 - Electricity
Raw Score]]),_xlfn.STDEV.P(tblY9[[9P01 - Electricity
Raw Score]])),9),_Stanine,2),5),"")</f>
        <v>5</v>
      </c>
      <c r="T40" s="66" t="n">
        <v>18</v>
      </c>
      <c r="U40" s="67">
        <f>IF(ISNUMBER(tblY9[[#This Row],[9B02 - Ecology
Raw Score]]),IFERROR(VLOOKUP(ROUND(STANDARDIZE(tblY9[[#This Row],[9B02 - Ecology
Raw Score]],AVERAGE(tblY9[[9B02 - Ecology
Raw Score]]),_xlfn.STDEV.P(tblY9[[9B02 - Ecology
Raw Score]])),9),_Stanine,2),5),"")</f>
        <v>5</v>
      </c>
    </row>
    <row r="41">
      <c r="A41" s="65" t="inlineStr">
        <is>
          <t>X905375781586</t>
        </is>
      </c>
      <c r="B41" s="65" t="inlineStr">
        <is>
          <t>Price</t>
        </is>
      </c>
      <c r="C41" s="65" t="inlineStr">
        <is>
          <t>Niamh</t>
        </is>
      </c>
      <c r="D41" s="66" t="inlineStr">
        <is>
          <t>F</t>
        </is>
      </c>
      <c r="E41" s="66" t="n"/>
      <c r="F41" s="66" t="inlineStr">
        <is>
          <t>N</t>
        </is>
      </c>
      <c r="G41" s="34" t="n">
        <v>89.90000000000001</v>
      </c>
      <c r="H41" s="34" t="n">
        <v>108.5</v>
      </c>
      <c r="I41" s="67">
        <f>IF(ISNUMBER(tblY9[[#This Row],[Avg KS2]]),IFERROR(VLOOKUP(ROUND(STANDARDIZE(tblY9[[#This Row],[Avg KS2]],AVERAGE(tblY9[[Avg KS2]]),_xlfn.STDEV.P(tblY9[[Avg KS2]])),9),_Stanine,2),5),"")</f>
        <v>6</v>
      </c>
      <c r="J41" s="66" t="inlineStr">
        <is>
          <t>9A/Sc2</t>
        </is>
      </c>
      <c r="K41" s="67">
        <f>IF(tblY9[[#This Row],[Preferred Last name]]="","",COUNTIFS($N$1:$ZZ$1,"*"&amp;CHAR(10)&amp;"Stanine",$N41:$ZZ41,"&gt;=1"))</f>
        <v>4</v>
      </c>
      <c r="L41" s="68">
        <f>IFERROR(AVERAGEIF($N$1:$ZZ$1,"*"&amp;CHAR(10)&amp;"Stanine",$N41:$ZZ41),"")</f>
        <v>5.5</v>
      </c>
      <c r="M41" s="69">
        <f>IF(AND(ISNUMBER(tblY9[[#This Row],[Mean Stanine]]),ISNUMBER(tblY9[[#This Row],[Avg KS2 Band]]),ISNUMBER(SlopeY9)),tblY9[[#This Row],[Mean Stanine]]-(InterceptY9+SlopeY9*tblY9[[#This Row],[Avg KS2 Band]]),"")</f>
        <v>-0.336984536082474</v>
      </c>
      <c r="N41" s="66" t="n">
        <v>19</v>
      </c>
      <c r="O41" s="67">
        <f>IF(ISNUMBER(tblY9[[#This Row],[9B01 - Genetics
Raw Score]]),IFERROR(VLOOKUP(ROUND(STANDARDIZE(tblY9[[#This Row],[9B01 - Genetics
Raw Score]],AVERAGE(tblY9[[9B01 - Genetics
Raw Score]]),_xlfn.STDEV.P(tblY9[[9B01 - Genetics
Raw Score]])),9),_Stanine,2),5),"")</f>
        <v>5</v>
      </c>
      <c r="P41" s="66" t="n">
        <v>23</v>
      </c>
      <c r="Q41" s="67">
        <f>IF(ISNUMBER(tblY9[[#This Row],[9C01 - Chemical Reactions
Raw Score]]),IFERROR(VLOOKUP(ROUND(STANDARDIZE(tblY9[[#This Row],[9C01 - Chemical Reactions
Raw Score]],AVERAGE(tblY9[[9C01 - Chemical Reactions
Raw Score]]),_xlfn.STDEV.P(tblY9[[9C01 - Chemical Reactions
Raw Score]])),9),_Stanine,2),5),"")</f>
        <v>6</v>
      </c>
      <c r="R41" s="66" t="n">
        <v>21</v>
      </c>
      <c r="S41" s="67">
        <f>IF(ISNUMBER(tblY9[[#This Row],[9P01 - Electricity
Raw Score]]),IFERROR(VLOOKUP(ROUND(STANDARDIZE(tblY9[[#This Row],[9P01 - Electricity
Raw Score]],AVERAGE(tblY9[[9P01 - Electricity
Raw Score]]),_xlfn.STDEV.P(tblY9[[9P01 - Electricity
Raw Score]])),9),_Stanine,2),5),"")</f>
        <v>5</v>
      </c>
      <c r="T41" s="66" t="n">
        <v>19</v>
      </c>
      <c r="U41" s="67">
        <f>IF(ISNUMBER(tblY9[[#This Row],[9B02 - Ecology
Raw Score]]),IFERROR(VLOOKUP(ROUND(STANDARDIZE(tblY9[[#This Row],[9B02 - Ecology
Raw Score]],AVERAGE(tblY9[[9B02 - Ecology
Raw Score]]),_xlfn.STDEV.P(tblY9[[9B02 - Ecology
Raw Score]])),9),_Stanine,2),5),"")</f>
        <v>6</v>
      </c>
    </row>
    <row r="42">
      <c r="A42" s="65" t="inlineStr">
        <is>
          <t>X905525465736</t>
        </is>
      </c>
      <c r="B42" s="65" t="inlineStr">
        <is>
          <t>Shaw</t>
        </is>
      </c>
      <c r="C42" s="65" t="inlineStr">
        <is>
          <t>Harry</t>
        </is>
      </c>
      <c r="D42" s="66" t="inlineStr">
        <is>
          <t>F</t>
        </is>
      </c>
      <c r="E42" s="66" t="n"/>
      <c r="F42" s="66" t="inlineStr">
        <is>
          <t>N</t>
        </is>
      </c>
      <c r="G42" s="34" t="n">
        <v>89.90000000000001</v>
      </c>
      <c r="H42" s="34" t="n">
        <v>111</v>
      </c>
      <c r="I42" s="67">
        <f>IF(ISNUMBER(tblY9[[#This Row],[Avg KS2]]),IFERROR(VLOOKUP(ROUND(STANDARDIZE(tblY9[[#This Row],[Avg KS2]],AVERAGE(tblY9[[Avg KS2]]),_xlfn.STDEV.P(tblY9[[Avg KS2]])),9),_Stanine,2),5),"")</f>
        <v>7</v>
      </c>
      <c r="J42" s="66" t="inlineStr">
        <is>
          <t>9A/Sc2</t>
        </is>
      </c>
      <c r="K42" s="67">
        <f>IF(tblY9[[#This Row],[Preferred Last name]]="","",COUNTIFS($N$1:$ZZ$1,"*"&amp;CHAR(10)&amp;"Stanine",$N42:$ZZ42,"&gt;=1"))</f>
        <v>4</v>
      </c>
      <c r="L42" s="68">
        <f>IFERROR(AVERAGEIF($N$1:$ZZ$1,"*"&amp;CHAR(10)&amp;"Stanine",$N42:$ZZ42),"")</f>
        <v>7.5</v>
      </c>
      <c r="M42" s="69">
        <f>IF(AND(ISNUMBER(tblY9[[#This Row],[Mean Stanine]]),ISNUMBER(tblY9[[#This Row],[Avg KS2 Band]]),ISNUMBER(SlopeY9)),tblY9[[#This Row],[Mean Stanine]]-(InterceptY9+SlopeY9*tblY9[[#This Row],[Avg KS2 Band]]),"")</f>
        <v>0.899601686972821</v>
      </c>
      <c r="N42" s="66" t="n">
        <v>27</v>
      </c>
      <c r="O42" s="67">
        <f>IF(ISNUMBER(tblY9[[#This Row],[9B01 - Genetics
Raw Score]]),IFERROR(VLOOKUP(ROUND(STANDARDIZE(tblY9[[#This Row],[9B01 - Genetics
Raw Score]],AVERAGE(tblY9[[9B01 - Genetics
Raw Score]]),_xlfn.STDEV.P(tblY9[[9B01 - Genetics
Raw Score]])),9),_Stanine,2),5),"")</f>
        <v>7</v>
      </c>
      <c r="P42" s="66" t="n">
        <v>29</v>
      </c>
      <c r="Q42" s="67">
        <f>IF(ISNUMBER(tblY9[[#This Row],[9C01 - Chemical Reactions
Raw Score]]),IFERROR(VLOOKUP(ROUND(STANDARDIZE(tblY9[[#This Row],[9C01 - Chemical Reactions
Raw Score]],AVERAGE(tblY9[[9C01 - Chemical Reactions
Raw Score]]),_xlfn.STDEV.P(tblY9[[9C01 - Chemical Reactions
Raw Score]])),9),_Stanine,2),5),"")</f>
        <v>8</v>
      </c>
      <c r="R42" s="66" t="n">
        <v>28</v>
      </c>
      <c r="S42" s="67">
        <f>IF(ISNUMBER(tblY9[[#This Row],[9P01 - Electricity
Raw Score]]),IFERROR(VLOOKUP(ROUND(STANDARDIZE(tblY9[[#This Row],[9P01 - Electricity
Raw Score]],AVERAGE(tblY9[[9P01 - Electricity
Raw Score]]),_xlfn.STDEV.P(tblY9[[9P01 - Electricity
Raw Score]])),9),_Stanine,2),5),"")</f>
        <v>8</v>
      </c>
      <c r="T42" s="66" t="n">
        <v>23</v>
      </c>
      <c r="U42" s="67">
        <f>IF(ISNUMBER(tblY9[[#This Row],[9B02 - Ecology
Raw Score]]),IFERROR(VLOOKUP(ROUND(STANDARDIZE(tblY9[[#This Row],[9B02 - Ecology
Raw Score]],AVERAGE(tblY9[[9B02 - Ecology
Raw Score]]),_xlfn.STDEV.P(tblY9[[9B02 - Ecology
Raw Score]])),9),_Stanine,2),5),"")</f>
        <v>7</v>
      </c>
    </row>
    <row r="43">
      <c r="A43" s="65" t="inlineStr">
        <is>
          <t>X900611563234</t>
        </is>
      </c>
      <c r="B43" s="65" t="inlineStr">
        <is>
          <t>Smith</t>
        </is>
      </c>
      <c r="C43" s="65" t="inlineStr">
        <is>
          <t>Grace</t>
        </is>
      </c>
      <c r="D43" s="66" t="inlineStr">
        <is>
          <t>M</t>
        </is>
      </c>
      <c r="E43" s="66" t="inlineStr">
        <is>
          <t>N</t>
        </is>
      </c>
      <c r="F43" s="66" t="inlineStr">
        <is>
          <t>Y</t>
        </is>
      </c>
      <c r="G43" s="34" t="n">
        <v>100</v>
      </c>
      <c r="H43" s="34" t="n">
        <v>104</v>
      </c>
      <c r="I43" s="67">
        <f>IF(ISNUMBER(tblY9[[#This Row],[Avg KS2]]),IFERROR(VLOOKUP(ROUND(STANDARDIZE(tblY9[[#This Row],[Avg KS2]],AVERAGE(tblY9[[Avg KS2]]),_xlfn.STDEV.P(tblY9[[Avg KS2]])),9),_Stanine,2),5),"")</f>
        <v>4</v>
      </c>
      <c r="J43" s="66" t="inlineStr">
        <is>
          <t>9A/Sc2</t>
        </is>
      </c>
      <c r="K43" s="67">
        <f>IF(tblY9[[#This Row],[Preferred Last name]]="","",COUNTIFS($N$1:$ZZ$1,"*"&amp;CHAR(10)&amp;"Stanine",$N43:$ZZ43,"&gt;=1"))</f>
        <v>4</v>
      </c>
      <c r="L43" s="68">
        <f>IFERROR(AVERAGEIF($N$1:$ZZ$1,"*"&amp;CHAR(10)&amp;"Stanine",$N43:$ZZ43),"")</f>
        <v>1.75</v>
      </c>
      <c r="M43" s="69">
        <f>IF(AND(ISNUMBER(tblY9[[#This Row],[Mean Stanine]]),ISNUMBER(tblY9[[#This Row],[Avg KS2 Band]]),ISNUMBER(SlopeY9)),tblY9[[#This Row],[Mean Stanine]]-(InterceptY9+SlopeY9*tblY9[[#This Row],[Avg KS2 Band]]),"")</f>
        <v>-2.56015698219306</v>
      </c>
      <c r="N43" s="66" t="n">
        <v>12</v>
      </c>
      <c r="O43" s="67">
        <f>IF(ISNUMBER(tblY9[[#This Row],[9B01 - Genetics
Raw Score]]),IFERROR(VLOOKUP(ROUND(STANDARDIZE(tblY9[[#This Row],[9B01 - Genetics
Raw Score]],AVERAGE(tblY9[[9B01 - Genetics
Raw Score]]),_xlfn.STDEV.P(tblY9[[9B01 - Genetics
Raw Score]])),9),_Stanine,2),5),"")</f>
        <v>2</v>
      </c>
      <c r="P43" s="66" t="n">
        <v>13</v>
      </c>
      <c r="Q43" s="67">
        <f>IF(ISNUMBER(tblY9[[#This Row],[9C01 - Chemical Reactions
Raw Score]]),IFERROR(VLOOKUP(ROUND(STANDARDIZE(tblY9[[#This Row],[9C01 - Chemical Reactions
Raw Score]],AVERAGE(tblY9[[9C01 - Chemical Reactions
Raw Score]]),_xlfn.STDEV.P(tblY9[[9C01 - Chemical Reactions
Raw Score]])),9),_Stanine,2),5),"")</f>
        <v>2</v>
      </c>
      <c r="R43" s="66" t="n">
        <v>13</v>
      </c>
      <c r="S43" s="67">
        <f>IF(ISNUMBER(tblY9[[#This Row],[9P01 - Electricity
Raw Score]]),IFERROR(VLOOKUP(ROUND(STANDARDIZE(tblY9[[#This Row],[9P01 - Electricity
Raw Score]],AVERAGE(tblY9[[9P01 - Electricity
Raw Score]]),_xlfn.STDEV.P(tblY9[[9P01 - Electricity
Raw Score]])),9),_Stanine,2),5),"")</f>
        <v>2</v>
      </c>
      <c r="T43" s="66" t="n">
        <v>8</v>
      </c>
      <c r="U43" s="67">
        <f>IF(ISNUMBER(tblY9[[#This Row],[9B02 - Ecology
Raw Score]]),IFERROR(VLOOKUP(ROUND(STANDARDIZE(tblY9[[#This Row],[9B02 - Ecology
Raw Score]],AVERAGE(tblY9[[9B02 - Ecology
Raw Score]]),_xlfn.STDEV.P(tblY9[[9B02 - Ecology
Raw Score]])),9),_Stanine,2),5),"")</f>
        <v>1</v>
      </c>
    </row>
    <row r="44">
      <c r="A44" s="65" t="inlineStr">
        <is>
          <t>X903669970954</t>
        </is>
      </c>
      <c r="B44" s="65" t="inlineStr">
        <is>
          <t>Smith</t>
        </is>
      </c>
      <c r="C44" s="65" t="inlineStr">
        <is>
          <t>Leo</t>
        </is>
      </c>
      <c r="D44" s="66" t="inlineStr">
        <is>
          <t>F</t>
        </is>
      </c>
      <c r="E44" s="66" t="inlineStr">
        <is>
          <t>N</t>
        </is>
      </c>
      <c r="F44" s="66" t="inlineStr">
        <is>
          <t>N</t>
        </is>
      </c>
      <c r="G44" s="34" t="n">
        <v>88.7</v>
      </c>
      <c r="H44" s="34" t="n">
        <v>108.5</v>
      </c>
      <c r="I44" s="67">
        <f>IF(ISNUMBER(tblY9[[#This Row],[Avg KS2]]),IFERROR(VLOOKUP(ROUND(STANDARDIZE(tblY9[[#This Row],[Avg KS2]],AVERAGE(tblY9[[Avg KS2]]),_xlfn.STDEV.P(tblY9[[Avg KS2]])),9),_Stanine,2),5),"")</f>
        <v>6</v>
      </c>
      <c r="J44" s="66" t="inlineStr">
        <is>
          <t>9A/Sc2</t>
        </is>
      </c>
      <c r="K44" s="67">
        <f>IF(tblY9[[#This Row],[Preferred Last name]]="","",COUNTIFS($N$1:$ZZ$1,"*"&amp;CHAR(10)&amp;"Stanine",$N44:$ZZ44,"&gt;=1"))</f>
        <v>4</v>
      </c>
      <c r="L44" s="68">
        <f>IFERROR(AVERAGEIF($N$1:$ZZ$1,"*"&amp;CHAR(10)&amp;"Stanine",$N44:$ZZ44),"")</f>
        <v>5.25</v>
      </c>
      <c r="M44" s="69">
        <f>IF(AND(ISNUMBER(tblY9[[#This Row],[Mean Stanine]]),ISNUMBER(tblY9[[#This Row],[Avg KS2 Band]]),ISNUMBER(SlopeY9)),tblY9[[#This Row],[Mean Stanine]]-(InterceptY9+SlopeY9*tblY9[[#This Row],[Avg KS2 Band]]),"")</f>
        <v>-0.586984536082474</v>
      </c>
      <c r="N44" s="66" t="n">
        <v>19</v>
      </c>
      <c r="O44" s="67">
        <f>IF(ISNUMBER(tblY9[[#This Row],[9B01 - Genetics
Raw Score]]),IFERROR(VLOOKUP(ROUND(STANDARDIZE(tblY9[[#This Row],[9B01 - Genetics
Raw Score]],AVERAGE(tblY9[[9B01 - Genetics
Raw Score]]),_xlfn.STDEV.P(tblY9[[9B01 - Genetics
Raw Score]])),9),_Stanine,2),5),"")</f>
        <v>5</v>
      </c>
      <c r="P44" s="66" t="n">
        <v>24</v>
      </c>
      <c r="Q44" s="67">
        <f>IF(ISNUMBER(tblY9[[#This Row],[9C01 - Chemical Reactions
Raw Score]]),IFERROR(VLOOKUP(ROUND(STANDARDIZE(tblY9[[#This Row],[9C01 - Chemical Reactions
Raw Score]],AVERAGE(tblY9[[9C01 - Chemical Reactions
Raw Score]]),_xlfn.STDEV.P(tblY9[[9C01 - Chemical Reactions
Raw Score]])),9),_Stanine,2),5),"")</f>
        <v>6</v>
      </c>
      <c r="R44" s="66" t="n">
        <v>19</v>
      </c>
      <c r="S44" s="67">
        <f>IF(ISNUMBER(tblY9[[#This Row],[9P01 - Electricity
Raw Score]]),IFERROR(VLOOKUP(ROUND(STANDARDIZE(tblY9[[#This Row],[9P01 - Electricity
Raw Score]],AVERAGE(tblY9[[9P01 - Electricity
Raw Score]]),_xlfn.STDEV.P(tblY9[[9P01 - Electricity
Raw Score]])),9),_Stanine,2),5),"")</f>
        <v>4</v>
      </c>
      <c r="T44" s="66" t="n">
        <v>20</v>
      </c>
      <c r="U44" s="67">
        <f>IF(ISNUMBER(tblY9[[#This Row],[9B02 - Ecology
Raw Score]]),IFERROR(VLOOKUP(ROUND(STANDARDIZE(tblY9[[#This Row],[9B02 - Ecology
Raw Score]],AVERAGE(tblY9[[9B02 - Ecology
Raw Score]]),_xlfn.STDEV.P(tblY9[[9B02 - Ecology
Raw Score]])),9),_Stanine,2),5),"")</f>
        <v>6</v>
      </c>
    </row>
    <row r="45">
      <c r="A45" s="65" t="inlineStr">
        <is>
          <t>X902803142058</t>
        </is>
      </c>
      <c r="B45" s="65" t="inlineStr">
        <is>
          <t>Taylor</t>
        </is>
      </c>
      <c r="C45" s="65" t="inlineStr">
        <is>
          <t>Mia</t>
        </is>
      </c>
      <c r="D45" s="66" t="inlineStr">
        <is>
          <t>M</t>
        </is>
      </c>
      <c r="E45" s="66" t="inlineStr">
        <is>
          <t>N</t>
        </is>
      </c>
      <c r="F45" s="66" t="inlineStr">
        <is>
          <t>N</t>
        </is>
      </c>
      <c r="G45" s="34" t="n">
        <v>95.09999999999999</v>
      </c>
      <c r="H45" s="34" t="n">
        <v>108.5</v>
      </c>
      <c r="I45" s="67">
        <f>IF(ISNUMBER(tblY9[[#This Row],[Avg KS2]]),IFERROR(VLOOKUP(ROUND(STANDARDIZE(tblY9[[#This Row],[Avg KS2]],AVERAGE(tblY9[[Avg KS2]]),_xlfn.STDEV.P(tblY9[[Avg KS2]])),9),_Stanine,2),5),"")</f>
        <v>6</v>
      </c>
      <c r="J45" s="66" t="inlineStr">
        <is>
          <t>9A/Sc2</t>
        </is>
      </c>
      <c r="K45" s="67">
        <f>IF(tblY9[[#This Row],[Preferred Last name]]="","",COUNTIFS($N$1:$ZZ$1,"*"&amp;CHAR(10)&amp;"Stanine",$N45:$ZZ45,"&gt;=1"))</f>
        <v>4</v>
      </c>
      <c r="L45" s="68">
        <f>IFERROR(AVERAGEIF($N$1:$ZZ$1,"*"&amp;CHAR(10)&amp;"Stanine",$N45:$ZZ45),"")</f>
        <v>4.25</v>
      </c>
      <c r="M45" s="69">
        <f>IF(AND(ISNUMBER(tblY9[[#This Row],[Mean Stanine]]),ISNUMBER(tblY9[[#This Row],[Avg KS2 Band]]),ISNUMBER(SlopeY9)),tblY9[[#This Row],[Mean Stanine]]-(InterceptY9+SlopeY9*tblY9[[#This Row],[Avg KS2 Band]]),"")</f>
        <v>-1.58698453608247</v>
      </c>
      <c r="N45" s="66" t="n">
        <v>20</v>
      </c>
      <c r="O45" s="67">
        <f>IF(ISNUMBER(tblY9[[#This Row],[9B01 - Genetics
Raw Score]]),IFERROR(VLOOKUP(ROUND(STANDARDIZE(tblY9[[#This Row],[9B01 - Genetics
Raw Score]],AVERAGE(tblY9[[9B01 - Genetics
Raw Score]]),_xlfn.STDEV.P(tblY9[[9B01 - Genetics
Raw Score]])),9),_Stanine,2),5),"")</f>
        <v>5</v>
      </c>
      <c r="P45" s="66" t="n">
        <v>17</v>
      </c>
      <c r="Q45" s="67">
        <f>IF(ISNUMBER(tblY9[[#This Row],[9C01 - Chemical Reactions
Raw Score]]),IFERROR(VLOOKUP(ROUND(STANDARDIZE(tblY9[[#This Row],[9C01 - Chemical Reactions
Raw Score]],AVERAGE(tblY9[[9C01 - Chemical Reactions
Raw Score]]),_xlfn.STDEV.P(tblY9[[9C01 - Chemical Reactions
Raw Score]])),9),_Stanine,2),5),"")</f>
        <v>4</v>
      </c>
      <c r="R45" s="66" t="n">
        <v>19</v>
      </c>
      <c r="S45" s="67">
        <f>IF(ISNUMBER(tblY9[[#This Row],[9P01 - Electricity
Raw Score]]),IFERROR(VLOOKUP(ROUND(STANDARDIZE(tblY9[[#This Row],[9P01 - Electricity
Raw Score]],AVERAGE(tblY9[[9P01 - Electricity
Raw Score]]),_xlfn.STDEV.P(tblY9[[9P01 - Electricity
Raw Score]])),9),_Stanine,2),5),"")</f>
        <v>4</v>
      </c>
      <c r="T45" s="66" t="n">
        <v>16</v>
      </c>
      <c r="U45" s="67">
        <f>IF(ISNUMBER(tblY9[[#This Row],[9B02 - Ecology
Raw Score]]),IFERROR(VLOOKUP(ROUND(STANDARDIZE(tblY9[[#This Row],[9B02 - Ecology
Raw Score]],AVERAGE(tblY9[[9B02 - Ecology
Raw Score]]),_xlfn.STDEV.P(tblY9[[9B02 - Ecology
Raw Score]])),9),_Stanine,2),5),"")</f>
        <v>4</v>
      </c>
    </row>
    <row r="46">
      <c r="A46" s="65" t="inlineStr">
        <is>
          <t>X909739699495</t>
        </is>
      </c>
      <c r="B46" s="65" t="inlineStr">
        <is>
          <t>Turner</t>
        </is>
      </c>
      <c r="C46" s="65" t="inlineStr">
        <is>
          <t>Jacob</t>
        </is>
      </c>
      <c r="D46" s="66" t="inlineStr">
        <is>
          <t>M</t>
        </is>
      </c>
      <c r="E46" s="66" t="inlineStr">
        <is>
          <t>N</t>
        </is>
      </c>
      <c r="F46" s="66" t="inlineStr">
        <is>
          <t>N</t>
        </is>
      </c>
      <c r="G46" s="34" t="n">
        <v>98.40000000000001</v>
      </c>
      <c r="H46" s="34" t="n">
        <v>109</v>
      </c>
      <c r="I46" s="67">
        <f>IF(ISNUMBER(tblY9[[#This Row],[Avg KS2]]),IFERROR(VLOOKUP(ROUND(STANDARDIZE(tblY9[[#This Row],[Avg KS2]],AVERAGE(tblY9[[Avg KS2]]),_xlfn.STDEV.P(tblY9[[Avg KS2]])),9),_Stanine,2),5),"")</f>
        <v>6</v>
      </c>
      <c r="J46" s="66" t="inlineStr">
        <is>
          <t>9A/Sc2</t>
        </is>
      </c>
      <c r="K46" s="67">
        <f>IF(tblY9[[#This Row],[Preferred Last name]]="","",COUNTIFS($N$1:$ZZ$1,"*"&amp;CHAR(10)&amp;"Stanine",$N46:$ZZ46,"&gt;=1"))</f>
        <v>3</v>
      </c>
      <c r="L46" s="68">
        <f>IFERROR(AVERAGEIF($N$1:$ZZ$1,"*"&amp;CHAR(10)&amp;"Stanine",$N46:$ZZ46),"")</f>
        <v>6.33333333333333</v>
      </c>
      <c r="M46" s="69">
        <f>IF(AND(ISNUMBER(tblY9[[#This Row],[Mean Stanine]]),ISNUMBER(tblY9[[#This Row],[Avg KS2 Band]]),ISNUMBER(SlopeY9)),tblY9[[#This Row],[Mean Stanine]]-(InterceptY9+SlopeY9*tblY9[[#This Row],[Avg KS2 Band]]),"")</f>
        <v>0.496348797250859</v>
      </c>
      <c r="N46" s="66" t="n">
        <v>23</v>
      </c>
      <c r="O46" s="67">
        <f>IF(ISNUMBER(tblY9[[#This Row],[9B01 - Genetics
Raw Score]]),IFERROR(VLOOKUP(ROUND(STANDARDIZE(tblY9[[#This Row],[9B01 - Genetics
Raw Score]],AVERAGE(tblY9[[9B01 - Genetics
Raw Score]]),_xlfn.STDEV.P(tblY9[[9B01 - Genetics
Raw Score]])),9),_Stanine,2),5),"")</f>
        <v>6</v>
      </c>
      <c r="P46" s="66" t="n">
        <v>28</v>
      </c>
      <c r="Q46" s="67">
        <f>IF(ISNUMBER(tblY9[[#This Row],[9C01 - Chemical Reactions
Raw Score]]),IFERROR(VLOOKUP(ROUND(STANDARDIZE(tblY9[[#This Row],[9C01 - Chemical Reactions
Raw Score]],AVERAGE(tblY9[[9C01 - Chemical Reactions
Raw Score]]),_xlfn.STDEV.P(tblY9[[9C01 - Chemical Reactions
Raw Score]])),9),_Stanine,2),5),"")</f>
        <v>7</v>
      </c>
      <c r="R46" s="66" t="inlineStr">
        <is>
          <t>A</t>
        </is>
      </c>
      <c r="S46" s="67" t="str">
        <f>IF(ISNUMBER(tblY9[[#This Row],[9P01 - Electricity
Raw Score]]),IFERROR(VLOOKUP(ROUND(STANDARDIZE(tblY9[[#This Row],[9P01 - Electricity
Raw Score]],AVERAGE(tblY9[[9P01 - Electricity
Raw Score]]),_xlfn.STDEV.P(tblY9[[9P01 - Electricity
Raw Score]])),9),_Stanine,2),5),"")</f>
        <v/>
      </c>
      <c r="T46" s="66" t="n">
        <v>19</v>
      </c>
      <c r="U46" s="67">
        <f>IF(ISNUMBER(tblY9[[#This Row],[9B02 - Ecology
Raw Score]]),IFERROR(VLOOKUP(ROUND(STANDARDIZE(tblY9[[#This Row],[9B02 - Ecology
Raw Score]],AVERAGE(tblY9[[9B02 - Ecology
Raw Score]]),_xlfn.STDEV.P(tblY9[[9B02 - Ecology
Raw Score]])),9),_Stanine,2),5),"")</f>
        <v>6</v>
      </c>
    </row>
    <row r="47">
      <c r="A47" s="65" t="inlineStr">
        <is>
          <t>X903497387209</t>
        </is>
      </c>
      <c r="B47" s="65" t="inlineStr">
        <is>
          <t>Ward</t>
        </is>
      </c>
      <c r="C47" s="65" t="inlineStr">
        <is>
          <t>Charlie</t>
        </is>
      </c>
      <c r="D47" s="66" t="inlineStr">
        <is>
          <t>F</t>
        </is>
      </c>
      <c r="E47" s="66" t="n"/>
      <c r="F47" s="66" t="inlineStr">
        <is>
          <t>N</t>
        </is>
      </c>
      <c r="G47" s="34" t="n">
        <v>97.59999999999999</v>
      </c>
      <c r="H47" s="34" t="n">
        <v>100.5</v>
      </c>
      <c r="I47" s="67">
        <f>IF(ISNUMBER(tblY9[[#This Row],[Avg KS2]]),IFERROR(VLOOKUP(ROUND(STANDARDIZE(tblY9[[#This Row],[Avg KS2]],AVERAGE(tblY9[[Avg KS2]]),_xlfn.STDEV.P(tblY9[[Avg KS2]])),9),_Stanine,2),5),"")</f>
        <v>3</v>
      </c>
      <c r="J47" s="66" t="inlineStr">
        <is>
          <t>9A/Sc2</t>
        </is>
      </c>
      <c r="K47" s="67">
        <f>IF(tblY9[[#This Row],[Preferred Last name]]="","",COUNTIFS($N$1:$ZZ$1,"*"&amp;CHAR(10)&amp;"Stanine",$N47:$ZZ47,"&gt;=1"))</f>
        <v>4</v>
      </c>
      <c r="L47" s="68">
        <f>IFERROR(AVERAGEIF($N$1:$ZZ$1,"*"&amp;CHAR(10)&amp;"Stanine",$N47:$ZZ47),"")</f>
        <v>4.5</v>
      </c>
      <c r="M47" s="69">
        <f>IF(AND(ISNUMBER(tblY9[[#This Row],[Mean Stanine]]),ISNUMBER(tblY9[[#This Row],[Avg KS2 Band]]),ISNUMBER(SlopeY9)),tblY9[[#This Row],[Mean Stanine]]-(InterceptY9+SlopeY9*tblY9[[#This Row],[Avg KS2 Band]]),"")</f>
        <v>0.95325679475164</v>
      </c>
      <c r="N47" s="66" t="n">
        <v>16</v>
      </c>
      <c r="O47" s="67">
        <f>IF(ISNUMBER(tblY9[[#This Row],[9B01 - Genetics
Raw Score]]),IFERROR(VLOOKUP(ROUND(STANDARDIZE(tblY9[[#This Row],[9B01 - Genetics
Raw Score]],AVERAGE(tblY9[[9B01 - Genetics
Raw Score]]),_xlfn.STDEV.P(tblY9[[9B01 - Genetics
Raw Score]])),9),_Stanine,2),5),"")</f>
        <v>4</v>
      </c>
      <c r="P47" s="66" t="n">
        <v>20</v>
      </c>
      <c r="Q47" s="67">
        <f>IF(ISNUMBER(tblY9[[#This Row],[9C01 - Chemical Reactions
Raw Score]]),IFERROR(VLOOKUP(ROUND(STANDARDIZE(tblY9[[#This Row],[9C01 - Chemical Reactions
Raw Score]],AVERAGE(tblY9[[9C01 - Chemical Reactions
Raw Score]]),_xlfn.STDEV.P(tblY9[[9C01 - Chemical Reactions
Raw Score]])),9),_Stanine,2),5),"")</f>
        <v>5</v>
      </c>
      <c r="R47" s="66" t="n">
        <v>18</v>
      </c>
      <c r="S47" s="67">
        <f>IF(ISNUMBER(tblY9[[#This Row],[9P01 - Electricity
Raw Score]]),IFERROR(VLOOKUP(ROUND(STANDARDIZE(tblY9[[#This Row],[9P01 - Electricity
Raw Score]],AVERAGE(tblY9[[9P01 - Electricity
Raw Score]]),_xlfn.STDEV.P(tblY9[[9P01 - Electricity
Raw Score]])),9),_Stanine,2),5),"")</f>
        <v>4</v>
      </c>
      <c r="T47" s="66" t="n">
        <v>18</v>
      </c>
      <c r="U47" s="67">
        <f>IF(ISNUMBER(tblY9[[#This Row],[9B02 - Ecology
Raw Score]]),IFERROR(VLOOKUP(ROUND(STANDARDIZE(tblY9[[#This Row],[9B02 - Ecology
Raw Score]],AVERAGE(tblY9[[9B02 - Ecology
Raw Score]]),_xlfn.STDEV.P(tblY9[[9B02 - Ecology
Raw Score]])),9),_Stanine,2),5),"")</f>
        <v>5</v>
      </c>
    </row>
    <row r="48">
      <c r="A48" s="65" t="inlineStr">
        <is>
          <t>X909853945258</t>
        </is>
      </c>
      <c r="B48" s="65" t="inlineStr">
        <is>
          <t>Wood</t>
        </is>
      </c>
      <c r="C48" s="65" t="inlineStr">
        <is>
          <t>Seren</t>
        </is>
      </c>
      <c r="D48" s="66" t="inlineStr">
        <is>
          <t>F</t>
        </is>
      </c>
      <c r="E48" s="66" t="inlineStr">
        <is>
          <t>N</t>
        </is>
      </c>
      <c r="F48" s="66" t="inlineStr">
        <is>
          <t>N</t>
        </is>
      </c>
      <c r="G48" s="34" t="n">
        <v>100</v>
      </c>
      <c r="H48" s="34" t="n">
        <v>106.5</v>
      </c>
      <c r="I48" s="67">
        <f>IF(ISNUMBER(tblY9[[#This Row],[Avg KS2]]),IFERROR(VLOOKUP(ROUND(STANDARDIZE(tblY9[[#This Row],[Avg KS2]],AVERAGE(tblY9[[Avg KS2]]),_xlfn.STDEV.P(tblY9[[Avg KS2]])),9),_Stanine,2),5),"")</f>
        <v>5</v>
      </c>
      <c r="J48" s="66" t="inlineStr">
        <is>
          <t>9A/Sc2</t>
        </is>
      </c>
      <c r="K48" s="67">
        <f>IF(tblY9[[#This Row],[Preferred Last name]]="","",COUNTIFS($N$1:$ZZ$1,"*"&amp;CHAR(10)&amp;"Stanine",$N48:$ZZ48,"&gt;=1"))</f>
        <v>4</v>
      </c>
      <c r="L48" s="68">
        <f>IFERROR(AVERAGEIF($N$1:$ZZ$1,"*"&amp;CHAR(10)&amp;"Stanine",$N48:$ZZ48),"")</f>
        <v>4.5</v>
      </c>
      <c r="M48" s="69">
        <f>IF(AND(ISNUMBER(tblY9[[#This Row],[Mean Stanine]]),ISNUMBER(tblY9[[#This Row],[Avg KS2 Band]]),ISNUMBER(SlopeY9)),tblY9[[#This Row],[Mean Stanine]]-(InterceptY9+SlopeY9*tblY9[[#This Row],[Avg KS2 Band]]),"")</f>
        <v>-0.57357075913777</v>
      </c>
      <c r="N48" s="66" t="n">
        <v>23</v>
      </c>
      <c r="O48" s="67">
        <f>IF(ISNUMBER(tblY9[[#This Row],[9B01 - Genetics
Raw Score]]),IFERROR(VLOOKUP(ROUND(STANDARDIZE(tblY9[[#This Row],[9B01 - Genetics
Raw Score]],AVERAGE(tblY9[[9B01 - Genetics
Raw Score]]),_xlfn.STDEV.P(tblY9[[9B01 - Genetics
Raw Score]])),9),_Stanine,2),5),"")</f>
        <v>6</v>
      </c>
      <c r="P48" s="66" t="n">
        <v>17</v>
      </c>
      <c r="Q48" s="67">
        <f>IF(ISNUMBER(tblY9[[#This Row],[9C01 - Chemical Reactions
Raw Score]]),IFERROR(VLOOKUP(ROUND(STANDARDIZE(tblY9[[#This Row],[9C01 - Chemical Reactions
Raw Score]],AVERAGE(tblY9[[9C01 - Chemical Reactions
Raw Score]]),_xlfn.STDEV.P(tblY9[[9C01 - Chemical Reactions
Raw Score]])),9),_Stanine,2),5),"")</f>
        <v>4</v>
      </c>
      <c r="R48" s="66" t="n">
        <v>17</v>
      </c>
      <c r="S48" s="67">
        <f>IF(ISNUMBER(tblY9[[#This Row],[9P01 - Electricity
Raw Score]]),IFERROR(VLOOKUP(ROUND(STANDARDIZE(tblY9[[#This Row],[9P01 - Electricity
Raw Score]],AVERAGE(tblY9[[9P01 - Electricity
Raw Score]]),_xlfn.STDEV.P(tblY9[[9P01 - Electricity
Raw Score]])),9),_Stanine,2),5),"")</f>
        <v>4</v>
      </c>
      <c r="T48" s="66" t="n">
        <v>15</v>
      </c>
      <c r="U48" s="67">
        <f>IF(ISNUMBER(tblY9[[#This Row],[9B02 - Ecology
Raw Score]]),IFERROR(VLOOKUP(ROUND(STANDARDIZE(tblY9[[#This Row],[9B02 - Ecology
Raw Score]],AVERAGE(tblY9[[9B02 - Ecology
Raw Score]]),_xlfn.STDEV.P(tblY9[[9B02 - Ecology
Raw Score]])),9),_Stanine,2),5),"")</f>
        <v>4</v>
      </c>
    </row>
    <row r="49">
      <c r="A49" s="65" t="inlineStr">
        <is>
          <t>X901947300301</t>
        </is>
      </c>
      <c r="B49" s="65" t="inlineStr">
        <is>
          <t>Ahmed</t>
        </is>
      </c>
      <c r="C49" s="65" t="inlineStr">
        <is>
          <t>Nia</t>
        </is>
      </c>
      <c r="D49" s="66" t="inlineStr">
        <is>
          <t>F</t>
        </is>
      </c>
      <c r="E49" s="66" t="inlineStr">
        <is>
          <t>N</t>
        </is>
      </c>
      <c r="F49" s="66" t="inlineStr">
        <is>
          <t>N</t>
        </is>
      </c>
      <c r="G49" s="34" t="n">
        <v>88.5</v>
      </c>
      <c r="H49" s="34" t="n">
        <v>102.5</v>
      </c>
      <c r="I49" s="67">
        <f>IF(ISNUMBER(tblY9[[#This Row],[Avg KS2]]),IFERROR(VLOOKUP(ROUND(STANDARDIZE(tblY9[[#This Row],[Avg KS2]],AVERAGE(tblY9[[Avg KS2]]),_xlfn.STDEV.P(tblY9[[Avg KS2]])),9),_Stanine,2),5),"")</f>
        <v>3</v>
      </c>
      <c r="J49" s="66" t="inlineStr">
        <is>
          <t>9A/Sc3</t>
        </is>
      </c>
      <c r="K49" s="67">
        <f>IF(tblY9[[#This Row],[Preferred Last name]]="","",COUNTIFS($N$1:$ZZ$1,"*"&amp;CHAR(10)&amp;"Stanine",$N49:$ZZ49,"&gt;=1"))</f>
        <v>4</v>
      </c>
      <c r="L49" s="68">
        <f>IFERROR(AVERAGEIF($N$1:$ZZ$1,"*"&amp;CHAR(10)&amp;"Stanine",$N49:$ZZ49),"")</f>
        <v>1.75</v>
      </c>
      <c r="M49" s="69">
        <f>IF(AND(ISNUMBER(tblY9[[#This Row],[Mean Stanine]]),ISNUMBER(tblY9[[#This Row],[Avg KS2 Band]]),ISNUMBER(SlopeY9)),tblY9[[#This Row],[Mean Stanine]]-(InterceptY9+SlopeY9*tblY9[[#This Row],[Avg KS2 Band]]),"")</f>
        <v>-1.79674320524836</v>
      </c>
      <c r="N49" s="66" t="n">
        <v>9</v>
      </c>
      <c r="O49" s="67">
        <f>IF(ISNUMBER(tblY9[[#This Row],[9B01 - Genetics
Raw Score]]),IFERROR(VLOOKUP(ROUND(STANDARDIZE(tblY9[[#This Row],[9B01 - Genetics
Raw Score]],AVERAGE(tblY9[[9B01 - Genetics
Raw Score]]),_xlfn.STDEV.P(tblY9[[9B01 - Genetics
Raw Score]])),9),_Stanine,2),5),"")</f>
        <v>1</v>
      </c>
      <c r="P49" s="66" t="n">
        <v>11</v>
      </c>
      <c r="Q49" s="67">
        <f>IF(ISNUMBER(tblY9[[#This Row],[9C01 - Chemical Reactions
Raw Score]]),IFERROR(VLOOKUP(ROUND(STANDARDIZE(tblY9[[#This Row],[9C01 - Chemical Reactions
Raw Score]],AVERAGE(tblY9[[9C01 - Chemical Reactions
Raw Score]]),_xlfn.STDEV.P(tblY9[[9C01 - Chemical Reactions
Raw Score]])),9),_Stanine,2),5),"")</f>
        <v>2</v>
      </c>
      <c r="R49" s="66" t="n">
        <v>12</v>
      </c>
      <c r="S49" s="67">
        <f>IF(ISNUMBER(tblY9[[#This Row],[9P01 - Electricity
Raw Score]]),IFERROR(VLOOKUP(ROUND(STANDARDIZE(tblY9[[#This Row],[9P01 - Electricity
Raw Score]],AVERAGE(tblY9[[9P01 - Electricity
Raw Score]]),_xlfn.STDEV.P(tblY9[[9P01 - Electricity
Raw Score]])),9),_Stanine,2),5),"")</f>
        <v>2</v>
      </c>
      <c r="T49" s="66" t="n">
        <v>10</v>
      </c>
      <c r="U49" s="67">
        <f>IF(ISNUMBER(tblY9[[#This Row],[9B02 - Ecology
Raw Score]]),IFERROR(VLOOKUP(ROUND(STANDARDIZE(tblY9[[#This Row],[9B02 - Ecology
Raw Score]],AVERAGE(tblY9[[9B02 - Ecology
Raw Score]]),_xlfn.STDEV.P(tblY9[[9B02 - Ecology
Raw Score]])),9),_Stanine,2),5),"")</f>
        <v>2</v>
      </c>
    </row>
    <row r="50">
      <c r="A50" s="65" t="inlineStr">
        <is>
          <t>X909808537853</t>
        </is>
      </c>
      <c r="B50" s="65" t="inlineStr">
        <is>
          <t>Barker</t>
        </is>
      </c>
      <c r="C50" s="65" t="inlineStr">
        <is>
          <t>Amara</t>
        </is>
      </c>
      <c r="D50" s="66" t="inlineStr">
        <is>
          <t>M</t>
        </is>
      </c>
      <c r="E50" s="66" t="inlineStr">
        <is>
          <t>K</t>
        </is>
      </c>
      <c r="F50" s="66" t="inlineStr">
        <is>
          <t>N</t>
        </is>
      </c>
      <c r="G50" s="34" t="n">
        <v>84.8</v>
      </c>
      <c r="H50" s="34" t="n">
        <v>99</v>
      </c>
      <c r="I50" s="67">
        <f>IF(ISNUMBER(tblY9[[#This Row],[Avg KS2]]),IFERROR(VLOOKUP(ROUND(STANDARDIZE(tblY9[[#This Row],[Avg KS2]],AVERAGE(tblY9[[Avg KS2]]),_xlfn.STDEV.P(tblY9[[Avg KS2]])),9),_Stanine,2),5),"")</f>
        <v>2</v>
      </c>
      <c r="J50" s="66" t="inlineStr">
        <is>
          <t>9A/Sc3</t>
        </is>
      </c>
      <c r="K50" s="67">
        <f>IF(tblY9[[#This Row],[Preferred Last name]]="","",COUNTIFS($N$1:$ZZ$1,"*"&amp;CHAR(10)&amp;"Stanine",$N50:$ZZ50,"&gt;=1"))</f>
        <v>4</v>
      </c>
      <c r="L50" s="68">
        <f>IFERROR(AVERAGEIF($N$1:$ZZ$1,"*"&amp;CHAR(10)&amp;"Stanine",$N50:$ZZ50),"")</f>
        <v>1</v>
      </c>
      <c r="M50" s="69">
        <f>IF(AND(ISNUMBER(tblY9[[#This Row],[Mean Stanine]]),ISNUMBER(tblY9[[#This Row],[Avg KS2 Band]]),ISNUMBER(SlopeY9)),tblY9[[#This Row],[Mean Stanine]]-(InterceptY9+SlopeY9*tblY9[[#This Row],[Avg KS2 Band]]),"")</f>
        <v>-1.78332942830366</v>
      </c>
      <c r="N50" s="66" t="n">
        <v>5</v>
      </c>
      <c r="O50" s="67">
        <f>IF(ISNUMBER(tblY9[[#This Row],[9B01 - Genetics
Raw Score]]),IFERROR(VLOOKUP(ROUND(STANDARDIZE(tblY9[[#This Row],[9B01 - Genetics
Raw Score]],AVERAGE(tblY9[[9B01 - Genetics
Raw Score]]),_xlfn.STDEV.P(tblY9[[9B01 - Genetics
Raw Score]])),9),_Stanine,2),5),"")</f>
        <v>1</v>
      </c>
      <c r="P50" s="66" t="n">
        <v>5</v>
      </c>
      <c r="Q50" s="67">
        <f>IF(ISNUMBER(tblY9[[#This Row],[9C01 - Chemical Reactions
Raw Score]]),IFERROR(VLOOKUP(ROUND(STANDARDIZE(tblY9[[#This Row],[9C01 - Chemical Reactions
Raw Score]],AVERAGE(tblY9[[9C01 - Chemical Reactions
Raw Score]]),_xlfn.STDEV.P(tblY9[[9C01 - Chemical Reactions
Raw Score]])),9),_Stanine,2),5),"")</f>
        <v>1</v>
      </c>
      <c r="R50" s="66" t="n">
        <v>9</v>
      </c>
      <c r="S50" s="67">
        <f>IF(ISNUMBER(tblY9[[#This Row],[9P01 - Electricity
Raw Score]]),IFERROR(VLOOKUP(ROUND(STANDARDIZE(tblY9[[#This Row],[9P01 - Electricity
Raw Score]],AVERAGE(tblY9[[9P01 - Electricity
Raw Score]]),_xlfn.STDEV.P(tblY9[[9P01 - Electricity
Raw Score]])),9),_Stanine,2),5),"")</f>
        <v>1</v>
      </c>
      <c r="T50" s="66" t="n">
        <v>6</v>
      </c>
      <c r="U50" s="67">
        <f>IF(ISNUMBER(tblY9[[#This Row],[9B02 - Ecology
Raw Score]]),IFERROR(VLOOKUP(ROUND(STANDARDIZE(tblY9[[#This Row],[9B02 - Ecology
Raw Score]],AVERAGE(tblY9[[9B02 - Ecology
Raw Score]]),_xlfn.STDEV.P(tblY9[[9B02 - Ecology
Raw Score]])),9),_Stanine,2),5),"")</f>
        <v>1</v>
      </c>
    </row>
    <row r="51">
      <c r="A51" s="65" t="inlineStr">
        <is>
          <t>X903254899076</t>
        </is>
      </c>
      <c r="B51" s="65" t="inlineStr">
        <is>
          <t>Barker</t>
        </is>
      </c>
      <c r="C51" s="65" t="inlineStr">
        <is>
          <t>Zofia</t>
        </is>
      </c>
      <c r="D51" s="66" t="inlineStr">
        <is>
          <t>M</t>
        </is>
      </c>
      <c r="E51" s="66" t="n"/>
      <c r="F51" s="66" t="inlineStr">
        <is>
          <t>N</t>
        </is>
      </c>
      <c r="G51" s="34" t="n">
        <v>93.7</v>
      </c>
      <c r="H51" s="34" t="n">
        <v>102</v>
      </c>
      <c r="I51" s="67">
        <f>IF(ISNUMBER(tblY9[[#This Row],[Avg KS2]]),IFERROR(VLOOKUP(ROUND(STANDARDIZE(tblY9[[#This Row],[Avg KS2]],AVERAGE(tblY9[[Avg KS2]]),_xlfn.STDEV.P(tblY9[[Avg KS2]])),9),_Stanine,2),5),"")</f>
        <v>3</v>
      </c>
      <c r="J51" s="66" t="inlineStr">
        <is>
          <t>9A/Sc3</t>
        </is>
      </c>
      <c r="K51" s="67">
        <f>IF(tblY9[[#This Row],[Preferred Last name]]="","",COUNTIFS($N$1:$ZZ$1,"*"&amp;CHAR(10)&amp;"Stanine",$N51:$ZZ51,"&gt;=1"))</f>
        <v>4</v>
      </c>
      <c r="L51" s="68">
        <f>IFERROR(AVERAGEIF($N$1:$ZZ$1,"*"&amp;CHAR(10)&amp;"Stanine",$N51:$ZZ51),"")</f>
        <v>1</v>
      </c>
      <c r="M51" s="69">
        <f>IF(AND(ISNUMBER(tblY9[[#This Row],[Mean Stanine]]),ISNUMBER(tblY9[[#This Row],[Avg KS2 Band]]),ISNUMBER(SlopeY9)),tblY9[[#This Row],[Mean Stanine]]-(InterceptY9+SlopeY9*tblY9[[#This Row],[Avg KS2 Band]]),"")</f>
        <v>-2.54674320524836</v>
      </c>
      <c r="N51" s="66" t="n">
        <v>10</v>
      </c>
      <c r="O51" s="67">
        <f>IF(ISNUMBER(tblY9[[#This Row],[9B01 - Genetics
Raw Score]]),IFERROR(VLOOKUP(ROUND(STANDARDIZE(tblY9[[#This Row],[9B01 - Genetics
Raw Score]],AVERAGE(tblY9[[9B01 - Genetics
Raw Score]]),_xlfn.STDEV.P(tblY9[[9B01 - Genetics
Raw Score]])),9),_Stanine,2),5),"")</f>
        <v>1</v>
      </c>
      <c r="P51" s="66" t="n">
        <v>7</v>
      </c>
      <c r="Q51" s="67">
        <f>IF(ISNUMBER(tblY9[[#This Row],[9C01 - Chemical Reactions
Raw Score]]),IFERROR(VLOOKUP(ROUND(STANDARDIZE(tblY9[[#This Row],[9C01 - Chemical Reactions
Raw Score]],AVERAGE(tblY9[[9C01 - Chemical Reactions
Raw Score]]),_xlfn.STDEV.P(tblY9[[9C01 - Chemical Reactions
Raw Score]])),9),_Stanine,2),5),"")</f>
        <v>1</v>
      </c>
      <c r="R51" s="66" t="n">
        <v>10</v>
      </c>
      <c r="S51" s="67">
        <f>IF(ISNUMBER(tblY9[[#This Row],[9P01 - Electricity
Raw Score]]),IFERROR(VLOOKUP(ROUND(STANDARDIZE(tblY9[[#This Row],[9P01 - Electricity
Raw Score]],AVERAGE(tblY9[[9P01 - Electricity
Raw Score]]),_xlfn.STDEV.P(tblY9[[9P01 - Electricity
Raw Score]])),9),_Stanine,2),5),"")</f>
        <v>1</v>
      </c>
      <c r="T51" s="66" t="n">
        <v>7</v>
      </c>
      <c r="U51" s="67">
        <f>IF(ISNUMBER(tblY9[[#This Row],[9B02 - Ecology
Raw Score]]),IFERROR(VLOOKUP(ROUND(STANDARDIZE(tblY9[[#This Row],[9B02 - Ecology
Raw Score]],AVERAGE(tblY9[[9B02 - Ecology
Raw Score]]),_xlfn.STDEV.P(tblY9[[9B02 - Ecology
Raw Score]])),9),_Stanine,2),5),"")</f>
        <v>1</v>
      </c>
    </row>
    <row r="52">
      <c r="A52" s="65" t="inlineStr">
        <is>
          <t>X909589194253</t>
        </is>
      </c>
      <c r="B52" s="65" t="inlineStr">
        <is>
          <t>Brown</t>
        </is>
      </c>
      <c r="C52" s="65" t="inlineStr">
        <is>
          <t>Nia</t>
        </is>
      </c>
      <c r="D52" s="66" t="inlineStr">
        <is>
          <t>M</t>
        </is>
      </c>
      <c r="E52" s="66" t="inlineStr">
        <is>
          <t>N</t>
        </is>
      </c>
      <c r="F52" s="66" t="inlineStr">
        <is>
          <t>N</t>
        </is>
      </c>
      <c r="G52" s="34" t="n">
        <v>96.40000000000001</v>
      </c>
      <c r="H52" s="34" t="n">
        <v>107</v>
      </c>
      <c r="I52" s="67">
        <f>IF(ISNUMBER(tblY9[[#This Row],[Avg KS2]]),IFERROR(VLOOKUP(ROUND(STANDARDIZE(tblY9[[#This Row],[Avg KS2]],AVERAGE(tblY9[[Avg KS2]]),_xlfn.STDEV.P(tblY9[[Avg KS2]])),9),_Stanine,2),5),"")</f>
        <v>5</v>
      </c>
      <c r="J52" s="66" t="inlineStr">
        <is>
          <t>9A/Sc3</t>
        </is>
      </c>
      <c r="K52" s="67">
        <f>IF(tblY9[[#This Row],[Preferred Last name]]="","",COUNTIFS($N$1:$ZZ$1,"*"&amp;CHAR(10)&amp;"Stanine",$N52:$ZZ52,"&gt;=1"))</f>
        <v>4</v>
      </c>
      <c r="L52" s="68">
        <f>IFERROR(AVERAGEIF($N$1:$ZZ$1,"*"&amp;CHAR(10)&amp;"Stanine",$N52:$ZZ52),"")</f>
        <v>5.75</v>
      </c>
      <c r="M52" s="69">
        <f>IF(AND(ISNUMBER(tblY9[[#This Row],[Mean Stanine]]),ISNUMBER(tblY9[[#This Row],[Avg KS2 Band]]),ISNUMBER(SlopeY9)),tblY9[[#This Row],[Mean Stanine]]-(InterceptY9+SlopeY9*tblY9[[#This Row],[Avg KS2 Band]]),"")</f>
        <v>0.67642924086223</v>
      </c>
      <c r="N52" s="66" t="n">
        <v>23</v>
      </c>
      <c r="O52" s="67">
        <f>IF(ISNUMBER(tblY9[[#This Row],[9B01 - Genetics
Raw Score]]),IFERROR(VLOOKUP(ROUND(STANDARDIZE(tblY9[[#This Row],[9B01 - Genetics
Raw Score]],AVERAGE(tblY9[[9B01 - Genetics
Raw Score]]),_xlfn.STDEV.P(tblY9[[9B01 - Genetics
Raw Score]])),9),_Stanine,2),5),"")</f>
        <v>6</v>
      </c>
      <c r="P52" s="66" t="n">
        <v>25</v>
      </c>
      <c r="Q52" s="67">
        <f>IF(ISNUMBER(tblY9[[#This Row],[9C01 - Chemical Reactions
Raw Score]]),IFERROR(VLOOKUP(ROUND(STANDARDIZE(tblY9[[#This Row],[9C01 - Chemical Reactions
Raw Score]],AVERAGE(tblY9[[9C01 - Chemical Reactions
Raw Score]]),_xlfn.STDEV.P(tblY9[[9C01 - Chemical Reactions
Raw Score]])),9),_Stanine,2),5),"")</f>
        <v>6</v>
      </c>
      <c r="R52" s="66" t="n">
        <v>23</v>
      </c>
      <c r="S52" s="67">
        <f>IF(ISNUMBER(tblY9[[#This Row],[9P01 - Electricity
Raw Score]]),IFERROR(VLOOKUP(ROUND(STANDARDIZE(tblY9[[#This Row],[9P01 - Electricity
Raw Score]],AVERAGE(tblY9[[9P01 - Electricity
Raw Score]]),_xlfn.STDEV.P(tblY9[[9P01 - Electricity
Raw Score]])),9),_Stanine,2),5),"")</f>
        <v>6</v>
      </c>
      <c r="T52" s="66" t="n">
        <v>18</v>
      </c>
      <c r="U52" s="67">
        <f>IF(ISNUMBER(tblY9[[#This Row],[9B02 - Ecology
Raw Score]]),IFERROR(VLOOKUP(ROUND(STANDARDIZE(tblY9[[#This Row],[9B02 - Ecology
Raw Score]],AVERAGE(tblY9[[9B02 - Ecology
Raw Score]]),_xlfn.STDEV.P(tblY9[[9B02 - Ecology
Raw Score]])),9),_Stanine,2),5),"")</f>
        <v>5</v>
      </c>
    </row>
    <row r="53">
      <c r="A53" s="65" t="inlineStr">
        <is>
          <t>X902767253198</t>
        </is>
      </c>
      <c r="B53" s="65" t="inlineStr">
        <is>
          <t>Evans</t>
        </is>
      </c>
      <c r="C53" s="65" t="inlineStr">
        <is>
          <t>Niamh</t>
        </is>
      </c>
      <c r="D53" s="66" t="inlineStr">
        <is>
          <t>F</t>
        </is>
      </c>
      <c r="E53" s="66" t="n"/>
      <c r="F53" s="66" t="inlineStr">
        <is>
          <t>N</t>
        </is>
      </c>
      <c r="G53" s="34" t="n">
        <v>100</v>
      </c>
      <c r="H53" s="34" t="n">
        <v>101.5</v>
      </c>
      <c r="I53" s="67">
        <f>IF(ISNUMBER(tblY9[[#This Row],[Avg KS2]]),IFERROR(VLOOKUP(ROUND(STANDARDIZE(tblY9[[#This Row],[Avg KS2]],AVERAGE(tblY9[[Avg KS2]]),_xlfn.STDEV.P(tblY9[[Avg KS2]])),9),_Stanine,2),5),"")</f>
        <v>3</v>
      </c>
      <c r="J53" s="66" t="inlineStr">
        <is>
          <t>9A/Sc3</t>
        </is>
      </c>
      <c r="K53" s="67">
        <f>IF(tblY9[[#This Row],[Preferred Last name]]="","",COUNTIFS($N$1:$ZZ$1,"*"&amp;CHAR(10)&amp;"Stanine",$N53:$ZZ53,"&gt;=1"))</f>
        <v>4</v>
      </c>
      <c r="L53" s="68">
        <f>IFERROR(AVERAGEIF($N$1:$ZZ$1,"*"&amp;CHAR(10)&amp;"Stanine",$N53:$ZZ53),"")</f>
        <v>2.5</v>
      </c>
      <c r="M53" s="69">
        <f>IF(AND(ISNUMBER(tblY9[[#This Row],[Mean Stanine]]),ISNUMBER(tblY9[[#This Row],[Avg KS2 Band]]),ISNUMBER(SlopeY9)),tblY9[[#This Row],[Mean Stanine]]-(InterceptY9+SlopeY9*tblY9[[#This Row],[Avg KS2 Band]]),"")</f>
        <v>-1.04674320524836</v>
      </c>
      <c r="N53" s="66" t="n">
        <v>12</v>
      </c>
      <c r="O53" s="67">
        <f>IF(ISNUMBER(tblY9[[#This Row],[9B01 - Genetics
Raw Score]]),IFERROR(VLOOKUP(ROUND(STANDARDIZE(tblY9[[#This Row],[9B01 - Genetics
Raw Score]],AVERAGE(tblY9[[9B01 - Genetics
Raw Score]]),_xlfn.STDEV.P(tblY9[[9B01 - Genetics
Raw Score]])),9),_Stanine,2),5),"")</f>
        <v>2</v>
      </c>
      <c r="P53" s="66" t="n">
        <v>16</v>
      </c>
      <c r="Q53" s="67">
        <f>IF(ISNUMBER(tblY9[[#This Row],[9C01 - Chemical Reactions
Raw Score]]),IFERROR(VLOOKUP(ROUND(STANDARDIZE(tblY9[[#This Row],[9C01 - Chemical Reactions
Raw Score]],AVERAGE(tblY9[[9C01 - Chemical Reactions
Raw Score]]),_xlfn.STDEV.P(tblY9[[9C01 - Chemical Reactions
Raw Score]])),9),_Stanine,2),5),"")</f>
        <v>3</v>
      </c>
      <c r="R53" s="66" t="n">
        <v>16</v>
      </c>
      <c r="S53" s="67">
        <f>IF(ISNUMBER(tblY9[[#This Row],[9P01 - Electricity
Raw Score]]),IFERROR(VLOOKUP(ROUND(STANDARDIZE(tblY9[[#This Row],[9P01 - Electricity
Raw Score]],AVERAGE(tblY9[[9P01 - Electricity
Raw Score]]),_xlfn.STDEV.P(tblY9[[9P01 - Electricity
Raw Score]])),9),_Stanine,2),5),"")</f>
        <v>3</v>
      </c>
      <c r="T53" s="66" t="n">
        <v>12</v>
      </c>
      <c r="U53" s="67">
        <f>IF(ISNUMBER(tblY9[[#This Row],[9B02 - Ecology
Raw Score]]),IFERROR(VLOOKUP(ROUND(STANDARDIZE(tblY9[[#This Row],[9B02 - Ecology
Raw Score]],AVERAGE(tblY9[[9B02 - Ecology
Raw Score]]),_xlfn.STDEV.P(tblY9[[9B02 - Ecology
Raw Score]])),9),_Stanine,2),5),"")</f>
        <v>2</v>
      </c>
    </row>
    <row r="54">
      <c r="A54" s="65" t="inlineStr">
        <is>
          <t>X906270626919</t>
        </is>
      </c>
      <c r="B54" s="65" t="inlineStr">
        <is>
          <t>Hughes</t>
        </is>
      </c>
      <c r="C54" s="65" t="inlineStr">
        <is>
          <t>Hollie</t>
        </is>
      </c>
      <c r="D54" s="66" t="inlineStr">
        <is>
          <t>F</t>
        </is>
      </c>
      <c r="E54" s="66" t="n"/>
      <c r="F54" s="66" t="inlineStr">
        <is>
          <t>Y</t>
        </is>
      </c>
      <c r="G54" s="34" t="n">
        <v>100</v>
      </c>
      <c r="H54" s="34" t="n">
        <v>107.5</v>
      </c>
      <c r="I54" s="67">
        <f>IF(ISNUMBER(tblY9[[#This Row],[Avg KS2]]),IFERROR(VLOOKUP(ROUND(STANDARDIZE(tblY9[[#This Row],[Avg KS2]],AVERAGE(tblY9[[Avg KS2]]),_xlfn.STDEV.P(tblY9[[Avg KS2]])),9),_Stanine,2),5),"")</f>
        <v>5</v>
      </c>
      <c r="J54" s="66" t="inlineStr">
        <is>
          <t>9A/Sc3</t>
        </is>
      </c>
      <c r="K54" s="67">
        <f>IF(tblY9[[#This Row],[Preferred Last name]]="","",COUNTIFS($N$1:$ZZ$1,"*"&amp;CHAR(10)&amp;"Stanine",$N54:$ZZ54,"&gt;=1"))</f>
        <v>4</v>
      </c>
      <c r="L54" s="68">
        <f>IFERROR(AVERAGEIF($N$1:$ZZ$1,"*"&amp;CHAR(10)&amp;"Stanine",$N54:$ZZ54),"")</f>
        <v>5.75</v>
      </c>
      <c r="M54" s="69">
        <f>IF(AND(ISNUMBER(tblY9[[#This Row],[Mean Stanine]]),ISNUMBER(tblY9[[#This Row],[Avg KS2 Band]]),ISNUMBER(SlopeY9)),tblY9[[#This Row],[Mean Stanine]]-(InterceptY9+SlopeY9*tblY9[[#This Row],[Avg KS2 Band]]),"")</f>
        <v>0.67642924086223</v>
      </c>
      <c r="N54" s="66" t="n">
        <v>27</v>
      </c>
      <c r="O54" s="67">
        <f>IF(ISNUMBER(tblY9[[#This Row],[9B01 - Genetics
Raw Score]]),IFERROR(VLOOKUP(ROUND(STANDARDIZE(tblY9[[#This Row],[9B01 - Genetics
Raw Score]],AVERAGE(tblY9[[9B01 - Genetics
Raw Score]]),_xlfn.STDEV.P(tblY9[[9B01 - Genetics
Raw Score]])),9),_Stanine,2),5),"")</f>
        <v>7</v>
      </c>
      <c r="P54" s="66" t="n">
        <v>24</v>
      </c>
      <c r="Q54" s="67">
        <f>IF(ISNUMBER(tblY9[[#This Row],[9C01 - Chemical Reactions
Raw Score]]),IFERROR(VLOOKUP(ROUND(STANDARDIZE(tblY9[[#This Row],[9C01 - Chemical Reactions
Raw Score]],AVERAGE(tblY9[[9C01 - Chemical Reactions
Raw Score]]),_xlfn.STDEV.P(tblY9[[9C01 - Chemical Reactions
Raw Score]])),9),_Stanine,2),5),"")</f>
        <v>6</v>
      </c>
      <c r="R54" s="66" t="n">
        <v>24</v>
      </c>
      <c r="S54" s="67">
        <f>IF(ISNUMBER(tblY9[[#This Row],[9P01 - Electricity
Raw Score]]),IFERROR(VLOOKUP(ROUND(STANDARDIZE(tblY9[[#This Row],[9P01 - Electricity
Raw Score]],AVERAGE(tblY9[[9P01 - Electricity
Raw Score]]),_xlfn.STDEV.P(tblY9[[9P01 - Electricity
Raw Score]])),9),_Stanine,2),5),"")</f>
        <v>6</v>
      </c>
      <c r="T54" s="66" t="n">
        <v>15</v>
      </c>
      <c r="U54" s="67">
        <f>IF(ISNUMBER(tblY9[[#This Row],[9B02 - Ecology
Raw Score]]),IFERROR(VLOOKUP(ROUND(STANDARDIZE(tblY9[[#This Row],[9B02 - Ecology
Raw Score]],AVERAGE(tblY9[[9B02 - Ecology
Raw Score]]),_xlfn.STDEV.P(tblY9[[9B02 - Ecology
Raw Score]])),9),_Stanine,2),5),"")</f>
        <v>4</v>
      </c>
    </row>
    <row r="55">
      <c r="A55" s="65" t="inlineStr">
        <is>
          <t>X909956124628</t>
        </is>
      </c>
      <c r="B55" s="65" t="inlineStr">
        <is>
          <t>Lewis</t>
        </is>
      </c>
      <c r="C55" s="65" t="inlineStr">
        <is>
          <t>Aisha</t>
        </is>
      </c>
      <c r="D55" s="66" t="inlineStr">
        <is>
          <t>F</t>
        </is>
      </c>
      <c r="E55" s="66" t="inlineStr">
        <is>
          <t>N</t>
        </is>
      </c>
      <c r="F55" s="66" t="inlineStr">
        <is>
          <t>N</t>
        </is>
      </c>
      <c r="G55" s="34" t="n">
        <v>86.09999999999999</v>
      </c>
      <c r="H55" s="34" t="n">
        <v>104</v>
      </c>
      <c r="I55" s="67">
        <f>IF(ISNUMBER(tblY9[[#This Row],[Avg KS2]]),IFERROR(VLOOKUP(ROUND(STANDARDIZE(tblY9[[#This Row],[Avg KS2]],AVERAGE(tblY9[[Avg KS2]]),_xlfn.STDEV.P(tblY9[[Avg KS2]])),9),_Stanine,2),5),"")</f>
        <v>4</v>
      </c>
      <c r="J55" s="66" t="inlineStr">
        <is>
          <t>9A/Sc3</t>
        </is>
      </c>
      <c r="K55" s="67">
        <f>IF(tblY9[[#This Row],[Preferred Last name]]="","",COUNTIFS($N$1:$ZZ$1,"*"&amp;CHAR(10)&amp;"Stanine",$N55:$ZZ55,"&gt;=1"))</f>
        <v>3</v>
      </c>
      <c r="L55" s="68">
        <f>IFERROR(AVERAGEIF($N$1:$ZZ$1,"*"&amp;CHAR(10)&amp;"Stanine",$N55:$ZZ55),"")</f>
        <v>1.66666666666667</v>
      </c>
      <c r="M55" s="69">
        <f>IF(AND(ISNUMBER(tblY9[[#This Row],[Mean Stanine]]),ISNUMBER(tblY9[[#This Row],[Avg KS2 Band]]),ISNUMBER(SlopeY9)),tblY9[[#This Row],[Mean Stanine]]-(InterceptY9+SlopeY9*tblY9[[#This Row],[Avg KS2 Band]]),"")</f>
        <v>-2.6434903155264</v>
      </c>
      <c r="N55" s="66" t="n">
        <v>11</v>
      </c>
      <c r="O55" s="67">
        <f>IF(ISNUMBER(tblY9[[#This Row],[9B01 - Genetics
Raw Score]]),IFERROR(VLOOKUP(ROUND(STANDARDIZE(tblY9[[#This Row],[9B01 - Genetics
Raw Score]],AVERAGE(tblY9[[9B01 - Genetics
Raw Score]]),_xlfn.STDEV.P(tblY9[[9B01 - Genetics
Raw Score]])),9),_Stanine,2),5),"")</f>
        <v>2</v>
      </c>
      <c r="P55" s="66" t="n">
        <v>9</v>
      </c>
      <c r="Q55" s="67">
        <f>IF(ISNUMBER(tblY9[[#This Row],[9C01 - Chemical Reactions
Raw Score]]),IFERROR(VLOOKUP(ROUND(STANDARDIZE(tblY9[[#This Row],[9C01 - Chemical Reactions
Raw Score]],AVERAGE(tblY9[[9C01 - Chemical Reactions
Raw Score]]),_xlfn.STDEV.P(tblY9[[9C01 - Chemical Reactions
Raw Score]])),9),_Stanine,2),5),"")</f>
        <v>1</v>
      </c>
      <c r="R55" s="66" t="n">
        <v>14</v>
      </c>
      <c r="S55" s="67">
        <f>IF(ISNUMBER(tblY9[[#This Row],[9P01 - Electricity
Raw Score]]),IFERROR(VLOOKUP(ROUND(STANDARDIZE(tblY9[[#This Row],[9P01 - Electricity
Raw Score]],AVERAGE(tblY9[[9P01 - Electricity
Raw Score]]),_xlfn.STDEV.P(tblY9[[9P01 - Electricity
Raw Score]])),9),_Stanine,2),5),"")</f>
        <v>2</v>
      </c>
      <c r="T55" s="66" t="inlineStr">
        <is>
          <t>A</t>
        </is>
      </c>
      <c r="U55" s="67" t="str">
        <f>IF(ISNUMBER(tblY9[[#This Row],[9B02 - Ecology
Raw Score]]),IFERROR(VLOOKUP(ROUND(STANDARDIZE(tblY9[[#This Row],[9B02 - Ecology
Raw Score]],AVERAGE(tblY9[[9B02 - Ecology
Raw Score]]),_xlfn.STDEV.P(tblY9[[9B02 - Ecology
Raw Score]])),9),_Stanine,2),5),"")</f>
        <v/>
      </c>
    </row>
    <row r="56">
      <c r="A56" s="65" t="inlineStr">
        <is>
          <t>X905233497467</t>
        </is>
      </c>
      <c r="B56" s="65" t="inlineStr">
        <is>
          <t>Lloyd</t>
        </is>
      </c>
      <c r="C56" s="65" t="inlineStr">
        <is>
          <t>Kai</t>
        </is>
      </c>
      <c r="D56" s="66" t="inlineStr">
        <is>
          <t>M</t>
        </is>
      </c>
      <c r="E56" s="66" t="inlineStr">
        <is>
          <t>N</t>
        </is>
      </c>
      <c r="F56" s="66" t="inlineStr">
        <is>
          <t>N</t>
        </is>
      </c>
      <c r="G56" s="34" t="n">
        <v>100</v>
      </c>
      <c r="H56" s="34" t="n">
        <v>108</v>
      </c>
      <c r="I56" s="67">
        <f>IF(ISNUMBER(tblY9[[#This Row],[Avg KS2]]),IFERROR(VLOOKUP(ROUND(STANDARDIZE(tblY9[[#This Row],[Avg KS2]],AVERAGE(tblY9[[Avg KS2]]),_xlfn.STDEV.P(tblY9[[Avg KS2]])),9),_Stanine,2),5),"")</f>
        <v>6</v>
      </c>
      <c r="J56" s="66" t="inlineStr">
        <is>
          <t>9A/Sc3</t>
        </is>
      </c>
      <c r="K56" s="67">
        <f>IF(tblY9[[#This Row],[Preferred Last name]]="","",COUNTIFS($N$1:$ZZ$1,"*"&amp;CHAR(10)&amp;"Stanine",$N56:$ZZ56,"&gt;=1"))</f>
        <v>3</v>
      </c>
      <c r="L56" s="68">
        <f>IFERROR(AVERAGEIF($N$1:$ZZ$1,"*"&amp;CHAR(10)&amp;"Stanine",$N56:$ZZ56),"")</f>
        <v>5.66666666666667</v>
      </c>
      <c r="M56" s="69">
        <f>IF(AND(ISNUMBER(tblY9[[#This Row],[Mean Stanine]]),ISNUMBER(tblY9[[#This Row],[Avg KS2 Band]]),ISNUMBER(SlopeY9)),tblY9[[#This Row],[Mean Stanine]]-(InterceptY9+SlopeY9*tblY9[[#This Row],[Avg KS2 Band]]),"")</f>
        <v>-0.170317869415807</v>
      </c>
      <c r="N56" s="66" t="n">
        <v>20</v>
      </c>
      <c r="O56" s="67">
        <f>IF(ISNUMBER(tblY9[[#This Row],[9B01 - Genetics
Raw Score]]),IFERROR(VLOOKUP(ROUND(STANDARDIZE(tblY9[[#This Row],[9B01 - Genetics
Raw Score]],AVERAGE(tblY9[[9B01 - Genetics
Raw Score]]),_xlfn.STDEV.P(tblY9[[9B01 - Genetics
Raw Score]])),9),_Stanine,2),5),"")</f>
        <v>5</v>
      </c>
      <c r="P56" s="66" t="n">
        <v>23</v>
      </c>
      <c r="Q56" s="67">
        <f>IF(ISNUMBER(tblY9[[#This Row],[9C01 - Chemical Reactions
Raw Score]]),IFERROR(VLOOKUP(ROUND(STANDARDIZE(tblY9[[#This Row],[9C01 - Chemical Reactions
Raw Score]],AVERAGE(tblY9[[9C01 - Chemical Reactions
Raw Score]]),_xlfn.STDEV.P(tblY9[[9C01 - Chemical Reactions
Raw Score]])),9),_Stanine,2),5),"")</f>
        <v>6</v>
      </c>
      <c r="R56" s="66" t="inlineStr">
        <is>
          <t>A</t>
        </is>
      </c>
      <c r="S56" s="67" t="str">
        <f>IF(ISNUMBER(tblY9[[#This Row],[9P01 - Electricity
Raw Score]]),IFERROR(VLOOKUP(ROUND(STANDARDIZE(tblY9[[#This Row],[9P01 - Electricity
Raw Score]],AVERAGE(tblY9[[9P01 - Electricity
Raw Score]]),_xlfn.STDEV.P(tblY9[[9P01 - Electricity
Raw Score]])),9),_Stanine,2),5),"")</f>
        <v/>
      </c>
      <c r="T56" s="66" t="n">
        <v>20</v>
      </c>
      <c r="U56" s="67">
        <f>IF(ISNUMBER(tblY9[[#This Row],[9B02 - Ecology
Raw Score]]),IFERROR(VLOOKUP(ROUND(STANDARDIZE(tblY9[[#This Row],[9B02 - Ecology
Raw Score]],AVERAGE(tblY9[[9B02 - Ecology
Raw Score]]),_xlfn.STDEV.P(tblY9[[9B02 - Ecology
Raw Score]])),9),_Stanine,2),5),"")</f>
        <v>6</v>
      </c>
    </row>
    <row r="57">
      <c r="A57" s="65" t="inlineStr">
        <is>
          <t>X901254560767</t>
        </is>
      </c>
      <c r="B57" s="65" t="inlineStr">
        <is>
          <t>Morgan</t>
        </is>
      </c>
      <c r="C57" s="65" t="inlineStr">
        <is>
          <t>Freya</t>
        </is>
      </c>
      <c r="D57" s="66" t="inlineStr">
        <is>
          <t>F</t>
        </is>
      </c>
      <c r="E57" s="66" t="n"/>
      <c r="F57" s="66" t="inlineStr">
        <is>
          <t>Y</t>
        </is>
      </c>
      <c r="G57" s="34" t="n">
        <v>89.7</v>
      </c>
      <c r="H57" s="34" t="n">
        <v>108.5</v>
      </c>
      <c r="I57" s="67">
        <f>IF(ISNUMBER(tblY9[[#This Row],[Avg KS2]]),IFERROR(VLOOKUP(ROUND(STANDARDIZE(tblY9[[#This Row],[Avg KS2]],AVERAGE(tblY9[[Avg KS2]]),_xlfn.STDEV.P(tblY9[[Avg KS2]])),9),_Stanine,2),5),"")</f>
        <v>6</v>
      </c>
      <c r="J57" s="66" t="inlineStr">
        <is>
          <t>9A/Sc3</t>
        </is>
      </c>
      <c r="K57" s="67">
        <f>IF(tblY9[[#This Row],[Preferred Last name]]="","",COUNTIFS($N$1:$ZZ$1,"*"&amp;CHAR(10)&amp;"Stanine",$N57:$ZZ57,"&gt;=1"))</f>
        <v>4</v>
      </c>
      <c r="L57" s="68">
        <f>IFERROR(AVERAGEIF($N$1:$ZZ$1,"*"&amp;CHAR(10)&amp;"Stanine",$N57:$ZZ57),"")</f>
        <v>5.25</v>
      </c>
      <c r="M57" s="69">
        <f>IF(AND(ISNUMBER(tblY9[[#This Row],[Mean Stanine]]),ISNUMBER(tblY9[[#This Row],[Avg KS2 Band]]),ISNUMBER(SlopeY9)),tblY9[[#This Row],[Mean Stanine]]-(InterceptY9+SlopeY9*tblY9[[#This Row],[Avg KS2 Band]]),"")</f>
        <v>-0.586984536082474</v>
      </c>
      <c r="N57" s="66" t="n">
        <v>18</v>
      </c>
      <c r="O57" s="67">
        <f>IF(ISNUMBER(tblY9[[#This Row],[9B01 - Genetics
Raw Score]]),IFERROR(VLOOKUP(ROUND(STANDARDIZE(tblY9[[#This Row],[9B01 - Genetics
Raw Score]],AVERAGE(tblY9[[9B01 - Genetics
Raw Score]]),_xlfn.STDEV.P(tblY9[[9B01 - Genetics
Raw Score]])),9),_Stanine,2),5),"")</f>
        <v>4</v>
      </c>
      <c r="P57" s="66" t="n">
        <v>25</v>
      </c>
      <c r="Q57" s="67">
        <f>IF(ISNUMBER(tblY9[[#This Row],[9C01 - Chemical Reactions
Raw Score]]),IFERROR(VLOOKUP(ROUND(STANDARDIZE(tblY9[[#This Row],[9C01 - Chemical Reactions
Raw Score]],AVERAGE(tblY9[[9C01 - Chemical Reactions
Raw Score]]),_xlfn.STDEV.P(tblY9[[9C01 - Chemical Reactions
Raw Score]])),9),_Stanine,2),5),"")</f>
        <v>6</v>
      </c>
      <c r="R57" s="66" t="n">
        <v>24</v>
      </c>
      <c r="S57" s="67">
        <f>IF(ISNUMBER(tblY9[[#This Row],[9P01 - Electricity
Raw Score]]),IFERROR(VLOOKUP(ROUND(STANDARDIZE(tblY9[[#This Row],[9P01 - Electricity
Raw Score]],AVERAGE(tblY9[[9P01 - Electricity
Raw Score]]),_xlfn.STDEV.P(tblY9[[9P01 - Electricity
Raw Score]])),9),_Stanine,2),5),"")</f>
        <v>6</v>
      </c>
      <c r="T57" s="66" t="n">
        <v>17</v>
      </c>
      <c r="U57" s="67">
        <f>IF(ISNUMBER(tblY9[[#This Row],[9B02 - Ecology
Raw Score]]),IFERROR(VLOOKUP(ROUND(STANDARDIZE(tblY9[[#This Row],[9B02 - Ecology
Raw Score]],AVERAGE(tblY9[[9B02 - Ecology
Raw Score]]),_xlfn.STDEV.P(tblY9[[9B02 - Ecology
Raw Score]])),9),_Stanine,2),5),"")</f>
        <v>5</v>
      </c>
    </row>
    <row r="58">
      <c r="A58" s="65" t="inlineStr">
        <is>
          <t>X907966871234</t>
        </is>
      </c>
      <c r="B58" s="65" t="inlineStr">
        <is>
          <t>Nowak</t>
        </is>
      </c>
      <c r="C58" s="65" t="inlineStr">
        <is>
          <t>Layla</t>
        </is>
      </c>
      <c r="D58" s="66" t="inlineStr">
        <is>
          <t>F</t>
        </is>
      </c>
      <c r="E58" s="66" t="n"/>
      <c r="F58" s="66" t="inlineStr">
        <is>
          <t>N</t>
        </is>
      </c>
      <c r="G58" s="34" t="n">
        <v>98.40000000000001</v>
      </c>
      <c r="H58" s="34" t="n">
        <v>104</v>
      </c>
      <c r="I58" s="67">
        <f>IF(ISNUMBER(tblY9[[#This Row],[Avg KS2]]),IFERROR(VLOOKUP(ROUND(STANDARDIZE(tblY9[[#This Row],[Avg KS2]],AVERAGE(tblY9[[Avg KS2]]),_xlfn.STDEV.P(tblY9[[Avg KS2]])),9),_Stanine,2),5),"")</f>
        <v>4</v>
      </c>
      <c r="J58" s="66" t="inlineStr">
        <is>
          <t>9A/Sc3</t>
        </is>
      </c>
      <c r="K58" s="67">
        <f>IF(tblY9[[#This Row],[Preferred Last name]]="","",COUNTIFS($N$1:$ZZ$1,"*"&amp;CHAR(10)&amp;"Stanine",$N58:$ZZ58,"&gt;=1"))</f>
        <v>4</v>
      </c>
      <c r="L58" s="68">
        <f>IFERROR(AVERAGEIF($N$1:$ZZ$1,"*"&amp;CHAR(10)&amp;"Stanine",$N58:$ZZ58),"")</f>
        <v>5.75</v>
      </c>
      <c r="M58" s="69">
        <f>IF(AND(ISNUMBER(tblY9[[#This Row],[Mean Stanine]]),ISNUMBER(tblY9[[#This Row],[Avg KS2 Band]]),ISNUMBER(SlopeY9)),tblY9[[#This Row],[Mean Stanine]]-(InterceptY9+SlopeY9*tblY9[[#This Row],[Avg KS2 Band]]),"")</f>
        <v>1.43984301780694</v>
      </c>
      <c r="N58" s="66" t="n">
        <v>19</v>
      </c>
      <c r="O58" s="67">
        <f>IF(ISNUMBER(tblY9[[#This Row],[9B01 - Genetics
Raw Score]]),IFERROR(VLOOKUP(ROUND(STANDARDIZE(tblY9[[#This Row],[9B01 - Genetics
Raw Score]],AVERAGE(tblY9[[9B01 - Genetics
Raw Score]]),_xlfn.STDEV.P(tblY9[[9B01 - Genetics
Raw Score]])),9),_Stanine,2),5),"")</f>
        <v>5</v>
      </c>
      <c r="P58" s="66" t="n">
        <v>24</v>
      </c>
      <c r="Q58" s="67">
        <f>IF(ISNUMBER(tblY9[[#This Row],[9C01 - Chemical Reactions
Raw Score]]),IFERROR(VLOOKUP(ROUND(STANDARDIZE(tblY9[[#This Row],[9C01 - Chemical Reactions
Raw Score]],AVERAGE(tblY9[[9C01 - Chemical Reactions
Raw Score]]),_xlfn.STDEV.P(tblY9[[9C01 - Chemical Reactions
Raw Score]])),9),_Stanine,2),5),"")</f>
        <v>6</v>
      </c>
      <c r="R58" s="66" t="n">
        <v>24</v>
      </c>
      <c r="S58" s="67">
        <f>IF(ISNUMBER(tblY9[[#This Row],[9P01 - Electricity
Raw Score]]),IFERROR(VLOOKUP(ROUND(STANDARDIZE(tblY9[[#This Row],[9P01 - Electricity
Raw Score]],AVERAGE(tblY9[[9P01 - Electricity
Raw Score]]),_xlfn.STDEV.P(tblY9[[9P01 - Electricity
Raw Score]])),9),_Stanine,2),5),"")</f>
        <v>6</v>
      </c>
      <c r="T58" s="66" t="n">
        <v>19</v>
      </c>
      <c r="U58" s="67">
        <f>IF(ISNUMBER(tblY9[[#This Row],[9B02 - Ecology
Raw Score]]),IFERROR(VLOOKUP(ROUND(STANDARDIZE(tblY9[[#This Row],[9B02 - Ecology
Raw Score]],AVERAGE(tblY9[[9B02 - Ecology
Raw Score]]),_xlfn.STDEV.P(tblY9[[9B02 - Ecology
Raw Score]])),9),_Stanine,2),5),"")</f>
        <v>6</v>
      </c>
    </row>
    <row r="59">
      <c r="A59" s="65" t="inlineStr">
        <is>
          <t>X900515394746</t>
        </is>
      </c>
      <c r="B59" s="65" t="inlineStr">
        <is>
          <t>Price</t>
        </is>
      </c>
      <c r="C59" s="65" t="inlineStr">
        <is>
          <t>Amelia</t>
        </is>
      </c>
      <c r="D59" s="66" t="inlineStr">
        <is>
          <t>M</t>
        </is>
      </c>
      <c r="E59" s="66" t="inlineStr">
        <is>
          <t>N</t>
        </is>
      </c>
      <c r="F59" s="66" t="inlineStr">
        <is>
          <t>N</t>
        </is>
      </c>
      <c r="G59" s="34" t="n">
        <v>92</v>
      </c>
      <c r="H59" s="34" t="n">
        <v>107</v>
      </c>
      <c r="I59" s="67">
        <f>IF(ISNUMBER(tblY9[[#This Row],[Avg KS2]]),IFERROR(VLOOKUP(ROUND(STANDARDIZE(tblY9[[#This Row],[Avg KS2]],AVERAGE(tblY9[[Avg KS2]]),_xlfn.STDEV.P(tblY9[[Avg KS2]])),9),_Stanine,2),5),"")</f>
        <v>5</v>
      </c>
      <c r="J59" s="66" t="inlineStr">
        <is>
          <t>9A/Sc3</t>
        </is>
      </c>
      <c r="K59" s="67">
        <f>IF(tblY9[[#This Row],[Preferred Last name]]="","",COUNTIFS($N$1:$ZZ$1,"*"&amp;CHAR(10)&amp;"Stanine",$N59:$ZZ59,"&gt;=1"))</f>
        <v>4</v>
      </c>
      <c r="L59" s="68">
        <f>IFERROR(AVERAGEIF($N$1:$ZZ$1,"*"&amp;CHAR(10)&amp;"Stanine",$N59:$ZZ59),"")</f>
        <v>5</v>
      </c>
      <c r="M59" s="69">
        <f>IF(AND(ISNUMBER(tblY9[[#This Row],[Mean Stanine]]),ISNUMBER(tblY9[[#This Row],[Avg KS2 Band]]),ISNUMBER(SlopeY9)),tblY9[[#This Row],[Mean Stanine]]-(InterceptY9+SlopeY9*tblY9[[#This Row],[Avg KS2 Band]]),"")</f>
        <v>-0.0735707591377697</v>
      </c>
      <c r="N59" s="66" t="n">
        <v>16</v>
      </c>
      <c r="O59" s="67">
        <f>IF(ISNUMBER(tblY9[[#This Row],[9B01 - Genetics
Raw Score]]),IFERROR(VLOOKUP(ROUND(STANDARDIZE(tblY9[[#This Row],[9B01 - Genetics
Raw Score]],AVERAGE(tblY9[[9B01 - Genetics
Raw Score]]),_xlfn.STDEV.P(tblY9[[9B01 - Genetics
Raw Score]])),9),_Stanine,2),5),"")</f>
        <v>4</v>
      </c>
      <c r="P59" s="66" t="n">
        <v>22</v>
      </c>
      <c r="Q59" s="67">
        <f>IF(ISNUMBER(tblY9[[#This Row],[9C01 - Chemical Reactions
Raw Score]]),IFERROR(VLOOKUP(ROUND(STANDARDIZE(tblY9[[#This Row],[9C01 - Chemical Reactions
Raw Score]],AVERAGE(tblY9[[9C01 - Chemical Reactions
Raw Score]]),_xlfn.STDEV.P(tblY9[[9C01 - Chemical Reactions
Raw Score]])),9),_Stanine,2),5),"")</f>
        <v>5</v>
      </c>
      <c r="R59" s="66" t="n">
        <v>21</v>
      </c>
      <c r="S59" s="67">
        <f>IF(ISNUMBER(tblY9[[#This Row],[9P01 - Electricity
Raw Score]]),IFERROR(VLOOKUP(ROUND(STANDARDIZE(tblY9[[#This Row],[9P01 - Electricity
Raw Score]],AVERAGE(tblY9[[9P01 - Electricity
Raw Score]]),_xlfn.STDEV.P(tblY9[[9P01 - Electricity
Raw Score]])),9),_Stanine,2),5),"")</f>
        <v>5</v>
      </c>
      <c r="T59" s="66" t="n">
        <v>20</v>
      </c>
      <c r="U59" s="67">
        <f>IF(ISNUMBER(tblY9[[#This Row],[9B02 - Ecology
Raw Score]]),IFERROR(VLOOKUP(ROUND(STANDARDIZE(tblY9[[#This Row],[9B02 - Ecology
Raw Score]],AVERAGE(tblY9[[9B02 - Ecology
Raw Score]]),_xlfn.STDEV.P(tblY9[[9B02 - Ecology
Raw Score]])),9),_Stanine,2),5),"")</f>
        <v>6</v>
      </c>
    </row>
    <row r="60">
      <c r="A60" s="65" t="inlineStr">
        <is>
          <t>X909087061239</t>
        </is>
      </c>
      <c r="B60" s="65" t="inlineStr">
        <is>
          <t>Shaw</t>
        </is>
      </c>
      <c r="C60" s="65" t="inlineStr">
        <is>
          <t>Jack</t>
        </is>
      </c>
      <c r="D60" s="66" t="inlineStr">
        <is>
          <t>M</t>
        </is>
      </c>
      <c r="E60" s="66" t="inlineStr">
        <is>
          <t>N</t>
        </is>
      </c>
      <c r="F60" s="66" t="inlineStr">
        <is>
          <t>N</t>
        </is>
      </c>
      <c r="G60" s="34" t="n">
        <v>97.2</v>
      </c>
      <c r="H60" s="34" t="n">
        <v>102</v>
      </c>
      <c r="I60" s="67">
        <f>IF(ISNUMBER(tblY9[[#This Row],[Avg KS2]]),IFERROR(VLOOKUP(ROUND(STANDARDIZE(tblY9[[#This Row],[Avg KS2]],AVERAGE(tblY9[[Avg KS2]]),_xlfn.STDEV.P(tblY9[[Avg KS2]])),9),_Stanine,2),5),"")</f>
        <v>3</v>
      </c>
      <c r="J60" s="66" t="inlineStr">
        <is>
          <t>9A/Sc3</t>
        </is>
      </c>
      <c r="K60" s="67">
        <f>IF(tblY9[[#This Row],[Preferred Last name]]="","",COUNTIFS($N$1:$ZZ$1,"*"&amp;CHAR(10)&amp;"Stanine",$N60:$ZZ60,"&gt;=1"))</f>
        <v>4</v>
      </c>
      <c r="L60" s="68">
        <f>IFERROR(AVERAGEIF($N$1:$ZZ$1,"*"&amp;CHAR(10)&amp;"Stanine",$N60:$ZZ60),"")</f>
        <v>3.5</v>
      </c>
      <c r="M60" s="69">
        <f>IF(AND(ISNUMBER(tblY9[[#This Row],[Mean Stanine]]),ISNUMBER(tblY9[[#This Row],[Avg KS2 Band]]),ISNUMBER(SlopeY9)),tblY9[[#This Row],[Mean Stanine]]-(InterceptY9+SlopeY9*tblY9[[#This Row],[Avg KS2 Band]]),"")</f>
        <v>-0.0467432052483598</v>
      </c>
      <c r="N60" s="66" t="n">
        <v>15</v>
      </c>
      <c r="O60" s="67">
        <f>IF(ISNUMBER(tblY9[[#This Row],[9B01 - Genetics
Raw Score]]),IFERROR(VLOOKUP(ROUND(STANDARDIZE(tblY9[[#This Row],[9B01 - Genetics
Raw Score]],AVERAGE(tblY9[[9B01 - Genetics
Raw Score]]),_xlfn.STDEV.P(tblY9[[9B01 - Genetics
Raw Score]])),9),_Stanine,2),5),"")</f>
        <v>3</v>
      </c>
      <c r="P60" s="66" t="n">
        <v>20</v>
      </c>
      <c r="Q60" s="67">
        <f>IF(ISNUMBER(tblY9[[#This Row],[9C01 - Chemical Reactions
Raw Score]]),IFERROR(VLOOKUP(ROUND(STANDARDIZE(tblY9[[#This Row],[9C01 - Chemical Reactions
Raw Score]],AVERAGE(tblY9[[9C01 - Chemical Reactions
Raw Score]]),_xlfn.STDEV.P(tblY9[[9C01 - Chemical Reactions
Raw Score]])),9),_Stanine,2),5),"")</f>
        <v>5</v>
      </c>
      <c r="R60" s="66" t="n">
        <v>19</v>
      </c>
      <c r="S60" s="67">
        <f>IF(ISNUMBER(tblY9[[#This Row],[9P01 - Electricity
Raw Score]]),IFERROR(VLOOKUP(ROUND(STANDARDIZE(tblY9[[#This Row],[9P01 - Electricity
Raw Score]],AVERAGE(tblY9[[9P01 - Electricity
Raw Score]]),_xlfn.STDEV.P(tblY9[[9P01 - Electricity
Raw Score]])),9),_Stanine,2),5),"")</f>
        <v>4</v>
      </c>
      <c r="T60" s="66" t="n">
        <v>10</v>
      </c>
      <c r="U60" s="67">
        <f>IF(ISNUMBER(tblY9[[#This Row],[9B02 - Ecology
Raw Score]]),IFERROR(VLOOKUP(ROUND(STANDARDIZE(tblY9[[#This Row],[9B02 - Ecology
Raw Score]],AVERAGE(tblY9[[9B02 - Ecology
Raw Score]]),_xlfn.STDEV.P(tblY9[[9B02 - Ecology
Raw Score]])),9),_Stanine,2),5),"")</f>
        <v>2</v>
      </c>
    </row>
    <row r="61">
      <c r="A61" s="65" t="inlineStr">
        <is>
          <t>X906225359055</t>
        </is>
      </c>
      <c r="B61" s="65" t="inlineStr">
        <is>
          <t>Taylor</t>
        </is>
      </c>
      <c r="C61" s="65" t="inlineStr">
        <is>
          <t>Arthur</t>
        </is>
      </c>
      <c r="D61" s="66" t="inlineStr">
        <is>
          <t>M</t>
        </is>
      </c>
      <c r="E61" s="66" t="inlineStr">
        <is>
          <t>K</t>
        </is>
      </c>
      <c r="F61" s="66" t="inlineStr">
        <is>
          <t>N</t>
        </is>
      </c>
      <c r="G61" s="34" t="n">
        <v>100</v>
      </c>
      <c r="H61" s="34" t="n">
        <v>100</v>
      </c>
      <c r="I61" s="67">
        <f>IF(ISNUMBER(tblY9[[#This Row],[Avg KS2]]),IFERROR(VLOOKUP(ROUND(STANDARDIZE(tblY9[[#This Row],[Avg KS2]],AVERAGE(tblY9[[Avg KS2]]),_xlfn.STDEV.P(tblY9[[Avg KS2]])),9),_Stanine,2),5),"")</f>
        <v>2</v>
      </c>
      <c r="J61" s="66" t="inlineStr">
        <is>
          <t>9A/Sc3</t>
        </is>
      </c>
      <c r="K61" s="67">
        <f>IF(tblY9[[#This Row],[Preferred Last name]]="","",COUNTIFS($N$1:$ZZ$1,"*"&amp;CHAR(10)&amp;"Stanine",$N61:$ZZ61,"&gt;=1"))</f>
        <v>4</v>
      </c>
      <c r="L61" s="68">
        <f>IFERROR(AVERAGEIF($N$1:$ZZ$1,"*"&amp;CHAR(10)&amp;"Stanine",$N61:$ZZ61),"")</f>
        <v>2</v>
      </c>
      <c r="M61" s="69">
        <f>IF(AND(ISNUMBER(tblY9[[#This Row],[Mean Stanine]]),ISNUMBER(tblY9[[#This Row],[Avg KS2 Band]]),ISNUMBER(SlopeY9)),tblY9[[#This Row],[Mean Stanine]]-(InterceptY9+SlopeY9*tblY9[[#This Row],[Avg KS2 Band]]),"")</f>
        <v>-0.783329428303655</v>
      </c>
      <c r="N61" s="66" t="n">
        <v>12</v>
      </c>
      <c r="O61" s="67">
        <f>IF(ISNUMBER(tblY9[[#This Row],[9B01 - Genetics
Raw Score]]),IFERROR(VLOOKUP(ROUND(STANDARDIZE(tblY9[[#This Row],[9B01 - Genetics
Raw Score]],AVERAGE(tblY9[[9B01 - Genetics
Raw Score]]),_xlfn.STDEV.P(tblY9[[9B01 - Genetics
Raw Score]])),9),_Stanine,2),5),"")</f>
        <v>2</v>
      </c>
      <c r="P61" s="66" t="n">
        <v>12</v>
      </c>
      <c r="Q61" s="67">
        <f>IF(ISNUMBER(tblY9[[#This Row],[9C01 - Chemical Reactions
Raw Score]]),IFERROR(VLOOKUP(ROUND(STANDARDIZE(tblY9[[#This Row],[9C01 - Chemical Reactions
Raw Score]],AVERAGE(tblY9[[9C01 - Chemical Reactions
Raw Score]]),_xlfn.STDEV.P(tblY9[[9C01 - Chemical Reactions
Raw Score]])),9),_Stanine,2),5),"")</f>
        <v>2</v>
      </c>
      <c r="R61" s="66" t="n">
        <v>12</v>
      </c>
      <c r="S61" s="67">
        <f>IF(ISNUMBER(tblY9[[#This Row],[9P01 - Electricity
Raw Score]]),IFERROR(VLOOKUP(ROUND(STANDARDIZE(tblY9[[#This Row],[9P01 - Electricity
Raw Score]],AVERAGE(tblY9[[9P01 - Electricity
Raw Score]]),_xlfn.STDEV.P(tblY9[[9P01 - Electricity
Raw Score]])),9),_Stanine,2),5),"")</f>
        <v>2</v>
      </c>
      <c r="T61" s="66" t="n">
        <v>11</v>
      </c>
      <c r="U61" s="67">
        <f>IF(ISNUMBER(tblY9[[#This Row],[9B02 - Ecology
Raw Score]]),IFERROR(VLOOKUP(ROUND(STANDARDIZE(tblY9[[#This Row],[9B02 - Ecology
Raw Score]],AVERAGE(tblY9[[9B02 - Ecology
Raw Score]]),_xlfn.STDEV.P(tblY9[[9B02 - Ecology
Raw Score]])),9),_Stanine,2),5),"")</f>
        <v>2</v>
      </c>
    </row>
    <row r="62">
      <c r="A62" s="65" t="inlineStr">
        <is>
          <t>X903214848629</t>
        </is>
      </c>
      <c r="B62" s="65" t="inlineStr">
        <is>
          <t>Thompson</t>
        </is>
      </c>
      <c r="C62" s="65" t="inlineStr">
        <is>
          <t>Reuben</t>
        </is>
      </c>
      <c r="D62" s="66" t="inlineStr">
        <is>
          <t>M</t>
        </is>
      </c>
      <c r="E62" s="66" t="inlineStr">
        <is>
          <t>K</t>
        </is>
      </c>
      <c r="F62" s="66" t="inlineStr">
        <is>
          <t>Y</t>
        </is>
      </c>
      <c r="G62" s="34" t="n">
        <v>92.40000000000001</v>
      </c>
      <c r="H62" s="34" t="n">
        <v>107</v>
      </c>
      <c r="I62" s="67">
        <f>IF(ISNUMBER(tblY9[[#This Row],[Avg KS2]]),IFERROR(VLOOKUP(ROUND(STANDARDIZE(tblY9[[#This Row],[Avg KS2]],AVERAGE(tblY9[[Avg KS2]]),_xlfn.STDEV.P(tblY9[[Avg KS2]])),9),_Stanine,2),5),"")</f>
        <v>5</v>
      </c>
      <c r="J62" s="66" t="inlineStr">
        <is>
          <t>9A/Sc3</t>
        </is>
      </c>
      <c r="K62" s="67">
        <f>IF(tblY9[[#This Row],[Preferred Last name]]="","",COUNTIFS($N$1:$ZZ$1,"*"&amp;CHAR(10)&amp;"Stanine",$N62:$ZZ62,"&gt;=1"))</f>
        <v>4</v>
      </c>
      <c r="L62" s="68">
        <f>IFERROR(AVERAGEIF($N$1:$ZZ$1,"*"&amp;CHAR(10)&amp;"Stanine",$N62:$ZZ62),"")</f>
        <v>5.25</v>
      </c>
      <c r="M62" s="69">
        <f>IF(AND(ISNUMBER(tblY9[[#This Row],[Mean Stanine]]),ISNUMBER(tblY9[[#This Row],[Avg KS2 Band]]),ISNUMBER(SlopeY9)),tblY9[[#This Row],[Mean Stanine]]-(InterceptY9+SlopeY9*tblY9[[#This Row],[Avg KS2 Band]]),"")</f>
        <v>0.17642924086223</v>
      </c>
      <c r="N62" s="66" t="n">
        <v>17</v>
      </c>
      <c r="O62" s="67">
        <f>IF(ISNUMBER(tblY9[[#This Row],[9B01 - Genetics
Raw Score]]),IFERROR(VLOOKUP(ROUND(STANDARDIZE(tblY9[[#This Row],[9B01 - Genetics
Raw Score]],AVERAGE(tblY9[[9B01 - Genetics
Raw Score]]),_xlfn.STDEV.P(tblY9[[9B01 - Genetics
Raw Score]])),9),_Stanine,2),5),"")</f>
        <v>4</v>
      </c>
      <c r="P62" s="66" t="n">
        <v>21</v>
      </c>
      <c r="Q62" s="67">
        <f>IF(ISNUMBER(tblY9[[#This Row],[9C01 - Chemical Reactions
Raw Score]]),IFERROR(VLOOKUP(ROUND(STANDARDIZE(tblY9[[#This Row],[9C01 - Chemical Reactions
Raw Score]],AVERAGE(tblY9[[9C01 - Chemical Reactions
Raw Score]]),_xlfn.STDEV.P(tblY9[[9C01 - Chemical Reactions
Raw Score]])),9),_Stanine,2),5),"")</f>
        <v>5</v>
      </c>
      <c r="R62" s="66" t="n">
        <v>22</v>
      </c>
      <c r="S62" s="67">
        <f>IF(ISNUMBER(tblY9[[#This Row],[9P01 - Electricity
Raw Score]]),IFERROR(VLOOKUP(ROUND(STANDARDIZE(tblY9[[#This Row],[9P01 - Electricity
Raw Score]],AVERAGE(tblY9[[9P01 - Electricity
Raw Score]]),_xlfn.STDEV.P(tblY9[[9P01 - Electricity
Raw Score]])),9),_Stanine,2),5),"")</f>
        <v>6</v>
      </c>
      <c r="T62" s="66" t="n">
        <v>19</v>
      </c>
      <c r="U62" s="67">
        <f>IF(ISNUMBER(tblY9[[#This Row],[9B02 - Ecology
Raw Score]]),IFERROR(VLOOKUP(ROUND(STANDARDIZE(tblY9[[#This Row],[9B02 - Ecology
Raw Score]],AVERAGE(tblY9[[9B02 - Ecology
Raw Score]]),_xlfn.STDEV.P(tblY9[[9B02 - Ecology
Raw Score]])),9),_Stanine,2),5),"")</f>
        <v>6</v>
      </c>
    </row>
    <row r="63">
      <c r="A63" s="65" t="inlineStr">
        <is>
          <t>X907128957749</t>
        </is>
      </c>
      <c r="B63" s="65" t="inlineStr">
        <is>
          <t>Walker</t>
        </is>
      </c>
      <c r="C63" s="65" t="inlineStr">
        <is>
          <t>Ivy</t>
        </is>
      </c>
      <c r="D63" s="66" t="inlineStr">
        <is>
          <t>M</t>
        </is>
      </c>
      <c r="E63" s="66" t="inlineStr">
        <is>
          <t>N</t>
        </is>
      </c>
      <c r="F63" s="66" t="inlineStr">
        <is>
          <t>N</t>
        </is>
      </c>
      <c r="G63" s="34" t="n">
        <v>99</v>
      </c>
      <c r="H63" s="34" t="n">
        <v>106.5</v>
      </c>
      <c r="I63" s="67">
        <f>IF(ISNUMBER(tblY9[[#This Row],[Avg KS2]]),IFERROR(VLOOKUP(ROUND(STANDARDIZE(tblY9[[#This Row],[Avg KS2]],AVERAGE(tblY9[[Avg KS2]]),_xlfn.STDEV.P(tblY9[[Avg KS2]])),9),_Stanine,2),5),"")</f>
        <v>5</v>
      </c>
      <c r="J63" s="66" t="inlineStr">
        <is>
          <t>9A/Sc3</t>
        </is>
      </c>
      <c r="K63" s="67">
        <f>IF(tblY9[[#This Row],[Preferred Last name]]="","",COUNTIFS($N$1:$ZZ$1,"*"&amp;CHAR(10)&amp;"Stanine",$N63:$ZZ63,"&gt;=1"))</f>
        <v>4</v>
      </c>
      <c r="L63" s="68">
        <f>IFERROR(AVERAGEIF($N$1:$ZZ$1,"*"&amp;CHAR(10)&amp;"Stanine",$N63:$ZZ63),"")</f>
        <v>3</v>
      </c>
      <c r="M63" s="69">
        <f>IF(AND(ISNUMBER(tblY9[[#This Row],[Mean Stanine]]),ISNUMBER(tblY9[[#This Row],[Avg KS2 Band]]),ISNUMBER(SlopeY9)),tblY9[[#This Row],[Mean Stanine]]-(InterceptY9+SlopeY9*tblY9[[#This Row],[Avg KS2 Band]]),"")</f>
        <v>-2.07357075913777</v>
      </c>
      <c r="N63" s="66" t="n">
        <v>13</v>
      </c>
      <c r="O63" s="67">
        <f>IF(ISNUMBER(tblY9[[#This Row],[9B01 - Genetics
Raw Score]]),IFERROR(VLOOKUP(ROUND(STANDARDIZE(tblY9[[#This Row],[9B01 - Genetics
Raw Score]],AVERAGE(tblY9[[9B01 - Genetics
Raw Score]]),_xlfn.STDEV.P(tblY9[[9B01 - Genetics
Raw Score]])),9),_Stanine,2),5),"")</f>
        <v>2</v>
      </c>
      <c r="P63" s="66" t="n">
        <v>14</v>
      </c>
      <c r="Q63" s="67">
        <f>IF(ISNUMBER(tblY9[[#This Row],[9C01 - Chemical Reactions
Raw Score]]),IFERROR(VLOOKUP(ROUND(STANDARDIZE(tblY9[[#This Row],[9C01 - Chemical Reactions
Raw Score]],AVERAGE(tblY9[[9C01 - Chemical Reactions
Raw Score]]),_xlfn.STDEV.P(tblY9[[9C01 - Chemical Reactions
Raw Score]])),9),_Stanine,2),5),"")</f>
        <v>3</v>
      </c>
      <c r="R63" s="66" t="n">
        <v>15</v>
      </c>
      <c r="S63" s="67">
        <f>IF(ISNUMBER(tblY9[[#This Row],[9P01 - Electricity
Raw Score]]),IFERROR(VLOOKUP(ROUND(STANDARDIZE(tblY9[[#This Row],[9P01 - Electricity
Raw Score]],AVERAGE(tblY9[[9P01 - Electricity
Raw Score]]),_xlfn.STDEV.P(tblY9[[9P01 - Electricity
Raw Score]])),9),_Stanine,2),5),"")</f>
        <v>3</v>
      </c>
      <c r="T63" s="66" t="n">
        <v>15</v>
      </c>
      <c r="U63" s="67">
        <f>IF(ISNUMBER(tblY9[[#This Row],[9B02 - Ecology
Raw Score]]),IFERROR(VLOOKUP(ROUND(STANDARDIZE(tblY9[[#This Row],[9B02 - Ecology
Raw Score]],AVERAGE(tblY9[[9B02 - Ecology
Raw Score]]),_xlfn.STDEV.P(tblY9[[9B02 - Ecology
Raw Score]])),9),_Stanine,2),5),"")</f>
        <v>4</v>
      </c>
    </row>
    <row r="64">
      <c r="A64" s="65" t="inlineStr">
        <is>
          <t>X902990164289</t>
        </is>
      </c>
      <c r="B64" s="65" t="inlineStr">
        <is>
          <t>Williams</t>
        </is>
      </c>
      <c r="C64" s="65" t="inlineStr">
        <is>
          <t>Arthur</t>
        </is>
      </c>
      <c r="D64" s="66" t="inlineStr">
        <is>
          <t>F</t>
        </is>
      </c>
      <c r="E64" s="66" t="inlineStr">
        <is>
          <t>N</t>
        </is>
      </c>
      <c r="F64" s="66" t="inlineStr">
        <is>
          <t>Y</t>
        </is>
      </c>
      <c r="G64" s="34" t="n">
        <v>94.09999999999999</v>
      </c>
      <c r="H64" s="34" t="n">
        <v>101</v>
      </c>
      <c r="I64" s="67">
        <f>IF(ISNUMBER(tblY9[[#This Row],[Avg KS2]]),IFERROR(VLOOKUP(ROUND(STANDARDIZE(tblY9[[#This Row],[Avg KS2]],AVERAGE(tblY9[[Avg KS2]]),_xlfn.STDEV.P(tblY9[[Avg KS2]])),9),_Stanine,2),5),"")</f>
        <v>3</v>
      </c>
      <c r="J64" s="66" t="inlineStr">
        <is>
          <t>9A/Sc3</t>
        </is>
      </c>
      <c r="K64" s="67">
        <f>IF(tblY9[[#This Row],[Preferred Last name]]="","",COUNTIFS($N$1:$ZZ$1,"*"&amp;CHAR(10)&amp;"Stanine",$N64:$ZZ64,"&gt;=1"))</f>
        <v>4</v>
      </c>
      <c r="L64" s="68">
        <f>IFERROR(AVERAGEIF($N$1:$ZZ$1,"*"&amp;CHAR(10)&amp;"Stanine",$N64:$ZZ64),"")</f>
        <v>1.75</v>
      </c>
      <c r="M64" s="69">
        <f>IF(AND(ISNUMBER(tblY9[[#This Row],[Mean Stanine]]),ISNUMBER(tblY9[[#This Row],[Avg KS2 Band]]),ISNUMBER(SlopeY9)),tblY9[[#This Row],[Mean Stanine]]-(InterceptY9+SlopeY9*tblY9[[#This Row],[Avg KS2 Band]]),"")</f>
        <v>-1.79674320524836</v>
      </c>
      <c r="N64" s="66" t="n">
        <v>11</v>
      </c>
      <c r="O64" s="67">
        <f>IF(ISNUMBER(tblY9[[#This Row],[9B01 - Genetics
Raw Score]]),IFERROR(VLOOKUP(ROUND(STANDARDIZE(tblY9[[#This Row],[9B01 - Genetics
Raw Score]],AVERAGE(tblY9[[9B01 - Genetics
Raw Score]]),_xlfn.STDEV.P(tblY9[[9B01 - Genetics
Raw Score]])),9),_Stanine,2),5),"")</f>
        <v>2</v>
      </c>
      <c r="P64" s="66" t="n">
        <v>10</v>
      </c>
      <c r="Q64" s="67">
        <f>IF(ISNUMBER(tblY9[[#This Row],[9C01 - Chemical Reactions
Raw Score]]),IFERROR(VLOOKUP(ROUND(STANDARDIZE(tblY9[[#This Row],[9C01 - Chemical Reactions
Raw Score]],AVERAGE(tblY9[[9C01 - Chemical Reactions
Raw Score]]),_xlfn.STDEV.P(tblY9[[9C01 - Chemical Reactions
Raw Score]])),9),_Stanine,2),5),"")</f>
        <v>1</v>
      </c>
      <c r="R64" s="66" t="n">
        <v>12</v>
      </c>
      <c r="S64" s="67">
        <f>IF(ISNUMBER(tblY9[[#This Row],[9P01 - Electricity
Raw Score]]),IFERROR(VLOOKUP(ROUND(STANDARDIZE(tblY9[[#This Row],[9P01 - Electricity
Raw Score]],AVERAGE(tblY9[[9P01 - Electricity
Raw Score]]),_xlfn.STDEV.P(tblY9[[9P01 - Electricity
Raw Score]])),9),_Stanine,2),5),"")</f>
        <v>2</v>
      </c>
      <c r="T64" s="66" t="n">
        <v>10</v>
      </c>
      <c r="U64" s="67">
        <f>IF(ISNUMBER(tblY9[[#This Row],[9B02 - Ecology
Raw Score]]),IFERROR(VLOOKUP(ROUND(STANDARDIZE(tblY9[[#This Row],[9B02 - Ecology
Raw Score]],AVERAGE(tblY9[[9B02 - Ecology
Raw Score]]),_xlfn.STDEV.P(tblY9[[9B02 - Ecology
Raw Score]])),9),_Stanine,2),5),"")</f>
        <v>2</v>
      </c>
    </row>
    <row r="65">
      <c r="A65" s="65" t="inlineStr">
        <is>
          <t>X901025517443</t>
        </is>
      </c>
      <c r="B65" s="65" t="inlineStr">
        <is>
          <t>Wood</t>
        </is>
      </c>
      <c r="C65" s="65" t="inlineStr">
        <is>
          <t>Finley</t>
        </is>
      </c>
      <c r="D65" s="66" t="inlineStr">
        <is>
          <t>M</t>
        </is>
      </c>
      <c r="E65" s="66" t="n"/>
      <c r="F65" s="66" t="inlineStr">
        <is>
          <t>N</t>
        </is>
      </c>
      <c r="G65" s="34" t="n">
        <v>97.40000000000001</v>
      </c>
      <c r="H65" s="34" t="n">
        <v>109</v>
      </c>
      <c r="I65" s="67">
        <f>IF(ISNUMBER(tblY9[[#This Row],[Avg KS2]]),IFERROR(VLOOKUP(ROUND(STANDARDIZE(tblY9[[#This Row],[Avg KS2]],AVERAGE(tblY9[[Avg KS2]]),_xlfn.STDEV.P(tblY9[[Avg KS2]])),9),_Stanine,2),5),"")</f>
        <v>6</v>
      </c>
      <c r="J65" s="66" t="inlineStr">
        <is>
          <t>9A/Sc3</t>
        </is>
      </c>
      <c r="K65" s="67">
        <f>IF(tblY9[[#This Row],[Preferred Last name]]="","",COUNTIFS($N$1:$ZZ$1,"*"&amp;CHAR(10)&amp;"Stanine",$N65:$ZZ65,"&gt;=1"))</f>
        <v>4</v>
      </c>
      <c r="L65" s="68">
        <f>IFERROR(AVERAGEIF($N$1:$ZZ$1,"*"&amp;CHAR(10)&amp;"Stanine",$N65:$ZZ65),"")</f>
        <v>6.5</v>
      </c>
      <c r="M65" s="69">
        <f>IF(AND(ISNUMBER(tblY9[[#This Row],[Mean Stanine]]),ISNUMBER(tblY9[[#This Row],[Avg KS2 Band]]),ISNUMBER(SlopeY9)),tblY9[[#This Row],[Mean Stanine]]-(InterceptY9+SlopeY9*tblY9[[#This Row],[Avg KS2 Band]]),"")</f>
        <v>0.663015463917526</v>
      </c>
      <c r="N65" s="66" t="n">
        <v>25</v>
      </c>
      <c r="O65" s="67">
        <f>IF(ISNUMBER(tblY9[[#This Row],[9B01 - Genetics
Raw Score]]),IFERROR(VLOOKUP(ROUND(STANDARDIZE(tblY9[[#This Row],[9B01 - Genetics
Raw Score]],AVERAGE(tblY9[[9B01 - Genetics
Raw Score]]),_xlfn.STDEV.P(tblY9[[9B01 - Genetics
Raw Score]])),9),_Stanine,2),5),"")</f>
        <v>7</v>
      </c>
      <c r="P65" s="66" t="n">
        <v>25</v>
      </c>
      <c r="Q65" s="67">
        <f>IF(ISNUMBER(tblY9[[#This Row],[9C01 - Chemical Reactions
Raw Score]]),IFERROR(VLOOKUP(ROUND(STANDARDIZE(tblY9[[#This Row],[9C01 - Chemical Reactions
Raw Score]],AVERAGE(tblY9[[9C01 - Chemical Reactions
Raw Score]]),_xlfn.STDEV.P(tblY9[[9C01 - Chemical Reactions
Raw Score]])),9),_Stanine,2),5),"")</f>
        <v>6</v>
      </c>
      <c r="R65" s="66" t="n">
        <v>24</v>
      </c>
      <c r="S65" s="67">
        <f>IF(ISNUMBER(tblY9[[#This Row],[9P01 - Electricity
Raw Score]]),IFERROR(VLOOKUP(ROUND(STANDARDIZE(tblY9[[#This Row],[9P01 - Electricity
Raw Score]],AVERAGE(tblY9[[9P01 - Electricity
Raw Score]]),_xlfn.STDEV.P(tblY9[[9P01 - Electricity
Raw Score]])),9),_Stanine,2),5),"")</f>
        <v>6</v>
      </c>
      <c r="T65" s="66" t="n">
        <v>22</v>
      </c>
      <c r="U65" s="67">
        <f>IF(ISNUMBER(tblY9[[#This Row],[9B02 - Ecology
Raw Score]]),IFERROR(VLOOKUP(ROUND(STANDARDIZE(tblY9[[#This Row],[9B02 - Ecology
Raw Score]],AVERAGE(tblY9[[9B02 - Ecology
Raw Score]]),_xlfn.STDEV.P(tblY9[[9B02 - Ecology
Raw Score]])),9),_Stanine,2),5),"")</f>
        <v>7</v>
      </c>
    </row>
    <row r="66">
      <c r="A66" s="65" t="inlineStr">
        <is>
          <t>X903445733807</t>
        </is>
      </c>
      <c r="B66" s="65" t="inlineStr">
        <is>
          <t>Wright</t>
        </is>
      </c>
      <c r="C66" s="65" t="inlineStr">
        <is>
          <t>Harry</t>
        </is>
      </c>
      <c r="D66" s="66" t="inlineStr">
        <is>
          <t>M</t>
        </is>
      </c>
      <c r="E66" s="66" t="inlineStr">
        <is>
          <t>N</t>
        </is>
      </c>
      <c r="F66" s="66" t="inlineStr">
        <is>
          <t>N</t>
        </is>
      </c>
      <c r="G66" s="34" t="n">
        <v>100</v>
      </c>
      <c r="H66" s="34" t="n">
        <v>105</v>
      </c>
      <c r="I66" s="67">
        <f>IF(ISNUMBER(tblY9[[#This Row],[Avg KS2]]),IFERROR(VLOOKUP(ROUND(STANDARDIZE(tblY9[[#This Row],[Avg KS2]],AVERAGE(tblY9[[Avg KS2]]),_xlfn.STDEV.P(tblY9[[Avg KS2]])),9),_Stanine,2),5),"")</f>
        <v>4</v>
      </c>
      <c r="J66" s="66" t="inlineStr">
        <is>
          <t>9A/Sc3</t>
        </is>
      </c>
      <c r="K66" s="67">
        <f>IF(tblY9[[#This Row],[Preferred Last name]]="","",COUNTIFS($N$1:$ZZ$1,"*"&amp;CHAR(10)&amp;"Stanine",$N66:$ZZ66,"&gt;=1"))</f>
        <v>4</v>
      </c>
      <c r="L66" s="68">
        <f>IFERROR(AVERAGEIF($N$1:$ZZ$1,"*"&amp;CHAR(10)&amp;"Stanine",$N66:$ZZ66),"")</f>
        <v>4.75</v>
      </c>
      <c r="M66" s="69">
        <f>IF(AND(ISNUMBER(tblY9[[#This Row],[Mean Stanine]]),ISNUMBER(tblY9[[#This Row],[Avg KS2 Band]]),ISNUMBER(SlopeY9)),tblY9[[#This Row],[Mean Stanine]]-(InterceptY9+SlopeY9*tblY9[[#This Row],[Avg KS2 Band]]),"")</f>
        <v>0.439843017806935</v>
      </c>
      <c r="N66" s="66" t="n">
        <v>18</v>
      </c>
      <c r="O66" s="67">
        <f>IF(ISNUMBER(tblY9[[#This Row],[9B01 - Genetics
Raw Score]]),IFERROR(VLOOKUP(ROUND(STANDARDIZE(tblY9[[#This Row],[9B01 - Genetics
Raw Score]],AVERAGE(tblY9[[9B01 - Genetics
Raw Score]]),_xlfn.STDEV.P(tblY9[[9B01 - Genetics
Raw Score]])),9),_Stanine,2),5),"")</f>
        <v>4</v>
      </c>
      <c r="P66" s="66" t="n">
        <v>20</v>
      </c>
      <c r="Q66" s="67">
        <f>IF(ISNUMBER(tblY9[[#This Row],[9C01 - Chemical Reactions
Raw Score]]),IFERROR(VLOOKUP(ROUND(STANDARDIZE(tblY9[[#This Row],[9C01 - Chemical Reactions
Raw Score]],AVERAGE(tblY9[[9C01 - Chemical Reactions
Raw Score]]),_xlfn.STDEV.P(tblY9[[9C01 - Chemical Reactions
Raw Score]])),9),_Stanine,2),5),"")</f>
        <v>5</v>
      </c>
      <c r="R66" s="66" t="n">
        <v>19</v>
      </c>
      <c r="S66" s="67">
        <f>IF(ISNUMBER(tblY9[[#This Row],[9P01 - Electricity
Raw Score]]),IFERROR(VLOOKUP(ROUND(STANDARDIZE(tblY9[[#This Row],[9P01 - Electricity
Raw Score]],AVERAGE(tblY9[[9P01 - Electricity
Raw Score]]),_xlfn.STDEV.P(tblY9[[9P01 - Electricity
Raw Score]])),9),_Stanine,2),5),"")</f>
        <v>4</v>
      </c>
      <c r="T66" s="66" t="n">
        <v>19</v>
      </c>
      <c r="U66" s="67">
        <f>IF(ISNUMBER(tblY9[[#This Row],[9B02 - Ecology
Raw Score]]),IFERROR(VLOOKUP(ROUND(STANDARDIZE(tblY9[[#This Row],[9B02 - Ecology
Raw Score]],AVERAGE(tblY9[[9B02 - Ecology
Raw Score]]),_xlfn.STDEV.P(tblY9[[9B02 - Ecology
Raw Score]])),9),_Stanine,2),5),"")</f>
        <v>6</v>
      </c>
    </row>
    <row r="67">
      <c r="A67" s="65" t="inlineStr">
        <is>
          <t>X907375717422</t>
        </is>
      </c>
      <c r="B67" s="65" t="inlineStr">
        <is>
          <t>Wright</t>
        </is>
      </c>
      <c r="C67" s="65" t="inlineStr">
        <is>
          <t>Sami</t>
        </is>
      </c>
      <c r="D67" s="66" t="inlineStr">
        <is>
          <t>M</t>
        </is>
      </c>
      <c r="E67" s="66" t="n"/>
      <c r="F67" s="66" t="inlineStr">
        <is>
          <t>Y</t>
        </is>
      </c>
      <c r="G67" s="34" t="n">
        <v>97.90000000000001</v>
      </c>
      <c r="H67" s="34" t="n">
        <v>99</v>
      </c>
      <c r="I67" s="67">
        <f>IF(ISNUMBER(tblY9[[#This Row],[Avg KS2]]),IFERROR(VLOOKUP(ROUND(STANDARDIZE(tblY9[[#This Row],[Avg KS2]],AVERAGE(tblY9[[Avg KS2]]),_xlfn.STDEV.P(tblY9[[Avg KS2]])),9),_Stanine,2),5),"")</f>
        <v>2</v>
      </c>
      <c r="J67" s="66" t="inlineStr">
        <is>
          <t>9A/Sc3</t>
        </is>
      </c>
      <c r="K67" s="67">
        <f>IF(tblY9[[#This Row],[Preferred Last name]]="","",COUNTIFS($N$1:$ZZ$1,"*"&amp;CHAR(10)&amp;"Stanine",$N67:$ZZ67,"&gt;=1"))</f>
        <v>4</v>
      </c>
      <c r="L67" s="68">
        <f>IFERROR(AVERAGEIF($N$1:$ZZ$1,"*"&amp;CHAR(10)&amp;"Stanine",$N67:$ZZ67),"")</f>
        <v>3.25</v>
      </c>
      <c r="M67" s="69">
        <f>IF(AND(ISNUMBER(tblY9[[#This Row],[Mean Stanine]]),ISNUMBER(tblY9[[#This Row],[Avg KS2 Band]]),ISNUMBER(SlopeY9)),tblY9[[#This Row],[Mean Stanine]]-(InterceptY9+SlopeY9*tblY9[[#This Row],[Avg KS2 Band]]),"")</f>
        <v>0.466670571696345</v>
      </c>
      <c r="N67" s="66" t="n">
        <v>16</v>
      </c>
      <c r="O67" s="67">
        <f>IF(ISNUMBER(tblY9[[#This Row],[9B01 - Genetics
Raw Score]]),IFERROR(VLOOKUP(ROUND(STANDARDIZE(tblY9[[#This Row],[9B01 - Genetics
Raw Score]],AVERAGE(tblY9[[9B01 - Genetics
Raw Score]]),_xlfn.STDEV.P(tblY9[[9B01 - Genetics
Raw Score]])),9),_Stanine,2),5),"")</f>
        <v>4</v>
      </c>
      <c r="P67" s="66" t="n">
        <v>14</v>
      </c>
      <c r="Q67" s="67">
        <f>IF(ISNUMBER(tblY9[[#This Row],[9C01 - Chemical Reactions
Raw Score]]),IFERROR(VLOOKUP(ROUND(STANDARDIZE(tblY9[[#This Row],[9C01 - Chemical Reactions
Raw Score]],AVERAGE(tblY9[[9C01 - Chemical Reactions
Raw Score]]),_xlfn.STDEV.P(tblY9[[9C01 - Chemical Reactions
Raw Score]])),9),_Stanine,2),5),"")</f>
        <v>3</v>
      </c>
      <c r="R67" s="66" t="n">
        <v>16</v>
      </c>
      <c r="S67" s="67">
        <f>IF(ISNUMBER(tblY9[[#This Row],[9P01 - Electricity
Raw Score]]),IFERROR(VLOOKUP(ROUND(STANDARDIZE(tblY9[[#This Row],[9P01 - Electricity
Raw Score]],AVERAGE(tblY9[[9P01 - Electricity
Raw Score]]),_xlfn.STDEV.P(tblY9[[9P01 - Electricity
Raw Score]])),9),_Stanine,2),5),"")</f>
        <v>3</v>
      </c>
      <c r="T67" s="66" t="n">
        <v>13</v>
      </c>
      <c r="U67" s="67">
        <f>IF(ISNUMBER(tblY9[[#This Row],[9B02 - Ecology
Raw Score]]),IFERROR(VLOOKUP(ROUND(STANDARDIZE(tblY9[[#This Row],[9B02 - Ecology
Raw Score]],AVERAGE(tblY9[[9B02 - Ecology
Raw Score]]),_xlfn.STDEV.P(tblY9[[9B02 - Ecology
Raw Score]])),9),_Stanine,2),5),"")</f>
        <v>3</v>
      </c>
    </row>
    <row r="68">
      <c r="A68" s="65" t="inlineStr">
        <is>
          <t>X908291821408</t>
        </is>
      </c>
      <c r="B68" s="65" t="inlineStr">
        <is>
          <t>Adeyemi</t>
        </is>
      </c>
      <c r="C68" s="65" t="inlineStr">
        <is>
          <t>Isla</t>
        </is>
      </c>
      <c r="D68" s="66" t="inlineStr">
        <is>
          <t>F</t>
        </is>
      </c>
      <c r="E68" s="66" t="n"/>
      <c r="F68" s="66" t="inlineStr">
        <is>
          <t>N</t>
        </is>
      </c>
      <c r="G68" s="34" t="n">
        <v>100</v>
      </c>
      <c r="H68" s="34" t="n">
        <v>110</v>
      </c>
      <c r="I68" s="67">
        <f>IF(ISNUMBER(tblY9[[#This Row],[Avg KS2]]),IFERROR(VLOOKUP(ROUND(STANDARDIZE(tblY9[[#This Row],[Avg KS2]],AVERAGE(tblY9[[Avg KS2]]),_xlfn.STDEV.P(tblY9[[Avg KS2]])),9),_Stanine,2),5),"")</f>
        <v>6</v>
      </c>
      <c r="J68" s="66" t="inlineStr">
        <is>
          <t>9B/Sc1</t>
        </is>
      </c>
      <c r="K68" s="67">
        <f>IF(tblY9[[#This Row],[Preferred Last name]]="","",COUNTIFS($N$1:$ZZ$1,"*"&amp;CHAR(10)&amp;"Stanine",$N68:$ZZ68,"&gt;=1"))</f>
        <v>4</v>
      </c>
      <c r="L68" s="68">
        <f>IFERROR(AVERAGEIF($N$1:$ZZ$1,"*"&amp;CHAR(10)&amp;"Stanine",$N68:$ZZ68),"")</f>
        <v>5.75</v>
      </c>
      <c r="M68" s="69">
        <f>IF(AND(ISNUMBER(tblY9[[#This Row],[Mean Stanine]]),ISNUMBER(tblY9[[#This Row],[Avg KS2 Band]]),ISNUMBER(SlopeY9)),tblY9[[#This Row],[Mean Stanine]]-(InterceptY9+SlopeY9*tblY9[[#This Row],[Avg KS2 Band]]),"")</f>
        <v>-0.0869845360824737</v>
      </c>
      <c r="N68" s="66" t="n">
        <v>23</v>
      </c>
      <c r="O68" s="67">
        <f>IF(ISNUMBER(tblY9[[#This Row],[9B01 - Genetics
Raw Score]]),IFERROR(VLOOKUP(ROUND(STANDARDIZE(tblY9[[#This Row],[9B01 - Genetics
Raw Score]],AVERAGE(tblY9[[9B01 - Genetics
Raw Score]]),_xlfn.STDEV.P(tblY9[[9B01 - Genetics
Raw Score]])),9),_Stanine,2),5),"")</f>
        <v>6</v>
      </c>
      <c r="P68" s="66" t="n">
        <v>24</v>
      </c>
      <c r="Q68" s="67">
        <f>IF(ISNUMBER(tblY9[[#This Row],[9C01 - Chemical Reactions
Raw Score]]),IFERROR(VLOOKUP(ROUND(STANDARDIZE(tblY9[[#This Row],[9C01 - Chemical Reactions
Raw Score]],AVERAGE(tblY9[[9C01 - Chemical Reactions
Raw Score]]),_xlfn.STDEV.P(tblY9[[9C01 - Chemical Reactions
Raw Score]])),9),_Stanine,2),5),"")</f>
        <v>6</v>
      </c>
      <c r="R68" s="66" t="n">
        <v>21</v>
      </c>
      <c r="S68" s="67">
        <f>IF(ISNUMBER(tblY9[[#This Row],[9P01 - Electricity
Raw Score]]),IFERROR(VLOOKUP(ROUND(STANDARDIZE(tblY9[[#This Row],[9P01 - Electricity
Raw Score]],AVERAGE(tblY9[[9P01 - Electricity
Raw Score]]),_xlfn.STDEV.P(tblY9[[9P01 - Electricity
Raw Score]])),9),_Stanine,2),5),"")</f>
        <v>5</v>
      </c>
      <c r="T68" s="66" t="n">
        <v>19</v>
      </c>
      <c r="U68" s="67">
        <f>IF(ISNUMBER(tblY9[[#This Row],[9B02 - Ecology
Raw Score]]),IFERROR(VLOOKUP(ROUND(STANDARDIZE(tblY9[[#This Row],[9B02 - Ecology
Raw Score]],AVERAGE(tblY9[[9B02 - Ecology
Raw Score]]),_xlfn.STDEV.P(tblY9[[9B02 - Ecology
Raw Score]])),9),_Stanine,2),5),"")</f>
        <v>6</v>
      </c>
    </row>
    <row r="69">
      <c r="A69" s="65" t="inlineStr">
        <is>
          <t>X905265866225</t>
        </is>
      </c>
      <c r="B69" s="65" t="inlineStr">
        <is>
          <t>Begum</t>
        </is>
      </c>
      <c r="C69" s="65" t="inlineStr">
        <is>
          <t>Lily</t>
        </is>
      </c>
      <c r="D69" s="66" t="inlineStr">
        <is>
          <t>M</t>
        </is>
      </c>
      <c r="E69" s="66" t="inlineStr">
        <is>
          <t>K</t>
        </is>
      </c>
      <c r="F69" s="66" t="inlineStr">
        <is>
          <t>N</t>
        </is>
      </c>
      <c r="G69" s="34" t="n">
        <v>89.59999999999999</v>
      </c>
      <c r="H69" s="34" t="n">
        <v>105</v>
      </c>
      <c r="I69" s="67">
        <f>IF(ISNUMBER(tblY9[[#This Row],[Avg KS2]]),IFERROR(VLOOKUP(ROUND(STANDARDIZE(tblY9[[#This Row],[Avg KS2]],AVERAGE(tblY9[[Avg KS2]]),_xlfn.STDEV.P(tblY9[[Avg KS2]])),9),_Stanine,2),5),"")</f>
        <v>4</v>
      </c>
      <c r="J69" s="66" t="inlineStr">
        <is>
          <t>9B/Sc1</t>
        </is>
      </c>
      <c r="K69" s="67">
        <f>IF(tblY9[[#This Row],[Preferred Last name]]="","",COUNTIFS($N$1:$ZZ$1,"*"&amp;CHAR(10)&amp;"Stanine",$N69:$ZZ69,"&gt;=1"))</f>
        <v>4</v>
      </c>
      <c r="L69" s="68">
        <f>IFERROR(AVERAGEIF($N$1:$ZZ$1,"*"&amp;CHAR(10)&amp;"Stanine",$N69:$ZZ69),"")</f>
        <v>5</v>
      </c>
      <c r="M69" s="69">
        <f>IF(AND(ISNUMBER(tblY9[[#This Row],[Mean Stanine]]),ISNUMBER(tblY9[[#This Row],[Avg KS2 Band]]),ISNUMBER(SlopeY9)),tblY9[[#This Row],[Mean Stanine]]-(InterceptY9+SlopeY9*tblY9[[#This Row],[Avg KS2 Band]]),"")</f>
        <v>0.689843017806935</v>
      </c>
      <c r="N69" s="66" t="n">
        <v>25</v>
      </c>
      <c r="O69" s="67">
        <f>IF(ISNUMBER(tblY9[[#This Row],[9B01 - Genetics
Raw Score]]),IFERROR(VLOOKUP(ROUND(STANDARDIZE(tblY9[[#This Row],[9B01 - Genetics
Raw Score]],AVERAGE(tblY9[[9B01 - Genetics
Raw Score]]),_xlfn.STDEV.P(tblY9[[9B01 - Genetics
Raw Score]])),9),_Stanine,2),5),"")</f>
        <v>7</v>
      </c>
      <c r="P69" s="66" t="n">
        <v>22</v>
      </c>
      <c r="Q69" s="67">
        <f>IF(ISNUMBER(tblY9[[#This Row],[9C01 - Chemical Reactions
Raw Score]]),IFERROR(VLOOKUP(ROUND(STANDARDIZE(tblY9[[#This Row],[9C01 - Chemical Reactions
Raw Score]],AVERAGE(tblY9[[9C01 - Chemical Reactions
Raw Score]]),_xlfn.STDEV.P(tblY9[[9C01 - Chemical Reactions
Raw Score]])),9),_Stanine,2),5),"")</f>
        <v>5</v>
      </c>
      <c r="R69" s="66" t="n">
        <v>19</v>
      </c>
      <c r="S69" s="67">
        <f>IF(ISNUMBER(tblY9[[#This Row],[9P01 - Electricity
Raw Score]]),IFERROR(VLOOKUP(ROUND(STANDARDIZE(tblY9[[#This Row],[9P01 - Electricity
Raw Score]],AVERAGE(tblY9[[9P01 - Electricity
Raw Score]]),_xlfn.STDEV.P(tblY9[[9P01 - Electricity
Raw Score]])),9),_Stanine,2),5),"")</f>
        <v>4</v>
      </c>
      <c r="T69" s="66" t="n">
        <v>15</v>
      </c>
      <c r="U69" s="67">
        <f>IF(ISNUMBER(tblY9[[#This Row],[9B02 - Ecology
Raw Score]]),IFERROR(VLOOKUP(ROUND(STANDARDIZE(tblY9[[#This Row],[9B02 - Ecology
Raw Score]],AVERAGE(tblY9[[9B02 - Ecology
Raw Score]]),_xlfn.STDEV.P(tblY9[[9B02 - Ecology
Raw Score]])),9),_Stanine,2),5),"")</f>
        <v>4</v>
      </c>
    </row>
    <row r="70">
      <c r="A70" s="65" t="inlineStr">
        <is>
          <t>X909552068479</t>
        </is>
      </c>
      <c r="B70" s="65" t="inlineStr">
        <is>
          <t>Brown</t>
        </is>
      </c>
      <c r="C70" s="65" t="inlineStr">
        <is>
          <t>Zara</t>
        </is>
      </c>
      <c r="D70" s="66" t="inlineStr">
        <is>
          <t>M</t>
        </is>
      </c>
      <c r="E70" s="66" t="inlineStr">
        <is>
          <t>K</t>
        </is>
      </c>
      <c r="F70" s="66" t="inlineStr">
        <is>
          <t>Y</t>
        </is>
      </c>
      <c r="G70" s="34" t="n">
        <v>94.59999999999999</v>
      </c>
      <c r="H70" s="34" t="n">
        <v>102.5</v>
      </c>
      <c r="I70" s="67">
        <f>IF(ISNUMBER(tblY9[[#This Row],[Avg KS2]]),IFERROR(VLOOKUP(ROUND(STANDARDIZE(tblY9[[#This Row],[Avg KS2]],AVERAGE(tblY9[[Avg KS2]]),_xlfn.STDEV.P(tblY9[[Avg KS2]])),9),_Stanine,2),5),"")</f>
        <v>3</v>
      </c>
      <c r="J70" s="66" t="inlineStr">
        <is>
          <t>9B/Sc1</t>
        </is>
      </c>
      <c r="K70" s="67">
        <f>IF(tblY9[[#This Row],[Preferred Last name]]="","",COUNTIFS($N$1:$ZZ$1,"*"&amp;CHAR(10)&amp;"Stanine",$N70:$ZZ70,"&gt;=1"))</f>
        <v>3</v>
      </c>
      <c r="L70" s="68">
        <f>IFERROR(AVERAGEIF($N$1:$ZZ$1,"*"&amp;CHAR(10)&amp;"Stanine",$N70:$ZZ70),"")</f>
        <v>5.33333333333333</v>
      </c>
      <c r="M70" s="69">
        <f>IF(AND(ISNUMBER(tblY9[[#This Row],[Mean Stanine]]),ISNUMBER(tblY9[[#This Row],[Avg KS2 Band]]),ISNUMBER(SlopeY9)),tblY9[[#This Row],[Mean Stanine]]-(InterceptY9+SlopeY9*tblY9[[#This Row],[Avg KS2 Band]]),"")</f>
        <v>1.78659012808497</v>
      </c>
      <c r="N70" s="66" t="n">
        <v>23</v>
      </c>
      <c r="O70" s="67">
        <f>IF(ISNUMBER(tblY9[[#This Row],[9B01 - Genetics
Raw Score]]),IFERROR(VLOOKUP(ROUND(STANDARDIZE(tblY9[[#This Row],[9B01 - Genetics
Raw Score]],AVERAGE(tblY9[[9B01 - Genetics
Raw Score]]),_xlfn.STDEV.P(tblY9[[9B01 - Genetics
Raw Score]])),9),_Stanine,2),5),"")</f>
        <v>6</v>
      </c>
      <c r="P70" s="66" t="n">
        <v>25</v>
      </c>
      <c r="Q70" s="67">
        <f>IF(ISNUMBER(tblY9[[#This Row],[9C01 - Chemical Reactions
Raw Score]]),IFERROR(VLOOKUP(ROUND(STANDARDIZE(tblY9[[#This Row],[9C01 - Chemical Reactions
Raw Score]],AVERAGE(tblY9[[9C01 - Chemical Reactions
Raw Score]]),_xlfn.STDEV.P(tblY9[[9C01 - Chemical Reactions
Raw Score]])),9),_Stanine,2),5),"")</f>
        <v>6</v>
      </c>
      <c r="R70" s="66" t="n">
        <v>19</v>
      </c>
      <c r="S70" s="67">
        <f>IF(ISNUMBER(tblY9[[#This Row],[9P01 - Electricity
Raw Score]]),IFERROR(VLOOKUP(ROUND(STANDARDIZE(tblY9[[#This Row],[9P01 - Electricity
Raw Score]],AVERAGE(tblY9[[9P01 - Electricity
Raw Score]]),_xlfn.STDEV.P(tblY9[[9P01 - Electricity
Raw Score]])),9),_Stanine,2),5),"")</f>
        <v>4</v>
      </c>
      <c r="T70" s="66" t="inlineStr">
        <is>
          <t>A</t>
        </is>
      </c>
      <c r="U70" s="67" t="str">
        <f>IF(ISNUMBER(tblY9[[#This Row],[9B02 - Ecology
Raw Score]]),IFERROR(VLOOKUP(ROUND(STANDARDIZE(tblY9[[#This Row],[9B02 - Ecology
Raw Score]],AVERAGE(tblY9[[9B02 - Ecology
Raw Score]]),_xlfn.STDEV.P(tblY9[[9B02 - Ecology
Raw Score]])),9),_Stanine,2),5),"")</f>
        <v/>
      </c>
    </row>
    <row r="71">
      <c r="A71" s="65" t="inlineStr">
        <is>
          <t>X902277272878</t>
        </is>
      </c>
      <c r="B71" s="65" t="inlineStr">
        <is>
          <t>Clarke</t>
        </is>
      </c>
      <c r="C71" s="65" t="inlineStr">
        <is>
          <t>Grace</t>
        </is>
      </c>
      <c r="D71" s="66" t="inlineStr">
        <is>
          <t>M</t>
        </is>
      </c>
      <c r="E71" s="66" t="inlineStr">
        <is>
          <t>N</t>
        </is>
      </c>
      <c r="F71" s="66" t="inlineStr">
        <is>
          <t>N</t>
        </is>
      </c>
      <c r="G71" s="34" t="n">
        <v>87</v>
      </c>
      <c r="H71" s="34" t="n">
        <v>111</v>
      </c>
      <c r="I71" s="67">
        <f>IF(ISNUMBER(tblY9[[#This Row],[Avg KS2]]),IFERROR(VLOOKUP(ROUND(STANDARDIZE(tblY9[[#This Row],[Avg KS2]],AVERAGE(tblY9[[Avg KS2]]),_xlfn.STDEV.P(tblY9[[Avg KS2]])),9),_Stanine,2),5),"")</f>
        <v>7</v>
      </c>
      <c r="J71" s="66" t="inlineStr">
        <is>
          <t>9B/Sc1</t>
        </is>
      </c>
      <c r="K71" s="67">
        <f>IF(tblY9[[#This Row],[Preferred Last name]]="","",COUNTIFS($N$1:$ZZ$1,"*"&amp;CHAR(10)&amp;"Stanine",$N71:$ZZ71,"&gt;=1"))</f>
        <v>3</v>
      </c>
      <c r="L71" s="68">
        <f>IFERROR(AVERAGEIF($N$1:$ZZ$1,"*"&amp;CHAR(10)&amp;"Stanine",$N71:$ZZ71),"")</f>
        <v>5</v>
      </c>
      <c r="M71" s="69">
        <f>IF(AND(ISNUMBER(tblY9[[#This Row],[Mean Stanine]]),ISNUMBER(tblY9[[#This Row],[Avg KS2 Band]]),ISNUMBER(SlopeY9)),tblY9[[#This Row],[Mean Stanine]]-(InterceptY9+SlopeY9*tblY9[[#This Row],[Avg KS2 Band]]),"")</f>
        <v>-1.60039831302718</v>
      </c>
      <c r="N71" s="66" t="inlineStr">
        <is>
          <t>A</t>
        </is>
      </c>
      <c r="O71" s="67" t="str">
        <f>IF(ISNUMBER(tblY9[[#This Row],[9B01 - Genetics
Raw Score]]),IFERROR(VLOOKUP(ROUND(STANDARDIZE(tblY9[[#This Row],[9B01 - Genetics
Raw Score]],AVERAGE(tblY9[[9B01 - Genetics
Raw Score]]),_xlfn.STDEV.P(tblY9[[9B01 - Genetics
Raw Score]])),9),_Stanine,2),5),"")</f>
        <v/>
      </c>
      <c r="P71" s="66" t="n">
        <v>21</v>
      </c>
      <c r="Q71" s="67">
        <f>IF(ISNUMBER(tblY9[[#This Row],[9C01 - Chemical Reactions
Raw Score]]),IFERROR(VLOOKUP(ROUND(STANDARDIZE(tblY9[[#This Row],[9C01 - Chemical Reactions
Raw Score]],AVERAGE(tblY9[[9C01 - Chemical Reactions
Raw Score]]),_xlfn.STDEV.P(tblY9[[9C01 - Chemical Reactions
Raw Score]])),9),_Stanine,2),5),"")</f>
        <v>5</v>
      </c>
      <c r="R71" s="66" t="n">
        <v>20</v>
      </c>
      <c r="S71" s="67">
        <f>IF(ISNUMBER(tblY9[[#This Row],[9P01 - Electricity
Raw Score]]),IFERROR(VLOOKUP(ROUND(STANDARDIZE(tblY9[[#This Row],[9P01 - Electricity
Raw Score]],AVERAGE(tblY9[[9P01 - Electricity
Raw Score]]),_xlfn.STDEV.P(tblY9[[9P01 - Electricity
Raw Score]])),9),_Stanine,2),5),"")</f>
        <v>5</v>
      </c>
      <c r="T71" s="66" t="n">
        <v>17</v>
      </c>
      <c r="U71" s="67">
        <f>IF(ISNUMBER(tblY9[[#This Row],[9B02 - Ecology
Raw Score]]),IFERROR(VLOOKUP(ROUND(STANDARDIZE(tblY9[[#This Row],[9B02 - Ecology
Raw Score]],AVERAGE(tblY9[[9B02 - Ecology
Raw Score]]),_xlfn.STDEV.P(tblY9[[9B02 - Ecology
Raw Score]])),9),_Stanine,2),5),"")</f>
        <v>5</v>
      </c>
    </row>
    <row r="72">
      <c r="A72" s="65" t="inlineStr">
        <is>
          <t>X904775006193</t>
        </is>
      </c>
      <c r="B72" s="65" t="inlineStr">
        <is>
          <t>Edwards</t>
        </is>
      </c>
      <c r="C72" s="65" t="inlineStr">
        <is>
          <t>Evie</t>
        </is>
      </c>
      <c r="D72" s="66" t="inlineStr">
        <is>
          <t>M</t>
        </is>
      </c>
      <c r="E72" s="66" t="inlineStr">
        <is>
          <t>N</t>
        </is>
      </c>
      <c r="F72" s="66" t="inlineStr">
        <is>
          <t>N</t>
        </is>
      </c>
      <c r="G72" s="34" t="n">
        <v>100</v>
      </c>
      <c r="H72" s="34" t="n">
        <v>107.5</v>
      </c>
      <c r="I72" s="67">
        <f>IF(ISNUMBER(tblY9[[#This Row],[Avg KS2]]),IFERROR(VLOOKUP(ROUND(STANDARDIZE(tblY9[[#This Row],[Avg KS2]],AVERAGE(tblY9[[Avg KS2]]),_xlfn.STDEV.P(tblY9[[Avg KS2]])),9),_Stanine,2),5),"")</f>
        <v>5</v>
      </c>
      <c r="J72" s="66" t="inlineStr">
        <is>
          <t>9B/Sc1</t>
        </is>
      </c>
      <c r="K72" s="67">
        <f>IF(tblY9[[#This Row],[Preferred Last name]]="","",COUNTIFS($N$1:$ZZ$1,"*"&amp;CHAR(10)&amp;"Stanine",$N72:$ZZ72,"&gt;=1"))</f>
        <v>4</v>
      </c>
      <c r="L72" s="68">
        <f>IFERROR(AVERAGEIF($N$1:$ZZ$1,"*"&amp;CHAR(10)&amp;"Stanine",$N72:$ZZ72),"")</f>
        <v>6</v>
      </c>
      <c r="M72" s="69">
        <f>IF(AND(ISNUMBER(tblY9[[#This Row],[Mean Stanine]]),ISNUMBER(tblY9[[#This Row],[Avg KS2 Band]]),ISNUMBER(SlopeY9)),tblY9[[#This Row],[Mean Stanine]]-(InterceptY9+SlopeY9*tblY9[[#This Row],[Avg KS2 Band]]),"")</f>
        <v>0.92642924086223</v>
      </c>
      <c r="N72" s="66" t="n">
        <v>22</v>
      </c>
      <c r="O72" s="67">
        <f>IF(ISNUMBER(tblY9[[#This Row],[9B01 - Genetics
Raw Score]]),IFERROR(VLOOKUP(ROUND(STANDARDIZE(tblY9[[#This Row],[9B01 - Genetics
Raw Score]],AVERAGE(tblY9[[9B01 - Genetics
Raw Score]]),_xlfn.STDEV.P(tblY9[[9B01 - Genetics
Raw Score]])),9),_Stanine,2),5),"")</f>
        <v>6</v>
      </c>
      <c r="P72" s="66" t="n">
        <v>23</v>
      </c>
      <c r="Q72" s="67">
        <f>IF(ISNUMBER(tblY9[[#This Row],[9C01 - Chemical Reactions
Raw Score]]),IFERROR(VLOOKUP(ROUND(STANDARDIZE(tblY9[[#This Row],[9C01 - Chemical Reactions
Raw Score]],AVERAGE(tblY9[[9C01 - Chemical Reactions
Raw Score]]),_xlfn.STDEV.P(tblY9[[9C01 - Chemical Reactions
Raw Score]])),9),_Stanine,2),5),"")</f>
        <v>6</v>
      </c>
      <c r="R72" s="66" t="n">
        <v>22</v>
      </c>
      <c r="S72" s="67">
        <f>IF(ISNUMBER(tblY9[[#This Row],[9P01 - Electricity
Raw Score]]),IFERROR(VLOOKUP(ROUND(STANDARDIZE(tblY9[[#This Row],[9P01 - Electricity
Raw Score]],AVERAGE(tblY9[[9P01 - Electricity
Raw Score]]),_xlfn.STDEV.P(tblY9[[9P01 - Electricity
Raw Score]])),9),_Stanine,2),5),"")</f>
        <v>6</v>
      </c>
      <c r="T72" s="66" t="n">
        <v>19</v>
      </c>
      <c r="U72" s="67">
        <f>IF(ISNUMBER(tblY9[[#This Row],[9B02 - Ecology
Raw Score]]),IFERROR(VLOOKUP(ROUND(STANDARDIZE(tblY9[[#This Row],[9B02 - Ecology
Raw Score]],AVERAGE(tblY9[[9B02 - Ecology
Raw Score]]),_xlfn.STDEV.P(tblY9[[9B02 - Ecology
Raw Score]])),9),_Stanine,2),5),"")</f>
        <v>6</v>
      </c>
    </row>
    <row r="73">
      <c r="A73" s="65" t="inlineStr">
        <is>
          <t>X907408392446</t>
        </is>
      </c>
      <c r="B73" s="65" t="inlineStr">
        <is>
          <t>Evans</t>
        </is>
      </c>
      <c r="C73" s="65" t="inlineStr">
        <is>
          <t>Evie</t>
        </is>
      </c>
      <c r="D73" s="66" t="inlineStr">
        <is>
          <t>M</t>
        </is>
      </c>
      <c r="E73" s="66" t="n"/>
      <c r="F73" s="66" t="inlineStr">
        <is>
          <t>Y</t>
        </is>
      </c>
      <c r="G73" s="34" t="n">
        <v>94.2</v>
      </c>
      <c r="H73" s="34" t="n">
        <v>110.5</v>
      </c>
      <c r="I73" s="67">
        <f>IF(ISNUMBER(tblY9[[#This Row],[Avg KS2]]),IFERROR(VLOOKUP(ROUND(STANDARDIZE(tblY9[[#This Row],[Avg KS2]],AVERAGE(tblY9[[Avg KS2]]),_xlfn.STDEV.P(tblY9[[Avg KS2]])),9),_Stanine,2),5),"")</f>
        <v>6</v>
      </c>
      <c r="J73" s="66" t="inlineStr">
        <is>
          <t>9B/Sc1</t>
        </is>
      </c>
      <c r="K73" s="67">
        <f>IF(tblY9[[#This Row],[Preferred Last name]]="","",COUNTIFS($N$1:$ZZ$1,"*"&amp;CHAR(10)&amp;"Stanine",$N73:$ZZ73,"&gt;=1"))</f>
        <v>4</v>
      </c>
      <c r="L73" s="68">
        <f>IFERROR(AVERAGEIF($N$1:$ZZ$1,"*"&amp;CHAR(10)&amp;"Stanine",$N73:$ZZ73),"")</f>
        <v>6.5</v>
      </c>
      <c r="M73" s="69">
        <f>IF(AND(ISNUMBER(tblY9[[#This Row],[Mean Stanine]]),ISNUMBER(tblY9[[#This Row],[Avg KS2 Band]]),ISNUMBER(SlopeY9)),tblY9[[#This Row],[Mean Stanine]]-(InterceptY9+SlopeY9*tblY9[[#This Row],[Avg KS2 Band]]),"")</f>
        <v>0.663015463917526</v>
      </c>
      <c r="N73" s="66" t="n">
        <v>24</v>
      </c>
      <c r="O73" s="67">
        <f>IF(ISNUMBER(tblY9[[#This Row],[9B01 - Genetics
Raw Score]]),IFERROR(VLOOKUP(ROUND(STANDARDIZE(tblY9[[#This Row],[9B01 - Genetics
Raw Score]],AVERAGE(tblY9[[9B01 - Genetics
Raw Score]]),_xlfn.STDEV.P(tblY9[[9B01 - Genetics
Raw Score]])),9),_Stanine,2),5),"")</f>
        <v>6</v>
      </c>
      <c r="P73" s="66" t="n">
        <v>26</v>
      </c>
      <c r="Q73" s="67">
        <f>IF(ISNUMBER(tblY9[[#This Row],[9C01 - Chemical Reactions
Raw Score]]),IFERROR(VLOOKUP(ROUND(STANDARDIZE(tblY9[[#This Row],[9C01 - Chemical Reactions
Raw Score]],AVERAGE(tblY9[[9C01 - Chemical Reactions
Raw Score]]),_xlfn.STDEV.P(tblY9[[9C01 - Chemical Reactions
Raw Score]])),9),_Stanine,2),5),"")</f>
        <v>7</v>
      </c>
      <c r="R73" s="66" t="n">
        <v>24</v>
      </c>
      <c r="S73" s="67">
        <f>IF(ISNUMBER(tblY9[[#This Row],[9P01 - Electricity
Raw Score]]),IFERROR(VLOOKUP(ROUND(STANDARDIZE(tblY9[[#This Row],[9P01 - Electricity
Raw Score]],AVERAGE(tblY9[[9P01 - Electricity
Raw Score]]),_xlfn.STDEV.P(tblY9[[9P01 - Electricity
Raw Score]])),9),_Stanine,2),5),"")</f>
        <v>6</v>
      </c>
      <c r="T73" s="66" t="n">
        <v>22</v>
      </c>
      <c r="U73" s="67">
        <f>IF(ISNUMBER(tblY9[[#This Row],[9B02 - Ecology
Raw Score]]),IFERROR(VLOOKUP(ROUND(STANDARDIZE(tblY9[[#This Row],[9B02 - Ecology
Raw Score]],AVERAGE(tblY9[[9B02 - Ecology
Raw Score]]),_xlfn.STDEV.P(tblY9[[9B02 - Ecology
Raw Score]])),9),_Stanine,2),5),"")</f>
        <v>7</v>
      </c>
    </row>
    <row r="74">
      <c r="A74" s="65" t="inlineStr">
        <is>
          <t>X904011377301</t>
        </is>
      </c>
      <c r="B74" s="65" t="inlineStr">
        <is>
          <t>Green</t>
        </is>
      </c>
      <c r="C74" s="65" t="inlineStr">
        <is>
          <t>Reuben</t>
        </is>
      </c>
      <c r="D74" s="66" t="inlineStr">
        <is>
          <t>F</t>
        </is>
      </c>
      <c r="E74" s="66" t="n"/>
      <c r="F74" s="66" t="inlineStr">
        <is>
          <t>N</t>
        </is>
      </c>
      <c r="G74" s="34" t="n">
        <v>88.3</v>
      </c>
      <c r="H74" s="34" t="n">
        <v>103</v>
      </c>
      <c r="I74" s="67">
        <f>IF(ISNUMBER(tblY9[[#This Row],[Avg KS2]]),IFERROR(VLOOKUP(ROUND(STANDARDIZE(tblY9[[#This Row],[Avg KS2]],AVERAGE(tblY9[[Avg KS2]]),_xlfn.STDEV.P(tblY9[[Avg KS2]])),9),_Stanine,2),5),"")</f>
        <v>4</v>
      </c>
      <c r="J74" s="66" t="inlineStr">
        <is>
          <t>9B/Sc1</t>
        </is>
      </c>
      <c r="K74" s="67">
        <f>IF(tblY9[[#This Row],[Preferred Last name]]="","",COUNTIFS($N$1:$ZZ$1,"*"&amp;CHAR(10)&amp;"Stanine",$N74:$ZZ74,"&gt;=1"))</f>
        <v>4</v>
      </c>
      <c r="L74" s="68">
        <f>IFERROR(AVERAGEIF($N$1:$ZZ$1,"*"&amp;CHAR(10)&amp;"Stanine",$N74:$ZZ74),"")</f>
        <v>5</v>
      </c>
      <c r="M74" s="69">
        <f>IF(AND(ISNUMBER(tblY9[[#This Row],[Mean Stanine]]),ISNUMBER(tblY9[[#This Row],[Avg KS2 Band]]),ISNUMBER(SlopeY9)),tblY9[[#This Row],[Mean Stanine]]-(InterceptY9+SlopeY9*tblY9[[#This Row],[Avg KS2 Band]]),"")</f>
        <v>0.689843017806935</v>
      </c>
      <c r="N74" s="66" t="n">
        <v>17</v>
      </c>
      <c r="O74" s="67">
        <f>IF(ISNUMBER(tblY9[[#This Row],[9B01 - Genetics
Raw Score]]),IFERROR(VLOOKUP(ROUND(STANDARDIZE(tblY9[[#This Row],[9B01 - Genetics
Raw Score]],AVERAGE(tblY9[[9B01 - Genetics
Raw Score]]),_xlfn.STDEV.P(tblY9[[9B01 - Genetics
Raw Score]])),9),_Stanine,2),5),"")</f>
        <v>4</v>
      </c>
      <c r="P74" s="66" t="n">
        <v>23</v>
      </c>
      <c r="Q74" s="67">
        <f>IF(ISNUMBER(tblY9[[#This Row],[9C01 - Chemical Reactions
Raw Score]]),IFERROR(VLOOKUP(ROUND(STANDARDIZE(tblY9[[#This Row],[9C01 - Chemical Reactions
Raw Score]],AVERAGE(tblY9[[9C01 - Chemical Reactions
Raw Score]]),_xlfn.STDEV.P(tblY9[[9C01 - Chemical Reactions
Raw Score]])),9),_Stanine,2),5),"")</f>
        <v>6</v>
      </c>
      <c r="R74" s="66" t="n">
        <v>18</v>
      </c>
      <c r="S74" s="67">
        <f>IF(ISNUMBER(tblY9[[#This Row],[9P01 - Electricity
Raw Score]]),IFERROR(VLOOKUP(ROUND(STANDARDIZE(tblY9[[#This Row],[9P01 - Electricity
Raw Score]],AVERAGE(tblY9[[9P01 - Electricity
Raw Score]]),_xlfn.STDEV.P(tblY9[[9P01 - Electricity
Raw Score]])),9),_Stanine,2),5),"")</f>
        <v>4</v>
      </c>
      <c r="T74" s="66" t="n">
        <v>19</v>
      </c>
      <c r="U74" s="67">
        <f>IF(ISNUMBER(tblY9[[#This Row],[9B02 - Ecology
Raw Score]]),IFERROR(VLOOKUP(ROUND(STANDARDIZE(tblY9[[#This Row],[9B02 - Ecology
Raw Score]],AVERAGE(tblY9[[9B02 - Ecology
Raw Score]]),_xlfn.STDEV.P(tblY9[[9B02 - Ecology
Raw Score]])),9),_Stanine,2),5),"")</f>
        <v>6</v>
      </c>
    </row>
    <row r="75">
      <c r="A75" s="65" t="inlineStr">
        <is>
          <t>X901857696116</t>
        </is>
      </c>
      <c r="B75" s="65" t="inlineStr">
        <is>
          <t>Griffiths</t>
        </is>
      </c>
      <c r="C75" s="65" t="inlineStr">
        <is>
          <t>Maya</t>
        </is>
      </c>
      <c r="D75" s="66" t="inlineStr">
        <is>
          <t>F</t>
        </is>
      </c>
      <c r="E75" s="66" t="n"/>
      <c r="F75" s="66" t="inlineStr">
        <is>
          <t>N</t>
        </is>
      </c>
      <c r="G75" s="34" t="n">
        <v>88.90000000000001</v>
      </c>
      <c r="H75" s="34" t="n">
        <v>109</v>
      </c>
      <c r="I75" s="67">
        <f>IF(ISNUMBER(tblY9[[#This Row],[Avg KS2]]),IFERROR(VLOOKUP(ROUND(STANDARDIZE(tblY9[[#This Row],[Avg KS2]],AVERAGE(tblY9[[Avg KS2]]),_xlfn.STDEV.P(tblY9[[Avg KS2]])),9),_Stanine,2),5),"")</f>
        <v>6</v>
      </c>
      <c r="J75" s="66" t="inlineStr">
        <is>
          <t>9B/Sc1</t>
        </is>
      </c>
      <c r="K75" s="67">
        <f>IF(tblY9[[#This Row],[Preferred Last name]]="","",COUNTIFS($N$1:$ZZ$1,"*"&amp;CHAR(10)&amp;"Stanine",$N75:$ZZ75,"&gt;=1"))</f>
        <v>3</v>
      </c>
      <c r="L75" s="68">
        <f>IFERROR(AVERAGEIF($N$1:$ZZ$1,"*"&amp;CHAR(10)&amp;"Stanine",$N75:$ZZ75),"")</f>
        <v>5.66666666666667</v>
      </c>
      <c r="M75" s="69">
        <f>IF(AND(ISNUMBER(tblY9[[#This Row],[Mean Stanine]]),ISNUMBER(tblY9[[#This Row],[Avg KS2 Band]]),ISNUMBER(SlopeY9)),tblY9[[#This Row],[Mean Stanine]]-(InterceptY9+SlopeY9*tblY9[[#This Row],[Avg KS2 Band]]),"")</f>
        <v>-0.170317869415807</v>
      </c>
      <c r="N75" s="66" t="inlineStr">
        <is>
          <t>A</t>
        </is>
      </c>
      <c r="O75" s="67" t="str">
        <f>IF(ISNUMBER(tblY9[[#This Row],[9B01 - Genetics
Raw Score]]),IFERROR(VLOOKUP(ROUND(STANDARDIZE(tblY9[[#This Row],[9B01 - Genetics
Raw Score]],AVERAGE(tblY9[[9B01 - Genetics
Raw Score]]),_xlfn.STDEV.P(tblY9[[9B01 - Genetics
Raw Score]])),9),_Stanine,2),5),"")</f>
        <v/>
      </c>
      <c r="P75" s="66" t="n">
        <v>24</v>
      </c>
      <c r="Q75" s="67">
        <f>IF(ISNUMBER(tblY9[[#This Row],[9C01 - Chemical Reactions
Raw Score]]),IFERROR(VLOOKUP(ROUND(STANDARDIZE(tblY9[[#This Row],[9C01 - Chemical Reactions
Raw Score]],AVERAGE(tblY9[[9C01 - Chemical Reactions
Raw Score]]),_xlfn.STDEV.P(tblY9[[9C01 - Chemical Reactions
Raw Score]])),9),_Stanine,2),5),"")</f>
        <v>6</v>
      </c>
      <c r="R75" s="66" t="n">
        <v>21</v>
      </c>
      <c r="S75" s="67">
        <f>IF(ISNUMBER(tblY9[[#This Row],[9P01 - Electricity
Raw Score]]),IFERROR(VLOOKUP(ROUND(STANDARDIZE(tblY9[[#This Row],[9P01 - Electricity
Raw Score]],AVERAGE(tblY9[[9P01 - Electricity
Raw Score]]),_xlfn.STDEV.P(tblY9[[9P01 - Electricity
Raw Score]])),9),_Stanine,2),5),"")</f>
        <v>5</v>
      </c>
      <c r="T75" s="66" t="n">
        <v>19</v>
      </c>
      <c r="U75" s="67">
        <f>IF(ISNUMBER(tblY9[[#This Row],[9B02 - Ecology
Raw Score]]),IFERROR(VLOOKUP(ROUND(STANDARDIZE(tblY9[[#This Row],[9B02 - Ecology
Raw Score]],AVERAGE(tblY9[[9B02 - Ecology
Raw Score]]),_xlfn.STDEV.P(tblY9[[9B02 - Ecology
Raw Score]])),9),_Stanine,2),5),"")</f>
        <v>6</v>
      </c>
    </row>
    <row r="76">
      <c r="A76" s="65" t="inlineStr">
        <is>
          <t>X906718174167</t>
        </is>
      </c>
      <c r="B76" s="65" t="inlineStr">
        <is>
          <t>Hall</t>
        </is>
      </c>
      <c r="C76" s="65" t="inlineStr">
        <is>
          <t>Hollie</t>
        </is>
      </c>
      <c r="D76" s="66" t="inlineStr">
        <is>
          <t>F</t>
        </is>
      </c>
      <c r="E76" s="66" t="inlineStr">
        <is>
          <t>N</t>
        </is>
      </c>
      <c r="F76" s="66" t="inlineStr">
        <is>
          <t>N</t>
        </is>
      </c>
      <c r="G76" s="34" t="n">
        <v>88.90000000000001</v>
      </c>
      <c r="H76" s="34" t="n">
        <v>115.5</v>
      </c>
      <c r="I76" s="67">
        <f>IF(ISNUMBER(tblY9[[#This Row],[Avg KS2]]),IFERROR(VLOOKUP(ROUND(STANDARDIZE(tblY9[[#This Row],[Avg KS2]],AVERAGE(tblY9[[Avg KS2]]),_xlfn.STDEV.P(tblY9[[Avg KS2]])),9),_Stanine,2),5),"")</f>
        <v>8</v>
      </c>
      <c r="J76" s="66" t="inlineStr">
        <is>
          <t>9B/Sc1</t>
        </is>
      </c>
      <c r="K76" s="67">
        <f>IF(tblY9[[#This Row],[Preferred Last name]]="","",COUNTIFS($N$1:$ZZ$1,"*"&amp;CHAR(10)&amp;"Stanine",$N76:$ZZ76,"&gt;=1"))</f>
        <v>4</v>
      </c>
      <c r="L76" s="68">
        <f>IFERROR(AVERAGEIF($N$1:$ZZ$1,"*"&amp;CHAR(10)&amp;"Stanine",$N76:$ZZ76),"")</f>
        <v>8</v>
      </c>
      <c r="M76" s="69">
        <f>IF(AND(ISNUMBER(tblY9[[#This Row],[Mean Stanine]]),ISNUMBER(tblY9[[#This Row],[Avg KS2 Band]]),ISNUMBER(SlopeY9)),tblY9[[#This Row],[Mean Stanine]]-(InterceptY9+SlopeY9*tblY9[[#This Row],[Avg KS2 Band]]),"")</f>
        <v>0.636187910028117</v>
      </c>
      <c r="N76" s="66" t="n">
        <v>29</v>
      </c>
      <c r="O76" s="67">
        <f>IF(ISNUMBER(tblY9[[#This Row],[9B01 - Genetics
Raw Score]]),IFERROR(VLOOKUP(ROUND(STANDARDIZE(tblY9[[#This Row],[9B01 - Genetics
Raw Score]],AVERAGE(tblY9[[9B01 - Genetics
Raw Score]]),_xlfn.STDEV.P(tblY9[[9B01 - Genetics
Raw Score]])),9),_Stanine,2),5),"")</f>
        <v>8</v>
      </c>
      <c r="P76" s="66" t="n">
        <v>31</v>
      </c>
      <c r="Q76" s="67">
        <f>IF(ISNUMBER(tblY9[[#This Row],[9C01 - Chemical Reactions
Raw Score]]),IFERROR(VLOOKUP(ROUND(STANDARDIZE(tblY9[[#This Row],[9C01 - Chemical Reactions
Raw Score]],AVERAGE(tblY9[[9C01 - Chemical Reactions
Raw Score]]),_xlfn.STDEV.P(tblY9[[9C01 - Chemical Reactions
Raw Score]])),9),_Stanine,2),5),"")</f>
        <v>8</v>
      </c>
      <c r="R76" s="66" t="n">
        <v>29</v>
      </c>
      <c r="S76" s="67">
        <f>IF(ISNUMBER(tblY9[[#This Row],[9P01 - Electricity
Raw Score]]),IFERROR(VLOOKUP(ROUND(STANDARDIZE(tblY9[[#This Row],[9P01 - Electricity
Raw Score]],AVERAGE(tblY9[[9P01 - Electricity
Raw Score]]),_xlfn.STDEV.P(tblY9[[9P01 - Electricity
Raw Score]])),9),_Stanine,2),5),"")</f>
        <v>8</v>
      </c>
      <c r="T76" s="66" t="n">
        <v>24</v>
      </c>
      <c r="U76" s="67">
        <f>IF(ISNUMBER(tblY9[[#This Row],[9B02 - Ecology
Raw Score]]),IFERROR(VLOOKUP(ROUND(STANDARDIZE(tblY9[[#This Row],[9B02 - Ecology
Raw Score]],AVERAGE(tblY9[[9B02 - Ecology
Raw Score]]),_xlfn.STDEV.P(tblY9[[9B02 - Ecology
Raw Score]])),9),_Stanine,2),5),"")</f>
        <v>8</v>
      </c>
    </row>
    <row r="77">
      <c r="A77" s="65" t="inlineStr">
        <is>
          <t>X903703059405</t>
        </is>
      </c>
      <c r="B77" s="65" t="inlineStr">
        <is>
          <t>Harrison</t>
        </is>
      </c>
      <c r="C77" s="65" t="inlineStr">
        <is>
          <t>Freya</t>
        </is>
      </c>
      <c r="D77" s="66" t="inlineStr">
        <is>
          <t>M</t>
        </is>
      </c>
      <c r="E77" s="66" t="inlineStr">
        <is>
          <t>N</t>
        </is>
      </c>
      <c r="F77" s="66" t="inlineStr">
        <is>
          <t>N</t>
        </is>
      </c>
      <c r="G77" s="34" t="n">
        <v>94.09999999999999</v>
      </c>
      <c r="H77" s="34" t="n">
        <v>105</v>
      </c>
      <c r="I77" s="67">
        <f>IF(ISNUMBER(tblY9[[#This Row],[Avg KS2]]),IFERROR(VLOOKUP(ROUND(STANDARDIZE(tblY9[[#This Row],[Avg KS2]],AVERAGE(tblY9[[Avg KS2]]),_xlfn.STDEV.P(tblY9[[Avg KS2]])),9),_Stanine,2),5),"")</f>
        <v>4</v>
      </c>
      <c r="J77" s="66" t="inlineStr">
        <is>
          <t>9B/Sc1</t>
        </is>
      </c>
      <c r="K77" s="67">
        <f>IF(tblY9[[#This Row],[Preferred Last name]]="","",COUNTIFS($N$1:$ZZ$1,"*"&amp;CHAR(10)&amp;"Stanine",$N77:$ZZ77,"&gt;=1"))</f>
        <v>4</v>
      </c>
      <c r="L77" s="68">
        <f>IFERROR(AVERAGEIF($N$1:$ZZ$1,"*"&amp;CHAR(10)&amp;"Stanine",$N77:$ZZ77),"")</f>
        <v>3.75</v>
      </c>
      <c r="M77" s="69">
        <f>IF(AND(ISNUMBER(tblY9[[#This Row],[Mean Stanine]]),ISNUMBER(tblY9[[#This Row],[Avg KS2 Band]]),ISNUMBER(SlopeY9)),tblY9[[#This Row],[Mean Stanine]]-(InterceptY9+SlopeY9*tblY9[[#This Row],[Avg KS2 Band]]),"")</f>
        <v>-0.560156982193065</v>
      </c>
      <c r="N77" s="66" t="n">
        <v>16</v>
      </c>
      <c r="O77" s="67">
        <f>IF(ISNUMBER(tblY9[[#This Row],[9B01 - Genetics
Raw Score]]),IFERROR(VLOOKUP(ROUND(STANDARDIZE(tblY9[[#This Row],[9B01 - Genetics
Raw Score]],AVERAGE(tblY9[[9B01 - Genetics
Raw Score]]),_xlfn.STDEV.P(tblY9[[9B01 - Genetics
Raw Score]])),9),_Stanine,2),5),"")</f>
        <v>4</v>
      </c>
      <c r="P77" s="66" t="n">
        <v>17</v>
      </c>
      <c r="Q77" s="67">
        <f>IF(ISNUMBER(tblY9[[#This Row],[9C01 - Chemical Reactions
Raw Score]]),IFERROR(VLOOKUP(ROUND(STANDARDIZE(tblY9[[#This Row],[9C01 - Chemical Reactions
Raw Score]],AVERAGE(tblY9[[9C01 - Chemical Reactions
Raw Score]]),_xlfn.STDEV.P(tblY9[[9C01 - Chemical Reactions
Raw Score]])),9),_Stanine,2),5),"")</f>
        <v>4</v>
      </c>
      <c r="R77" s="66" t="n">
        <v>18</v>
      </c>
      <c r="S77" s="67">
        <f>IF(ISNUMBER(tblY9[[#This Row],[9P01 - Electricity
Raw Score]]),IFERROR(VLOOKUP(ROUND(STANDARDIZE(tblY9[[#This Row],[9P01 - Electricity
Raw Score]],AVERAGE(tblY9[[9P01 - Electricity
Raw Score]]),_xlfn.STDEV.P(tblY9[[9P01 - Electricity
Raw Score]])),9),_Stanine,2),5),"")</f>
        <v>4</v>
      </c>
      <c r="T77" s="66" t="n">
        <v>13</v>
      </c>
      <c r="U77" s="67">
        <f>IF(ISNUMBER(tblY9[[#This Row],[9B02 - Ecology
Raw Score]]),IFERROR(VLOOKUP(ROUND(STANDARDIZE(tblY9[[#This Row],[9B02 - Ecology
Raw Score]],AVERAGE(tblY9[[9B02 - Ecology
Raw Score]]),_xlfn.STDEV.P(tblY9[[9B02 - Ecology
Raw Score]])),9),_Stanine,2),5),"")</f>
        <v>3</v>
      </c>
    </row>
    <row r="78">
      <c r="A78" s="65" t="inlineStr">
        <is>
          <t>X906341751551</t>
        </is>
      </c>
      <c r="B78" s="65" t="inlineStr">
        <is>
          <t>Hughes</t>
        </is>
      </c>
      <c r="C78" s="65" t="inlineStr">
        <is>
          <t>George</t>
        </is>
      </c>
      <c r="D78" s="66" t="inlineStr">
        <is>
          <t>F</t>
        </is>
      </c>
      <c r="E78" s="66" t="inlineStr">
        <is>
          <t>K</t>
        </is>
      </c>
      <c r="F78" s="66" t="inlineStr">
        <is>
          <t>Y</t>
        </is>
      </c>
      <c r="G78" s="34" t="n">
        <v>92.5</v>
      </c>
      <c r="H78" s="34" t="n">
        <v>114.5</v>
      </c>
      <c r="I78" s="67">
        <f>IF(ISNUMBER(tblY9[[#This Row],[Avg KS2]]),IFERROR(VLOOKUP(ROUND(STANDARDIZE(tblY9[[#This Row],[Avg KS2]],AVERAGE(tblY9[[Avg KS2]]),_xlfn.STDEV.P(tblY9[[Avg KS2]])),9),_Stanine,2),5),"")</f>
        <v>8</v>
      </c>
      <c r="J78" s="66" t="inlineStr">
        <is>
          <t>9B/Sc1</t>
        </is>
      </c>
      <c r="K78" s="67">
        <f>IF(tblY9[[#This Row],[Preferred Last name]]="","",COUNTIFS($N$1:$ZZ$1,"*"&amp;CHAR(10)&amp;"Stanine",$N78:$ZZ78,"&gt;=1"))</f>
        <v>4</v>
      </c>
      <c r="L78" s="68">
        <f>IFERROR(AVERAGEIF($N$1:$ZZ$1,"*"&amp;CHAR(10)&amp;"Stanine",$N78:$ZZ78),"")</f>
        <v>7.5</v>
      </c>
      <c r="M78" s="69">
        <f>IF(AND(ISNUMBER(tblY9[[#This Row],[Mean Stanine]]),ISNUMBER(tblY9[[#This Row],[Avg KS2 Band]]),ISNUMBER(SlopeY9)),tblY9[[#This Row],[Mean Stanine]]-(InterceptY9+SlopeY9*tblY9[[#This Row],[Avg KS2 Band]]),"")</f>
        <v>0.136187910028116</v>
      </c>
      <c r="N78" s="66" t="n">
        <v>26</v>
      </c>
      <c r="O78" s="67">
        <f>IF(ISNUMBER(tblY9[[#This Row],[9B01 - Genetics
Raw Score]]),IFERROR(VLOOKUP(ROUND(STANDARDIZE(tblY9[[#This Row],[9B01 - Genetics
Raw Score]],AVERAGE(tblY9[[9B01 - Genetics
Raw Score]]),_xlfn.STDEV.P(tblY9[[9B01 - Genetics
Raw Score]])),9),_Stanine,2),5),"")</f>
        <v>7</v>
      </c>
      <c r="P78" s="66" t="n">
        <v>29</v>
      </c>
      <c r="Q78" s="67">
        <f>IF(ISNUMBER(tblY9[[#This Row],[9C01 - Chemical Reactions
Raw Score]]),IFERROR(VLOOKUP(ROUND(STANDARDIZE(tblY9[[#This Row],[9C01 - Chemical Reactions
Raw Score]],AVERAGE(tblY9[[9C01 - Chemical Reactions
Raw Score]]),_xlfn.STDEV.P(tblY9[[9C01 - Chemical Reactions
Raw Score]])),9),_Stanine,2),5),"")</f>
        <v>8</v>
      </c>
      <c r="R78" s="66" t="n">
        <v>27</v>
      </c>
      <c r="S78" s="67">
        <f>IF(ISNUMBER(tblY9[[#This Row],[9P01 - Electricity
Raw Score]]),IFERROR(VLOOKUP(ROUND(STANDARDIZE(tblY9[[#This Row],[9P01 - Electricity
Raw Score]],AVERAGE(tblY9[[9P01 - Electricity
Raw Score]]),_xlfn.STDEV.P(tblY9[[9P01 - Electricity
Raw Score]])),9),_Stanine,2),5),"")</f>
        <v>8</v>
      </c>
      <c r="T78" s="66" t="n">
        <v>22</v>
      </c>
      <c r="U78" s="67">
        <f>IF(ISNUMBER(tblY9[[#This Row],[9B02 - Ecology
Raw Score]]),IFERROR(VLOOKUP(ROUND(STANDARDIZE(tblY9[[#This Row],[9B02 - Ecology
Raw Score]],AVERAGE(tblY9[[9B02 - Ecology
Raw Score]]),_xlfn.STDEV.P(tblY9[[9B02 - Ecology
Raw Score]])),9),_Stanine,2),5),"")</f>
        <v>7</v>
      </c>
    </row>
    <row r="79">
      <c r="A79" s="65" t="inlineStr">
        <is>
          <t>X905327493648</t>
        </is>
      </c>
      <c r="B79" s="65" t="inlineStr">
        <is>
          <t>Hughes</t>
        </is>
      </c>
      <c r="C79" s="65" t="inlineStr">
        <is>
          <t>Ivy</t>
        </is>
      </c>
      <c r="D79" s="66" t="inlineStr">
        <is>
          <t>M</t>
        </is>
      </c>
      <c r="E79" s="66" t="n"/>
      <c r="F79" s="66" t="inlineStr">
        <is>
          <t>Y</t>
        </is>
      </c>
      <c r="G79" s="34" t="n">
        <v>97.90000000000001</v>
      </c>
      <c r="H79" s="34" t="n">
        <v>114</v>
      </c>
      <c r="I79" s="67">
        <f>IF(ISNUMBER(tblY9[[#This Row],[Avg KS2]]),IFERROR(VLOOKUP(ROUND(STANDARDIZE(tblY9[[#This Row],[Avg KS2]],AVERAGE(tblY9[[Avg KS2]]),_xlfn.STDEV.P(tblY9[[Avg KS2]])),9),_Stanine,2),5),"")</f>
        <v>8</v>
      </c>
      <c r="J79" s="66" t="inlineStr">
        <is>
          <t>9B/Sc1</t>
        </is>
      </c>
      <c r="K79" s="67">
        <f>IF(tblY9[[#This Row],[Preferred Last name]]="","",COUNTIFS($N$1:$ZZ$1,"*"&amp;CHAR(10)&amp;"Stanine",$N79:$ZZ79,"&gt;=1"))</f>
        <v>4</v>
      </c>
      <c r="L79" s="68">
        <f>IFERROR(AVERAGEIF($N$1:$ZZ$1,"*"&amp;CHAR(10)&amp;"Stanine",$N79:$ZZ79),"")</f>
        <v>7</v>
      </c>
      <c r="M79" s="69">
        <f>IF(AND(ISNUMBER(tblY9[[#This Row],[Mean Stanine]]),ISNUMBER(tblY9[[#This Row],[Avg KS2 Band]]),ISNUMBER(SlopeY9)),tblY9[[#This Row],[Mean Stanine]]-(InterceptY9+SlopeY9*tblY9[[#This Row],[Avg KS2 Band]]),"")</f>
        <v>-0.363812089971884</v>
      </c>
      <c r="N79" s="66" t="n">
        <v>27</v>
      </c>
      <c r="O79" s="67">
        <f>IF(ISNUMBER(tblY9[[#This Row],[9B01 - Genetics
Raw Score]]),IFERROR(VLOOKUP(ROUND(STANDARDIZE(tblY9[[#This Row],[9B01 - Genetics
Raw Score]],AVERAGE(tblY9[[9B01 - Genetics
Raw Score]]),_xlfn.STDEV.P(tblY9[[9B01 - Genetics
Raw Score]])),9),_Stanine,2),5),"")</f>
        <v>7</v>
      </c>
      <c r="P79" s="66" t="n">
        <v>28</v>
      </c>
      <c r="Q79" s="67">
        <f>IF(ISNUMBER(tblY9[[#This Row],[9C01 - Chemical Reactions
Raw Score]]),IFERROR(VLOOKUP(ROUND(STANDARDIZE(tblY9[[#This Row],[9C01 - Chemical Reactions
Raw Score]],AVERAGE(tblY9[[9C01 - Chemical Reactions
Raw Score]]),_xlfn.STDEV.P(tblY9[[9C01 - Chemical Reactions
Raw Score]])),9),_Stanine,2),5),"")</f>
        <v>7</v>
      </c>
      <c r="R79" s="66" t="n">
        <v>26</v>
      </c>
      <c r="S79" s="67">
        <f>IF(ISNUMBER(tblY9[[#This Row],[9P01 - Electricity
Raw Score]]),IFERROR(VLOOKUP(ROUND(STANDARDIZE(tblY9[[#This Row],[9P01 - Electricity
Raw Score]],AVERAGE(tblY9[[9P01 - Electricity
Raw Score]]),_xlfn.STDEV.P(tblY9[[9P01 - Electricity
Raw Score]])),9),_Stanine,2),5),"")</f>
        <v>7</v>
      </c>
      <c r="T79" s="66" t="n">
        <v>22</v>
      </c>
      <c r="U79" s="67">
        <f>IF(ISNUMBER(tblY9[[#This Row],[9B02 - Ecology
Raw Score]]),IFERROR(VLOOKUP(ROUND(STANDARDIZE(tblY9[[#This Row],[9B02 - Ecology
Raw Score]],AVERAGE(tblY9[[9B02 - Ecology
Raw Score]]),_xlfn.STDEV.P(tblY9[[9B02 - Ecology
Raw Score]])),9),_Stanine,2),5),"")</f>
        <v>7</v>
      </c>
    </row>
    <row r="80">
      <c r="A80" s="65" t="inlineStr">
        <is>
          <t>X906112019702</t>
        </is>
      </c>
      <c r="B80" s="65" t="inlineStr">
        <is>
          <t>Hughes</t>
        </is>
      </c>
      <c r="C80" s="65" t="inlineStr">
        <is>
          <t>Priya</t>
        </is>
      </c>
      <c r="D80" s="66" t="inlineStr">
        <is>
          <t>F</t>
        </is>
      </c>
      <c r="E80" s="66" t="inlineStr">
        <is>
          <t>N</t>
        </is>
      </c>
      <c r="F80" s="66" t="inlineStr">
        <is>
          <t>Y</t>
        </is>
      </c>
      <c r="G80" s="34" t="n">
        <v>76.7</v>
      </c>
      <c r="H80" s="34" t="n">
        <v>110</v>
      </c>
      <c r="I80" s="67">
        <f>IF(ISNUMBER(tblY9[[#This Row],[Avg KS2]]),IFERROR(VLOOKUP(ROUND(STANDARDIZE(tblY9[[#This Row],[Avg KS2]],AVERAGE(tblY9[[Avg KS2]]),_xlfn.STDEV.P(tblY9[[Avg KS2]])),9),_Stanine,2),5),"")</f>
        <v>6</v>
      </c>
      <c r="J80" s="66" t="inlineStr">
        <is>
          <t>9B/Sc1</t>
        </is>
      </c>
      <c r="K80" s="67">
        <f>IF(tblY9[[#This Row],[Preferred Last name]]="","",COUNTIFS($N$1:$ZZ$1,"*"&amp;CHAR(10)&amp;"Stanine",$N80:$ZZ80,"&gt;=1"))</f>
        <v>4</v>
      </c>
      <c r="L80" s="68">
        <f>IFERROR(AVERAGEIF($N$1:$ZZ$1,"*"&amp;CHAR(10)&amp;"Stanine",$N80:$ZZ80),"")</f>
        <v>7</v>
      </c>
      <c r="M80" s="69">
        <f>IF(AND(ISNUMBER(tblY9[[#This Row],[Mean Stanine]]),ISNUMBER(tblY9[[#This Row],[Avg KS2 Band]]),ISNUMBER(SlopeY9)),tblY9[[#This Row],[Mean Stanine]]-(InterceptY9+SlopeY9*tblY9[[#This Row],[Avg KS2 Band]]),"")</f>
        <v>1.16301546391753</v>
      </c>
      <c r="N80" s="66" t="n">
        <v>25</v>
      </c>
      <c r="O80" s="67">
        <f>IF(ISNUMBER(tblY9[[#This Row],[9B01 - Genetics
Raw Score]]),IFERROR(VLOOKUP(ROUND(STANDARDIZE(tblY9[[#This Row],[9B01 - Genetics
Raw Score]],AVERAGE(tblY9[[9B01 - Genetics
Raw Score]]),_xlfn.STDEV.P(tblY9[[9B01 - Genetics
Raw Score]])),9),_Stanine,2),5),"")</f>
        <v>7</v>
      </c>
      <c r="P80" s="66" t="n">
        <v>26</v>
      </c>
      <c r="Q80" s="67">
        <f>IF(ISNUMBER(tblY9[[#This Row],[9C01 - Chemical Reactions
Raw Score]]),IFERROR(VLOOKUP(ROUND(STANDARDIZE(tblY9[[#This Row],[9C01 - Chemical Reactions
Raw Score]],AVERAGE(tblY9[[9C01 - Chemical Reactions
Raw Score]]),_xlfn.STDEV.P(tblY9[[9C01 - Chemical Reactions
Raw Score]])),9),_Stanine,2),5),"")</f>
        <v>7</v>
      </c>
      <c r="R80" s="66" t="n">
        <v>26</v>
      </c>
      <c r="S80" s="67">
        <f>IF(ISNUMBER(tblY9[[#This Row],[9P01 - Electricity
Raw Score]]),IFERROR(VLOOKUP(ROUND(STANDARDIZE(tblY9[[#This Row],[9P01 - Electricity
Raw Score]],AVERAGE(tblY9[[9P01 - Electricity
Raw Score]]),_xlfn.STDEV.P(tblY9[[9P01 - Electricity
Raw Score]])),9),_Stanine,2),5),"")</f>
        <v>7</v>
      </c>
      <c r="T80" s="66" t="n">
        <v>23</v>
      </c>
      <c r="U80" s="67">
        <f>IF(ISNUMBER(tblY9[[#This Row],[9B02 - Ecology
Raw Score]]),IFERROR(VLOOKUP(ROUND(STANDARDIZE(tblY9[[#This Row],[9B02 - Ecology
Raw Score]],AVERAGE(tblY9[[9B02 - Ecology
Raw Score]]),_xlfn.STDEV.P(tblY9[[9B02 - Ecology
Raw Score]])),9),_Stanine,2),5),"")</f>
        <v>7</v>
      </c>
    </row>
    <row r="81">
      <c r="A81" s="65" t="inlineStr">
        <is>
          <t>X905467419661</t>
        </is>
      </c>
      <c r="B81" s="65" t="inlineStr">
        <is>
          <t>Hussain</t>
        </is>
      </c>
      <c r="C81" s="65" t="inlineStr">
        <is>
          <t>Arthur</t>
        </is>
      </c>
      <c r="D81" s="66" t="inlineStr">
        <is>
          <t>F</t>
        </is>
      </c>
      <c r="E81" s="66" t="inlineStr">
        <is>
          <t>N</t>
        </is>
      </c>
      <c r="F81" s="66" t="inlineStr">
        <is>
          <t>Y</t>
        </is>
      </c>
      <c r="G81" s="34" t="n">
        <v>90.3</v>
      </c>
      <c r="H81" s="34" t="n">
        <v>108.5</v>
      </c>
      <c r="I81" s="67">
        <f>IF(ISNUMBER(tblY9[[#This Row],[Avg KS2]]),IFERROR(VLOOKUP(ROUND(STANDARDIZE(tblY9[[#This Row],[Avg KS2]],AVERAGE(tblY9[[Avg KS2]]),_xlfn.STDEV.P(tblY9[[Avg KS2]])),9),_Stanine,2),5),"")</f>
        <v>6</v>
      </c>
      <c r="J81" s="66" t="inlineStr">
        <is>
          <t>9B/Sc1</t>
        </is>
      </c>
      <c r="K81" s="67">
        <f>IF(tblY9[[#This Row],[Preferred Last name]]="","",COUNTIFS($N$1:$ZZ$1,"*"&amp;CHAR(10)&amp;"Stanine",$N81:$ZZ81,"&gt;=1"))</f>
        <v>4</v>
      </c>
      <c r="L81" s="68">
        <f>IFERROR(AVERAGEIF($N$1:$ZZ$1,"*"&amp;CHAR(10)&amp;"Stanine",$N81:$ZZ81),"")</f>
        <v>6</v>
      </c>
      <c r="M81" s="69">
        <f>IF(AND(ISNUMBER(tblY9[[#This Row],[Mean Stanine]]),ISNUMBER(tblY9[[#This Row],[Avg KS2 Band]]),ISNUMBER(SlopeY9)),tblY9[[#This Row],[Mean Stanine]]-(InterceptY9+SlopeY9*tblY9[[#This Row],[Avg KS2 Band]]),"")</f>
        <v>0.163015463917526</v>
      </c>
      <c r="N81" s="66" t="n">
        <v>22</v>
      </c>
      <c r="O81" s="67">
        <f>IF(ISNUMBER(tblY9[[#This Row],[9B01 - Genetics
Raw Score]]),IFERROR(VLOOKUP(ROUND(STANDARDIZE(tblY9[[#This Row],[9B01 - Genetics
Raw Score]],AVERAGE(tblY9[[9B01 - Genetics
Raw Score]]),_xlfn.STDEV.P(tblY9[[9B01 - Genetics
Raw Score]])),9),_Stanine,2),5),"")</f>
        <v>6</v>
      </c>
      <c r="P81" s="66" t="n">
        <v>23</v>
      </c>
      <c r="Q81" s="67">
        <f>IF(ISNUMBER(tblY9[[#This Row],[9C01 - Chemical Reactions
Raw Score]]),IFERROR(VLOOKUP(ROUND(STANDARDIZE(tblY9[[#This Row],[9C01 - Chemical Reactions
Raw Score]],AVERAGE(tblY9[[9C01 - Chemical Reactions
Raw Score]]),_xlfn.STDEV.P(tblY9[[9C01 - Chemical Reactions
Raw Score]])),9),_Stanine,2),5),"")</f>
        <v>6</v>
      </c>
      <c r="R81" s="66" t="n">
        <v>22</v>
      </c>
      <c r="S81" s="67">
        <f>IF(ISNUMBER(tblY9[[#This Row],[9P01 - Electricity
Raw Score]]),IFERROR(VLOOKUP(ROUND(STANDARDIZE(tblY9[[#This Row],[9P01 - Electricity
Raw Score]],AVERAGE(tblY9[[9P01 - Electricity
Raw Score]]),_xlfn.STDEV.P(tblY9[[9P01 - Electricity
Raw Score]])),9),_Stanine,2),5),"")</f>
        <v>6</v>
      </c>
      <c r="T81" s="66" t="n">
        <v>19</v>
      </c>
      <c r="U81" s="67">
        <f>IF(ISNUMBER(tblY9[[#This Row],[9B02 - Ecology
Raw Score]]),IFERROR(VLOOKUP(ROUND(STANDARDIZE(tblY9[[#This Row],[9B02 - Ecology
Raw Score]],AVERAGE(tblY9[[9B02 - Ecology
Raw Score]]),_xlfn.STDEV.P(tblY9[[9B02 - Ecology
Raw Score]])),9),_Stanine,2),5),"")</f>
        <v>6</v>
      </c>
    </row>
    <row r="82">
      <c r="A82" s="65" t="inlineStr">
        <is>
          <t>X901160894773</t>
        </is>
      </c>
      <c r="B82" s="65" t="inlineStr">
        <is>
          <t>Hussain</t>
        </is>
      </c>
      <c r="C82" s="65" t="inlineStr">
        <is>
          <t>Reuben</t>
        </is>
      </c>
      <c r="D82" s="66" t="inlineStr">
        <is>
          <t>M</t>
        </is>
      </c>
      <c r="E82" s="66" t="inlineStr">
        <is>
          <t>N</t>
        </is>
      </c>
      <c r="F82" s="66" t="inlineStr">
        <is>
          <t>N</t>
        </is>
      </c>
      <c r="G82" s="34" t="n">
        <v>85.59999999999999</v>
      </c>
      <c r="H82" s="34" t="n">
        <v>108</v>
      </c>
      <c r="I82" s="67">
        <f>IF(ISNUMBER(tblY9[[#This Row],[Avg KS2]]),IFERROR(VLOOKUP(ROUND(STANDARDIZE(tblY9[[#This Row],[Avg KS2]],AVERAGE(tblY9[[Avg KS2]]),_xlfn.STDEV.P(tblY9[[Avg KS2]])),9),_Stanine,2),5),"")</f>
        <v>6</v>
      </c>
      <c r="J82" s="66" t="inlineStr">
        <is>
          <t>9B/Sc1</t>
        </is>
      </c>
      <c r="K82" s="67">
        <f>IF(tblY9[[#This Row],[Preferred Last name]]="","",COUNTIFS($N$1:$ZZ$1,"*"&amp;CHAR(10)&amp;"Stanine",$N82:$ZZ82,"&gt;=1"))</f>
        <v>3</v>
      </c>
      <c r="L82" s="68">
        <f>IFERROR(AVERAGEIF($N$1:$ZZ$1,"*"&amp;CHAR(10)&amp;"Stanine",$N82:$ZZ82),"")</f>
        <v>7.66666666666667</v>
      </c>
      <c r="M82" s="69">
        <f>IF(AND(ISNUMBER(tblY9[[#This Row],[Mean Stanine]]),ISNUMBER(tblY9[[#This Row],[Avg KS2 Band]]),ISNUMBER(SlopeY9)),tblY9[[#This Row],[Mean Stanine]]-(InterceptY9+SlopeY9*tblY9[[#This Row],[Avg KS2 Band]]),"")</f>
        <v>1.82968213058419</v>
      </c>
      <c r="N82" s="66" t="n">
        <v>28</v>
      </c>
      <c r="O82" s="67">
        <f>IF(ISNUMBER(tblY9[[#This Row],[9B01 - Genetics
Raw Score]]),IFERROR(VLOOKUP(ROUND(STANDARDIZE(tblY9[[#This Row],[9B01 - Genetics
Raw Score]],AVERAGE(tblY9[[9B01 - Genetics
Raw Score]]),_xlfn.STDEV.P(tblY9[[9B01 - Genetics
Raw Score]])),9),_Stanine,2),5),"")</f>
        <v>8</v>
      </c>
      <c r="P82" s="66" t="n">
        <v>29</v>
      </c>
      <c r="Q82" s="67">
        <f>IF(ISNUMBER(tblY9[[#This Row],[9C01 - Chemical Reactions
Raw Score]]),IFERROR(VLOOKUP(ROUND(STANDARDIZE(tblY9[[#This Row],[9C01 - Chemical Reactions
Raw Score]],AVERAGE(tblY9[[9C01 - Chemical Reactions
Raw Score]]),_xlfn.STDEV.P(tblY9[[9C01 - Chemical Reactions
Raw Score]])),9),_Stanine,2),5),"")</f>
        <v>8</v>
      </c>
      <c r="R82" s="66" t="inlineStr">
        <is>
          <t>A</t>
        </is>
      </c>
      <c r="S82" s="67" t="str">
        <f>IF(ISNUMBER(tblY9[[#This Row],[9P01 - Electricity
Raw Score]]),IFERROR(VLOOKUP(ROUND(STANDARDIZE(tblY9[[#This Row],[9P01 - Electricity
Raw Score]],AVERAGE(tblY9[[9P01 - Electricity
Raw Score]]),_xlfn.STDEV.P(tblY9[[9P01 - Electricity
Raw Score]])),9),_Stanine,2),5),"")</f>
        <v/>
      </c>
      <c r="T82" s="66" t="n">
        <v>22</v>
      </c>
      <c r="U82" s="67">
        <f>IF(ISNUMBER(tblY9[[#This Row],[9B02 - Ecology
Raw Score]]),IFERROR(VLOOKUP(ROUND(STANDARDIZE(tblY9[[#This Row],[9B02 - Ecology
Raw Score]],AVERAGE(tblY9[[9B02 - Ecology
Raw Score]]),_xlfn.STDEV.P(tblY9[[9B02 - Ecology
Raw Score]])),9),_Stanine,2),5),"")</f>
        <v>7</v>
      </c>
    </row>
    <row r="83">
      <c r="A83" s="65" t="inlineStr">
        <is>
          <t>X903618544484</t>
        </is>
      </c>
      <c r="B83" s="65" t="inlineStr">
        <is>
          <t>Hussain</t>
        </is>
      </c>
      <c r="C83" s="65" t="inlineStr">
        <is>
          <t>Zofia</t>
        </is>
      </c>
      <c r="D83" s="66" t="inlineStr">
        <is>
          <t>F</t>
        </is>
      </c>
      <c r="E83" s="66" t="inlineStr">
        <is>
          <t>N</t>
        </is>
      </c>
      <c r="F83" s="66" t="inlineStr">
        <is>
          <t>N</t>
        </is>
      </c>
      <c r="G83" s="34" t="n">
        <v>82.7</v>
      </c>
      <c r="H83" s="34" t="n">
        <v>119</v>
      </c>
      <c r="I83" s="67">
        <f>IF(ISNUMBER(tblY9[[#This Row],[Avg KS2]]),IFERROR(VLOOKUP(ROUND(STANDARDIZE(tblY9[[#This Row],[Avg KS2]],AVERAGE(tblY9[[Avg KS2]]),_xlfn.STDEV.P(tblY9[[Avg KS2]])),9),_Stanine,2),5),"")</f>
        <v>9</v>
      </c>
      <c r="J83" s="66" t="inlineStr">
        <is>
          <t>9B/Sc1</t>
        </is>
      </c>
      <c r="K83" s="67">
        <f>IF(tblY9[[#This Row],[Preferred Last name]]="","",COUNTIFS($N$1:$ZZ$1,"*"&amp;CHAR(10)&amp;"Stanine",$N83:$ZZ83,"&gt;=1"))</f>
        <v>4</v>
      </c>
      <c r="L83" s="68">
        <f>IFERROR(AVERAGEIF($N$1:$ZZ$1,"*"&amp;CHAR(10)&amp;"Stanine",$N83:$ZZ83),"")</f>
        <v>7</v>
      </c>
      <c r="M83" s="69">
        <f>IF(AND(ISNUMBER(tblY9[[#This Row],[Mean Stanine]]),ISNUMBER(tblY9[[#This Row],[Avg KS2 Band]]),ISNUMBER(SlopeY9)),tblY9[[#This Row],[Mean Stanine]]-(InterceptY9+SlopeY9*tblY9[[#This Row],[Avg KS2 Band]]),"")</f>
        <v>-1.12722586691659</v>
      </c>
      <c r="N83" s="66" t="n">
        <v>26</v>
      </c>
      <c r="O83" s="67">
        <f>IF(ISNUMBER(tblY9[[#This Row],[9B01 - Genetics
Raw Score]]),IFERROR(VLOOKUP(ROUND(STANDARDIZE(tblY9[[#This Row],[9B01 - Genetics
Raw Score]],AVERAGE(tblY9[[9B01 - Genetics
Raw Score]]),_xlfn.STDEV.P(tblY9[[9B01 - Genetics
Raw Score]])),9),_Stanine,2),5),"")</f>
        <v>7</v>
      </c>
      <c r="P83" s="66" t="n">
        <v>26</v>
      </c>
      <c r="Q83" s="67">
        <f>IF(ISNUMBER(tblY9[[#This Row],[9C01 - Chemical Reactions
Raw Score]]),IFERROR(VLOOKUP(ROUND(STANDARDIZE(tblY9[[#This Row],[9C01 - Chemical Reactions
Raw Score]],AVERAGE(tblY9[[9C01 - Chemical Reactions
Raw Score]]),_xlfn.STDEV.P(tblY9[[9C01 - Chemical Reactions
Raw Score]])),9),_Stanine,2),5),"")</f>
        <v>7</v>
      </c>
      <c r="R83" s="66" t="n">
        <v>26</v>
      </c>
      <c r="S83" s="67">
        <f>IF(ISNUMBER(tblY9[[#This Row],[9P01 - Electricity
Raw Score]]),IFERROR(VLOOKUP(ROUND(STANDARDIZE(tblY9[[#This Row],[9P01 - Electricity
Raw Score]],AVERAGE(tblY9[[9P01 - Electricity
Raw Score]]),_xlfn.STDEV.P(tblY9[[9P01 - Electricity
Raw Score]])),9),_Stanine,2),5),"")</f>
        <v>7</v>
      </c>
      <c r="T83" s="66" t="n">
        <v>21</v>
      </c>
      <c r="U83" s="67">
        <f>IF(ISNUMBER(tblY9[[#This Row],[9B02 - Ecology
Raw Score]]),IFERROR(VLOOKUP(ROUND(STANDARDIZE(tblY9[[#This Row],[9B02 - Ecology
Raw Score]],AVERAGE(tblY9[[9B02 - Ecology
Raw Score]]),_xlfn.STDEV.P(tblY9[[9B02 - Ecology
Raw Score]])),9),_Stanine,2),5),"")</f>
        <v>7</v>
      </c>
    </row>
    <row r="84">
      <c r="A84" s="65" t="inlineStr">
        <is>
          <t>X904202819604</t>
        </is>
      </c>
      <c r="B84" s="65" t="inlineStr">
        <is>
          <t>Jackson</t>
        </is>
      </c>
      <c r="C84" s="65" t="inlineStr">
        <is>
          <t>Charlie</t>
        </is>
      </c>
      <c r="D84" s="66" t="inlineStr">
        <is>
          <t>M</t>
        </is>
      </c>
      <c r="E84" s="66" t="n"/>
      <c r="F84" s="66" t="inlineStr">
        <is>
          <t>N</t>
        </is>
      </c>
      <c r="G84" s="34" t="n">
        <v>87.40000000000001</v>
      </c>
      <c r="H84" s="34" t="n">
        <v>115</v>
      </c>
      <c r="I84" s="67">
        <f>IF(ISNUMBER(tblY9[[#This Row],[Avg KS2]]),IFERROR(VLOOKUP(ROUND(STANDARDIZE(tblY9[[#This Row],[Avg KS2]],AVERAGE(tblY9[[Avg KS2]]),_xlfn.STDEV.P(tblY9[[Avg KS2]])),9),_Stanine,2),5),"")</f>
        <v>8</v>
      </c>
      <c r="J84" s="66" t="inlineStr">
        <is>
          <t>9B/Sc1</t>
        </is>
      </c>
      <c r="K84" s="67">
        <f>IF(tblY9[[#This Row],[Preferred Last name]]="","",COUNTIFS($N$1:$ZZ$1,"*"&amp;CHAR(10)&amp;"Stanine",$N84:$ZZ84,"&gt;=1"))</f>
        <v>4</v>
      </c>
      <c r="L84" s="68">
        <f>IFERROR(AVERAGEIF($N$1:$ZZ$1,"*"&amp;CHAR(10)&amp;"Stanine",$N84:$ZZ84),"")</f>
        <v>6.75</v>
      </c>
      <c r="M84" s="69">
        <f>IF(AND(ISNUMBER(tblY9[[#This Row],[Mean Stanine]]),ISNUMBER(tblY9[[#This Row],[Avg KS2 Band]]),ISNUMBER(SlopeY9)),tblY9[[#This Row],[Mean Stanine]]-(InterceptY9+SlopeY9*tblY9[[#This Row],[Avg KS2 Band]]),"")</f>
        <v>-0.613812089971884</v>
      </c>
      <c r="N84" s="66" t="n">
        <v>26</v>
      </c>
      <c r="O84" s="67">
        <f>IF(ISNUMBER(tblY9[[#This Row],[9B01 - Genetics
Raw Score]]),IFERROR(VLOOKUP(ROUND(STANDARDIZE(tblY9[[#This Row],[9B01 - Genetics
Raw Score]],AVERAGE(tblY9[[9B01 - Genetics
Raw Score]]),_xlfn.STDEV.P(tblY9[[9B01 - Genetics
Raw Score]])),9),_Stanine,2),5),"")</f>
        <v>7</v>
      </c>
      <c r="P84" s="66" t="n">
        <v>28</v>
      </c>
      <c r="Q84" s="67">
        <f>IF(ISNUMBER(tblY9[[#This Row],[9C01 - Chemical Reactions
Raw Score]]),IFERROR(VLOOKUP(ROUND(STANDARDIZE(tblY9[[#This Row],[9C01 - Chemical Reactions
Raw Score]],AVERAGE(tblY9[[9C01 - Chemical Reactions
Raw Score]]),_xlfn.STDEV.P(tblY9[[9C01 - Chemical Reactions
Raw Score]])),9),_Stanine,2),5),"")</f>
        <v>7</v>
      </c>
      <c r="R84" s="66" t="n">
        <v>24</v>
      </c>
      <c r="S84" s="67">
        <f>IF(ISNUMBER(tblY9[[#This Row],[9P01 - Electricity
Raw Score]]),IFERROR(VLOOKUP(ROUND(STANDARDIZE(tblY9[[#This Row],[9P01 - Electricity
Raw Score]],AVERAGE(tblY9[[9P01 - Electricity
Raw Score]]),_xlfn.STDEV.P(tblY9[[9P01 - Electricity
Raw Score]])),9),_Stanine,2),5),"")</f>
        <v>6</v>
      </c>
      <c r="T84" s="66" t="n">
        <v>23</v>
      </c>
      <c r="U84" s="67">
        <f>IF(ISNUMBER(tblY9[[#This Row],[9B02 - Ecology
Raw Score]]),IFERROR(VLOOKUP(ROUND(STANDARDIZE(tblY9[[#This Row],[9B02 - Ecology
Raw Score]],AVERAGE(tblY9[[9B02 - Ecology
Raw Score]]),_xlfn.STDEV.P(tblY9[[9B02 - Ecology
Raw Score]])),9),_Stanine,2),5),"")</f>
        <v>7</v>
      </c>
    </row>
    <row r="85">
      <c r="A85" s="65" t="inlineStr">
        <is>
          <t>X908012130656</t>
        </is>
      </c>
      <c r="B85" s="65" t="inlineStr">
        <is>
          <t>Kowalski</t>
        </is>
      </c>
      <c r="C85" s="65" t="inlineStr">
        <is>
          <t>Harry</t>
        </is>
      </c>
      <c r="D85" s="66" t="inlineStr">
        <is>
          <t>M</t>
        </is>
      </c>
      <c r="E85" s="66" t="inlineStr">
        <is>
          <t>N</t>
        </is>
      </c>
      <c r="F85" s="66" t="inlineStr">
        <is>
          <t>N</t>
        </is>
      </c>
      <c r="G85" s="34" t="n">
        <v>94.90000000000001</v>
      </c>
      <c r="H85" s="34" t="n">
        <v>116.5</v>
      </c>
      <c r="I85" s="67">
        <f>IF(ISNUMBER(tblY9[[#This Row],[Avg KS2]]),IFERROR(VLOOKUP(ROUND(STANDARDIZE(tblY9[[#This Row],[Avg KS2]],AVERAGE(tblY9[[Avg KS2]]),_xlfn.STDEV.P(tblY9[[Avg KS2]])),9),_Stanine,2),5),"")</f>
        <v>9</v>
      </c>
      <c r="J85" s="66" t="inlineStr">
        <is>
          <t>9B/Sc1</t>
        </is>
      </c>
      <c r="K85" s="67">
        <f>IF(tblY9[[#This Row],[Preferred Last name]]="","",COUNTIFS($N$1:$ZZ$1,"*"&amp;CHAR(10)&amp;"Stanine",$N85:$ZZ85,"&gt;=1"))</f>
        <v>4</v>
      </c>
      <c r="L85" s="68">
        <f>IFERROR(AVERAGEIF($N$1:$ZZ$1,"*"&amp;CHAR(10)&amp;"Stanine",$N85:$ZZ85),"")</f>
        <v>7.75</v>
      </c>
      <c r="M85" s="69">
        <f>IF(AND(ISNUMBER(tblY9[[#This Row],[Mean Stanine]]),ISNUMBER(tblY9[[#This Row],[Avg KS2 Band]]),ISNUMBER(SlopeY9)),tblY9[[#This Row],[Mean Stanine]]-(InterceptY9+SlopeY9*tblY9[[#This Row],[Avg KS2 Band]]),"")</f>
        <v>-0.377225866916589</v>
      </c>
      <c r="N85" s="66" t="n">
        <v>27</v>
      </c>
      <c r="O85" s="67">
        <f>IF(ISNUMBER(tblY9[[#This Row],[9B01 - Genetics
Raw Score]]),IFERROR(VLOOKUP(ROUND(STANDARDIZE(tblY9[[#This Row],[9B01 - Genetics
Raw Score]],AVERAGE(tblY9[[9B01 - Genetics
Raw Score]]),_xlfn.STDEV.P(tblY9[[9B01 - Genetics
Raw Score]])),9),_Stanine,2),5),"")</f>
        <v>7</v>
      </c>
      <c r="P85" s="66" t="n">
        <v>30</v>
      </c>
      <c r="Q85" s="67">
        <f>IF(ISNUMBER(tblY9[[#This Row],[9C01 - Chemical Reactions
Raw Score]]),IFERROR(VLOOKUP(ROUND(STANDARDIZE(tblY9[[#This Row],[9C01 - Chemical Reactions
Raw Score]],AVERAGE(tblY9[[9C01 - Chemical Reactions
Raw Score]]),_xlfn.STDEV.P(tblY9[[9C01 - Chemical Reactions
Raw Score]])),9),_Stanine,2),5),"")</f>
        <v>8</v>
      </c>
      <c r="R85" s="66" t="n">
        <v>28</v>
      </c>
      <c r="S85" s="67">
        <f>IF(ISNUMBER(tblY9[[#This Row],[9P01 - Electricity
Raw Score]]),IFERROR(VLOOKUP(ROUND(STANDARDIZE(tblY9[[#This Row],[9P01 - Electricity
Raw Score]],AVERAGE(tblY9[[9P01 - Electricity
Raw Score]]),_xlfn.STDEV.P(tblY9[[9P01 - Electricity
Raw Score]])),9),_Stanine,2),5),"")</f>
        <v>8</v>
      </c>
      <c r="T85" s="66" t="n">
        <v>24</v>
      </c>
      <c r="U85" s="67">
        <f>IF(ISNUMBER(tblY9[[#This Row],[9B02 - Ecology
Raw Score]]),IFERROR(VLOOKUP(ROUND(STANDARDIZE(tblY9[[#This Row],[9B02 - Ecology
Raw Score]],AVERAGE(tblY9[[9B02 - Ecology
Raw Score]]),_xlfn.STDEV.P(tblY9[[9B02 - Ecology
Raw Score]])),9),_Stanine,2),5),"")</f>
        <v>8</v>
      </c>
    </row>
    <row r="86">
      <c r="A86" s="65" t="inlineStr">
        <is>
          <t>X901552284220</t>
        </is>
      </c>
      <c r="B86" s="65" t="inlineStr">
        <is>
          <t>Mistry</t>
        </is>
      </c>
      <c r="C86" s="65" t="inlineStr">
        <is>
          <t>Ivy</t>
        </is>
      </c>
      <c r="D86" s="66" t="inlineStr">
        <is>
          <t>M</t>
        </is>
      </c>
      <c r="E86" s="66" t="inlineStr">
        <is>
          <t>N</t>
        </is>
      </c>
      <c r="F86" s="66" t="inlineStr">
        <is>
          <t>Y</t>
        </is>
      </c>
      <c r="G86" s="34" t="n">
        <v>94.2</v>
      </c>
      <c r="H86" s="34" t="n">
        <v>108</v>
      </c>
      <c r="I86" s="67">
        <f>IF(ISNUMBER(tblY9[[#This Row],[Avg KS2]]),IFERROR(VLOOKUP(ROUND(STANDARDIZE(tblY9[[#This Row],[Avg KS2]],AVERAGE(tblY9[[Avg KS2]]),_xlfn.STDEV.P(tblY9[[Avg KS2]])),9),_Stanine,2),5),"")</f>
        <v>6</v>
      </c>
      <c r="J86" s="66" t="inlineStr">
        <is>
          <t>9B/Sc1</t>
        </is>
      </c>
      <c r="K86" s="67">
        <f>IF(tblY9[[#This Row],[Preferred Last name]]="","",COUNTIFS($N$1:$ZZ$1,"*"&amp;CHAR(10)&amp;"Stanine",$N86:$ZZ86,"&gt;=1"))</f>
        <v>4</v>
      </c>
      <c r="L86" s="68">
        <f>IFERROR(AVERAGEIF($N$1:$ZZ$1,"*"&amp;CHAR(10)&amp;"Stanine",$N86:$ZZ86),"")</f>
        <v>6</v>
      </c>
      <c r="M86" s="69">
        <f>IF(AND(ISNUMBER(tblY9[[#This Row],[Mean Stanine]]),ISNUMBER(tblY9[[#This Row],[Avg KS2 Band]]),ISNUMBER(SlopeY9)),tblY9[[#This Row],[Mean Stanine]]-(InterceptY9+SlopeY9*tblY9[[#This Row],[Avg KS2 Band]]),"")</f>
        <v>0.163015463917526</v>
      </c>
      <c r="N86" s="66" t="n">
        <v>24</v>
      </c>
      <c r="O86" s="67">
        <f>IF(ISNUMBER(tblY9[[#This Row],[9B01 - Genetics
Raw Score]]),IFERROR(VLOOKUP(ROUND(STANDARDIZE(tblY9[[#This Row],[9B01 - Genetics
Raw Score]],AVERAGE(tblY9[[9B01 - Genetics
Raw Score]]),_xlfn.STDEV.P(tblY9[[9B01 - Genetics
Raw Score]])),9),_Stanine,2),5),"")</f>
        <v>6</v>
      </c>
      <c r="P86" s="66" t="n">
        <v>24</v>
      </c>
      <c r="Q86" s="67">
        <f>IF(ISNUMBER(tblY9[[#This Row],[9C01 - Chemical Reactions
Raw Score]]),IFERROR(VLOOKUP(ROUND(STANDARDIZE(tblY9[[#This Row],[9C01 - Chemical Reactions
Raw Score]],AVERAGE(tblY9[[9C01 - Chemical Reactions
Raw Score]]),_xlfn.STDEV.P(tblY9[[9C01 - Chemical Reactions
Raw Score]])),9),_Stanine,2),5),"")</f>
        <v>6</v>
      </c>
      <c r="R86" s="66" t="n">
        <v>24</v>
      </c>
      <c r="S86" s="67">
        <f>IF(ISNUMBER(tblY9[[#This Row],[9P01 - Electricity
Raw Score]]),IFERROR(VLOOKUP(ROUND(STANDARDIZE(tblY9[[#This Row],[9P01 - Electricity
Raw Score]],AVERAGE(tblY9[[9P01 - Electricity
Raw Score]]),_xlfn.STDEV.P(tblY9[[9P01 - Electricity
Raw Score]])),9),_Stanine,2),5),"")</f>
        <v>6</v>
      </c>
      <c r="T86" s="66" t="n">
        <v>20</v>
      </c>
      <c r="U86" s="67">
        <f>IF(ISNUMBER(tblY9[[#This Row],[9B02 - Ecology
Raw Score]]),IFERROR(VLOOKUP(ROUND(STANDARDIZE(tblY9[[#This Row],[9B02 - Ecology
Raw Score]],AVERAGE(tblY9[[9B02 - Ecology
Raw Score]]),_xlfn.STDEV.P(tblY9[[9B02 - Ecology
Raw Score]])),9),_Stanine,2),5),"")</f>
        <v>6</v>
      </c>
    </row>
    <row r="87">
      <c r="A87" s="65" t="inlineStr">
        <is>
          <t>X901221644022</t>
        </is>
      </c>
      <c r="B87" s="65" t="inlineStr">
        <is>
          <t>Okafor</t>
        </is>
      </c>
      <c r="C87" s="65" t="inlineStr">
        <is>
          <t>Rosie</t>
        </is>
      </c>
      <c r="D87" s="66" t="inlineStr">
        <is>
          <t>F</t>
        </is>
      </c>
      <c r="E87" s="66" t="inlineStr">
        <is>
          <t>N</t>
        </is>
      </c>
      <c r="F87" s="66" t="inlineStr">
        <is>
          <t>N</t>
        </is>
      </c>
      <c r="G87" s="34" t="n">
        <v>97.7</v>
      </c>
      <c r="H87" s="34" t="n">
        <v>105</v>
      </c>
      <c r="I87" s="67">
        <f>IF(ISNUMBER(tblY9[[#This Row],[Avg KS2]]),IFERROR(VLOOKUP(ROUND(STANDARDIZE(tblY9[[#This Row],[Avg KS2]],AVERAGE(tblY9[[Avg KS2]]),_xlfn.STDEV.P(tblY9[[Avg KS2]])),9),_Stanine,2),5),"")</f>
        <v>4</v>
      </c>
      <c r="J87" s="66" t="inlineStr">
        <is>
          <t>9B/Sc1</t>
        </is>
      </c>
      <c r="K87" s="67">
        <f>IF(tblY9[[#This Row],[Preferred Last name]]="","",COUNTIFS($N$1:$ZZ$1,"*"&amp;CHAR(10)&amp;"Stanine",$N87:$ZZ87,"&gt;=1"))</f>
        <v>4</v>
      </c>
      <c r="L87" s="68">
        <f>IFERROR(AVERAGEIF($N$1:$ZZ$1,"*"&amp;CHAR(10)&amp;"Stanine",$N87:$ZZ87),"")</f>
        <v>5.25</v>
      </c>
      <c r="M87" s="69">
        <f>IF(AND(ISNUMBER(tblY9[[#This Row],[Mean Stanine]]),ISNUMBER(tblY9[[#This Row],[Avg KS2 Band]]),ISNUMBER(SlopeY9)),tblY9[[#This Row],[Mean Stanine]]-(InterceptY9+SlopeY9*tblY9[[#This Row],[Avg KS2 Band]]),"")</f>
        <v>0.939843017806935</v>
      </c>
      <c r="N87" s="66" t="n">
        <v>24</v>
      </c>
      <c r="O87" s="67">
        <f>IF(ISNUMBER(tblY9[[#This Row],[9B01 - Genetics
Raw Score]]),IFERROR(VLOOKUP(ROUND(STANDARDIZE(tblY9[[#This Row],[9B01 - Genetics
Raw Score]],AVERAGE(tblY9[[9B01 - Genetics
Raw Score]]),_xlfn.STDEV.P(tblY9[[9B01 - Genetics
Raw Score]])),9),_Stanine,2),5),"")</f>
        <v>6</v>
      </c>
      <c r="P87" s="66" t="n">
        <v>22</v>
      </c>
      <c r="Q87" s="67">
        <f>IF(ISNUMBER(tblY9[[#This Row],[9C01 - Chemical Reactions
Raw Score]]),IFERROR(VLOOKUP(ROUND(STANDARDIZE(tblY9[[#This Row],[9C01 - Chemical Reactions
Raw Score]],AVERAGE(tblY9[[9C01 - Chemical Reactions
Raw Score]]),_xlfn.STDEV.P(tblY9[[9C01 - Chemical Reactions
Raw Score]])),9),_Stanine,2),5),"")</f>
        <v>5</v>
      </c>
      <c r="R87" s="66" t="n">
        <v>19</v>
      </c>
      <c r="S87" s="67">
        <f>IF(ISNUMBER(tblY9[[#This Row],[9P01 - Electricity
Raw Score]]),IFERROR(VLOOKUP(ROUND(STANDARDIZE(tblY9[[#This Row],[9P01 - Electricity
Raw Score]],AVERAGE(tblY9[[9P01 - Electricity
Raw Score]]),_xlfn.STDEV.P(tblY9[[9P01 - Electricity
Raw Score]])),9),_Stanine,2),5),"")</f>
        <v>4</v>
      </c>
      <c r="T87" s="66" t="n">
        <v>19</v>
      </c>
      <c r="U87" s="67">
        <f>IF(ISNUMBER(tblY9[[#This Row],[9B02 - Ecology
Raw Score]]),IFERROR(VLOOKUP(ROUND(STANDARDIZE(tblY9[[#This Row],[9B02 - Ecology
Raw Score]],AVERAGE(tblY9[[9B02 - Ecology
Raw Score]]),_xlfn.STDEV.P(tblY9[[9B02 - Ecology
Raw Score]])),9),_Stanine,2),5),"")</f>
        <v>6</v>
      </c>
    </row>
    <row r="88">
      <c r="A88" s="65" t="inlineStr">
        <is>
          <t>X906195239259</t>
        </is>
      </c>
      <c r="B88" s="65" t="inlineStr">
        <is>
          <t>Price</t>
        </is>
      </c>
      <c r="C88" s="65" t="inlineStr">
        <is>
          <t>Ibrahim</t>
        </is>
      </c>
      <c r="D88" s="66" t="inlineStr">
        <is>
          <t>F</t>
        </is>
      </c>
      <c r="E88" s="66" t="n"/>
      <c r="F88" s="66" t="inlineStr">
        <is>
          <t>N</t>
        </is>
      </c>
      <c r="G88" s="34" t="n">
        <v>100</v>
      </c>
      <c r="H88" s="34" t="n">
        <v>120</v>
      </c>
      <c r="I88" s="67">
        <f>IF(ISNUMBER(tblY9[[#This Row],[Avg KS2]]),IFERROR(VLOOKUP(ROUND(STANDARDIZE(tblY9[[#This Row],[Avg KS2]],AVERAGE(tblY9[[Avg KS2]]),_xlfn.STDEV.P(tblY9[[Avg KS2]])),9),_Stanine,2),5),"")</f>
        <v>9</v>
      </c>
      <c r="J88" s="66" t="inlineStr">
        <is>
          <t>9B/Sc1</t>
        </is>
      </c>
      <c r="K88" s="67">
        <f>IF(tblY9[[#This Row],[Preferred Last name]]="","",COUNTIFS($N$1:$ZZ$1,"*"&amp;CHAR(10)&amp;"Stanine",$N88:$ZZ88,"&gt;=1"))</f>
        <v>4</v>
      </c>
      <c r="L88" s="68">
        <f>IFERROR(AVERAGEIF($N$1:$ZZ$1,"*"&amp;CHAR(10)&amp;"Stanine",$N88:$ZZ88),"")</f>
        <v>8</v>
      </c>
      <c r="M88" s="69">
        <f>IF(AND(ISNUMBER(tblY9[[#This Row],[Mean Stanine]]),ISNUMBER(tblY9[[#This Row],[Avg KS2 Band]]),ISNUMBER(SlopeY9)),tblY9[[#This Row],[Mean Stanine]]-(InterceptY9+SlopeY9*tblY9[[#This Row],[Avg KS2 Band]]),"")</f>
        <v>-0.127225866916589</v>
      </c>
      <c r="N88" s="66" t="n">
        <v>29</v>
      </c>
      <c r="O88" s="67">
        <f>IF(ISNUMBER(tblY9[[#This Row],[9B01 - Genetics
Raw Score]]),IFERROR(VLOOKUP(ROUND(STANDARDIZE(tblY9[[#This Row],[9B01 - Genetics
Raw Score]],AVERAGE(tblY9[[9B01 - Genetics
Raw Score]]),_xlfn.STDEV.P(tblY9[[9B01 - Genetics
Raw Score]])),9),_Stanine,2),5),"")</f>
        <v>8</v>
      </c>
      <c r="P88" s="66" t="n">
        <v>30</v>
      </c>
      <c r="Q88" s="67">
        <f>IF(ISNUMBER(tblY9[[#This Row],[9C01 - Chemical Reactions
Raw Score]]),IFERROR(VLOOKUP(ROUND(STANDARDIZE(tblY9[[#This Row],[9C01 - Chemical Reactions
Raw Score]],AVERAGE(tblY9[[9C01 - Chemical Reactions
Raw Score]]),_xlfn.STDEV.P(tblY9[[9C01 - Chemical Reactions
Raw Score]])),9),_Stanine,2),5),"")</f>
        <v>8</v>
      </c>
      <c r="R88" s="66" t="n">
        <v>28</v>
      </c>
      <c r="S88" s="67">
        <f>IF(ISNUMBER(tblY9[[#This Row],[9P01 - Electricity
Raw Score]]),IFERROR(VLOOKUP(ROUND(STANDARDIZE(tblY9[[#This Row],[9P01 - Electricity
Raw Score]],AVERAGE(tblY9[[9P01 - Electricity
Raw Score]]),_xlfn.STDEV.P(tblY9[[9P01 - Electricity
Raw Score]])),9),_Stanine,2),5),"")</f>
        <v>8</v>
      </c>
      <c r="T88" s="66" t="n">
        <v>24</v>
      </c>
      <c r="U88" s="67">
        <f>IF(ISNUMBER(tblY9[[#This Row],[9B02 - Ecology
Raw Score]]),IFERROR(VLOOKUP(ROUND(STANDARDIZE(tblY9[[#This Row],[9B02 - Ecology
Raw Score]],AVERAGE(tblY9[[9B02 - Ecology
Raw Score]]),_xlfn.STDEV.P(tblY9[[9B02 - Ecology
Raw Score]])),9),_Stanine,2),5),"")</f>
        <v>8</v>
      </c>
    </row>
    <row r="89">
      <c r="A89" s="65" t="inlineStr">
        <is>
          <t>X908179463436</t>
        </is>
      </c>
      <c r="B89" s="65" t="inlineStr">
        <is>
          <t>Robinson</t>
        </is>
      </c>
      <c r="C89" s="65" t="inlineStr">
        <is>
          <t>Kai</t>
        </is>
      </c>
      <c r="D89" s="66" t="inlineStr">
        <is>
          <t>F</t>
        </is>
      </c>
      <c r="E89" s="66" t="n"/>
      <c r="F89" s="66" t="inlineStr">
        <is>
          <t>N</t>
        </is>
      </c>
      <c r="G89" s="34" t="n">
        <v>100</v>
      </c>
      <c r="H89" s="34" t="n">
        <v>110</v>
      </c>
      <c r="I89" s="67">
        <f>IF(ISNUMBER(tblY9[[#This Row],[Avg KS2]]),IFERROR(VLOOKUP(ROUND(STANDARDIZE(tblY9[[#This Row],[Avg KS2]],AVERAGE(tblY9[[Avg KS2]]),_xlfn.STDEV.P(tblY9[[Avg KS2]])),9),_Stanine,2),5),"")</f>
        <v>6</v>
      </c>
      <c r="J89" s="66" t="inlineStr">
        <is>
          <t>9B/Sc1</t>
        </is>
      </c>
      <c r="K89" s="67">
        <f>IF(tblY9[[#This Row],[Preferred Last name]]="","",COUNTIFS($N$1:$ZZ$1,"*"&amp;CHAR(10)&amp;"Stanine",$N89:$ZZ89,"&gt;=1"))</f>
        <v>4</v>
      </c>
      <c r="L89" s="68">
        <f>IFERROR(AVERAGEIF($N$1:$ZZ$1,"*"&amp;CHAR(10)&amp;"Stanine",$N89:$ZZ89),"")</f>
        <v>7</v>
      </c>
      <c r="M89" s="69">
        <f>IF(AND(ISNUMBER(tblY9[[#This Row],[Mean Stanine]]),ISNUMBER(tblY9[[#This Row],[Avg KS2 Band]]),ISNUMBER(SlopeY9)),tblY9[[#This Row],[Mean Stanine]]-(InterceptY9+SlopeY9*tblY9[[#This Row],[Avg KS2 Band]]),"")</f>
        <v>1.16301546391753</v>
      </c>
      <c r="N89" s="66" t="n">
        <v>27</v>
      </c>
      <c r="O89" s="67">
        <f>IF(ISNUMBER(tblY9[[#This Row],[9B01 - Genetics
Raw Score]]),IFERROR(VLOOKUP(ROUND(STANDARDIZE(tblY9[[#This Row],[9B01 - Genetics
Raw Score]],AVERAGE(tblY9[[9B01 - Genetics
Raw Score]]),_xlfn.STDEV.P(tblY9[[9B01 - Genetics
Raw Score]])),9),_Stanine,2),5),"")</f>
        <v>7</v>
      </c>
      <c r="P89" s="66" t="n">
        <v>28</v>
      </c>
      <c r="Q89" s="67">
        <f>IF(ISNUMBER(tblY9[[#This Row],[9C01 - Chemical Reactions
Raw Score]]),IFERROR(VLOOKUP(ROUND(STANDARDIZE(tblY9[[#This Row],[9C01 - Chemical Reactions
Raw Score]],AVERAGE(tblY9[[9C01 - Chemical Reactions
Raw Score]]),_xlfn.STDEV.P(tblY9[[9C01 - Chemical Reactions
Raw Score]])),9),_Stanine,2),5),"")</f>
        <v>7</v>
      </c>
      <c r="R89" s="66" t="n">
        <v>25</v>
      </c>
      <c r="S89" s="67">
        <f>IF(ISNUMBER(tblY9[[#This Row],[9P01 - Electricity
Raw Score]]),IFERROR(VLOOKUP(ROUND(STANDARDIZE(tblY9[[#This Row],[9P01 - Electricity
Raw Score]],AVERAGE(tblY9[[9P01 - Electricity
Raw Score]]),_xlfn.STDEV.P(tblY9[[9P01 - Electricity
Raw Score]])),9),_Stanine,2),5),"")</f>
        <v>7</v>
      </c>
      <c r="T89" s="66" t="n">
        <v>22</v>
      </c>
      <c r="U89" s="67">
        <f>IF(ISNUMBER(tblY9[[#This Row],[9B02 - Ecology
Raw Score]]),IFERROR(VLOOKUP(ROUND(STANDARDIZE(tblY9[[#This Row],[9B02 - Ecology
Raw Score]],AVERAGE(tblY9[[9B02 - Ecology
Raw Score]]),_xlfn.STDEV.P(tblY9[[9B02 - Ecology
Raw Score]])),9),_Stanine,2),5),"")</f>
        <v>7</v>
      </c>
    </row>
    <row r="90">
      <c r="A90" s="65" t="inlineStr">
        <is>
          <t>X900974771627</t>
        </is>
      </c>
      <c r="B90" s="65" t="inlineStr">
        <is>
          <t>Shaw</t>
        </is>
      </c>
      <c r="C90" s="65" t="inlineStr">
        <is>
          <t>Maisie</t>
        </is>
      </c>
      <c r="D90" s="66" t="inlineStr">
        <is>
          <t>M</t>
        </is>
      </c>
      <c r="E90" s="66" t="inlineStr">
        <is>
          <t>K</t>
        </is>
      </c>
      <c r="F90" s="66" t="inlineStr">
        <is>
          <t>N</t>
        </is>
      </c>
      <c r="G90" s="34" t="n">
        <v>88.3</v>
      </c>
      <c r="H90" s="34" t="n">
        <v>104</v>
      </c>
      <c r="I90" s="67">
        <f>IF(ISNUMBER(tblY9[[#This Row],[Avg KS2]]),IFERROR(VLOOKUP(ROUND(STANDARDIZE(tblY9[[#This Row],[Avg KS2]],AVERAGE(tblY9[[Avg KS2]]),_xlfn.STDEV.P(tblY9[[Avg KS2]])),9),_Stanine,2),5),"")</f>
        <v>4</v>
      </c>
      <c r="J90" s="66" t="inlineStr">
        <is>
          <t>9B/Sc1</t>
        </is>
      </c>
      <c r="K90" s="67">
        <f>IF(tblY9[[#This Row],[Preferred Last name]]="","",COUNTIFS($N$1:$ZZ$1,"*"&amp;CHAR(10)&amp;"Stanine",$N90:$ZZ90,"&gt;=1"))</f>
        <v>4</v>
      </c>
      <c r="L90" s="68">
        <f>IFERROR(AVERAGEIF($N$1:$ZZ$1,"*"&amp;CHAR(10)&amp;"Stanine",$N90:$ZZ90),"")</f>
        <v>4.25</v>
      </c>
      <c r="M90" s="69">
        <f>IF(AND(ISNUMBER(tblY9[[#This Row],[Mean Stanine]]),ISNUMBER(tblY9[[#This Row],[Avg KS2 Band]]),ISNUMBER(SlopeY9)),tblY9[[#This Row],[Mean Stanine]]-(InterceptY9+SlopeY9*tblY9[[#This Row],[Avg KS2 Band]]),"")</f>
        <v>-0.0601569821930648</v>
      </c>
      <c r="N90" s="66" t="n">
        <v>20</v>
      </c>
      <c r="O90" s="67">
        <f>IF(ISNUMBER(tblY9[[#This Row],[9B01 - Genetics
Raw Score]]),IFERROR(VLOOKUP(ROUND(STANDARDIZE(tblY9[[#This Row],[9B01 - Genetics
Raw Score]],AVERAGE(tblY9[[9B01 - Genetics
Raw Score]]),_xlfn.STDEV.P(tblY9[[9B01 - Genetics
Raw Score]])),9),_Stanine,2),5),"")</f>
        <v>5</v>
      </c>
      <c r="P90" s="66" t="n">
        <v>16</v>
      </c>
      <c r="Q90" s="67">
        <f>IF(ISNUMBER(tblY9[[#This Row],[9C01 - Chemical Reactions
Raw Score]]),IFERROR(VLOOKUP(ROUND(STANDARDIZE(tblY9[[#This Row],[9C01 - Chemical Reactions
Raw Score]],AVERAGE(tblY9[[9C01 - Chemical Reactions
Raw Score]]),_xlfn.STDEV.P(tblY9[[9C01 - Chemical Reactions
Raw Score]])),9),_Stanine,2),5),"")</f>
        <v>3</v>
      </c>
      <c r="R90" s="66" t="n">
        <v>18</v>
      </c>
      <c r="S90" s="67">
        <f>IF(ISNUMBER(tblY9[[#This Row],[9P01 - Electricity
Raw Score]]),IFERROR(VLOOKUP(ROUND(STANDARDIZE(tblY9[[#This Row],[9P01 - Electricity
Raw Score]],AVERAGE(tblY9[[9P01 - Electricity
Raw Score]]),_xlfn.STDEV.P(tblY9[[9P01 - Electricity
Raw Score]])),9),_Stanine,2),5),"")</f>
        <v>4</v>
      </c>
      <c r="T90" s="66" t="n">
        <v>18</v>
      </c>
      <c r="U90" s="67">
        <f>IF(ISNUMBER(tblY9[[#This Row],[9B02 - Ecology
Raw Score]]),IFERROR(VLOOKUP(ROUND(STANDARDIZE(tblY9[[#This Row],[9B02 - Ecology
Raw Score]],AVERAGE(tblY9[[9B02 - Ecology
Raw Score]]),_xlfn.STDEV.P(tblY9[[9B02 - Ecology
Raw Score]])),9),_Stanine,2),5),"")</f>
        <v>5</v>
      </c>
    </row>
    <row r="91">
      <c r="A91" s="65" t="inlineStr">
        <is>
          <t>X903266358614</t>
        </is>
      </c>
      <c r="B91" s="65" t="inlineStr">
        <is>
          <t>Smith</t>
        </is>
      </c>
      <c r="C91" s="65" t="inlineStr">
        <is>
          <t>Leo</t>
        </is>
      </c>
      <c r="D91" s="66" t="inlineStr">
        <is>
          <t>M</t>
        </is>
      </c>
      <c r="E91" s="66" t="inlineStr">
        <is>
          <t>N</t>
        </is>
      </c>
      <c r="F91" s="66" t="inlineStr">
        <is>
          <t>Y</t>
        </is>
      </c>
      <c r="G91" s="34" t="n">
        <v>83</v>
      </c>
      <c r="H91" s="34" t="n">
        <v>102.5</v>
      </c>
      <c r="I91" s="67">
        <f>IF(ISNUMBER(tblY9[[#This Row],[Avg KS2]]),IFERROR(VLOOKUP(ROUND(STANDARDIZE(tblY9[[#This Row],[Avg KS2]],AVERAGE(tblY9[[Avg KS2]]),_xlfn.STDEV.P(tblY9[[Avg KS2]])),9),_Stanine,2),5),"")</f>
        <v>3</v>
      </c>
      <c r="J91" s="66" t="inlineStr">
        <is>
          <t>9B/Sc1</t>
        </is>
      </c>
      <c r="K91" s="67">
        <f>IF(tblY9[[#This Row],[Preferred Last name]]="","",COUNTIFS($N$1:$ZZ$1,"*"&amp;CHAR(10)&amp;"Stanine",$N91:$ZZ91,"&gt;=1"))</f>
        <v>4</v>
      </c>
      <c r="L91" s="68">
        <f>IFERROR(AVERAGEIF($N$1:$ZZ$1,"*"&amp;CHAR(10)&amp;"Stanine",$N91:$ZZ91),"")</f>
        <v>4.5</v>
      </c>
      <c r="M91" s="69">
        <f>IF(AND(ISNUMBER(tblY9[[#This Row],[Mean Stanine]]),ISNUMBER(tblY9[[#This Row],[Avg KS2 Band]]),ISNUMBER(SlopeY9)),tblY9[[#This Row],[Mean Stanine]]-(InterceptY9+SlopeY9*tblY9[[#This Row],[Avg KS2 Band]]),"")</f>
        <v>0.95325679475164</v>
      </c>
      <c r="N91" s="66" t="n">
        <v>17</v>
      </c>
      <c r="O91" s="67">
        <f>IF(ISNUMBER(tblY9[[#This Row],[9B01 - Genetics
Raw Score]]),IFERROR(VLOOKUP(ROUND(STANDARDIZE(tblY9[[#This Row],[9B01 - Genetics
Raw Score]],AVERAGE(tblY9[[9B01 - Genetics
Raw Score]]),_xlfn.STDEV.P(tblY9[[9B01 - Genetics
Raw Score]])),9),_Stanine,2),5),"")</f>
        <v>4</v>
      </c>
      <c r="P91" s="66" t="n">
        <v>21</v>
      </c>
      <c r="Q91" s="67">
        <f>IF(ISNUMBER(tblY9[[#This Row],[9C01 - Chemical Reactions
Raw Score]]),IFERROR(VLOOKUP(ROUND(STANDARDIZE(tblY9[[#This Row],[9C01 - Chemical Reactions
Raw Score]],AVERAGE(tblY9[[9C01 - Chemical Reactions
Raw Score]]),_xlfn.STDEV.P(tblY9[[9C01 - Chemical Reactions
Raw Score]])),9),_Stanine,2),5),"")</f>
        <v>5</v>
      </c>
      <c r="R91" s="66" t="n">
        <v>18</v>
      </c>
      <c r="S91" s="67">
        <f>IF(ISNUMBER(tblY9[[#This Row],[9P01 - Electricity
Raw Score]]),IFERROR(VLOOKUP(ROUND(STANDARDIZE(tblY9[[#This Row],[9P01 - Electricity
Raw Score]],AVERAGE(tblY9[[9P01 - Electricity
Raw Score]]),_xlfn.STDEV.P(tblY9[[9P01 - Electricity
Raw Score]])),9),_Stanine,2),5),"")</f>
        <v>4</v>
      </c>
      <c r="T91" s="66" t="n">
        <v>18</v>
      </c>
      <c r="U91" s="67">
        <f>IF(ISNUMBER(tblY9[[#This Row],[9B02 - Ecology
Raw Score]]),IFERROR(VLOOKUP(ROUND(STANDARDIZE(tblY9[[#This Row],[9B02 - Ecology
Raw Score]],AVERAGE(tblY9[[9B02 - Ecology
Raw Score]]),_xlfn.STDEV.P(tblY9[[9B02 - Ecology
Raw Score]])),9),_Stanine,2),5),"")</f>
        <v>5</v>
      </c>
    </row>
    <row r="92">
      <c r="A92" s="65" t="inlineStr">
        <is>
          <t>X903754594210</t>
        </is>
      </c>
      <c r="B92" s="65" t="inlineStr">
        <is>
          <t>Thompson</t>
        </is>
      </c>
      <c r="C92" s="65" t="inlineStr">
        <is>
          <t>Jacob</t>
        </is>
      </c>
      <c r="D92" s="66" t="inlineStr">
        <is>
          <t>F</t>
        </is>
      </c>
      <c r="E92" s="66" t="inlineStr">
        <is>
          <t>N</t>
        </is>
      </c>
      <c r="F92" s="66" t="inlineStr">
        <is>
          <t>N</t>
        </is>
      </c>
      <c r="G92" s="34" t="n">
        <v>91.8</v>
      </c>
      <c r="H92" s="34" t="n">
        <v>109.5</v>
      </c>
      <c r="I92" s="67">
        <f>IF(ISNUMBER(tblY9[[#This Row],[Avg KS2]]),IFERROR(VLOOKUP(ROUND(STANDARDIZE(tblY9[[#This Row],[Avg KS2]],AVERAGE(tblY9[[Avg KS2]]),_xlfn.STDEV.P(tblY9[[Avg KS2]])),9),_Stanine,2),5),"")</f>
        <v>6</v>
      </c>
      <c r="J92" s="66" t="inlineStr">
        <is>
          <t>9B/Sc1</t>
        </is>
      </c>
      <c r="K92" s="67">
        <f>IF(tblY9[[#This Row],[Preferred Last name]]="","",COUNTIFS($N$1:$ZZ$1,"*"&amp;CHAR(10)&amp;"Stanine",$N92:$ZZ92,"&gt;=1"))</f>
        <v>4</v>
      </c>
      <c r="L92" s="68">
        <f>IFERROR(AVERAGEIF($N$1:$ZZ$1,"*"&amp;CHAR(10)&amp;"Stanine",$N92:$ZZ92),"")</f>
        <v>5.25</v>
      </c>
      <c r="M92" s="69">
        <f>IF(AND(ISNUMBER(tblY9[[#This Row],[Mean Stanine]]),ISNUMBER(tblY9[[#This Row],[Avg KS2 Band]]),ISNUMBER(SlopeY9)),tblY9[[#This Row],[Mean Stanine]]-(InterceptY9+SlopeY9*tblY9[[#This Row],[Avg KS2 Band]]),"")</f>
        <v>-0.586984536082474</v>
      </c>
      <c r="N92" s="66" t="n">
        <v>21</v>
      </c>
      <c r="O92" s="67">
        <f>IF(ISNUMBER(tblY9[[#This Row],[9B01 - Genetics
Raw Score]]),IFERROR(VLOOKUP(ROUND(STANDARDIZE(tblY9[[#This Row],[9B01 - Genetics
Raw Score]],AVERAGE(tblY9[[9B01 - Genetics
Raw Score]]),_xlfn.STDEV.P(tblY9[[9B01 - Genetics
Raw Score]])),9),_Stanine,2),5),"")</f>
        <v>5</v>
      </c>
      <c r="P92" s="66" t="n">
        <v>23</v>
      </c>
      <c r="Q92" s="67">
        <f>IF(ISNUMBER(tblY9[[#This Row],[9C01 - Chemical Reactions
Raw Score]]),IFERROR(VLOOKUP(ROUND(STANDARDIZE(tblY9[[#This Row],[9C01 - Chemical Reactions
Raw Score]],AVERAGE(tblY9[[9C01 - Chemical Reactions
Raw Score]]),_xlfn.STDEV.P(tblY9[[9C01 - Chemical Reactions
Raw Score]])),9),_Stanine,2),5),"")</f>
        <v>6</v>
      </c>
      <c r="R92" s="66" t="n">
        <v>21</v>
      </c>
      <c r="S92" s="67">
        <f>IF(ISNUMBER(tblY9[[#This Row],[9P01 - Electricity
Raw Score]]),IFERROR(VLOOKUP(ROUND(STANDARDIZE(tblY9[[#This Row],[9P01 - Electricity
Raw Score]],AVERAGE(tblY9[[9P01 - Electricity
Raw Score]]),_xlfn.STDEV.P(tblY9[[9P01 - Electricity
Raw Score]])),9),_Stanine,2),5),"")</f>
        <v>5</v>
      </c>
      <c r="T92" s="66" t="n">
        <v>17</v>
      </c>
      <c r="U92" s="67">
        <f>IF(ISNUMBER(tblY9[[#This Row],[9B02 - Ecology
Raw Score]]),IFERROR(VLOOKUP(ROUND(STANDARDIZE(tblY9[[#This Row],[9B02 - Ecology
Raw Score]],AVERAGE(tblY9[[9B02 - Ecology
Raw Score]]),_xlfn.STDEV.P(tblY9[[9B02 - Ecology
Raw Score]])),9),_Stanine,2),5),"")</f>
        <v>5</v>
      </c>
    </row>
    <row r="93">
      <c r="A93" s="65" t="inlineStr">
        <is>
          <t>X908213914289</t>
        </is>
      </c>
      <c r="B93" s="65" t="inlineStr">
        <is>
          <t>Ward</t>
        </is>
      </c>
      <c r="C93" s="65" t="inlineStr">
        <is>
          <t>Megan</t>
        </is>
      </c>
      <c r="D93" s="66" t="inlineStr">
        <is>
          <t>F</t>
        </is>
      </c>
      <c r="E93" s="66" t="n"/>
      <c r="F93" s="66" t="inlineStr">
        <is>
          <t>N</t>
        </is>
      </c>
      <c r="G93" s="34" t="n">
        <v>87.7</v>
      </c>
      <c r="H93" s="34" t="n">
        <v>109</v>
      </c>
      <c r="I93" s="67">
        <f>IF(ISNUMBER(tblY9[[#This Row],[Avg KS2]]),IFERROR(VLOOKUP(ROUND(STANDARDIZE(tblY9[[#This Row],[Avg KS2]],AVERAGE(tblY9[[Avg KS2]]),_xlfn.STDEV.P(tblY9[[Avg KS2]])),9),_Stanine,2),5),"")</f>
        <v>6</v>
      </c>
      <c r="J93" s="66" t="inlineStr">
        <is>
          <t>9B/Sc1</t>
        </is>
      </c>
      <c r="K93" s="67">
        <f>IF(tblY9[[#This Row],[Preferred Last name]]="","",COUNTIFS($N$1:$ZZ$1,"*"&amp;CHAR(10)&amp;"Stanine",$N93:$ZZ93,"&gt;=1"))</f>
        <v>3</v>
      </c>
      <c r="L93" s="68">
        <f>IFERROR(AVERAGEIF($N$1:$ZZ$1,"*"&amp;CHAR(10)&amp;"Stanine",$N93:$ZZ93),"")</f>
        <v>5.33333333333333</v>
      </c>
      <c r="M93" s="69">
        <f>IF(AND(ISNUMBER(tblY9[[#This Row],[Mean Stanine]]),ISNUMBER(tblY9[[#This Row],[Avg KS2 Band]]),ISNUMBER(SlopeY9)),tblY9[[#This Row],[Mean Stanine]]-(InterceptY9+SlopeY9*tblY9[[#This Row],[Avg KS2 Band]]),"")</f>
        <v>-0.503651202749141</v>
      </c>
      <c r="N93" s="66" t="inlineStr">
        <is>
          <t>A</t>
        </is>
      </c>
      <c r="O93" s="67" t="str">
        <f>IF(ISNUMBER(tblY9[[#This Row],[9B01 - Genetics
Raw Score]]),IFERROR(VLOOKUP(ROUND(STANDARDIZE(tblY9[[#This Row],[9B01 - Genetics
Raw Score]],AVERAGE(tblY9[[9B01 - Genetics
Raw Score]]),_xlfn.STDEV.P(tblY9[[9B01 - Genetics
Raw Score]])),9),_Stanine,2),5),"")</f>
        <v/>
      </c>
      <c r="P93" s="66" t="n">
        <v>22</v>
      </c>
      <c r="Q93" s="67">
        <f>IF(ISNUMBER(tblY9[[#This Row],[9C01 - Chemical Reactions
Raw Score]]),IFERROR(VLOOKUP(ROUND(STANDARDIZE(tblY9[[#This Row],[9C01 - Chemical Reactions
Raw Score]],AVERAGE(tblY9[[9C01 - Chemical Reactions
Raw Score]]),_xlfn.STDEV.P(tblY9[[9C01 - Chemical Reactions
Raw Score]])),9),_Stanine,2),5),"")</f>
        <v>5</v>
      </c>
      <c r="R93" s="66" t="n">
        <v>21</v>
      </c>
      <c r="S93" s="67">
        <f>IF(ISNUMBER(tblY9[[#This Row],[9P01 - Electricity
Raw Score]]),IFERROR(VLOOKUP(ROUND(STANDARDIZE(tblY9[[#This Row],[9P01 - Electricity
Raw Score]],AVERAGE(tblY9[[9P01 - Electricity
Raw Score]]),_xlfn.STDEV.P(tblY9[[9P01 - Electricity
Raw Score]])),9),_Stanine,2),5),"")</f>
        <v>5</v>
      </c>
      <c r="T93" s="66" t="n">
        <v>19</v>
      </c>
      <c r="U93" s="67">
        <f>IF(ISNUMBER(tblY9[[#This Row],[9B02 - Ecology
Raw Score]]),IFERROR(VLOOKUP(ROUND(STANDARDIZE(tblY9[[#This Row],[9B02 - Ecology
Raw Score]],AVERAGE(tblY9[[9B02 - Ecology
Raw Score]]),_xlfn.STDEV.P(tblY9[[9B02 - Ecology
Raw Score]])),9),_Stanine,2),5),"")</f>
        <v>6</v>
      </c>
    </row>
    <row r="94">
      <c r="A94" s="65" t="inlineStr">
        <is>
          <t>X907953572438</t>
        </is>
      </c>
      <c r="B94" s="65" t="inlineStr">
        <is>
          <t>Wilson</t>
        </is>
      </c>
      <c r="C94" s="65" t="inlineStr">
        <is>
          <t>George</t>
        </is>
      </c>
      <c r="D94" s="66" t="inlineStr">
        <is>
          <t>F</t>
        </is>
      </c>
      <c r="E94" s="66" t="inlineStr">
        <is>
          <t>K</t>
        </is>
      </c>
      <c r="F94" s="66" t="inlineStr">
        <is>
          <t>N</t>
        </is>
      </c>
      <c r="G94" s="34" t="n">
        <v>100</v>
      </c>
      <c r="H94" s="34" t="n">
        <v>113</v>
      </c>
      <c r="I94" s="67">
        <f>IF(ISNUMBER(tblY9[[#This Row],[Avg KS2]]),IFERROR(VLOOKUP(ROUND(STANDARDIZE(tblY9[[#This Row],[Avg KS2]],AVERAGE(tblY9[[Avg KS2]]),_xlfn.STDEV.P(tblY9[[Avg KS2]])),9),_Stanine,2),5),"")</f>
        <v>7</v>
      </c>
      <c r="J94" s="66" t="inlineStr">
        <is>
          <t>9B/Sc1</t>
        </is>
      </c>
      <c r="K94" s="67">
        <f>IF(tblY9[[#This Row],[Preferred Last name]]="","",COUNTIFS($N$1:$ZZ$1,"*"&amp;CHAR(10)&amp;"Stanine",$N94:$ZZ94,"&gt;=1"))</f>
        <v>4</v>
      </c>
      <c r="L94" s="68">
        <f>IFERROR(AVERAGEIF($N$1:$ZZ$1,"*"&amp;CHAR(10)&amp;"Stanine",$N94:$ZZ94),"")</f>
        <v>7</v>
      </c>
      <c r="M94" s="69">
        <f>IF(AND(ISNUMBER(tblY9[[#This Row],[Mean Stanine]]),ISNUMBER(tblY9[[#This Row],[Avg KS2 Band]]),ISNUMBER(SlopeY9)),tblY9[[#This Row],[Mean Stanine]]-(InterceptY9+SlopeY9*tblY9[[#This Row],[Avg KS2 Band]]),"")</f>
        <v>0.399601686972821</v>
      </c>
      <c r="N94" s="66" t="n">
        <v>27</v>
      </c>
      <c r="O94" s="67">
        <f>IF(ISNUMBER(tblY9[[#This Row],[9B01 - Genetics
Raw Score]]),IFERROR(VLOOKUP(ROUND(STANDARDIZE(tblY9[[#This Row],[9B01 - Genetics
Raw Score]],AVERAGE(tblY9[[9B01 - Genetics
Raw Score]]),_xlfn.STDEV.P(tblY9[[9B01 - Genetics
Raw Score]])),9),_Stanine,2),5),"")</f>
        <v>7</v>
      </c>
      <c r="P94" s="66" t="n">
        <v>27</v>
      </c>
      <c r="Q94" s="67">
        <f>IF(ISNUMBER(tblY9[[#This Row],[9C01 - Chemical Reactions
Raw Score]]),IFERROR(VLOOKUP(ROUND(STANDARDIZE(tblY9[[#This Row],[9C01 - Chemical Reactions
Raw Score]],AVERAGE(tblY9[[9C01 - Chemical Reactions
Raw Score]]),_xlfn.STDEV.P(tblY9[[9C01 - Chemical Reactions
Raw Score]])),9),_Stanine,2),5),"")</f>
        <v>7</v>
      </c>
      <c r="R94" s="66" t="n">
        <v>26</v>
      </c>
      <c r="S94" s="67">
        <f>IF(ISNUMBER(tblY9[[#This Row],[9P01 - Electricity
Raw Score]]),IFERROR(VLOOKUP(ROUND(STANDARDIZE(tblY9[[#This Row],[9P01 - Electricity
Raw Score]],AVERAGE(tblY9[[9P01 - Electricity
Raw Score]]),_xlfn.STDEV.P(tblY9[[9P01 - Electricity
Raw Score]])),9),_Stanine,2),5),"")</f>
        <v>7</v>
      </c>
      <c r="T94" s="66" t="n">
        <v>23</v>
      </c>
      <c r="U94" s="67">
        <f>IF(ISNUMBER(tblY9[[#This Row],[9B02 - Ecology
Raw Score]]),IFERROR(VLOOKUP(ROUND(STANDARDIZE(tblY9[[#This Row],[9B02 - Ecology
Raw Score]],AVERAGE(tblY9[[9B02 - Ecology
Raw Score]]),_xlfn.STDEV.P(tblY9[[9B02 - Ecology
Raw Score]])),9),_Stanine,2),5),"")</f>
        <v>7</v>
      </c>
    </row>
    <row r="95">
      <c r="A95" s="65" t="inlineStr">
        <is>
          <t>X909361541664</t>
        </is>
      </c>
      <c r="B95" s="65" t="inlineStr">
        <is>
          <t>Adeyemi</t>
        </is>
      </c>
      <c r="C95" s="65" t="inlineStr">
        <is>
          <t>Amelia</t>
        </is>
      </c>
      <c r="D95" s="66" t="inlineStr">
        <is>
          <t>M</t>
        </is>
      </c>
      <c r="E95" s="66" t="inlineStr">
        <is>
          <t>K</t>
        </is>
      </c>
      <c r="F95" s="66" t="inlineStr">
        <is>
          <t>Y</t>
        </is>
      </c>
      <c r="G95" s="34" t="n">
        <v>87.8</v>
      </c>
      <c r="H95" s="34" t="n">
        <v>100.5</v>
      </c>
      <c r="I95" s="67">
        <f>IF(ISNUMBER(tblY9[[#This Row],[Avg KS2]]),IFERROR(VLOOKUP(ROUND(STANDARDIZE(tblY9[[#This Row],[Avg KS2]],AVERAGE(tblY9[[Avg KS2]]),_xlfn.STDEV.P(tblY9[[Avg KS2]])),9),_Stanine,2),5),"")</f>
        <v>3</v>
      </c>
      <c r="J95" s="66" t="inlineStr">
        <is>
          <t>9B/Sc2</t>
        </is>
      </c>
      <c r="K95" s="67">
        <f>IF(tblY9[[#This Row],[Preferred Last name]]="","",COUNTIFS($N$1:$ZZ$1,"*"&amp;CHAR(10)&amp;"Stanine",$N95:$ZZ95,"&gt;=1"))</f>
        <v>4</v>
      </c>
      <c r="L95" s="68">
        <f>IFERROR(AVERAGEIF($N$1:$ZZ$1,"*"&amp;CHAR(10)&amp;"Stanine",$N95:$ZZ95),"")</f>
        <v>5</v>
      </c>
      <c r="M95" s="69">
        <f>IF(AND(ISNUMBER(tblY9[[#This Row],[Mean Stanine]]),ISNUMBER(tblY9[[#This Row],[Avg KS2 Band]]),ISNUMBER(SlopeY9)),tblY9[[#This Row],[Mean Stanine]]-(InterceptY9+SlopeY9*tblY9[[#This Row],[Avg KS2 Band]]),"")</f>
        <v>1.45325679475164</v>
      </c>
      <c r="N95" s="66" t="n">
        <v>19</v>
      </c>
      <c r="O95" s="67">
        <f>IF(ISNUMBER(tblY9[[#This Row],[9B01 - Genetics
Raw Score]]),IFERROR(VLOOKUP(ROUND(STANDARDIZE(tblY9[[#This Row],[9B01 - Genetics
Raw Score]],AVERAGE(tblY9[[9B01 - Genetics
Raw Score]]),_xlfn.STDEV.P(tblY9[[9B01 - Genetics
Raw Score]])),9),_Stanine,2),5),"")</f>
        <v>5</v>
      </c>
      <c r="P95" s="66" t="n">
        <v>22</v>
      </c>
      <c r="Q95" s="67">
        <f>IF(ISNUMBER(tblY9[[#This Row],[9C01 - Chemical Reactions
Raw Score]]),IFERROR(VLOOKUP(ROUND(STANDARDIZE(tblY9[[#This Row],[9C01 - Chemical Reactions
Raw Score]],AVERAGE(tblY9[[9C01 - Chemical Reactions
Raw Score]]),_xlfn.STDEV.P(tblY9[[9C01 - Chemical Reactions
Raw Score]])),9),_Stanine,2),5),"")</f>
        <v>5</v>
      </c>
      <c r="R95" s="66" t="n">
        <v>19</v>
      </c>
      <c r="S95" s="67">
        <f>IF(ISNUMBER(tblY9[[#This Row],[9P01 - Electricity
Raw Score]]),IFERROR(VLOOKUP(ROUND(STANDARDIZE(tblY9[[#This Row],[9P01 - Electricity
Raw Score]],AVERAGE(tblY9[[9P01 - Electricity
Raw Score]]),_xlfn.STDEV.P(tblY9[[9P01 - Electricity
Raw Score]])),9),_Stanine,2),5),"")</f>
        <v>4</v>
      </c>
      <c r="T95" s="66" t="n">
        <v>20</v>
      </c>
      <c r="U95" s="67">
        <f>IF(ISNUMBER(tblY9[[#This Row],[9B02 - Ecology
Raw Score]]),IFERROR(VLOOKUP(ROUND(STANDARDIZE(tblY9[[#This Row],[9B02 - Ecology
Raw Score]],AVERAGE(tblY9[[9B02 - Ecology
Raw Score]]),_xlfn.STDEV.P(tblY9[[9B02 - Ecology
Raw Score]])),9),_Stanine,2),5),"")</f>
        <v>6</v>
      </c>
    </row>
    <row r="96">
      <c r="A96" s="65" t="inlineStr">
        <is>
          <t>X907197499321</t>
        </is>
      </c>
      <c r="B96" s="65" t="inlineStr">
        <is>
          <t>Ahmed</t>
        </is>
      </c>
      <c r="C96" s="65" t="inlineStr">
        <is>
          <t>George</t>
        </is>
      </c>
      <c r="D96" s="66" t="inlineStr">
        <is>
          <t>M</t>
        </is>
      </c>
      <c r="E96" s="66" t="n"/>
      <c r="F96" s="66" t="inlineStr">
        <is>
          <t>Y</t>
        </is>
      </c>
      <c r="G96" s="34" t="n">
        <v>98.2</v>
      </c>
      <c r="H96" s="34" t="n">
        <v>102.5</v>
      </c>
      <c r="I96" s="67">
        <f>IF(ISNUMBER(tblY9[[#This Row],[Avg KS2]]),IFERROR(VLOOKUP(ROUND(STANDARDIZE(tblY9[[#This Row],[Avg KS2]],AVERAGE(tblY9[[Avg KS2]]),_xlfn.STDEV.P(tblY9[[Avg KS2]])),9),_Stanine,2),5),"")</f>
        <v>3</v>
      </c>
      <c r="J96" s="66" t="inlineStr">
        <is>
          <t>9B/Sc2</t>
        </is>
      </c>
      <c r="K96" s="67">
        <f>IF(tblY9[[#This Row],[Preferred Last name]]="","",COUNTIFS($N$1:$ZZ$1,"*"&amp;CHAR(10)&amp;"Stanine",$N96:$ZZ96,"&gt;=1"))</f>
        <v>4</v>
      </c>
      <c r="L96" s="68">
        <f>IFERROR(AVERAGEIF($N$1:$ZZ$1,"*"&amp;CHAR(10)&amp;"Stanine",$N96:$ZZ96),"")</f>
        <v>1</v>
      </c>
      <c r="M96" s="69">
        <f>IF(AND(ISNUMBER(tblY9[[#This Row],[Mean Stanine]]),ISNUMBER(tblY9[[#This Row],[Avg KS2 Band]]),ISNUMBER(SlopeY9)),tblY9[[#This Row],[Mean Stanine]]-(InterceptY9+SlopeY9*tblY9[[#This Row],[Avg KS2 Band]]),"")</f>
        <v>-2.54674320524836</v>
      </c>
      <c r="N96" s="66" t="n">
        <v>8</v>
      </c>
      <c r="O96" s="67">
        <f>IF(ISNUMBER(tblY9[[#This Row],[9B01 - Genetics
Raw Score]]),IFERROR(VLOOKUP(ROUND(STANDARDIZE(tblY9[[#This Row],[9B01 - Genetics
Raw Score]],AVERAGE(tblY9[[9B01 - Genetics
Raw Score]]),_xlfn.STDEV.P(tblY9[[9B01 - Genetics
Raw Score]])),9),_Stanine,2),5),"")</f>
        <v>1</v>
      </c>
      <c r="P96" s="66" t="n">
        <v>10</v>
      </c>
      <c r="Q96" s="67">
        <f>IF(ISNUMBER(tblY9[[#This Row],[9C01 - Chemical Reactions
Raw Score]]),IFERROR(VLOOKUP(ROUND(STANDARDIZE(tblY9[[#This Row],[9C01 - Chemical Reactions
Raw Score]],AVERAGE(tblY9[[9C01 - Chemical Reactions
Raw Score]]),_xlfn.STDEV.P(tblY9[[9C01 - Chemical Reactions
Raw Score]])),9),_Stanine,2),5),"")</f>
        <v>1</v>
      </c>
      <c r="R96" s="66" t="n">
        <v>9</v>
      </c>
      <c r="S96" s="67">
        <f>IF(ISNUMBER(tblY9[[#This Row],[9P01 - Electricity
Raw Score]]),IFERROR(VLOOKUP(ROUND(STANDARDIZE(tblY9[[#This Row],[9P01 - Electricity
Raw Score]],AVERAGE(tblY9[[9P01 - Electricity
Raw Score]]),_xlfn.STDEV.P(tblY9[[9P01 - Electricity
Raw Score]])),9),_Stanine,2),5),"")</f>
        <v>1</v>
      </c>
      <c r="T96" s="66" t="n">
        <v>9</v>
      </c>
      <c r="U96" s="67">
        <f>IF(ISNUMBER(tblY9[[#This Row],[9B02 - Ecology
Raw Score]]),IFERROR(VLOOKUP(ROUND(STANDARDIZE(tblY9[[#This Row],[9B02 - Ecology
Raw Score]],AVERAGE(tblY9[[9B02 - Ecology
Raw Score]]),_xlfn.STDEV.P(tblY9[[9B02 - Ecology
Raw Score]])),9),_Stanine,2),5),"")</f>
        <v>1</v>
      </c>
    </row>
    <row r="97">
      <c r="A97" s="65" t="inlineStr">
        <is>
          <t>X902068182736</t>
        </is>
      </c>
      <c r="B97" s="65" t="inlineStr">
        <is>
          <t>Begum</t>
        </is>
      </c>
      <c r="C97" s="65" t="inlineStr">
        <is>
          <t>Finley</t>
        </is>
      </c>
      <c r="D97" s="66" t="inlineStr">
        <is>
          <t>M</t>
        </is>
      </c>
      <c r="E97" s="66" t="inlineStr">
        <is>
          <t>N</t>
        </is>
      </c>
      <c r="F97" s="66" t="inlineStr">
        <is>
          <t>N</t>
        </is>
      </c>
      <c r="G97" s="34" t="n">
        <v>92.3</v>
      </c>
      <c r="H97" s="34" t="n">
        <v>108.5</v>
      </c>
      <c r="I97" s="67">
        <f>IF(ISNUMBER(tblY9[[#This Row],[Avg KS2]]),IFERROR(VLOOKUP(ROUND(STANDARDIZE(tblY9[[#This Row],[Avg KS2]],AVERAGE(tblY9[[Avg KS2]]),_xlfn.STDEV.P(tblY9[[Avg KS2]])),9),_Stanine,2),5),"")</f>
        <v>6</v>
      </c>
      <c r="J97" s="66" t="inlineStr">
        <is>
          <t>9B/Sc2</t>
        </is>
      </c>
      <c r="K97" s="67">
        <f>IF(tblY9[[#This Row],[Preferred Last name]]="","",COUNTIFS($N$1:$ZZ$1,"*"&amp;CHAR(10)&amp;"Stanine",$N97:$ZZ97,"&gt;=1"))</f>
        <v>4</v>
      </c>
      <c r="L97" s="68">
        <f>IFERROR(AVERAGEIF($N$1:$ZZ$1,"*"&amp;CHAR(10)&amp;"Stanine",$N97:$ZZ97),"")</f>
        <v>5.75</v>
      </c>
      <c r="M97" s="69">
        <f>IF(AND(ISNUMBER(tblY9[[#This Row],[Mean Stanine]]),ISNUMBER(tblY9[[#This Row],[Avg KS2 Band]]),ISNUMBER(SlopeY9)),tblY9[[#This Row],[Mean Stanine]]-(InterceptY9+SlopeY9*tblY9[[#This Row],[Avg KS2 Band]]),"")</f>
        <v>-0.0869845360824737</v>
      </c>
      <c r="N97" s="66" t="n">
        <v>21</v>
      </c>
      <c r="O97" s="67">
        <f>IF(ISNUMBER(tblY9[[#This Row],[9B01 - Genetics
Raw Score]]),IFERROR(VLOOKUP(ROUND(STANDARDIZE(tblY9[[#This Row],[9B01 - Genetics
Raw Score]],AVERAGE(tblY9[[9B01 - Genetics
Raw Score]]),_xlfn.STDEV.P(tblY9[[9B01 - Genetics
Raw Score]])),9),_Stanine,2),5),"")</f>
        <v>5</v>
      </c>
      <c r="P97" s="66" t="n">
        <v>26</v>
      </c>
      <c r="Q97" s="67">
        <f>IF(ISNUMBER(tblY9[[#This Row],[9C01 - Chemical Reactions
Raw Score]]),IFERROR(VLOOKUP(ROUND(STANDARDIZE(tblY9[[#This Row],[9C01 - Chemical Reactions
Raw Score]],AVERAGE(tblY9[[9C01 - Chemical Reactions
Raw Score]]),_xlfn.STDEV.P(tblY9[[9C01 - Chemical Reactions
Raw Score]])),9),_Stanine,2),5),"")</f>
        <v>7</v>
      </c>
      <c r="R97" s="66" t="n">
        <v>24</v>
      </c>
      <c r="S97" s="67">
        <f>IF(ISNUMBER(tblY9[[#This Row],[9P01 - Electricity
Raw Score]]),IFERROR(VLOOKUP(ROUND(STANDARDIZE(tblY9[[#This Row],[9P01 - Electricity
Raw Score]],AVERAGE(tblY9[[9P01 - Electricity
Raw Score]]),_xlfn.STDEV.P(tblY9[[9P01 - Electricity
Raw Score]])),9),_Stanine,2),5),"")</f>
        <v>6</v>
      </c>
      <c r="T97" s="66" t="n">
        <v>18</v>
      </c>
      <c r="U97" s="67">
        <f>IF(ISNUMBER(tblY9[[#This Row],[9B02 - Ecology
Raw Score]]),IFERROR(VLOOKUP(ROUND(STANDARDIZE(tblY9[[#This Row],[9B02 - Ecology
Raw Score]],AVERAGE(tblY9[[9B02 - Ecology
Raw Score]]),_xlfn.STDEV.P(tblY9[[9B02 - Ecology
Raw Score]])),9),_Stanine,2),5),"")</f>
        <v>5</v>
      </c>
    </row>
    <row r="98">
      <c r="A98" s="65" t="inlineStr">
        <is>
          <t>X902885096279</t>
        </is>
      </c>
      <c r="B98" s="65" t="inlineStr">
        <is>
          <t>Brown</t>
        </is>
      </c>
      <c r="C98" s="65" t="inlineStr">
        <is>
          <t>Zara</t>
        </is>
      </c>
      <c r="D98" s="66" t="inlineStr">
        <is>
          <t>F</t>
        </is>
      </c>
      <c r="E98" s="66" t="inlineStr">
        <is>
          <t>N</t>
        </is>
      </c>
      <c r="F98" s="66" t="inlineStr">
        <is>
          <t>Y</t>
        </is>
      </c>
      <c r="G98" s="34" t="n">
        <v>90.2</v>
      </c>
      <c r="H98" s="34" t="n">
        <v>106.5</v>
      </c>
      <c r="I98" s="67">
        <f>IF(ISNUMBER(tblY9[[#This Row],[Avg KS2]]),IFERROR(VLOOKUP(ROUND(STANDARDIZE(tblY9[[#This Row],[Avg KS2]],AVERAGE(tblY9[[Avg KS2]]),_xlfn.STDEV.P(tblY9[[Avg KS2]])),9),_Stanine,2),5),"")</f>
        <v>5</v>
      </c>
      <c r="J98" s="66" t="inlineStr">
        <is>
          <t>9B/Sc2</t>
        </is>
      </c>
      <c r="K98" s="67">
        <f>IF(tblY9[[#This Row],[Preferred Last name]]="","",COUNTIFS($N$1:$ZZ$1,"*"&amp;CHAR(10)&amp;"Stanine",$N98:$ZZ98,"&gt;=1"))</f>
        <v>4</v>
      </c>
      <c r="L98" s="68">
        <f>IFERROR(AVERAGEIF($N$1:$ZZ$1,"*"&amp;CHAR(10)&amp;"Stanine",$N98:$ZZ98),"")</f>
        <v>3.25</v>
      </c>
      <c r="M98" s="69">
        <f>IF(AND(ISNUMBER(tblY9[[#This Row],[Mean Stanine]]),ISNUMBER(tblY9[[#This Row],[Avg KS2 Band]]),ISNUMBER(SlopeY9)),tblY9[[#This Row],[Mean Stanine]]-(InterceptY9+SlopeY9*tblY9[[#This Row],[Avg KS2 Band]]),"")</f>
        <v>-1.82357075913777</v>
      </c>
      <c r="N98" s="66" t="n">
        <v>18</v>
      </c>
      <c r="O98" s="67">
        <f>IF(ISNUMBER(tblY9[[#This Row],[9B01 - Genetics
Raw Score]]),IFERROR(VLOOKUP(ROUND(STANDARDIZE(tblY9[[#This Row],[9B01 - Genetics
Raw Score]],AVERAGE(tblY9[[9B01 - Genetics
Raw Score]]),_xlfn.STDEV.P(tblY9[[9B01 - Genetics
Raw Score]])),9),_Stanine,2),5),"")</f>
        <v>4</v>
      </c>
      <c r="P98" s="66" t="n">
        <v>12</v>
      </c>
      <c r="Q98" s="67">
        <f>IF(ISNUMBER(tblY9[[#This Row],[9C01 - Chemical Reactions
Raw Score]]),IFERROR(VLOOKUP(ROUND(STANDARDIZE(tblY9[[#This Row],[9C01 - Chemical Reactions
Raw Score]],AVERAGE(tblY9[[9C01 - Chemical Reactions
Raw Score]]),_xlfn.STDEV.P(tblY9[[9C01 - Chemical Reactions
Raw Score]])),9),_Stanine,2),5),"")</f>
        <v>2</v>
      </c>
      <c r="R98" s="66" t="n">
        <v>16</v>
      </c>
      <c r="S98" s="67">
        <f>IF(ISNUMBER(tblY9[[#This Row],[9P01 - Electricity
Raw Score]]),IFERROR(VLOOKUP(ROUND(STANDARDIZE(tblY9[[#This Row],[9P01 - Electricity
Raw Score]],AVERAGE(tblY9[[9P01 - Electricity
Raw Score]]),_xlfn.STDEV.P(tblY9[[9P01 - Electricity
Raw Score]])),9),_Stanine,2),5),"")</f>
        <v>3</v>
      </c>
      <c r="T98" s="66" t="n">
        <v>15</v>
      </c>
      <c r="U98" s="67">
        <f>IF(ISNUMBER(tblY9[[#This Row],[9B02 - Ecology
Raw Score]]),IFERROR(VLOOKUP(ROUND(STANDARDIZE(tblY9[[#This Row],[9B02 - Ecology
Raw Score]],AVERAGE(tblY9[[9B02 - Ecology
Raw Score]]),_xlfn.STDEV.P(tblY9[[9B02 - Ecology
Raw Score]])),9),_Stanine,2),5),"")</f>
        <v>4</v>
      </c>
    </row>
    <row r="99">
      <c r="A99" s="65" t="inlineStr">
        <is>
          <t>X904603522724</t>
        </is>
      </c>
      <c r="B99" s="65" t="inlineStr">
        <is>
          <t>Clarke</t>
        </is>
      </c>
      <c r="C99" s="65" t="inlineStr">
        <is>
          <t>Arjun</t>
        </is>
      </c>
      <c r="D99" s="66" t="inlineStr">
        <is>
          <t>M</t>
        </is>
      </c>
      <c r="E99" s="66" t="n"/>
      <c r="F99" s="66" t="inlineStr">
        <is>
          <t>N</t>
        </is>
      </c>
      <c r="G99" s="34" t="n">
        <v>88.8</v>
      </c>
      <c r="H99" s="34" t="n">
        <v>102</v>
      </c>
      <c r="I99" s="67">
        <f>IF(ISNUMBER(tblY9[[#This Row],[Avg KS2]]),IFERROR(VLOOKUP(ROUND(STANDARDIZE(tblY9[[#This Row],[Avg KS2]],AVERAGE(tblY9[[Avg KS2]]),_xlfn.STDEV.P(tblY9[[Avg KS2]])),9),_Stanine,2),5),"")</f>
        <v>3</v>
      </c>
      <c r="J99" s="66" t="inlineStr">
        <is>
          <t>9B/Sc2</t>
        </is>
      </c>
      <c r="K99" s="67">
        <f>IF(tblY9[[#This Row],[Preferred Last name]]="","",COUNTIFS($N$1:$ZZ$1,"*"&amp;CHAR(10)&amp;"Stanine",$N99:$ZZ99,"&gt;=1"))</f>
        <v>4</v>
      </c>
      <c r="L99" s="68">
        <f>IFERROR(AVERAGEIF($N$1:$ZZ$1,"*"&amp;CHAR(10)&amp;"Stanine",$N99:$ZZ99),"")</f>
        <v>3.25</v>
      </c>
      <c r="M99" s="69">
        <f>IF(AND(ISNUMBER(tblY9[[#This Row],[Mean Stanine]]),ISNUMBER(tblY9[[#This Row],[Avg KS2 Band]]),ISNUMBER(SlopeY9)),tblY9[[#This Row],[Mean Stanine]]-(InterceptY9+SlopeY9*tblY9[[#This Row],[Avg KS2 Band]]),"")</f>
        <v>-0.29674320524836</v>
      </c>
      <c r="N99" s="66" t="n">
        <v>17</v>
      </c>
      <c r="O99" s="67">
        <f>IF(ISNUMBER(tblY9[[#This Row],[9B01 - Genetics
Raw Score]]),IFERROR(VLOOKUP(ROUND(STANDARDIZE(tblY9[[#This Row],[9B01 - Genetics
Raw Score]],AVERAGE(tblY9[[9B01 - Genetics
Raw Score]]),_xlfn.STDEV.P(tblY9[[9B01 - Genetics
Raw Score]])),9),_Stanine,2),5),"")</f>
        <v>4</v>
      </c>
      <c r="P99" s="66" t="n">
        <v>16</v>
      </c>
      <c r="Q99" s="67">
        <f>IF(ISNUMBER(tblY9[[#This Row],[9C01 - Chemical Reactions
Raw Score]]),IFERROR(VLOOKUP(ROUND(STANDARDIZE(tblY9[[#This Row],[9C01 - Chemical Reactions
Raw Score]],AVERAGE(tblY9[[9C01 - Chemical Reactions
Raw Score]]),_xlfn.STDEV.P(tblY9[[9C01 - Chemical Reactions
Raw Score]])),9),_Stanine,2),5),"")</f>
        <v>3</v>
      </c>
      <c r="R99" s="66" t="n">
        <v>16</v>
      </c>
      <c r="S99" s="67">
        <f>IF(ISNUMBER(tblY9[[#This Row],[9P01 - Electricity
Raw Score]]),IFERROR(VLOOKUP(ROUND(STANDARDIZE(tblY9[[#This Row],[9P01 - Electricity
Raw Score]],AVERAGE(tblY9[[9P01 - Electricity
Raw Score]]),_xlfn.STDEV.P(tblY9[[9P01 - Electricity
Raw Score]])),9),_Stanine,2),5),"")</f>
        <v>3</v>
      </c>
      <c r="T99" s="66" t="n">
        <v>14</v>
      </c>
      <c r="U99" s="67">
        <f>IF(ISNUMBER(tblY9[[#This Row],[9B02 - Ecology
Raw Score]]),IFERROR(VLOOKUP(ROUND(STANDARDIZE(tblY9[[#This Row],[9B02 - Ecology
Raw Score]],AVERAGE(tblY9[[9B02 - Ecology
Raw Score]]),_xlfn.STDEV.P(tblY9[[9B02 - Ecology
Raw Score]])),9),_Stanine,2),5),"")</f>
        <v>3</v>
      </c>
    </row>
    <row r="100">
      <c r="A100" s="65" t="inlineStr">
        <is>
          <t>X908218327011</t>
        </is>
      </c>
      <c r="B100" s="65" t="inlineStr">
        <is>
          <t>Clarke</t>
        </is>
      </c>
      <c r="C100" s="65" t="inlineStr">
        <is>
          <t>Callum</t>
        </is>
      </c>
      <c r="D100" s="66" t="inlineStr">
        <is>
          <t>M</t>
        </is>
      </c>
      <c r="E100" s="66" t="inlineStr">
        <is>
          <t>N</t>
        </is>
      </c>
      <c r="F100" s="66" t="inlineStr">
        <is>
          <t>N</t>
        </is>
      </c>
      <c r="G100" s="34" t="n">
        <v>99.3</v>
      </c>
      <c r="H100" s="34" t="n">
        <v>108</v>
      </c>
      <c r="I100" s="67">
        <f>IF(ISNUMBER(tblY9[[#This Row],[Avg KS2]]),IFERROR(VLOOKUP(ROUND(STANDARDIZE(tblY9[[#This Row],[Avg KS2]],AVERAGE(tblY9[[Avg KS2]]),_xlfn.STDEV.P(tblY9[[Avg KS2]])),9),_Stanine,2),5),"")</f>
        <v>6</v>
      </c>
      <c r="J100" s="66" t="inlineStr">
        <is>
          <t>9B/Sc2</t>
        </is>
      </c>
      <c r="K100" s="67">
        <f>IF(tblY9[[#This Row],[Preferred Last name]]="","",COUNTIFS($N$1:$ZZ$1,"*"&amp;CHAR(10)&amp;"Stanine",$N100:$ZZ100,"&gt;=1"))</f>
        <v>3</v>
      </c>
      <c r="L100" s="68">
        <f>IFERROR(AVERAGEIF($N$1:$ZZ$1,"*"&amp;CHAR(10)&amp;"Stanine",$N100:$ZZ100),"")</f>
        <v>6</v>
      </c>
      <c r="M100" s="69">
        <f>IF(AND(ISNUMBER(tblY9[[#This Row],[Mean Stanine]]),ISNUMBER(tblY9[[#This Row],[Avg KS2 Band]]),ISNUMBER(SlopeY9)),tblY9[[#This Row],[Mean Stanine]]-(InterceptY9+SlopeY9*tblY9[[#This Row],[Avg KS2 Band]]),"")</f>
        <v>0.163015463917526</v>
      </c>
      <c r="N100" s="66" t="n">
        <v>24</v>
      </c>
      <c r="O100" s="67">
        <f>IF(ISNUMBER(tblY9[[#This Row],[9B01 - Genetics
Raw Score]]),IFERROR(VLOOKUP(ROUND(STANDARDIZE(tblY9[[#This Row],[9B01 - Genetics
Raw Score]],AVERAGE(tblY9[[9B01 - Genetics
Raw Score]]),_xlfn.STDEV.P(tblY9[[9B01 - Genetics
Raw Score]])),9),_Stanine,2),5),"")</f>
        <v>6</v>
      </c>
      <c r="P100" s="66" t="n">
        <v>25</v>
      </c>
      <c r="Q100" s="67">
        <f>IF(ISNUMBER(tblY9[[#This Row],[9C01 - Chemical Reactions
Raw Score]]),IFERROR(VLOOKUP(ROUND(STANDARDIZE(tblY9[[#This Row],[9C01 - Chemical Reactions
Raw Score]],AVERAGE(tblY9[[9C01 - Chemical Reactions
Raw Score]]),_xlfn.STDEV.P(tblY9[[9C01 - Chemical Reactions
Raw Score]])),9),_Stanine,2),5),"")</f>
        <v>6</v>
      </c>
      <c r="R100" s="66" t="inlineStr">
        <is>
          <t>A</t>
        </is>
      </c>
      <c r="S100" s="67" t="str">
        <f>IF(ISNUMBER(tblY9[[#This Row],[9P01 - Electricity
Raw Score]]),IFERROR(VLOOKUP(ROUND(STANDARDIZE(tblY9[[#This Row],[9P01 - Electricity
Raw Score]],AVERAGE(tblY9[[9P01 - Electricity
Raw Score]]),_xlfn.STDEV.P(tblY9[[9P01 - Electricity
Raw Score]])),9),_Stanine,2),5),"")</f>
        <v/>
      </c>
      <c r="T100" s="66" t="n">
        <v>20</v>
      </c>
      <c r="U100" s="67">
        <f>IF(ISNUMBER(tblY9[[#This Row],[9B02 - Ecology
Raw Score]]),IFERROR(VLOOKUP(ROUND(STANDARDIZE(tblY9[[#This Row],[9B02 - Ecology
Raw Score]],AVERAGE(tblY9[[9B02 - Ecology
Raw Score]]),_xlfn.STDEV.P(tblY9[[9B02 - Ecology
Raw Score]])),9),_Stanine,2),5),"")</f>
        <v>6</v>
      </c>
    </row>
    <row r="101">
      <c r="A101" s="65" t="inlineStr">
        <is>
          <t>X904997628588</t>
        </is>
      </c>
      <c r="B101" s="65" t="inlineStr">
        <is>
          <t>Cooper</t>
        </is>
      </c>
      <c r="C101" s="65" t="inlineStr">
        <is>
          <t>Lewis</t>
        </is>
      </c>
      <c r="D101" s="66" t="inlineStr">
        <is>
          <t>F</t>
        </is>
      </c>
      <c r="E101" s="66" t="inlineStr">
        <is>
          <t>N</t>
        </is>
      </c>
      <c r="F101" s="66" t="inlineStr">
        <is>
          <t>N</t>
        </is>
      </c>
      <c r="G101" s="34" t="n">
        <v>94.8</v>
      </c>
      <c r="H101" s="34" t="n">
        <v>99</v>
      </c>
      <c r="I101" s="67">
        <f>IF(ISNUMBER(tblY9[[#This Row],[Avg KS2]]),IFERROR(VLOOKUP(ROUND(STANDARDIZE(tblY9[[#This Row],[Avg KS2]],AVERAGE(tblY9[[Avg KS2]]),_xlfn.STDEV.P(tblY9[[Avg KS2]])),9),_Stanine,2),5),"")</f>
        <v>2</v>
      </c>
      <c r="J101" s="66" t="inlineStr">
        <is>
          <t>9B/Sc2</t>
        </is>
      </c>
      <c r="K101" s="67">
        <f>IF(tblY9[[#This Row],[Preferred Last name]]="","",COUNTIFS($N$1:$ZZ$1,"*"&amp;CHAR(10)&amp;"Stanine",$N101:$ZZ101,"&gt;=1"))</f>
        <v>4</v>
      </c>
      <c r="L101" s="68">
        <f>IFERROR(AVERAGEIF($N$1:$ZZ$1,"*"&amp;CHAR(10)&amp;"Stanine",$N101:$ZZ101),"")</f>
        <v>4.5</v>
      </c>
      <c r="M101" s="69">
        <f>IF(AND(ISNUMBER(tblY9[[#This Row],[Mean Stanine]]),ISNUMBER(tblY9[[#This Row],[Avg KS2 Band]]),ISNUMBER(SlopeY9)),tblY9[[#This Row],[Mean Stanine]]-(InterceptY9+SlopeY9*tblY9[[#This Row],[Avg KS2 Band]]),"")</f>
        <v>1.71667057169635</v>
      </c>
      <c r="N101" s="66" t="n">
        <v>21</v>
      </c>
      <c r="O101" s="67">
        <f>IF(ISNUMBER(tblY9[[#This Row],[9B01 - Genetics
Raw Score]]),IFERROR(VLOOKUP(ROUND(STANDARDIZE(tblY9[[#This Row],[9B01 - Genetics
Raw Score]],AVERAGE(tblY9[[9B01 - Genetics
Raw Score]]),_xlfn.STDEV.P(tblY9[[9B01 - Genetics
Raw Score]])),9),_Stanine,2),5),"")</f>
        <v>5</v>
      </c>
      <c r="P101" s="66" t="n">
        <v>18</v>
      </c>
      <c r="Q101" s="67">
        <f>IF(ISNUMBER(tblY9[[#This Row],[9C01 - Chemical Reactions
Raw Score]]),IFERROR(VLOOKUP(ROUND(STANDARDIZE(tblY9[[#This Row],[9C01 - Chemical Reactions
Raw Score]],AVERAGE(tblY9[[9C01 - Chemical Reactions
Raw Score]]),_xlfn.STDEV.P(tblY9[[9C01 - Chemical Reactions
Raw Score]])),9),_Stanine,2),5),"")</f>
        <v>4</v>
      </c>
      <c r="R101" s="66" t="n">
        <v>17</v>
      </c>
      <c r="S101" s="67">
        <f>IF(ISNUMBER(tblY9[[#This Row],[9P01 - Electricity
Raw Score]]),IFERROR(VLOOKUP(ROUND(STANDARDIZE(tblY9[[#This Row],[9P01 - Electricity
Raw Score]],AVERAGE(tblY9[[9P01 - Electricity
Raw Score]]),_xlfn.STDEV.P(tblY9[[9P01 - Electricity
Raw Score]])),9),_Stanine,2),5),"")</f>
        <v>4</v>
      </c>
      <c r="T101" s="66" t="n">
        <v>17</v>
      </c>
      <c r="U101" s="67">
        <f>IF(ISNUMBER(tblY9[[#This Row],[9B02 - Ecology
Raw Score]]),IFERROR(VLOOKUP(ROUND(STANDARDIZE(tblY9[[#This Row],[9B02 - Ecology
Raw Score]],AVERAGE(tblY9[[9B02 - Ecology
Raw Score]]),_xlfn.STDEV.P(tblY9[[9B02 - Ecology
Raw Score]])),9),_Stanine,2),5),"")</f>
        <v>5</v>
      </c>
    </row>
    <row r="102">
      <c r="A102" s="65" t="inlineStr">
        <is>
          <t>X901411541716</t>
        </is>
      </c>
      <c r="B102" s="65" t="inlineStr">
        <is>
          <t>Green</t>
        </is>
      </c>
      <c r="C102" s="65" t="inlineStr">
        <is>
          <t>Priya</t>
        </is>
      </c>
      <c r="D102" s="66" t="inlineStr">
        <is>
          <t>M</t>
        </is>
      </c>
      <c r="E102" s="66" t="n"/>
      <c r="F102" s="66" t="inlineStr">
        <is>
          <t>N</t>
        </is>
      </c>
      <c r="G102" s="34" t="n">
        <v>96.2</v>
      </c>
      <c r="H102" s="34" t="n">
        <v>107.5</v>
      </c>
      <c r="I102" s="67">
        <f>IF(ISNUMBER(tblY9[[#This Row],[Avg KS2]]),IFERROR(VLOOKUP(ROUND(STANDARDIZE(tblY9[[#This Row],[Avg KS2]],AVERAGE(tblY9[[Avg KS2]]),_xlfn.STDEV.P(tblY9[[Avg KS2]])),9),_Stanine,2),5),"")</f>
        <v>5</v>
      </c>
      <c r="J102" s="66" t="inlineStr">
        <is>
          <t>9B/Sc2</t>
        </is>
      </c>
      <c r="K102" s="67">
        <f>IF(tblY9[[#This Row],[Preferred Last name]]="","",COUNTIFS($N$1:$ZZ$1,"*"&amp;CHAR(10)&amp;"Stanine",$N102:$ZZ102,"&gt;=1"))</f>
        <v>4</v>
      </c>
      <c r="L102" s="68">
        <f>IFERROR(AVERAGEIF($N$1:$ZZ$1,"*"&amp;CHAR(10)&amp;"Stanine",$N102:$ZZ102),"")</f>
        <v>4.25</v>
      </c>
      <c r="M102" s="69">
        <f>IF(AND(ISNUMBER(tblY9[[#This Row],[Mean Stanine]]),ISNUMBER(tblY9[[#This Row],[Avg KS2 Band]]),ISNUMBER(SlopeY9)),tblY9[[#This Row],[Mean Stanine]]-(InterceptY9+SlopeY9*tblY9[[#This Row],[Avg KS2 Band]]),"")</f>
        <v>-0.82357075913777</v>
      </c>
      <c r="N102" s="66" t="n">
        <v>23</v>
      </c>
      <c r="O102" s="67">
        <f>IF(ISNUMBER(tblY9[[#This Row],[9B01 - Genetics
Raw Score]]),IFERROR(VLOOKUP(ROUND(STANDARDIZE(tblY9[[#This Row],[9B01 - Genetics
Raw Score]],AVERAGE(tblY9[[9B01 - Genetics
Raw Score]]),_xlfn.STDEV.P(tblY9[[9B01 - Genetics
Raw Score]])),9),_Stanine,2),5),"")</f>
        <v>6</v>
      </c>
      <c r="P102" s="66" t="n">
        <v>18</v>
      </c>
      <c r="Q102" s="67">
        <f>IF(ISNUMBER(tblY9[[#This Row],[9C01 - Chemical Reactions
Raw Score]]),IFERROR(VLOOKUP(ROUND(STANDARDIZE(tblY9[[#This Row],[9C01 - Chemical Reactions
Raw Score]],AVERAGE(tblY9[[9C01 - Chemical Reactions
Raw Score]]),_xlfn.STDEV.P(tblY9[[9C01 - Chemical Reactions
Raw Score]])),9),_Stanine,2),5),"")</f>
        <v>4</v>
      </c>
      <c r="R102" s="66" t="n">
        <v>19</v>
      </c>
      <c r="S102" s="67">
        <f>IF(ISNUMBER(tblY9[[#This Row],[9P01 - Electricity
Raw Score]]),IFERROR(VLOOKUP(ROUND(STANDARDIZE(tblY9[[#This Row],[9P01 - Electricity
Raw Score]],AVERAGE(tblY9[[9P01 - Electricity
Raw Score]]),_xlfn.STDEV.P(tblY9[[9P01 - Electricity
Raw Score]])),9),_Stanine,2),5),"")</f>
        <v>4</v>
      </c>
      <c r="T102" s="66" t="n">
        <v>14</v>
      </c>
      <c r="U102" s="67">
        <f>IF(ISNUMBER(tblY9[[#This Row],[9B02 - Ecology
Raw Score]]),IFERROR(VLOOKUP(ROUND(STANDARDIZE(tblY9[[#This Row],[9B02 - Ecology
Raw Score]],AVERAGE(tblY9[[9B02 - Ecology
Raw Score]]),_xlfn.STDEV.P(tblY9[[9B02 - Ecology
Raw Score]])),9),_Stanine,2),5),"")</f>
        <v>3</v>
      </c>
    </row>
    <row r="103">
      <c r="A103" s="65" t="inlineStr">
        <is>
          <t>X905167634291</t>
        </is>
      </c>
      <c r="B103" s="65" t="inlineStr">
        <is>
          <t>Griffiths</t>
        </is>
      </c>
      <c r="C103" s="65" t="inlineStr">
        <is>
          <t>Grace</t>
        </is>
      </c>
      <c r="D103" s="66" t="inlineStr">
        <is>
          <t>F</t>
        </is>
      </c>
      <c r="E103" s="66" t="n"/>
      <c r="F103" s="66" t="inlineStr">
        <is>
          <t>Y</t>
        </is>
      </c>
      <c r="G103" s="34" t="n">
        <v>99.59999999999999</v>
      </c>
      <c r="H103" s="34" t="n">
        <v>112</v>
      </c>
      <c r="I103" s="67">
        <f>IF(ISNUMBER(tblY9[[#This Row],[Avg KS2]]),IFERROR(VLOOKUP(ROUND(STANDARDIZE(tblY9[[#This Row],[Avg KS2]],AVERAGE(tblY9[[Avg KS2]]),_xlfn.STDEV.P(tblY9[[Avg KS2]])),9),_Stanine,2),5),"")</f>
        <v>7</v>
      </c>
      <c r="J103" s="66" t="inlineStr">
        <is>
          <t>9B/Sc2</t>
        </is>
      </c>
      <c r="K103" s="67">
        <f>IF(tblY9[[#This Row],[Preferred Last name]]="","",COUNTIFS($N$1:$ZZ$1,"*"&amp;CHAR(10)&amp;"Stanine",$N103:$ZZ103,"&gt;=1"))</f>
        <v>4</v>
      </c>
      <c r="L103" s="68">
        <f>IFERROR(AVERAGEIF($N$1:$ZZ$1,"*"&amp;CHAR(10)&amp;"Stanine",$N103:$ZZ103),"")</f>
        <v>6</v>
      </c>
      <c r="M103" s="69">
        <f>IF(AND(ISNUMBER(tblY9[[#This Row],[Mean Stanine]]),ISNUMBER(tblY9[[#This Row],[Avg KS2 Band]]),ISNUMBER(SlopeY9)),tblY9[[#This Row],[Mean Stanine]]-(InterceptY9+SlopeY9*tblY9[[#This Row],[Avg KS2 Band]]),"")</f>
        <v>-0.600398313027179</v>
      </c>
      <c r="N103" s="66" t="n">
        <v>24</v>
      </c>
      <c r="O103" s="67">
        <f>IF(ISNUMBER(tblY9[[#This Row],[9B01 - Genetics
Raw Score]]),IFERROR(VLOOKUP(ROUND(STANDARDIZE(tblY9[[#This Row],[9B01 - Genetics
Raw Score]],AVERAGE(tblY9[[9B01 - Genetics
Raw Score]]),_xlfn.STDEV.P(tblY9[[9B01 - Genetics
Raw Score]])),9),_Stanine,2),5),"")</f>
        <v>6</v>
      </c>
      <c r="P103" s="66" t="n">
        <v>25</v>
      </c>
      <c r="Q103" s="67">
        <f>IF(ISNUMBER(tblY9[[#This Row],[9C01 - Chemical Reactions
Raw Score]]),IFERROR(VLOOKUP(ROUND(STANDARDIZE(tblY9[[#This Row],[9C01 - Chemical Reactions
Raw Score]],AVERAGE(tblY9[[9C01 - Chemical Reactions
Raw Score]]),_xlfn.STDEV.P(tblY9[[9C01 - Chemical Reactions
Raw Score]])),9),_Stanine,2),5),"")</f>
        <v>6</v>
      </c>
      <c r="R103" s="66" t="n">
        <v>24</v>
      </c>
      <c r="S103" s="67">
        <f>IF(ISNUMBER(tblY9[[#This Row],[9P01 - Electricity
Raw Score]]),IFERROR(VLOOKUP(ROUND(STANDARDIZE(tblY9[[#This Row],[9P01 - Electricity
Raw Score]],AVERAGE(tblY9[[9P01 - Electricity
Raw Score]]),_xlfn.STDEV.P(tblY9[[9P01 - Electricity
Raw Score]])),9),_Stanine,2),5),"")</f>
        <v>6</v>
      </c>
      <c r="T103" s="66" t="n">
        <v>19</v>
      </c>
      <c r="U103" s="67">
        <f>IF(ISNUMBER(tblY9[[#This Row],[9B02 - Ecology
Raw Score]]),IFERROR(VLOOKUP(ROUND(STANDARDIZE(tblY9[[#This Row],[9B02 - Ecology
Raw Score]],AVERAGE(tblY9[[9B02 - Ecology
Raw Score]]),_xlfn.STDEV.P(tblY9[[9B02 - Ecology
Raw Score]])),9),_Stanine,2),5),"")</f>
        <v>6</v>
      </c>
    </row>
    <row r="104">
      <c r="A104" s="65" t="inlineStr">
        <is>
          <t>X908231489037</t>
        </is>
      </c>
      <c r="B104" s="65" t="inlineStr">
        <is>
          <t>Hall</t>
        </is>
      </c>
      <c r="C104" s="65" t="inlineStr">
        <is>
          <t>Rhys</t>
        </is>
      </c>
      <c r="D104" s="66" t="inlineStr">
        <is>
          <t>M</t>
        </is>
      </c>
      <c r="E104" s="66" t="inlineStr">
        <is>
          <t>N</t>
        </is>
      </c>
      <c r="F104" s="66" t="inlineStr">
        <is>
          <t>N</t>
        </is>
      </c>
      <c r="G104" s="34" t="n">
        <v>97</v>
      </c>
      <c r="H104" s="34" t="n">
        <v>103</v>
      </c>
      <c r="I104" s="67">
        <f>IF(ISNUMBER(tblY9[[#This Row],[Avg KS2]]),IFERROR(VLOOKUP(ROUND(STANDARDIZE(tblY9[[#This Row],[Avg KS2]],AVERAGE(tblY9[[Avg KS2]]),_xlfn.STDEV.P(tblY9[[Avg KS2]])),9),_Stanine,2),5),"")</f>
        <v>4</v>
      </c>
      <c r="J104" s="66" t="inlineStr">
        <is>
          <t>9B/Sc2</t>
        </is>
      </c>
      <c r="K104" s="67">
        <f>IF(tblY9[[#This Row],[Preferred Last name]]="","",COUNTIFS($N$1:$ZZ$1,"*"&amp;CHAR(10)&amp;"Stanine",$N104:$ZZ104,"&gt;=1"))</f>
        <v>4</v>
      </c>
      <c r="L104" s="68">
        <f>IFERROR(AVERAGEIF($N$1:$ZZ$1,"*"&amp;CHAR(10)&amp;"Stanine",$N104:$ZZ104),"")</f>
        <v>5</v>
      </c>
      <c r="M104" s="69">
        <f>IF(AND(ISNUMBER(tblY9[[#This Row],[Mean Stanine]]),ISNUMBER(tblY9[[#This Row],[Avg KS2 Band]]),ISNUMBER(SlopeY9)),tblY9[[#This Row],[Mean Stanine]]-(InterceptY9+SlopeY9*tblY9[[#This Row],[Avg KS2 Band]]),"")</f>
        <v>0.689843017806935</v>
      </c>
      <c r="N104" s="66" t="n">
        <v>20</v>
      </c>
      <c r="O104" s="67">
        <f>IF(ISNUMBER(tblY9[[#This Row],[9B01 - Genetics
Raw Score]]),IFERROR(VLOOKUP(ROUND(STANDARDIZE(tblY9[[#This Row],[9B01 - Genetics
Raw Score]],AVERAGE(tblY9[[9B01 - Genetics
Raw Score]]),_xlfn.STDEV.P(tblY9[[9B01 - Genetics
Raw Score]])),9),_Stanine,2),5),"")</f>
        <v>5</v>
      </c>
      <c r="P104" s="66" t="n">
        <v>22</v>
      </c>
      <c r="Q104" s="67">
        <f>IF(ISNUMBER(tblY9[[#This Row],[9C01 - Chemical Reactions
Raw Score]]),IFERROR(VLOOKUP(ROUND(STANDARDIZE(tblY9[[#This Row],[9C01 - Chemical Reactions
Raw Score]],AVERAGE(tblY9[[9C01 - Chemical Reactions
Raw Score]]),_xlfn.STDEV.P(tblY9[[9C01 - Chemical Reactions
Raw Score]])),9),_Stanine,2),5),"")</f>
        <v>5</v>
      </c>
      <c r="R104" s="66" t="n">
        <v>20</v>
      </c>
      <c r="S104" s="67">
        <f>IF(ISNUMBER(tblY9[[#This Row],[9P01 - Electricity
Raw Score]]),IFERROR(VLOOKUP(ROUND(STANDARDIZE(tblY9[[#This Row],[9P01 - Electricity
Raw Score]],AVERAGE(tblY9[[9P01 - Electricity
Raw Score]]),_xlfn.STDEV.P(tblY9[[9P01 - Electricity
Raw Score]])),9),_Stanine,2),5),"")</f>
        <v>5</v>
      </c>
      <c r="T104" s="66" t="n">
        <v>17</v>
      </c>
      <c r="U104" s="67">
        <f>IF(ISNUMBER(tblY9[[#This Row],[9B02 - Ecology
Raw Score]]),IFERROR(VLOOKUP(ROUND(STANDARDIZE(tblY9[[#This Row],[9B02 - Ecology
Raw Score]],AVERAGE(tblY9[[9B02 - Ecology
Raw Score]]),_xlfn.STDEV.P(tblY9[[9B02 - Ecology
Raw Score]])),9),_Stanine,2),5),"")</f>
        <v>5</v>
      </c>
    </row>
    <row r="105">
      <c r="A105" s="65" t="inlineStr">
        <is>
          <t>X903598472793</t>
        </is>
      </c>
      <c r="B105" s="65" t="inlineStr">
        <is>
          <t>Hughes</t>
        </is>
      </c>
      <c r="C105" s="65" t="inlineStr">
        <is>
          <t>Amara</t>
        </is>
      </c>
      <c r="D105" s="66" t="inlineStr">
        <is>
          <t>M</t>
        </is>
      </c>
      <c r="E105" s="66" t="n"/>
      <c r="F105" s="66" t="inlineStr">
        <is>
          <t>N</t>
        </is>
      </c>
      <c r="G105" s="34" t="n">
        <v>92.59999999999999</v>
      </c>
      <c r="H105" s="34" t="n">
        <v>103.5</v>
      </c>
      <c r="I105" s="67">
        <f>IF(ISNUMBER(tblY9[[#This Row],[Avg KS2]]),IFERROR(VLOOKUP(ROUND(STANDARDIZE(tblY9[[#This Row],[Avg KS2]],AVERAGE(tblY9[[Avg KS2]]),_xlfn.STDEV.P(tblY9[[Avg KS2]])),9),_Stanine,2),5),"")</f>
        <v>4</v>
      </c>
      <c r="J105" s="66" t="inlineStr">
        <is>
          <t>9B/Sc2</t>
        </is>
      </c>
      <c r="K105" s="67">
        <f>IF(tblY9[[#This Row],[Preferred Last name]]="","",COUNTIFS($N$1:$ZZ$1,"*"&amp;CHAR(10)&amp;"Stanine",$N105:$ZZ105,"&gt;=1"))</f>
        <v>3</v>
      </c>
      <c r="L105" s="68">
        <f>IFERROR(AVERAGEIF($N$1:$ZZ$1,"*"&amp;CHAR(10)&amp;"Stanine",$N105:$ZZ105),"")</f>
        <v>4</v>
      </c>
      <c r="M105" s="69">
        <f>IF(AND(ISNUMBER(tblY9[[#This Row],[Mean Stanine]]),ISNUMBER(tblY9[[#This Row],[Avg KS2 Band]]),ISNUMBER(SlopeY9)),tblY9[[#This Row],[Mean Stanine]]-(InterceptY9+SlopeY9*tblY9[[#This Row],[Avg KS2 Band]]),"")</f>
        <v>-0.310156982193065</v>
      </c>
      <c r="N105" s="66" t="n">
        <v>14</v>
      </c>
      <c r="O105" s="67">
        <f>IF(ISNUMBER(tblY9[[#This Row],[9B01 - Genetics
Raw Score]]),IFERROR(VLOOKUP(ROUND(STANDARDIZE(tblY9[[#This Row],[9B01 - Genetics
Raw Score]],AVERAGE(tblY9[[9B01 - Genetics
Raw Score]]),_xlfn.STDEV.P(tblY9[[9B01 - Genetics
Raw Score]])),9),_Stanine,2),5),"")</f>
        <v>3</v>
      </c>
      <c r="P105" s="66" t="inlineStr">
        <is>
          <t>A</t>
        </is>
      </c>
      <c r="Q105" s="67" t="str">
        <f>IF(ISNUMBER(tblY9[[#This Row],[9C01 - Chemical Reactions
Raw Score]]),IFERROR(VLOOKUP(ROUND(STANDARDIZE(tblY9[[#This Row],[9C01 - Chemical Reactions
Raw Score]],AVERAGE(tblY9[[9C01 - Chemical Reactions
Raw Score]]),_xlfn.STDEV.P(tblY9[[9C01 - Chemical Reactions
Raw Score]])),9),_Stanine,2),5),"")</f>
        <v/>
      </c>
      <c r="R105" s="66" t="n">
        <v>20</v>
      </c>
      <c r="S105" s="67">
        <f>IF(ISNUMBER(tblY9[[#This Row],[9P01 - Electricity
Raw Score]]),IFERROR(VLOOKUP(ROUND(STANDARDIZE(tblY9[[#This Row],[9P01 - Electricity
Raw Score]],AVERAGE(tblY9[[9P01 - Electricity
Raw Score]]),_xlfn.STDEV.P(tblY9[[9P01 - Electricity
Raw Score]])),9),_Stanine,2),5),"")</f>
        <v>5</v>
      </c>
      <c r="T105" s="66" t="n">
        <v>16</v>
      </c>
      <c r="U105" s="67">
        <f>IF(ISNUMBER(tblY9[[#This Row],[9B02 - Ecology
Raw Score]]),IFERROR(VLOOKUP(ROUND(STANDARDIZE(tblY9[[#This Row],[9B02 - Ecology
Raw Score]],AVERAGE(tblY9[[9B02 - Ecology
Raw Score]]),_xlfn.STDEV.P(tblY9[[9B02 - Ecology
Raw Score]])),9),_Stanine,2),5),"")</f>
        <v>4</v>
      </c>
    </row>
    <row r="106">
      <c r="A106" s="65" t="inlineStr">
        <is>
          <t>X906261152639</t>
        </is>
      </c>
      <c r="B106" s="65" t="inlineStr">
        <is>
          <t>Hussain</t>
        </is>
      </c>
      <c r="C106" s="65" t="inlineStr">
        <is>
          <t>Mia</t>
        </is>
      </c>
      <c r="D106" s="66" t="inlineStr">
        <is>
          <t>F</t>
        </is>
      </c>
      <c r="E106" s="66" t="n"/>
      <c r="F106" s="66" t="inlineStr">
        <is>
          <t>N</t>
        </is>
      </c>
      <c r="G106" s="34" t="n">
        <v>96.40000000000001</v>
      </c>
      <c r="H106" s="34" t="n">
        <v>97.5</v>
      </c>
      <c r="I106" s="67">
        <f>IF(ISNUMBER(tblY9[[#This Row],[Avg KS2]]),IFERROR(VLOOKUP(ROUND(STANDARDIZE(tblY9[[#This Row],[Avg KS2]],AVERAGE(tblY9[[Avg KS2]]),_xlfn.STDEV.P(tblY9[[Avg KS2]])),9),_Stanine,2),5),"")</f>
        <v>1</v>
      </c>
      <c r="J106" s="66" t="inlineStr">
        <is>
          <t>9B/Sc2</t>
        </is>
      </c>
      <c r="K106" s="67">
        <f>IF(tblY9[[#This Row],[Preferred Last name]]="","",COUNTIFS($N$1:$ZZ$1,"*"&amp;CHAR(10)&amp;"Stanine",$N106:$ZZ106,"&gt;=1"))</f>
        <v>4</v>
      </c>
      <c r="L106" s="68">
        <f>IFERROR(AVERAGEIF($N$1:$ZZ$1,"*"&amp;CHAR(10)&amp;"Stanine",$N106:$ZZ106),"")</f>
        <v>3.25</v>
      </c>
      <c r="M106" s="69">
        <f>IF(AND(ISNUMBER(tblY9[[#This Row],[Mean Stanine]]),ISNUMBER(tblY9[[#This Row],[Avg KS2 Band]]),ISNUMBER(SlopeY9)),tblY9[[#This Row],[Mean Stanine]]-(InterceptY9+SlopeY9*tblY9[[#This Row],[Avg KS2 Band]]),"")</f>
        <v>1.23008434864105</v>
      </c>
      <c r="N106" s="66" t="n">
        <v>14</v>
      </c>
      <c r="O106" s="67">
        <f>IF(ISNUMBER(tblY9[[#This Row],[9B01 - Genetics
Raw Score]]),IFERROR(VLOOKUP(ROUND(STANDARDIZE(tblY9[[#This Row],[9B01 - Genetics
Raw Score]],AVERAGE(tblY9[[9B01 - Genetics
Raw Score]]),_xlfn.STDEV.P(tblY9[[9B01 - Genetics
Raw Score]])),9),_Stanine,2),5),"")</f>
        <v>3</v>
      </c>
      <c r="P106" s="66" t="n">
        <v>14</v>
      </c>
      <c r="Q106" s="67">
        <f>IF(ISNUMBER(tblY9[[#This Row],[9C01 - Chemical Reactions
Raw Score]]),IFERROR(VLOOKUP(ROUND(STANDARDIZE(tblY9[[#This Row],[9C01 - Chemical Reactions
Raw Score]],AVERAGE(tblY9[[9C01 - Chemical Reactions
Raw Score]]),_xlfn.STDEV.P(tblY9[[9C01 - Chemical Reactions
Raw Score]])),9),_Stanine,2),5),"")</f>
        <v>3</v>
      </c>
      <c r="R106" s="66" t="n">
        <v>15</v>
      </c>
      <c r="S106" s="67">
        <f>IF(ISNUMBER(tblY9[[#This Row],[9P01 - Electricity
Raw Score]]),IFERROR(VLOOKUP(ROUND(STANDARDIZE(tblY9[[#This Row],[9P01 - Electricity
Raw Score]],AVERAGE(tblY9[[9P01 - Electricity
Raw Score]]),_xlfn.STDEV.P(tblY9[[9P01 - Electricity
Raw Score]])),9),_Stanine,2),5),"")</f>
        <v>3</v>
      </c>
      <c r="T106" s="66" t="n">
        <v>16</v>
      </c>
      <c r="U106" s="67">
        <f>IF(ISNUMBER(tblY9[[#This Row],[9B02 - Ecology
Raw Score]]),IFERROR(VLOOKUP(ROUND(STANDARDIZE(tblY9[[#This Row],[9B02 - Ecology
Raw Score]],AVERAGE(tblY9[[9B02 - Ecology
Raw Score]]),_xlfn.STDEV.P(tblY9[[9B02 - Ecology
Raw Score]])),9),_Stanine,2),5),"")</f>
        <v>4</v>
      </c>
    </row>
    <row r="107">
      <c r="A107" s="65" t="inlineStr">
        <is>
          <t>X907167570462</t>
        </is>
      </c>
      <c r="B107" s="65" t="inlineStr">
        <is>
          <t>Johnson</t>
        </is>
      </c>
      <c r="C107" s="65" t="inlineStr">
        <is>
          <t>Maisie</t>
        </is>
      </c>
      <c r="D107" s="66" t="inlineStr">
        <is>
          <t>F</t>
        </is>
      </c>
      <c r="E107" s="66" t="n"/>
      <c r="F107" s="66" t="inlineStr">
        <is>
          <t>N</t>
        </is>
      </c>
      <c r="G107" s="34" t="n">
        <v>96.3</v>
      </c>
      <c r="H107" s="34" t="n">
        <v>104.5</v>
      </c>
      <c r="I107" s="67">
        <f>IF(ISNUMBER(tblY9[[#This Row],[Avg KS2]]),IFERROR(VLOOKUP(ROUND(STANDARDIZE(tblY9[[#This Row],[Avg KS2]],AVERAGE(tblY9[[Avg KS2]]),_xlfn.STDEV.P(tblY9[[Avg KS2]])),9),_Stanine,2),5),"")</f>
        <v>4</v>
      </c>
      <c r="J107" s="66" t="inlineStr">
        <is>
          <t>9B/Sc2</t>
        </is>
      </c>
      <c r="K107" s="67">
        <f>IF(tblY9[[#This Row],[Preferred Last name]]="","",COUNTIFS($N$1:$ZZ$1,"*"&amp;CHAR(10)&amp;"Stanine",$N107:$ZZ107,"&gt;=1"))</f>
        <v>4</v>
      </c>
      <c r="L107" s="68">
        <f>IFERROR(AVERAGEIF($N$1:$ZZ$1,"*"&amp;CHAR(10)&amp;"Stanine",$N107:$ZZ107),"")</f>
        <v>6</v>
      </c>
      <c r="M107" s="69">
        <f>IF(AND(ISNUMBER(tblY9[[#This Row],[Mean Stanine]]),ISNUMBER(tblY9[[#This Row],[Avg KS2 Band]]),ISNUMBER(SlopeY9)),tblY9[[#This Row],[Mean Stanine]]-(InterceptY9+SlopeY9*tblY9[[#This Row],[Avg KS2 Band]]),"")</f>
        <v>1.68984301780694</v>
      </c>
      <c r="N107" s="66" t="n">
        <v>20</v>
      </c>
      <c r="O107" s="67">
        <f>IF(ISNUMBER(tblY9[[#This Row],[9B01 - Genetics
Raw Score]]),IFERROR(VLOOKUP(ROUND(STANDARDIZE(tblY9[[#This Row],[9B01 - Genetics
Raw Score]],AVERAGE(tblY9[[9B01 - Genetics
Raw Score]]),_xlfn.STDEV.P(tblY9[[9B01 - Genetics
Raw Score]])),9),_Stanine,2),5),"")</f>
        <v>5</v>
      </c>
      <c r="P107" s="66" t="n">
        <v>26</v>
      </c>
      <c r="Q107" s="67">
        <f>IF(ISNUMBER(tblY9[[#This Row],[9C01 - Chemical Reactions
Raw Score]]),IFERROR(VLOOKUP(ROUND(STANDARDIZE(tblY9[[#This Row],[9C01 - Chemical Reactions
Raw Score]],AVERAGE(tblY9[[9C01 - Chemical Reactions
Raw Score]]),_xlfn.STDEV.P(tblY9[[9C01 - Chemical Reactions
Raw Score]])),9),_Stanine,2),5),"")</f>
        <v>7</v>
      </c>
      <c r="R107" s="66" t="n">
        <v>24</v>
      </c>
      <c r="S107" s="67">
        <f>IF(ISNUMBER(tblY9[[#This Row],[9P01 - Electricity
Raw Score]]),IFERROR(VLOOKUP(ROUND(STANDARDIZE(tblY9[[#This Row],[9P01 - Electricity
Raw Score]],AVERAGE(tblY9[[9P01 - Electricity
Raw Score]]),_xlfn.STDEV.P(tblY9[[9P01 - Electricity
Raw Score]])),9),_Stanine,2),5),"")</f>
        <v>6</v>
      </c>
      <c r="T107" s="66" t="n">
        <v>20</v>
      </c>
      <c r="U107" s="67">
        <f>IF(ISNUMBER(tblY9[[#This Row],[9B02 - Ecology
Raw Score]]),IFERROR(VLOOKUP(ROUND(STANDARDIZE(tblY9[[#This Row],[9B02 - Ecology
Raw Score]],AVERAGE(tblY9[[9B02 - Ecology
Raw Score]]),_xlfn.STDEV.P(tblY9[[9B02 - Ecology
Raw Score]])),9),_Stanine,2),5),"")</f>
        <v>6</v>
      </c>
    </row>
    <row r="108">
      <c r="A108" s="65" t="inlineStr">
        <is>
          <t>X908515549038</t>
        </is>
      </c>
      <c r="B108" s="65" t="inlineStr">
        <is>
          <t>Kelly</t>
        </is>
      </c>
      <c r="C108" s="65" t="inlineStr">
        <is>
          <t>Poppy</t>
        </is>
      </c>
      <c r="D108" s="66" t="inlineStr">
        <is>
          <t>F</t>
        </is>
      </c>
      <c r="E108" s="66" t="n"/>
      <c r="F108" s="66" t="inlineStr">
        <is>
          <t>Y</t>
        </is>
      </c>
      <c r="G108" s="34" t="n">
        <v>88.8</v>
      </c>
      <c r="H108" s="34" t="n">
        <v>108.5</v>
      </c>
      <c r="I108" s="67">
        <f>IF(ISNUMBER(tblY9[[#This Row],[Avg KS2]]),IFERROR(VLOOKUP(ROUND(STANDARDIZE(tblY9[[#This Row],[Avg KS2]],AVERAGE(tblY9[[Avg KS2]]),_xlfn.STDEV.P(tblY9[[Avg KS2]])),9),_Stanine,2),5),"")</f>
        <v>6</v>
      </c>
      <c r="J108" s="66" t="inlineStr">
        <is>
          <t>9B/Sc2</t>
        </is>
      </c>
      <c r="K108" s="67">
        <f>IF(tblY9[[#This Row],[Preferred Last name]]="","",COUNTIFS($N$1:$ZZ$1,"*"&amp;CHAR(10)&amp;"Stanine",$N108:$ZZ108,"&gt;=1"))</f>
        <v>3</v>
      </c>
      <c r="L108" s="68">
        <f>IFERROR(AVERAGEIF($N$1:$ZZ$1,"*"&amp;CHAR(10)&amp;"Stanine",$N108:$ZZ108),"")</f>
        <v>5.33333333333333</v>
      </c>
      <c r="M108" s="69">
        <f>IF(AND(ISNUMBER(tblY9[[#This Row],[Mean Stanine]]),ISNUMBER(tblY9[[#This Row],[Avg KS2 Band]]),ISNUMBER(SlopeY9)),tblY9[[#This Row],[Mean Stanine]]-(InterceptY9+SlopeY9*tblY9[[#This Row],[Avg KS2 Band]]),"")</f>
        <v>-0.503651202749141</v>
      </c>
      <c r="N108" s="66" t="n">
        <v>19</v>
      </c>
      <c r="O108" s="67">
        <f>IF(ISNUMBER(tblY9[[#This Row],[9B01 - Genetics
Raw Score]]),IFERROR(VLOOKUP(ROUND(STANDARDIZE(tblY9[[#This Row],[9B01 - Genetics
Raw Score]],AVERAGE(tblY9[[9B01 - Genetics
Raw Score]]),_xlfn.STDEV.P(tblY9[[9B01 - Genetics
Raw Score]])),9),_Stanine,2),5),"")</f>
        <v>5</v>
      </c>
      <c r="P108" s="66" t="inlineStr">
        <is>
          <t>A</t>
        </is>
      </c>
      <c r="Q108" s="67" t="str">
        <f>IF(ISNUMBER(tblY9[[#This Row],[9C01 - Chemical Reactions
Raw Score]]),IFERROR(VLOOKUP(ROUND(STANDARDIZE(tblY9[[#This Row],[9C01 - Chemical Reactions
Raw Score]],AVERAGE(tblY9[[9C01 - Chemical Reactions
Raw Score]]),_xlfn.STDEV.P(tblY9[[9C01 - Chemical Reactions
Raw Score]])),9),_Stanine,2),5),"")</f>
        <v/>
      </c>
      <c r="R108" s="66" t="n">
        <v>23</v>
      </c>
      <c r="S108" s="67">
        <f>IF(ISNUMBER(tblY9[[#This Row],[9P01 - Electricity
Raw Score]]),IFERROR(VLOOKUP(ROUND(STANDARDIZE(tblY9[[#This Row],[9P01 - Electricity
Raw Score]],AVERAGE(tblY9[[9P01 - Electricity
Raw Score]]),_xlfn.STDEV.P(tblY9[[9P01 - Electricity
Raw Score]])),9),_Stanine,2),5),"")</f>
        <v>6</v>
      </c>
      <c r="T108" s="66" t="n">
        <v>18</v>
      </c>
      <c r="U108" s="67">
        <f>IF(ISNUMBER(tblY9[[#This Row],[9B02 - Ecology
Raw Score]]),IFERROR(VLOOKUP(ROUND(STANDARDIZE(tblY9[[#This Row],[9B02 - Ecology
Raw Score]],AVERAGE(tblY9[[9B02 - Ecology
Raw Score]]),_xlfn.STDEV.P(tblY9[[9B02 - Ecology
Raw Score]])),9),_Stanine,2),5),"")</f>
        <v>5</v>
      </c>
    </row>
    <row r="109">
      <c r="A109" s="65" t="inlineStr">
        <is>
          <t>X904222771019</t>
        </is>
      </c>
      <c r="B109" s="65" t="inlineStr">
        <is>
          <t>Kowalski</t>
        </is>
      </c>
      <c r="C109" s="65" t="inlineStr">
        <is>
          <t>Ivy</t>
        </is>
      </c>
      <c r="D109" s="66" t="inlineStr">
        <is>
          <t>M</t>
        </is>
      </c>
      <c r="E109" s="66" t="inlineStr">
        <is>
          <t>N</t>
        </is>
      </c>
      <c r="F109" s="66" t="inlineStr">
        <is>
          <t>N</t>
        </is>
      </c>
      <c r="G109" s="34" t="n">
        <v>85</v>
      </c>
      <c r="H109" s="34" t="n">
        <v>105</v>
      </c>
      <c r="I109" s="67">
        <f>IF(ISNUMBER(tblY9[[#This Row],[Avg KS2]]),IFERROR(VLOOKUP(ROUND(STANDARDIZE(tblY9[[#This Row],[Avg KS2]],AVERAGE(tblY9[[Avg KS2]]),_xlfn.STDEV.P(tblY9[[Avg KS2]])),9),_Stanine,2),5),"")</f>
        <v>4</v>
      </c>
      <c r="J109" s="66" t="inlineStr">
        <is>
          <t>9B/Sc2</t>
        </is>
      </c>
      <c r="K109" s="67">
        <f>IF(tblY9[[#This Row],[Preferred Last name]]="","",COUNTIFS($N$1:$ZZ$1,"*"&amp;CHAR(10)&amp;"Stanine",$N109:$ZZ109,"&gt;=1"))</f>
        <v>3</v>
      </c>
      <c r="L109" s="68">
        <f>IFERROR(AVERAGEIF($N$1:$ZZ$1,"*"&amp;CHAR(10)&amp;"Stanine",$N109:$ZZ109),"")</f>
        <v>5.66666666666667</v>
      </c>
      <c r="M109" s="69">
        <f>IF(AND(ISNUMBER(tblY9[[#This Row],[Mean Stanine]]),ISNUMBER(tblY9[[#This Row],[Avg KS2 Band]]),ISNUMBER(SlopeY9)),tblY9[[#This Row],[Mean Stanine]]-(InterceptY9+SlopeY9*tblY9[[#This Row],[Avg KS2 Band]]),"")</f>
        <v>1.3565096844736</v>
      </c>
      <c r="N109" s="66" t="inlineStr">
        <is>
          <t>A</t>
        </is>
      </c>
      <c r="O109" s="67" t="str">
        <f>IF(ISNUMBER(tblY9[[#This Row],[9B01 - Genetics
Raw Score]]),IFERROR(VLOOKUP(ROUND(STANDARDIZE(tblY9[[#This Row],[9B01 - Genetics
Raw Score]],AVERAGE(tblY9[[9B01 - Genetics
Raw Score]]),_xlfn.STDEV.P(tblY9[[9B01 - Genetics
Raw Score]])),9),_Stanine,2),5),"")</f>
        <v/>
      </c>
      <c r="P109" s="66" t="n">
        <v>20</v>
      </c>
      <c r="Q109" s="67">
        <f>IF(ISNUMBER(tblY9[[#This Row],[9C01 - Chemical Reactions
Raw Score]]),IFERROR(VLOOKUP(ROUND(STANDARDIZE(tblY9[[#This Row],[9C01 - Chemical Reactions
Raw Score]],AVERAGE(tblY9[[9C01 - Chemical Reactions
Raw Score]]),_xlfn.STDEV.P(tblY9[[9C01 - Chemical Reactions
Raw Score]])),9),_Stanine,2),5),"")</f>
        <v>5</v>
      </c>
      <c r="R109" s="66" t="n">
        <v>23</v>
      </c>
      <c r="S109" s="67">
        <f>IF(ISNUMBER(tblY9[[#This Row],[9P01 - Electricity
Raw Score]]),IFERROR(VLOOKUP(ROUND(STANDARDIZE(tblY9[[#This Row],[9P01 - Electricity
Raw Score]],AVERAGE(tblY9[[9P01 - Electricity
Raw Score]]),_xlfn.STDEV.P(tblY9[[9P01 - Electricity
Raw Score]])),9),_Stanine,2),5),"")</f>
        <v>6</v>
      </c>
      <c r="T109" s="66" t="n">
        <v>19</v>
      </c>
      <c r="U109" s="67">
        <f>IF(ISNUMBER(tblY9[[#This Row],[9B02 - Ecology
Raw Score]]),IFERROR(VLOOKUP(ROUND(STANDARDIZE(tblY9[[#This Row],[9B02 - Ecology
Raw Score]],AVERAGE(tblY9[[9B02 - Ecology
Raw Score]]),_xlfn.STDEV.P(tblY9[[9B02 - Ecology
Raw Score]])),9),_Stanine,2),5),"")</f>
        <v>6</v>
      </c>
    </row>
    <row r="110">
      <c r="A110" s="65" t="inlineStr">
        <is>
          <t>X906170203881</t>
        </is>
      </c>
      <c r="B110" s="65" t="inlineStr">
        <is>
          <t>Lewis</t>
        </is>
      </c>
      <c r="C110" s="65" t="inlineStr">
        <is>
          <t>Arthur</t>
        </is>
      </c>
      <c r="D110" s="66" t="inlineStr">
        <is>
          <t>M</t>
        </is>
      </c>
      <c r="E110" s="66" t="inlineStr">
        <is>
          <t>N</t>
        </is>
      </c>
      <c r="F110" s="66" t="inlineStr">
        <is>
          <t>Y</t>
        </is>
      </c>
      <c r="G110" s="34" t="n">
        <v>93</v>
      </c>
      <c r="H110" s="34" t="n">
        <v>103</v>
      </c>
      <c r="I110" s="67">
        <f>IF(ISNUMBER(tblY9[[#This Row],[Avg KS2]]),IFERROR(VLOOKUP(ROUND(STANDARDIZE(tblY9[[#This Row],[Avg KS2]],AVERAGE(tblY9[[Avg KS2]]),_xlfn.STDEV.P(tblY9[[Avg KS2]])),9),_Stanine,2),5),"")</f>
        <v>4</v>
      </c>
      <c r="J110" s="66" t="inlineStr">
        <is>
          <t>9B/Sc2</t>
        </is>
      </c>
      <c r="K110" s="67">
        <f>IF(tblY9[[#This Row],[Preferred Last name]]="","",COUNTIFS($N$1:$ZZ$1,"*"&amp;CHAR(10)&amp;"Stanine",$N110:$ZZ110,"&gt;=1"))</f>
        <v>3</v>
      </c>
      <c r="L110" s="68">
        <f>IFERROR(AVERAGEIF($N$1:$ZZ$1,"*"&amp;CHAR(10)&amp;"Stanine",$N110:$ZZ110),"")</f>
        <v>5</v>
      </c>
      <c r="M110" s="69">
        <f>IF(AND(ISNUMBER(tblY9[[#This Row],[Mean Stanine]]),ISNUMBER(tblY9[[#This Row],[Avg KS2 Band]]),ISNUMBER(SlopeY9)),tblY9[[#This Row],[Mean Stanine]]-(InterceptY9+SlopeY9*tblY9[[#This Row],[Avg KS2 Band]]),"")</f>
        <v>0.689843017806935</v>
      </c>
      <c r="N110" s="66" t="n">
        <v>22</v>
      </c>
      <c r="O110" s="67">
        <f>IF(ISNUMBER(tblY9[[#This Row],[9B01 - Genetics
Raw Score]]),IFERROR(VLOOKUP(ROUND(STANDARDIZE(tblY9[[#This Row],[9B01 - Genetics
Raw Score]],AVERAGE(tblY9[[9B01 - Genetics
Raw Score]]),_xlfn.STDEV.P(tblY9[[9B01 - Genetics
Raw Score]])),9),_Stanine,2),5),"")</f>
        <v>6</v>
      </c>
      <c r="P110" s="66" t="n">
        <v>19</v>
      </c>
      <c r="Q110" s="67">
        <f>IF(ISNUMBER(tblY9[[#This Row],[9C01 - Chemical Reactions
Raw Score]]),IFERROR(VLOOKUP(ROUND(STANDARDIZE(tblY9[[#This Row],[9C01 - Chemical Reactions
Raw Score]],AVERAGE(tblY9[[9C01 - Chemical Reactions
Raw Score]]),_xlfn.STDEV.P(tblY9[[9C01 - Chemical Reactions
Raw Score]])),9),_Stanine,2),5),"")</f>
        <v>4</v>
      </c>
      <c r="R110" s="66" t="n">
        <v>21</v>
      </c>
      <c r="S110" s="67">
        <f>IF(ISNUMBER(tblY9[[#This Row],[9P01 - Electricity
Raw Score]]),IFERROR(VLOOKUP(ROUND(STANDARDIZE(tblY9[[#This Row],[9P01 - Electricity
Raw Score]],AVERAGE(tblY9[[9P01 - Electricity
Raw Score]]),_xlfn.STDEV.P(tblY9[[9P01 - Electricity
Raw Score]])),9),_Stanine,2),5),"")</f>
        <v>5</v>
      </c>
      <c r="T110" s="66" t="inlineStr">
        <is>
          <t>A</t>
        </is>
      </c>
      <c r="U110" s="67" t="str">
        <f>IF(ISNUMBER(tblY9[[#This Row],[9B02 - Ecology
Raw Score]]),IFERROR(VLOOKUP(ROUND(STANDARDIZE(tblY9[[#This Row],[9B02 - Ecology
Raw Score]],AVERAGE(tblY9[[9B02 - Ecology
Raw Score]]),_xlfn.STDEV.P(tblY9[[9B02 - Ecology
Raw Score]])),9),_Stanine,2),5),"")</f>
        <v/>
      </c>
    </row>
    <row r="111">
      <c r="A111" s="65" t="inlineStr">
        <is>
          <t>X905816792430</t>
        </is>
      </c>
      <c r="B111" s="65" t="inlineStr">
        <is>
          <t>Murphy</t>
        </is>
      </c>
      <c r="C111" s="65" t="inlineStr">
        <is>
          <t>Leo</t>
        </is>
      </c>
      <c r="D111" s="66" t="inlineStr">
        <is>
          <t>F</t>
        </is>
      </c>
      <c r="E111" s="66" t="inlineStr">
        <is>
          <t>K</t>
        </is>
      </c>
      <c r="F111" s="66" t="inlineStr">
        <is>
          <t>N</t>
        </is>
      </c>
      <c r="G111" s="34" t="n">
        <v>100</v>
      </c>
      <c r="H111" s="34" t="n">
        <v>109</v>
      </c>
      <c r="I111" s="67">
        <f>IF(ISNUMBER(tblY9[[#This Row],[Avg KS2]]),IFERROR(VLOOKUP(ROUND(STANDARDIZE(tblY9[[#This Row],[Avg KS2]],AVERAGE(tblY9[[Avg KS2]]),_xlfn.STDEV.P(tblY9[[Avg KS2]])),9),_Stanine,2),5),"")</f>
        <v>6</v>
      </c>
      <c r="J111" s="66" t="inlineStr">
        <is>
          <t>9B/Sc2</t>
        </is>
      </c>
      <c r="K111" s="67">
        <f>IF(tblY9[[#This Row],[Preferred Last name]]="","",COUNTIFS($N$1:$ZZ$1,"*"&amp;CHAR(10)&amp;"Stanine",$N111:$ZZ111,"&gt;=1"))</f>
        <v>4</v>
      </c>
      <c r="L111" s="68">
        <f>IFERROR(AVERAGEIF($N$1:$ZZ$1,"*"&amp;CHAR(10)&amp;"Stanine",$N111:$ZZ111),"")</f>
        <v>4.5</v>
      </c>
      <c r="M111" s="69">
        <f>IF(AND(ISNUMBER(tblY9[[#This Row],[Mean Stanine]]),ISNUMBER(tblY9[[#This Row],[Avg KS2 Band]]),ISNUMBER(SlopeY9)),tblY9[[#This Row],[Mean Stanine]]-(InterceptY9+SlopeY9*tblY9[[#This Row],[Avg KS2 Band]]),"")</f>
        <v>-1.33698453608247</v>
      </c>
      <c r="N111" s="66" t="n">
        <v>18</v>
      </c>
      <c r="O111" s="67">
        <f>IF(ISNUMBER(tblY9[[#This Row],[9B01 - Genetics
Raw Score]]),IFERROR(VLOOKUP(ROUND(STANDARDIZE(tblY9[[#This Row],[9B01 - Genetics
Raw Score]],AVERAGE(tblY9[[9B01 - Genetics
Raw Score]]),_xlfn.STDEV.P(tblY9[[9B01 - Genetics
Raw Score]])),9),_Stanine,2),5),"")</f>
        <v>4</v>
      </c>
      <c r="P111" s="66" t="n">
        <v>19</v>
      </c>
      <c r="Q111" s="67">
        <f>IF(ISNUMBER(tblY9[[#This Row],[9C01 - Chemical Reactions
Raw Score]]),IFERROR(VLOOKUP(ROUND(STANDARDIZE(tblY9[[#This Row],[9C01 - Chemical Reactions
Raw Score]],AVERAGE(tblY9[[9C01 - Chemical Reactions
Raw Score]]),_xlfn.STDEV.P(tblY9[[9C01 - Chemical Reactions
Raw Score]])),9),_Stanine,2),5),"")</f>
        <v>4</v>
      </c>
      <c r="R111" s="66" t="n">
        <v>19</v>
      </c>
      <c r="S111" s="67">
        <f>IF(ISNUMBER(tblY9[[#This Row],[9P01 - Electricity
Raw Score]]),IFERROR(VLOOKUP(ROUND(STANDARDIZE(tblY9[[#This Row],[9P01 - Electricity
Raw Score]],AVERAGE(tblY9[[9P01 - Electricity
Raw Score]]),_xlfn.STDEV.P(tblY9[[9P01 - Electricity
Raw Score]])),9),_Stanine,2),5),"")</f>
        <v>4</v>
      </c>
      <c r="T111" s="66" t="n">
        <v>19</v>
      </c>
      <c r="U111" s="67">
        <f>IF(ISNUMBER(tblY9[[#This Row],[9B02 - Ecology
Raw Score]]),IFERROR(VLOOKUP(ROUND(STANDARDIZE(tblY9[[#This Row],[9B02 - Ecology
Raw Score]],AVERAGE(tblY9[[9B02 - Ecology
Raw Score]]),_xlfn.STDEV.P(tblY9[[9B02 - Ecology
Raw Score]])),9),_Stanine,2),5),"")</f>
        <v>6</v>
      </c>
    </row>
    <row r="112">
      <c r="A112" s="65" t="inlineStr">
        <is>
          <t>X907883704444</t>
        </is>
      </c>
      <c r="B112" s="65" t="inlineStr">
        <is>
          <t>Nowak</t>
        </is>
      </c>
      <c r="C112" s="65" t="inlineStr">
        <is>
          <t>Ava</t>
        </is>
      </c>
      <c r="D112" s="66" t="inlineStr">
        <is>
          <t>M</t>
        </is>
      </c>
      <c r="E112" s="66" t="inlineStr">
        <is>
          <t>N</t>
        </is>
      </c>
      <c r="F112" s="66" t="inlineStr">
        <is>
          <t>N</t>
        </is>
      </c>
      <c r="G112" s="34" t="n">
        <v>100</v>
      </c>
      <c r="H112" s="34" t="n">
        <v>110.5</v>
      </c>
      <c r="I112" s="67">
        <f>IF(ISNUMBER(tblY9[[#This Row],[Avg KS2]]),IFERROR(VLOOKUP(ROUND(STANDARDIZE(tblY9[[#This Row],[Avg KS2]],AVERAGE(tblY9[[Avg KS2]]),_xlfn.STDEV.P(tblY9[[Avg KS2]])),9),_Stanine,2),5),"")</f>
        <v>6</v>
      </c>
      <c r="J112" s="66" t="inlineStr">
        <is>
          <t>9B/Sc2</t>
        </is>
      </c>
      <c r="K112" s="67">
        <f>IF(tblY9[[#This Row],[Preferred Last name]]="","",COUNTIFS($N$1:$ZZ$1,"*"&amp;CHAR(10)&amp;"Stanine",$N112:$ZZ112,"&gt;=1"))</f>
        <v>4</v>
      </c>
      <c r="L112" s="68">
        <f>IFERROR(AVERAGEIF($N$1:$ZZ$1,"*"&amp;CHAR(10)&amp;"Stanine",$N112:$ZZ112),"")</f>
        <v>6.75</v>
      </c>
      <c r="M112" s="69">
        <f>IF(AND(ISNUMBER(tblY9[[#This Row],[Mean Stanine]]),ISNUMBER(tblY9[[#This Row],[Avg KS2 Band]]),ISNUMBER(SlopeY9)),tblY9[[#This Row],[Mean Stanine]]-(InterceptY9+SlopeY9*tblY9[[#This Row],[Avg KS2 Band]]),"")</f>
        <v>0.913015463917526</v>
      </c>
      <c r="N112" s="66" t="n">
        <v>26</v>
      </c>
      <c r="O112" s="67">
        <f>IF(ISNUMBER(tblY9[[#This Row],[9B01 - Genetics
Raw Score]]),IFERROR(VLOOKUP(ROUND(STANDARDIZE(tblY9[[#This Row],[9B01 - Genetics
Raw Score]],AVERAGE(tblY9[[9B01 - Genetics
Raw Score]]),_xlfn.STDEV.P(tblY9[[9B01 - Genetics
Raw Score]])),9),_Stanine,2),5),"")</f>
        <v>7</v>
      </c>
      <c r="P112" s="66" t="n">
        <v>27</v>
      </c>
      <c r="Q112" s="67">
        <f>IF(ISNUMBER(tblY9[[#This Row],[9C01 - Chemical Reactions
Raw Score]]),IFERROR(VLOOKUP(ROUND(STANDARDIZE(tblY9[[#This Row],[9C01 - Chemical Reactions
Raw Score]],AVERAGE(tblY9[[9C01 - Chemical Reactions
Raw Score]]),_xlfn.STDEV.P(tblY9[[9C01 - Chemical Reactions
Raw Score]])),9),_Stanine,2),5),"")</f>
        <v>7</v>
      </c>
      <c r="R112" s="66" t="n">
        <v>26</v>
      </c>
      <c r="S112" s="67">
        <f>IF(ISNUMBER(tblY9[[#This Row],[9P01 - Electricity
Raw Score]]),IFERROR(VLOOKUP(ROUND(STANDARDIZE(tblY9[[#This Row],[9P01 - Electricity
Raw Score]],AVERAGE(tblY9[[9P01 - Electricity
Raw Score]]),_xlfn.STDEV.P(tblY9[[9P01 - Electricity
Raw Score]])),9),_Stanine,2),5),"")</f>
        <v>7</v>
      </c>
      <c r="T112" s="66" t="n">
        <v>20</v>
      </c>
      <c r="U112" s="67">
        <f>IF(ISNUMBER(tblY9[[#This Row],[9B02 - Ecology
Raw Score]]),IFERROR(VLOOKUP(ROUND(STANDARDIZE(tblY9[[#This Row],[9B02 - Ecology
Raw Score]],AVERAGE(tblY9[[9B02 - Ecology
Raw Score]]),_xlfn.STDEV.P(tblY9[[9B02 - Ecology
Raw Score]])),9),_Stanine,2),5),"")</f>
        <v>6</v>
      </c>
    </row>
    <row r="113">
      <c r="A113" s="65" t="inlineStr">
        <is>
          <t>X900937683024</t>
        </is>
      </c>
      <c r="B113" s="65" t="inlineStr">
        <is>
          <t>Okafor</t>
        </is>
      </c>
      <c r="C113" s="65" t="inlineStr">
        <is>
          <t>Finley</t>
        </is>
      </c>
      <c r="D113" s="66" t="inlineStr">
        <is>
          <t>M</t>
        </is>
      </c>
      <c r="E113" s="66" t="inlineStr">
        <is>
          <t>N</t>
        </is>
      </c>
      <c r="F113" s="66" t="inlineStr">
        <is>
          <t>Y</t>
        </is>
      </c>
      <c r="G113" s="34" t="n">
        <v>88.09999999999999</v>
      </c>
      <c r="H113" s="34" t="n">
        <v>108</v>
      </c>
      <c r="I113" s="67">
        <f>IF(ISNUMBER(tblY9[[#This Row],[Avg KS2]]),IFERROR(VLOOKUP(ROUND(STANDARDIZE(tblY9[[#This Row],[Avg KS2]],AVERAGE(tblY9[[Avg KS2]]),_xlfn.STDEV.P(tblY9[[Avg KS2]])),9),_Stanine,2),5),"")</f>
        <v>6</v>
      </c>
      <c r="J113" s="66" t="inlineStr">
        <is>
          <t>9B/Sc2</t>
        </is>
      </c>
      <c r="K113" s="67">
        <f>IF(tblY9[[#This Row],[Preferred Last name]]="","",COUNTIFS($N$1:$ZZ$1,"*"&amp;CHAR(10)&amp;"Stanine",$N113:$ZZ113,"&gt;=1"))</f>
        <v>4</v>
      </c>
      <c r="L113" s="68">
        <f>IFERROR(AVERAGEIF($N$1:$ZZ$1,"*"&amp;CHAR(10)&amp;"Stanine",$N113:$ZZ113),"")</f>
        <v>6.75</v>
      </c>
      <c r="M113" s="69">
        <f>IF(AND(ISNUMBER(tblY9[[#This Row],[Mean Stanine]]),ISNUMBER(tblY9[[#This Row],[Avg KS2 Band]]),ISNUMBER(SlopeY9)),tblY9[[#This Row],[Mean Stanine]]-(InterceptY9+SlopeY9*tblY9[[#This Row],[Avg KS2 Band]]),"")</f>
        <v>0.913015463917526</v>
      </c>
      <c r="N113" s="66" t="n">
        <v>25</v>
      </c>
      <c r="O113" s="67">
        <f>IF(ISNUMBER(tblY9[[#This Row],[9B01 - Genetics
Raw Score]]),IFERROR(VLOOKUP(ROUND(STANDARDIZE(tblY9[[#This Row],[9B01 - Genetics
Raw Score]],AVERAGE(tblY9[[9B01 - Genetics
Raw Score]]),_xlfn.STDEV.P(tblY9[[9B01 - Genetics
Raw Score]])),9),_Stanine,2),5),"")</f>
        <v>7</v>
      </c>
      <c r="P113" s="66" t="n">
        <v>27</v>
      </c>
      <c r="Q113" s="67">
        <f>IF(ISNUMBER(tblY9[[#This Row],[9C01 - Chemical Reactions
Raw Score]]),IFERROR(VLOOKUP(ROUND(STANDARDIZE(tblY9[[#This Row],[9C01 - Chemical Reactions
Raw Score]],AVERAGE(tblY9[[9C01 - Chemical Reactions
Raw Score]]),_xlfn.STDEV.P(tblY9[[9C01 - Chemical Reactions
Raw Score]])),9),_Stanine,2),5),"")</f>
        <v>7</v>
      </c>
      <c r="R113" s="66" t="n">
        <v>24</v>
      </c>
      <c r="S113" s="67">
        <f>IF(ISNUMBER(tblY9[[#This Row],[9P01 - Electricity
Raw Score]]),IFERROR(VLOOKUP(ROUND(STANDARDIZE(tblY9[[#This Row],[9P01 - Electricity
Raw Score]],AVERAGE(tblY9[[9P01 - Electricity
Raw Score]]),_xlfn.STDEV.P(tblY9[[9P01 - Electricity
Raw Score]])),9),_Stanine,2),5),"")</f>
        <v>6</v>
      </c>
      <c r="T113" s="66" t="n">
        <v>21</v>
      </c>
      <c r="U113" s="67">
        <f>IF(ISNUMBER(tblY9[[#This Row],[9B02 - Ecology
Raw Score]]),IFERROR(VLOOKUP(ROUND(STANDARDIZE(tblY9[[#This Row],[9B02 - Ecology
Raw Score]],AVERAGE(tblY9[[9B02 - Ecology
Raw Score]]),_xlfn.STDEV.P(tblY9[[9B02 - Ecology
Raw Score]])),9),_Stanine,2),5),"")</f>
        <v>7</v>
      </c>
    </row>
    <row r="114">
      <c r="A114" s="65" t="inlineStr">
        <is>
          <t>X903447623460</t>
        </is>
      </c>
      <c r="B114" s="65" t="inlineStr">
        <is>
          <t>Okafor</t>
        </is>
      </c>
      <c r="C114" s="65" t="inlineStr">
        <is>
          <t>Mia</t>
        </is>
      </c>
      <c r="D114" s="66" t="inlineStr">
        <is>
          <t>F</t>
        </is>
      </c>
      <c r="E114" s="66" t="inlineStr">
        <is>
          <t>N</t>
        </is>
      </c>
      <c r="F114" s="66" t="inlineStr">
        <is>
          <t>N</t>
        </is>
      </c>
      <c r="G114" s="34" t="n">
        <v>94.2</v>
      </c>
      <c r="H114" s="34" t="n">
        <v>107.5</v>
      </c>
      <c r="I114" s="67">
        <f>IF(ISNUMBER(tblY9[[#This Row],[Avg KS2]]),IFERROR(VLOOKUP(ROUND(STANDARDIZE(tblY9[[#This Row],[Avg KS2]],AVERAGE(tblY9[[Avg KS2]]),_xlfn.STDEV.P(tblY9[[Avg KS2]])),9),_Stanine,2),5),"")</f>
        <v>5</v>
      </c>
      <c r="J114" s="66" t="inlineStr">
        <is>
          <t>9B/Sc2</t>
        </is>
      </c>
      <c r="K114" s="67">
        <f>IF(tblY9[[#This Row],[Preferred Last name]]="","",COUNTIFS($N$1:$ZZ$1,"*"&amp;CHAR(10)&amp;"Stanine",$N114:$ZZ114,"&gt;=1"))</f>
        <v>4</v>
      </c>
      <c r="L114" s="68">
        <f>IFERROR(AVERAGEIF($N$1:$ZZ$1,"*"&amp;CHAR(10)&amp;"Stanine",$N114:$ZZ114),"")</f>
        <v>5.5</v>
      </c>
      <c r="M114" s="69">
        <f>IF(AND(ISNUMBER(tblY9[[#This Row],[Mean Stanine]]),ISNUMBER(tblY9[[#This Row],[Avg KS2 Band]]),ISNUMBER(SlopeY9)),tblY9[[#This Row],[Mean Stanine]]-(InterceptY9+SlopeY9*tblY9[[#This Row],[Avg KS2 Band]]),"")</f>
        <v>0.42642924086223</v>
      </c>
      <c r="N114" s="66" t="n">
        <v>23</v>
      </c>
      <c r="O114" s="67">
        <f>IF(ISNUMBER(tblY9[[#This Row],[9B01 - Genetics
Raw Score]]),IFERROR(VLOOKUP(ROUND(STANDARDIZE(tblY9[[#This Row],[9B01 - Genetics
Raw Score]],AVERAGE(tblY9[[9B01 - Genetics
Raw Score]]),_xlfn.STDEV.P(tblY9[[9B01 - Genetics
Raw Score]])),9),_Stanine,2),5),"")</f>
        <v>6</v>
      </c>
      <c r="P114" s="66" t="n">
        <v>24</v>
      </c>
      <c r="Q114" s="67">
        <f>IF(ISNUMBER(tblY9[[#This Row],[9C01 - Chemical Reactions
Raw Score]]),IFERROR(VLOOKUP(ROUND(STANDARDIZE(tblY9[[#This Row],[9C01 - Chemical Reactions
Raw Score]],AVERAGE(tblY9[[9C01 - Chemical Reactions
Raw Score]]),_xlfn.STDEV.P(tblY9[[9C01 - Chemical Reactions
Raw Score]])),9),_Stanine,2),5),"")</f>
        <v>6</v>
      </c>
      <c r="R114" s="66" t="n">
        <v>18</v>
      </c>
      <c r="S114" s="67">
        <f>IF(ISNUMBER(tblY9[[#This Row],[9P01 - Electricity
Raw Score]]),IFERROR(VLOOKUP(ROUND(STANDARDIZE(tblY9[[#This Row],[9P01 - Electricity
Raw Score]],AVERAGE(tblY9[[9P01 - Electricity
Raw Score]]),_xlfn.STDEV.P(tblY9[[9P01 - Electricity
Raw Score]])),9),_Stanine,2),5),"")</f>
        <v>4</v>
      </c>
      <c r="T114" s="66" t="n">
        <v>20</v>
      </c>
      <c r="U114" s="67">
        <f>IF(ISNUMBER(tblY9[[#This Row],[9B02 - Ecology
Raw Score]]),IFERROR(VLOOKUP(ROUND(STANDARDIZE(tblY9[[#This Row],[9B02 - Ecology
Raw Score]],AVERAGE(tblY9[[9B02 - Ecology
Raw Score]]),_xlfn.STDEV.P(tblY9[[9B02 - Ecology
Raw Score]])),9),_Stanine,2),5),"")</f>
        <v>6</v>
      </c>
    </row>
    <row r="115">
      <c r="A115" s="65" t="inlineStr">
        <is>
          <t>X906739566776</t>
        </is>
      </c>
      <c r="B115" s="65" t="inlineStr">
        <is>
          <t>Patel</t>
        </is>
      </c>
      <c r="C115" s="65" t="inlineStr">
        <is>
          <t>Dylan</t>
        </is>
      </c>
      <c r="D115" s="66" t="inlineStr">
        <is>
          <t>M</t>
        </is>
      </c>
      <c r="E115" s="66" t="inlineStr">
        <is>
          <t>N</t>
        </is>
      </c>
      <c r="F115" s="66" t="inlineStr">
        <is>
          <t>N</t>
        </is>
      </c>
      <c r="G115" s="34" t="n">
        <v>100</v>
      </c>
      <c r="H115" s="34" t="n">
        <v>108</v>
      </c>
      <c r="I115" s="67">
        <f>IF(ISNUMBER(tblY9[[#This Row],[Avg KS2]]),IFERROR(VLOOKUP(ROUND(STANDARDIZE(tblY9[[#This Row],[Avg KS2]],AVERAGE(tblY9[[Avg KS2]]),_xlfn.STDEV.P(tblY9[[Avg KS2]])),9),_Stanine,2),5),"")</f>
        <v>6</v>
      </c>
      <c r="J115" s="66" t="inlineStr">
        <is>
          <t>9B/Sc2</t>
        </is>
      </c>
      <c r="K115" s="67">
        <f>IF(tblY9[[#This Row],[Preferred Last name]]="","",COUNTIFS($N$1:$ZZ$1,"*"&amp;CHAR(10)&amp;"Stanine",$N115:$ZZ115,"&gt;=1"))</f>
        <v>4</v>
      </c>
      <c r="L115" s="68">
        <f>IFERROR(AVERAGEIF($N$1:$ZZ$1,"*"&amp;CHAR(10)&amp;"Stanine",$N115:$ZZ115),"")</f>
        <v>4.25</v>
      </c>
      <c r="M115" s="69">
        <f>IF(AND(ISNUMBER(tblY9[[#This Row],[Mean Stanine]]),ISNUMBER(tblY9[[#This Row],[Avg KS2 Band]]),ISNUMBER(SlopeY9)),tblY9[[#This Row],[Mean Stanine]]-(InterceptY9+SlopeY9*tblY9[[#This Row],[Avg KS2 Band]]),"")</f>
        <v>-1.58698453608247</v>
      </c>
      <c r="N115" s="66" t="n">
        <v>17</v>
      </c>
      <c r="O115" s="67">
        <f>IF(ISNUMBER(tblY9[[#This Row],[9B01 - Genetics
Raw Score]]),IFERROR(VLOOKUP(ROUND(STANDARDIZE(tblY9[[#This Row],[9B01 - Genetics
Raw Score]],AVERAGE(tblY9[[9B01 - Genetics
Raw Score]]),_xlfn.STDEV.P(tblY9[[9B01 - Genetics
Raw Score]])),9),_Stanine,2),5),"")</f>
        <v>4</v>
      </c>
      <c r="P115" s="66" t="n">
        <v>19</v>
      </c>
      <c r="Q115" s="67">
        <f>IF(ISNUMBER(tblY9[[#This Row],[9C01 - Chemical Reactions
Raw Score]]),IFERROR(VLOOKUP(ROUND(STANDARDIZE(tblY9[[#This Row],[9C01 - Chemical Reactions
Raw Score]],AVERAGE(tblY9[[9C01 - Chemical Reactions
Raw Score]]),_xlfn.STDEV.P(tblY9[[9C01 - Chemical Reactions
Raw Score]])),9),_Stanine,2),5),"")</f>
        <v>4</v>
      </c>
      <c r="R115" s="66" t="n">
        <v>19</v>
      </c>
      <c r="S115" s="67">
        <f>IF(ISNUMBER(tblY9[[#This Row],[9P01 - Electricity
Raw Score]]),IFERROR(VLOOKUP(ROUND(STANDARDIZE(tblY9[[#This Row],[9P01 - Electricity
Raw Score]],AVERAGE(tblY9[[9P01 - Electricity
Raw Score]]),_xlfn.STDEV.P(tblY9[[9P01 - Electricity
Raw Score]])),9),_Stanine,2),5),"")</f>
        <v>4</v>
      </c>
      <c r="T115" s="66" t="n">
        <v>17</v>
      </c>
      <c r="U115" s="67">
        <f>IF(ISNUMBER(tblY9[[#This Row],[9B02 - Ecology
Raw Score]]),IFERROR(VLOOKUP(ROUND(STANDARDIZE(tblY9[[#This Row],[9B02 - Ecology
Raw Score]],AVERAGE(tblY9[[9B02 - Ecology
Raw Score]]),_xlfn.STDEV.P(tblY9[[9B02 - Ecology
Raw Score]])),9),_Stanine,2),5),"")</f>
        <v>5</v>
      </c>
    </row>
    <row r="116">
      <c r="A116" s="65" t="inlineStr">
        <is>
          <t>X909666924797</t>
        </is>
      </c>
      <c r="B116" s="65" t="inlineStr">
        <is>
          <t>Patel</t>
        </is>
      </c>
      <c r="C116" s="65" t="inlineStr">
        <is>
          <t>Ella</t>
        </is>
      </c>
      <c r="D116" s="66" t="inlineStr">
        <is>
          <t>M</t>
        </is>
      </c>
      <c r="E116" s="66" t="inlineStr">
        <is>
          <t>N</t>
        </is>
      </c>
      <c r="F116" s="66" t="inlineStr">
        <is>
          <t>N</t>
        </is>
      </c>
      <c r="G116" s="34" t="n">
        <v>92.59999999999999</v>
      </c>
      <c r="H116" s="34" t="n">
        <v>102.5</v>
      </c>
      <c r="I116" s="67">
        <f>IF(ISNUMBER(tblY9[[#This Row],[Avg KS2]]),IFERROR(VLOOKUP(ROUND(STANDARDIZE(tblY9[[#This Row],[Avg KS2]],AVERAGE(tblY9[[Avg KS2]]),_xlfn.STDEV.P(tblY9[[Avg KS2]])),9),_Stanine,2),5),"")</f>
        <v>3</v>
      </c>
      <c r="J116" s="66" t="inlineStr">
        <is>
          <t>9B/Sc2</t>
        </is>
      </c>
      <c r="K116" s="67">
        <f>IF(tblY9[[#This Row],[Preferred Last name]]="","",COUNTIFS($N$1:$ZZ$1,"*"&amp;CHAR(10)&amp;"Stanine",$N116:$ZZ116,"&gt;=1"))</f>
        <v>4</v>
      </c>
      <c r="L116" s="68">
        <f>IFERROR(AVERAGEIF($N$1:$ZZ$1,"*"&amp;CHAR(10)&amp;"Stanine",$N116:$ZZ116),"")</f>
        <v>3.5</v>
      </c>
      <c r="M116" s="69">
        <f>IF(AND(ISNUMBER(tblY9[[#This Row],[Mean Stanine]]),ISNUMBER(tblY9[[#This Row],[Avg KS2 Band]]),ISNUMBER(SlopeY9)),tblY9[[#This Row],[Mean Stanine]]-(InterceptY9+SlopeY9*tblY9[[#This Row],[Avg KS2 Band]]),"")</f>
        <v>-0.0467432052483598</v>
      </c>
      <c r="N116" s="66" t="n">
        <v>14</v>
      </c>
      <c r="O116" s="67">
        <f>IF(ISNUMBER(tblY9[[#This Row],[9B01 - Genetics
Raw Score]]),IFERROR(VLOOKUP(ROUND(STANDARDIZE(tblY9[[#This Row],[9B01 - Genetics
Raw Score]],AVERAGE(tblY9[[9B01 - Genetics
Raw Score]]),_xlfn.STDEV.P(tblY9[[9B01 - Genetics
Raw Score]])),9),_Stanine,2),5),"")</f>
        <v>3</v>
      </c>
      <c r="P116" s="66" t="n">
        <v>21</v>
      </c>
      <c r="Q116" s="67">
        <f>IF(ISNUMBER(tblY9[[#This Row],[9C01 - Chemical Reactions
Raw Score]]),IFERROR(VLOOKUP(ROUND(STANDARDIZE(tblY9[[#This Row],[9C01 - Chemical Reactions
Raw Score]],AVERAGE(tblY9[[9C01 - Chemical Reactions
Raw Score]]),_xlfn.STDEV.P(tblY9[[9C01 - Chemical Reactions
Raw Score]])),9),_Stanine,2),5),"")</f>
        <v>5</v>
      </c>
      <c r="R116" s="66" t="n">
        <v>18</v>
      </c>
      <c r="S116" s="67">
        <f>IF(ISNUMBER(tblY9[[#This Row],[9P01 - Electricity
Raw Score]]),IFERROR(VLOOKUP(ROUND(STANDARDIZE(tblY9[[#This Row],[9P01 - Electricity
Raw Score]],AVERAGE(tblY9[[9P01 - Electricity
Raw Score]]),_xlfn.STDEV.P(tblY9[[9P01 - Electricity
Raw Score]])),9),_Stanine,2),5),"")</f>
        <v>4</v>
      </c>
      <c r="T116" s="66" t="n">
        <v>12</v>
      </c>
      <c r="U116" s="67">
        <f>IF(ISNUMBER(tblY9[[#This Row],[9B02 - Ecology
Raw Score]]),IFERROR(VLOOKUP(ROUND(STANDARDIZE(tblY9[[#This Row],[9B02 - Ecology
Raw Score]],AVERAGE(tblY9[[9B02 - Ecology
Raw Score]]),_xlfn.STDEV.P(tblY9[[9B02 - Ecology
Raw Score]])),9),_Stanine,2),5),"")</f>
        <v>2</v>
      </c>
    </row>
    <row r="117">
      <c r="A117" s="65" t="inlineStr">
        <is>
          <t>X908578868061</t>
        </is>
      </c>
      <c r="B117" s="65" t="inlineStr">
        <is>
          <t>Price</t>
        </is>
      </c>
      <c r="C117" s="65" t="inlineStr">
        <is>
          <t>Jacob</t>
        </is>
      </c>
      <c r="D117" s="66" t="inlineStr">
        <is>
          <t>F</t>
        </is>
      </c>
      <c r="E117" s="66" t="n"/>
      <c r="F117" s="66" t="inlineStr">
        <is>
          <t>Y</t>
        </is>
      </c>
      <c r="G117" s="34" t="n">
        <v>87.40000000000001</v>
      </c>
      <c r="H117" s="34" t="n">
        <v>107.5</v>
      </c>
      <c r="I117" s="67">
        <f>IF(ISNUMBER(tblY9[[#This Row],[Avg KS2]]),IFERROR(VLOOKUP(ROUND(STANDARDIZE(tblY9[[#This Row],[Avg KS2]],AVERAGE(tblY9[[Avg KS2]]),_xlfn.STDEV.P(tblY9[[Avg KS2]])),9),_Stanine,2),5),"")</f>
        <v>5</v>
      </c>
      <c r="J117" s="66" t="inlineStr">
        <is>
          <t>9B/Sc2</t>
        </is>
      </c>
      <c r="K117" s="67">
        <f>IF(tblY9[[#This Row],[Preferred Last name]]="","",COUNTIFS($N$1:$ZZ$1,"*"&amp;CHAR(10)&amp;"Stanine",$N117:$ZZ117,"&gt;=1"))</f>
        <v>4</v>
      </c>
      <c r="L117" s="68">
        <f>IFERROR(AVERAGEIF($N$1:$ZZ$1,"*"&amp;CHAR(10)&amp;"Stanine",$N117:$ZZ117),"")</f>
        <v>6.25</v>
      </c>
      <c r="M117" s="69">
        <f>IF(AND(ISNUMBER(tblY9[[#This Row],[Mean Stanine]]),ISNUMBER(tblY9[[#This Row],[Avg KS2 Band]]),ISNUMBER(SlopeY9)),tblY9[[#This Row],[Mean Stanine]]-(InterceptY9+SlopeY9*tblY9[[#This Row],[Avg KS2 Band]]),"")</f>
        <v>1.17642924086223</v>
      </c>
      <c r="N117" s="66" t="n">
        <v>24</v>
      </c>
      <c r="O117" s="67">
        <f>IF(ISNUMBER(tblY9[[#This Row],[9B01 - Genetics
Raw Score]]),IFERROR(VLOOKUP(ROUND(STANDARDIZE(tblY9[[#This Row],[9B01 - Genetics
Raw Score]],AVERAGE(tblY9[[9B01 - Genetics
Raw Score]]),_xlfn.STDEV.P(tblY9[[9B01 - Genetics
Raw Score]])),9),_Stanine,2),5),"")</f>
        <v>6</v>
      </c>
      <c r="P117" s="66" t="n">
        <v>26</v>
      </c>
      <c r="Q117" s="67">
        <f>IF(ISNUMBER(tblY9[[#This Row],[9C01 - Chemical Reactions
Raw Score]]),IFERROR(VLOOKUP(ROUND(STANDARDIZE(tblY9[[#This Row],[9C01 - Chemical Reactions
Raw Score]],AVERAGE(tblY9[[9C01 - Chemical Reactions
Raw Score]]),_xlfn.STDEV.P(tblY9[[9C01 - Chemical Reactions
Raw Score]])),9),_Stanine,2),5),"")</f>
        <v>7</v>
      </c>
      <c r="R117" s="66" t="n">
        <v>20</v>
      </c>
      <c r="S117" s="67">
        <f>IF(ISNUMBER(tblY9[[#This Row],[9P01 - Electricity
Raw Score]]),IFERROR(VLOOKUP(ROUND(STANDARDIZE(tblY9[[#This Row],[9P01 - Electricity
Raw Score]],AVERAGE(tblY9[[9P01 - Electricity
Raw Score]]),_xlfn.STDEV.P(tblY9[[9P01 - Electricity
Raw Score]])),9),_Stanine,2),5),"")</f>
        <v>5</v>
      </c>
      <c r="T117" s="66" t="n">
        <v>21</v>
      </c>
      <c r="U117" s="67">
        <f>IF(ISNUMBER(tblY9[[#This Row],[9B02 - Ecology
Raw Score]]),IFERROR(VLOOKUP(ROUND(STANDARDIZE(tblY9[[#This Row],[9B02 - Ecology
Raw Score]],AVERAGE(tblY9[[9B02 - Ecology
Raw Score]]),_xlfn.STDEV.P(tblY9[[9B02 - Ecology
Raw Score]])),9),_Stanine,2),5),"")</f>
        <v>7</v>
      </c>
    </row>
    <row r="118">
      <c r="A118" s="65" t="inlineStr">
        <is>
          <t>X905771051358</t>
        </is>
      </c>
      <c r="B118" s="65" t="inlineStr">
        <is>
          <t>Roberts</t>
        </is>
      </c>
      <c r="C118" s="65" t="inlineStr">
        <is>
          <t>Freya</t>
        </is>
      </c>
      <c r="D118" s="66" t="inlineStr">
        <is>
          <t>M</t>
        </is>
      </c>
      <c r="E118" s="66" t="inlineStr">
        <is>
          <t>N</t>
        </is>
      </c>
      <c r="F118" s="66" t="inlineStr">
        <is>
          <t>N</t>
        </is>
      </c>
      <c r="G118" s="34" t="n">
        <v>81.7</v>
      </c>
      <c r="H118" s="34" t="n">
        <v>105.5</v>
      </c>
      <c r="I118" s="67">
        <f>IF(ISNUMBER(tblY9[[#This Row],[Avg KS2]]),IFERROR(VLOOKUP(ROUND(STANDARDIZE(tblY9[[#This Row],[Avg KS2]],AVERAGE(tblY9[[Avg KS2]]),_xlfn.STDEV.P(tblY9[[Avg KS2]])),9),_Stanine,2),5),"")</f>
        <v>5</v>
      </c>
      <c r="J118" s="66" t="inlineStr">
        <is>
          <t>9B/Sc2</t>
        </is>
      </c>
      <c r="K118" s="67">
        <f>IF(tblY9[[#This Row],[Preferred Last name]]="","",COUNTIFS($N$1:$ZZ$1,"*"&amp;CHAR(10)&amp;"Stanine",$N118:$ZZ118,"&gt;=1"))</f>
        <v>4</v>
      </c>
      <c r="L118" s="68">
        <f>IFERROR(AVERAGEIF($N$1:$ZZ$1,"*"&amp;CHAR(10)&amp;"Stanine",$N118:$ZZ118),"")</f>
        <v>4.75</v>
      </c>
      <c r="M118" s="69">
        <f>IF(AND(ISNUMBER(tblY9[[#This Row],[Mean Stanine]]),ISNUMBER(tblY9[[#This Row],[Avg KS2 Band]]),ISNUMBER(SlopeY9)),tblY9[[#This Row],[Mean Stanine]]-(InterceptY9+SlopeY9*tblY9[[#This Row],[Avg KS2 Band]]),"")</f>
        <v>-0.32357075913777</v>
      </c>
      <c r="N118" s="66" t="n">
        <v>22</v>
      </c>
      <c r="O118" s="67">
        <f>IF(ISNUMBER(tblY9[[#This Row],[9B01 - Genetics
Raw Score]]),IFERROR(VLOOKUP(ROUND(STANDARDIZE(tblY9[[#This Row],[9B01 - Genetics
Raw Score]],AVERAGE(tblY9[[9B01 - Genetics
Raw Score]]),_xlfn.STDEV.P(tblY9[[9B01 - Genetics
Raw Score]])),9),_Stanine,2),5),"")</f>
        <v>6</v>
      </c>
      <c r="P118" s="66" t="n">
        <v>21</v>
      </c>
      <c r="Q118" s="67">
        <f>IF(ISNUMBER(tblY9[[#This Row],[9C01 - Chemical Reactions
Raw Score]]),IFERROR(VLOOKUP(ROUND(STANDARDIZE(tblY9[[#This Row],[9C01 - Chemical Reactions
Raw Score]],AVERAGE(tblY9[[9C01 - Chemical Reactions
Raw Score]]),_xlfn.STDEV.P(tblY9[[9C01 - Chemical Reactions
Raw Score]])),9),_Stanine,2),5),"")</f>
        <v>5</v>
      </c>
      <c r="R118" s="66" t="n">
        <v>18</v>
      </c>
      <c r="S118" s="67">
        <f>IF(ISNUMBER(tblY9[[#This Row],[9P01 - Electricity
Raw Score]]),IFERROR(VLOOKUP(ROUND(STANDARDIZE(tblY9[[#This Row],[9P01 - Electricity
Raw Score]],AVERAGE(tblY9[[9P01 - Electricity
Raw Score]]),_xlfn.STDEV.P(tblY9[[9P01 - Electricity
Raw Score]])),9),_Stanine,2),5),"")</f>
        <v>4</v>
      </c>
      <c r="T118" s="66" t="n">
        <v>15</v>
      </c>
      <c r="U118" s="67">
        <f>IF(ISNUMBER(tblY9[[#This Row],[9B02 - Ecology
Raw Score]]),IFERROR(VLOOKUP(ROUND(STANDARDIZE(tblY9[[#This Row],[9B02 - Ecology
Raw Score]],AVERAGE(tblY9[[9B02 - Ecology
Raw Score]]),_xlfn.STDEV.P(tblY9[[9B02 - Ecology
Raw Score]])),9),_Stanine,2),5),"")</f>
        <v>4</v>
      </c>
    </row>
    <row r="119">
      <c r="A119" s="65" t="inlineStr">
        <is>
          <t>X908506453736</t>
        </is>
      </c>
      <c r="B119" s="65" t="inlineStr">
        <is>
          <t>Taylor</t>
        </is>
      </c>
      <c r="C119" s="65" t="inlineStr">
        <is>
          <t>Reuben</t>
        </is>
      </c>
      <c r="D119" s="66" t="inlineStr">
        <is>
          <t>M</t>
        </is>
      </c>
      <c r="E119" s="66" t="n"/>
      <c r="F119" s="66" t="inlineStr">
        <is>
          <t>Y</t>
        </is>
      </c>
      <c r="G119" s="34" t="n">
        <v>89.40000000000001</v>
      </c>
      <c r="H119" s="34" t="n">
        <v>102</v>
      </c>
      <c r="I119" s="67">
        <f>IF(ISNUMBER(tblY9[[#This Row],[Avg KS2]]),IFERROR(VLOOKUP(ROUND(STANDARDIZE(tblY9[[#This Row],[Avg KS2]],AVERAGE(tblY9[[Avg KS2]]),_xlfn.STDEV.P(tblY9[[Avg KS2]])),9),_Stanine,2),5),"")</f>
        <v>3</v>
      </c>
      <c r="J119" s="66" t="inlineStr">
        <is>
          <t>9B/Sc2</t>
        </is>
      </c>
      <c r="K119" s="67">
        <f>IF(tblY9[[#This Row],[Preferred Last name]]="","",COUNTIFS($N$1:$ZZ$1,"*"&amp;CHAR(10)&amp;"Stanine",$N119:$ZZ119,"&gt;=1"))</f>
        <v>4</v>
      </c>
      <c r="L119" s="68">
        <f>IFERROR(AVERAGEIF($N$1:$ZZ$1,"*"&amp;CHAR(10)&amp;"Stanine",$N119:$ZZ119),"")</f>
        <v>4.25</v>
      </c>
      <c r="M119" s="69">
        <f>IF(AND(ISNUMBER(tblY9[[#This Row],[Mean Stanine]]),ISNUMBER(tblY9[[#This Row],[Avg KS2 Band]]),ISNUMBER(SlopeY9)),tblY9[[#This Row],[Mean Stanine]]-(InterceptY9+SlopeY9*tblY9[[#This Row],[Avg KS2 Band]]),"")</f>
        <v>0.70325679475164</v>
      </c>
      <c r="N119" s="66" t="n">
        <v>16</v>
      </c>
      <c r="O119" s="67">
        <f>IF(ISNUMBER(tblY9[[#This Row],[9B01 - Genetics
Raw Score]]),IFERROR(VLOOKUP(ROUND(STANDARDIZE(tblY9[[#This Row],[9B01 - Genetics
Raw Score]],AVERAGE(tblY9[[9B01 - Genetics
Raw Score]]),_xlfn.STDEV.P(tblY9[[9B01 - Genetics
Raw Score]])),9),_Stanine,2),5),"")</f>
        <v>4</v>
      </c>
      <c r="P119" s="66" t="n">
        <v>22</v>
      </c>
      <c r="Q119" s="67">
        <f>IF(ISNUMBER(tblY9[[#This Row],[9C01 - Chemical Reactions
Raw Score]]),IFERROR(VLOOKUP(ROUND(STANDARDIZE(tblY9[[#This Row],[9C01 - Chemical Reactions
Raw Score]],AVERAGE(tblY9[[9C01 - Chemical Reactions
Raw Score]]),_xlfn.STDEV.P(tblY9[[9C01 - Chemical Reactions
Raw Score]])),9),_Stanine,2),5),"")</f>
        <v>5</v>
      </c>
      <c r="R119" s="66" t="n">
        <v>18</v>
      </c>
      <c r="S119" s="67">
        <f>IF(ISNUMBER(tblY9[[#This Row],[9P01 - Electricity
Raw Score]]),IFERROR(VLOOKUP(ROUND(STANDARDIZE(tblY9[[#This Row],[9P01 - Electricity
Raw Score]],AVERAGE(tblY9[[9P01 - Electricity
Raw Score]]),_xlfn.STDEV.P(tblY9[[9P01 - Electricity
Raw Score]])),9),_Stanine,2),5),"")</f>
        <v>4</v>
      </c>
      <c r="T119" s="66" t="n">
        <v>15</v>
      </c>
      <c r="U119" s="67">
        <f>IF(ISNUMBER(tblY9[[#This Row],[9B02 - Ecology
Raw Score]]),IFERROR(VLOOKUP(ROUND(STANDARDIZE(tblY9[[#This Row],[9B02 - Ecology
Raw Score]],AVERAGE(tblY9[[9B02 - Ecology
Raw Score]]),_xlfn.STDEV.P(tblY9[[9B02 - Ecology
Raw Score]])),9),_Stanine,2),5),"")</f>
        <v>4</v>
      </c>
    </row>
    <row r="120">
      <c r="A120" s="65" t="inlineStr">
        <is>
          <t>X903846531251</t>
        </is>
      </c>
      <c r="B120" s="65" t="inlineStr">
        <is>
          <t>Thompson</t>
        </is>
      </c>
      <c r="C120" s="65" t="inlineStr">
        <is>
          <t>Dylan</t>
        </is>
      </c>
      <c r="D120" s="66" t="inlineStr">
        <is>
          <t>F</t>
        </is>
      </c>
      <c r="E120" s="66" t="inlineStr">
        <is>
          <t>N</t>
        </is>
      </c>
      <c r="F120" s="66" t="inlineStr">
        <is>
          <t>N</t>
        </is>
      </c>
      <c r="G120" s="34" t="n">
        <v>97.2</v>
      </c>
      <c r="H120" s="34" t="n">
        <v>99.5</v>
      </c>
      <c r="I120" s="67">
        <f>IF(ISNUMBER(tblY9[[#This Row],[Avg KS2]]),IFERROR(VLOOKUP(ROUND(STANDARDIZE(tblY9[[#This Row],[Avg KS2]],AVERAGE(tblY9[[Avg KS2]]),_xlfn.STDEV.P(tblY9[[Avg KS2]])),9),_Stanine,2),5),"")</f>
        <v>2</v>
      </c>
      <c r="J120" s="66" t="inlineStr">
        <is>
          <t>9B/Sc2</t>
        </is>
      </c>
      <c r="K120" s="67">
        <f>IF(tblY9[[#This Row],[Preferred Last name]]="","",COUNTIFS($N$1:$ZZ$1,"*"&amp;CHAR(10)&amp;"Stanine",$N120:$ZZ120,"&gt;=1"))</f>
        <v>4</v>
      </c>
      <c r="L120" s="68">
        <f>IFERROR(AVERAGEIF($N$1:$ZZ$1,"*"&amp;CHAR(10)&amp;"Stanine",$N120:$ZZ120),"")</f>
        <v>4</v>
      </c>
      <c r="M120" s="69">
        <f>IF(AND(ISNUMBER(tblY9[[#This Row],[Mean Stanine]]),ISNUMBER(tblY9[[#This Row],[Avg KS2 Band]]),ISNUMBER(SlopeY9)),tblY9[[#This Row],[Mean Stanine]]-(InterceptY9+SlopeY9*tblY9[[#This Row],[Avg KS2 Band]]),"")</f>
        <v>1.21667057169635</v>
      </c>
      <c r="N120" s="66" t="n">
        <v>18</v>
      </c>
      <c r="O120" s="67">
        <f>IF(ISNUMBER(tblY9[[#This Row],[9B01 - Genetics
Raw Score]]),IFERROR(VLOOKUP(ROUND(STANDARDIZE(tblY9[[#This Row],[9B01 - Genetics
Raw Score]],AVERAGE(tblY9[[9B01 - Genetics
Raw Score]]),_xlfn.STDEV.P(tblY9[[9B01 - Genetics
Raw Score]])),9),_Stanine,2),5),"")</f>
        <v>4</v>
      </c>
      <c r="P120" s="66" t="n">
        <v>17</v>
      </c>
      <c r="Q120" s="67">
        <f>IF(ISNUMBER(tblY9[[#This Row],[9C01 - Chemical Reactions
Raw Score]]),IFERROR(VLOOKUP(ROUND(STANDARDIZE(tblY9[[#This Row],[9C01 - Chemical Reactions
Raw Score]],AVERAGE(tblY9[[9C01 - Chemical Reactions
Raw Score]]),_xlfn.STDEV.P(tblY9[[9C01 - Chemical Reactions
Raw Score]])),9),_Stanine,2),5),"")</f>
        <v>4</v>
      </c>
      <c r="R120" s="66" t="n">
        <v>18</v>
      </c>
      <c r="S120" s="67">
        <f>IF(ISNUMBER(tblY9[[#This Row],[9P01 - Electricity
Raw Score]]),IFERROR(VLOOKUP(ROUND(STANDARDIZE(tblY9[[#This Row],[9P01 - Electricity
Raw Score]],AVERAGE(tblY9[[9P01 - Electricity
Raw Score]]),_xlfn.STDEV.P(tblY9[[9P01 - Electricity
Raw Score]])),9),_Stanine,2),5),"")</f>
        <v>4</v>
      </c>
      <c r="T120" s="66" t="n">
        <v>16</v>
      </c>
      <c r="U120" s="67">
        <f>IF(ISNUMBER(tblY9[[#This Row],[9B02 - Ecology
Raw Score]]),IFERROR(VLOOKUP(ROUND(STANDARDIZE(tblY9[[#This Row],[9B02 - Ecology
Raw Score]],AVERAGE(tblY9[[9B02 - Ecology
Raw Score]]),_xlfn.STDEV.P(tblY9[[9B02 - Ecology
Raw Score]])),9),_Stanine,2),5),"")</f>
        <v>4</v>
      </c>
    </row>
    <row r="121">
      <c r="A121" s="65" t="inlineStr">
        <is>
          <t>X903390527242</t>
        </is>
      </c>
      <c r="B121" s="65" t="inlineStr">
        <is>
          <t>Thompson</t>
        </is>
      </c>
      <c r="C121" s="65" t="inlineStr">
        <is>
          <t>Kai</t>
        </is>
      </c>
      <c r="D121" s="66" t="inlineStr">
        <is>
          <t>M</t>
        </is>
      </c>
      <c r="E121" s="66" t="inlineStr">
        <is>
          <t>N</t>
        </is>
      </c>
      <c r="F121" s="66" t="inlineStr">
        <is>
          <t>Y</t>
        </is>
      </c>
      <c r="G121" s="34" t="n">
        <v>93.5</v>
      </c>
      <c r="H121" s="34" t="n">
        <v>101</v>
      </c>
      <c r="I121" s="67">
        <f>IF(ISNUMBER(tblY9[[#This Row],[Avg KS2]]),IFERROR(VLOOKUP(ROUND(STANDARDIZE(tblY9[[#This Row],[Avg KS2]],AVERAGE(tblY9[[Avg KS2]]),_xlfn.STDEV.P(tblY9[[Avg KS2]])),9),_Stanine,2),5),"")</f>
        <v>3</v>
      </c>
      <c r="J121" s="66" t="inlineStr">
        <is>
          <t>9B/Sc2</t>
        </is>
      </c>
      <c r="K121" s="67">
        <f>IF(tblY9[[#This Row],[Preferred Last name]]="","",COUNTIFS($N$1:$ZZ$1,"*"&amp;CHAR(10)&amp;"Stanine",$N121:$ZZ121,"&gt;=1"))</f>
        <v>4</v>
      </c>
      <c r="L121" s="68">
        <f>IFERROR(AVERAGEIF($N$1:$ZZ$1,"*"&amp;CHAR(10)&amp;"Stanine",$N121:$ZZ121),"")</f>
        <v>3.5</v>
      </c>
      <c r="M121" s="69">
        <f>IF(AND(ISNUMBER(tblY9[[#This Row],[Mean Stanine]]),ISNUMBER(tblY9[[#This Row],[Avg KS2 Band]]),ISNUMBER(SlopeY9)),tblY9[[#This Row],[Mean Stanine]]-(InterceptY9+SlopeY9*tblY9[[#This Row],[Avg KS2 Band]]),"")</f>
        <v>-0.0467432052483598</v>
      </c>
      <c r="N121" s="66" t="n">
        <v>16</v>
      </c>
      <c r="O121" s="67">
        <f>IF(ISNUMBER(tblY9[[#This Row],[9B01 - Genetics
Raw Score]]),IFERROR(VLOOKUP(ROUND(STANDARDIZE(tblY9[[#This Row],[9B01 - Genetics
Raw Score]],AVERAGE(tblY9[[9B01 - Genetics
Raw Score]]),_xlfn.STDEV.P(tblY9[[9B01 - Genetics
Raw Score]])),9),_Stanine,2),5),"")</f>
        <v>4</v>
      </c>
      <c r="P121" s="66" t="n">
        <v>19</v>
      </c>
      <c r="Q121" s="67">
        <f>IF(ISNUMBER(tblY9[[#This Row],[9C01 - Chemical Reactions
Raw Score]]),IFERROR(VLOOKUP(ROUND(STANDARDIZE(tblY9[[#This Row],[9C01 - Chemical Reactions
Raw Score]],AVERAGE(tblY9[[9C01 - Chemical Reactions
Raw Score]]),_xlfn.STDEV.P(tblY9[[9C01 - Chemical Reactions
Raw Score]])),9),_Stanine,2),5),"")</f>
        <v>4</v>
      </c>
      <c r="R121" s="66" t="n">
        <v>19</v>
      </c>
      <c r="S121" s="67">
        <f>IF(ISNUMBER(tblY9[[#This Row],[9P01 - Electricity
Raw Score]]),IFERROR(VLOOKUP(ROUND(STANDARDIZE(tblY9[[#This Row],[9P01 - Electricity
Raw Score]],AVERAGE(tblY9[[9P01 - Electricity
Raw Score]]),_xlfn.STDEV.P(tblY9[[9P01 - Electricity
Raw Score]])),9),_Stanine,2),5),"")</f>
        <v>4</v>
      </c>
      <c r="T121" s="66" t="n">
        <v>12</v>
      </c>
      <c r="U121" s="67">
        <f>IF(ISNUMBER(tblY9[[#This Row],[9B02 - Ecology
Raw Score]]),IFERROR(VLOOKUP(ROUND(STANDARDIZE(tblY9[[#This Row],[9B02 - Ecology
Raw Score]],AVERAGE(tblY9[[9B02 - Ecology
Raw Score]]),_xlfn.STDEV.P(tblY9[[9B02 - Ecology
Raw Score]])),9),_Stanine,2),5),"")</f>
        <v>2</v>
      </c>
    </row>
    <row r="122">
      <c r="A122" s="65" t="inlineStr">
        <is>
          <t>X907155380565</t>
        </is>
      </c>
      <c r="B122" s="65" t="inlineStr">
        <is>
          <t>Walker</t>
        </is>
      </c>
      <c r="C122" s="65" t="inlineStr">
        <is>
          <t>Jack</t>
        </is>
      </c>
      <c r="D122" s="66" t="inlineStr">
        <is>
          <t>F</t>
        </is>
      </c>
      <c r="E122" s="66" t="inlineStr">
        <is>
          <t>N</t>
        </is>
      </c>
      <c r="F122" s="66" t="inlineStr">
        <is>
          <t>N</t>
        </is>
      </c>
      <c r="G122" s="34" t="n">
        <v>95.3</v>
      </c>
      <c r="H122" s="34" t="n">
        <v>105</v>
      </c>
      <c r="I122" s="67">
        <f>IF(ISNUMBER(tblY9[[#This Row],[Avg KS2]]),IFERROR(VLOOKUP(ROUND(STANDARDIZE(tblY9[[#This Row],[Avg KS2]],AVERAGE(tblY9[[Avg KS2]]),_xlfn.STDEV.P(tblY9[[Avg KS2]])),9),_Stanine,2),5),"")</f>
        <v>4</v>
      </c>
      <c r="J122" s="66" t="inlineStr">
        <is>
          <t>9B/Sc2</t>
        </is>
      </c>
      <c r="K122" s="67">
        <f>IF(tblY9[[#This Row],[Preferred Last name]]="","",COUNTIFS($N$1:$ZZ$1,"*"&amp;CHAR(10)&amp;"Stanine",$N122:$ZZ122,"&gt;=1"))</f>
        <v>4</v>
      </c>
      <c r="L122" s="68">
        <f>IFERROR(AVERAGEIF($N$1:$ZZ$1,"*"&amp;CHAR(10)&amp;"Stanine",$N122:$ZZ122),"")</f>
        <v>4.75</v>
      </c>
      <c r="M122" s="69">
        <f>IF(AND(ISNUMBER(tblY9[[#This Row],[Mean Stanine]]),ISNUMBER(tblY9[[#This Row],[Avg KS2 Band]]),ISNUMBER(SlopeY9)),tblY9[[#This Row],[Mean Stanine]]-(InterceptY9+SlopeY9*tblY9[[#This Row],[Avg KS2 Band]]),"")</f>
        <v>0.439843017806935</v>
      </c>
      <c r="N122" s="66" t="n">
        <v>18</v>
      </c>
      <c r="O122" s="67">
        <f>IF(ISNUMBER(tblY9[[#This Row],[9B01 - Genetics
Raw Score]]),IFERROR(VLOOKUP(ROUND(STANDARDIZE(tblY9[[#This Row],[9B01 - Genetics
Raw Score]],AVERAGE(tblY9[[9B01 - Genetics
Raw Score]]),_xlfn.STDEV.P(tblY9[[9B01 - Genetics
Raw Score]])),9),_Stanine,2),5),"")</f>
        <v>4</v>
      </c>
      <c r="P122" s="66" t="n">
        <v>19</v>
      </c>
      <c r="Q122" s="67">
        <f>IF(ISNUMBER(tblY9[[#This Row],[9C01 - Chemical Reactions
Raw Score]]),IFERROR(VLOOKUP(ROUND(STANDARDIZE(tblY9[[#This Row],[9C01 - Chemical Reactions
Raw Score]],AVERAGE(tblY9[[9C01 - Chemical Reactions
Raw Score]]),_xlfn.STDEV.P(tblY9[[9C01 - Chemical Reactions
Raw Score]])),9),_Stanine,2),5),"")</f>
        <v>4</v>
      </c>
      <c r="R122" s="66" t="n">
        <v>24</v>
      </c>
      <c r="S122" s="67">
        <f>IF(ISNUMBER(tblY9[[#This Row],[9P01 - Electricity
Raw Score]]),IFERROR(VLOOKUP(ROUND(STANDARDIZE(tblY9[[#This Row],[9P01 - Electricity
Raw Score]],AVERAGE(tblY9[[9P01 - Electricity
Raw Score]]),_xlfn.STDEV.P(tblY9[[9P01 - Electricity
Raw Score]])),9),_Stanine,2),5),"")</f>
        <v>6</v>
      </c>
      <c r="T122" s="66" t="n">
        <v>17</v>
      </c>
      <c r="U122" s="67">
        <f>IF(ISNUMBER(tblY9[[#This Row],[9B02 - Ecology
Raw Score]]),IFERROR(VLOOKUP(ROUND(STANDARDIZE(tblY9[[#This Row],[9B02 - Ecology
Raw Score]],AVERAGE(tblY9[[9B02 - Ecology
Raw Score]]),_xlfn.STDEV.P(tblY9[[9B02 - Ecology
Raw Score]])),9),_Stanine,2),5),"")</f>
        <v>5</v>
      </c>
    </row>
    <row r="123">
      <c r="A123" s="65" t="inlineStr">
        <is>
          <t>X901531955534</t>
        </is>
      </c>
      <c r="B123" s="65" t="inlineStr">
        <is>
          <t>Wilson</t>
        </is>
      </c>
      <c r="C123" s="65" t="inlineStr">
        <is>
          <t>Poppy</t>
        </is>
      </c>
      <c r="D123" s="66" t="inlineStr">
        <is>
          <t>F</t>
        </is>
      </c>
      <c r="E123" s="66" t="inlineStr">
        <is>
          <t>K</t>
        </is>
      </c>
      <c r="F123" s="66" t="inlineStr">
        <is>
          <t>N</t>
        </is>
      </c>
      <c r="G123" s="34" t="n">
        <v>95</v>
      </c>
      <c r="H123" s="34" t="n">
        <v>110.5</v>
      </c>
      <c r="I123" s="67">
        <f>IF(ISNUMBER(tblY9[[#This Row],[Avg KS2]]),IFERROR(VLOOKUP(ROUND(STANDARDIZE(tblY9[[#This Row],[Avg KS2]],AVERAGE(tblY9[[Avg KS2]]),_xlfn.STDEV.P(tblY9[[Avg KS2]])),9),_Stanine,2),5),"")</f>
        <v>6</v>
      </c>
      <c r="J123" s="66" t="inlineStr">
        <is>
          <t>9B/Sc2</t>
        </is>
      </c>
      <c r="K123" s="67">
        <f>IF(tblY9[[#This Row],[Preferred Last name]]="","",COUNTIFS($N$1:$ZZ$1,"*"&amp;CHAR(10)&amp;"Stanine",$N123:$ZZ123,"&gt;=1"))</f>
        <v>3</v>
      </c>
      <c r="L123" s="68">
        <f>IFERROR(AVERAGEIF($N$1:$ZZ$1,"*"&amp;CHAR(10)&amp;"Stanine",$N123:$ZZ123),"")</f>
        <v>6.33333333333333</v>
      </c>
      <c r="M123" s="69">
        <f>IF(AND(ISNUMBER(tblY9[[#This Row],[Mean Stanine]]),ISNUMBER(tblY9[[#This Row],[Avg KS2 Band]]),ISNUMBER(SlopeY9)),tblY9[[#This Row],[Mean Stanine]]-(InterceptY9+SlopeY9*tblY9[[#This Row],[Avg KS2 Band]]),"")</f>
        <v>0.496348797250859</v>
      </c>
      <c r="N123" s="66" t="n">
        <v>26</v>
      </c>
      <c r="O123" s="67">
        <f>IF(ISNUMBER(tblY9[[#This Row],[9B01 - Genetics
Raw Score]]),IFERROR(VLOOKUP(ROUND(STANDARDIZE(tblY9[[#This Row],[9B01 - Genetics
Raw Score]],AVERAGE(tblY9[[9B01 - Genetics
Raw Score]]),_xlfn.STDEV.P(tblY9[[9B01 - Genetics
Raw Score]])),9),_Stanine,2),5),"")</f>
        <v>7</v>
      </c>
      <c r="P123" s="66" t="n">
        <v>25</v>
      </c>
      <c r="Q123" s="67">
        <f>IF(ISNUMBER(tblY9[[#This Row],[9C01 - Chemical Reactions
Raw Score]]),IFERROR(VLOOKUP(ROUND(STANDARDIZE(tblY9[[#This Row],[9C01 - Chemical Reactions
Raw Score]],AVERAGE(tblY9[[9C01 - Chemical Reactions
Raw Score]]),_xlfn.STDEV.P(tblY9[[9C01 - Chemical Reactions
Raw Score]])),9),_Stanine,2),5),"")</f>
        <v>6</v>
      </c>
      <c r="R123" s="66" t="n">
        <v>24</v>
      </c>
      <c r="S123" s="67">
        <f>IF(ISNUMBER(tblY9[[#This Row],[9P01 - Electricity
Raw Score]]),IFERROR(VLOOKUP(ROUND(STANDARDIZE(tblY9[[#This Row],[9P01 - Electricity
Raw Score]],AVERAGE(tblY9[[9P01 - Electricity
Raw Score]]),_xlfn.STDEV.P(tblY9[[9P01 - Electricity
Raw Score]])),9),_Stanine,2),5),"")</f>
        <v>6</v>
      </c>
      <c r="T123" s="66" t="inlineStr">
        <is>
          <t>A</t>
        </is>
      </c>
      <c r="U123" s="67" t="str">
        <f>IF(ISNUMBER(tblY9[[#This Row],[9B02 - Ecology
Raw Score]]),IFERROR(VLOOKUP(ROUND(STANDARDIZE(tblY9[[#This Row],[9B02 - Ecology
Raw Score]],AVERAGE(tblY9[[9B02 - Ecology
Raw Score]]),_xlfn.STDEV.P(tblY9[[9B02 - Ecology
Raw Score]])),9),_Stanine,2),5),"")</f>
        <v/>
      </c>
    </row>
    <row r="124">
      <c r="A124" s="65" t="inlineStr">
        <is>
          <t>X902389823828</t>
        </is>
      </c>
      <c r="B124" s="65" t="inlineStr">
        <is>
          <t>Evans</t>
        </is>
      </c>
      <c r="C124" s="65" t="inlineStr">
        <is>
          <t>Oscar</t>
        </is>
      </c>
      <c r="D124" s="66" t="inlineStr">
        <is>
          <t>F</t>
        </is>
      </c>
      <c r="E124" s="66" t="inlineStr">
        <is>
          <t>N</t>
        </is>
      </c>
      <c r="F124" s="66" t="inlineStr">
        <is>
          <t>N</t>
        </is>
      </c>
      <c r="G124" s="34" t="n">
        <v>95.2</v>
      </c>
      <c r="H124" s="34" t="n">
        <v>94.5</v>
      </c>
      <c r="I124" s="67">
        <f>IF(ISNUMBER(tblY9[[#This Row],[Avg KS2]]),IFERROR(VLOOKUP(ROUND(STANDARDIZE(tblY9[[#This Row],[Avg KS2]],AVERAGE(tblY9[[Avg KS2]]),_xlfn.STDEV.P(tblY9[[Avg KS2]])),9),_Stanine,2),5),"")</f>
        <v>1</v>
      </c>
      <c r="J124" s="66" t="inlineStr">
        <is>
          <t>Science Support</t>
        </is>
      </c>
      <c r="K124" s="67">
        <f>IF(tblY9[[#This Row],[Preferred Last name]]="","",COUNTIFS($N$1:$ZZ$1,"*"&amp;CHAR(10)&amp;"Stanine",$N124:$ZZ124,"&gt;=1"))</f>
        <v>4</v>
      </c>
      <c r="L124" s="68">
        <f>IFERROR(AVERAGEIF($N$1:$ZZ$1,"*"&amp;CHAR(10)&amp;"Stanine",$N124:$ZZ124),"")</f>
        <v>1</v>
      </c>
      <c r="M124" s="69">
        <f>IF(AND(ISNUMBER(tblY9[[#This Row],[Mean Stanine]]),ISNUMBER(tblY9[[#This Row],[Avg KS2 Band]]),ISNUMBER(SlopeY9)),tblY9[[#This Row],[Mean Stanine]]-(InterceptY9+SlopeY9*tblY9[[#This Row],[Avg KS2 Band]]),"")</f>
        <v>-1.01991565135895</v>
      </c>
      <c r="N124" s="66" t="n">
        <v>5</v>
      </c>
      <c r="O124" s="67">
        <f>IF(ISNUMBER(tblY9[[#This Row],[9B01 - Genetics
Raw Score]]),IFERROR(VLOOKUP(ROUND(STANDARDIZE(tblY9[[#This Row],[9B01 - Genetics
Raw Score]],AVERAGE(tblY9[[9B01 - Genetics
Raw Score]]),_xlfn.STDEV.P(tblY9[[9B01 - Genetics
Raw Score]])),9),_Stanine,2),5),"")</f>
        <v>1</v>
      </c>
      <c r="P124" s="66" t="n">
        <v>6</v>
      </c>
      <c r="Q124" s="67">
        <f>IF(ISNUMBER(tblY9[[#This Row],[9C01 - Chemical Reactions
Raw Score]]),IFERROR(VLOOKUP(ROUND(STANDARDIZE(tblY9[[#This Row],[9C01 - Chemical Reactions
Raw Score]],AVERAGE(tblY9[[9C01 - Chemical Reactions
Raw Score]]),_xlfn.STDEV.P(tblY9[[9C01 - Chemical Reactions
Raw Score]])),9),_Stanine,2),5),"")</f>
        <v>1</v>
      </c>
      <c r="R124" s="66" t="n">
        <v>5</v>
      </c>
      <c r="S124" s="67">
        <f>IF(ISNUMBER(tblY9[[#This Row],[9P01 - Electricity
Raw Score]]),IFERROR(VLOOKUP(ROUND(STANDARDIZE(tblY9[[#This Row],[9P01 - Electricity
Raw Score]],AVERAGE(tblY9[[9P01 - Electricity
Raw Score]]),_xlfn.STDEV.P(tblY9[[9P01 - Electricity
Raw Score]])),9),_Stanine,2),5),"")</f>
        <v>1</v>
      </c>
      <c r="T124" s="66" t="n">
        <v>7</v>
      </c>
      <c r="U124" s="67">
        <f>IF(ISNUMBER(tblY9[[#This Row],[9B02 - Ecology
Raw Score]]),IFERROR(VLOOKUP(ROUND(STANDARDIZE(tblY9[[#This Row],[9B02 - Ecology
Raw Score]],AVERAGE(tblY9[[9B02 - Ecology
Raw Score]]),_xlfn.STDEV.P(tblY9[[9B02 - Ecology
Raw Score]])),9),_Stanine,2),5),"")</f>
        <v>1</v>
      </c>
    </row>
    <row r="125">
      <c r="A125" s="65" t="inlineStr">
        <is>
          <t>X908817869384</t>
        </is>
      </c>
      <c r="B125" s="65" t="inlineStr">
        <is>
          <t>Murphy</t>
        </is>
      </c>
      <c r="C125" s="65" t="inlineStr">
        <is>
          <t>Sami</t>
        </is>
      </c>
      <c r="D125" s="66" t="inlineStr">
        <is>
          <t>M</t>
        </is>
      </c>
      <c r="E125" s="66" t="inlineStr">
        <is>
          <t>E</t>
        </is>
      </c>
      <c r="F125" s="66" t="inlineStr">
        <is>
          <t>Y</t>
        </is>
      </c>
      <c r="G125" s="34" t="n">
        <v>99.2</v>
      </c>
      <c r="H125" s="34" t="n">
        <v>98</v>
      </c>
      <c r="I125" s="67">
        <f>IF(ISNUMBER(tblY9[[#This Row],[Avg KS2]]),IFERROR(VLOOKUP(ROUND(STANDARDIZE(tblY9[[#This Row],[Avg KS2]],AVERAGE(tblY9[[Avg KS2]]),_xlfn.STDEV.P(tblY9[[Avg KS2]])),9),_Stanine,2),5),"")</f>
        <v>2</v>
      </c>
      <c r="J125" s="66" t="inlineStr">
        <is>
          <t>Science Support</t>
        </is>
      </c>
      <c r="K125" s="67">
        <f>IF(tblY9[[#This Row],[Preferred Last name]]="","",COUNTIFS($N$1:$ZZ$1,"*"&amp;CHAR(10)&amp;"Stanine",$N125:$ZZ125,"&gt;=1"))</f>
        <v>4</v>
      </c>
      <c r="L125" s="68">
        <f>IFERROR(AVERAGEIF($N$1:$ZZ$1,"*"&amp;CHAR(10)&amp;"Stanine",$N125:$ZZ125),"")</f>
        <v>1</v>
      </c>
      <c r="M125" s="69">
        <f>IF(AND(ISNUMBER(tblY9[[#This Row],[Mean Stanine]]),ISNUMBER(tblY9[[#This Row],[Avg KS2 Band]]),ISNUMBER(SlopeY9)),tblY9[[#This Row],[Mean Stanine]]-(InterceptY9+SlopeY9*tblY9[[#This Row],[Avg KS2 Band]]),"")</f>
        <v>-1.78332942830366</v>
      </c>
      <c r="N125" s="66" t="n">
        <v>8</v>
      </c>
      <c r="O125" s="67">
        <f>IF(ISNUMBER(tblY9[[#This Row],[9B01 - Genetics
Raw Score]]),IFERROR(VLOOKUP(ROUND(STANDARDIZE(tblY9[[#This Row],[9B01 - Genetics
Raw Score]],AVERAGE(tblY9[[9B01 - Genetics
Raw Score]]),_xlfn.STDEV.P(tblY9[[9B01 - Genetics
Raw Score]])),9),_Stanine,2),5),"")</f>
        <v>1</v>
      </c>
      <c r="P125" s="66" t="n">
        <v>5</v>
      </c>
      <c r="Q125" s="67">
        <f>IF(ISNUMBER(tblY9[[#This Row],[9C01 - Chemical Reactions
Raw Score]]),IFERROR(VLOOKUP(ROUND(STANDARDIZE(tblY9[[#This Row],[9C01 - Chemical Reactions
Raw Score]],AVERAGE(tblY9[[9C01 - Chemical Reactions
Raw Score]]),_xlfn.STDEV.P(tblY9[[9C01 - Chemical Reactions
Raw Score]])),9),_Stanine,2),5),"")</f>
        <v>1</v>
      </c>
      <c r="R125" s="66" t="n">
        <v>9</v>
      </c>
      <c r="S125" s="67">
        <f>IF(ISNUMBER(tblY9[[#This Row],[9P01 - Electricity
Raw Score]]),IFERROR(VLOOKUP(ROUND(STANDARDIZE(tblY9[[#This Row],[9P01 - Electricity
Raw Score]],AVERAGE(tblY9[[9P01 - Electricity
Raw Score]]),_xlfn.STDEV.P(tblY9[[9P01 - Electricity
Raw Score]])),9),_Stanine,2),5),"")</f>
        <v>1</v>
      </c>
      <c r="T125" s="66" t="n">
        <v>8</v>
      </c>
      <c r="U125" s="67">
        <f>IF(ISNUMBER(tblY9[[#This Row],[9B02 - Ecology
Raw Score]]),IFERROR(VLOOKUP(ROUND(STANDARDIZE(tblY9[[#This Row],[9B02 - Ecology
Raw Score]],AVERAGE(tblY9[[9B02 - Ecology
Raw Score]]),_xlfn.STDEV.P(tblY9[[9B02 - Ecology
Raw Score]])),9),_Stanine,2),5),"")</f>
        <v>1</v>
      </c>
    </row>
    <row r="126">
      <c r="A126" s="65" t="inlineStr">
        <is>
          <t>X903801540836</t>
        </is>
      </c>
      <c r="B126" s="65" t="inlineStr">
        <is>
          <t>Parker</t>
        </is>
      </c>
      <c r="C126" s="65" t="inlineStr">
        <is>
          <t>Dylan</t>
        </is>
      </c>
      <c r="D126" s="66" t="inlineStr">
        <is>
          <t>M</t>
        </is>
      </c>
      <c r="E126" s="66" t="n"/>
      <c r="F126" s="66" t="inlineStr">
        <is>
          <t>Y</t>
        </is>
      </c>
      <c r="G126" s="34" t="n">
        <v>97.8</v>
      </c>
      <c r="H126" s="34" t="n">
        <v>92.5</v>
      </c>
      <c r="I126" s="67">
        <f>IF(ISNUMBER(tblY9[[#This Row],[Avg KS2]]),IFERROR(VLOOKUP(ROUND(STANDARDIZE(tblY9[[#This Row],[Avg KS2]],AVERAGE(tblY9[[Avg KS2]]),_xlfn.STDEV.P(tblY9[[Avg KS2]])),9),_Stanine,2),5),"")</f>
        <v>1</v>
      </c>
      <c r="J126" s="66" t="inlineStr">
        <is>
          <t>Science Support</t>
        </is>
      </c>
      <c r="K126" s="67">
        <f>IF(tblY9[[#This Row],[Preferred Last name]]="","",COUNTIFS($N$1:$ZZ$1,"*"&amp;CHAR(10)&amp;"Stanine",$N126:$ZZ126,"&gt;=1"))</f>
        <v>4</v>
      </c>
      <c r="L126" s="68">
        <f>IFERROR(AVERAGEIF($N$1:$ZZ$1,"*"&amp;CHAR(10)&amp;"Stanine",$N126:$ZZ126),"")</f>
        <v>1</v>
      </c>
      <c r="M126" s="69">
        <f>IF(AND(ISNUMBER(tblY9[[#This Row],[Mean Stanine]]),ISNUMBER(tblY9[[#This Row],[Avg KS2 Band]]),ISNUMBER(SlopeY9)),tblY9[[#This Row],[Mean Stanine]]-(InterceptY9+SlopeY9*tblY9[[#This Row],[Avg KS2 Band]]),"")</f>
        <v>-1.01991565135895</v>
      </c>
      <c r="N126" s="66" t="n">
        <v>6</v>
      </c>
      <c r="O126" s="67">
        <f>IF(ISNUMBER(tblY9[[#This Row],[9B01 - Genetics
Raw Score]]),IFERROR(VLOOKUP(ROUND(STANDARDIZE(tblY9[[#This Row],[9B01 - Genetics
Raw Score]],AVERAGE(tblY9[[9B01 - Genetics
Raw Score]]),_xlfn.STDEV.P(tblY9[[9B01 - Genetics
Raw Score]])),9),_Stanine,2),5),"")</f>
        <v>1</v>
      </c>
      <c r="P126" s="66" t="n">
        <v>10</v>
      </c>
      <c r="Q126" s="67">
        <f>IF(ISNUMBER(tblY9[[#This Row],[9C01 - Chemical Reactions
Raw Score]]),IFERROR(VLOOKUP(ROUND(STANDARDIZE(tblY9[[#This Row],[9C01 - Chemical Reactions
Raw Score]],AVERAGE(tblY9[[9C01 - Chemical Reactions
Raw Score]]),_xlfn.STDEV.P(tblY9[[9C01 - Chemical Reactions
Raw Score]])),9),_Stanine,2),5),"")</f>
        <v>1</v>
      </c>
      <c r="R126" s="66" t="n">
        <v>5</v>
      </c>
      <c r="S126" s="67">
        <f>IF(ISNUMBER(tblY9[[#This Row],[9P01 - Electricity
Raw Score]]),IFERROR(VLOOKUP(ROUND(STANDARDIZE(tblY9[[#This Row],[9P01 - Electricity
Raw Score]],AVERAGE(tblY9[[9P01 - Electricity
Raw Score]]),_xlfn.STDEV.P(tblY9[[9P01 - Electricity
Raw Score]])),9),_Stanine,2),5),"")</f>
        <v>1</v>
      </c>
      <c r="T126" s="66" t="n">
        <v>3</v>
      </c>
      <c r="U126" s="67">
        <f>IF(ISNUMBER(tblY9[[#This Row],[9B02 - Ecology
Raw Score]]),IFERROR(VLOOKUP(ROUND(STANDARDIZE(tblY9[[#This Row],[9B02 - Ecology
Raw Score]],AVERAGE(tblY9[[9B02 - Ecology
Raw Score]]),_xlfn.STDEV.P(tblY9[[9B02 - Ecology
Raw Score]])),9),_Stanine,2),5),"")</f>
        <v>1</v>
      </c>
    </row>
  </sheetData>
  <conditionalFormatting sqref="I2:I126">
    <cfRule type="iconSet" priority="1">
      <iconSet iconSet="3TrafficLights1">
        <cfvo type="percent" val="0"/>
        <cfvo type="num" val="4"/>
        <cfvo type="num" val="7"/>
      </iconSet>
    </cfRule>
  </conditionalFormatting>
  <conditionalFormatting sqref="L2:L126">
    <cfRule type="iconSet" priority="2">
      <iconSet iconSet="3TrafficLights1">
        <cfvo type="percent" val="0"/>
        <cfvo type="num" val="3.5"/>
        <cfvo type="num" val="6.5"/>
      </iconSet>
    </cfRule>
  </conditionalFormatting>
  <conditionalFormatting sqref="M2:M126">
    <cfRule type="iconSet" priority="3">
      <iconSet iconSet="3Arrows">
        <cfvo type="percent" val="0"/>
        <cfvo type="num" val="-0.99"/>
        <cfvo type="num" val="1"/>
      </iconSet>
    </cfRule>
  </conditionalFormatting>
  <conditionalFormatting sqref="O2:O126">
    <cfRule type="iconSet" priority="4">
      <iconSet iconSet="3TrafficLights1">
        <cfvo type="percent" val="0"/>
        <cfvo type="num" val="4"/>
        <cfvo type="num" val="7"/>
      </iconSet>
    </cfRule>
  </conditionalFormatting>
  <conditionalFormatting sqref="Q2:Q126">
    <cfRule type="iconSet" priority="5">
      <iconSet iconSet="3TrafficLights1">
        <cfvo type="percent" val="0"/>
        <cfvo type="num" val="4"/>
        <cfvo type="num" val="7"/>
      </iconSet>
    </cfRule>
  </conditionalFormatting>
  <conditionalFormatting sqref="S2:S126">
    <cfRule type="iconSet" priority="6">
      <iconSet iconSet="3TrafficLights1">
        <cfvo type="percent" val="0"/>
        <cfvo type="num" val="4"/>
        <cfvo type="num" val="7"/>
      </iconSet>
    </cfRule>
  </conditionalFormatting>
  <conditionalFormatting sqref="U2:U126">
    <cfRule type="iconSet" priority="7">
      <iconSet iconSet="3TrafficLights1">
        <cfvo type="percent" val="0"/>
        <cfvo type="num" val="4"/>
        <cfvo type="num" val="7"/>
      </iconSet>
    </cfRule>
  </conditionalFormatting>
  <dataValidations count="4">
    <dataValidation sqref="N2:N126"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26" showDropDown="0" showInputMessage="0" showErrorMessage="1" allowBlank="1" errorTitle="Score out of range" error="Type a mark from 0 to 32, or A for absent. Leave the cell blank if the student has not sat the test yet." type="custom">
      <formula1>OR(UPPER(P2)="A",AND(ISNUMBER(P2),P2&gt;=0,P2&lt;=32))</formula1>
    </dataValidation>
    <dataValidation sqref="R2:R126"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26" showDropDown="0" showInputMessage="0" showErrorMessage="1" allowBlank="1" errorTitle="Score out of range" error="Type a mark from 0 to 25, or A for absent. Leave the cell blank if the student has not sat the test yet." type="custom">
      <formula1>OR(UPPER(T2)="A",AND(ISNUMBER(T2),T2&gt;=0,T2&lt;=25))</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8.xml><?xml version="1.0" encoding="utf-8"?>
<worksheet xmlns="http://schemas.openxmlformats.org/spreadsheetml/2006/main">
  <sheetPr codeName="shY10">
    <outlinePr summaryBelow="1" summaryRight="1"/>
    <pageSetUpPr/>
  </sheetPr>
  <dimension ref="A1:W11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4B01 - Cell Biology
Raw Score</t>
        </is>
      </c>
      <c r="O1" s="63" t="inlineStr">
        <is>
          <t>4B01 - Cell Biology
Stanine</t>
        </is>
      </c>
      <c r="P1" s="64" t="inlineStr">
        <is>
          <t>4C01 - Atomic Structure
Raw Score</t>
        </is>
      </c>
      <c r="Q1" s="64" t="inlineStr">
        <is>
          <t>4C01 - Atomic Structure
Stanine</t>
        </is>
      </c>
      <c r="R1" s="63" t="inlineStr">
        <is>
          <t>4P01 - Energy
Raw Score</t>
        </is>
      </c>
      <c r="S1" s="63" t="inlineStr">
        <is>
          <t>4P01 - Energy
Stanine</t>
        </is>
      </c>
      <c r="T1" s="64" t="inlineStr">
        <is>
          <t>4B02 - Organisation
Raw Score</t>
        </is>
      </c>
      <c r="U1" s="64" t="inlineStr">
        <is>
          <t>4B02 - Organisation
Stanine</t>
        </is>
      </c>
      <c r="V1" s="63" t="inlineStr">
        <is>
          <t>4C02 - Bonding
Raw Score</t>
        </is>
      </c>
      <c r="W1" s="63" t="inlineStr">
        <is>
          <t>4C02 - Bonding
Stanine</t>
        </is>
      </c>
    </row>
    <row r="2">
      <c r="A2" s="65" t="inlineStr">
        <is>
          <t>X904041550903</t>
        </is>
      </c>
      <c r="B2" s="65" t="inlineStr">
        <is>
          <t>Adeyemi</t>
        </is>
      </c>
      <c r="C2" s="65" t="inlineStr">
        <is>
          <t>Kai</t>
        </is>
      </c>
      <c r="D2" s="66" t="inlineStr">
        <is>
          <t>M</t>
        </is>
      </c>
      <c r="E2" s="66" t="inlineStr">
        <is>
          <t>N</t>
        </is>
      </c>
      <c r="F2" s="66" t="inlineStr">
        <is>
          <t>N</t>
        </is>
      </c>
      <c r="G2" s="34" t="n">
        <v>96.5</v>
      </c>
      <c r="H2" s="34" t="n">
        <v>103.5</v>
      </c>
      <c r="I2" s="67">
        <f>IF(ISNUMBER(tblY10[[#This Row],[Avg KS2]]),IFERROR(VLOOKUP(ROUND(STANDARDIZE(tblY10[[#This Row],[Avg KS2]],AVERAGE(tblY10[[Avg KS2]]),_xlfn.STDEV.P(tblY10[[Avg KS2]])),9),_Stanine,2),5),"")</f>
        <v>5</v>
      </c>
      <c r="J2" s="66" t="inlineStr">
        <is>
          <t>10S/Sc1</t>
        </is>
      </c>
      <c r="K2" s="67">
        <f>IF(tblY10[[#This Row],[Preferred Last name]]="","",COUNTIFS($N$1:$ZZ$1,"*"&amp;CHAR(10)&amp;"Stanine",$N2:$ZZ2,"&gt;=1"))</f>
        <v>5</v>
      </c>
      <c r="L2" s="68">
        <f>IFERROR(AVERAGEIF($N$1:$ZZ$1,"*"&amp;CHAR(10)&amp;"Stanine",$N2:$ZZ2),"")</f>
        <v>4.8</v>
      </c>
      <c r="M2" s="69">
        <f>IF(AND(ISNUMBER(tblY10[[#This Row],[Mean Stanine]]),ISNUMBER(tblY10[[#This Row],[Avg KS2 Band]]),ISNUMBER(SlopeY10)),tblY10[[#This Row],[Mean Stanine]]-(InterceptY10+SlopeY10*tblY10[[#This Row],[Avg KS2 Band]]),"")</f>
        <v>-0.140132144523862</v>
      </c>
      <c r="N2" s="66" t="n">
        <v>19</v>
      </c>
      <c r="O2" s="67">
        <f>IF(ISNUMBER(tblY10[[#This Row],[4B01 - Cell Biology
Raw Score]]),IFERROR(VLOOKUP(ROUND(STANDARDIZE(tblY10[[#This Row],[4B01 - Cell Biology
Raw Score]],AVERAGE(tblY10[[4B01 - Cell Biology
Raw Score]]),_xlfn.STDEV.P(tblY10[[4B01 - Cell Biology
Raw Score]])),9),_Stanine,2),5),"")</f>
        <v>5</v>
      </c>
      <c r="P2" s="66" t="n">
        <v>14</v>
      </c>
      <c r="Q2" s="67">
        <f>IF(ISNUMBER(tblY10[[#This Row],[4C01 - Atomic Structure
Raw Score]]),IFERROR(VLOOKUP(ROUND(STANDARDIZE(tblY10[[#This Row],[4C01 - Atomic Structure
Raw Score]],AVERAGE(tblY10[[4C01 - Atomic Structure
Raw Score]]),_xlfn.STDEV.P(tblY10[[4C01 - Atomic Structure
Raw Score]])),9),_Stanine,2),5),"")</f>
        <v>4</v>
      </c>
      <c r="R2" s="66" t="n">
        <v>13</v>
      </c>
      <c r="S2" s="67">
        <f>IF(ISNUMBER(tblY10[[#This Row],[4P01 - Energy
Raw Score]]),IFERROR(VLOOKUP(ROUND(STANDARDIZE(tblY10[[#This Row],[4P01 - Energy
Raw Score]],AVERAGE(tblY10[[4P01 - Energy
Raw Score]]),_xlfn.STDEV.P(tblY10[[4P01 - Energy
Raw Score]])),9),_Stanine,2),5),"")</f>
        <v>4</v>
      </c>
      <c r="T2" s="66" t="n">
        <v>25</v>
      </c>
      <c r="U2" s="67">
        <f>IF(ISNUMBER(tblY10[[#This Row],[4B02 - Organisation
Raw Score]]),IFERROR(VLOOKUP(ROUND(STANDARDIZE(tblY10[[#This Row],[4B02 - Organisation
Raw Score]],AVERAGE(tblY10[[4B02 - Organisation
Raw Score]]),_xlfn.STDEV.P(tblY10[[4B02 - Organisation
Raw Score]])),9),_Stanine,2),5),"")</f>
        <v>6</v>
      </c>
      <c r="V2" s="66" t="n">
        <v>22</v>
      </c>
      <c r="W2" s="67">
        <f>IF(ISNUMBER(tblY10[[#This Row],[4C02 - Bonding
Raw Score]]),IFERROR(VLOOKUP(ROUND(STANDARDIZE(tblY10[[#This Row],[4C02 - Bonding
Raw Score]],AVERAGE(tblY10[[4C02 - Bonding
Raw Score]]),_xlfn.STDEV.P(tblY10[[4C02 - Bonding
Raw Score]])),9),_Stanine,2),5),"")</f>
        <v>5</v>
      </c>
    </row>
    <row r="3">
      <c r="A3" s="65" t="inlineStr">
        <is>
          <t>X909632653642</t>
        </is>
      </c>
      <c r="B3" s="65" t="inlineStr">
        <is>
          <t>Barker</t>
        </is>
      </c>
      <c r="C3" s="65" t="inlineStr">
        <is>
          <t>Zara</t>
        </is>
      </c>
      <c r="D3" s="66" t="inlineStr">
        <is>
          <t>M</t>
        </is>
      </c>
      <c r="E3" s="66" t="inlineStr">
        <is>
          <t>N</t>
        </is>
      </c>
      <c r="F3" s="66" t="inlineStr">
        <is>
          <t>Y</t>
        </is>
      </c>
      <c r="G3" s="34" t="n">
        <v>89.8</v>
      </c>
      <c r="H3" s="34" t="n">
        <v>110</v>
      </c>
      <c r="I3" s="67">
        <f>IF(ISNUMBER(tblY10[[#This Row],[Avg KS2]]),IFERROR(VLOOKUP(ROUND(STANDARDIZE(tblY10[[#This Row],[Avg KS2]],AVERAGE(tblY10[[Avg KS2]]),_xlfn.STDEV.P(tblY10[[Avg KS2]])),9),_Stanine,2),5),"")</f>
        <v>7</v>
      </c>
      <c r="J3" s="66" t="inlineStr">
        <is>
          <t>10S/Sc1</t>
        </is>
      </c>
      <c r="K3" s="67">
        <f>IF(tblY10[[#This Row],[Preferred Last name]]="","",COUNTIFS($N$1:$ZZ$1,"*"&amp;CHAR(10)&amp;"Stanine",$N3:$ZZ3,"&gt;=1"))</f>
        <v>4</v>
      </c>
      <c r="L3" s="68">
        <f>IFERROR(AVERAGEIF($N$1:$ZZ$1,"*"&amp;CHAR(10)&amp;"Stanine",$N3:$ZZ3),"")</f>
        <v>6.75</v>
      </c>
      <c r="M3" s="69">
        <f>IF(AND(ISNUMBER(tblY10[[#This Row],[Mean Stanine]]),ISNUMBER(tblY10[[#This Row],[Avg KS2 Band]]),ISNUMBER(SlopeY10)),tblY10[[#This Row],[Mean Stanine]]-(InterceptY10+SlopeY10*tblY10[[#This Row],[Avg KS2 Band]]),"")</f>
        <v>0.181863286910814</v>
      </c>
      <c r="N3" s="66" t="n">
        <v>27</v>
      </c>
      <c r="O3" s="67">
        <f>IF(ISNUMBER(tblY10[[#This Row],[4B01 - Cell Biology
Raw Score]]),IFERROR(VLOOKUP(ROUND(STANDARDIZE(tblY10[[#This Row],[4B01 - Cell Biology
Raw Score]],AVERAGE(tblY10[[4B01 - Cell Biology
Raw Score]]),_xlfn.STDEV.P(tblY10[[4B01 - Cell Biology
Raw Score]])),9),_Stanine,2),5),"")</f>
        <v>7</v>
      </c>
      <c r="P3" s="66" t="n">
        <v>25</v>
      </c>
      <c r="Q3" s="67">
        <f>IF(ISNUMBER(tblY10[[#This Row],[4C01 - Atomic Structure
Raw Score]]),IFERROR(VLOOKUP(ROUND(STANDARDIZE(tblY10[[#This Row],[4C01 - Atomic Structure
Raw Score]],AVERAGE(tblY10[[4C01 - Atomic Structure
Raw Score]]),_xlfn.STDEV.P(tblY10[[4C01 - Atomic Structure
Raw Score]])),9),_Stanine,2),5),"")</f>
        <v>7</v>
      </c>
      <c r="R3" s="66" t="n">
        <v>19</v>
      </c>
      <c r="S3" s="67">
        <f>IF(ISNUMBER(tblY10[[#This Row],[4P01 - Energy
Raw Score]]),IFERROR(VLOOKUP(ROUND(STANDARDIZE(tblY10[[#This Row],[4P01 - Energy
Raw Score]],AVERAGE(tblY10[[4P01 - Energy
Raw Score]]),_xlfn.STDEV.P(tblY10[[4P01 - Energy
Raw Score]])),9),_Stanine,2),5),"")</f>
        <v>6</v>
      </c>
      <c r="T3" s="66" t="inlineStr">
        <is>
          <t>A</t>
        </is>
      </c>
      <c r="U3" s="67" t="str">
        <f>IF(ISNUMBER(tblY10[[#This Row],[4B02 - Organisation
Raw Score]]),IFERROR(VLOOKUP(ROUND(STANDARDIZE(tblY10[[#This Row],[4B02 - Organisation
Raw Score]],AVERAGE(tblY10[[4B02 - Organisation
Raw Score]]),_xlfn.STDEV.P(tblY10[[4B02 - Organisation
Raw Score]])),9),_Stanine,2),5),"")</f>
        <v/>
      </c>
      <c r="V3" s="66" t="n">
        <v>28</v>
      </c>
      <c r="W3" s="67">
        <f>IF(ISNUMBER(tblY10[[#This Row],[4C02 - Bonding
Raw Score]]),IFERROR(VLOOKUP(ROUND(STANDARDIZE(tblY10[[#This Row],[4C02 - Bonding
Raw Score]],AVERAGE(tblY10[[4C02 - Bonding
Raw Score]]),_xlfn.STDEV.P(tblY10[[4C02 - Bonding
Raw Score]])),9),_Stanine,2),5),"")</f>
        <v>7</v>
      </c>
    </row>
    <row r="4">
      <c r="A4" s="65" t="inlineStr">
        <is>
          <t>X902621159817</t>
        </is>
      </c>
      <c r="B4" s="65" t="inlineStr">
        <is>
          <t>Begum</t>
        </is>
      </c>
      <c r="C4" s="65" t="inlineStr">
        <is>
          <t>Evie</t>
        </is>
      </c>
      <c r="D4" s="66" t="inlineStr">
        <is>
          <t>M</t>
        </is>
      </c>
      <c r="E4" s="66" t="inlineStr">
        <is>
          <t>N</t>
        </is>
      </c>
      <c r="F4" s="66" t="inlineStr">
        <is>
          <t>N</t>
        </is>
      </c>
      <c r="G4" s="34" t="n">
        <v>99.3</v>
      </c>
      <c r="H4" s="34" t="n">
        <v>114.5</v>
      </c>
      <c r="I4" s="67">
        <f>IF(ISNUMBER(tblY10[[#This Row],[Avg KS2]]),IFERROR(VLOOKUP(ROUND(STANDARDIZE(tblY10[[#This Row],[Avg KS2]],AVERAGE(tblY10[[Avg KS2]]),_xlfn.STDEV.P(tblY10[[Avg KS2]])),9),_Stanine,2),5),"")</f>
        <v>8</v>
      </c>
      <c r="J4" s="66" t="inlineStr">
        <is>
          <t>10S/Sc1</t>
        </is>
      </c>
      <c r="K4" s="67">
        <f>IF(tblY10[[#This Row],[Preferred Last name]]="","",COUNTIFS($N$1:$ZZ$1,"*"&amp;CHAR(10)&amp;"Stanine",$N4:$ZZ4,"&gt;=1"))</f>
        <v>5</v>
      </c>
      <c r="L4" s="68">
        <f>IFERROR(AVERAGEIF($N$1:$ZZ$1,"*"&amp;CHAR(10)&amp;"Stanine",$N4:$ZZ4),"")</f>
        <v>8.8</v>
      </c>
      <c r="M4" s="69">
        <f>IF(AND(ISNUMBER(tblY10[[#This Row],[Mean Stanine]]),ISNUMBER(tblY10[[#This Row],[Avg KS2 Band]]),ISNUMBER(SlopeY10)),tblY10[[#This Row],[Mean Stanine]]-(InterceptY10+SlopeY10*tblY10[[#This Row],[Avg KS2 Band]]),"")</f>
        <v>1.41786100262815</v>
      </c>
      <c r="N4" s="66" t="n">
        <v>37</v>
      </c>
      <c r="O4" s="67">
        <f>IF(ISNUMBER(tblY10[[#This Row],[4B01 - Cell Biology
Raw Score]]),IFERROR(VLOOKUP(ROUND(STANDARDIZE(tblY10[[#This Row],[4B01 - Cell Biology
Raw Score]],AVERAGE(tblY10[[4B01 - Cell Biology
Raw Score]]),_xlfn.STDEV.P(tblY10[[4B01 - Cell Biology
Raw Score]])),9),_Stanine,2),5),"")</f>
        <v>9</v>
      </c>
      <c r="P4" s="66" t="n">
        <v>33</v>
      </c>
      <c r="Q4" s="67">
        <f>IF(ISNUMBER(tblY10[[#This Row],[4C01 - Atomic Structure
Raw Score]]),IFERROR(VLOOKUP(ROUND(STANDARDIZE(tblY10[[#This Row],[4C01 - Atomic Structure
Raw Score]],AVERAGE(tblY10[[4C01 - Atomic Structure
Raw Score]]),_xlfn.STDEV.P(tblY10[[4C01 - Atomic Structure
Raw Score]])),9),_Stanine,2),5),"")</f>
        <v>9</v>
      </c>
      <c r="R4" s="66" t="n">
        <v>31</v>
      </c>
      <c r="S4" s="67">
        <f>IF(ISNUMBER(tblY10[[#This Row],[4P01 - Energy
Raw Score]]),IFERROR(VLOOKUP(ROUND(STANDARDIZE(tblY10[[#This Row],[4P01 - Energy
Raw Score]],AVERAGE(tblY10[[4P01 - Energy
Raw Score]]),_xlfn.STDEV.P(tblY10[[4P01 - Energy
Raw Score]])),9),_Stanine,2),5),"")</f>
        <v>9</v>
      </c>
      <c r="T4" s="66" t="n">
        <v>38</v>
      </c>
      <c r="U4" s="67">
        <f>IF(ISNUMBER(tblY10[[#This Row],[4B02 - Organisation
Raw Score]]),IFERROR(VLOOKUP(ROUND(STANDARDIZE(tblY10[[#This Row],[4B02 - Organisation
Raw Score]],AVERAGE(tblY10[[4B02 - Organisation
Raw Score]]),_xlfn.STDEV.P(tblY10[[4B02 - Organisation
Raw Score]])),9),_Stanine,2),5),"")</f>
        <v>9</v>
      </c>
      <c r="V4" s="66" t="n">
        <v>36</v>
      </c>
      <c r="W4" s="67">
        <f>IF(ISNUMBER(tblY10[[#This Row],[4C02 - Bonding
Raw Score]]),IFERROR(VLOOKUP(ROUND(STANDARDIZE(tblY10[[#This Row],[4C02 - Bonding
Raw Score]],AVERAGE(tblY10[[4C02 - Bonding
Raw Score]]),_xlfn.STDEV.P(tblY10[[4C02 - Bonding
Raw Score]])),9),_Stanine,2),5),"")</f>
        <v>8</v>
      </c>
    </row>
    <row r="5">
      <c r="A5" s="65" t="inlineStr">
        <is>
          <t>X909508069432</t>
        </is>
      </c>
      <c r="B5" s="65" t="inlineStr">
        <is>
          <t>Bennett</t>
        </is>
      </c>
      <c r="C5" s="65" t="inlineStr">
        <is>
          <t>Sophie</t>
        </is>
      </c>
      <c r="D5" s="66" t="inlineStr">
        <is>
          <t>M</t>
        </is>
      </c>
      <c r="E5" s="66" t="inlineStr">
        <is>
          <t>K</t>
        </is>
      </c>
      <c r="F5" s="66" t="inlineStr">
        <is>
          <t>N</t>
        </is>
      </c>
      <c r="G5" s="34" t="n">
        <v>92</v>
      </c>
      <c r="H5" s="34" t="n">
        <v>105</v>
      </c>
      <c r="I5" s="67">
        <f>IF(ISNUMBER(tblY10[[#This Row],[Avg KS2]]),IFERROR(VLOOKUP(ROUND(STANDARDIZE(tblY10[[#This Row],[Avg KS2]],AVERAGE(tblY10[[Avg KS2]]),_xlfn.STDEV.P(tblY10[[Avg KS2]])),9),_Stanine,2),5),"")</f>
        <v>6</v>
      </c>
      <c r="J5" s="66" t="inlineStr">
        <is>
          <t>10S/Sc1</t>
        </is>
      </c>
      <c r="K5" s="67">
        <f>IF(tblY10[[#This Row],[Preferred Last name]]="","",COUNTIFS($N$1:$ZZ$1,"*"&amp;CHAR(10)&amp;"Stanine",$N5:$ZZ5,"&gt;=1"))</f>
        <v>5</v>
      </c>
      <c r="L5" s="68">
        <f>IFERROR(AVERAGEIF($N$1:$ZZ$1,"*"&amp;CHAR(10)&amp;"Stanine",$N5:$ZZ5),"")</f>
        <v>5.6</v>
      </c>
      <c r="M5" s="69">
        <f>IF(AND(ISNUMBER(tblY10[[#This Row],[Mean Stanine]]),ISNUMBER(tblY10[[#This Row],[Avg KS2 Band]]),ISNUMBER(SlopeY10)),tblY10[[#This Row],[Mean Stanine]]-(InterceptY10+SlopeY10*tblY10[[#This Row],[Avg KS2 Band]]),"")</f>
        <v>-0.154134428806524</v>
      </c>
      <c r="N5" s="66" t="n">
        <v>17</v>
      </c>
      <c r="O5" s="67">
        <f>IF(ISNUMBER(tblY10[[#This Row],[4B01 - Cell Biology
Raw Score]]),IFERROR(VLOOKUP(ROUND(STANDARDIZE(tblY10[[#This Row],[4B01 - Cell Biology
Raw Score]],AVERAGE(tblY10[[4B01 - Cell Biology
Raw Score]]),_xlfn.STDEV.P(tblY10[[4B01 - Cell Biology
Raw Score]])),9),_Stanine,2),5),"")</f>
        <v>4</v>
      </c>
      <c r="P5" s="66" t="n">
        <v>22</v>
      </c>
      <c r="Q5" s="67">
        <f>IF(ISNUMBER(tblY10[[#This Row],[4C01 - Atomic Structure
Raw Score]]),IFERROR(VLOOKUP(ROUND(STANDARDIZE(tblY10[[#This Row],[4C01 - Atomic Structure
Raw Score]],AVERAGE(tblY10[[4C01 - Atomic Structure
Raw Score]]),_xlfn.STDEV.P(tblY10[[4C01 - Atomic Structure
Raw Score]])),9),_Stanine,2),5),"")</f>
        <v>6</v>
      </c>
      <c r="R5" s="66" t="n">
        <v>16</v>
      </c>
      <c r="S5" s="67">
        <f>IF(ISNUMBER(tblY10[[#This Row],[4P01 - Energy
Raw Score]]),IFERROR(VLOOKUP(ROUND(STANDARDIZE(tblY10[[#This Row],[4P01 - Energy
Raw Score]],AVERAGE(tblY10[[4P01 - Energy
Raw Score]]),_xlfn.STDEV.P(tblY10[[4P01 - Energy
Raw Score]])),9),_Stanine,2),5),"")</f>
        <v>5</v>
      </c>
      <c r="T5" s="66" t="n">
        <v>30</v>
      </c>
      <c r="U5" s="67">
        <f>IF(ISNUMBER(tblY10[[#This Row],[4B02 - Organisation
Raw Score]]),IFERROR(VLOOKUP(ROUND(STANDARDIZE(tblY10[[#This Row],[4B02 - Organisation
Raw Score]],AVERAGE(tblY10[[4B02 - Organisation
Raw Score]]),_xlfn.STDEV.P(tblY10[[4B02 - Organisation
Raw Score]])),9),_Stanine,2),5),"")</f>
        <v>7</v>
      </c>
      <c r="V5" s="66" t="n">
        <v>26</v>
      </c>
      <c r="W5" s="67">
        <f>IF(ISNUMBER(tblY10[[#This Row],[4C02 - Bonding
Raw Score]]),IFERROR(VLOOKUP(ROUND(STANDARDIZE(tblY10[[#This Row],[4C02 - Bonding
Raw Score]],AVERAGE(tblY10[[4C02 - Bonding
Raw Score]]),_xlfn.STDEV.P(tblY10[[4C02 - Bonding
Raw Score]])),9),_Stanine,2),5),"")</f>
        <v>6</v>
      </c>
    </row>
    <row r="6">
      <c r="A6" s="65" t="inlineStr">
        <is>
          <t>X903510236916</t>
        </is>
      </c>
      <c r="B6" s="65" t="inlineStr">
        <is>
          <t>Brown</t>
        </is>
      </c>
      <c r="C6" s="65" t="inlineStr">
        <is>
          <t>Evie</t>
        </is>
      </c>
      <c r="D6" s="66" t="inlineStr">
        <is>
          <t>M</t>
        </is>
      </c>
      <c r="E6" s="66" t="inlineStr">
        <is>
          <t>K</t>
        </is>
      </c>
      <c r="F6" s="66" t="inlineStr">
        <is>
          <t>N</t>
        </is>
      </c>
      <c r="G6" s="34" t="n">
        <v>87.8</v>
      </c>
      <c r="H6" s="34" t="n">
        <v>101</v>
      </c>
      <c r="I6" s="67">
        <f>IF(ISNUMBER(tblY10[[#This Row],[Avg KS2]]),IFERROR(VLOOKUP(ROUND(STANDARDIZE(tblY10[[#This Row],[Avg KS2]],AVERAGE(tblY10[[Avg KS2]]),_xlfn.STDEV.P(tblY10[[Avg KS2]])),9),_Stanine,2),5),"")</f>
        <v>4</v>
      </c>
      <c r="J6" s="66" t="inlineStr">
        <is>
          <t>10S/Sc1</t>
        </is>
      </c>
      <c r="K6" s="67">
        <f>IF(tblY10[[#This Row],[Preferred Last name]]="","",COUNTIFS($N$1:$ZZ$1,"*"&amp;CHAR(10)&amp;"Stanine",$N6:$ZZ6,"&gt;=1"))</f>
        <v>5</v>
      </c>
      <c r="L6" s="68">
        <f>IFERROR(AVERAGEIF($N$1:$ZZ$1,"*"&amp;CHAR(10)&amp;"Stanine",$N6:$ZZ6),"")</f>
        <v>4.8</v>
      </c>
      <c r="M6" s="69">
        <f>IF(AND(ISNUMBER(tblY10[[#This Row],[Mean Stanine]]),ISNUMBER(tblY10[[#This Row],[Avg KS2 Band]]),ISNUMBER(SlopeY10)),tblY10[[#This Row],[Mean Stanine]]-(InterceptY10+SlopeY10*tblY10[[#This Row],[Avg KS2 Band]]),"")</f>
        <v>0.673870139758801</v>
      </c>
      <c r="N6" s="66" t="n">
        <v>13</v>
      </c>
      <c r="O6" s="67">
        <f>IF(ISNUMBER(tblY10[[#This Row],[4B01 - Cell Biology
Raw Score]]),IFERROR(VLOOKUP(ROUND(STANDARDIZE(tblY10[[#This Row],[4B01 - Cell Biology
Raw Score]],AVERAGE(tblY10[[4B01 - Cell Biology
Raw Score]]),_xlfn.STDEV.P(tblY10[[4B01 - Cell Biology
Raw Score]])),9),_Stanine,2),5),"")</f>
        <v>4</v>
      </c>
      <c r="P6" s="66" t="n">
        <v>18</v>
      </c>
      <c r="Q6" s="67">
        <f>IF(ISNUMBER(tblY10[[#This Row],[4C01 - Atomic Structure
Raw Score]]),IFERROR(VLOOKUP(ROUND(STANDARDIZE(tblY10[[#This Row],[4C01 - Atomic Structure
Raw Score]],AVERAGE(tblY10[[4C01 - Atomic Structure
Raw Score]]),_xlfn.STDEV.P(tblY10[[4C01 - Atomic Structure
Raw Score]])),9),_Stanine,2),5),"")</f>
        <v>5</v>
      </c>
      <c r="R6" s="66" t="n">
        <v>14</v>
      </c>
      <c r="S6" s="67">
        <f>IF(ISNUMBER(tblY10[[#This Row],[4P01 - Energy
Raw Score]]),IFERROR(VLOOKUP(ROUND(STANDARDIZE(tblY10[[#This Row],[4P01 - Energy
Raw Score]],AVERAGE(tblY10[[4P01 - Energy
Raw Score]]),_xlfn.STDEV.P(tblY10[[4P01 - Energy
Raw Score]])),9),_Stanine,2),5),"")</f>
        <v>5</v>
      </c>
      <c r="T6" s="66" t="n">
        <v>22</v>
      </c>
      <c r="U6" s="67">
        <f>IF(ISNUMBER(tblY10[[#This Row],[4B02 - Organisation
Raw Score]]),IFERROR(VLOOKUP(ROUND(STANDARDIZE(tblY10[[#This Row],[4B02 - Organisation
Raw Score]],AVERAGE(tblY10[[4B02 - Organisation
Raw Score]]),_xlfn.STDEV.P(tblY10[[4B02 - Organisation
Raw Score]])),9),_Stanine,2),5),"")</f>
        <v>5</v>
      </c>
      <c r="V6" s="66" t="n">
        <v>21</v>
      </c>
      <c r="W6" s="67">
        <f>IF(ISNUMBER(tblY10[[#This Row],[4C02 - Bonding
Raw Score]]),IFERROR(VLOOKUP(ROUND(STANDARDIZE(tblY10[[#This Row],[4C02 - Bonding
Raw Score]],AVERAGE(tblY10[[4C02 - Bonding
Raw Score]]),_xlfn.STDEV.P(tblY10[[4C02 - Bonding
Raw Score]])),9),_Stanine,2),5),"")</f>
        <v>5</v>
      </c>
    </row>
    <row r="7">
      <c r="A7" s="65" t="inlineStr">
        <is>
          <t>X908107323766</t>
        </is>
      </c>
      <c r="B7" s="65" t="inlineStr">
        <is>
          <t>Brown</t>
        </is>
      </c>
      <c r="C7" s="65" t="inlineStr">
        <is>
          <t>Freya</t>
        </is>
      </c>
      <c r="D7" s="66" t="inlineStr">
        <is>
          <t>M</t>
        </is>
      </c>
      <c r="E7" s="66" t="inlineStr">
        <is>
          <t>K</t>
        </is>
      </c>
      <c r="F7" s="66" t="inlineStr">
        <is>
          <t>N</t>
        </is>
      </c>
      <c r="G7" s="34" t="n">
        <v>94.40000000000001</v>
      </c>
      <c r="H7" s="34" t="n">
        <v>105</v>
      </c>
      <c r="I7" s="67">
        <f>IF(ISNUMBER(tblY10[[#This Row],[Avg KS2]]),IFERROR(VLOOKUP(ROUND(STANDARDIZE(tblY10[[#This Row],[Avg KS2]],AVERAGE(tblY10[[Avg KS2]]),_xlfn.STDEV.P(tblY10[[Avg KS2]])),9),_Stanine,2),5),"")</f>
        <v>6</v>
      </c>
      <c r="J7" s="66" t="inlineStr">
        <is>
          <t>10S/Sc1</t>
        </is>
      </c>
      <c r="K7" s="67">
        <f>IF(tblY10[[#This Row],[Preferred Last name]]="","",COUNTIFS($N$1:$ZZ$1,"*"&amp;CHAR(10)&amp;"Stanine",$N7:$ZZ7,"&gt;=1"))</f>
        <v>4</v>
      </c>
      <c r="L7" s="68">
        <f>IFERROR(AVERAGEIF($N$1:$ZZ$1,"*"&amp;CHAR(10)&amp;"Stanine",$N7:$ZZ7),"")</f>
        <v>5.25</v>
      </c>
      <c r="M7" s="69">
        <f>IF(AND(ISNUMBER(tblY10[[#This Row],[Mean Stanine]]),ISNUMBER(tblY10[[#This Row],[Avg KS2 Band]]),ISNUMBER(SlopeY10)),tblY10[[#This Row],[Mean Stanine]]-(InterceptY10+SlopeY10*tblY10[[#This Row],[Avg KS2 Band]]),"")</f>
        <v>-0.504134428806523</v>
      </c>
      <c r="N7" s="66" t="inlineStr">
        <is>
          <t>A</t>
        </is>
      </c>
      <c r="O7" s="67" t="str">
        <f>IF(ISNUMBER(tblY10[[#This Row],[4B01 - Cell Biology
Raw Score]]),IFERROR(VLOOKUP(ROUND(STANDARDIZE(tblY10[[#This Row],[4B01 - Cell Biology
Raw Score]],AVERAGE(tblY10[[4B01 - Cell Biology
Raw Score]]),_xlfn.STDEV.P(tblY10[[4B01 - Cell Biology
Raw Score]])),9),_Stanine,2),5),"")</f>
        <v/>
      </c>
      <c r="P7" s="66" t="n">
        <v>16</v>
      </c>
      <c r="Q7" s="67">
        <f>IF(ISNUMBER(tblY10[[#This Row],[4C01 - Atomic Structure
Raw Score]]),IFERROR(VLOOKUP(ROUND(STANDARDIZE(tblY10[[#This Row],[4C01 - Atomic Structure
Raw Score]],AVERAGE(tblY10[[4C01 - Atomic Structure
Raw Score]]),_xlfn.STDEV.P(tblY10[[4C01 - Atomic Structure
Raw Score]])),9),_Stanine,2),5),"")</f>
        <v>5</v>
      </c>
      <c r="R7" s="66" t="n">
        <v>12</v>
      </c>
      <c r="S7" s="67">
        <f>IF(ISNUMBER(tblY10[[#This Row],[4P01 - Energy
Raw Score]]),IFERROR(VLOOKUP(ROUND(STANDARDIZE(tblY10[[#This Row],[4P01 - Energy
Raw Score]],AVERAGE(tblY10[[4P01 - Energy
Raw Score]]),_xlfn.STDEV.P(tblY10[[4P01 - Energy
Raw Score]])),9),_Stanine,2),5),"")</f>
        <v>4</v>
      </c>
      <c r="T7" s="66" t="n">
        <v>27</v>
      </c>
      <c r="U7" s="67">
        <f>IF(ISNUMBER(tblY10[[#This Row],[4B02 - Organisation
Raw Score]]),IFERROR(VLOOKUP(ROUND(STANDARDIZE(tblY10[[#This Row],[4B02 - Organisation
Raw Score]],AVERAGE(tblY10[[4B02 - Organisation
Raw Score]]),_xlfn.STDEV.P(tblY10[[4B02 - Organisation
Raw Score]])),9),_Stanine,2),5),"")</f>
        <v>6</v>
      </c>
      <c r="V7" s="66" t="n">
        <v>25</v>
      </c>
      <c r="W7" s="67">
        <f>IF(ISNUMBER(tblY10[[#This Row],[4C02 - Bonding
Raw Score]]),IFERROR(VLOOKUP(ROUND(STANDARDIZE(tblY10[[#This Row],[4C02 - Bonding
Raw Score]],AVERAGE(tblY10[[4C02 - Bonding
Raw Score]]),_xlfn.STDEV.P(tblY10[[4C02 - Bonding
Raw Score]])),9),_Stanine,2),5),"")</f>
        <v>6</v>
      </c>
    </row>
    <row r="8">
      <c r="A8" s="65" t="inlineStr">
        <is>
          <t>X906267423268</t>
        </is>
      </c>
      <c r="B8" s="65" t="inlineStr">
        <is>
          <t>Clarke</t>
        </is>
      </c>
      <c r="C8" s="65" t="inlineStr">
        <is>
          <t>Keira</t>
        </is>
      </c>
      <c r="D8" s="66" t="inlineStr">
        <is>
          <t>M</t>
        </is>
      </c>
      <c r="E8" s="66" t="inlineStr">
        <is>
          <t>K</t>
        </is>
      </c>
      <c r="F8" s="66" t="inlineStr">
        <is>
          <t>N</t>
        </is>
      </c>
      <c r="G8" s="34" t="n">
        <v>87.7</v>
      </c>
      <c r="H8" s="34" t="n">
        <v>110</v>
      </c>
      <c r="I8" s="67">
        <f>IF(ISNUMBER(tblY10[[#This Row],[Avg KS2]]),IFERROR(VLOOKUP(ROUND(STANDARDIZE(tblY10[[#This Row],[Avg KS2]],AVERAGE(tblY10[[Avg KS2]]),_xlfn.STDEV.P(tblY10[[Avg KS2]])),9),_Stanine,2),5),"")</f>
        <v>7</v>
      </c>
      <c r="J8" s="66" t="inlineStr">
        <is>
          <t>10S/Sc1</t>
        </is>
      </c>
      <c r="K8" s="67">
        <f>IF(tblY10[[#This Row],[Preferred Last name]]="","",COUNTIFS($N$1:$ZZ$1,"*"&amp;CHAR(10)&amp;"Stanine",$N8:$ZZ8,"&gt;=1"))</f>
        <v>5</v>
      </c>
      <c r="L8" s="68">
        <f>IFERROR(AVERAGEIF($N$1:$ZZ$1,"*"&amp;CHAR(10)&amp;"Stanine",$N8:$ZZ8),"")</f>
        <v>7.2</v>
      </c>
      <c r="M8" s="69">
        <f>IF(AND(ISNUMBER(tblY10[[#This Row],[Mean Stanine]]),ISNUMBER(tblY10[[#This Row],[Avg KS2 Band]]),ISNUMBER(SlopeY10)),tblY10[[#This Row],[Mean Stanine]]-(InterceptY10+SlopeY10*tblY10[[#This Row],[Avg KS2 Band]]),"")</f>
        <v>0.631863286910814</v>
      </c>
      <c r="N8" s="66" t="n">
        <v>31</v>
      </c>
      <c r="O8" s="67">
        <f>IF(ISNUMBER(tblY10[[#This Row],[4B01 - Cell Biology
Raw Score]]),IFERROR(VLOOKUP(ROUND(STANDARDIZE(tblY10[[#This Row],[4B01 - Cell Biology
Raw Score]],AVERAGE(tblY10[[4B01 - Cell Biology
Raw Score]]),_xlfn.STDEV.P(tblY10[[4B01 - Cell Biology
Raw Score]])),9),_Stanine,2),5),"")</f>
        <v>7</v>
      </c>
      <c r="P8" s="66" t="n">
        <v>26</v>
      </c>
      <c r="Q8" s="67">
        <f>IF(ISNUMBER(tblY10[[#This Row],[4C01 - Atomic Structure
Raw Score]]),IFERROR(VLOOKUP(ROUND(STANDARDIZE(tblY10[[#This Row],[4C01 - Atomic Structure
Raw Score]],AVERAGE(tblY10[[4C01 - Atomic Structure
Raw Score]]),_xlfn.STDEV.P(tblY10[[4C01 - Atomic Structure
Raw Score]])),9),_Stanine,2),5),"")</f>
        <v>7</v>
      </c>
      <c r="R8" s="66" t="n">
        <v>28</v>
      </c>
      <c r="S8" s="67">
        <f>IF(ISNUMBER(tblY10[[#This Row],[4P01 - Energy
Raw Score]]),IFERROR(VLOOKUP(ROUND(STANDARDIZE(tblY10[[#This Row],[4P01 - Energy
Raw Score]],AVERAGE(tblY10[[4P01 - Energy
Raw Score]]),_xlfn.STDEV.P(tblY10[[4P01 - Energy
Raw Score]])),9),_Stanine,2),5),"")</f>
        <v>8</v>
      </c>
      <c r="T8" s="66" t="n">
        <v>31</v>
      </c>
      <c r="U8" s="67">
        <f>IF(ISNUMBER(tblY10[[#This Row],[4B02 - Organisation
Raw Score]]),IFERROR(VLOOKUP(ROUND(STANDARDIZE(tblY10[[#This Row],[4B02 - Organisation
Raw Score]],AVERAGE(tblY10[[4B02 - Organisation
Raw Score]]),_xlfn.STDEV.P(tblY10[[4B02 - Organisation
Raw Score]])),9),_Stanine,2),5),"")</f>
        <v>7</v>
      </c>
      <c r="V8" s="66" t="n">
        <v>32</v>
      </c>
      <c r="W8" s="67">
        <f>IF(ISNUMBER(tblY10[[#This Row],[4C02 - Bonding
Raw Score]]),IFERROR(VLOOKUP(ROUND(STANDARDIZE(tblY10[[#This Row],[4C02 - Bonding
Raw Score]],AVERAGE(tblY10[[4C02 - Bonding
Raw Score]]),_xlfn.STDEV.P(tblY10[[4C02 - Bonding
Raw Score]])),9),_Stanine,2),5),"")</f>
        <v>7</v>
      </c>
    </row>
    <row r="9">
      <c r="A9" s="65" t="inlineStr">
        <is>
          <t>X902834230869</t>
        </is>
      </c>
      <c r="B9" s="65" t="inlineStr">
        <is>
          <t>Davies</t>
        </is>
      </c>
      <c r="C9" s="65" t="inlineStr">
        <is>
          <t>George</t>
        </is>
      </c>
      <c r="D9" s="66" t="inlineStr">
        <is>
          <t>F</t>
        </is>
      </c>
      <c r="E9" s="66" t="inlineStr">
        <is>
          <t>N</t>
        </is>
      </c>
      <c r="F9" s="66" t="inlineStr">
        <is>
          <t>Y</t>
        </is>
      </c>
      <c r="G9" s="34" t="n">
        <v>100</v>
      </c>
      <c r="H9" s="34" t="n">
        <v>110.5</v>
      </c>
      <c r="I9" s="67">
        <f>IF(ISNUMBER(tblY10[[#This Row],[Avg KS2]]),IFERROR(VLOOKUP(ROUND(STANDARDIZE(tblY10[[#This Row],[Avg KS2]],AVERAGE(tblY10[[Avg KS2]]),_xlfn.STDEV.P(tblY10[[Avg KS2]])),9),_Stanine,2),5),"")</f>
        <v>7</v>
      </c>
      <c r="J9" s="66" t="inlineStr">
        <is>
          <t>10S/Sc1</t>
        </is>
      </c>
      <c r="K9" s="67">
        <f>IF(tblY10[[#This Row],[Preferred Last name]]="","",COUNTIFS($N$1:$ZZ$1,"*"&amp;CHAR(10)&amp;"Stanine",$N9:$ZZ9,"&gt;=1"))</f>
        <v>5</v>
      </c>
      <c r="L9" s="68">
        <f>IFERROR(AVERAGEIF($N$1:$ZZ$1,"*"&amp;CHAR(10)&amp;"Stanine",$N9:$ZZ9),"")</f>
        <v>6.8</v>
      </c>
      <c r="M9" s="69">
        <f>IF(AND(ISNUMBER(tblY10[[#This Row],[Mean Stanine]]),ISNUMBER(tblY10[[#This Row],[Avg KS2 Band]]),ISNUMBER(SlopeY10)),tblY10[[#This Row],[Mean Stanine]]-(InterceptY10+SlopeY10*tblY10[[#This Row],[Avg KS2 Band]]),"")</f>
        <v>0.231863286910814</v>
      </c>
      <c r="N9" s="66" t="n">
        <v>23</v>
      </c>
      <c r="O9" s="67">
        <f>IF(ISNUMBER(tblY10[[#This Row],[4B01 - Cell Biology
Raw Score]]),IFERROR(VLOOKUP(ROUND(STANDARDIZE(tblY10[[#This Row],[4B01 - Cell Biology
Raw Score]],AVERAGE(tblY10[[4B01 - Cell Biology
Raw Score]]),_xlfn.STDEV.P(tblY10[[4B01 - Cell Biology
Raw Score]])),9),_Stanine,2),5),"")</f>
        <v>6</v>
      </c>
      <c r="P9" s="66" t="n">
        <v>24</v>
      </c>
      <c r="Q9" s="67">
        <f>IF(ISNUMBER(tblY10[[#This Row],[4C01 - Atomic Structure
Raw Score]]),IFERROR(VLOOKUP(ROUND(STANDARDIZE(tblY10[[#This Row],[4C01 - Atomic Structure
Raw Score]],AVERAGE(tblY10[[4C01 - Atomic Structure
Raw Score]]),_xlfn.STDEV.P(tblY10[[4C01 - Atomic Structure
Raw Score]])),9),_Stanine,2),5),"")</f>
        <v>7</v>
      </c>
      <c r="R9" s="66" t="n">
        <v>22</v>
      </c>
      <c r="S9" s="67">
        <f>IF(ISNUMBER(tblY10[[#This Row],[4P01 - Energy
Raw Score]]),IFERROR(VLOOKUP(ROUND(STANDARDIZE(tblY10[[#This Row],[4P01 - Energy
Raw Score]],AVERAGE(tblY10[[4P01 - Energy
Raw Score]]),_xlfn.STDEV.P(tblY10[[4P01 - Energy
Raw Score]])),9),_Stanine,2),5),"")</f>
        <v>7</v>
      </c>
      <c r="T9" s="66" t="n">
        <v>29</v>
      </c>
      <c r="U9" s="67">
        <f>IF(ISNUMBER(tblY10[[#This Row],[4B02 - Organisation
Raw Score]]),IFERROR(VLOOKUP(ROUND(STANDARDIZE(tblY10[[#This Row],[4B02 - Organisation
Raw Score]],AVERAGE(tblY10[[4B02 - Organisation
Raw Score]]),_xlfn.STDEV.P(tblY10[[4B02 - Organisation
Raw Score]])),9),_Stanine,2),5),"")</f>
        <v>7</v>
      </c>
      <c r="V9" s="66" t="n">
        <v>28</v>
      </c>
      <c r="W9" s="67">
        <f>IF(ISNUMBER(tblY10[[#This Row],[4C02 - Bonding
Raw Score]]),IFERROR(VLOOKUP(ROUND(STANDARDIZE(tblY10[[#This Row],[4C02 - Bonding
Raw Score]],AVERAGE(tblY10[[4C02 - Bonding
Raw Score]]),_xlfn.STDEV.P(tblY10[[4C02 - Bonding
Raw Score]])),9),_Stanine,2),5),"")</f>
        <v>7</v>
      </c>
    </row>
    <row r="10">
      <c r="A10" s="65" t="inlineStr">
        <is>
          <t>X909753463823</t>
        </is>
      </c>
      <c r="B10" s="65" t="inlineStr">
        <is>
          <t>Davies</t>
        </is>
      </c>
      <c r="C10" s="65" t="inlineStr">
        <is>
          <t>Oscar</t>
        </is>
      </c>
      <c r="D10" s="66" t="inlineStr">
        <is>
          <t>F</t>
        </is>
      </c>
      <c r="E10" s="66" t="inlineStr">
        <is>
          <t>N</t>
        </is>
      </c>
      <c r="F10" s="66" t="inlineStr">
        <is>
          <t>N</t>
        </is>
      </c>
      <c r="G10" s="34" t="n">
        <v>93.90000000000001</v>
      </c>
      <c r="H10" s="34" t="n">
        <v>113.5</v>
      </c>
      <c r="I10" s="67">
        <f>IF(ISNUMBER(tblY10[[#This Row],[Avg KS2]]),IFERROR(VLOOKUP(ROUND(STANDARDIZE(tblY10[[#This Row],[Avg KS2]],AVERAGE(tblY10[[Avg KS2]]),_xlfn.STDEV.P(tblY10[[Avg KS2]])),9),_Stanine,2),5),"")</f>
        <v>8</v>
      </c>
      <c r="J10" s="66" t="inlineStr">
        <is>
          <t>10S/Sc1</t>
        </is>
      </c>
      <c r="K10" s="67">
        <f>IF(tblY10[[#This Row],[Preferred Last name]]="","",COUNTIFS($N$1:$ZZ$1,"*"&amp;CHAR(10)&amp;"Stanine",$N10:$ZZ10,"&gt;=1"))</f>
        <v>5</v>
      </c>
      <c r="L10" s="68">
        <f>IFERROR(AVERAGEIF($N$1:$ZZ$1,"*"&amp;CHAR(10)&amp;"Stanine",$N10:$ZZ10),"")</f>
        <v>7</v>
      </c>
      <c r="M10" s="69">
        <f>IF(AND(ISNUMBER(tblY10[[#This Row],[Mean Stanine]]),ISNUMBER(tblY10[[#This Row],[Avg KS2 Band]]),ISNUMBER(SlopeY10)),tblY10[[#This Row],[Mean Stanine]]-(InterceptY10+SlopeY10*tblY10[[#This Row],[Avg KS2 Band]]),"")</f>
        <v>-0.382138997371849</v>
      </c>
      <c r="N10" s="66" t="n">
        <v>29</v>
      </c>
      <c r="O10" s="67">
        <f>IF(ISNUMBER(tblY10[[#This Row],[4B01 - Cell Biology
Raw Score]]),IFERROR(VLOOKUP(ROUND(STANDARDIZE(tblY10[[#This Row],[4B01 - Cell Biology
Raw Score]],AVERAGE(tblY10[[4B01 - Cell Biology
Raw Score]]),_xlfn.STDEV.P(tblY10[[4B01 - Cell Biology
Raw Score]])),9),_Stanine,2),5),"")</f>
        <v>7</v>
      </c>
      <c r="P10" s="66" t="n">
        <v>27</v>
      </c>
      <c r="Q10" s="67">
        <f>IF(ISNUMBER(tblY10[[#This Row],[4C01 - Atomic Structure
Raw Score]]),IFERROR(VLOOKUP(ROUND(STANDARDIZE(tblY10[[#This Row],[4C01 - Atomic Structure
Raw Score]],AVERAGE(tblY10[[4C01 - Atomic Structure
Raw Score]]),_xlfn.STDEV.P(tblY10[[4C01 - Atomic Structure
Raw Score]])),9),_Stanine,2),5),"")</f>
        <v>7</v>
      </c>
      <c r="R10" s="66" t="n">
        <v>24</v>
      </c>
      <c r="S10" s="67">
        <f>IF(ISNUMBER(tblY10[[#This Row],[4P01 - Energy
Raw Score]]),IFERROR(VLOOKUP(ROUND(STANDARDIZE(tblY10[[#This Row],[4P01 - Energy
Raw Score]],AVERAGE(tblY10[[4P01 - Energy
Raw Score]]),_xlfn.STDEV.P(tblY10[[4P01 - Energy
Raw Score]])),9),_Stanine,2),5),"")</f>
        <v>7</v>
      </c>
      <c r="T10" s="66" t="n">
        <v>27</v>
      </c>
      <c r="U10" s="67">
        <f>IF(ISNUMBER(tblY10[[#This Row],[4B02 - Organisation
Raw Score]]),IFERROR(VLOOKUP(ROUND(STANDARDIZE(tblY10[[#This Row],[4B02 - Organisation
Raw Score]],AVERAGE(tblY10[[4B02 - Organisation
Raw Score]]),_xlfn.STDEV.P(tblY10[[4B02 - Organisation
Raw Score]])),9),_Stanine,2),5),"")</f>
        <v>6</v>
      </c>
      <c r="V10" s="66" t="n">
        <v>33</v>
      </c>
      <c r="W10" s="67">
        <f>IF(ISNUMBER(tblY10[[#This Row],[4C02 - Bonding
Raw Score]]),IFERROR(VLOOKUP(ROUND(STANDARDIZE(tblY10[[#This Row],[4C02 - Bonding
Raw Score]],AVERAGE(tblY10[[4C02 - Bonding
Raw Score]]),_xlfn.STDEV.P(tblY10[[4C02 - Bonding
Raw Score]])),9),_Stanine,2),5),"")</f>
        <v>8</v>
      </c>
    </row>
    <row r="11">
      <c r="A11" s="65" t="inlineStr">
        <is>
          <t>X905161801459</t>
        </is>
      </c>
      <c r="B11" s="65" t="inlineStr">
        <is>
          <t>Evans</t>
        </is>
      </c>
      <c r="C11" s="65" t="inlineStr">
        <is>
          <t>George</t>
        </is>
      </c>
      <c r="D11" s="66" t="inlineStr">
        <is>
          <t>M</t>
        </is>
      </c>
      <c r="E11" s="66" t="inlineStr">
        <is>
          <t>N</t>
        </is>
      </c>
      <c r="F11" s="66" t="inlineStr">
        <is>
          <t>N</t>
        </is>
      </c>
      <c r="G11" s="34" t="n">
        <v>86.3</v>
      </c>
      <c r="H11" s="34" t="n">
        <v>104</v>
      </c>
      <c r="I11" s="67">
        <f>IF(ISNUMBER(tblY10[[#This Row],[Avg KS2]]),IFERROR(VLOOKUP(ROUND(STANDARDIZE(tblY10[[#This Row],[Avg KS2]],AVERAGE(tblY10[[Avg KS2]]),_xlfn.STDEV.P(tblY10[[Avg KS2]])),9),_Stanine,2),5),"")</f>
        <v>5</v>
      </c>
      <c r="J11" s="66" t="inlineStr">
        <is>
          <t>10S/Sc1</t>
        </is>
      </c>
      <c r="K11" s="67">
        <f>IF(tblY10[[#This Row],[Preferred Last name]]="","",COUNTIFS($N$1:$ZZ$1,"*"&amp;CHAR(10)&amp;"Stanine",$N11:$ZZ11,"&gt;=1"))</f>
        <v>5</v>
      </c>
      <c r="L11" s="68">
        <f>IFERROR(AVERAGEIF($N$1:$ZZ$1,"*"&amp;CHAR(10)&amp;"Stanine",$N11:$ZZ11),"")</f>
        <v>4.8</v>
      </c>
      <c r="M11" s="69">
        <f>IF(AND(ISNUMBER(tblY10[[#This Row],[Mean Stanine]]),ISNUMBER(tblY10[[#This Row],[Avg KS2 Band]]),ISNUMBER(SlopeY10)),tblY10[[#This Row],[Mean Stanine]]-(InterceptY10+SlopeY10*tblY10[[#This Row],[Avg KS2 Band]]),"")</f>
        <v>-0.140132144523862</v>
      </c>
      <c r="N11" s="66" t="n">
        <v>22</v>
      </c>
      <c r="O11" s="67">
        <f>IF(ISNUMBER(tblY10[[#This Row],[4B01 - Cell Biology
Raw Score]]),IFERROR(VLOOKUP(ROUND(STANDARDIZE(tblY10[[#This Row],[4B01 - Cell Biology
Raw Score]],AVERAGE(tblY10[[4B01 - Cell Biology
Raw Score]]),_xlfn.STDEV.P(tblY10[[4B01 - Cell Biology
Raw Score]])),9),_Stanine,2),5),"")</f>
        <v>6</v>
      </c>
      <c r="P11" s="66" t="n">
        <v>12</v>
      </c>
      <c r="Q11" s="67">
        <f>IF(ISNUMBER(tblY10[[#This Row],[4C01 - Atomic Structure
Raw Score]]),IFERROR(VLOOKUP(ROUND(STANDARDIZE(tblY10[[#This Row],[4C01 - Atomic Structure
Raw Score]],AVERAGE(tblY10[[4C01 - Atomic Structure
Raw Score]]),_xlfn.STDEV.P(tblY10[[4C01 - Atomic Structure
Raw Score]])),9),_Stanine,2),5),"")</f>
        <v>4</v>
      </c>
      <c r="R11" s="66" t="n">
        <v>14</v>
      </c>
      <c r="S11" s="67">
        <f>IF(ISNUMBER(tblY10[[#This Row],[4P01 - Energy
Raw Score]]),IFERROR(VLOOKUP(ROUND(STANDARDIZE(tblY10[[#This Row],[4P01 - Energy
Raw Score]],AVERAGE(tblY10[[4P01 - Energy
Raw Score]]),_xlfn.STDEV.P(tblY10[[4P01 - Energy
Raw Score]])),9),_Stanine,2),5),"")</f>
        <v>5</v>
      </c>
      <c r="T11" s="66" t="n">
        <v>20</v>
      </c>
      <c r="U11" s="67">
        <f>IF(ISNUMBER(tblY10[[#This Row],[4B02 - Organisation
Raw Score]]),IFERROR(VLOOKUP(ROUND(STANDARDIZE(tblY10[[#This Row],[4B02 - Organisation
Raw Score]],AVERAGE(tblY10[[4B02 - Organisation
Raw Score]]),_xlfn.STDEV.P(tblY10[[4B02 - Organisation
Raw Score]])),9),_Stanine,2),5),"")</f>
        <v>4</v>
      </c>
      <c r="V11" s="66" t="n">
        <v>22</v>
      </c>
      <c r="W11" s="67">
        <f>IF(ISNUMBER(tblY10[[#This Row],[4C02 - Bonding
Raw Score]]),IFERROR(VLOOKUP(ROUND(STANDARDIZE(tblY10[[#This Row],[4C02 - Bonding
Raw Score]],AVERAGE(tblY10[[4C02 - Bonding
Raw Score]]),_xlfn.STDEV.P(tblY10[[4C02 - Bonding
Raw Score]])),9),_Stanine,2),5),"")</f>
        <v>5</v>
      </c>
    </row>
    <row r="12">
      <c r="A12" s="65" t="inlineStr">
        <is>
          <t>X902637712776</t>
        </is>
      </c>
      <c r="B12" s="65" t="inlineStr">
        <is>
          <t>Fletcher</t>
        </is>
      </c>
      <c r="C12" s="65" t="inlineStr">
        <is>
          <t>Ivy</t>
        </is>
      </c>
      <c r="D12" s="66" t="inlineStr">
        <is>
          <t>F</t>
        </is>
      </c>
      <c r="E12" s="66" t="n"/>
      <c r="F12" s="66" t="inlineStr">
        <is>
          <t>N</t>
        </is>
      </c>
      <c r="G12" s="34" t="n">
        <v>97.5</v>
      </c>
      <c r="H12" s="34" t="n">
        <v>113</v>
      </c>
      <c r="I12" s="67">
        <f>IF(ISNUMBER(tblY10[[#This Row],[Avg KS2]]),IFERROR(VLOOKUP(ROUND(STANDARDIZE(tblY10[[#This Row],[Avg KS2]],AVERAGE(tblY10[[Avg KS2]]),_xlfn.STDEV.P(tblY10[[Avg KS2]])),9),_Stanine,2),5),"")</f>
        <v>8</v>
      </c>
      <c r="J12" s="66" t="inlineStr">
        <is>
          <t>10S/Sc1</t>
        </is>
      </c>
      <c r="K12" s="67">
        <f>IF(tblY10[[#This Row],[Preferred Last name]]="","",COUNTIFS($N$1:$ZZ$1,"*"&amp;CHAR(10)&amp;"Stanine",$N12:$ZZ12,"&gt;=1"))</f>
        <v>5</v>
      </c>
      <c r="L12" s="68">
        <f>IFERROR(AVERAGEIF($N$1:$ZZ$1,"*"&amp;CHAR(10)&amp;"Stanine",$N12:$ZZ12),"")</f>
        <v>7.8</v>
      </c>
      <c r="M12" s="69">
        <f>IF(AND(ISNUMBER(tblY10[[#This Row],[Mean Stanine]]),ISNUMBER(tblY10[[#This Row],[Avg KS2 Band]]),ISNUMBER(SlopeY10)),tblY10[[#This Row],[Mean Stanine]]-(InterceptY10+SlopeY10*tblY10[[#This Row],[Avg KS2 Band]]),"")</f>
        <v>0.417861002628151</v>
      </c>
      <c r="N12" s="66" t="n">
        <v>32</v>
      </c>
      <c r="O12" s="67">
        <f>IF(ISNUMBER(tblY10[[#This Row],[4B01 - Cell Biology
Raw Score]]),IFERROR(VLOOKUP(ROUND(STANDARDIZE(tblY10[[#This Row],[4B01 - Cell Biology
Raw Score]],AVERAGE(tblY10[[4B01 - Cell Biology
Raw Score]]),_xlfn.STDEV.P(tblY10[[4B01 - Cell Biology
Raw Score]])),9),_Stanine,2),5),"")</f>
        <v>8</v>
      </c>
      <c r="P12" s="66" t="n">
        <v>29</v>
      </c>
      <c r="Q12" s="67">
        <f>IF(ISNUMBER(tblY10[[#This Row],[4C01 - Atomic Structure
Raw Score]]),IFERROR(VLOOKUP(ROUND(STANDARDIZE(tblY10[[#This Row],[4C01 - Atomic Structure
Raw Score]],AVERAGE(tblY10[[4C01 - Atomic Structure
Raw Score]]),_xlfn.STDEV.P(tblY10[[4C01 - Atomic Structure
Raw Score]])),9),_Stanine,2),5),"")</f>
        <v>8</v>
      </c>
      <c r="R12" s="66" t="n">
        <v>27</v>
      </c>
      <c r="S12" s="67">
        <f>IF(ISNUMBER(tblY10[[#This Row],[4P01 - Energy
Raw Score]]),IFERROR(VLOOKUP(ROUND(STANDARDIZE(tblY10[[#This Row],[4P01 - Energy
Raw Score]],AVERAGE(tblY10[[4P01 - Energy
Raw Score]]),_xlfn.STDEV.P(tblY10[[4P01 - Energy
Raw Score]])),9),_Stanine,2),5),"")</f>
        <v>8</v>
      </c>
      <c r="T12" s="66" t="n">
        <v>35</v>
      </c>
      <c r="U12" s="67">
        <f>IF(ISNUMBER(tblY10[[#This Row],[4B02 - Organisation
Raw Score]]),IFERROR(VLOOKUP(ROUND(STANDARDIZE(tblY10[[#This Row],[4B02 - Organisation
Raw Score]],AVERAGE(tblY10[[4B02 - Organisation
Raw Score]]),_xlfn.STDEV.P(tblY10[[4B02 - Organisation
Raw Score]])),9),_Stanine,2),5),"")</f>
        <v>8</v>
      </c>
      <c r="V12" s="66" t="n">
        <v>32</v>
      </c>
      <c r="W12" s="67">
        <f>IF(ISNUMBER(tblY10[[#This Row],[4C02 - Bonding
Raw Score]]),IFERROR(VLOOKUP(ROUND(STANDARDIZE(tblY10[[#This Row],[4C02 - Bonding
Raw Score]],AVERAGE(tblY10[[4C02 - Bonding
Raw Score]]),_xlfn.STDEV.P(tblY10[[4C02 - Bonding
Raw Score]])),9),_Stanine,2),5),"")</f>
        <v>7</v>
      </c>
    </row>
    <row r="13">
      <c r="A13" s="65" t="inlineStr">
        <is>
          <t>X900469574696</t>
        </is>
      </c>
      <c r="B13" s="65" t="inlineStr">
        <is>
          <t>Hall</t>
        </is>
      </c>
      <c r="C13" s="65" t="inlineStr">
        <is>
          <t>Harry</t>
        </is>
      </c>
      <c r="D13" s="66" t="inlineStr">
        <is>
          <t>F</t>
        </is>
      </c>
      <c r="E13" s="66" t="inlineStr">
        <is>
          <t>N</t>
        </is>
      </c>
      <c r="F13" s="66" t="inlineStr">
        <is>
          <t>Y</t>
        </is>
      </c>
      <c r="G13" s="34" t="n">
        <v>89.59999999999999</v>
      </c>
      <c r="H13" s="34" t="n">
        <v>108.5</v>
      </c>
      <c r="I13" s="67">
        <f>IF(ISNUMBER(tblY10[[#This Row],[Avg KS2]]),IFERROR(VLOOKUP(ROUND(STANDARDIZE(tblY10[[#This Row],[Avg KS2]],AVERAGE(tblY10[[Avg KS2]]),_xlfn.STDEV.P(tblY10[[Avg KS2]])),9),_Stanine,2),5),"")</f>
        <v>7</v>
      </c>
      <c r="J13" s="66" t="inlineStr">
        <is>
          <t>10S/Sc1</t>
        </is>
      </c>
      <c r="K13" s="67">
        <f>IF(tblY10[[#This Row],[Preferred Last name]]="","",COUNTIFS($N$1:$ZZ$1,"*"&amp;CHAR(10)&amp;"Stanine",$N13:$ZZ13,"&gt;=1"))</f>
        <v>5</v>
      </c>
      <c r="L13" s="68">
        <f>IFERROR(AVERAGEIF($N$1:$ZZ$1,"*"&amp;CHAR(10)&amp;"Stanine",$N13:$ZZ13),"")</f>
        <v>6.6</v>
      </c>
      <c r="M13" s="69">
        <f>IF(AND(ISNUMBER(tblY10[[#This Row],[Mean Stanine]]),ISNUMBER(tblY10[[#This Row],[Avg KS2 Band]]),ISNUMBER(SlopeY10)),tblY10[[#This Row],[Mean Stanine]]-(InterceptY10+SlopeY10*tblY10[[#This Row],[Avg KS2 Band]]),"")</f>
        <v>0.0318632869108138</v>
      </c>
      <c r="N13" s="66" t="n">
        <v>26</v>
      </c>
      <c r="O13" s="67">
        <f>IF(ISNUMBER(tblY10[[#This Row],[4B01 - Cell Biology
Raw Score]]),IFERROR(VLOOKUP(ROUND(STANDARDIZE(tblY10[[#This Row],[4B01 - Cell Biology
Raw Score]],AVERAGE(tblY10[[4B01 - Cell Biology
Raw Score]]),_xlfn.STDEV.P(tblY10[[4B01 - Cell Biology
Raw Score]])),9),_Stanine,2),5),"")</f>
        <v>6</v>
      </c>
      <c r="P13" s="66" t="n">
        <v>26</v>
      </c>
      <c r="Q13" s="67">
        <f>IF(ISNUMBER(tblY10[[#This Row],[4C01 - Atomic Structure
Raw Score]]),IFERROR(VLOOKUP(ROUND(STANDARDIZE(tblY10[[#This Row],[4C01 - Atomic Structure
Raw Score]],AVERAGE(tblY10[[4C01 - Atomic Structure
Raw Score]]),_xlfn.STDEV.P(tblY10[[4C01 - Atomic Structure
Raw Score]])),9),_Stanine,2),5),"")</f>
        <v>7</v>
      </c>
      <c r="R13" s="66" t="n">
        <v>23</v>
      </c>
      <c r="S13" s="67">
        <f>IF(ISNUMBER(tblY10[[#This Row],[4P01 - Energy
Raw Score]]),IFERROR(VLOOKUP(ROUND(STANDARDIZE(tblY10[[#This Row],[4P01 - Energy
Raw Score]],AVERAGE(tblY10[[4P01 - Energy
Raw Score]]),_xlfn.STDEV.P(tblY10[[4P01 - Energy
Raw Score]])),9),_Stanine,2),5),"")</f>
        <v>7</v>
      </c>
      <c r="T13" s="66" t="n">
        <v>26</v>
      </c>
      <c r="U13" s="67">
        <f>IF(ISNUMBER(tblY10[[#This Row],[4B02 - Organisation
Raw Score]]),IFERROR(VLOOKUP(ROUND(STANDARDIZE(tblY10[[#This Row],[4B02 - Organisation
Raw Score]],AVERAGE(tblY10[[4B02 - Organisation
Raw Score]]),_xlfn.STDEV.P(tblY10[[4B02 - Organisation
Raw Score]])),9),_Stanine,2),5),"")</f>
        <v>6</v>
      </c>
      <c r="V13" s="66" t="n">
        <v>28</v>
      </c>
      <c r="W13" s="67">
        <f>IF(ISNUMBER(tblY10[[#This Row],[4C02 - Bonding
Raw Score]]),IFERROR(VLOOKUP(ROUND(STANDARDIZE(tblY10[[#This Row],[4C02 - Bonding
Raw Score]],AVERAGE(tblY10[[4C02 - Bonding
Raw Score]]),_xlfn.STDEV.P(tblY10[[4C02 - Bonding
Raw Score]])),9),_Stanine,2),5),"")</f>
        <v>7</v>
      </c>
    </row>
    <row r="14">
      <c r="A14" s="65" t="inlineStr">
        <is>
          <t>X900332442719</t>
        </is>
      </c>
      <c r="B14" s="65" t="inlineStr">
        <is>
          <t>Hussain</t>
        </is>
      </c>
      <c r="C14" s="65" t="inlineStr">
        <is>
          <t>Lily</t>
        </is>
      </c>
      <c r="D14" s="66" t="inlineStr">
        <is>
          <t>F</t>
        </is>
      </c>
      <c r="E14" s="66" t="inlineStr">
        <is>
          <t>N</t>
        </is>
      </c>
      <c r="F14" s="66" t="inlineStr">
        <is>
          <t>N</t>
        </is>
      </c>
      <c r="G14" s="34" t="n">
        <v>95.3</v>
      </c>
      <c r="H14" s="34" t="n">
        <v>113</v>
      </c>
      <c r="I14" s="67">
        <f>IF(ISNUMBER(tblY10[[#This Row],[Avg KS2]]),IFERROR(VLOOKUP(ROUND(STANDARDIZE(tblY10[[#This Row],[Avg KS2]],AVERAGE(tblY10[[Avg KS2]]),_xlfn.STDEV.P(tblY10[[Avg KS2]])),9),_Stanine,2),5),"")</f>
        <v>8</v>
      </c>
      <c r="J14" s="66" t="inlineStr">
        <is>
          <t>10S/Sc1</t>
        </is>
      </c>
      <c r="K14" s="67">
        <f>IF(tblY10[[#This Row],[Preferred Last name]]="","",COUNTIFS($N$1:$ZZ$1,"*"&amp;CHAR(10)&amp;"Stanine",$N14:$ZZ14,"&gt;=1"))</f>
        <v>5</v>
      </c>
      <c r="L14" s="68">
        <f>IFERROR(AVERAGEIF($N$1:$ZZ$1,"*"&amp;CHAR(10)&amp;"Stanine",$N14:$ZZ14),"")</f>
        <v>7.8</v>
      </c>
      <c r="M14" s="69">
        <f>IF(AND(ISNUMBER(tblY10[[#This Row],[Mean Stanine]]),ISNUMBER(tblY10[[#This Row],[Avg KS2 Band]]),ISNUMBER(SlopeY10)),tblY10[[#This Row],[Mean Stanine]]-(InterceptY10+SlopeY10*tblY10[[#This Row],[Avg KS2 Band]]),"")</f>
        <v>0.417861002628151</v>
      </c>
      <c r="N14" s="66" t="n">
        <v>34</v>
      </c>
      <c r="O14" s="67">
        <f>IF(ISNUMBER(tblY10[[#This Row],[4B01 - Cell Biology
Raw Score]]),IFERROR(VLOOKUP(ROUND(STANDARDIZE(tblY10[[#This Row],[4B01 - Cell Biology
Raw Score]],AVERAGE(tblY10[[4B01 - Cell Biology
Raw Score]]),_xlfn.STDEV.P(tblY10[[4B01 - Cell Biology
Raw Score]])),9),_Stanine,2),5),"")</f>
        <v>8</v>
      </c>
      <c r="P14" s="66" t="n">
        <v>29</v>
      </c>
      <c r="Q14" s="67">
        <f>IF(ISNUMBER(tblY10[[#This Row],[4C01 - Atomic Structure
Raw Score]]),IFERROR(VLOOKUP(ROUND(STANDARDIZE(tblY10[[#This Row],[4C01 - Atomic Structure
Raw Score]],AVERAGE(tblY10[[4C01 - Atomic Structure
Raw Score]]),_xlfn.STDEV.P(tblY10[[4C01 - Atomic Structure
Raw Score]])),9),_Stanine,2),5),"")</f>
        <v>8</v>
      </c>
      <c r="R14" s="66" t="n">
        <v>25</v>
      </c>
      <c r="S14" s="67">
        <f>IF(ISNUMBER(tblY10[[#This Row],[4P01 - Energy
Raw Score]]),IFERROR(VLOOKUP(ROUND(STANDARDIZE(tblY10[[#This Row],[4P01 - Energy
Raw Score]],AVERAGE(tblY10[[4P01 - Energy
Raw Score]]),_xlfn.STDEV.P(tblY10[[4P01 - Energy
Raw Score]])),9),_Stanine,2),5),"")</f>
        <v>7</v>
      </c>
      <c r="T14" s="66" t="n">
        <v>37</v>
      </c>
      <c r="U14" s="67">
        <f>IF(ISNUMBER(tblY10[[#This Row],[4B02 - Organisation
Raw Score]]),IFERROR(VLOOKUP(ROUND(STANDARDIZE(tblY10[[#This Row],[4B02 - Organisation
Raw Score]],AVERAGE(tblY10[[4B02 - Organisation
Raw Score]]),_xlfn.STDEV.P(tblY10[[4B02 - Organisation
Raw Score]])),9),_Stanine,2),5),"")</f>
        <v>8</v>
      </c>
      <c r="V14" s="66" t="n">
        <v>34</v>
      </c>
      <c r="W14" s="67">
        <f>IF(ISNUMBER(tblY10[[#This Row],[4C02 - Bonding
Raw Score]]),IFERROR(VLOOKUP(ROUND(STANDARDIZE(tblY10[[#This Row],[4C02 - Bonding
Raw Score]],AVERAGE(tblY10[[4C02 - Bonding
Raw Score]]),_xlfn.STDEV.P(tblY10[[4C02 - Bonding
Raw Score]])),9),_Stanine,2),5),"")</f>
        <v>8</v>
      </c>
    </row>
    <row r="15">
      <c r="A15" s="65" t="inlineStr">
        <is>
          <t>X907263461348</t>
        </is>
      </c>
      <c r="B15" s="65" t="inlineStr">
        <is>
          <t>Jackson</t>
        </is>
      </c>
      <c r="C15" s="65" t="inlineStr">
        <is>
          <t>Maya</t>
        </is>
      </c>
      <c r="D15" s="66" t="inlineStr">
        <is>
          <t>F</t>
        </is>
      </c>
      <c r="E15" s="66" t="n"/>
      <c r="F15" s="66" t="inlineStr">
        <is>
          <t>N</t>
        </is>
      </c>
      <c r="G15" s="34" t="n">
        <v>85.90000000000001</v>
      </c>
      <c r="H15" s="34" t="n">
        <v>110</v>
      </c>
      <c r="I15" s="67">
        <f>IF(ISNUMBER(tblY10[[#This Row],[Avg KS2]]),IFERROR(VLOOKUP(ROUND(STANDARDIZE(tblY10[[#This Row],[Avg KS2]],AVERAGE(tblY10[[Avg KS2]]),_xlfn.STDEV.P(tblY10[[Avg KS2]])),9),_Stanine,2),5),"")</f>
        <v>7</v>
      </c>
      <c r="J15" s="66" t="inlineStr">
        <is>
          <t>10S/Sc1</t>
        </is>
      </c>
      <c r="K15" s="67">
        <f>IF(tblY10[[#This Row],[Preferred Last name]]="","",COUNTIFS($N$1:$ZZ$1,"*"&amp;CHAR(10)&amp;"Stanine",$N15:$ZZ15,"&gt;=1"))</f>
        <v>4</v>
      </c>
      <c r="L15" s="68">
        <f>IFERROR(AVERAGEIF($N$1:$ZZ$1,"*"&amp;CHAR(10)&amp;"Stanine",$N15:$ZZ15),"")</f>
        <v>7.5</v>
      </c>
      <c r="M15" s="69">
        <f>IF(AND(ISNUMBER(tblY10[[#This Row],[Mean Stanine]]),ISNUMBER(tblY10[[#This Row],[Avg KS2 Band]]),ISNUMBER(SlopeY10)),tblY10[[#This Row],[Mean Stanine]]-(InterceptY10+SlopeY10*tblY10[[#This Row],[Avg KS2 Band]]),"")</f>
        <v>0.931863286910814</v>
      </c>
      <c r="N15" s="66" t="n">
        <v>29</v>
      </c>
      <c r="O15" s="67">
        <f>IF(ISNUMBER(tblY10[[#This Row],[4B01 - Cell Biology
Raw Score]]),IFERROR(VLOOKUP(ROUND(STANDARDIZE(tblY10[[#This Row],[4B01 - Cell Biology
Raw Score]],AVERAGE(tblY10[[4B01 - Cell Biology
Raw Score]]),_xlfn.STDEV.P(tblY10[[4B01 - Cell Biology
Raw Score]])),9),_Stanine,2),5),"")</f>
        <v>7</v>
      </c>
      <c r="P15" s="66" t="inlineStr">
        <is>
          <t>A</t>
        </is>
      </c>
      <c r="Q15" s="67" t="str">
        <f>IF(ISNUMBER(tblY10[[#This Row],[4C01 - Atomic Structure
Raw Score]]),IFERROR(VLOOKUP(ROUND(STANDARDIZE(tblY10[[#This Row],[4C01 - Atomic Structure
Raw Score]],AVERAGE(tblY10[[4C01 - Atomic Structure
Raw Score]]),_xlfn.STDEV.P(tblY10[[4C01 - Atomic Structure
Raw Score]])),9),_Stanine,2),5),"")</f>
        <v/>
      </c>
      <c r="R15" s="66" t="n">
        <v>29</v>
      </c>
      <c r="S15" s="67">
        <f>IF(ISNUMBER(tblY10[[#This Row],[4P01 - Energy
Raw Score]]),IFERROR(VLOOKUP(ROUND(STANDARDIZE(tblY10[[#This Row],[4P01 - Energy
Raw Score]],AVERAGE(tblY10[[4P01 - Energy
Raw Score]]),_xlfn.STDEV.P(tblY10[[4P01 - Energy
Raw Score]])),9),_Stanine,2),5),"")</f>
        <v>8</v>
      </c>
      <c r="T15" s="66" t="n">
        <v>33</v>
      </c>
      <c r="U15" s="67">
        <f>IF(ISNUMBER(tblY10[[#This Row],[4B02 - Organisation
Raw Score]]),IFERROR(VLOOKUP(ROUND(STANDARDIZE(tblY10[[#This Row],[4B02 - Organisation
Raw Score]],AVERAGE(tblY10[[4B02 - Organisation
Raw Score]]),_xlfn.STDEV.P(tblY10[[4B02 - Organisation
Raw Score]])),9),_Stanine,2),5),"")</f>
        <v>7</v>
      </c>
      <c r="V15" s="66" t="n">
        <v>33</v>
      </c>
      <c r="W15" s="67">
        <f>IF(ISNUMBER(tblY10[[#This Row],[4C02 - Bonding
Raw Score]]),IFERROR(VLOOKUP(ROUND(STANDARDIZE(tblY10[[#This Row],[4C02 - Bonding
Raw Score]],AVERAGE(tblY10[[4C02 - Bonding
Raw Score]]),_xlfn.STDEV.P(tblY10[[4C02 - Bonding
Raw Score]])),9),_Stanine,2),5),"")</f>
        <v>8</v>
      </c>
    </row>
    <row r="16">
      <c r="A16" s="65" t="inlineStr">
        <is>
          <t>X907959443242</t>
        </is>
      </c>
      <c r="B16" s="65" t="inlineStr">
        <is>
          <t>Johnson</t>
        </is>
      </c>
      <c r="C16" s="65" t="inlineStr">
        <is>
          <t>Mia</t>
        </is>
      </c>
      <c r="D16" s="66" t="inlineStr">
        <is>
          <t>F</t>
        </is>
      </c>
      <c r="E16" s="66" t="inlineStr">
        <is>
          <t>N</t>
        </is>
      </c>
      <c r="F16" s="66" t="inlineStr">
        <is>
          <t>Y</t>
        </is>
      </c>
      <c r="G16" s="34" t="n">
        <v>100</v>
      </c>
      <c r="H16" s="34" t="n">
        <v>104</v>
      </c>
      <c r="I16" s="67">
        <f>IF(ISNUMBER(tblY10[[#This Row],[Avg KS2]]),IFERROR(VLOOKUP(ROUND(STANDARDIZE(tblY10[[#This Row],[Avg KS2]],AVERAGE(tblY10[[Avg KS2]]),_xlfn.STDEV.P(tblY10[[Avg KS2]])),9),_Stanine,2),5),"")</f>
        <v>5</v>
      </c>
      <c r="J16" s="66" t="inlineStr">
        <is>
          <t>10S/Sc1</t>
        </is>
      </c>
      <c r="K16" s="67">
        <f>IF(tblY10[[#This Row],[Preferred Last name]]="","",COUNTIFS($N$1:$ZZ$1,"*"&amp;CHAR(10)&amp;"Stanine",$N16:$ZZ16,"&gt;=1"))</f>
        <v>5</v>
      </c>
      <c r="L16" s="68">
        <f>IFERROR(AVERAGEIF($N$1:$ZZ$1,"*"&amp;CHAR(10)&amp;"Stanine",$N16:$ZZ16),"")</f>
        <v>4.8</v>
      </c>
      <c r="M16" s="69">
        <f>IF(AND(ISNUMBER(tblY10[[#This Row],[Mean Stanine]]),ISNUMBER(tblY10[[#This Row],[Avg KS2 Band]]),ISNUMBER(SlopeY10)),tblY10[[#This Row],[Mean Stanine]]-(InterceptY10+SlopeY10*tblY10[[#This Row],[Avg KS2 Band]]),"")</f>
        <v>-0.140132144523862</v>
      </c>
      <c r="N16" s="66" t="n">
        <v>22</v>
      </c>
      <c r="O16" s="67">
        <f>IF(ISNUMBER(tblY10[[#This Row],[4B01 - Cell Biology
Raw Score]]),IFERROR(VLOOKUP(ROUND(STANDARDIZE(tblY10[[#This Row],[4B01 - Cell Biology
Raw Score]],AVERAGE(tblY10[[4B01 - Cell Biology
Raw Score]]),_xlfn.STDEV.P(tblY10[[4B01 - Cell Biology
Raw Score]])),9),_Stanine,2),5),"")</f>
        <v>6</v>
      </c>
      <c r="P16" s="66" t="n">
        <v>19</v>
      </c>
      <c r="Q16" s="67">
        <f>IF(ISNUMBER(tblY10[[#This Row],[4C01 - Atomic Structure
Raw Score]]),IFERROR(VLOOKUP(ROUND(STANDARDIZE(tblY10[[#This Row],[4C01 - Atomic Structure
Raw Score]],AVERAGE(tblY10[[4C01 - Atomic Structure
Raw Score]]),_xlfn.STDEV.P(tblY10[[4C01 - Atomic Structure
Raw Score]])),9),_Stanine,2),5),"")</f>
        <v>5</v>
      </c>
      <c r="R16" s="66" t="n">
        <v>11</v>
      </c>
      <c r="S16" s="67">
        <f>IF(ISNUMBER(tblY10[[#This Row],[4P01 - Energy
Raw Score]]),IFERROR(VLOOKUP(ROUND(STANDARDIZE(tblY10[[#This Row],[4P01 - Energy
Raw Score]],AVERAGE(tblY10[[4P01 - Energy
Raw Score]]),_xlfn.STDEV.P(tblY10[[4P01 - Energy
Raw Score]])),9),_Stanine,2),5),"")</f>
        <v>4</v>
      </c>
      <c r="T16" s="66" t="n">
        <v>24</v>
      </c>
      <c r="U16" s="67">
        <f>IF(ISNUMBER(tblY10[[#This Row],[4B02 - Organisation
Raw Score]]),IFERROR(VLOOKUP(ROUND(STANDARDIZE(tblY10[[#This Row],[4B02 - Organisation
Raw Score]],AVERAGE(tblY10[[4B02 - Organisation
Raw Score]]),_xlfn.STDEV.P(tblY10[[4B02 - Organisation
Raw Score]])),9),_Stanine,2),5),"")</f>
        <v>5</v>
      </c>
      <c r="V16" s="66" t="n">
        <v>19</v>
      </c>
      <c r="W16" s="67">
        <f>IF(ISNUMBER(tblY10[[#This Row],[4C02 - Bonding
Raw Score]]),IFERROR(VLOOKUP(ROUND(STANDARDIZE(tblY10[[#This Row],[4C02 - Bonding
Raw Score]],AVERAGE(tblY10[[4C02 - Bonding
Raw Score]]),_xlfn.STDEV.P(tblY10[[4C02 - Bonding
Raw Score]])),9),_Stanine,2),5),"")</f>
        <v>4</v>
      </c>
    </row>
    <row r="17">
      <c r="A17" s="65" t="inlineStr">
        <is>
          <t>X903312758861</t>
        </is>
      </c>
      <c r="B17" s="65" t="inlineStr">
        <is>
          <t>Khan</t>
        </is>
      </c>
      <c r="C17" s="65" t="inlineStr">
        <is>
          <t>Rosie</t>
        </is>
      </c>
      <c r="D17" s="66" t="inlineStr">
        <is>
          <t>F</t>
        </is>
      </c>
      <c r="E17" s="66" t="n"/>
      <c r="F17" s="66" t="inlineStr">
        <is>
          <t>N</t>
        </is>
      </c>
      <c r="G17" s="34" t="n">
        <v>96.7</v>
      </c>
      <c r="H17" s="34" t="n">
        <v>103</v>
      </c>
      <c r="I17" s="67">
        <f>IF(ISNUMBER(tblY10[[#This Row],[Avg KS2]]),IFERROR(VLOOKUP(ROUND(STANDARDIZE(tblY10[[#This Row],[Avg KS2]],AVERAGE(tblY10[[Avg KS2]]),_xlfn.STDEV.P(tblY10[[Avg KS2]])),9),_Stanine,2),5),"")</f>
        <v>5</v>
      </c>
      <c r="J17" s="66" t="inlineStr">
        <is>
          <t>10S/Sc1</t>
        </is>
      </c>
      <c r="K17" s="67">
        <f>IF(tblY10[[#This Row],[Preferred Last name]]="","",COUNTIFS($N$1:$ZZ$1,"*"&amp;CHAR(10)&amp;"Stanine",$N17:$ZZ17,"&gt;=1"))</f>
        <v>5</v>
      </c>
      <c r="L17" s="68">
        <f>IFERROR(AVERAGEIF($N$1:$ZZ$1,"*"&amp;CHAR(10)&amp;"Stanine",$N17:$ZZ17),"")</f>
        <v>2.6</v>
      </c>
      <c r="M17" s="69">
        <f>IF(AND(ISNUMBER(tblY10[[#This Row],[Mean Stanine]]),ISNUMBER(tblY10[[#This Row],[Avg KS2 Band]]),ISNUMBER(SlopeY10)),tblY10[[#This Row],[Mean Stanine]]-(InterceptY10+SlopeY10*tblY10[[#This Row],[Avg KS2 Band]]),"")</f>
        <v>-2.34013214452386</v>
      </c>
      <c r="N17" s="66" t="n">
        <v>13</v>
      </c>
      <c r="O17" s="67">
        <f>IF(ISNUMBER(tblY10[[#This Row],[4B01 - Cell Biology
Raw Score]]),IFERROR(VLOOKUP(ROUND(STANDARDIZE(tblY10[[#This Row],[4B01 - Cell Biology
Raw Score]],AVERAGE(tblY10[[4B01 - Cell Biology
Raw Score]]),_xlfn.STDEV.P(tblY10[[4B01 - Cell Biology
Raw Score]])),9),_Stanine,2),5),"")</f>
        <v>4</v>
      </c>
      <c r="P17" s="66" t="n">
        <v>7</v>
      </c>
      <c r="Q17" s="67">
        <f>IF(ISNUMBER(tblY10[[#This Row],[4C01 - Atomic Structure
Raw Score]]),IFERROR(VLOOKUP(ROUND(STANDARDIZE(tblY10[[#This Row],[4C01 - Atomic Structure
Raw Score]],AVERAGE(tblY10[[4C01 - Atomic Structure
Raw Score]]),_xlfn.STDEV.P(tblY10[[4C01 - Atomic Structure
Raw Score]])),9),_Stanine,2),5),"")</f>
        <v>2</v>
      </c>
      <c r="R17" s="66" t="n">
        <v>7</v>
      </c>
      <c r="S17" s="67">
        <f>IF(ISNUMBER(tblY10[[#This Row],[4P01 - Energy
Raw Score]]),IFERROR(VLOOKUP(ROUND(STANDARDIZE(tblY10[[#This Row],[4P01 - Energy
Raw Score]],AVERAGE(tblY10[[4P01 - Energy
Raw Score]]),_xlfn.STDEV.P(tblY10[[4P01 - Energy
Raw Score]])),9),_Stanine,2),5),"")</f>
        <v>3</v>
      </c>
      <c r="T17" s="66" t="n">
        <v>9</v>
      </c>
      <c r="U17" s="67">
        <f>IF(ISNUMBER(tblY10[[#This Row],[4B02 - Organisation
Raw Score]]),IFERROR(VLOOKUP(ROUND(STANDARDIZE(tblY10[[#This Row],[4B02 - Organisation
Raw Score]],AVERAGE(tblY10[[4B02 - Organisation
Raw Score]]),_xlfn.STDEV.P(tblY10[[4B02 - Organisation
Raw Score]])),9),_Stanine,2),5),"")</f>
        <v>2</v>
      </c>
      <c r="V17" s="66" t="n">
        <v>10</v>
      </c>
      <c r="W17" s="67">
        <f>IF(ISNUMBER(tblY10[[#This Row],[4C02 - Bonding
Raw Score]]),IFERROR(VLOOKUP(ROUND(STANDARDIZE(tblY10[[#This Row],[4C02 - Bonding
Raw Score]],AVERAGE(tblY10[[4C02 - Bonding
Raw Score]]),_xlfn.STDEV.P(tblY10[[4C02 - Bonding
Raw Score]])),9),_Stanine,2),5),"")</f>
        <v>2</v>
      </c>
    </row>
    <row r="18">
      <c r="A18" s="65" t="inlineStr">
        <is>
          <t>X907127031593</t>
        </is>
      </c>
      <c r="B18" s="65" t="inlineStr">
        <is>
          <t>Murphy</t>
        </is>
      </c>
      <c r="C18" s="65" t="inlineStr">
        <is>
          <t>Oscar</t>
        </is>
      </c>
      <c r="D18" s="66" t="inlineStr">
        <is>
          <t>F</t>
        </is>
      </c>
      <c r="E18" s="66" t="inlineStr">
        <is>
          <t>N</t>
        </is>
      </c>
      <c r="F18" s="66" t="inlineStr">
        <is>
          <t>N</t>
        </is>
      </c>
      <c r="G18" s="34" t="n">
        <v>98.5</v>
      </c>
      <c r="H18" s="34" t="n">
        <v>105</v>
      </c>
      <c r="I18" s="67">
        <f>IF(ISNUMBER(tblY10[[#This Row],[Avg KS2]]),IFERROR(VLOOKUP(ROUND(STANDARDIZE(tblY10[[#This Row],[Avg KS2]],AVERAGE(tblY10[[Avg KS2]]),_xlfn.STDEV.P(tblY10[[Avg KS2]])),9),_Stanine,2),5),"")</f>
        <v>6</v>
      </c>
      <c r="J18" s="66" t="inlineStr">
        <is>
          <t>10S/Sc1</t>
        </is>
      </c>
      <c r="K18" s="67">
        <f>IF(tblY10[[#This Row],[Preferred Last name]]="","",COUNTIFS($N$1:$ZZ$1,"*"&amp;CHAR(10)&amp;"Stanine",$N18:$ZZ18,"&gt;=1"))</f>
        <v>5</v>
      </c>
      <c r="L18" s="68">
        <f>IFERROR(AVERAGEIF($N$1:$ZZ$1,"*"&amp;CHAR(10)&amp;"Stanine",$N18:$ZZ18),"")</f>
        <v>7</v>
      </c>
      <c r="M18" s="69">
        <f>IF(AND(ISNUMBER(tblY10[[#This Row],[Mean Stanine]]),ISNUMBER(tblY10[[#This Row],[Avg KS2 Band]]),ISNUMBER(SlopeY10)),tblY10[[#This Row],[Mean Stanine]]-(InterceptY10+SlopeY10*tblY10[[#This Row],[Avg KS2 Band]]),"")</f>
        <v>1.24586557119348</v>
      </c>
      <c r="N18" s="66" t="n">
        <v>28</v>
      </c>
      <c r="O18" s="67">
        <f>IF(ISNUMBER(tblY10[[#This Row],[4B01 - Cell Biology
Raw Score]]),IFERROR(VLOOKUP(ROUND(STANDARDIZE(tblY10[[#This Row],[4B01 - Cell Biology
Raw Score]],AVERAGE(tblY10[[4B01 - Cell Biology
Raw Score]]),_xlfn.STDEV.P(tblY10[[4B01 - Cell Biology
Raw Score]])),9),_Stanine,2),5),"")</f>
        <v>7</v>
      </c>
      <c r="P18" s="66" t="n">
        <v>26</v>
      </c>
      <c r="Q18" s="67">
        <f>IF(ISNUMBER(tblY10[[#This Row],[4C01 - Atomic Structure
Raw Score]]),IFERROR(VLOOKUP(ROUND(STANDARDIZE(tblY10[[#This Row],[4C01 - Atomic Structure
Raw Score]],AVERAGE(tblY10[[4C01 - Atomic Structure
Raw Score]]),_xlfn.STDEV.P(tblY10[[4C01 - Atomic Structure
Raw Score]])),9),_Stanine,2),5),"")</f>
        <v>7</v>
      </c>
      <c r="R18" s="66" t="n">
        <v>23</v>
      </c>
      <c r="S18" s="67">
        <f>IF(ISNUMBER(tblY10[[#This Row],[4P01 - Energy
Raw Score]]),IFERROR(VLOOKUP(ROUND(STANDARDIZE(tblY10[[#This Row],[4P01 - Energy
Raw Score]],AVERAGE(tblY10[[4P01 - Energy
Raw Score]]),_xlfn.STDEV.P(tblY10[[4P01 - Energy
Raw Score]])),9),_Stanine,2),5),"")</f>
        <v>7</v>
      </c>
      <c r="T18" s="66" t="n">
        <v>32</v>
      </c>
      <c r="U18" s="67">
        <f>IF(ISNUMBER(tblY10[[#This Row],[4B02 - Organisation
Raw Score]]),IFERROR(VLOOKUP(ROUND(STANDARDIZE(tblY10[[#This Row],[4B02 - Organisation
Raw Score]],AVERAGE(tblY10[[4B02 - Organisation
Raw Score]]),_xlfn.STDEV.P(tblY10[[4B02 - Organisation
Raw Score]])),9),_Stanine,2),5),"")</f>
        <v>7</v>
      </c>
      <c r="V18" s="66" t="n">
        <v>30</v>
      </c>
      <c r="W18" s="67">
        <f>IF(ISNUMBER(tblY10[[#This Row],[4C02 - Bonding
Raw Score]]),IFERROR(VLOOKUP(ROUND(STANDARDIZE(tblY10[[#This Row],[4C02 - Bonding
Raw Score]],AVERAGE(tblY10[[4C02 - Bonding
Raw Score]]),_xlfn.STDEV.P(tblY10[[4C02 - Bonding
Raw Score]])),9),_Stanine,2),5),"")</f>
        <v>7</v>
      </c>
    </row>
    <row r="19">
      <c r="A19" s="65" t="inlineStr">
        <is>
          <t>X902836900160</t>
        </is>
      </c>
      <c r="B19" s="65" t="inlineStr">
        <is>
          <t>Nowak</t>
        </is>
      </c>
      <c r="C19" s="65" t="inlineStr">
        <is>
          <t>Nia</t>
        </is>
      </c>
      <c r="D19" s="66" t="inlineStr">
        <is>
          <t>F</t>
        </is>
      </c>
      <c r="E19" s="66" t="inlineStr">
        <is>
          <t>N</t>
        </is>
      </c>
      <c r="F19" s="66" t="inlineStr">
        <is>
          <t>N</t>
        </is>
      </c>
      <c r="G19" s="34" t="n">
        <v>86.7</v>
      </c>
      <c r="H19" s="34" t="n">
        <v>110.5</v>
      </c>
      <c r="I19" s="67">
        <f>IF(ISNUMBER(tblY10[[#This Row],[Avg KS2]]),IFERROR(VLOOKUP(ROUND(STANDARDIZE(tblY10[[#This Row],[Avg KS2]],AVERAGE(tblY10[[Avg KS2]]),_xlfn.STDEV.P(tblY10[[Avg KS2]])),9),_Stanine,2),5),"")</f>
        <v>7</v>
      </c>
      <c r="J19" s="66" t="inlineStr">
        <is>
          <t>10S/Sc1</t>
        </is>
      </c>
      <c r="K19" s="67">
        <f>IF(tblY10[[#This Row],[Preferred Last name]]="","",COUNTIFS($N$1:$ZZ$1,"*"&amp;CHAR(10)&amp;"Stanine",$N19:$ZZ19,"&gt;=1"))</f>
        <v>5</v>
      </c>
      <c r="L19" s="68">
        <f>IFERROR(AVERAGEIF($N$1:$ZZ$1,"*"&amp;CHAR(10)&amp;"Stanine",$N19:$ZZ19),"")</f>
        <v>7.2</v>
      </c>
      <c r="M19" s="69">
        <f>IF(AND(ISNUMBER(tblY10[[#This Row],[Mean Stanine]]),ISNUMBER(tblY10[[#This Row],[Avg KS2 Band]]),ISNUMBER(SlopeY10)),tblY10[[#This Row],[Mean Stanine]]-(InterceptY10+SlopeY10*tblY10[[#This Row],[Avg KS2 Band]]),"")</f>
        <v>0.631863286910814</v>
      </c>
      <c r="N19" s="66" t="n">
        <v>33</v>
      </c>
      <c r="O19" s="67">
        <f>IF(ISNUMBER(tblY10[[#This Row],[4B01 - Cell Biology
Raw Score]]),IFERROR(VLOOKUP(ROUND(STANDARDIZE(tblY10[[#This Row],[4B01 - Cell Biology
Raw Score]],AVERAGE(tblY10[[4B01 - Cell Biology
Raw Score]]),_xlfn.STDEV.P(tblY10[[4B01 - Cell Biology
Raw Score]])),9),_Stanine,2),5),"")</f>
        <v>8</v>
      </c>
      <c r="P19" s="66" t="n">
        <v>26</v>
      </c>
      <c r="Q19" s="67">
        <f>IF(ISNUMBER(tblY10[[#This Row],[4C01 - Atomic Structure
Raw Score]]),IFERROR(VLOOKUP(ROUND(STANDARDIZE(tblY10[[#This Row],[4C01 - Atomic Structure
Raw Score]],AVERAGE(tblY10[[4C01 - Atomic Structure
Raw Score]]),_xlfn.STDEV.P(tblY10[[4C01 - Atomic Structure
Raw Score]])),9),_Stanine,2),5),"")</f>
        <v>7</v>
      </c>
      <c r="R19" s="66" t="n">
        <v>24</v>
      </c>
      <c r="S19" s="67">
        <f>IF(ISNUMBER(tblY10[[#This Row],[4P01 - Energy
Raw Score]]),IFERROR(VLOOKUP(ROUND(STANDARDIZE(tblY10[[#This Row],[4P01 - Energy
Raw Score]],AVERAGE(tblY10[[4P01 - Energy
Raw Score]]),_xlfn.STDEV.P(tblY10[[4P01 - Energy
Raw Score]])),9),_Stanine,2),5),"")</f>
        <v>7</v>
      </c>
      <c r="T19" s="66" t="n">
        <v>32</v>
      </c>
      <c r="U19" s="67">
        <f>IF(ISNUMBER(tblY10[[#This Row],[4B02 - Organisation
Raw Score]]),IFERROR(VLOOKUP(ROUND(STANDARDIZE(tblY10[[#This Row],[4B02 - Organisation
Raw Score]],AVERAGE(tblY10[[4B02 - Organisation
Raw Score]]),_xlfn.STDEV.P(tblY10[[4B02 - Organisation
Raw Score]])),9),_Stanine,2),5),"")</f>
        <v>7</v>
      </c>
      <c r="V19" s="66" t="n">
        <v>32</v>
      </c>
      <c r="W19" s="67">
        <f>IF(ISNUMBER(tblY10[[#This Row],[4C02 - Bonding
Raw Score]]),IFERROR(VLOOKUP(ROUND(STANDARDIZE(tblY10[[#This Row],[4C02 - Bonding
Raw Score]],AVERAGE(tblY10[[4C02 - Bonding
Raw Score]]),_xlfn.STDEV.P(tblY10[[4C02 - Bonding
Raw Score]])),9),_Stanine,2),5),"")</f>
        <v>7</v>
      </c>
    </row>
    <row r="20">
      <c r="A20" s="65" t="inlineStr">
        <is>
          <t>X902041154321</t>
        </is>
      </c>
      <c r="B20" s="65" t="inlineStr">
        <is>
          <t>Okafor</t>
        </is>
      </c>
      <c r="C20" s="65" t="inlineStr">
        <is>
          <t>Lily</t>
        </is>
      </c>
      <c r="D20" s="66" t="inlineStr">
        <is>
          <t>F</t>
        </is>
      </c>
      <c r="E20" s="66" t="n"/>
      <c r="F20" s="66" t="inlineStr">
        <is>
          <t>N</t>
        </is>
      </c>
      <c r="G20" s="34" t="n">
        <v>100</v>
      </c>
      <c r="H20" s="34" t="n">
        <v>108.5</v>
      </c>
      <c r="I20" s="67">
        <f>IF(ISNUMBER(tblY10[[#This Row],[Avg KS2]]),IFERROR(VLOOKUP(ROUND(STANDARDIZE(tblY10[[#This Row],[Avg KS2]],AVERAGE(tblY10[[Avg KS2]]),_xlfn.STDEV.P(tblY10[[Avg KS2]])),9),_Stanine,2),5),"")</f>
        <v>7</v>
      </c>
      <c r="J20" s="66" t="inlineStr">
        <is>
          <t>10S/Sc1</t>
        </is>
      </c>
      <c r="K20" s="67">
        <f>IF(tblY10[[#This Row],[Preferred Last name]]="","",COUNTIFS($N$1:$ZZ$1,"*"&amp;CHAR(10)&amp;"Stanine",$N20:$ZZ20,"&gt;=1"))</f>
        <v>4</v>
      </c>
      <c r="L20" s="68">
        <f>IFERROR(AVERAGEIF($N$1:$ZZ$1,"*"&amp;CHAR(10)&amp;"Stanine",$N20:$ZZ20),"")</f>
        <v>5.5</v>
      </c>
      <c r="M20" s="69">
        <f>IF(AND(ISNUMBER(tblY10[[#This Row],[Mean Stanine]]),ISNUMBER(tblY10[[#This Row],[Avg KS2 Band]]),ISNUMBER(SlopeY10)),tblY10[[#This Row],[Mean Stanine]]-(InterceptY10+SlopeY10*tblY10[[#This Row],[Avg KS2 Band]]),"")</f>
        <v>-1.06813671308919</v>
      </c>
      <c r="N20" s="66" t="n">
        <v>23</v>
      </c>
      <c r="O20" s="67">
        <f>IF(ISNUMBER(tblY10[[#This Row],[4B01 - Cell Biology
Raw Score]]),IFERROR(VLOOKUP(ROUND(STANDARDIZE(tblY10[[#This Row],[4B01 - Cell Biology
Raw Score]],AVERAGE(tblY10[[4B01 - Cell Biology
Raw Score]]),_xlfn.STDEV.P(tblY10[[4B01 - Cell Biology
Raw Score]])),9),_Stanine,2),5),"")</f>
        <v>6</v>
      </c>
      <c r="P20" s="66" t="inlineStr">
        <is>
          <t>A</t>
        </is>
      </c>
      <c r="Q20" s="67" t="str">
        <f>IF(ISNUMBER(tblY10[[#This Row],[4C01 - Atomic Structure
Raw Score]]),IFERROR(VLOOKUP(ROUND(STANDARDIZE(tblY10[[#This Row],[4C01 - Atomic Structure
Raw Score]],AVERAGE(tblY10[[4C01 - Atomic Structure
Raw Score]]),_xlfn.STDEV.P(tblY10[[4C01 - Atomic Structure
Raw Score]])),9),_Stanine,2),5),"")</f>
        <v/>
      </c>
      <c r="R20" s="66" t="n">
        <v>15</v>
      </c>
      <c r="S20" s="67">
        <f>IF(ISNUMBER(tblY10[[#This Row],[4P01 - Energy
Raw Score]]),IFERROR(VLOOKUP(ROUND(STANDARDIZE(tblY10[[#This Row],[4P01 - Energy
Raw Score]],AVERAGE(tblY10[[4P01 - Energy
Raw Score]]),_xlfn.STDEV.P(tblY10[[4P01 - Energy
Raw Score]])),9),_Stanine,2),5),"")</f>
        <v>5</v>
      </c>
      <c r="T20" s="66" t="n">
        <v>23</v>
      </c>
      <c r="U20" s="67">
        <f>IF(ISNUMBER(tblY10[[#This Row],[4B02 - Organisation
Raw Score]]),IFERROR(VLOOKUP(ROUND(STANDARDIZE(tblY10[[#This Row],[4B02 - Organisation
Raw Score]],AVERAGE(tblY10[[4B02 - Organisation
Raw Score]]),_xlfn.STDEV.P(tblY10[[4B02 - Organisation
Raw Score]])),9),_Stanine,2),5),"")</f>
        <v>5</v>
      </c>
      <c r="V20" s="66" t="n">
        <v>27</v>
      </c>
      <c r="W20" s="67">
        <f>IF(ISNUMBER(tblY10[[#This Row],[4C02 - Bonding
Raw Score]]),IFERROR(VLOOKUP(ROUND(STANDARDIZE(tblY10[[#This Row],[4C02 - Bonding
Raw Score]],AVERAGE(tblY10[[4C02 - Bonding
Raw Score]]),_xlfn.STDEV.P(tblY10[[4C02 - Bonding
Raw Score]])),9),_Stanine,2),5),"")</f>
        <v>6</v>
      </c>
    </row>
    <row r="21">
      <c r="A21" s="65" t="inlineStr">
        <is>
          <t>X900311873658</t>
        </is>
      </c>
      <c r="B21" s="65" t="inlineStr">
        <is>
          <t>Pearson</t>
        </is>
      </c>
      <c r="C21" s="65" t="inlineStr">
        <is>
          <t>Poppy</t>
        </is>
      </c>
      <c r="D21" s="66" t="inlineStr">
        <is>
          <t>F</t>
        </is>
      </c>
      <c r="E21" s="66" t="inlineStr">
        <is>
          <t>K</t>
        </is>
      </c>
      <c r="F21" s="66" t="inlineStr">
        <is>
          <t>Y</t>
        </is>
      </c>
      <c r="G21" s="34" t="n">
        <v>94.3</v>
      </c>
      <c r="H21" s="34" t="n">
        <v>119</v>
      </c>
      <c r="I21" s="67">
        <f>IF(ISNUMBER(tblY10[[#This Row],[Avg KS2]]),IFERROR(VLOOKUP(ROUND(STANDARDIZE(tblY10[[#This Row],[Avg KS2]],AVERAGE(tblY10[[Avg KS2]]),_xlfn.STDEV.P(tblY10[[Avg KS2]])),9),_Stanine,2),5),"")</f>
        <v>9</v>
      </c>
      <c r="J21" s="66" t="inlineStr">
        <is>
          <t>10S/Sc1</t>
        </is>
      </c>
      <c r="K21" s="67">
        <f>IF(tblY10[[#This Row],[Preferred Last name]]="","",COUNTIFS($N$1:$ZZ$1,"*"&amp;CHAR(10)&amp;"Stanine",$N21:$ZZ21,"&gt;=1"))</f>
        <v>5</v>
      </c>
      <c r="L21" s="68">
        <f>IFERROR(AVERAGEIF($N$1:$ZZ$1,"*"&amp;CHAR(10)&amp;"Stanine",$N21:$ZZ21),"")</f>
        <v>7.2</v>
      </c>
      <c r="M21" s="69">
        <f>IF(AND(ISNUMBER(tblY10[[#This Row],[Mean Stanine]]),ISNUMBER(tblY10[[#This Row],[Avg KS2 Band]]),ISNUMBER(SlopeY10)),tblY10[[#This Row],[Mean Stanine]]-(InterceptY10+SlopeY10*tblY10[[#This Row],[Avg KS2 Band]]),"")</f>
        <v>-0.996141281654512</v>
      </c>
      <c r="N21" s="66" t="n">
        <v>28</v>
      </c>
      <c r="O21" s="67">
        <f>IF(ISNUMBER(tblY10[[#This Row],[4B01 - Cell Biology
Raw Score]]),IFERROR(VLOOKUP(ROUND(STANDARDIZE(tblY10[[#This Row],[4B01 - Cell Biology
Raw Score]],AVERAGE(tblY10[[4B01 - Cell Biology
Raw Score]]),_xlfn.STDEV.P(tblY10[[4B01 - Cell Biology
Raw Score]])),9),_Stanine,2),5),"")</f>
        <v>7</v>
      </c>
      <c r="P21" s="66" t="n">
        <v>28</v>
      </c>
      <c r="Q21" s="67">
        <f>IF(ISNUMBER(tblY10[[#This Row],[4C01 - Atomic Structure
Raw Score]]),IFERROR(VLOOKUP(ROUND(STANDARDIZE(tblY10[[#This Row],[4C01 - Atomic Structure
Raw Score]],AVERAGE(tblY10[[4C01 - Atomic Structure
Raw Score]]),_xlfn.STDEV.P(tblY10[[4C01 - Atomic Structure
Raw Score]])),9),_Stanine,2),5),"")</f>
        <v>8</v>
      </c>
      <c r="R21" s="66" t="n">
        <v>24</v>
      </c>
      <c r="S21" s="67">
        <f>IF(ISNUMBER(tblY10[[#This Row],[4P01 - Energy
Raw Score]]),IFERROR(VLOOKUP(ROUND(STANDARDIZE(tblY10[[#This Row],[4P01 - Energy
Raw Score]],AVERAGE(tblY10[[4P01 - Energy
Raw Score]]),_xlfn.STDEV.P(tblY10[[4P01 - Energy
Raw Score]])),9),_Stanine,2),5),"")</f>
        <v>7</v>
      </c>
      <c r="T21" s="66" t="n">
        <v>33</v>
      </c>
      <c r="U21" s="67">
        <f>IF(ISNUMBER(tblY10[[#This Row],[4B02 - Organisation
Raw Score]]),IFERROR(VLOOKUP(ROUND(STANDARDIZE(tblY10[[#This Row],[4B02 - Organisation
Raw Score]],AVERAGE(tblY10[[4B02 - Organisation
Raw Score]]),_xlfn.STDEV.P(tblY10[[4B02 - Organisation
Raw Score]])),9),_Stanine,2),5),"")</f>
        <v>7</v>
      </c>
      <c r="V21" s="66" t="n">
        <v>30</v>
      </c>
      <c r="W21" s="67">
        <f>IF(ISNUMBER(tblY10[[#This Row],[4C02 - Bonding
Raw Score]]),IFERROR(VLOOKUP(ROUND(STANDARDIZE(tblY10[[#This Row],[4C02 - Bonding
Raw Score]],AVERAGE(tblY10[[4C02 - Bonding
Raw Score]]),_xlfn.STDEV.P(tblY10[[4C02 - Bonding
Raw Score]])),9),_Stanine,2),5),"")</f>
        <v>7</v>
      </c>
    </row>
    <row r="22">
      <c r="A22" s="65" t="inlineStr">
        <is>
          <t>X900000892357</t>
        </is>
      </c>
      <c r="B22" s="65" t="inlineStr">
        <is>
          <t>Roberts</t>
        </is>
      </c>
      <c r="C22" s="65" t="inlineStr">
        <is>
          <t>Mia</t>
        </is>
      </c>
      <c r="D22" s="66" t="inlineStr">
        <is>
          <t>F</t>
        </is>
      </c>
      <c r="E22" s="66" t="inlineStr">
        <is>
          <t>N</t>
        </is>
      </c>
      <c r="F22" s="66" t="inlineStr">
        <is>
          <t>Y</t>
        </is>
      </c>
      <c r="G22" s="34" t="n">
        <v>95.40000000000001</v>
      </c>
      <c r="H22" s="34" t="n">
        <v>111</v>
      </c>
      <c r="I22" s="67">
        <f>IF(ISNUMBER(tblY10[[#This Row],[Avg KS2]]),IFERROR(VLOOKUP(ROUND(STANDARDIZE(tblY10[[#This Row],[Avg KS2]],AVERAGE(tblY10[[Avg KS2]]),_xlfn.STDEV.P(tblY10[[Avg KS2]])),9),_Stanine,2),5),"")</f>
        <v>7</v>
      </c>
      <c r="J22" s="66" t="inlineStr">
        <is>
          <t>10S/Sc1</t>
        </is>
      </c>
      <c r="K22" s="67">
        <f>IF(tblY10[[#This Row],[Preferred Last name]]="","",COUNTIFS($N$1:$ZZ$1,"*"&amp;CHAR(10)&amp;"Stanine",$N22:$ZZ22,"&gt;=1"))</f>
        <v>5</v>
      </c>
      <c r="L22" s="68">
        <f>IFERROR(AVERAGEIF($N$1:$ZZ$1,"*"&amp;CHAR(10)&amp;"Stanine",$N22:$ZZ22),"")</f>
        <v>7.8</v>
      </c>
      <c r="M22" s="69">
        <f>IF(AND(ISNUMBER(tblY10[[#This Row],[Mean Stanine]]),ISNUMBER(tblY10[[#This Row],[Avg KS2 Band]]),ISNUMBER(SlopeY10)),tblY10[[#This Row],[Mean Stanine]]-(InterceptY10+SlopeY10*tblY10[[#This Row],[Avg KS2 Band]]),"")</f>
        <v>1.23186328691081</v>
      </c>
      <c r="N22" s="66" t="n">
        <v>34</v>
      </c>
      <c r="O22" s="67">
        <f>IF(ISNUMBER(tblY10[[#This Row],[4B01 - Cell Biology
Raw Score]]),IFERROR(VLOOKUP(ROUND(STANDARDIZE(tblY10[[#This Row],[4B01 - Cell Biology
Raw Score]],AVERAGE(tblY10[[4B01 - Cell Biology
Raw Score]]),_xlfn.STDEV.P(tblY10[[4B01 - Cell Biology
Raw Score]])),9),_Stanine,2),5),"")</f>
        <v>8</v>
      </c>
      <c r="P22" s="66" t="n">
        <v>25</v>
      </c>
      <c r="Q22" s="67">
        <f>IF(ISNUMBER(tblY10[[#This Row],[4C01 - Atomic Structure
Raw Score]]),IFERROR(VLOOKUP(ROUND(STANDARDIZE(tblY10[[#This Row],[4C01 - Atomic Structure
Raw Score]],AVERAGE(tblY10[[4C01 - Atomic Structure
Raw Score]]),_xlfn.STDEV.P(tblY10[[4C01 - Atomic Structure
Raw Score]])),9),_Stanine,2),5),"")</f>
        <v>7</v>
      </c>
      <c r="R22" s="66" t="n">
        <v>31</v>
      </c>
      <c r="S22" s="67">
        <f>IF(ISNUMBER(tblY10[[#This Row],[4P01 - Energy
Raw Score]]),IFERROR(VLOOKUP(ROUND(STANDARDIZE(tblY10[[#This Row],[4P01 - Energy
Raw Score]],AVERAGE(tblY10[[4P01 - Energy
Raw Score]]),_xlfn.STDEV.P(tblY10[[4P01 - Energy
Raw Score]])),9),_Stanine,2),5),"")</f>
        <v>9</v>
      </c>
      <c r="T22" s="66" t="n">
        <v>37</v>
      </c>
      <c r="U22" s="67">
        <f>IF(ISNUMBER(tblY10[[#This Row],[4B02 - Organisation
Raw Score]]),IFERROR(VLOOKUP(ROUND(STANDARDIZE(tblY10[[#This Row],[4B02 - Organisation
Raw Score]],AVERAGE(tblY10[[4B02 - Organisation
Raw Score]]),_xlfn.STDEV.P(tblY10[[4B02 - Organisation
Raw Score]])),9),_Stanine,2),5),"")</f>
        <v>8</v>
      </c>
      <c r="V22" s="66" t="n">
        <v>31</v>
      </c>
      <c r="W22" s="67">
        <f>IF(ISNUMBER(tblY10[[#This Row],[4C02 - Bonding
Raw Score]]),IFERROR(VLOOKUP(ROUND(STANDARDIZE(tblY10[[#This Row],[4C02 - Bonding
Raw Score]],AVERAGE(tblY10[[4C02 - Bonding
Raw Score]]),_xlfn.STDEV.P(tblY10[[4C02 - Bonding
Raw Score]])),9),_Stanine,2),5),"")</f>
        <v>7</v>
      </c>
    </row>
    <row r="23">
      <c r="A23" s="65" t="inlineStr">
        <is>
          <t>X904159096817</t>
        </is>
      </c>
      <c r="B23" s="65" t="inlineStr">
        <is>
          <t>Shaw</t>
        </is>
      </c>
      <c r="C23" s="65" t="inlineStr">
        <is>
          <t>Grace</t>
        </is>
      </c>
      <c r="D23" s="66" t="inlineStr">
        <is>
          <t>F</t>
        </is>
      </c>
      <c r="E23" s="66" t="n"/>
      <c r="F23" s="66" t="inlineStr">
        <is>
          <t>N</t>
        </is>
      </c>
      <c r="G23" s="34" t="n">
        <v>87.90000000000001</v>
      </c>
      <c r="H23" s="34" t="n">
        <v>109.5</v>
      </c>
      <c r="I23" s="67">
        <f>IF(ISNUMBER(tblY10[[#This Row],[Avg KS2]]),IFERROR(VLOOKUP(ROUND(STANDARDIZE(tblY10[[#This Row],[Avg KS2]],AVERAGE(tblY10[[Avg KS2]]),_xlfn.STDEV.P(tblY10[[Avg KS2]])),9),_Stanine,2),5),"")</f>
        <v>7</v>
      </c>
      <c r="J23" s="66" t="inlineStr">
        <is>
          <t>10S/Sc1</t>
        </is>
      </c>
      <c r="K23" s="67">
        <f>IF(tblY10[[#This Row],[Preferred Last name]]="","",COUNTIFS($N$1:$ZZ$1,"*"&amp;CHAR(10)&amp;"Stanine",$N23:$ZZ23,"&gt;=1"))</f>
        <v>4</v>
      </c>
      <c r="L23" s="68">
        <f>IFERROR(AVERAGEIF($N$1:$ZZ$1,"*"&amp;CHAR(10)&amp;"Stanine",$N23:$ZZ23),"")</f>
        <v>7.25</v>
      </c>
      <c r="M23" s="69">
        <f>IF(AND(ISNUMBER(tblY10[[#This Row],[Mean Stanine]]),ISNUMBER(tblY10[[#This Row],[Avg KS2 Band]]),ISNUMBER(SlopeY10)),tblY10[[#This Row],[Mean Stanine]]-(InterceptY10+SlopeY10*tblY10[[#This Row],[Avg KS2 Band]]),"")</f>
        <v>0.681863286910814</v>
      </c>
      <c r="N23" s="66" t="n">
        <v>32</v>
      </c>
      <c r="O23" s="67">
        <f>IF(ISNUMBER(tblY10[[#This Row],[4B01 - Cell Biology
Raw Score]]),IFERROR(VLOOKUP(ROUND(STANDARDIZE(tblY10[[#This Row],[4B01 - Cell Biology
Raw Score]],AVERAGE(tblY10[[4B01 - Cell Biology
Raw Score]]),_xlfn.STDEV.P(tblY10[[4B01 - Cell Biology
Raw Score]])),9),_Stanine,2),5),"")</f>
        <v>8</v>
      </c>
      <c r="P23" s="66" t="inlineStr">
        <is>
          <t>A</t>
        </is>
      </c>
      <c r="Q23" s="67" t="str">
        <f>IF(ISNUMBER(tblY10[[#This Row],[4C01 - Atomic Structure
Raw Score]]),IFERROR(VLOOKUP(ROUND(STANDARDIZE(tblY10[[#This Row],[4C01 - Atomic Structure
Raw Score]],AVERAGE(tblY10[[4C01 - Atomic Structure
Raw Score]]),_xlfn.STDEV.P(tblY10[[4C01 - Atomic Structure
Raw Score]])),9),_Stanine,2),5),"")</f>
        <v/>
      </c>
      <c r="R23" s="66" t="n">
        <v>22</v>
      </c>
      <c r="S23" s="67">
        <f>IF(ISNUMBER(tblY10[[#This Row],[4P01 - Energy
Raw Score]]),IFERROR(VLOOKUP(ROUND(STANDARDIZE(tblY10[[#This Row],[4P01 - Energy
Raw Score]],AVERAGE(tblY10[[4P01 - Energy
Raw Score]]),_xlfn.STDEV.P(tblY10[[4P01 - Energy
Raw Score]])),9),_Stanine,2),5),"")</f>
        <v>7</v>
      </c>
      <c r="T23" s="66" t="n">
        <v>31</v>
      </c>
      <c r="U23" s="67">
        <f>IF(ISNUMBER(tblY10[[#This Row],[4B02 - Organisation
Raw Score]]),IFERROR(VLOOKUP(ROUND(STANDARDIZE(tblY10[[#This Row],[4B02 - Organisation
Raw Score]],AVERAGE(tblY10[[4B02 - Organisation
Raw Score]]),_xlfn.STDEV.P(tblY10[[4B02 - Organisation
Raw Score]])),9),_Stanine,2),5),"")</f>
        <v>7</v>
      </c>
      <c r="V23" s="66" t="n">
        <v>31</v>
      </c>
      <c r="W23" s="67">
        <f>IF(ISNUMBER(tblY10[[#This Row],[4C02 - Bonding
Raw Score]]),IFERROR(VLOOKUP(ROUND(STANDARDIZE(tblY10[[#This Row],[4C02 - Bonding
Raw Score]],AVERAGE(tblY10[[4C02 - Bonding
Raw Score]]),_xlfn.STDEV.P(tblY10[[4C02 - Bonding
Raw Score]])),9),_Stanine,2),5),"")</f>
        <v>7</v>
      </c>
    </row>
    <row r="24">
      <c r="A24" s="65" t="inlineStr">
        <is>
          <t>X909088698332</t>
        </is>
      </c>
      <c r="B24" s="65" t="inlineStr">
        <is>
          <t>Thompson</t>
        </is>
      </c>
      <c r="C24" s="65" t="inlineStr">
        <is>
          <t>Maisie</t>
        </is>
      </c>
      <c r="D24" s="66" t="inlineStr">
        <is>
          <t>F</t>
        </is>
      </c>
      <c r="E24" s="66" t="n"/>
      <c r="F24" s="66" t="inlineStr">
        <is>
          <t>N</t>
        </is>
      </c>
      <c r="G24" s="34" t="n">
        <v>94.7</v>
      </c>
      <c r="H24" s="34" t="n">
        <v>115</v>
      </c>
      <c r="I24" s="67">
        <f>IF(ISNUMBER(tblY10[[#This Row],[Avg KS2]]),IFERROR(VLOOKUP(ROUND(STANDARDIZE(tblY10[[#This Row],[Avg KS2]],AVERAGE(tblY10[[Avg KS2]]),_xlfn.STDEV.P(tblY10[[Avg KS2]])),9),_Stanine,2),5),"")</f>
        <v>9</v>
      </c>
      <c r="J24" s="66" t="inlineStr">
        <is>
          <t>10S/Sc1</t>
        </is>
      </c>
      <c r="K24" s="67">
        <f>IF(tblY10[[#This Row],[Preferred Last name]]="","",COUNTIFS($N$1:$ZZ$1,"*"&amp;CHAR(10)&amp;"Stanine",$N24:$ZZ24,"&gt;=1"))</f>
        <v>5</v>
      </c>
      <c r="L24" s="68">
        <f>IFERROR(AVERAGEIF($N$1:$ZZ$1,"*"&amp;CHAR(10)&amp;"Stanine",$N24:$ZZ24),"")</f>
        <v>8</v>
      </c>
      <c r="M24" s="69">
        <f>IF(AND(ISNUMBER(tblY10[[#This Row],[Mean Stanine]]),ISNUMBER(tblY10[[#This Row],[Avg KS2 Band]]),ISNUMBER(SlopeY10)),tblY10[[#This Row],[Mean Stanine]]-(InterceptY10+SlopeY10*tblY10[[#This Row],[Avg KS2 Band]]),"")</f>
        <v>-0.196141281654512</v>
      </c>
      <c r="N24" s="66" t="n">
        <v>34</v>
      </c>
      <c r="O24" s="67">
        <f>IF(ISNUMBER(tblY10[[#This Row],[4B01 - Cell Biology
Raw Score]]),IFERROR(VLOOKUP(ROUND(STANDARDIZE(tblY10[[#This Row],[4B01 - Cell Biology
Raw Score]],AVERAGE(tblY10[[4B01 - Cell Biology
Raw Score]]),_xlfn.STDEV.P(tblY10[[4B01 - Cell Biology
Raw Score]])),9),_Stanine,2),5),"")</f>
        <v>8</v>
      </c>
      <c r="P24" s="66" t="n">
        <v>28</v>
      </c>
      <c r="Q24" s="67">
        <f>IF(ISNUMBER(tblY10[[#This Row],[4C01 - Atomic Structure
Raw Score]]),IFERROR(VLOOKUP(ROUND(STANDARDIZE(tblY10[[#This Row],[4C01 - Atomic Structure
Raw Score]],AVERAGE(tblY10[[4C01 - Atomic Structure
Raw Score]]),_xlfn.STDEV.P(tblY10[[4C01 - Atomic Structure
Raw Score]])),9),_Stanine,2),5),"")</f>
        <v>8</v>
      </c>
      <c r="R24" s="66" t="n">
        <v>29</v>
      </c>
      <c r="S24" s="67">
        <f>IF(ISNUMBER(tblY10[[#This Row],[4P01 - Energy
Raw Score]]),IFERROR(VLOOKUP(ROUND(STANDARDIZE(tblY10[[#This Row],[4P01 - Energy
Raw Score]],AVERAGE(tblY10[[4P01 - Energy
Raw Score]]),_xlfn.STDEV.P(tblY10[[4P01 - Energy
Raw Score]])),9),_Stanine,2),5),"")</f>
        <v>8</v>
      </c>
      <c r="T24" s="66" t="n">
        <v>37</v>
      </c>
      <c r="U24" s="67">
        <f>IF(ISNUMBER(tblY10[[#This Row],[4B02 - Organisation
Raw Score]]),IFERROR(VLOOKUP(ROUND(STANDARDIZE(tblY10[[#This Row],[4B02 - Organisation
Raw Score]],AVERAGE(tblY10[[4B02 - Organisation
Raw Score]]),_xlfn.STDEV.P(tblY10[[4B02 - Organisation
Raw Score]])),9),_Stanine,2),5),"")</f>
        <v>8</v>
      </c>
      <c r="V24" s="66" t="n">
        <v>33</v>
      </c>
      <c r="W24" s="67">
        <f>IF(ISNUMBER(tblY10[[#This Row],[4C02 - Bonding
Raw Score]]),IFERROR(VLOOKUP(ROUND(STANDARDIZE(tblY10[[#This Row],[4C02 - Bonding
Raw Score]],AVERAGE(tblY10[[4C02 - Bonding
Raw Score]]),_xlfn.STDEV.P(tblY10[[4C02 - Bonding
Raw Score]])),9),_Stanine,2),5),"")</f>
        <v>8</v>
      </c>
    </row>
    <row r="25">
      <c r="A25" s="65" t="inlineStr">
        <is>
          <t>X902149512803</t>
        </is>
      </c>
      <c r="B25" s="65" t="inlineStr">
        <is>
          <t>White</t>
        </is>
      </c>
      <c r="C25" s="65" t="inlineStr">
        <is>
          <t>Finley</t>
        </is>
      </c>
      <c r="D25" s="66" t="inlineStr">
        <is>
          <t>M</t>
        </is>
      </c>
      <c r="E25" s="66" t="inlineStr">
        <is>
          <t>K</t>
        </is>
      </c>
      <c r="F25" s="66" t="inlineStr">
        <is>
          <t>Y</t>
        </is>
      </c>
      <c r="G25" s="34" t="n">
        <v>84.8</v>
      </c>
      <c r="H25" s="34" t="n">
        <v>109</v>
      </c>
      <c r="I25" s="67">
        <f>IF(ISNUMBER(tblY10[[#This Row],[Avg KS2]]),IFERROR(VLOOKUP(ROUND(STANDARDIZE(tblY10[[#This Row],[Avg KS2]],AVERAGE(tblY10[[Avg KS2]]),_xlfn.STDEV.P(tblY10[[Avg KS2]])),9),_Stanine,2),5),"")</f>
        <v>7</v>
      </c>
      <c r="J25" s="66" t="inlineStr">
        <is>
          <t>10S/Sc1</t>
        </is>
      </c>
      <c r="K25" s="67">
        <f>IF(tblY10[[#This Row],[Preferred Last name]]="","",COUNTIFS($N$1:$ZZ$1,"*"&amp;CHAR(10)&amp;"Stanine",$N25:$ZZ25,"&gt;=1"))</f>
        <v>5</v>
      </c>
      <c r="L25" s="68">
        <f>IFERROR(AVERAGEIF($N$1:$ZZ$1,"*"&amp;CHAR(10)&amp;"Stanine",$N25:$ZZ25),"")</f>
        <v>7.8</v>
      </c>
      <c r="M25" s="69">
        <f>IF(AND(ISNUMBER(tblY10[[#This Row],[Mean Stanine]]),ISNUMBER(tblY10[[#This Row],[Avg KS2 Band]]),ISNUMBER(SlopeY10)),tblY10[[#This Row],[Mean Stanine]]-(InterceptY10+SlopeY10*tblY10[[#This Row],[Avg KS2 Band]]),"")</f>
        <v>1.23186328691081</v>
      </c>
      <c r="N25" s="66" t="n">
        <v>30</v>
      </c>
      <c r="O25" s="67">
        <f>IF(ISNUMBER(tblY10[[#This Row],[4B01 - Cell Biology
Raw Score]]),IFERROR(VLOOKUP(ROUND(STANDARDIZE(tblY10[[#This Row],[4B01 - Cell Biology
Raw Score]],AVERAGE(tblY10[[4B01 - Cell Biology
Raw Score]]),_xlfn.STDEV.P(tblY10[[4B01 - Cell Biology
Raw Score]])),9),_Stanine,2),5),"")</f>
        <v>7</v>
      </c>
      <c r="P25" s="66" t="n">
        <v>32</v>
      </c>
      <c r="Q25" s="67">
        <f>IF(ISNUMBER(tblY10[[#This Row],[4C01 - Atomic Structure
Raw Score]]),IFERROR(VLOOKUP(ROUND(STANDARDIZE(tblY10[[#This Row],[4C01 - Atomic Structure
Raw Score]],AVERAGE(tblY10[[4C01 - Atomic Structure
Raw Score]]),_xlfn.STDEV.P(tblY10[[4C01 - Atomic Structure
Raw Score]])),9),_Stanine,2),5),"")</f>
        <v>8</v>
      </c>
      <c r="R25" s="66" t="n">
        <v>29</v>
      </c>
      <c r="S25" s="67">
        <f>IF(ISNUMBER(tblY10[[#This Row],[4P01 - Energy
Raw Score]]),IFERROR(VLOOKUP(ROUND(STANDARDIZE(tblY10[[#This Row],[4P01 - Energy
Raw Score]],AVERAGE(tblY10[[4P01 - Energy
Raw Score]]),_xlfn.STDEV.P(tblY10[[4P01 - Energy
Raw Score]])),9),_Stanine,2),5),"")</f>
        <v>8</v>
      </c>
      <c r="T25" s="66" t="n">
        <v>36</v>
      </c>
      <c r="U25" s="67">
        <f>IF(ISNUMBER(tblY10[[#This Row],[4B02 - Organisation
Raw Score]]),IFERROR(VLOOKUP(ROUND(STANDARDIZE(tblY10[[#This Row],[4B02 - Organisation
Raw Score]],AVERAGE(tblY10[[4B02 - Organisation
Raw Score]]),_xlfn.STDEV.P(tblY10[[4B02 - Organisation
Raw Score]])),9),_Stanine,2),5),"")</f>
        <v>8</v>
      </c>
      <c r="V25" s="66" t="n">
        <v>34</v>
      </c>
      <c r="W25" s="67">
        <f>IF(ISNUMBER(tblY10[[#This Row],[4C02 - Bonding
Raw Score]]),IFERROR(VLOOKUP(ROUND(STANDARDIZE(tblY10[[#This Row],[4C02 - Bonding
Raw Score]],AVERAGE(tblY10[[4C02 - Bonding
Raw Score]]),_xlfn.STDEV.P(tblY10[[4C02 - Bonding
Raw Score]])),9),_Stanine,2),5),"")</f>
        <v>8</v>
      </c>
    </row>
    <row r="26">
      <c r="A26" s="65" t="inlineStr">
        <is>
          <t>X902639974147</t>
        </is>
      </c>
      <c r="B26" s="65" t="inlineStr">
        <is>
          <t>White</t>
        </is>
      </c>
      <c r="C26" s="65" t="inlineStr">
        <is>
          <t>Lewis</t>
        </is>
      </c>
      <c r="D26" s="66" t="inlineStr">
        <is>
          <t>M</t>
        </is>
      </c>
      <c r="E26" s="66" t="inlineStr">
        <is>
          <t>N</t>
        </is>
      </c>
      <c r="F26" s="66" t="inlineStr">
        <is>
          <t>N</t>
        </is>
      </c>
      <c r="G26" s="34" t="n">
        <v>88.8</v>
      </c>
      <c r="H26" s="34" t="n">
        <v>98.5</v>
      </c>
      <c r="I26" s="67">
        <f>IF(ISNUMBER(tblY10[[#This Row],[Avg KS2]]),IFERROR(VLOOKUP(ROUND(STANDARDIZE(tblY10[[#This Row],[Avg KS2]],AVERAGE(tblY10[[Avg KS2]]),_xlfn.STDEV.P(tblY10[[Avg KS2]])),9),_Stanine,2),5),"")</f>
        <v>4</v>
      </c>
      <c r="J26" s="66" t="inlineStr">
        <is>
          <t>10S/Sc1</t>
        </is>
      </c>
      <c r="K26" s="67">
        <f>IF(tblY10[[#This Row],[Preferred Last name]]="","",COUNTIFS($N$1:$ZZ$1,"*"&amp;CHAR(10)&amp;"Stanine",$N26:$ZZ26,"&gt;=1"))</f>
        <v>5</v>
      </c>
      <c r="L26" s="68">
        <f>IFERROR(AVERAGEIF($N$1:$ZZ$1,"*"&amp;CHAR(10)&amp;"Stanine",$N26:$ZZ26),"")</f>
        <v>3.6</v>
      </c>
      <c r="M26" s="69">
        <f>IF(AND(ISNUMBER(tblY10[[#This Row],[Mean Stanine]]),ISNUMBER(tblY10[[#This Row],[Avg KS2 Band]]),ISNUMBER(SlopeY10)),tblY10[[#This Row],[Mean Stanine]]-(InterceptY10+SlopeY10*tblY10[[#This Row],[Avg KS2 Band]]),"")</f>
        <v>-0.526129860241199</v>
      </c>
      <c r="N26" s="66" t="n">
        <v>14</v>
      </c>
      <c r="O26" s="67">
        <f>IF(ISNUMBER(tblY10[[#This Row],[4B01 - Cell Biology
Raw Score]]),IFERROR(VLOOKUP(ROUND(STANDARDIZE(tblY10[[#This Row],[4B01 - Cell Biology
Raw Score]],AVERAGE(tblY10[[4B01 - Cell Biology
Raw Score]]),_xlfn.STDEV.P(tblY10[[4B01 - Cell Biology
Raw Score]])),9),_Stanine,2),5),"")</f>
        <v>4</v>
      </c>
      <c r="P26" s="66" t="n">
        <v>10</v>
      </c>
      <c r="Q26" s="67">
        <f>IF(ISNUMBER(tblY10[[#This Row],[4C01 - Atomic Structure
Raw Score]]),IFERROR(VLOOKUP(ROUND(STANDARDIZE(tblY10[[#This Row],[4C01 - Atomic Structure
Raw Score]],AVERAGE(tblY10[[4C01 - Atomic Structure
Raw Score]]),_xlfn.STDEV.P(tblY10[[4C01 - Atomic Structure
Raw Score]])),9),_Stanine,2),5),"")</f>
        <v>3</v>
      </c>
      <c r="R26" s="66" t="n">
        <v>9</v>
      </c>
      <c r="S26" s="67">
        <f>IF(ISNUMBER(tblY10[[#This Row],[4P01 - Energy
Raw Score]]),IFERROR(VLOOKUP(ROUND(STANDARDIZE(tblY10[[#This Row],[4P01 - Energy
Raw Score]],AVERAGE(tblY10[[4P01 - Energy
Raw Score]]),_xlfn.STDEV.P(tblY10[[4P01 - Energy
Raw Score]])),9),_Stanine,2),5),"")</f>
        <v>3</v>
      </c>
      <c r="T26" s="66" t="n">
        <v>12</v>
      </c>
      <c r="U26" s="67">
        <f>IF(ISNUMBER(tblY10[[#This Row],[4B02 - Organisation
Raw Score]]),IFERROR(VLOOKUP(ROUND(STANDARDIZE(tblY10[[#This Row],[4B02 - Organisation
Raw Score]],AVERAGE(tblY10[[4B02 - Organisation
Raw Score]]),_xlfn.STDEV.P(tblY10[[4B02 - Organisation
Raw Score]])),9),_Stanine,2),5),"")</f>
        <v>3</v>
      </c>
      <c r="V26" s="66" t="n">
        <v>20</v>
      </c>
      <c r="W26" s="67">
        <f>IF(ISNUMBER(tblY10[[#This Row],[4C02 - Bonding
Raw Score]]),IFERROR(VLOOKUP(ROUND(STANDARDIZE(tblY10[[#This Row],[4C02 - Bonding
Raw Score]],AVERAGE(tblY10[[4C02 - Bonding
Raw Score]]),_xlfn.STDEV.P(tblY10[[4C02 - Bonding
Raw Score]])),9),_Stanine,2),5),"")</f>
        <v>5</v>
      </c>
    </row>
    <row r="27">
      <c r="A27" s="65" t="inlineStr">
        <is>
          <t>X902326845046</t>
        </is>
      </c>
      <c r="B27" s="65" t="inlineStr">
        <is>
          <t>Wilson</t>
        </is>
      </c>
      <c r="C27" s="65" t="inlineStr">
        <is>
          <t>Freya</t>
        </is>
      </c>
      <c r="D27" s="66" t="inlineStr">
        <is>
          <t>M</t>
        </is>
      </c>
      <c r="E27" s="66" t="inlineStr">
        <is>
          <t>N</t>
        </is>
      </c>
      <c r="F27" s="66" t="inlineStr">
        <is>
          <t>N</t>
        </is>
      </c>
      <c r="G27" s="34" t="n">
        <v>88.90000000000001</v>
      </c>
      <c r="H27" s="34" t="n">
        <v>109</v>
      </c>
      <c r="I27" s="67">
        <f>IF(ISNUMBER(tblY10[[#This Row],[Avg KS2]]),IFERROR(VLOOKUP(ROUND(STANDARDIZE(tblY10[[#This Row],[Avg KS2]],AVERAGE(tblY10[[Avg KS2]]),_xlfn.STDEV.P(tblY10[[Avg KS2]])),9),_Stanine,2),5),"")</f>
        <v>7</v>
      </c>
      <c r="J27" s="66" t="inlineStr">
        <is>
          <t>10S/Sc1</t>
        </is>
      </c>
      <c r="K27" s="67">
        <f>IF(tblY10[[#This Row],[Preferred Last name]]="","",COUNTIFS($N$1:$ZZ$1,"*"&amp;CHAR(10)&amp;"Stanine",$N27:$ZZ27,"&gt;=1"))</f>
        <v>5</v>
      </c>
      <c r="L27" s="68">
        <f>IFERROR(AVERAGEIF($N$1:$ZZ$1,"*"&amp;CHAR(10)&amp;"Stanine",$N27:$ZZ27),"")</f>
        <v>7.8</v>
      </c>
      <c r="M27" s="69">
        <f>IF(AND(ISNUMBER(tblY10[[#This Row],[Mean Stanine]]),ISNUMBER(tblY10[[#This Row],[Avg KS2 Band]]),ISNUMBER(SlopeY10)),tblY10[[#This Row],[Mean Stanine]]-(InterceptY10+SlopeY10*tblY10[[#This Row],[Avg KS2 Band]]),"")</f>
        <v>1.23186328691081</v>
      </c>
      <c r="N27" s="66" t="n">
        <v>32</v>
      </c>
      <c r="O27" s="67">
        <f>IF(ISNUMBER(tblY10[[#This Row],[4B01 - Cell Biology
Raw Score]]),IFERROR(VLOOKUP(ROUND(STANDARDIZE(tblY10[[#This Row],[4B01 - Cell Biology
Raw Score]],AVERAGE(tblY10[[4B01 - Cell Biology
Raw Score]]),_xlfn.STDEV.P(tblY10[[4B01 - Cell Biology
Raw Score]])),9),_Stanine,2),5),"")</f>
        <v>8</v>
      </c>
      <c r="P27" s="66" t="n">
        <v>30</v>
      </c>
      <c r="Q27" s="67">
        <f>IF(ISNUMBER(tblY10[[#This Row],[4C01 - Atomic Structure
Raw Score]]),IFERROR(VLOOKUP(ROUND(STANDARDIZE(tblY10[[#This Row],[4C01 - Atomic Structure
Raw Score]],AVERAGE(tblY10[[4C01 - Atomic Structure
Raw Score]]),_xlfn.STDEV.P(tblY10[[4C01 - Atomic Structure
Raw Score]])),9),_Stanine,2),5),"")</f>
        <v>8</v>
      </c>
      <c r="R27" s="66" t="n">
        <v>28</v>
      </c>
      <c r="S27" s="67">
        <f>IF(ISNUMBER(tblY10[[#This Row],[4P01 - Energy
Raw Score]]),IFERROR(VLOOKUP(ROUND(STANDARDIZE(tblY10[[#This Row],[4P01 - Energy
Raw Score]],AVERAGE(tblY10[[4P01 - Energy
Raw Score]]),_xlfn.STDEV.P(tblY10[[4P01 - Energy
Raw Score]])),9),_Stanine,2),5),"")</f>
        <v>8</v>
      </c>
      <c r="T27" s="66" t="n">
        <v>32</v>
      </c>
      <c r="U27" s="67">
        <f>IF(ISNUMBER(tblY10[[#This Row],[4B02 - Organisation
Raw Score]]),IFERROR(VLOOKUP(ROUND(STANDARDIZE(tblY10[[#This Row],[4B02 - Organisation
Raw Score]],AVERAGE(tblY10[[4B02 - Organisation
Raw Score]]),_xlfn.STDEV.P(tblY10[[4B02 - Organisation
Raw Score]])),9),_Stanine,2),5),"")</f>
        <v>7</v>
      </c>
      <c r="V27" s="66" t="n">
        <v>33</v>
      </c>
      <c r="W27" s="67">
        <f>IF(ISNUMBER(tblY10[[#This Row],[4C02 - Bonding
Raw Score]]),IFERROR(VLOOKUP(ROUND(STANDARDIZE(tblY10[[#This Row],[4C02 - Bonding
Raw Score]],AVERAGE(tblY10[[4C02 - Bonding
Raw Score]]),_xlfn.STDEV.P(tblY10[[4C02 - Bonding
Raw Score]])),9),_Stanine,2),5),"")</f>
        <v>8</v>
      </c>
    </row>
    <row r="28">
      <c r="A28" s="65" t="inlineStr">
        <is>
          <t>X908575238434</t>
        </is>
      </c>
      <c r="B28" s="65" t="inlineStr">
        <is>
          <t>Wood</t>
        </is>
      </c>
      <c r="C28" s="65" t="inlineStr">
        <is>
          <t>Evie</t>
        </is>
      </c>
      <c r="D28" s="66" t="inlineStr">
        <is>
          <t>M</t>
        </is>
      </c>
      <c r="E28" s="66" t="n"/>
      <c r="F28" s="66" t="inlineStr">
        <is>
          <t>Y</t>
        </is>
      </c>
      <c r="G28" s="34" t="n">
        <v>78.3</v>
      </c>
      <c r="H28" s="34" t="n">
        <v>101.5</v>
      </c>
      <c r="I28" s="67">
        <f>IF(ISNUMBER(tblY10[[#This Row],[Avg KS2]]),IFERROR(VLOOKUP(ROUND(STANDARDIZE(tblY10[[#This Row],[Avg KS2]],AVERAGE(tblY10[[Avg KS2]]),_xlfn.STDEV.P(tblY10[[Avg KS2]])),9),_Stanine,2),5),"")</f>
        <v>4</v>
      </c>
      <c r="J28" s="66" t="inlineStr">
        <is>
          <t>10S/Sc1</t>
        </is>
      </c>
      <c r="K28" s="67">
        <f>IF(tblY10[[#This Row],[Preferred Last name]]="","",COUNTIFS($N$1:$ZZ$1,"*"&amp;CHAR(10)&amp;"Stanine",$N28:$ZZ28,"&gt;=1"))</f>
        <v>5</v>
      </c>
      <c r="L28" s="68">
        <f>IFERROR(AVERAGEIF($N$1:$ZZ$1,"*"&amp;CHAR(10)&amp;"Stanine",$N28:$ZZ28),"")</f>
        <v>5</v>
      </c>
      <c r="M28" s="69">
        <f>IF(AND(ISNUMBER(tblY10[[#This Row],[Mean Stanine]]),ISNUMBER(tblY10[[#This Row],[Avg KS2 Band]]),ISNUMBER(SlopeY10)),tblY10[[#This Row],[Mean Stanine]]-(InterceptY10+SlopeY10*tblY10[[#This Row],[Avg KS2 Band]]),"")</f>
        <v>0.873870139758801</v>
      </c>
      <c r="N28" s="66" t="n">
        <v>18</v>
      </c>
      <c r="O28" s="67">
        <f>IF(ISNUMBER(tblY10[[#This Row],[4B01 - Cell Biology
Raw Score]]),IFERROR(VLOOKUP(ROUND(STANDARDIZE(tblY10[[#This Row],[4B01 - Cell Biology
Raw Score]],AVERAGE(tblY10[[4B01 - Cell Biology
Raw Score]]),_xlfn.STDEV.P(tblY10[[4B01 - Cell Biology
Raw Score]])),9),_Stanine,2),5),"")</f>
        <v>5</v>
      </c>
      <c r="P28" s="66" t="n">
        <v>19</v>
      </c>
      <c r="Q28" s="67">
        <f>IF(ISNUMBER(tblY10[[#This Row],[4C01 - Atomic Structure
Raw Score]]),IFERROR(VLOOKUP(ROUND(STANDARDIZE(tblY10[[#This Row],[4C01 - Atomic Structure
Raw Score]],AVERAGE(tblY10[[4C01 - Atomic Structure
Raw Score]]),_xlfn.STDEV.P(tblY10[[4C01 - Atomic Structure
Raw Score]])),9),_Stanine,2),5),"")</f>
        <v>5</v>
      </c>
      <c r="R28" s="66" t="n">
        <v>14</v>
      </c>
      <c r="S28" s="67">
        <f>IF(ISNUMBER(tblY10[[#This Row],[4P01 - Energy
Raw Score]]),IFERROR(VLOOKUP(ROUND(STANDARDIZE(tblY10[[#This Row],[4P01 - Energy
Raw Score]],AVERAGE(tblY10[[4P01 - Energy
Raw Score]]),_xlfn.STDEV.P(tblY10[[4P01 - Energy
Raw Score]])),9),_Stanine,2),5),"")</f>
        <v>5</v>
      </c>
      <c r="T28" s="66" t="n">
        <v>25</v>
      </c>
      <c r="U28" s="67">
        <f>IF(ISNUMBER(tblY10[[#This Row],[4B02 - Organisation
Raw Score]]),IFERROR(VLOOKUP(ROUND(STANDARDIZE(tblY10[[#This Row],[4B02 - Organisation
Raw Score]],AVERAGE(tblY10[[4B02 - Organisation
Raw Score]]),_xlfn.STDEV.P(tblY10[[4B02 - Organisation
Raw Score]])),9),_Stanine,2),5),"")</f>
        <v>6</v>
      </c>
      <c r="V28" s="66" t="n">
        <v>17</v>
      </c>
      <c r="W28" s="67">
        <f>IF(ISNUMBER(tblY10[[#This Row],[4C02 - Bonding
Raw Score]]),IFERROR(VLOOKUP(ROUND(STANDARDIZE(tblY10[[#This Row],[4C02 - Bonding
Raw Score]],AVERAGE(tblY10[[4C02 - Bonding
Raw Score]]),_xlfn.STDEV.P(tblY10[[4C02 - Bonding
Raw Score]])),9),_Stanine,2),5),"")</f>
        <v>4</v>
      </c>
    </row>
    <row r="29">
      <c r="A29" s="65" t="inlineStr">
        <is>
          <t>X909548981232</t>
        </is>
      </c>
      <c r="B29" s="65" t="inlineStr">
        <is>
          <t>Wright</t>
        </is>
      </c>
      <c r="C29" s="65" t="inlineStr">
        <is>
          <t>Niamh</t>
        </is>
      </c>
      <c r="D29" s="66" t="inlineStr">
        <is>
          <t>M</t>
        </is>
      </c>
      <c r="E29" s="66" t="inlineStr">
        <is>
          <t>N</t>
        </is>
      </c>
      <c r="F29" s="66" t="inlineStr">
        <is>
          <t>Y</t>
        </is>
      </c>
      <c r="G29" s="34" t="n">
        <v>87.09999999999999</v>
      </c>
      <c r="H29" s="34" t="n">
        <v>117.5</v>
      </c>
      <c r="I29" s="67">
        <f>IF(ISNUMBER(tblY10[[#This Row],[Avg KS2]]),IFERROR(VLOOKUP(ROUND(STANDARDIZE(tblY10[[#This Row],[Avg KS2]],AVERAGE(tblY10[[Avg KS2]]),_xlfn.STDEV.P(tblY10[[Avg KS2]])),9),_Stanine,2),5),"")</f>
        <v>9</v>
      </c>
      <c r="J29" s="66" t="inlineStr">
        <is>
          <t>10S/Sc1</t>
        </is>
      </c>
      <c r="K29" s="67">
        <f>IF(tblY10[[#This Row],[Preferred Last name]]="","",COUNTIFS($N$1:$ZZ$1,"*"&amp;CHAR(10)&amp;"Stanine",$N29:$ZZ29,"&gt;=1"))</f>
        <v>5</v>
      </c>
      <c r="L29" s="68">
        <f>IFERROR(AVERAGEIF($N$1:$ZZ$1,"*"&amp;CHAR(10)&amp;"Stanine",$N29:$ZZ29),"")</f>
        <v>7.6</v>
      </c>
      <c r="M29" s="69">
        <f>IF(AND(ISNUMBER(tblY10[[#This Row],[Mean Stanine]]),ISNUMBER(tblY10[[#This Row],[Avg KS2 Band]]),ISNUMBER(SlopeY10)),tblY10[[#This Row],[Mean Stanine]]-(InterceptY10+SlopeY10*tblY10[[#This Row],[Avg KS2 Band]]),"")</f>
        <v>-0.596141281654512</v>
      </c>
      <c r="N29" s="66" t="n">
        <v>31</v>
      </c>
      <c r="O29" s="67">
        <f>IF(ISNUMBER(tblY10[[#This Row],[4B01 - Cell Biology
Raw Score]]),IFERROR(VLOOKUP(ROUND(STANDARDIZE(tblY10[[#This Row],[4B01 - Cell Biology
Raw Score]],AVERAGE(tblY10[[4B01 - Cell Biology
Raw Score]]),_xlfn.STDEV.P(tblY10[[4B01 - Cell Biology
Raw Score]])),9),_Stanine,2),5),"")</f>
        <v>7</v>
      </c>
      <c r="P29" s="66" t="n">
        <v>31</v>
      </c>
      <c r="Q29" s="67">
        <f>IF(ISNUMBER(tblY10[[#This Row],[4C01 - Atomic Structure
Raw Score]]),IFERROR(VLOOKUP(ROUND(STANDARDIZE(tblY10[[#This Row],[4C01 - Atomic Structure
Raw Score]],AVERAGE(tblY10[[4C01 - Atomic Structure
Raw Score]]),_xlfn.STDEV.P(tblY10[[4C01 - Atomic Structure
Raw Score]])),9),_Stanine,2),5),"")</f>
        <v>8</v>
      </c>
      <c r="R29" s="66" t="n">
        <v>29</v>
      </c>
      <c r="S29" s="67">
        <f>IF(ISNUMBER(tblY10[[#This Row],[4P01 - Energy
Raw Score]]),IFERROR(VLOOKUP(ROUND(STANDARDIZE(tblY10[[#This Row],[4P01 - Energy
Raw Score]],AVERAGE(tblY10[[4P01 - Energy
Raw Score]]),_xlfn.STDEV.P(tblY10[[4P01 - Energy
Raw Score]])),9),_Stanine,2),5),"")</f>
        <v>8</v>
      </c>
      <c r="T29" s="66" t="n">
        <v>33</v>
      </c>
      <c r="U29" s="67">
        <f>IF(ISNUMBER(tblY10[[#This Row],[4B02 - Organisation
Raw Score]]),IFERROR(VLOOKUP(ROUND(STANDARDIZE(tblY10[[#This Row],[4B02 - Organisation
Raw Score]],AVERAGE(tblY10[[4B02 - Organisation
Raw Score]]),_xlfn.STDEV.P(tblY10[[4B02 - Organisation
Raw Score]])),9),_Stanine,2),5),"")</f>
        <v>7</v>
      </c>
      <c r="V29" s="66" t="n">
        <v>35</v>
      </c>
      <c r="W29" s="67">
        <f>IF(ISNUMBER(tblY10[[#This Row],[4C02 - Bonding
Raw Score]]),IFERROR(VLOOKUP(ROUND(STANDARDIZE(tblY10[[#This Row],[4C02 - Bonding
Raw Score]],AVERAGE(tblY10[[4C02 - Bonding
Raw Score]]),_xlfn.STDEV.P(tblY10[[4C02 - Bonding
Raw Score]])),9),_Stanine,2),5),"")</f>
        <v>8</v>
      </c>
    </row>
    <row r="30">
      <c r="A30" s="65" t="inlineStr">
        <is>
          <t>X901363005942</t>
        </is>
      </c>
      <c r="B30" s="65" t="inlineStr">
        <is>
          <t>Wright</t>
        </is>
      </c>
      <c r="C30" s="65" t="inlineStr">
        <is>
          <t>Zara</t>
        </is>
      </c>
      <c r="D30" s="66" t="inlineStr">
        <is>
          <t>F</t>
        </is>
      </c>
      <c r="E30" s="66" t="inlineStr">
        <is>
          <t>K</t>
        </is>
      </c>
      <c r="F30" s="66" t="inlineStr">
        <is>
          <t>N</t>
        </is>
      </c>
      <c r="G30" s="34" t="n">
        <v>88.7</v>
      </c>
      <c r="H30" s="34" t="n">
        <v>116</v>
      </c>
      <c r="I30" s="67">
        <f>IF(ISNUMBER(tblY10[[#This Row],[Avg KS2]]),IFERROR(VLOOKUP(ROUND(STANDARDIZE(tblY10[[#This Row],[Avg KS2]],AVERAGE(tblY10[[Avg KS2]]),_xlfn.STDEV.P(tblY10[[Avg KS2]])),9),_Stanine,2),5),"")</f>
        <v>9</v>
      </c>
      <c r="J30" s="66" t="inlineStr">
        <is>
          <t>10S/Sc1</t>
        </is>
      </c>
      <c r="K30" s="67">
        <f>IF(tblY10[[#This Row],[Preferred Last name]]="","",COUNTIFS($N$1:$ZZ$1,"*"&amp;CHAR(10)&amp;"Stanine",$N30:$ZZ30,"&gt;=1"))</f>
        <v>5</v>
      </c>
      <c r="L30" s="68">
        <f>IFERROR(AVERAGEIF($N$1:$ZZ$1,"*"&amp;CHAR(10)&amp;"Stanine",$N30:$ZZ30),"")</f>
        <v>8</v>
      </c>
      <c r="M30" s="69">
        <f>IF(AND(ISNUMBER(tblY10[[#This Row],[Mean Stanine]]),ISNUMBER(tblY10[[#This Row],[Avg KS2 Band]]),ISNUMBER(SlopeY10)),tblY10[[#This Row],[Mean Stanine]]-(InterceptY10+SlopeY10*tblY10[[#This Row],[Avg KS2 Band]]),"")</f>
        <v>-0.196141281654512</v>
      </c>
      <c r="N30" s="66" t="n">
        <v>33</v>
      </c>
      <c r="O30" s="67">
        <f>IF(ISNUMBER(tblY10[[#This Row],[4B01 - Cell Biology
Raw Score]]),IFERROR(VLOOKUP(ROUND(STANDARDIZE(tblY10[[#This Row],[4B01 - Cell Biology
Raw Score]],AVERAGE(tblY10[[4B01 - Cell Biology
Raw Score]]),_xlfn.STDEV.P(tblY10[[4B01 - Cell Biology
Raw Score]])),9),_Stanine,2),5),"")</f>
        <v>8</v>
      </c>
      <c r="P30" s="66" t="n">
        <v>31</v>
      </c>
      <c r="Q30" s="67">
        <f>IF(ISNUMBER(tblY10[[#This Row],[4C01 - Atomic Structure
Raw Score]]),IFERROR(VLOOKUP(ROUND(STANDARDIZE(tblY10[[#This Row],[4C01 - Atomic Structure
Raw Score]],AVERAGE(tblY10[[4C01 - Atomic Structure
Raw Score]]),_xlfn.STDEV.P(tblY10[[4C01 - Atomic Structure
Raw Score]])),9),_Stanine,2),5),"")</f>
        <v>8</v>
      </c>
      <c r="R30" s="66" t="n">
        <v>28</v>
      </c>
      <c r="S30" s="67">
        <f>IF(ISNUMBER(tblY10[[#This Row],[4P01 - Energy
Raw Score]]),IFERROR(VLOOKUP(ROUND(STANDARDIZE(tblY10[[#This Row],[4P01 - Energy
Raw Score]],AVERAGE(tblY10[[4P01 - Energy
Raw Score]]),_xlfn.STDEV.P(tblY10[[4P01 - Energy
Raw Score]])),9),_Stanine,2),5),"")</f>
        <v>8</v>
      </c>
      <c r="T30" s="66" t="n">
        <v>35</v>
      </c>
      <c r="U30" s="67">
        <f>IF(ISNUMBER(tblY10[[#This Row],[4B02 - Organisation
Raw Score]]),IFERROR(VLOOKUP(ROUND(STANDARDIZE(tblY10[[#This Row],[4B02 - Organisation
Raw Score]],AVERAGE(tblY10[[4B02 - Organisation
Raw Score]]),_xlfn.STDEV.P(tblY10[[4B02 - Organisation
Raw Score]])),9),_Stanine,2),5),"")</f>
        <v>8</v>
      </c>
      <c r="V30" s="66" t="n">
        <v>35</v>
      </c>
      <c r="W30" s="67">
        <f>IF(ISNUMBER(tblY10[[#This Row],[4C02 - Bonding
Raw Score]]),IFERROR(VLOOKUP(ROUND(STANDARDIZE(tblY10[[#This Row],[4C02 - Bonding
Raw Score]],AVERAGE(tblY10[[4C02 - Bonding
Raw Score]]),_xlfn.STDEV.P(tblY10[[4C02 - Bonding
Raw Score]])),9),_Stanine,2),5),"")</f>
        <v>8</v>
      </c>
    </row>
    <row r="31">
      <c r="A31" s="65" t="inlineStr">
        <is>
          <t>X907433397755</t>
        </is>
      </c>
      <c r="B31" s="65" t="inlineStr">
        <is>
          <t>Barker</t>
        </is>
      </c>
      <c r="C31" s="65" t="inlineStr">
        <is>
          <t>Alfie</t>
        </is>
      </c>
      <c r="D31" s="66" t="inlineStr">
        <is>
          <t>F</t>
        </is>
      </c>
      <c r="E31" s="66" t="inlineStr">
        <is>
          <t>N</t>
        </is>
      </c>
      <c r="F31" s="66" t="inlineStr">
        <is>
          <t>N</t>
        </is>
      </c>
      <c r="G31" s="34" t="n">
        <v>100</v>
      </c>
      <c r="H31" s="34" t="n">
        <v>103</v>
      </c>
      <c r="I31" s="67">
        <f>IF(ISNUMBER(tblY10[[#This Row],[Avg KS2]]),IFERROR(VLOOKUP(ROUND(STANDARDIZE(tblY10[[#This Row],[Avg KS2]],AVERAGE(tblY10[[Avg KS2]]),_xlfn.STDEV.P(tblY10[[Avg KS2]])),9),_Stanine,2),5),"")</f>
        <v>5</v>
      </c>
      <c r="J31" s="66" t="inlineStr">
        <is>
          <t>10S/Sc2</t>
        </is>
      </c>
      <c r="K31" s="67">
        <f>IF(tblY10[[#This Row],[Preferred Last name]]="","",COUNTIFS($N$1:$ZZ$1,"*"&amp;CHAR(10)&amp;"Stanine",$N31:$ZZ31,"&gt;=1"))</f>
        <v>4</v>
      </c>
      <c r="L31" s="68">
        <f>IFERROR(AVERAGEIF($N$1:$ZZ$1,"*"&amp;CHAR(10)&amp;"Stanine",$N31:$ZZ31),"")</f>
        <v>4.5</v>
      </c>
      <c r="M31" s="69">
        <f>IF(AND(ISNUMBER(tblY10[[#This Row],[Mean Stanine]]),ISNUMBER(tblY10[[#This Row],[Avg KS2 Band]]),ISNUMBER(SlopeY10)),tblY10[[#This Row],[Mean Stanine]]-(InterceptY10+SlopeY10*tblY10[[#This Row],[Avg KS2 Band]]),"")</f>
        <v>-0.440132144523862</v>
      </c>
      <c r="N31" s="66" t="n">
        <v>16</v>
      </c>
      <c r="O31" s="67">
        <f>IF(ISNUMBER(tblY10[[#This Row],[4B01 - Cell Biology
Raw Score]]),IFERROR(VLOOKUP(ROUND(STANDARDIZE(tblY10[[#This Row],[4B01 - Cell Biology
Raw Score]],AVERAGE(tblY10[[4B01 - Cell Biology
Raw Score]]),_xlfn.STDEV.P(tblY10[[4B01 - Cell Biology
Raw Score]])),9),_Stanine,2),5),"")</f>
        <v>4</v>
      </c>
      <c r="P31" s="66" t="n">
        <v>15</v>
      </c>
      <c r="Q31" s="67">
        <f>IF(ISNUMBER(tblY10[[#This Row],[4C01 - Atomic Structure
Raw Score]]),IFERROR(VLOOKUP(ROUND(STANDARDIZE(tblY10[[#This Row],[4C01 - Atomic Structure
Raw Score]],AVERAGE(tblY10[[4C01 - Atomic Structure
Raw Score]]),_xlfn.STDEV.P(tblY10[[4C01 - Atomic Structure
Raw Score]])),9),_Stanine,2),5),"")</f>
        <v>4</v>
      </c>
      <c r="R31" s="66" t="n">
        <v>14</v>
      </c>
      <c r="S31" s="67">
        <f>IF(ISNUMBER(tblY10[[#This Row],[4P01 - Energy
Raw Score]]),IFERROR(VLOOKUP(ROUND(STANDARDIZE(tblY10[[#This Row],[4P01 - Energy
Raw Score]],AVERAGE(tblY10[[4P01 - Energy
Raw Score]]),_xlfn.STDEV.P(tblY10[[4P01 - Energy
Raw Score]])),9),_Stanine,2),5),"")</f>
        <v>5</v>
      </c>
      <c r="T31" s="66" t="n">
        <v>23</v>
      </c>
      <c r="U31" s="67">
        <f>IF(ISNUMBER(tblY10[[#This Row],[4B02 - Organisation
Raw Score]]),IFERROR(VLOOKUP(ROUND(STANDARDIZE(tblY10[[#This Row],[4B02 - Organisation
Raw Score]],AVERAGE(tblY10[[4B02 - Organisation
Raw Score]]),_xlfn.STDEV.P(tblY10[[4B02 - Organisation
Raw Score]])),9),_Stanine,2),5),"")</f>
        <v>5</v>
      </c>
      <c r="V31" s="66" t="n"/>
      <c r="W31" s="67" t="str">
        <f>IF(ISNUMBER(tblY10[[#This Row],[4C02 - Bonding
Raw Score]]),IFERROR(VLOOKUP(ROUND(STANDARDIZE(tblY10[[#This Row],[4C02 - Bonding
Raw Score]],AVERAGE(tblY10[[4C02 - Bonding
Raw Score]]),_xlfn.STDEV.P(tblY10[[4C02 - Bonding
Raw Score]])),9),_Stanine,2),5),"")</f>
        <v/>
      </c>
    </row>
    <row r="32">
      <c r="A32" s="65" t="inlineStr">
        <is>
          <t>X902984406046</t>
        </is>
      </c>
      <c r="B32" s="65" t="inlineStr">
        <is>
          <t>Barker</t>
        </is>
      </c>
      <c r="C32" s="65" t="inlineStr">
        <is>
          <t>Evie</t>
        </is>
      </c>
      <c r="D32" s="66" t="inlineStr">
        <is>
          <t>F</t>
        </is>
      </c>
      <c r="E32" s="66" t="n"/>
      <c r="F32" s="66" t="inlineStr">
        <is>
          <t>N</t>
        </is>
      </c>
      <c r="G32" s="34" t="n">
        <v>87.90000000000001</v>
      </c>
      <c r="H32" s="34" t="n">
        <v>100</v>
      </c>
      <c r="I32" s="67">
        <f>IF(ISNUMBER(tblY10[[#This Row],[Avg KS2]]),IFERROR(VLOOKUP(ROUND(STANDARDIZE(tblY10[[#This Row],[Avg KS2]],AVERAGE(tblY10[[Avg KS2]]),_xlfn.STDEV.P(tblY10[[Avg KS2]])),9),_Stanine,2),5),"")</f>
        <v>4</v>
      </c>
      <c r="J32" s="66" t="inlineStr">
        <is>
          <t>10S/Sc2</t>
        </is>
      </c>
      <c r="K32" s="67">
        <f>IF(tblY10[[#This Row],[Preferred Last name]]="","",COUNTIFS($N$1:$ZZ$1,"*"&amp;CHAR(10)&amp;"Stanine",$N32:$ZZ32,"&gt;=1"))</f>
        <v>3</v>
      </c>
      <c r="L32" s="68">
        <f>IFERROR(AVERAGEIF($N$1:$ZZ$1,"*"&amp;CHAR(10)&amp;"Stanine",$N32:$ZZ32),"")</f>
        <v>2.66666666666667</v>
      </c>
      <c r="M32" s="69">
        <f>IF(AND(ISNUMBER(tblY10[[#This Row],[Mean Stanine]]),ISNUMBER(tblY10[[#This Row],[Avg KS2 Band]]),ISNUMBER(SlopeY10)),tblY10[[#This Row],[Mean Stanine]]-(InterceptY10+SlopeY10*tblY10[[#This Row],[Avg KS2 Band]]),"")</f>
        <v>-1.45946319357453</v>
      </c>
      <c r="N32" s="66" t="n">
        <v>8</v>
      </c>
      <c r="O32" s="67">
        <f>IF(ISNUMBER(tblY10[[#This Row],[4B01 - Cell Biology
Raw Score]]),IFERROR(VLOOKUP(ROUND(STANDARDIZE(tblY10[[#This Row],[4B01 - Cell Biology
Raw Score]],AVERAGE(tblY10[[4B01 - Cell Biology
Raw Score]]),_xlfn.STDEV.P(tblY10[[4B01 - Cell Biology
Raw Score]])),9),_Stanine,2),5),"")</f>
        <v>2</v>
      </c>
      <c r="P32" s="66" t="n">
        <v>6</v>
      </c>
      <c r="Q32" s="67">
        <f>IF(ISNUMBER(tblY10[[#This Row],[4C01 - Atomic Structure
Raw Score]]),IFERROR(VLOOKUP(ROUND(STANDARDIZE(tblY10[[#This Row],[4C01 - Atomic Structure
Raw Score]],AVERAGE(tblY10[[4C01 - Atomic Structure
Raw Score]]),_xlfn.STDEV.P(tblY10[[4C01 - Atomic Structure
Raw Score]])),9),_Stanine,2),5),"")</f>
        <v>2</v>
      </c>
      <c r="R32" s="66" t="n">
        <v>10</v>
      </c>
      <c r="S32" s="67">
        <f>IF(ISNUMBER(tblY10[[#This Row],[4P01 - Energy
Raw Score]]),IFERROR(VLOOKUP(ROUND(STANDARDIZE(tblY10[[#This Row],[4P01 - Energy
Raw Score]],AVERAGE(tblY10[[4P01 - Energy
Raw Score]]),_xlfn.STDEV.P(tblY10[[4P01 - Energy
Raw Score]])),9),_Stanine,2),5),"")</f>
        <v>4</v>
      </c>
      <c r="T32" s="66" t="inlineStr">
        <is>
          <t>A</t>
        </is>
      </c>
      <c r="U32" s="67" t="str">
        <f>IF(ISNUMBER(tblY10[[#This Row],[4B02 - Organisation
Raw Score]]),IFERROR(VLOOKUP(ROUND(STANDARDIZE(tblY10[[#This Row],[4B02 - Organisation
Raw Score]],AVERAGE(tblY10[[4B02 - Organisation
Raw Score]]),_xlfn.STDEV.P(tblY10[[4B02 - Organisation
Raw Score]])),9),_Stanine,2),5),"")</f>
        <v/>
      </c>
      <c r="V32" s="66" t="n"/>
      <c r="W32" s="67" t="str">
        <f>IF(ISNUMBER(tblY10[[#This Row],[4C02 - Bonding
Raw Score]]),IFERROR(VLOOKUP(ROUND(STANDARDIZE(tblY10[[#This Row],[4C02 - Bonding
Raw Score]],AVERAGE(tblY10[[4C02 - Bonding
Raw Score]]),_xlfn.STDEV.P(tblY10[[4C02 - Bonding
Raw Score]])),9),_Stanine,2),5),"")</f>
        <v/>
      </c>
    </row>
    <row r="33">
      <c r="A33" s="65" t="inlineStr">
        <is>
          <t>X906652329619</t>
        </is>
      </c>
      <c r="B33" s="65" t="inlineStr">
        <is>
          <t>Barker</t>
        </is>
      </c>
      <c r="C33" s="65" t="inlineStr">
        <is>
          <t>Poppy</t>
        </is>
      </c>
      <c r="D33" s="66" t="inlineStr">
        <is>
          <t>M</t>
        </is>
      </c>
      <c r="E33" s="66" t="inlineStr">
        <is>
          <t>N</t>
        </is>
      </c>
      <c r="F33" s="66" t="inlineStr">
        <is>
          <t>N</t>
        </is>
      </c>
      <c r="G33" s="34" t="n">
        <v>92.09999999999999</v>
      </c>
      <c r="H33" s="34" t="n">
        <v>106.5</v>
      </c>
      <c r="I33" s="67">
        <f>IF(ISNUMBER(tblY10[[#This Row],[Avg KS2]]),IFERROR(VLOOKUP(ROUND(STANDARDIZE(tblY10[[#This Row],[Avg KS2]],AVERAGE(tblY10[[Avg KS2]]),_xlfn.STDEV.P(tblY10[[Avg KS2]])),9),_Stanine,2),5),"")</f>
        <v>6</v>
      </c>
      <c r="J33" s="66" t="inlineStr">
        <is>
          <t>10S/Sc2</t>
        </is>
      </c>
      <c r="K33" s="67">
        <f>IF(tblY10[[#This Row],[Preferred Last name]]="","",COUNTIFS($N$1:$ZZ$1,"*"&amp;CHAR(10)&amp;"Stanine",$N33:$ZZ33,"&gt;=1"))</f>
        <v>4</v>
      </c>
      <c r="L33" s="68">
        <f>IFERROR(AVERAGEIF($N$1:$ZZ$1,"*"&amp;CHAR(10)&amp;"Stanine",$N33:$ZZ33),"")</f>
        <v>6</v>
      </c>
      <c r="M33" s="69">
        <f>IF(AND(ISNUMBER(tblY10[[#This Row],[Mean Stanine]]),ISNUMBER(tblY10[[#This Row],[Avg KS2 Band]]),ISNUMBER(SlopeY10)),tblY10[[#This Row],[Mean Stanine]]-(InterceptY10+SlopeY10*tblY10[[#This Row],[Avg KS2 Band]]),"")</f>
        <v>0.245865571193477</v>
      </c>
      <c r="N33" s="66" t="n">
        <v>25</v>
      </c>
      <c r="O33" s="67">
        <f>IF(ISNUMBER(tblY10[[#This Row],[4B01 - Cell Biology
Raw Score]]),IFERROR(VLOOKUP(ROUND(STANDARDIZE(tblY10[[#This Row],[4B01 - Cell Biology
Raw Score]],AVERAGE(tblY10[[4B01 - Cell Biology
Raw Score]]),_xlfn.STDEV.P(tblY10[[4B01 - Cell Biology
Raw Score]])),9),_Stanine,2),5),"")</f>
        <v>6</v>
      </c>
      <c r="P33" s="66" t="n">
        <v>22</v>
      </c>
      <c r="Q33" s="67">
        <f>IF(ISNUMBER(tblY10[[#This Row],[4C01 - Atomic Structure
Raw Score]]),IFERROR(VLOOKUP(ROUND(STANDARDIZE(tblY10[[#This Row],[4C01 - Atomic Structure
Raw Score]],AVERAGE(tblY10[[4C01 - Atomic Structure
Raw Score]]),_xlfn.STDEV.P(tblY10[[4C01 - Atomic Structure
Raw Score]])),9),_Stanine,2),5),"")</f>
        <v>6</v>
      </c>
      <c r="R33" s="66" t="n">
        <v>20</v>
      </c>
      <c r="S33" s="67">
        <f>IF(ISNUMBER(tblY10[[#This Row],[4P01 - Energy
Raw Score]]),IFERROR(VLOOKUP(ROUND(STANDARDIZE(tblY10[[#This Row],[4P01 - Energy
Raw Score]],AVERAGE(tblY10[[4P01 - Energy
Raw Score]]),_xlfn.STDEV.P(tblY10[[4P01 - Energy
Raw Score]])),9),_Stanine,2),5),"")</f>
        <v>6</v>
      </c>
      <c r="T33" s="66" t="n">
        <v>28</v>
      </c>
      <c r="U33" s="67">
        <f>IF(ISNUMBER(tblY10[[#This Row],[4B02 - Organisation
Raw Score]]),IFERROR(VLOOKUP(ROUND(STANDARDIZE(tblY10[[#This Row],[4B02 - Organisation
Raw Score]],AVERAGE(tblY10[[4B02 - Organisation
Raw Score]]),_xlfn.STDEV.P(tblY10[[4B02 - Organisation
Raw Score]])),9),_Stanine,2),5),"")</f>
        <v>6</v>
      </c>
      <c r="V33" s="66" t="n"/>
      <c r="W33" s="67" t="str">
        <f>IF(ISNUMBER(tblY10[[#This Row],[4C02 - Bonding
Raw Score]]),IFERROR(VLOOKUP(ROUND(STANDARDIZE(tblY10[[#This Row],[4C02 - Bonding
Raw Score]],AVERAGE(tblY10[[4C02 - Bonding
Raw Score]]),_xlfn.STDEV.P(tblY10[[4C02 - Bonding
Raw Score]])),9),_Stanine,2),5),"")</f>
        <v/>
      </c>
    </row>
    <row r="34">
      <c r="A34" s="65" t="inlineStr">
        <is>
          <t>X900461098892</t>
        </is>
      </c>
      <c r="B34" s="65" t="inlineStr">
        <is>
          <t>Barker</t>
        </is>
      </c>
      <c r="C34" s="65" t="inlineStr">
        <is>
          <t>Rosie</t>
        </is>
      </c>
      <c r="D34" s="66" t="inlineStr">
        <is>
          <t>F</t>
        </is>
      </c>
      <c r="E34" s="66" t="inlineStr">
        <is>
          <t>N</t>
        </is>
      </c>
      <c r="F34" s="66" t="inlineStr">
        <is>
          <t>N</t>
        </is>
      </c>
      <c r="G34" s="34" t="n">
        <v>100</v>
      </c>
      <c r="H34" s="34" t="n">
        <v>106</v>
      </c>
      <c r="I34" s="67">
        <f>IF(ISNUMBER(tblY10[[#This Row],[Avg KS2]]),IFERROR(VLOOKUP(ROUND(STANDARDIZE(tblY10[[#This Row],[Avg KS2]],AVERAGE(tblY10[[Avg KS2]]),_xlfn.STDEV.P(tblY10[[Avg KS2]])),9),_Stanine,2),5),"")</f>
        <v>6</v>
      </c>
      <c r="J34" s="66" t="inlineStr">
        <is>
          <t>10S/Sc2</t>
        </is>
      </c>
      <c r="K34" s="67">
        <f>IF(tblY10[[#This Row],[Preferred Last name]]="","",COUNTIFS($N$1:$ZZ$1,"*"&amp;CHAR(10)&amp;"Stanine",$N34:$ZZ34,"&gt;=1"))</f>
        <v>4</v>
      </c>
      <c r="L34" s="68">
        <f>IFERROR(AVERAGEIF($N$1:$ZZ$1,"*"&amp;CHAR(10)&amp;"Stanine",$N34:$ZZ34),"")</f>
        <v>6</v>
      </c>
      <c r="M34" s="69">
        <f>IF(AND(ISNUMBER(tblY10[[#This Row],[Mean Stanine]]),ISNUMBER(tblY10[[#This Row],[Avg KS2 Band]]),ISNUMBER(SlopeY10)),tblY10[[#This Row],[Mean Stanine]]-(InterceptY10+SlopeY10*tblY10[[#This Row],[Avg KS2 Band]]),"")</f>
        <v>0.245865571193477</v>
      </c>
      <c r="N34" s="66" t="n">
        <v>27</v>
      </c>
      <c r="O34" s="67">
        <f>IF(ISNUMBER(tblY10[[#This Row],[4B01 - Cell Biology
Raw Score]]),IFERROR(VLOOKUP(ROUND(STANDARDIZE(tblY10[[#This Row],[4B01 - Cell Biology
Raw Score]],AVERAGE(tblY10[[4B01 - Cell Biology
Raw Score]]),_xlfn.STDEV.P(tblY10[[4B01 - Cell Biology
Raw Score]])),9),_Stanine,2),5),"")</f>
        <v>7</v>
      </c>
      <c r="P34" s="66" t="n">
        <v>20</v>
      </c>
      <c r="Q34" s="67">
        <f>IF(ISNUMBER(tblY10[[#This Row],[4C01 - Atomic Structure
Raw Score]]),IFERROR(VLOOKUP(ROUND(STANDARDIZE(tblY10[[#This Row],[4C01 - Atomic Structure
Raw Score]],AVERAGE(tblY10[[4C01 - Atomic Structure
Raw Score]]),_xlfn.STDEV.P(tblY10[[4C01 - Atomic Structure
Raw Score]])),9),_Stanine,2),5),"")</f>
        <v>6</v>
      </c>
      <c r="R34" s="66" t="n">
        <v>17</v>
      </c>
      <c r="S34" s="67">
        <f>IF(ISNUMBER(tblY10[[#This Row],[4P01 - Energy
Raw Score]]),IFERROR(VLOOKUP(ROUND(STANDARDIZE(tblY10[[#This Row],[4P01 - Energy
Raw Score]],AVERAGE(tblY10[[4P01 - Energy
Raw Score]]),_xlfn.STDEV.P(tblY10[[4P01 - Energy
Raw Score]])),9),_Stanine,2),5),"")</f>
        <v>5</v>
      </c>
      <c r="T34" s="66" t="n">
        <v>25</v>
      </c>
      <c r="U34" s="67">
        <f>IF(ISNUMBER(tblY10[[#This Row],[4B02 - Organisation
Raw Score]]),IFERROR(VLOOKUP(ROUND(STANDARDIZE(tblY10[[#This Row],[4B02 - Organisation
Raw Score]],AVERAGE(tblY10[[4B02 - Organisation
Raw Score]]),_xlfn.STDEV.P(tblY10[[4B02 - Organisation
Raw Score]])),9),_Stanine,2),5),"")</f>
        <v>6</v>
      </c>
      <c r="V34" s="66" t="n"/>
      <c r="W34" s="67" t="str">
        <f>IF(ISNUMBER(tblY10[[#This Row],[4C02 - Bonding
Raw Score]]),IFERROR(VLOOKUP(ROUND(STANDARDIZE(tblY10[[#This Row],[4C02 - Bonding
Raw Score]],AVERAGE(tblY10[[4C02 - Bonding
Raw Score]]),_xlfn.STDEV.P(tblY10[[4C02 - Bonding
Raw Score]])),9),_Stanine,2),5),"")</f>
        <v/>
      </c>
    </row>
    <row r="35">
      <c r="A35" s="65" t="inlineStr">
        <is>
          <t>X906286172447</t>
        </is>
      </c>
      <c r="B35" s="65" t="inlineStr">
        <is>
          <t>Begum</t>
        </is>
      </c>
      <c r="C35" s="65" t="inlineStr">
        <is>
          <t>Keira</t>
        </is>
      </c>
      <c r="D35" s="66" t="inlineStr">
        <is>
          <t>F</t>
        </is>
      </c>
      <c r="E35" s="66" t="inlineStr">
        <is>
          <t>N</t>
        </is>
      </c>
      <c r="F35" s="66" t="inlineStr">
        <is>
          <t>N</t>
        </is>
      </c>
      <c r="G35" s="34" t="n">
        <v>95.59999999999999</v>
      </c>
      <c r="H35" s="34" t="n">
        <v>111</v>
      </c>
      <c r="I35" s="67">
        <f>IF(ISNUMBER(tblY10[[#This Row],[Avg KS2]]),IFERROR(VLOOKUP(ROUND(STANDARDIZE(tblY10[[#This Row],[Avg KS2]],AVERAGE(tblY10[[Avg KS2]]),_xlfn.STDEV.P(tblY10[[Avg KS2]])),9),_Stanine,2),5),"")</f>
        <v>7</v>
      </c>
      <c r="J35" s="66" t="inlineStr">
        <is>
          <t>10S/Sc2</t>
        </is>
      </c>
      <c r="K35" s="67">
        <f>IF(tblY10[[#This Row],[Preferred Last name]]="","",COUNTIFS($N$1:$ZZ$1,"*"&amp;CHAR(10)&amp;"Stanine",$N35:$ZZ35,"&gt;=1"))</f>
        <v>4</v>
      </c>
      <c r="L35" s="68">
        <f>IFERROR(AVERAGEIF($N$1:$ZZ$1,"*"&amp;CHAR(10)&amp;"Stanine",$N35:$ZZ35),"")</f>
        <v>8</v>
      </c>
      <c r="M35" s="69">
        <f>IF(AND(ISNUMBER(tblY10[[#This Row],[Mean Stanine]]),ISNUMBER(tblY10[[#This Row],[Avg KS2 Band]]),ISNUMBER(SlopeY10)),tblY10[[#This Row],[Mean Stanine]]-(InterceptY10+SlopeY10*tblY10[[#This Row],[Avg KS2 Band]]),"")</f>
        <v>1.43186328691081</v>
      </c>
      <c r="N35" s="66" t="n">
        <v>35</v>
      </c>
      <c r="O35" s="67">
        <f>IF(ISNUMBER(tblY10[[#This Row],[4B01 - Cell Biology
Raw Score]]),IFERROR(VLOOKUP(ROUND(STANDARDIZE(tblY10[[#This Row],[4B01 - Cell Biology
Raw Score]],AVERAGE(tblY10[[4B01 - Cell Biology
Raw Score]]),_xlfn.STDEV.P(tblY10[[4B01 - Cell Biology
Raw Score]])),9),_Stanine,2),5),"")</f>
        <v>8</v>
      </c>
      <c r="P35" s="66" t="n">
        <v>30</v>
      </c>
      <c r="Q35" s="67">
        <f>IF(ISNUMBER(tblY10[[#This Row],[4C01 - Atomic Structure
Raw Score]]),IFERROR(VLOOKUP(ROUND(STANDARDIZE(tblY10[[#This Row],[4C01 - Atomic Structure
Raw Score]],AVERAGE(tblY10[[4C01 - Atomic Structure
Raw Score]]),_xlfn.STDEV.P(tblY10[[4C01 - Atomic Structure
Raw Score]])),9),_Stanine,2),5),"")</f>
        <v>8</v>
      </c>
      <c r="R35" s="66" t="n">
        <v>28</v>
      </c>
      <c r="S35" s="67">
        <f>IF(ISNUMBER(tblY10[[#This Row],[4P01 - Energy
Raw Score]]),IFERROR(VLOOKUP(ROUND(STANDARDIZE(tblY10[[#This Row],[4P01 - Energy
Raw Score]],AVERAGE(tblY10[[4P01 - Energy
Raw Score]]),_xlfn.STDEV.P(tblY10[[4P01 - Energy
Raw Score]])),9),_Stanine,2),5),"")</f>
        <v>8</v>
      </c>
      <c r="T35" s="66" t="n">
        <v>35</v>
      </c>
      <c r="U35" s="67">
        <f>IF(ISNUMBER(tblY10[[#This Row],[4B02 - Organisation
Raw Score]]),IFERROR(VLOOKUP(ROUND(STANDARDIZE(tblY10[[#This Row],[4B02 - Organisation
Raw Score]],AVERAGE(tblY10[[4B02 - Organisation
Raw Score]]),_xlfn.STDEV.P(tblY10[[4B02 - Organisation
Raw Score]])),9),_Stanine,2),5),"")</f>
        <v>8</v>
      </c>
      <c r="V35" s="66" t="n"/>
      <c r="W35" s="67" t="str">
        <f>IF(ISNUMBER(tblY10[[#This Row],[4C02 - Bonding
Raw Score]]),IFERROR(VLOOKUP(ROUND(STANDARDIZE(tblY10[[#This Row],[4C02 - Bonding
Raw Score]],AVERAGE(tblY10[[4C02 - Bonding
Raw Score]]),_xlfn.STDEV.P(tblY10[[4C02 - Bonding
Raw Score]])),9),_Stanine,2),5),"")</f>
        <v/>
      </c>
    </row>
    <row r="36">
      <c r="A36" s="65" t="inlineStr">
        <is>
          <t>X901028720656</t>
        </is>
      </c>
      <c r="B36" s="65" t="inlineStr">
        <is>
          <t>Edwards</t>
        </is>
      </c>
      <c r="C36" s="65" t="inlineStr">
        <is>
          <t>Hollie</t>
        </is>
      </c>
      <c r="D36" s="66" t="inlineStr">
        <is>
          <t>M</t>
        </is>
      </c>
      <c r="E36" s="66" t="inlineStr">
        <is>
          <t>N</t>
        </is>
      </c>
      <c r="F36" s="66" t="inlineStr">
        <is>
          <t>N</t>
        </is>
      </c>
      <c r="G36" s="34" t="n">
        <v>91.90000000000001</v>
      </c>
      <c r="H36" s="34" t="n">
        <v>114</v>
      </c>
      <c r="I36" s="67">
        <f>IF(ISNUMBER(tblY10[[#This Row],[Avg KS2]]),IFERROR(VLOOKUP(ROUND(STANDARDIZE(tblY10[[#This Row],[Avg KS2]],AVERAGE(tblY10[[Avg KS2]]),_xlfn.STDEV.P(tblY10[[Avg KS2]])),9),_Stanine,2),5),"")</f>
        <v>8</v>
      </c>
      <c r="J36" s="66" t="inlineStr">
        <is>
          <t>10S/Sc2</t>
        </is>
      </c>
      <c r="K36" s="67">
        <f>IF(tblY10[[#This Row],[Preferred Last name]]="","",COUNTIFS($N$1:$ZZ$1,"*"&amp;CHAR(10)&amp;"Stanine",$N36:$ZZ36,"&gt;=1"))</f>
        <v>4</v>
      </c>
      <c r="L36" s="68">
        <f>IFERROR(AVERAGEIF($N$1:$ZZ$1,"*"&amp;CHAR(10)&amp;"Stanine",$N36:$ZZ36),"")</f>
        <v>7.75</v>
      </c>
      <c r="M36" s="69">
        <f>IF(AND(ISNUMBER(tblY10[[#This Row],[Mean Stanine]]),ISNUMBER(tblY10[[#This Row],[Avg KS2 Band]]),ISNUMBER(SlopeY10)),tblY10[[#This Row],[Mean Stanine]]-(InterceptY10+SlopeY10*tblY10[[#This Row],[Avg KS2 Band]]),"")</f>
        <v>0.367861002628151</v>
      </c>
      <c r="N36" s="66" t="n">
        <v>35</v>
      </c>
      <c r="O36" s="67">
        <f>IF(ISNUMBER(tblY10[[#This Row],[4B01 - Cell Biology
Raw Score]]),IFERROR(VLOOKUP(ROUND(STANDARDIZE(tblY10[[#This Row],[4B01 - Cell Biology
Raw Score]],AVERAGE(tblY10[[4B01 - Cell Biology
Raw Score]]),_xlfn.STDEV.P(tblY10[[4B01 - Cell Biology
Raw Score]])),9),_Stanine,2),5),"")</f>
        <v>8</v>
      </c>
      <c r="P36" s="66" t="n">
        <v>33</v>
      </c>
      <c r="Q36" s="67">
        <f>IF(ISNUMBER(tblY10[[#This Row],[4C01 - Atomic Structure
Raw Score]]),IFERROR(VLOOKUP(ROUND(STANDARDIZE(tblY10[[#This Row],[4C01 - Atomic Structure
Raw Score]],AVERAGE(tblY10[[4C01 - Atomic Structure
Raw Score]]),_xlfn.STDEV.P(tblY10[[4C01 - Atomic Structure
Raw Score]])),9),_Stanine,2),5),"")</f>
        <v>9</v>
      </c>
      <c r="R36" s="66" t="n">
        <v>25</v>
      </c>
      <c r="S36" s="67">
        <f>IF(ISNUMBER(tblY10[[#This Row],[4P01 - Energy
Raw Score]]),IFERROR(VLOOKUP(ROUND(STANDARDIZE(tblY10[[#This Row],[4P01 - Energy
Raw Score]],AVERAGE(tblY10[[4P01 - Energy
Raw Score]]),_xlfn.STDEV.P(tblY10[[4P01 - Energy
Raw Score]])),9),_Stanine,2),5),"")</f>
        <v>7</v>
      </c>
      <c r="T36" s="66" t="n">
        <v>30</v>
      </c>
      <c r="U36" s="67">
        <f>IF(ISNUMBER(tblY10[[#This Row],[4B02 - Organisation
Raw Score]]),IFERROR(VLOOKUP(ROUND(STANDARDIZE(tblY10[[#This Row],[4B02 - Organisation
Raw Score]],AVERAGE(tblY10[[4B02 - Organisation
Raw Score]]),_xlfn.STDEV.P(tblY10[[4B02 - Organisation
Raw Score]])),9),_Stanine,2),5),"")</f>
        <v>7</v>
      </c>
      <c r="V36" s="66" t="n"/>
      <c r="W36" s="67" t="str">
        <f>IF(ISNUMBER(tblY10[[#This Row],[4C02 - Bonding
Raw Score]]),IFERROR(VLOOKUP(ROUND(STANDARDIZE(tblY10[[#This Row],[4C02 - Bonding
Raw Score]],AVERAGE(tblY10[[4C02 - Bonding
Raw Score]]),_xlfn.STDEV.P(tblY10[[4C02 - Bonding
Raw Score]])),9),_Stanine,2),5),"")</f>
        <v/>
      </c>
    </row>
    <row r="37">
      <c r="A37" s="65" t="inlineStr">
        <is>
          <t>X907200643294</t>
        </is>
      </c>
      <c r="B37" s="65" t="inlineStr">
        <is>
          <t>Evans</t>
        </is>
      </c>
      <c r="C37" s="65" t="inlineStr">
        <is>
          <t>Nia</t>
        </is>
      </c>
      <c r="D37" s="66" t="inlineStr">
        <is>
          <t>F</t>
        </is>
      </c>
      <c r="E37" s="66" t="n"/>
      <c r="F37" s="66" t="inlineStr">
        <is>
          <t>Y</t>
        </is>
      </c>
      <c r="G37" s="34" t="n">
        <v>95.5</v>
      </c>
      <c r="H37" s="34" t="n">
        <v>101</v>
      </c>
      <c r="I37" s="67">
        <f>IF(ISNUMBER(tblY10[[#This Row],[Avg KS2]]),IFERROR(VLOOKUP(ROUND(STANDARDIZE(tblY10[[#This Row],[Avg KS2]],AVERAGE(tblY10[[Avg KS2]]),_xlfn.STDEV.P(tblY10[[Avg KS2]])),9),_Stanine,2),5),"")</f>
        <v>4</v>
      </c>
      <c r="J37" s="66" t="inlineStr">
        <is>
          <t>10S/Sc2</t>
        </is>
      </c>
      <c r="K37" s="67">
        <f>IF(tblY10[[#This Row],[Preferred Last name]]="","",COUNTIFS($N$1:$ZZ$1,"*"&amp;CHAR(10)&amp;"Stanine",$N37:$ZZ37,"&gt;=1"))</f>
        <v>4</v>
      </c>
      <c r="L37" s="68">
        <f>IFERROR(AVERAGEIF($N$1:$ZZ$1,"*"&amp;CHAR(10)&amp;"Stanine",$N37:$ZZ37),"")</f>
        <v>2.25</v>
      </c>
      <c r="M37" s="69">
        <f>IF(AND(ISNUMBER(tblY10[[#This Row],[Mean Stanine]]),ISNUMBER(tblY10[[#This Row],[Avg KS2 Band]]),ISNUMBER(SlopeY10)),tblY10[[#This Row],[Mean Stanine]]-(InterceptY10+SlopeY10*tblY10[[#This Row],[Avg KS2 Band]]),"")</f>
        <v>-1.8761298602412</v>
      </c>
      <c r="N37" s="66" t="n">
        <v>7</v>
      </c>
      <c r="O37" s="67">
        <f>IF(ISNUMBER(tblY10[[#This Row],[4B01 - Cell Biology
Raw Score]]),IFERROR(VLOOKUP(ROUND(STANDARDIZE(tblY10[[#This Row],[4B01 - Cell Biology
Raw Score]],AVERAGE(tblY10[[4B01 - Cell Biology
Raw Score]]),_xlfn.STDEV.P(tblY10[[4B01 - Cell Biology
Raw Score]])),9),_Stanine,2),5),"")</f>
        <v>2</v>
      </c>
      <c r="P37" s="66" t="n">
        <v>6</v>
      </c>
      <c r="Q37" s="67">
        <f>IF(ISNUMBER(tblY10[[#This Row],[4C01 - Atomic Structure
Raw Score]]),IFERROR(VLOOKUP(ROUND(STANDARDIZE(tblY10[[#This Row],[4C01 - Atomic Structure
Raw Score]],AVERAGE(tblY10[[4C01 - Atomic Structure
Raw Score]]),_xlfn.STDEV.P(tblY10[[4C01 - Atomic Structure
Raw Score]])),9),_Stanine,2),5),"")</f>
        <v>2</v>
      </c>
      <c r="R37" s="66" t="n">
        <v>4</v>
      </c>
      <c r="S37" s="67">
        <f>IF(ISNUMBER(tblY10[[#This Row],[4P01 - Energy
Raw Score]]),IFERROR(VLOOKUP(ROUND(STANDARDIZE(tblY10[[#This Row],[4P01 - Energy
Raw Score]],AVERAGE(tblY10[[4P01 - Energy
Raw Score]]),_xlfn.STDEV.P(tblY10[[4P01 - Energy
Raw Score]])),9),_Stanine,2),5),"")</f>
        <v>2</v>
      </c>
      <c r="T37" s="66" t="n">
        <v>15</v>
      </c>
      <c r="U37" s="67">
        <f>IF(ISNUMBER(tblY10[[#This Row],[4B02 - Organisation
Raw Score]]),IFERROR(VLOOKUP(ROUND(STANDARDIZE(tblY10[[#This Row],[4B02 - Organisation
Raw Score]],AVERAGE(tblY10[[4B02 - Organisation
Raw Score]]),_xlfn.STDEV.P(tblY10[[4B02 - Organisation
Raw Score]])),9),_Stanine,2),5),"")</f>
        <v>3</v>
      </c>
      <c r="V37" s="66" t="n"/>
      <c r="W37" s="67" t="str">
        <f>IF(ISNUMBER(tblY10[[#This Row],[4C02 - Bonding
Raw Score]]),IFERROR(VLOOKUP(ROUND(STANDARDIZE(tblY10[[#This Row],[4C02 - Bonding
Raw Score]],AVERAGE(tblY10[[4C02 - Bonding
Raw Score]]),_xlfn.STDEV.P(tblY10[[4C02 - Bonding
Raw Score]])),9),_Stanine,2),5),"")</f>
        <v/>
      </c>
    </row>
    <row r="38">
      <c r="A38" s="65" t="inlineStr">
        <is>
          <t>X908132485117</t>
        </is>
      </c>
      <c r="B38" s="65" t="inlineStr">
        <is>
          <t>Evans</t>
        </is>
      </c>
      <c r="C38" s="65" t="inlineStr">
        <is>
          <t>Zofia</t>
        </is>
      </c>
      <c r="D38" s="66" t="inlineStr">
        <is>
          <t>M</t>
        </is>
      </c>
      <c r="E38" s="66" t="n"/>
      <c r="F38" s="66" t="inlineStr">
        <is>
          <t>N</t>
        </is>
      </c>
      <c r="G38" s="34" t="n">
        <v>84.59999999999999</v>
      </c>
      <c r="H38" s="34" t="n">
        <v>103</v>
      </c>
      <c r="I38" s="67">
        <f>IF(ISNUMBER(tblY10[[#This Row],[Avg KS2]]),IFERROR(VLOOKUP(ROUND(STANDARDIZE(tblY10[[#This Row],[Avg KS2]],AVERAGE(tblY10[[Avg KS2]]),_xlfn.STDEV.P(tblY10[[Avg KS2]])),9),_Stanine,2),5),"")</f>
        <v>5</v>
      </c>
      <c r="J38" s="66" t="inlineStr">
        <is>
          <t>10S/Sc2</t>
        </is>
      </c>
      <c r="K38" s="67">
        <f>IF(tblY10[[#This Row],[Preferred Last name]]="","",COUNTIFS($N$1:$ZZ$1,"*"&amp;CHAR(10)&amp;"Stanine",$N38:$ZZ38,"&gt;=1"))</f>
        <v>4</v>
      </c>
      <c r="L38" s="68">
        <f>IFERROR(AVERAGEIF($N$1:$ZZ$1,"*"&amp;CHAR(10)&amp;"Stanine",$N38:$ZZ38),"")</f>
        <v>5</v>
      </c>
      <c r="M38" s="69">
        <f>IF(AND(ISNUMBER(tblY10[[#This Row],[Mean Stanine]]),ISNUMBER(tblY10[[#This Row],[Avg KS2 Band]]),ISNUMBER(SlopeY10)),tblY10[[#This Row],[Mean Stanine]]-(InterceptY10+SlopeY10*tblY10[[#This Row],[Avg KS2 Band]]),"")</f>
        <v>0.0598678554761385</v>
      </c>
      <c r="N38" s="66" t="n">
        <v>26</v>
      </c>
      <c r="O38" s="67">
        <f>IF(ISNUMBER(tblY10[[#This Row],[4B01 - Cell Biology
Raw Score]]),IFERROR(VLOOKUP(ROUND(STANDARDIZE(tblY10[[#This Row],[4B01 - Cell Biology
Raw Score]],AVERAGE(tblY10[[4B01 - Cell Biology
Raw Score]]),_xlfn.STDEV.P(tblY10[[4B01 - Cell Biology
Raw Score]])),9),_Stanine,2),5),"")</f>
        <v>6</v>
      </c>
      <c r="P38" s="66" t="n">
        <v>19</v>
      </c>
      <c r="Q38" s="67">
        <f>IF(ISNUMBER(tblY10[[#This Row],[4C01 - Atomic Structure
Raw Score]]),IFERROR(VLOOKUP(ROUND(STANDARDIZE(tblY10[[#This Row],[4C01 - Atomic Structure
Raw Score]],AVERAGE(tblY10[[4C01 - Atomic Structure
Raw Score]]),_xlfn.STDEV.P(tblY10[[4C01 - Atomic Structure
Raw Score]])),9),_Stanine,2),5),"")</f>
        <v>5</v>
      </c>
      <c r="R38" s="66" t="n">
        <v>17</v>
      </c>
      <c r="S38" s="67">
        <f>IF(ISNUMBER(tblY10[[#This Row],[4P01 - Energy
Raw Score]]),IFERROR(VLOOKUP(ROUND(STANDARDIZE(tblY10[[#This Row],[4P01 - Energy
Raw Score]],AVERAGE(tblY10[[4P01 - Energy
Raw Score]]),_xlfn.STDEV.P(tblY10[[4P01 - Energy
Raw Score]])),9),_Stanine,2),5),"")</f>
        <v>5</v>
      </c>
      <c r="T38" s="66" t="n">
        <v>20</v>
      </c>
      <c r="U38" s="67">
        <f>IF(ISNUMBER(tblY10[[#This Row],[4B02 - Organisation
Raw Score]]),IFERROR(VLOOKUP(ROUND(STANDARDIZE(tblY10[[#This Row],[4B02 - Organisation
Raw Score]],AVERAGE(tblY10[[4B02 - Organisation
Raw Score]]),_xlfn.STDEV.P(tblY10[[4B02 - Organisation
Raw Score]])),9),_Stanine,2),5),"")</f>
        <v>4</v>
      </c>
      <c r="V38" s="66" t="n"/>
      <c r="W38" s="67" t="str">
        <f>IF(ISNUMBER(tblY10[[#This Row],[4C02 - Bonding
Raw Score]]),IFERROR(VLOOKUP(ROUND(STANDARDIZE(tblY10[[#This Row],[4C02 - Bonding
Raw Score]],AVERAGE(tblY10[[4C02 - Bonding
Raw Score]]),_xlfn.STDEV.P(tblY10[[4C02 - Bonding
Raw Score]])),9),_Stanine,2),5),"")</f>
        <v/>
      </c>
    </row>
    <row r="39">
      <c r="A39" s="65" t="inlineStr">
        <is>
          <t>X909104045799</t>
        </is>
      </c>
      <c r="B39" s="65" t="inlineStr">
        <is>
          <t>Griffiths</t>
        </is>
      </c>
      <c r="C39" s="65" t="inlineStr">
        <is>
          <t>Sami</t>
        </is>
      </c>
      <c r="D39" s="66" t="inlineStr">
        <is>
          <t>F</t>
        </is>
      </c>
      <c r="E39" s="66" t="n"/>
      <c r="F39" s="66" t="inlineStr">
        <is>
          <t>N</t>
        </is>
      </c>
      <c r="G39" s="34" t="n">
        <v>93.59999999999999</v>
      </c>
      <c r="H39" s="34" t="n">
        <v>103</v>
      </c>
      <c r="I39" s="67">
        <f>IF(ISNUMBER(tblY10[[#This Row],[Avg KS2]]),IFERROR(VLOOKUP(ROUND(STANDARDIZE(tblY10[[#This Row],[Avg KS2]],AVERAGE(tblY10[[Avg KS2]]),_xlfn.STDEV.P(tblY10[[Avg KS2]])),9),_Stanine,2),5),"")</f>
        <v>5</v>
      </c>
      <c r="J39" s="66" t="inlineStr">
        <is>
          <t>10S/Sc2</t>
        </is>
      </c>
      <c r="K39" s="67">
        <f>IF(tblY10[[#This Row],[Preferred Last name]]="","",COUNTIFS($N$1:$ZZ$1,"*"&amp;CHAR(10)&amp;"Stanine",$N39:$ZZ39,"&gt;=1"))</f>
        <v>3</v>
      </c>
      <c r="L39" s="68">
        <f>IFERROR(AVERAGEIF($N$1:$ZZ$1,"*"&amp;CHAR(10)&amp;"Stanine",$N39:$ZZ39),"")</f>
        <v>5.66666666666667</v>
      </c>
      <c r="M39" s="69">
        <f>IF(AND(ISNUMBER(tblY10[[#This Row],[Mean Stanine]]),ISNUMBER(tblY10[[#This Row],[Avg KS2 Band]]),ISNUMBER(SlopeY10)),tblY10[[#This Row],[Mean Stanine]]-(InterceptY10+SlopeY10*tblY10[[#This Row],[Avg KS2 Band]]),"")</f>
        <v>0.726534522142806</v>
      </c>
      <c r="N39" s="66" t="n">
        <v>26</v>
      </c>
      <c r="O39" s="67">
        <f>IF(ISNUMBER(tblY10[[#This Row],[4B01 - Cell Biology
Raw Score]]),IFERROR(VLOOKUP(ROUND(STANDARDIZE(tblY10[[#This Row],[4B01 - Cell Biology
Raw Score]],AVERAGE(tblY10[[4B01 - Cell Biology
Raw Score]]),_xlfn.STDEV.P(tblY10[[4B01 - Cell Biology
Raw Score]])),9),_Stanine,2),5),"")</f>
        <v>6</v>
      </c>
      <c r="P39" s="66" t="inlineStr">
        <is>
          <t>A</t>
        </is>
      </c>
      <c r="Q39" s="67" t="str">
        <f>IF(ISNUMBER(tblY10[[#This Row],[4C01 - Atomic Structure
Raw Score]]),IFERROR(VLOOKUP(ROUND(STANDARDIZE(tblY10[[#This Row],[4C01 - Atomic Structure
Raw Score]],AVERAGE(tblY10[[4C01 - Atomic Structure
Raw Score]]),_xlfn.STDEV.P(tblY10[[4C01 - Atomic Structure
Raw Score]])),9),_Stanine,2),5),"")</f>
        <v/>
      </c>
      <c r="R39" s="66" t="n">
        <v>16</v>
      </c>
      <c r="S39" s="67">
        <f>IF(ISNUMBER(tblY10[[#This Row],[4P01 - Energy
Raw Score]]),IFERROR(VLOOKUP(ROUND(STANDARDIZE(tblY10[[#This Row],[4P01 - Energy
Raw Score]],AVERAGE(tblY10[[4P01 - Energy
Raw Score]]),_xlfn.STDEV.P(tblY10[[4P01 - Energy
Raw Score]])),9),_Stanine,2),5),"")</f>
        <v>5</v>
      </c>
      <c r="T39" s="66" t="n">
        <v>26</v>
      </c>
      <c r="U39" s="67">
        <f>IF(ISNUMBER(tblY10[[#This Row],[4B02 - Organisation
Raw Score]]),IFERROR(VLOOKUP(ROUND(STANDARDIZE(tblY10[[#This Row],[4B02 - Organisation
Raw Score]],AVERAGE(tblY10[[4B02 - Organisation
Raw Score]]),_xlfn.STDEV.P(tblY10[[4B02 - Organisation
Raw Score]])),9),_Stanine,2),5),"")</f>
        <v>6</v>
      </c>
      <c r="V39" s="66" t="n"/>
      <c r="W39" s="67" t="str">
        <f>IF(ISNUMBER(tblY10[[#This Row],[4C02 - Bonding
Raw Score]]),IFERROR(VLOOKUP(ROUND(STANDARDIZE(tblY10[[#This Row],[4C02 - Bonding
Raw Score]],AVERAGE(tblY10[[4C02 - Bonding
Raw Score]]),_xlfn.STDEV.P(tblY10[[4C02 - Bonding
Raw Score]])),9),_Stanine,2),5),"")</f>
        <v/>
      </c>
    </row>
    <row r="40">
      <c r="A40" s="65" t="inlineStr">
        <is>
          <t>X904995620440</t>
        </is>
      </c>
      <c r="B40" s="65" t="inlineStr">
        <is>
          <t>Hussain</t>
        </is>
      </c>
      <c r="C40" s="65" t="inlineStr">
        <is>
          <t>Chidi</t>
        </is>
      </c>
      <c r="D40" s="66" t="inlineStr">
        <is>
          <t>F</t>
        </is>
      </c>
      <c r="E40" s="66" t="inlineStr">
        <is>
          <t>N</t>
        </is>
      </c>
      <c r="F40" s="66" t="inlineStr">
        <is>
          <t>N</t>
        </is>
      </c>
      <c r="G40" s="34" t="n">
        <v>100</v>
      </c>
      <c r="H40" s="34" t="n">
        <v>102.5</v>
      </c>
      <c r="I40" s="67">
        <f>IF(ISNUMBER(tblY10[[#This Row],[Avg KS2]]),IFERROR(VLOOKUP(ROUND(STANDARDIZE(tblY10[[#This Row],[Avg KS2]],AVERAGE(tblY10[[Avg KS2]]),_xlfn.STDEV.P(tblY10[[Avg KS2]])),9),_Stanine,2),5),"")</f>
        <v>5</v>
      </c>
      <c r="J40" s="66" t="inlineStr">
        <is>
          <t>10S/Sc2</t>
        </is>
      </c>
      <c r="K40" s="67">
        <f>IF(tblY10[[#This Row],[Preferred Last name]]="","",COUNTIFS($N$1:$ZZ$1,"*"&amp;CHAR(10)&amp;"Stanine",$N40:$ZZ40,"&gt;=1"))</f>
        <v>4</v>
      </c>
      <c r="L40" s="68">
        <f>IFERROR(AVERAGEIF($N$1:$ZZ$1,"*"&amp;CHAR(10)&amp;"Stanine",$N40:$ZZ40),"")</f>
        <v>4.5</v>
      </c>
      <c r="M40" s="69">
        <f>IF(AND(ISNUMBER(tblY10[[#This Row],[Mean Stanine]]),ISNUMBER(tblY10[[#This Row],[Avg KS2 Band]]),ISNUMBER(SlopeY10)),tblY10[[#This Row],[Mean Stanine]]-(InterceptY10+SlopeY10*tblY10[[#This Row],[Avg KS2 Band]]),"")</f>
        <v>-0.440132144523862</v>
      </c>
      <c r="N40" s="66" t="n">
        <v>13</v>
      </c>
      <c r="O40" s="67">
        <f>IF(ISNUMBER(tblY10[[#This Row],[4B01 - Cell Biology
Raw Score]]),IFERROR(VLOOKUP(ROUND(STANDARDIZE(tblY10[[#This Row],[4B01 - Cell Biology
Raw Score]],AVERAGE(tblY10[[4B01 - Cell Biology
Raw Score]]),_xlfn.STDEV.P(tblY10[[4B01 - Cell Biology
Raw Score]])),9),_Stanine,2),5),"")</f>
        <v>4</v>
      </c>
      <c r="P40" s="66" t="n">
        <v>15</v>
      </c>
      <c r="Q40" s="67">
        <f>IF(ISNUMBER(tblY10[[#This Row],[4C01 - Atomic Structure
Raw Score]]),IFERROR(VLOOKUP(ROUND(STANDARDIZE(tblY10[[#This Row],[4C01 - Atomic Structure
Raw Score]],AVERAGE(tblY10[[4C01 - Atomic Structure
Raw Score]]),_xlfn.STDEV.P(tblY10[[4C01 - Atomic Structure
Raw Score]])),9),_Stanine,2),5),"")</f>
        <v>4</v>
      </c>
      <c r="R40" s="66" t="n">
        <v>11</v>
      </c>
      <c r="S40" s="67">
        <f>IF(ISNUMBER(tblY10[[#This Row],[4P01 - Energy
Raw Score]]),IFERROR(VLOOKUP(ROUND(STANDARDIZE(tblY10[[#This Row],[4P01 - Energy
Raw Score]],AVERAGE(tblY10[[4P01 - Energy
Raw Score]]),_xlfn.STDEV.P(tblY10[[4P01 - Energy
Raw Score]])),9),_Stanine,2),5),"")</f>
        <v>4</v>
      </c>
      <c r="T40" s="66" t="n">
        <v>25</v>
      </c>
      <c r="U40" s="67">
        <f>IF(ISNUMBER(tblY10[[#This Row],[4B02 - Organisation
Raw Score]]),IFERROR(VLOOKUP(ROUND(STANDARDIZE(tblY10[[#This Row],[4B02 - Organisation
Raw Score]],AVERAGE(tblY10[[4B02 - Organisation
Raw Score]]),_xlfn.STDEV.P(tblY10[[4B02 - Organisation
Raw Score]])),9),_Stanine,2),5),"")</f>
        <v>6</v>
      </c>
      <c r="V40" s="66" t="n"/>
      <c r="W40" s="67" t="str">
        <f>IF(ISNUMBER(tblY10[[#This Row],[4C02 - Bonding
Raw Score]]),IFERROR(VLOOKUP(ROUND(STANDARDIZE(tblY10[[#This Row],[4C02 - Bonding
Raw Score]],AVERAGE(tblY10[[4C02 - Bonding
Raw Score]]),_xlfn.STDEV.P(tblY10[[4C02 - Bonding
Raw Score]])),9),_Stanine,2),5),"")</f>
        <v/>
      </c>
    </row>
    <row r="41">
      <c r="A41" s="65" t="inlineStr">
        <is>
          <t>X903399439321</t>
        </is>
      </c>
      <c r="B41" s="65" t="inlineStr">
        <is>
          <t>Jackson</t>
        </is>
      </c>
      <c r="C41" s="65" t="inlineStr">
        <is>
          <t>Chidi</t>
        </is>
      </c>
      <c r="D41" s="66" t="inlineStr">
        <is>
          <t>M</t>
        </is>
      </c>
      <c r="E41" s="66" t="n"/>
      <c r="F41" s="66" t="inlineStr">
        <is>
          <t>Y</t>
        </is>
      </c>
      <c r="G41" s="34" t="n">
        <v>88.5</v>
      </c>
      <c r="H41" s="34" t="n">
        <v>101</v>
      </c>
      <c r="I41" s="67">
        <f>IF(ISNUMBER(tblY10[[#This Row],[Avg KS2]]),IFERROR(VLOOKUP(ROUND(STANDARDIZE(tblY10[[#This Row],[Avg KS2]],AVERAGE(tblY10[[Avg KS2]]),_xlfn.STDEV.P(tblY10[[Avg KS2]])),9),_Stanine,2),5),"")</f>
        <v>4</v>
      </c>
      <c r="J41" s="66" t="inlineStr">
        <is>
          <t>10S/Sc2</t>
        </is>
      </c>
      <c r="K41" s="67">
        <f>IF(tblY10[[#This Row],[Preferred Last name]]="","",COUNTIFS($N$1:$ZZ$1,"*"&amp;CHAR(10)&amp;"Stanine",$N41:$ZZ41,"&gt;=1"))</f>
        <v>3</v>
      </c>
      <c r="L41" s="68">
        <f>IFERROR(AVERAGEIF($N$1:$ZZ$1,"*"&amp;CHAR(10)&amp;"Stanine",$N41:$ZZ41),"")</f>
        <v>3.66666666666667</v>
      </c>
      <c r="M41" s="69">
        <f>IF(AND(ISNUMBER(tblY10[[#This Row],[Mean Stanine]]),ISNUMBER(tblY10[[#This Row],[Avg KS2 Band]]),ISNUMBER(SlopeY10)),tblY10[[#This Row],[Mean Stanine]]-(InterceptY10+SlopeY10*tblY10[[#This Row],[Avg KS2 Band]]),"")</f>
        <v>-0.459463193574532</v>
      </c>
      <c r="N41" s="66" t="n">
        <v>15</v>
      </c>
      <c r="O41" s="67">
        <f>IF(ISNUMBER(tblY10[[#This Row],[4B01 - Cell Biology
Raw Score]]),IFERROR(VLOOKUP(ROUND(STANDARDIZE(tblY10[[#This Row],[4B01 - Cell Biology
Raw Score]],AVERAGE(tblY10[[4B01 - Cell Biology
Raw Score]]),_xlfn.STDEV.P(tblY10[[4B01 - Cell Biology
Raw Score]])),9),_Stanine,2),5),"")</f>
        <v>4</v>
      </c>
      <c r="P41" s="66" t="inlineStr">
        <is>
          <t>A</t>
        </is>
      </c>
      <c r="Q41" s="67" t="str">
        <f>IF(ISNUMBER(tblY10[[#This Row],[4C01 - Atomic Structure
Raw Score]]),IFERROR(VLOOKUP(ROUND(STANDARDIZE(tblY10[[#This Row],[4C01 - Atomic Structure
Raw Score]],AVERAGE(tblY10[[4C01 - Atomic Structure
Raw Score]]),_xlfn.STDEV.P(tblY10[[4C01 - Atomic Structure
Raw Score]])),9),_Stanine,2),5),"")</f>
        <v/>
      </c>
      <c r="R41" s="66" t="n">
        <v>11</v>
      </c>
      <c r="S41" s="67">
        <f>IF(ISNUMBER(tblY10[[#This Row],[4P01 - Energy
Raw Score]]),IFERROR(VLOOKUP(ROUND(STANDARDIZE(tblY10[[#This Row],[4P01 - Energy
Raw Score]],AVERAGE(tblY10[[4P01 - Energy
Raw Score]]),_xlfn.STDEV.P(tblY10[[4P01 - Energy
Raw Score]])),9),_Stanine,2),5),"")</f>
        <v>4</v>
      </c>
      <c r="T41" s="66" t="n">
        <v>15</v>
      </c>
      <c r="U41" s="67">
        <f>IF(ISNUMBER(tblY10[[#This Row],[4B02 - Organisation
Raw Score]]),IFERROR(VLOOKUP(ROUND(STANDARDIZE(tblY10[[#This Row],[4B02 - Organisation
Raw Score]],AVERAGE(tblY10[[4B02 - Organisation
Raw Score]]),_xlfn.STDEV.P(tblY10[[4B02 - Organisation
Raw Score]])),9),_Stanine,2),5),"")</f>
        <v>3</v>
      </c>
      <c r="V41" s="66" t="n"/>
      <c r="W41" s="67" t="str">
        <f>IF(ISNUMBER(tblY10[[#This Row],[4C02 - Bonding
Raw Score]]),IFERROR(VLOOKUP(ROUND(STANDARDIZE(tblY10[[#This Row],[4C02 - Bonding
Raw Score]],AVERAGE(tblY10[[4C02 - Bonding
Raw Score]]),_xlfn.STDEV.P(tblY10[[4C02 - Bonding
Raw Score]])),9),_Stanine,2),5),"")</f>
        <v/>
      </c>
    </row>
    <row r="42">
      <c r="A42" s="65" t="inlineStr">
        <is>
          <t>X901040675110</t>
        </is>
      </c>
      <c r="B42" s="65" t="inlineStr">
        <is>
          <t>Jackson</t>
        </is>
      </c>
      <c r="C42" s="65" t="inlineStr">
        <is>
          <t>Jacob</t>
        </is>
      </c>
      <c r="D42" s="66" t="inlineStr">
        <is>
          <t>F</t>
        </is>
      </c>
      <c r="E42" s="66" t="n"/>
      <c r="F42" s="66" t="inlineStr">
        <is>
          <t>Y</t>
        </is>
      </c>
      <c r="G42" s="34" t="n">
        <v>87.40000000000001</v>
      </c>
      <c r="H42" s="34" t="n">
        <v>103</v>
      </c>
      <c r="I42" s="67">
        <f>IF(ISNUMBER(tblY10[[#This Row],[Avg KS2]]),IFERROR(VLOOKUP(ROUND(STANDARDIZE(tblY10[[#This Row],[Avg KS2]],AVERAGE(tblY10[[Avg KS2]]),_xlfn.STDEV.P(tblY10[[Avg KS2]])),9),_Stanine,2),5),"")</f>
        <v>5</v>
      </c>
      <c r="J42" s="66" t="inlineStr">
        <is>
          <t>10S/Sc2</t>
        </is>
      </c>
      <c r="K42" s="67">
        <f>IF(tblY10[[#This Row],[Preferred Last name]]="","",COUNTIFS($N$1:$ZZ$1,"*"&amp;CHAR(10)&amp;"Stanine",$N42:$ZZ42,"&gt;=1"))</f>
        <v>3</v>
      </c>
      <c r="L42" s="68">
        <f>IFERROR(AVERAGEIF($N$1:$ZZ$1,"*"&amp;CHAR(10)&amp;"Stanine",$N42:$ZZ42),"")</f>
        <v>7</v>
      </c>
      <c r="M42" s="69">
        <f>IF(AND(ISNUMBER(tblY10[[#This Row],[Mean Stanine]]),ISNUMBER(tblY10[[#This Row],[Avg KS2 Band]]),ISNUMBER(SlopeY10)),tblY10[[#This Row],[Mean Stanine]]-(InterceptY10+SlopeY10*tblY10[[#This Row],[Avg KS2 Band]]),"")</f>
        <v>2.05986785547614</v>
      </c>
      <c r="N42" s="66" t="n">
        <v>26</v>
      </c>
      <c r="O42" s="67">
        <f>IF(ISNUMBER(tblY10[[#This Row],[4B01 - Cell Biology
Raw Score]]),IFERROR(VLOOKUP(ROUND(STANDARDIZE(tblY10[[#This Row],[4B01 - Cell Biology
Raw Score]],AVERAGE(tblY10[[4B01 - Cell Biology
Raw Score]]),_xlfn.STDEV.P(tblY10[[4B01 - Cell Biology
Raw Score]])),9),_Stanine,2),5),"")</f>
        <v>6</v>
      </c>
      <c r="P42" s="66" t="n">
        <v>29</v>
      </c>
      <c r="Q42" s="67">
        <f>IF(ISNUMBER(tblY10[[#This Row],[4C01 - Atomic Structure
Raw Score]]),IFERROR(VLOOKUP(ROUND(STANDARDIZE(tblY10[[#This Row],[4C01 - Atomic Structure
Raw Score]],AVERAGE(tblY10[[4C01 - Atomic Structure
Raw Score]]),_xlfn.STDEV.P(tblY10[[4C01 - Atomic Structure
Raw Score]])),9),_Stanine,2),5),"")</f>
        <v>8</v>
      </c>
      <c r="R42" s="66" t="n">
        <v>24</v>
      </c>
      <c r="S42" s="67">
        <f>IF(ISNUMBER(tblY10[[#This Row],[4P01 - Energy
Raw Score]]),IFERROR(VLOOKUP(ROUND(STANDARDIZE(tblY10[[#This Row],[4P01 - Energy
Raw Score]],AVERAGE(tblY10[[4P01 - Energy
Raw Score]]),_xlfn.STDEV.P(tblY10[[4P01 - Energy
Raw Score]])),9),_Stanine,2),5),"")</f>
        <v>7</v>
      </c>
      <c r="T42" s="66" t="inlineStr">
        <is>
          <t>A</t>
        </is>
      </c>
      <c r="U42" s="67" t="str">
        <f>IF(ISNUMBER(tblY10[[#This Row],[4B02 - Organisation
Raw Score]]),IFERROR(VLOOKUP(ROUND(STANDARDIZE(tblY10[[#This Row],[4B02 - Organisation
Raw Score]],AVERAGE(tblY10[[4B02 - Organisation
Raw Score]]),_xlfn.STDEV.P(tblY10[[4B02 - Organisation
Raw Score]])),9),_Stanine,2),5),"")</f>
        <v/>
      </c>
      <c r="V42" s="66" t="n"/>
      <c r="W42" s="67" t="str">
        <f>IF(ISNUMBER(tblY10[[#This Row],[4C02 - Bonding
Raw Score]]),IFERROR(VLOOKUP(ROUND(STANDARDIZE(tblY10[[#This Row],[4C02 - Bonding
Raw Score]],AVERAGE(tblY10[[4C02 - Bonding
Raw Score]]),_xlfn.STDEV.P(tblY10[[4C02 - Bonding
Raw Score]])),9),_Stanine,2),5),"")</f>
        <v/>
      </c>
    </row>
    <row r="43">
      <c r="A43" s="65" t="inlineStr">
        <is>
          <t>X909754164429</t>
        </is>
      </c>
      <c r="B43" s="65" t="inlineStr">
        <is>
          <t>Jones</t>
        </is>
      </c>
      <c r="C43" s="65" t="inlineStr">
        <is>
          <t>Hollie</t>
        </is>
      </c>
      <c r="D43" s="66" t="inlineStr">
        <is>
          <t>F</t>
        </is>
      </c>
      <c r="E43" s="66" t="inlineStr">
        <is>
          <t>N</t>
        </is>
      </c>
      <c r="F43" s="66" t="inlineStr">
        <is>
          <t>N</t>
        </is>
      </c>
      <c r="G43" s="34" t="n">
        <v>100</v>
      </c>
      <c r="H43" s="34" t="n">
        <v>109.5</v>
      </c>
      <c r="I43" s="67">
        <f>IF(ISNUMBER(tblY10[[#This Row],[Avg KS2]]),IFERROR(VLOOKUP(ROUND(STANDARDIZE(tblY10[[#This Row],[Avg KS2]],AVERAGE(tblY10[[Avg KS2]]),_xlfn.STDEV.P(tblY10[[Avg KS2]])),9),_Stanine,2),5),"")</f>
        <v>7</v>
      </c>
      <c r="J43" s="66" t="inlineStr">
        <is>
          <t>10S/Sc2</t>
        </is>
      </c>
      <c r="K43" s="67">
        <f>IF(tblY10[[#This Row],[Preferred Last name]]="","",COUNTIFS($N$1:$ZZ$1,"*"&amp;CHAR(10)&amp;"Stanine",$N43:$ZZ43,"&gt;=1"))</f>
        <v>4</v>
      </c>
      <c r="L43" s="68">
        <f>IFERROR(AVERAGEIF($N$1:$ZZ$1,"*"&amp;CHAR(10)&amp;"Stanine",$N43:$ZZ43),"")</f>
        <v>8</v>
      </c>
      <c r="M43" s="69">
        <f>IF(AND(ISNUMBER(tblY10[[#This Row],[Mean Stanine]]),ISNUMBER(tblY10[[#This Row],[Avg KS2 Band]]),ISNUMBER(SlopeY10)),tblY10[[#This Row],[Mean Stanine]]-(InterceptY10+SlopeY10*tblY10[[#This Row],[Avg KS2 Band]]),"")</f>
        <v>1.43186328691081</v>
      </c>
      <c r="N43" s="66" t="n">
        <v>34</v>
      </c>
      <c r="O43" s="67">
        <f>IF(ISNUMBER(tblY10[[#This Row],[4B01 - Cell Biology
Raw Score]]),IFERROR(VLOOKUP(ROUND(STANDARDIZE(tblY10[[#This Row],[4B01 - Cell Biology
Raw Score]],AVERAGE(tblY10[[4B01 - Cell Biology
Raw Score]]),_xlfn.STDEV.P(tblY10[[4B01 - Cell Biology
Raw Score]])),9),_Stanine,2),5),"")</f>
        <v>8</v>
      </c>
      <c r="P43" s="66" t="n">
        <v>32</v>
      </c>
      <c r="Q43" s="67">
        <f>IF(ISNUMBER(tblY10[[#This Row],[4C01 - Atomic Structure
Raw Score]]),IFERROR(VLOOKUP(ROUND(STANDARDIZE(tblY10[[#This Row],[4C01 - Atomic Structure
Raw Score]],AVERAGE(tblY10[[4C01 - Atomic Structure
Raw Score]]),_xlfn.STDEV.P(tblY10[[4C01 - Atomic Structure
Raw Score]])),9),_Stanine,2),5),"")</f>
        <v>8</v>
      </c>
      <c r="R43" s="66" t="n">
        <v>27</v>
      </c>
      <c r="S43" s="67">
        <f>IF(ISNUMBER(tblY10[[#This Row],[4P01 - Energy
Raw Score]]),IFERROR(VLOOKUP(ROUND(STANDARDIZE(tblY10[[#This Row],[4P01 - Energy
Raw Score]],AVERAGE(tblY10[[4P01 - Energy
Raw Score]]),_xlfn.STDEV.P(tblY10[[4P01 - Energy
Raw Score]])),9),_Stanine,2),5),"")</f>
        <v>8</v>
      </c>
      <c r="T43" s="66" t="n">
        <v>36</v>
      </c>
      <c r="U43" s="67">
        <f>IF(ISNUMBER(tblY10[[#This Row],[4B02 - Organisation
Raw Score]]),IFERROR(VLOOKUP(ROUND(STANDARDIZE(tblY10[[#This Row],[4B02 - Organisation
Raw Score]],AVERAGE(tblY10[[4B02 - Organisation
Raw Score]]),_xlfn.STDEV.P(tblY10[[4B02 - Organisation
Raw Score]])),9),_Stanine,2),5),"")</f>
        <v>8</v>
      </c>
      <c r="V43" s="66" t="n"/>
      <c r="W43" s="67" t="str">
        <f>IF(ISNUMBER(tblY10[[#This Row],[4C02 - Bonding
Raw Score]]),IFERROR(VLOOKUP(ROUND(STANDARDIZE(tblY10[[#This Row],[4C02 - Bonding
Raw Score]],AVERAGE(tblY10[[4C02 - Bonding
Raw Score]]),_xlfn.STDEV.P(tblY10[[4C02 - Bonding
Raw Score]])),9),_Stanine,2),5),"")</f>
        <v/>
      </c>
    </row>
    <row r="44">
      <c r="A44" s="65" t="inlineStr">
        <is>
          <t>X905472082554</t>
        </is>
      </c>
      <c r="B44" s="65" t="inlineStr">
        <is>
          <t>Kelly</t>
        </is>
      </c>
      <c r="C44" s="65" t="inlineStr">
        <is>
          <t>Freya</t>
        </is>
      </c>
      <c r="D44" s="66" t="inlineStr">
        <is>
          <t>F</t>
        </is>
      </c>
      <c r="E44" s="66" t="inlineStr">
        <is>
          <t>N</t>
        </is>
      </c>
      <c r="F44" s="66" t="inlineStr">
        <is>
          <t>N</t>
        </is>
      </c>
      <c r="G44" s="34" t="n">
        <v>89.7</v>
      </c>
      <c r="H44" s="34" t="n">
        <v>111</v>
      </c>
      <c r="I44" s="67">
        <f>IF(ISNUMBER(tblY10[[#This Row],[Avg KS2]]),IFERROR(VLOOKUP(ROUND(STANDARDIZE(tblY10[[#This Row],[Avg KS2]],AVERAGE(tblY10[[Avg KS2]]),_xlfn.STDEV.P(tblY10[[Avg KS2]])),9),_Stanine,2),5),"")</f>
        <v>7</v>
      </c>
      <c r="J44" s="66" t="inlineStr">
        <is>
          <t>10S/Sc2</t>
        </is>
      </c>
      <c r="K44" s="67">
        <f>IF(tblY10[[#This Row],[Preferred Last name]]="","",COUNTIFS($N$1:$ZZ$1,"*"&amp;CHAR(10)&amp;"Stanine",$N44:$ZZ44,"&gt;=1"))</f>
        <v>4</v>
      </c>
      <c r="L44" s="68">
        <f>IFERROR(AVERAGEIF($N$1:$ZZ$1,"*"&amp;CHAR(10)&amp;"Stanine",$N44:$ZZ44),"")</f>
        <v>6.75</v>
      </c>
      <c r="M44" s="69">
        <f>IF(AND(ISNUMBER(tblY10[[#This Row],[Mean Stanine]]),ISNUMBER(tblY10[[#This Row],[Avg KS2 Band]]),ISNUMBER(SlopeY10)),tblY10[[#This Row],[Mean Stanine]]-(InterceptY10+SlopeY10*tblY10[[#This Row],[Avg KS2 Band]]),"")</f>
        <v>0.181863286910814</v>
      </c>
      <c r="N44" s="66" t="n">
        <v>27</v>
      </c>
      <c r="O44" s="67">
        <f>IF(ISNUMBER(tblY10[[#This Row],[4B01 - Cell Biology
Raw Score]]),IFERROR(VLOOKUP(ROUND(STANDARDIZE(tblY10[[#This Row],[4B01 - Cell Biology
Raw Score]],AVERAGE(tblY10[[4B01 - Cell Biology
Raw Score]]),_xlfn.STDEV.P(tblY10[[4B01 - Cell Biology
Raw Score]])),9),_Stanine,2),5),"")</f>
        <v>7</v>
      </c>
      <c r="P44" s="66" t="n">
        <v>26</v>
      </c>
      <c r="Q44" s="67">
        <f>IF(ISNUMBER(tblY10[[#This Row],[4C01 - Atomic Structure
Raw Score]]),IFERROR(VLOOKUP(ROUND(STANDARDIZE(tblY10[[#This Row],[4C01 - Atomic Structure
Raw Score]],AVERAGE(tblY10[[4C01 - Atomic Structure
Raw Score]]),_xlfn.STDEV.P(tblY10[[4C01 - Atomic Structure
Raw Score]])),9),_Stanine,2),5),"")</f>
        <v>7</v>
      </c>
      <c r="R44" s="66" t="n">
        <v>21</v>
      </c>
      <c r="S44" s="67">
        <f>IF(ISNUMBER(tblY10[[#This Row],[4P01 - Energy
Raw Score]]),IFERROR(VLOOKUP(ROUND(STANDARDIZE(tblY10[[#This Row],[4P01 - Energy
Raw Score]],AVERAGE(tblY10[[4P01 - Energy
Raw Score]]),_xlfn.STDEV.P(tblY10[[4P01 - Energy
Raw Score]])),9),_Stanine,2),5),"")</f>
        <v>6</v>
      </c>
      <c r="T44" s="66" t="n">
        <v>29</v>
      </c>
      <c r="U44" s="67">
        <f>IF(ISNUMBER(tblY10[[#This Row],[4B02 - Organisation
Raw Score]]),IFERROR(VLOOKUP(ROUND(STANDARDIZE(tblY10[[#This Row],[4B02 - Organisation
Raw Score]],AVERAGE(tblY10[[4B02 - Organisation
Raw Score]]),_xlfn.STDEV.P(tblY10[[4B02 - Organisation
Raw Score]])),9),_Stanine,2),5),"")</f>
        <v>7</v>
      </c>
      <c r="V44" s="66" t="n"/>
      <c r="W44" s="67" t="str">
        <f>IF(ISNUMBER(tblY10[[#This Row],[4C02 - Bonding
Raw Score]]),IFERROR(VLOOKUP(ROUND(STANDARDIZE(tblY10[[#This Row],[4C02 - Bonding
Raw Score]],AVERAGE(tblY10[[4C02 - Bonding
Raw Score]]),_xlfn.STDEV.P(tblY10[[4C02 - Bonding
Raw Score]])),9),_Stanine,2),5),"")</f>
        <v/>
      </c>
    </row>
    <row r="45">
      <c r="A45" s="65" t="inlineStr">
        <is>
          <t>X909043802255</t>
        </is>
      </c>
      <c r="B45" s="65" t="inlineStr">
        <is>
          <t>Kowalski</t>
        </is>
      </c>
      <c r="C45" s="65" t="inlineStr">
        <is>
          <t>Oscar</t>
        </is>
      </c>
      <c r="D45" s="66" t="inlineStr">
        <is>
          <t>F</t>
        </is>
      </c>
      <c r="E45" s="66" t="n"/>
      <c r="F45" s="66" t="inlineStr">
        <is>
          <t>Y</t>
        </is>
      </c>
      <c r="G45" s="34" t="n">
        <v>100</v>
      </c>
      <c r="H45" s="34" t="n">
        <v>103.5</v>
      </c>
      <c r="I45" s="67">
        <f>IF(ISNUMBER(tblY10[[#This Row],[Avg KS2]]),IFERROR(VLOOKUP(ROUND(STANDARDIZE(tblY10[[#This Row],[Avg KS2]],AVERAGE(tblY10[[Avg KS2]]),_xlfn.STDEV.P(tblY10[[Avg KS2]])),9),_Stanine,2),5),"")</f>
        <v>5</v>
      </c>
      <c r="J45" s="66" t="inlineStr">
        <is>
          <t>10S/Sc2</t>
        </is>
      </c>
      <c r="K45" s="67">
        <f>IF(tblY10[[#This Row],[Preferred Last name]]="","",COUNTIFS($N$1:$ZZ$1,"*"&amp;CHAR(10)&amp;"Stanine",$N45:$ZZ45,"&gt;=1"))</f>
        <v>4</v>
      </c>
      <c r="L45" s="68">
        <f>IFERROR(AVERAGEIF($N$1:$ZZ$1,"*"&amp;CHAR(10)&amp;"Stanine",$N45:$ZZ45),"")</f>
        <v>5.5</v>
      </c>
      <c r="M45" s="69">
        <f>IF(AND(ISNUMBER(tblY10[[#This Row],[Mean Stanine]]),ISNUMBER(tblY10[[#This Row],[Avg KS2 Band]]),ISNUMBER(SlopeY10)),tblY10[[#This Row],[Mean Stanine]]-(InterceptY10+SlopeY10*tblY10[[#This Row],[Avg KS2 Band]]),"")</f>
        <v>0.559867855476139</v>
      </c>
      <c r="N45" s="66" t="n">
        <v>24</v>
      </c>
      <c r="O45" s="67">
        <f>IF(ISNUMBER(tblY10[[#This Row],[4B01 - Cell Biology
Raw Score]]),IFERROR(VLOOKUP(ROUND(STANDARDIZE(tblY10[[#This Row],[4B01 - Cell Biology
Raw Score]],AVERAGE(tblY10[[4B01 - Cell Biology
Raw Score]]),_xlfn.STDEV.P(tblY10[[4B01 - Cell Biology
Raw Score]])),9),_Stanine,2),5),"")</f>
        <v>6</v>
      </c>
      <c r="P45" s="66" t="n">
        <v>23</v>
      </c>
      <c r="Q45" s="67">
        <f>IF(ISNUMBER(tblY10[[#This Row],[4C01 - Atomic Structure
Raw Score]]),IFERROR(VLOOKUP(ROUND(STANDARDIZE(tblY10[[#This Row],[4C01 - Atomic Structure
Raw Score]],AVERAGE(tblY10[[4C01 - Atomic Structure
Raw Score]]),_xlfn.STDEV.P(tblY10[[4C01 - Atomic Structure
Raw Score]])),9),_Stanine,2),5),"")</f>
        <v>6</v>
      </c>
      <c r="R45" s="66" t="n">
        <v>11</v>
      </c>
      <c r="S45" s="67">
        <f>IF(ISNUMBER(tblY10[[#This Row],[4P01 - Energy
Raw Score]]),IFERROR(VLOOKUP(ROUND(STANDARDIZE(tblY10[[#This Row],[4P01 - Energy
Raw Score]],AVERAGE(tblY10[[4P01 - Energy
Raw Score]]),_xlfn.STDEV.P(tblY10[[4P01 - Energy
Raw Score]])),9),_Stanine,2),5),"")</f>
        <v>4</v>
      </c>
      <c r="T45" s="66" t="n">
        <v>27</v>
      </c>
      <c r="U45" s="67">
        <f>IF(ISNUMBER(tblY10[[#This Row],[4B02 - Organisation
Raw Score]]),IFERROR(VLOOKUP(ROUND(STANDARDIZE(tblY10[[#This Row],[4B02 - Organisation
Raw Score]],AVERAGE(tblY10[[4B02 - Organisation
Raw Score]]),_xlfn.STDEV.P(tblY10[[4B02 - Organisation
Raw Score]])),9),_Stanine,2),5),"")</f>
        <v>6</v>
      </c>
      <c r="V45" s="66" t="n"/>
      <c r="W45" s="67" t="str">
        <f>IF(ISNUMBER(tblY10[[#This Row],[4C02 - Bonding
Raw Score]]),IFERROR(VLOOKUP(ROUND(STANDARDIZE(tblY10[[#This Row],[4C02 - Bonding
Raw Score]],AVERAGE(tblY10[[4C02 - Bonding
Raw Score]]),_xlfn.STDEV.P(tblY10[[4C02 - Bonding
Raw Score]])),9),_Stanine,2),5),"")</f>
        <v/>
      </c>
    </row>
    <row r="46">
      <c r="A46" s="65" t="inlineStr">
        <is>
          <t>X906619913594</t>
        </is>
      </c>
      <c r="B46" s="65" t="inlineStr">
        <is>
          <t>Lloyd</t>
        </is>
      </c>
      <c r="C46" s="65" t="inlineStr">
        <is>
          <t>Grace</t>
        </is>
      </c>
      <c r="D46" s="66" t="inlineStr">
        <is>
          <t>M</t>
        </is>
      </c>
      <c r="E46" s="66" t="inlineStr">
        <is>
          <t>N</t>
        </is>
      </c>
      <c r="F46" s="66" t="inlineStr">
        <is>
          <t>Y</t>
        </is>
      </c>
      <c r="G46" s="34" t="n">
        <v>100</v>
      </c>
      <c r="H46" s="34" t="n">
        <v>116</v>
      </c>
      <c r="I46" s="67">
        <f>IF(ISNUMBER(tblY10[[#This Row],[Avg KS2]]),IFERROR(VLOOKUP(ROUND(STANDARDIZE(tblY10[[#This Row],[Avg KS2]],AVERAGE(tblY10[[Avg KS2]]),_xlfn.STDEV.P(tblY10[[Avg KS2]])),9),_Stanine,2),5),"")</f>
        <v>9</v>
      </c>
      <c r="J46" s="66" t="inlineStr">
        <is>
          <t>10S/Sc2</t>
        </is>
      </c>
      <c r="K46" s="67">
        <f>IF(tblY10[[#This Row],[Preferred Last name]]="","",COUNTIFS($N$1:$ZZ$1,"*"&amp;CHAR(10)&amp;"Stanine",$N46:$ZZ46,"&gt;=1"))</f>
        <v>4</v>
      </c>
      <c r="L46" s="68">
        <f>IFERROR(AVERAGEIF($N$1:$ZZ$1,"*"&amp;CHAR(10)&amp;"Stanine",$N46:$ZZ46),"")</f>
        <v>8.5</v>
      </c>
      <c r="M46" s="69">
        <f>IF(AND(ISNUMBER(tblY10[[#This Row],[Mean Stanine]]),ISNUMBER(tblY10[[#This Row],[Avg KS2 Band]]),ISNUMBER(SlopeY10)),tblY10[[#This Row],[Mean Stanine]]-(InterceptY10+SlopeY10*tblY10[[#This Row],[Avg KS2 Band]]),"")</f>
        <v>0.303858718345488</v>
      </c>
      <c r="N46" s="66" t="n">
        <v>37</v>
      </c>
      <c r="O46" s="67">
        <f>IF(ISNUMBER(tblY10[[#This Row],[4B01 - Cell Biology
Raw Score]]),IFERROR(VLOOKUP(ROUND(STANDARDIZE(tblY10[[#This Row],[4B01 - Cell Biology
Raw Score]],AVERAGE(tblY10[[4B01 - Cell Biology
Raw Score]]),_xlfn.STDEV.P(tblY10[[4B01 - Cell Biology
Raw Score]])),9),_Stanine,2),5),"")</f>
        <v>9</v>
      </c>
      <c r="P46" s="66" t="n">
        <v>31</v>
      </c>
      <c r="Q46" s="67">
        <f>IF(ISNUMBER(tblY10[[#This Row],[4C01 - Atomic Structure
Raw Score]]),IFERROR(VLOOKUP(ROUND(STANDARDIZE(tblY10[[#This Row],[4C01 - Atomic Structure
Raw Score]],AVERAGE(tblY10[[4C01 - Atomic Structure
Raw Score]]),_xlfn.STDEV.P(tblY10[[4C01 - Atomic Structure
Raw Score]])),9),_Stanine,2),5),"")</f>
        <v>8</v>
      </c>
      <c r="R46" s="66" t="n">
        <v>30</v>
      </c>
      <c r="S46" s="67">
        <f>IF(ISNUMBER(tblY10[[#This Row],[4P01 - Energy
Raw Score]]),IFERROR(VLOOKUP(ROUND(STANDARDIZE(tblY10[[#This Row],[4P01 - Energy
Raw Score]],AVERAGE(tblY10[[4P01 - Energy
Raw Score]]),_xlfn.STDEV.P(tblY10[[4P01 - Energy
Raw Score]])),9),_Stanine,2),5),"")</f>
        <v>9</v>
      </c>
      <c r="T46" s="66" t="n">
        <v>35</v>
      </c>
      <c r="U46" s="67">
        <f>IF(ISNUMBER(tblY10[[#This Row],[4B02 - Organisation
Raw Score]]),IFERROR(VLOOKUP(ROUND(STANDARDIZE(tblY10[[#This Row],[4B02 - Organisation
Raw Score]],AVERAGE(tblY10[[4B02 - Organisation
Raw Score]]),_xlfn.STDEV.P(tblY10[[4B02 - Organisation
Raw Score]])),9),_Stanine,2),5),"")</f>
        <v>8</v>
      </c>
      <c r="V46" s="66" t="n"/>
      <c r="W46" s="67" t="str">
        <f>IF(ISNUMBER(tblY10[[#This Row],[4C02 - Bonding
Raw Score]]),IFERROR(VLOOKUP(ROUND(STANDARDIZE(tblY10[[#This Row],[4C02 - Bonding
Raw Score]],AVERAGE(tblY10[[4C02 - Bonding
Raw Score]]),_xlfn.STDEV.P(tblY10[[4C02 - Bonding
Raw Score]])),9),_Stanine,2),5),"")</f>
        <v/>
      </c>
    </row>
    <row r="47">
      <c r="A47" s="65" t="inlineStr">
        <is>
          <t>X908936664031</t>
        </is>
      </c>
      <c r="B47" s="65" t="inlineStr">
        <is>
          <t>Murphy</t>
        </is>
      </c>
      <c r="C47" s="65" t="inlineStr">
        <is>
          <t>Ivy</t>
        </is>
      </c>
      <c r="D47" s="66" t="inlineStr">
        <is>
          <t>M</t>
        </is>
      </c>
      <c r="E47" s="66" t="n"/>
      <c r="F47" s="66" t="inlineStr">
        <is>
          <t>Y</t>
        </is>
      </c>
      <c r="G47" s="34" t="n">
        <v>98.2</v>
      </c>
      <c r="H47" s="34" t="n">
        <v>101</v>
      </c>
      <c r="I47" s="67">
        <f>IF(ISNUMBER(tblY10[[#This Row],[Avg KS2]]),IFERROR(VLOOKUP(ROUND(STANDARDIZE(tblY10[[#This Row],[Avg KS2]],AVERAGE(tblY10[[Avg KS2]]),_xlfn.STDEV.P(tblY10[[Avg KS2]])),9),_Stanine,2),5),"")</f>
        <v>4</v>
      </c>
      <c r="J47" s="66" t="inlineStr">
        <is>
          <t>10S/Sc2</t>
        </is>
      </c>
      <c r="K47" s="67">
        <f>IF(tblY10[[#This Row],[Preferred Last name]]="","",COUNTIFS($N$1:$ZZ$1,"*"&amp;CHAR(10)&amp;"Stanine",$N47:$ZZ47,"&gt;=1"))</f>
        <v>4</v>
      </c>
      <c r="L47" s="68">
        <f>IFERROR(AVERAGEIF($N$1:$ZZ$1,"*"&amp;CHAR(10)&amp;"Stanine",$N47:$ZZ47),"")</f>
        <v>3</v>
      </c>
      <c r="M47" s="69">
        <f>IF(AND(ISNUMBER(tblY10[[#This Row],[Mean Stanine]]),ISNUMBER(tblY10[[#This Row],[Avg KS2 Band]]),ISNUMBER(SlopeY10)),tblY10[[#This Row],[Mean Stanine]]-(InterceptY10+SlopeY10*tblY10[[#This Row],[Avg KS2 Band]]),"")</f>
        <v>-1.1261298602412</v>
      </c>
      <c r="N47" s="66" t="n">
        <v>13</v>
      </c>
      <c r="O47" s="67">
        <f>IF(ISNUMBER(tblY10[[#This Row],[4B01 - Cell Biology
Raw Score]]),IFERROR(VLOOKUP(ROUND(STANDARDIZE(tblY10[[#This Row],[4B01 - Cell Biology
Raw Score]],AVERAGE(tblY10[[4B01 - Cell Biology
Raw Score]]),_xlfn.STDEV.P(tblY10[[4B01 - Cell Biology
Raw Score]])),9),_Stanine,2),5),"")</f>
        <v>4</v>
      </c>
      <c r="P47" s="66" t="n">
        <v>14</v>
      </c>
      <c r="Q47" s="67">
        <f>IF(ISNUMBER(tblY10[[#This Row],[4C01 - Atomic Structure
Raw Score]]),IFERROR(VLOOKUP(ROUND(STANDARDIZE(tblY10[[#This Row],[4C01 - Atomic Structure
Raw Score]],AVERAGE(tblY10[[4C01 - Atomic Structure
Raw Score]]),_xlfn.STDEV.P(tblY10[[4C01 - Atomic Structure
Raw Score]])),9),_Stanine,2),5),"")</f>
        <v>4</v>
      </c>
      <c r="R47" s="66" t="n">
        <v>5</v>
      </c>
      <c r="S47" s="67">
        <f>IF(ISNUMBER(tblY10[[#This Row],[4P01 - Energy
Raw Score]]),IFERROR(VLOOKUP(ROUND(STANDARDIZE(tblY10[[#This Row],[4P01 - Energy
Raw Score]],AVERAGE(tblY10[[4P01 - Energy
Raw Score]]),_xlfn.STDEV.P(tblY10[[4P01 - Energy
Raw Score]])),9),_Stanine,2),5),"")</f>
        <v>2</v>
      </c>
      <c r="T47" s="66" t="n">
        <v>9</v>
      </c>
      <c r="U47" s="67">
        <f>IF(ISNUMBER(tblY10[[#This Row],[4B02 - Organisation
Raw Score]]),IFERROR(VLOOKUP(ROUND(STANDARDIZE(tblY10[[#This Row],[4B02 - Organisation
Raw Score]],AVERAGE(tblY10[[4B02 - Organisation
Raw Score]]),_xlfn.STDEV.P(tblY10[[4B02 - Organisation
Raw Score]])),9),_Stanine,2),5),"")</f>
        <v>2</v>
      </c>
      <c r="V47" s="66" t="n"/>
      <c r="W47" s="67" t="str">
        <f>IF(ISNUMBER(tblY10[[#This Row],[4C02 - Bonding
Raw Score]]),IFERROR(VLOOKUP(ROUND(STANDARDIZE(tblY10[[#This Row],[4C02 - Bonding
Raw Score]],AVERAGE(tblY10[[4C02 - Bonding
Raw Score]]),_xlfn.STDEV.P(tblY10[[4C02 - Bonding
Raw Score]])),9),_Stanine,2),5),"")</f>
        <v/>
      </c>
    </row>
    <row r="48">
      <c r="A48" s="65" t="inlineStr">
        <is>
          <t>X902009784310</t>
        </is>
      </c>
      <c r="B48" s="65" t="inlineStr">
        <is>
          <t>Murphy</t>
        </is>
      </c>
      <c r="C48" s="65" t="inlineStr">
        <is>
          <t>Zofia</t>
        </is>
      </c>
      <c r="D48" s="66" t="inlineStr">
        <is>
          <t>F</t>
        </is>
      </c>
      <c r="E48" s="66" t="inlineStr">
        <is>
          <t>K</t>
        </is>
      </c>
      <c r="F48" s="66" t="inlineStr">
        <is>
          <t>N</t>
        </is>
      </c>
      <c r="G48" s="34" t="n">
        <v>81.8</v>
      </c>
      <c r="H48" s="34" t="n">
        <v>107</v>
      </c>
      <c r="I48" s="67">
        <f>IF(ISNUMBER(tblY10[[#This Row],[Avg KS2]]),IFERROR(VLOOKUP(ROUND(STANDARDIZE(tblY10[[#This Row],[Avg KS2]],AVERAGE(tblY10[[Avg KS2]]),_xlfn.STDEV.P(tblY10[[Avg KS2]])),9),_Stanine,2),5),"")</f>
        <v>6</v>
      </c>
      <c r="J48" s="66" t="inlineStr">
        <is>
          <t>10S/Sc2</t>
        </is>
      </c>
      <c r="K48" s="67">
        <f>IF(tblY10[[#This Row],[Preferred Last name]]="","",COUNTIFS($N$1:$ZZ$1,"*"&amp;CHAR(10)&amp;"Stanine",$N48:$ZZ48,"&gt;=1"))</f>
        <v>4</v>
      </c>
      <c r="L48" s="68">
        <f>IFERROR(AVERAGEIF($N$1:$ZZ$1,"*"&amp;CHAR(10)&amp;"Stanine",$N48:$ZZ48),"")</f>
        <v>5.75</v>
      </c>
      <c r="M48" s="69">
        <f>IF(AND(ISNUMBER(tblY10[[#This Row],[Mean Stanine]]),ISNUMBER(tblY10[[#This Row],[Avg KS2 Band]]),ISNUMBER(SlopeY10)),tblY10[[#This Row],[Mean Stanine]]-(InterceptY10+SlopeY10*tblY10[[#This Row],[Avg KS2 Band]]),"")</f>
        <v>-0.00413442880652326</v>
      </c>
      <c r="N48" s="66" t="n">
        <v>20</v>
      </c>
      <c r="O48" s="67">
        <f>IF(ISNUMBER(tblY10[[#This Row],[4B01 - Cell Biology
Raw Score]]),IFERROR(VLOOKUP(ROUND(STANDARDIZE(tblY10[[#This Row],[4B01 - Cell Biology
Raw Score]],AVERAGE(tblY10[[4B01 - Cell Biology
Raw Score]]),_xlfn.STDEV.P(tblY10[[4B01 - Cell Biology
Raw Score]])),9),_Stanine,2),5),"")</f>
        <v>5</v>
      </c>
      <c r="P48" s="66" t="n">
        <v>21</v>
      </c>
      <c r="Q48" s="67">
        <f>IF(ISNUMBER(tblY10[[#This Row],[4C01 - Atomic Structure
Raw Score]]),IFERROR(VLOOKUP(ROUND(STANDARDIZE(tblY10[[#This Row],[4C01 - Atomic Structure
Raw Score]],AVERAGE(tblY10[[4C01 - Atomic Structure
Raw Score]]),_xlfn.STDEV.P(tblY10[[4C01 - Atomic Structure
Raw Score]])),9),_Stanine,2),5),"")</f>
        <v>6</v>
      </c>
      <c r="R48" s="66" t="n">
        <v>21</v>
      </c>
      <c r="S48" s="67">
        <f>IF(ISNUMBER(tblY10[[#This Row],[4P01 - Energy
Raw Score]]),IFERROR(VLOOKUP(ROUND(STANDARDIZE(tblY10[[#This Row],[4P01 - Energy
Raw Score]],AVERAGE(tblY10[[4P01 - Energy
Raw Score]]),_xlfn.STDEV.P(tblY10[[4P01 - Energy
Raw Score]])),9),_Stanine,2),5),"")</f>
        <v>6</v>
      </c>
      <c r="T48" s="66" t="n">
        <v>26</v>
      </c>
      <c r="U48" s="67">
        <f>IF(ISNUMBER(tblY10[[#This Row],[4B02 - Organisation
Raw Score]]),IFERROR(VLOOKUP(ROUND(STANDARDIZE(tblY10[[#This Row],[4B02 - Organisation
Raw Score]],AVERAGE(tblY10[[4B02 - Organisation
Raw Score]]),_xlfn.STDEV.P(tblY10[[4B02 - Organisation
Raw Score]])),9),_Stanine,2),5),"")</f>
        <v>6</v>
      </c>
      <c r="V48" s="66" t="n"/>
      <c r="W48" s="67" t="str">
        <f>IF(ISNUMBER(tblY10[[#This Row],[4C02 - Bonding
Raw Score]]),IFERROR(VLOOKUP(ROUND(STANDARDIZE(tblY10[[#This Row],[4C02 - Bonding
Raw Score]],AVERAGE(tblY10[[4C02 - Bonding
Raw Score]]),_xlfn.STDEV.P(tblY10[[4C02 - Bonding
Raw Score]])),9),_Stanine,2),5),"")</f>
        <v/>
      </c>
    </row>
    <row r="49">
      <c r="A49" s="65" t="inlineStr">
        <is>
          <t>X900903663991</t>
        </is>
      </c>
      <c r="B49" s="65" t="inlineStr">
        <is>
          <t>Nowak</t>
        </is>
      </c>
      <c r="C49" s="65" t="inlineStr">
        <is>
          <t>Kai</t>
        </is>
      </c>
      <c r="D49" s="66" t="inlineStr">
        <is>
          <t>M</t>
        </is>
      </c>
      <c r="E49" s="66" t="n"/>
      <c r="F49" s="66" t="inlineStr">
        <is>
          <t>N</t>
        </is>
      </c>
      <c r="G49" s="34" t="n">
        <v>97.5</v>
      </c>
      <c r="H49" s="34" t="n">
        <v>101.5</v>
      </c>
      <c r="I49" s="67">
        <f>IF(ISNUMBER(tblY10[[#This Row],[Avg KS2]]),IFERROR(VLOOKUP(ROUND(STANDARDIZE(tblY10[[#This Row],[Avg KS2]],AVERAGE(tblY10[[Avg KS2]]),_xlfn.STDEV.P(tblY10[[Avg KS2]])),9),_Stanine,2),5),"")</f>
        <v>4</v>
      </c>
      <c r="J49" s="66" t="inlineStr">
        <is>
          <t>10S/Sc2</t>
        </is>
      </c>
      <c r="K49" s="67">
        <f>IF(tblY10[[#This Row],[Preferred Last name]]="","",COUNTIFS($N$1:$ZZ$1,"*"&amp;CHAR(10)&amp;"Stanine",$N49:$ZZ49,"&gt;=1"))</f>
        <v>4</v>
      </c>
      <c r="L49" s="68">
        <f>IFERROR(AVERAGEIF($N$1:$ZZ$1,"*"&amp;CHAR(10)&amp;"Stanine",$N49:$ZZ49),"")</f>
        <v>4.75</v>
      </c>
      <c r="M49" s="69">
        <f>IF(AND(ISNUMBER(tblY10[[#This Row],[Mean Stanine]]),ISNUMBER(tblY10[[#This Row],[Avg KS2 Band]]),ISNUMBER(SlopeY10)),tblY10[[#This Row],[Mean Stanine]]-(InterceptY10+SlopeY10*tblY10[[#This Row],[Avg KS2 Band]]),"")</f>
        <v>0.623870139758801</v>
      </c>
      <c r="N49" s="66" t="n">
        <v>19</v>
      </c>
      <c r="O49" s="67">
        <f>IF(ISNUMBER(tblY10[[#This Row],[4B01 - Cell Biology
Raw Score]]),IFERROR(VLOOKUP(ROUND(STANDARDIZE(tblY10[[#This Row],[4B01 - Cell Biology
Raw Score]],AVERAGE(tblY10[[4B01 - Cell Biology
Raw Score]]),_xlfn.STDEV.P(tblY10[[4B01 - Cell Biology
Raw Score]])),9),_Stanine,2),5),"")</f>
        <v>5</v>
      </c>
      <c r="P49" s="66" t="n">
        <v>19</v>
      </c>
      <c r="Q49" s="67">
        <f>IF(ISNUMBER(tblY10[[#This Row],[4C01 - Atomic Structure
Raw Score]]),IFERROR(VLOOKUP(ROUND(STANDARDIZE(tblY10[[#This Row],[4C01 - Atomic Structure
Raw Score]],AVERAGE(tblY10[[4C01 - Atomic Structure
Raw Score]]),_xlfn.STDEV.P(tblY10[[4C01 - Atomic Structure
Raw Score]])),9),_Stanine,2),5),"")</f>
        <v>5</v>
      </c>
      <c r="R49" s="66" t="n">
        <v>13</v>
      </c>
      <c r="S49" s="67">
        <f>IF(ISNUMBER(tblY10[[#This Row],[4P01 - Energy
Raw Score]]),IFERROR(VLOOKUP(ROUND(STANDARDIZE(tblY10[[#This Row],[4P01 - Energy
Raw Score]],AVERAGE(tblY10[[4P01 - Energy
Raw Score]]),_xlfn.STDEV.P(tblY10[[4P01 - Energy
Raw Score]])),9),_Stanine,2),5),"")</f>
        <v>4</v>
      </c>
      <c r="T49" s="66" t="n">
        <v>22</v>
      </c>
      <c r="U49" s="67">
        <f>IF(ISNUMBER(tblY10[[#This Row],[4B02 - Organisation
Raw Score]]),IFERROR(VLOOKUP(ROUND(STANDARDIZE(tblY10[[#This Row],[4B02 - Organisation
Raw Score]],AVERAGE(tblY10[[4B02 - Organisation
Raw Score]]),_xlfn.STDEV.P(tblY10[[4B02 - Organisation
Raw Score]])),9),_Stanine,2),5),"")</f>
        <v>5</v>
      </c>
      <c r="V49" s="66" t="n"/>
      <c r="W49" s="67" t="str">
        <f>IF(ISNUMBER(tblY10[[#This Row],[4C02 - Bonding
Raw Score]]),IFERROR(VLOOKUP(ROUND(STANDARDIZE(tblY10[[#This Row],[4C02 - Bonding
Raw Score]],AVERAGE(tblY10[[4C02 - Bonding
Raw Score]]),_xlfn.STDEV.P(tblY10[[4C02 - Bonding
Raw Score]])),9),_Stanine,2),5),"")</f>
        <v/>
      </c>
    </row>
    <row r="50">
      <c r="A50" s="65" t="inlineStr">
        <is>
          <t>X906364098783</t>
        </is>
      </c>
      <c r="B50" s="65" t="inlineStr">
        <is>
          <t>Nowak</t>
        </is>
      </c>
      <c r="C50" s="65" t="inlineStr">
        <is>
          <t>Noah</t>
        </is>
      </c>
      <c r="D50" s="66" t="inlineStr">
        <is>
          <t>M</t>
        </is>
      </c>
      <c r="E50" s="66" t="inlineStr">
        <is>
          <t>K</t>
        </is>
      </c>
      <c r="F50" s="66" t="inlineStr">
        <is>
          <t>N</t>
        </is>
      </c>
      <c r="G50" s="34" t="n">
        <v>100</v>
      </c>
      <c r="H50" s="34" t="n">
        <v>109.5</v>
      </c>
      <c r="I50" s="67">
        <f>IF(ISNUMBER(tblY10[[#This Row],[Avg KS2]]),IFERROR(VLOOKUP(ROUND(STANDARDIZE(tblY10[[#This Row],[Avg KS2]],AVERAGE(tblY10[[Avg KS2]]),_xlfn.STDEV.P(tblY10[[Avg KS2]])),9),_Stanine,2),5),"")</f>
        <v>7</v>
      </c>
      <c r="J50" s="66" t="inlineStr">
        <is>
          <t>10S/Sc2</t>
        </is>
      </c>
      <c r="K50" s="67">
        <f>IF(tblY10[[#This Row],[Preferred Last name]]="","",COUNTIFS($N$1:$ZZ$1,"*"&amp;CHAR(10)&amp;"Stanine",$N50:$ZZ50,"&gt;=1"))</f>
        <v>4</v>
      </c>
      <c r="L50" s="68">
        <f>IFERROR(AVERAGEIF($N$1:$ZZ$1,"*"&amp;CHAR(10)&amp;"Stanine",$N50:$ZZ50),"")</f>
        <v>5</v>
      </c>
      <c r="M50" s="69">
        <f>IF(AND(ISNUMBER(tblY10[[#This Row],[Mean Stanine]]),ISNUMBER(tblY10[[#This Row],[Avg KS2 Band]]),ISNUMBER(SlopeY10)),tblY10[[#This Row],[Mean Stanine]]-(InterceptY10+SlopeY10*tblY10[[#This Row],[Avg KS2 Band]]),"")</f>
        <v>-1.56813671308919</v>
      </c>
      <c r="N50" s="66" t="n">
        <v>21</v>
      </c>
      <c r="O50" s="67">
        <f>IF(ISNUMBER(tblY10[[#This Row],[4B01 - Cell Biology
Raw Score]]),IFERROR(VLOOKUP(ROUND(STANDARDIZE(tblY10[[#This Row],[4B01 - Cell Biology
Raw Score]],AVERAGE(tblY10[[4B01 - Cell Biology
Raw Score]]),_xlfn.STDEV.P(tblY10[[4B01 - Cell Biology
Raw Score]])),9),_Stanine,2),5),"")</f>
        <v>5</v>
      </c>
      <c r="P50" s="66" t="n">
        <v>19</v>
      </c>
      <c r="Q50" s="67">
        <f>IF(ISNUMBER(tblY10[[#This Row],[4C01 - Atomic Structure
Raw Score]]),IFERROR(VLOOKUP(ROUND(STANDARDIZE(tblY10[[#This Row],[4C01 - Atomic Structure
Raw Score]],AVERAGE(tblY10[[4C01 - Atomic Structure
Raw Score]]),_xlfn.STDEV.P(tblY10[[4C01 - Atomic Structure
Raw Score]])),9),_Stanine,2),5),"")</f>
        <v>5</v>
      </c>
      <c r="R50" s="66" t="n">
        <v>16</v>
      </c>
      <c r="S50" s="67">
        <f>IF(ISNUMBER(tblY10[[#This Row],[4P01 - Energy
Raw Score]]),IFERROR(VLOOKUP(ROUND(STANDARDIZE(tblY10[[#This Row],[4P01 - Energy
Raw Score]],AVERAGE(tblY10[[4P01 - Energy
Raw Score]]),_xlfn.STDEV.P(tblY10[[4P01 - Energy
Raw Score]])),9),_Stanine,2),5),"")</f>
        <v>5</v>
      </c>
      <c r="T50" s="66" t="n">
        <v>24</v>
      </c>
      <c r="U50" s="67">
        <f>IF(ISNUMBER(tblY10[[#This Row],[4B02 - Organisation
Raw Score]]),IFERROR(VLOOKUP(ROUND(STANDARDIZE(tblY10[[#This Row],[4B02 - Organisation
Raw Score]],AVERAGE(tblY10[[4B02 - Organisation
Raw Score]]),_xlfn.STDEV.P(tblY10[[4B02 - Organisation
Raw Score]])),9),_Stanine,2),5),"")</f>
        <v>5</v>
      </c>
      <c r="V50" s="66" t="n"/>
      <c r="W50" s="67" t="str">
        <f>IF(ISNUMBER(tblY10[[#This Row],[4C02 - Bonding
Raw Score]]),IFERROR(VLOOKUP(ROUND(STANDARDIZE(tblY10[[#This Row],[4C02 - Bonding
Raw Score]],AVERAGE(tblY10[[4C02 - Bonding
Raw Score]]),_xlfn.STDEV.P(tblY10[[4C02 - Bonding
Raw Score]])),9),_Stanine,2),5),"")</f>
        <v/>
      </c>
    </row>
    <row r="51">
      <c r="A51" s="65" t="inlineStr">
        <is>
          <t>X904117115324</t>
        </is>
      </c>
      <c r="B51" s="65" t="inlineStr">
        <is>
          <t>Parker</t>
        </is>
      </c>
      <c r="C51" s="65" t="inlineStr">
        <is>
          <t>Grace</t>
        </is>
      </c>
      <c r="D51" s="66" t="inlineStr">
        <is>
          <t>F</t>
        </is>
      </c>
      <c r="E51" s="66" t="n"/>
      <c r="F51" s="66" t="inlineStr">
        <is>
          <t>N</t>
        </is>
      </c>
      <c r="G51" s="34" t="n">
        <v>100</v>
      </c>
      <c r="H51" s="34" t="n">
        <v>95.5</v>
      </c>
      <c r="I51" s="67">
        <f>IF(ISNUMBER(tblY10[[#This Row],[Avg KS2]]),IFERROR(VLOOKUP(ROUND(STANDARDIZE(tblY10[[#This Row],[Avg KS2]],AVERAGE(tblY10[[Avg KS2]]),_xlfn.STDEV.P(tblY10[[Avg KS2]])),9),_Stanine,2),5),"")</f>
        <v>3</v>
      </c>
      <c r="J51" s="66" t="inlineStr">
        <is>
          <t>10S/Sc2</t>
        </is>
      </c>
      <c r="K51" s="67">
        <f>IF(tblY10[[#This Row],[Preferred Last name]]="","",COUNTIFS($N$1:$ZZ$1,"*"&amp;CHAR(10)&amp;"Stanine",$N51:$ZZ51,"&gt;=1"))</f>
        <v>4</v>
      </c>
      <c r="L51" s="68">
        <f>IFERROR(AVERAGEIF($N$1:$ZZ$1,"*"&amp;CHAR(10)&amp;"Stanine",$N51:$ZZ51),"")</f>
        <v>2.5</v>
      </c>
      <c r="M51" s="69">
        <f>IF(AND(ISNUMBER(tblY10[[#This Row],[Mean Stanine]]),ISNUMBER(tblY10[[#This Row],[Avg KS2 Band]]),ISNUMBER(SlopeY10)),tblY10[[#This Row],[Mean Stanine]]-(InterceptY10+SlopeY10*tblY10[[#This Row],[Avg KS2 Band]]),"")</f>
        <v>-0.812127575958537</v>
      </c>
      <c r="N51" s="66" t="n">
        <v>8</v>
      </c>
      <c r="O51" s="67">
        <f>IF(ISNUMBER(tblY10[[#This Row],[4B01 - Cell Biology
Raw Score]]),IFERROR(VLOOKUP(ROUND(STANDARDIZE(tblY10[[#This Row],[4B01 - Cell Biology
Raw Score]],AVERAGE(tblY10[[4B01 - Cell Biology
Raw Score]]),_xlfn.STDEV.P(tblY10[[4B01 - Cell Biology
Raw Score]])),9),_Stanine,2),5),"")</f>
        <v>2</v>
      </c>
      <c r="P51" s="66" t="n">
        <v>10</v>
      </c>
      <c r="Q51" s="67">
        <f>IF(ISNUMBER(tblY10[[#This Row],[4C01 - Atomic Structure
Raw Score]]),IFERROR(VLOOKUP(ROUND(STANDARDIZE(tblY10[[#This Row],[4C01 - Atomic Structure
Raw Score]],AVERAGE(tblY10[[4C01 - Atomic Structure
Raw Score]]),_xlfn.STDEV.P(tblY10[[4C01 - Atomic Structure
Raw Score]])),9),_Stanine,2),5),"")</f>
        <v>3</v>
      </c>
      <c r="R51" s="66" t="n">
        <v>7</v>
      </c>
      <c r="S51" s="67">
        <f>IF(ISNUMBER(tblY10[[#This Row],[4P01 - Energy
Raw Score]]),IFERROR(VLOOKUP(ROUND(STANDARDIZE(tblY10[[#This Row],[4P01 - Energy
Raw Score]],AVERAGE(tblY10[[4P01 - Energy
Raw Score]]),_xlfn.STDEV.P(tblY10[[4P01 - Energy
Raw Score]])),9),_Stanine,2),5),"")</f>
        <v>3</v>
      </c>
      <c r="T51" s="66" t="n">
        <v>11</v>
      </c>
      <c r="U51" s="67">
        <f>IF(ISNUMBER(tblY10[[#This Row],[4B02 - Organisation
Raw Score]]),IFERROR(VLOOKUP(ROUND(STANDARDIZE(tblY10[[#This Row],[4B02 - Organisation
Raw Score]],AVERAGE(tblY10[[4B02 - Organisation
Raw Score]]),_xlfn.STDEV.P(tblY10[[4B02 - Organisation
Raw Score]])),9),_Stanine,2),5),"")</f>
        <v>2</v>
      </c>
      <c r="V51" s="66" t="n"/>
      <c r="W51" s="67" t="str">
        <f>IF(ISNUMBER(tblY10[[#This Row],[4C02 - Bonding
Raw Score]]),IFERROR(VLOOKUP(ROUND(STANDARDIZE(tblY10[[#This Row],[4C02 - Bonding
Raw Score]],AVERAGE(tblY10[[4C02 - Bonding
Raw Score]]),_xlfn.STDEV.P(tblY10[[4C02 - Bonding
Raw Score]])),9),_Stanine,2),5),"")</f>
        <v/>
      </c>
    </row>
    <row r="52">
      <c r="A52" s="65" t="inlineStr">
        <is>
          <t>X902557375403</t>
        </is>
      </c>
      <c r="B52" s="65" t="inlineStr">
        <is>
          <t>Patel</t>
        </is>
      </c>
      <c r="C52" s="65" t="inlineStr">
        <is>
          <t>Ava</t>
        </is>
      </c>
      <c r="D52" s="66" t="inlineStr">
        <is>
          <t>M</t>
        </is>
      </c>
      <c r="E52" s="66" t="n"/>
      <c r="F52" s="66" t="inlineStr">
        <is>
          <t>Y</t>
        </is>
      </c>
      <c r="G52" s="34" t="n">
        <v>90.09999999999999</v>
      </c>
      <c r="H52" s="34" t="n">
        <v>106</v>
      </c>
      <c r="I52" s="67">
        <f>IF(ISNUMBER(tblY10[[#This Row],[Avg KS2]]),IFERROR(VLOOKUP(ROUND(STANDARDIZE(tblY10[[#This Row],[Avg KS2]],AVERAGE(tblY10[[Avg KS2]]),_xlfn.STDEV.P(tblY10[[Avg KS2]])),9),_Stanine,2),5),"")</f>
        <v>6</v>
      </c>
      <c r="J52" s="66" t="inlineStr">
        <is>
          <t>10S/Sc2</t>
        </is>
      </c>
      <c r="K52" s="67">
        <f>IF(tblY10[[#This Row],[Preferred Last name]]="","",COUNTIFS($N$1:$ZZ$1,"*"&amp;CHAR(10)&amp;"Stanine",$N52:$ZZ52,"&gt;=1"))</f>
        <v>4</v>
      </c>
      <c r="L52" s="68">
        <f>IFERROR(AVERAGEIF($N$1:$ZZ$1,"*"&amp;CHAR(10)&amp;"Stanine",$N52:$ZZ52),"")</f>
        <v>5.25</v>
      </c>
      <c r="M52" s="69">
        <f>IF(AND(ISNUMBER(tblY10[[#This Row],[Mean Stanine]]),ISNUMBER(tblY10[[#This Row],[Avg KS2 Band]]),ISNUMBER(SlopeY10)),tblY10[[#This Row],[Mean Stanine]]-(InterceptY10+SlopeY10*tblY10[[#This Row],[Avg KS2 Band]]),"")</f>
        <v>-0.504134428806523</v>
      </c>
      <c r="N52" s="66" t="n">
        <v>22</v>
      </c>
      <c r="O52" s="67">
        <f>IF(ISNUMBER(tblY10[[#This Row],[4B01 - Cell Biology
Raw Score]]),IFERROR(VLOOKUP(ROUND(STANDARDIZE(tblY10[[#This Row],[4B01 - Cell Biology
Raw Score]],AVERAGE(tblY10[[4B01 - Cell Biology
Raw Score]]),_xlfn.STDEV.P(tblY10[[4B01 - Cell Biology
Raw Score]])),9),_Stanine,2),5),"")</f>
        <v>6</v>
      </c>
      <c r="P52" s="66" t="n">
        <v>19</v>
      </c>
      <c r="Q52" s="67">
        <f>IF(ISNUMBER(tblY10[[#This Row],[4C01 - Atomic Structure
Raw Score]]),IFERROR(VLOOKUP(ROUND(STANDARDIZE(tblY10[[#This Row],[4C01 - Atomic Structure
Raw Score]],AVERAGE(tblY10[[4C01 - Atomic Structure
Raw Score]]),_xlfn.STDEV.P(tblY10[[4C01 - Atomic Structure
Raw Score]])),9),_Stanine,2),5),"")</f>
        <v>5</v>
      </c>
      <c r="R52" s="66" t="n">
        <v>21</v>
      </c>
      <c r="S52" s="67">
        <f>IF(ISNUMBER(tblY10[[#This Row],[4P01 - Energy
Raw Score]]),IFERROR(VLOOKUP(ROUND(STANDARDIZE(tblY10[[#This Row],[4P01 - Energy
Raw Score]],AVERAGE(tblY10[[4P01 - Energy
Raw Score]]),_xlfn.STDEV.P(tblY10[[4P01 - Energy
Raw Score]])),9),_Stanine,2),5),"")</f>
        <v>6</v>
      </c>
      <c r="T52" s="66" t="n">
        <v>20</v>
      </c>
      <c r="U52" s="67">
        <f>IF(ISNUMBER(tblY10[[#This Row],[4B02 - Organisation
Raw Score]]),IFERROR(VLOOKUP(ROUND(STANDARDIZE(tblY10[[#This Row],[4B02 - Organisation
Raw Score]],AVERAGE(tblY10[[4B02 - Organisation
Raw Score]]),_xlfn.STDEV.P(tblY10[[4B02 - Organisation
Raw Score]])),9),_Stanine,2),5),"")</f>
        <v>4</v>
      </c>
      <c r="V52" s="66" t="n"/>
      <c r="W52" s="67" t="str">
        <f>IF(ISNUMBER(tblY10[[#This Row],[4C02 - Bonding
Raw Score]]),IFERROR(VLOOKUP(ROUND(STANDARDIZE(tblY10[[#This Row],[4C02 - Bonding
Raw Score]],AVERAGE(tblY10[[4C02 - Bonding
Raw Score]]),_xlfn.STDEV.P(tblY10[[4C02 - Bonding
Raw Score]])),9),_Stanine,2),5),"")</f>
        <v/>
      </c>
    </row>
    <row r="53">
      <c r="A53" s="65" t="inlineStr">
        <is>
          <t>X905322033328</t>
        </is>
      </c>
      <c r="B53" s="65" t="inlineStr">
        <is>
          <t>Patel</t>
        </is>
      </c>
      <c r="C53" s="65" t="inlineStr">
        <is>
          <t>Ethan</t>
        </is>
      </c>
      <c r="D53" s="66" t="inlineStr">
        <is>
          <t>M</t>
        </is>
      </c>
      <c r="E53" s="66" t="n"/>
      <c r="F53" s="66" t="inlineStr">
        <is>
          <t>N</t>
        </is>
      </c>
      <c r="G53" s="34" t="n">
        <v>93.8</v>
      </c>
      <c r="H53" s="34" t="n">
        <v>97.5</v>
      </c>
      <c r="I53" s="67">
        <f>IF(ISNUMBER(tblY10[[#This Row],[Avg KS2]]),IFERROR(VLOOKUP(ROUND(STANDARDIZE(tblY10[[#This Row],[Avg KS2]],AVERAGE(tblY10[[Avg KS2]]),_xlfn.STDEV.P(tblY10[[Avg KS2]])),9),_Stanine,2),5),"")</f>
        <v>3</v>
      </c>
      <c r="J53" s="66" t="inlineStr">
        <is>
          <t>10S/Sc2</t>
        </is>
      </c>
      <c r="K53" s="67">
        <f>IF(tblY10[[#This Row],[Preferred Last name]]="","",COUNTIFS($N$1:$ZZ$1,"*"&amp;CHAR(10)&amp;"Stanine",$N53:$ZZ53,"&gt;=1"))</f>
        <v>4</v>
      </c>
      <c r="L53" s="68">
        <f>IFERROR(AVERAGEIF($N$1:$ZZ$1,"*"&amp;CHAR(10)&amp;"Stanine",$N53:$ZZ53),"")</f>
        <v>4.75</v>
      </c>
      <c r="M53" s="69">
        <f>IF(AND(ISNUMBER(tblY10[[#This Row],[Mean Stanine]]),ISNUMBER(tblY10[[#This Row],[Avg KS2 Band]]),ISNUMBER(SlopeY10)),tblY10[[#This Row],[Mean Stanine]]-(InterceptY10+SlopeY10*tblY10[[#This Row],[Avg KS2 Band]]),"")</f>
        <v>1.43787242404146</v>
      </c>
      <c r="N53" s="66" t="n">
        <v>19</v>
      </c>
      <c r="O53" s="67">
        <f>IF(ISNUMBER(tblY10[[#This Row],[4B01 - Cell Biology
Raw Score]]),IFERROR(VLOOKUP(ROUND(STANDARDIZE(tblY10[[#This Row],[4B01 - Cell Biology
Raw Score]],AVERAGE(tblY10[[4B01 - Cell Biology
Raw Score]]),_xlfn.STDEV.P(tblY10[[4B01 - Cell Biology
Raw Score]])),9),_Stanine,2),5),"")</f>
        <v>5</v>
      </c>
      <c r="P53" s="66" t="n">
        <v>19</v>
      </c>
      <c r="Q53" s="67">
        <f>IF(ISNUMBER(tblY10[[#This Row],[4C01 - Atomic Structure
Raw Score]]),IFERROR(VLOOKUP(ROUND(STANDARDIZE(tblY10[[#This Row],[4C01 - Atomic Structure
Raw Score]],AVERAGE(tblY10[[4C01 - Atomic Structure
Raw Score]]),_xlfn.STDEV.P(tblY10[[4C01 - Atomic Structure
Raw Score]])),9),_Stanine,2),5),"")</f>
        <v>5</v>
      </c>
      <c r="R53" s="66" t="n">
        <v>15</v>
      </c>
      <c r="S53" s="67">
        <f>IF(ISNUMBER(tblY10[[#This Row],[4P01 - Energy
Raw Score]]),IFERROR(VLOOKUP(ROUND(STANDARDIZE(tblY10[[#This Row],[4P01 - Energy
Raw Score]],AVERAGE(tblY10[[4P01 - Energy
Raw Score]]),_xlfn.STDEV.P(tblY10[[4P01 - Energy
Raw Score]])),9),_Stanine,2),5),"")</f>
        <v>5</v>
      </c>
      <c r="T53" s="66" t="n">
        <v>19</v>
      </c>
      <c r="U53" s="67">
        <f>IF(ISNUMBER(tblY10[[#This Row],[4B02 - Organisation
Raw Score]]),IFERROR(VLOOKUP(ROUND(STANDARDIZE(tblY10[[#This Row],[4B02 - Organisation
Raw Score]],AVERAGE(tblY10[[4B02 - Organisation
Raw Score]]),_xlfn.STDEV.P(tblY10[[4B02 - Organisation
Raw Score]])),9),_Stanine,2),5),"")</f>
        <v>4</v>
      </c>
      <c r="V53" s="66" t="n"/>
      <c r="W53" s="67" t="str">
        <f>IF(ISNUMBER(tblY10[[#This Row],[4C02 - Bonding
Raw Score]]),IFERROR(VLOOKUP(ROUND(STANDARDIZE(tblY10[[#This Row],[4C02 - Bonding
Raw Score]],AVERAGE(tblY10[[4C02 - Bonding
Raw Score]]),_xlfn.STDEV.P(tblY10[[4C02 - Bonding
Raw Score]])),9),_Stanine,2),5),"")</f>
        <v/>
      </c>
    </row>
    <row r="54">
      <c r="A54" s="65" t="inlineStr">
        <is>
          <t>X901375128682</t>
        </is>
      </c>
      <c r="B54" s="65" t="inlineStr">
        <is>
          <t>Shaw</t>
        </is>
      </c>
      <c r="C54" s="65" t="inlineStr">
        <is>
          <t>George</t>
        </is>
      </c>
      <c r="D54" s="66" t="inlineStr">
        <is>
          <t>F</t>
        </is>
      </c>
      <c r="E54" s="66" t="n"/>
      <c r="F54" s="66" t="inlineStr">
        <is>
          <t>N</t>
        </is>
      </c>
      <c r="G54" s="34" t="n">
        <v>86.59999999999999</v>
      </c>
      <c r="H54" s="34" t="n">
        <v>107</v>
      </c>
      <c r="I54" s="67">
        <f>IF(ISNUMBER(tblY10[[#This Row],[Avg KS2]]),IFERROR(VLOOKUP(ROUND(STANDARDIZE(tblY10[[#This Row],[Avg KS2]],AVERAGE(tblY10[[Avg KS2]]),_xlfn.STDEV.P(tblY10[[Avg KS2]])),9),_Stanine,2),5),"")</f>
        <v>6</v>
      </c>
      <c r="J54" s="66" t="inlineStr">
        <is>
          <t>10S/Sc2</t>
        </is>
      </c>
      <c r="K54" s="67">
        <f>IF(tblY10[[#This Row],[Preferred Last name]]="","",COUNTIFS($N$1:$ZZ$1,"*"&amp;CHAR(10)&amp;"Stanine",$N54:$ZZ54,"&gt;=1"))</f>
        <v>4</v>
      </c>
      <c r="L54" s="68">
        <f>IFERROR(AVERAGEIF($N$1:$ZZ$1,"*"&amp;CHAR(10)&amp;"Stanine",$N54:$ZZ54),"")</f>
        <v>6</v>
      </c>
      <c r="M54" s="69">
        <f>IF(AND(ISNUMBER(tblY10[[#This Row],[Mean Stanine]]),ISNUMBER(tblY10[[#This Row],[Avg KS2 Band]]),ISNUMBER(SlopeY10)),tblY10[[#This Row],[Mean Stanine]]-(InterceptY10+SlopeY10*tblY10[[#This Row],[Avg KS2 Band]]),"")</f>
        <v>0.245865571193477</v>
      </c>
      <c r="N54" s="66" t="n">
        <v>26</v>
      </c>
      <c r="O54" s="67">
        <f>IF(ISNUMBER(tblY10[[#This Row],[4B01 - Cell Biology
Raw Score]]),IFERROR(VLOOKUP(ROUND(STANDARDIZE(tblY10[[#This Row],[4B01 - Cell Biology
Raw Score]],AVERAGE(tblY10[[4B01 - Cell Biology
Raw Score]]),_xlfn.STDEV.P(tblY10[[4B01 - Cell Biology
Raw Score]])),9),_Stanine,2),5),"")</f>
        <v>6</v>
      </c>
      <c r="P54" s="66" t="n">
        <v>22</v>
      </c>
      <c r="Q54" s="67">
        <f>IF(ISNUMBER(tblY10[[#This Row],[4C01 - Atomic Structure
Raw Score]]),IFERROR(VLOOKUP(ROUND(STANDARDIZE(tblY10[[#This Row],[4C01 - Atomic Structure
Raw Score]],AVERAGE(tblY10[[4C01 - Atomic Structure
Raw Score]]),_xlfn.STDEV.P(tblY10[[4C01 - Atomic Structure
Raw Score]])),9),_Stanine,2),5),"")</f>
        <v>6</v>
      </c>
      <c r="R54" s="66" t="n">
        <v>16</v>
      </c>
      <c r="S54" s="67">
        <f>IF(ISNUMBER(tblY10[[#This Row],[4P01 - Energy
Raw Score]]),IFERROR(VLOOKUP(ROUND(STANDARDIZE(tblY10[[#This Row],[4P01 - Energy
Raw Score]],AVERAGE(tblY10[[4P01 - Energy
Raw Score]]),_xlfn.STDEV.P(tblY10[[4P01 - Energy
Raw Score]])),9),_Stanine,2),5),"")</f>
        <v>5</v>
      </c>
      <c r="T54" s="66" t="n">
        <v>30</v>
      </c>
      <c r="U54" s="67">
        <f>IF(ISNUMBER(tblY10[[#This Row],[4B02 - Organisation
Raw Score]]),IFERROR(VLOOKUP(ROUND(STANDARDIZE(tblY10[[#This Row],[4B02 - Organisation
Raw Score]],AVERAGE(tblY10[[4B02 - Organisation
Raw Score]]),_xlfn.STDEV.P(tblY10[[4B02 - Organisation
Raw Score]])),9),_Stanine,2),5),"")</f>
        <v>7</v>
      </c>
      <c r="V54" s="66" t="n"/>
      <c r="W54" s="67" t="str">
        <f>IF(ISNUMBER(tblY10[[#This Row],[4C02 - Bonding
Raw Score]]),IFERROR(VLOOKUP(ROUND(STANDARDIZE(tblY10[[#This Row],[4C02 - Bonding
Raw Score]],AVERAGE(tblY10[[4C02 - Bonding
Raw Score]]),_xlfn.STDEV.P(tblY10[[4C02 - Bonding
Raw Score]])),9),_Stanine,2),5),"")</f>
        <v/>
      </c>
    </row>
    <row r="55">
      <c r="A55" s="65" t="inlineStr">
        <is>
          <t>X901983228346</t>
        </is>
      </c>
      <c r="B55" s="65" t="inlineStr">
        <is>
          <t>Smith</t>
        </is>
      </c>
      <c r="C55" s="65" t="inlineStr">
        <is>
          <t>Oscar</t>
        </is>
      </c>
      <c r="D55" s="66" t="inlineStr">
        <is>
          <t>F</t>
        </is>
      </c>
      <c r="E55" s="66" t="inlineStr">
        <is>
          <t>N</t>
        </is>
      </c>
      <c r="F55" s="66" t="inlineStr">
        <is>
          <t>Y</t>
        </is>
      </c>
      <c r="G55" s="34" t="n">
        <v>88.8</v>
      </c>
      <c r="H55" s="34" t="n">
        <v>99.5</v>
      </c>
      <c r="I55" s="67">
        <f>IF(ISNUMBER(tblY10[[#This Row],[Avg KS2]]),IFERROR(VLOOKUP(ROUND(STANDARDIZE(tblY10[[#This Row],[Avg KS2]],AVERAGE(tblY10[[Avg KS2]]),_xlfn.STDEV.P(tblY10[[Avg KS2]])),9),_Stanine,2),5),"")</f>
        <v>4</v>
      </c>
      <c r="J55" s="66" t="inlineStr">
        <is>
          <t>10S/Sc2</t>
        </is>
      </c>
      <c r="K55" s="67">
        <f>IF(tblY10[[#This Row],[Preferred Last name]]="","",COUNTIFS($N$1:$ZZ$1,"*"&amp;CHAR(10)&amp;"Stanine",$N55:$ZZ55,"&gt;=1"))</f>
        <v>4</v>
      </c>
      <c r="L55" s="68">
        <f>IFERROR(AVERAGEIF($N$1:$ZZ$1,"*"&amp;CHAR(10)&amp;"Stanine",$N55:$ZZ55),"")</f>
        <v>4.5</v>
      </c>
      <c r="M55" s="69">
        <f>IF(AND(ISNUMBER(tblY10[[#This Row],[Mean Stanine]]),ISNUMBER(tblY10[[#This Row],[Avg KS2 Band]]),ISNUMBER(SlopeY10)),tblY10[[#This Row],[Mean Stanine]]-(InterceptY10+SlopeY10*tblY10[[#This Row],[Avg KS2 Band]]),"")</f>
        <v>0.373870139758801</v>
      </c>
      <c r="N55" s="66" t="n">
        <v>11</v>
      </c>
      <c r="O55" s="67">
        <f>IF(ISNUMBER(tblY10[[#This Row],[4B01 - Cell Biology
Raw Score]]),IFERROR(VLOOKUP(ROUND(STANDARDIZE(tblY10[[#This Row],[4B01 - Cell Biology
Raw Score]],AVERAGE(tblY10[[4B01 - Cell Biology
Raw Score]]),_xlfn.STDEV.P(tblY10[[4B01 - Cell Biology
Raw Score]])),9),_Stanine,2),5),"")</f>
        <v>3</v>
      </c>
      <c r="P55" s="66" t="n">
        <v>20</v>
      </c>
      <c r="Q55" s="67">
        <f>IF(ISNUMBER(tblY10[[#This Row],[4C01 - Atomic Structure
Raw Score]]),IFERROR(VLOOKUP(ROUND(STANDARDIZE(tblY10[[#This Row],[4C01 - Atomic Structure
Raw Score]],AVERAGE(tblY10[[4C01 - Atomic Structure
Raw Score]]),_xlfn.STDEV.P(tblY10[[4C01 - Atomic Structure
Raw Score]])),9),_Stanine,2),5),"")</f>
        <v>6</v>
      </c>
      <c r="R55" s="66" t="n">
        <v>17</v>
      </c>
      <c r="S55" s="67">
        <f>IF(ISNUMBER(tblY10[[#This Row],[4P01 - Energy
Raw Score]]),IFERROR(VLOOKUP(ROUND(STANDARDIZE(tblY10[[#This Row],[4P01 - Energy
Raw Score]],AVERAGE(tblY10[[4P01 - Energy
Raw Score]]),_xlfn.STDEV.P(tblY10[[4P01 - Energy
Raw Score]])),9),_Stanine,2),5),"")</f>
        <v>5</v>
      </c>
      <c r="T55" s="66" t="n">
        <v>19</v>
      </c>
      <c r="U55" s="67">
        <f>IF(ISNUMBER(tblY10[[#This Row],[4B02 - Organisation
Raw Score]]),IFERROR(VLOOKUP(ROUND(STANDARDIZE(tblY10[[#This Row],[4B02 - Organisation
Raw Score]],AVERAGE(tblY10[[4B02 - Organisation
Raw Score]]),_xlfn.STDEV.P(tblY10[[4B02 - Organisation
Raw Score]])),9),_Stanine,2),5),"")</f>
        <v>4</v>
      </c>
      <c r="V55" s="66" t="n"/>
      <c r="W55" s="67" t="str">
        <f>IF(ISNUMBER(tblY10[[#This Row],[4C02 - Bonding
Raw Score]]),IFERROR(VLOOKUP(ROUND(STANDARDIZE(tblY10[[#This Row],[4C02 - Bonding
Raw Score]],AVERAGE(tblY10[[4C02 - Bonding
Raw Score]]),_xlfn.STDEV.P(tblY10[[4C02 - Bonding
Raw Score]])),9),_Stanine,2),5),"")</f>
        <v/>
      </c>
    </row>
    <row r="56">
      <c r="A56" s="65" t="inlineStr">
        <is>
          <t>X900571823535</t>
        </is>
      </c>
      <c r="B56" s="65" t="inlineStr">
        <is>
          <t>Thompson</t>
        </is>
      </c>
      <c r="C56" s="65" t="inlineStr">
        <is>
          <t>Isla</t>
        </is>
      </c>
      <c r="D56" s="66" t="inlineStr">
        <is>
          <t>M</t>
        </is>
      </c>
      <c r="E56" s="66" t="n"/>
      <c r="F56" s="66" t="inlineStr">
        <is>
          <t>N</t>
        </is>
      </c>
      <c r="G56" s="34" t="n">
        <v>86.2</v>
      </c>
      <c r="H56" s="34" t="n">
        <v>109.5</v>
      </c>
      <c r="I56" s="67">
        <f>IF(ISNUMBER(tblY10[[#This Row],[Avg KS2]]),IFERROR(VLOOKUP(ROUND(STANDARDIZE(tblY10[[#This Row],[Avg KS2]],AVERAGE(tblY10[[Avg KS2]]),_xlfn.STDEV.P(tblY10[[Avg KS2]])),9),_Stanine,2),5),"")</f>
        <v>7</v>
      </c>
      <c r="J56" s="66" t="inlineStr">
        <is>
          <t>10S/Sc2</t>
        </is>
      </c>
      <c r="K56" s="67">
        <f>IF(tblY10[[#This Row],[Preferred Last name]]="","",COUNTIFS($N$1:$ZZ$1,"*"&amp;CHAR(10)&amp;"Stanine",$N56:$ZZ56,"&gt;=1"))</f>
        <v>3</v>
      </c>
      <c r="L56" s="68">
        <f>IFERROR(AVERAGEIF($N$1:$ZZ$1,"*"&amp;CHAR(10)&amp;"Stanine",$N56:$ZZ56),"")</f>
        <v>8.33333333333333</v>
      </c>
      <c r="M56" s="69">
        <f>IF(AND(ISNUMBER(tblY10[[#This Row],[Mean Stanine]]),ISNUMBER(tblY10[[#This Row],[Avg KS2 Band]]),ISNUMBER(SlopeY10)),tblY10[[#This Row],[Mean Stanine]]-(InterceptY10+SlopeY10*tblY10[[#This Row],[Avg KS2 Band]]),"")</f>
        <v>1.76519662024415</v>
      </c>
      <c r="N56" s="66" t="inlineStr">
        <is>
          <t>A</t>
        </is>
      </c>
      <c r="O56" s="67" t="str">
        <f>IF(ISNUMBER(tblY10[[#This Row],[4B01 - Cell Biology
Raw Score]]),IFERROR(VLOOKUP(ROUND(STANDARDIZE(tblY10[[#This Row],[4B01 - Cell Biology
Raw Score]],AVERAGE(tblY10[[4B01 - Cell Biology
Raw Score]]),_xlfn.STDEV.P(tblY10[[4B01 - Cell Biology
Raw Score]])),9),_Stanine,2),5),"")</f>
        <v/>
      </c>
      <c r="P56" s="66" t="n">
        <v>28</v>
      </c>
      <c r="Q56" s="67">
        <f>IF(ISNUMBER(tblY10[[#This Row],[4C01 - Atomic Structure
Raw Score]]),IFERROR(VLOOKUP(ROUND(STANDARDIZE(tblY10[[#This Row],[4C01 - Atomic Structure
Raw Score]],AVERAGE(tblY10[[4C01 - Atomic Structure
Raw Score]]),_xlfn.STDEV.P(tblY10[[4C01 - Atomic Structure
Raw Score]])),9),_Stanine,2),5),"")</f>
        <v>8</v>
      </c>
      <c r="R56" s="66" t="n">
        <v>30</v>
      </c>
      <c r="S56" s="67">
        <f>IF(ISNUMBER(tblY10[[#This Row],[4P01 - Energy
Raw Score]]),IFERROR(VLOOKUP(ROUND(STANDARDIZE(tblY10[[#This Row],[4P01 - Energy
Raw Score]],AVERAGE(tblY10[[4P01 - Energy
Raw Score]]),_xlfn.STDEV.P(tblY10[[4P01 - Energy
Raw Score]])),9),_Stanine,2),5),"")</f>
        <v>9</v>
      </c>
      <c r="T56" s="66" t="n">
        <v>35</v>
      </c>
      <c r="U56" s="67">
        <f>IF(ISNUMBER(tblY10[[#This Row],[4B02 - Organisation
Raw Score]]),IFERROR(VLOOKUP(ROUND(STANDARDIZE(tblY10[[#This Row],[4B02 - Organisation
Raw Score]],AVERAGE(tblY10[[4B02 - Organisation
Raw Score]]),_xlfn.STDEV.P(tblY10[[4B02 - Organisation
Raw Score]])),9),_Stanine,2),5),"")</f>
        <v>8</v>
      </c>
      <c r="V56" s="66" t="n"/>
      <c r="W56" s="67" t="str">
        <f>IF(ISNUMBER(tblY10[[#This Row],[4C02 - Bonding
Raw Score]]),IFERROR(VLOOKUP(ROUND(STANDARDIZE(tblY10[[#This Row],[4C02 - Bonding
Raw Score]],AVERAGE(tblY10[[4C02 - Bonding
Raw Score]]),_xlfn.STDEV.P(tblY10[[4C02 - Bonding
Raw Score]])),9),_Stanine,2),5),"")</f>
        <v/>
      </c>
    </row>
    <row r="57">
      <c r="A57" s="65" t="inlineStr">
        <is>
          <t>X907862354506</t>
        </is>
      </c>
      <c r="B57" s="65" t="inlineStr">
        <is>
          <t>Thompson</t>
        </is>
      </c>
      <c r="C57" s="65" t="inlineStr">
        <is>
          <t>Ivy</t>
        </is>
      </c>
      <c r="D57" s="66" t="inlineStr">
        <is>
          <t>F</t>
        </is>
      </c>
      <c r="E57" s="66" t="inlineStr">
        <is>
          <t>N</t>
        </is>
      </c>
      <c r="F57" s="66" t="inlineStr">
        <is>
          <t>N</t>
        </is>
      </c>
      <c r="G57" s="34" t="n">
        <v>100</v>
      </c>
      <c r="H57" s="34" t="n">
        <v>102.5</v>
      </c>
      <c r="I57" s="67">
        <f>IF(ISNUMBER(tblY10[[#This Row],[Avg KS2]]),IFERROR(VLOOKUP(ROUND(STANDARDIZE(tblY10[[#This Row],[Avg KS2]],AVERAGE(tblY10[[Avg KS2]]),_xlfn.STDEV.P(tblY10[[Avg KS2]])),9),_Stanine,2),5),"")</f>
        <v>5</v>
      </c>
      <c r="J57" s="66" t="inlineStr">
        <is>
          <t>10S/Sc2</t>
        </is>
      </c>
      <c r="K57" s="67">
        <f>IF(tblY10[[#This Row],[Preferred Last name]]="","",COUNTIFS($N$1:$ZZ$1,"*"&amp;CHAR(10)&amp;"Stanine",$N57:$ZZ57,"&gt;=1"))</f>
        <v>4</v>
      </c>
      <c r="L57" s="68">
        <f>IFERROR(AVERAGEIF($N$1:$ZZ$1,"*"&amp;CHAR(10)&amp;"Stanine",$N57:$ZZ57),"")</f>
        <v>6.75</v>
      </c>
      <c r="M57" s="69">
        <f>IF(AND(ISNUMBER(tblY10[[#This Row],[Mean Stanine]]),ISNUMBER(tblY10[[#This Row],[Avg KS2 Band]]),ISNUMBER(SlopeY10)),tblY10[[#This Row],[Mean Stanine]]-(InterceptY10+SlopeY10*tblY10[[#This Row],[Avg KS2 Band]]),"")</f>
        <v>1.80986785547614</v>
      </c>
      <c r="N57" s="66" t="n">
        <v>26</v>
      </c>
      <c r="O57" s="67">
        <f>IF(ISNUMBER(tblY10[[#This Row],[4B01 - Cell Biology
Raw Score]]),IFERROR(VLOOKUP(ROUND(STANDARDIZE(tblY10[[#This Row],[4B01 - Cell Biology
Raw Score]],AVERAGE(tblY10[[4B01 - Cell Biology
Raw Score]]),_xlfn.STDEV.P(tblY10[[4B01 - Cell Biology
Raw Score]])),9),_Stanine,2),5),"")</f>
        <v>6</v>
      </c>
      <c r="P57" s="66" t="n">
        <v>24</v>
      </c>
      <c r="Q57" s="67">
        <f>IF(ISNUMBER(tblY10[[#This Row],[4C01 - Atomic Structure
Raw Score]]),IFERROR(VLOOKUP(ROUND(STANDARDIZE(tblY10[[#This Row],[4C01 - Atomic Structure
Raw Score]],AVERAGE(tblY10[[4C01 - Atomic Structure
Raw Score]]),_xlfn.STDEV.P(tblY10[[4C01 - Atomic Structure
Raw Score]])),9),_Stanine,2),5),"")</f>
        <v>7</v>
      </c>
      <c r="R57" s="66" t="n">
        <v>23</v>
      </c>
      <c r="S57" s="67">
        <f>IF(ISNUMBER(tblY10[[#This Row],[4P01 - Energy
Raw Score]]),IFERROR(VLOOKUP(ROUND(STANDARDIZE(tblY10[[#This Row],[4P01 - Energy
Raw Score]],AVERAGE(tblY10[[4P01 - Energy
Raw Score]]),_xlfn.STDEV.P(tblY10[[4P01 - Energy
Raw Score]])),9),_Stanine,2),5),"")</f>
        <v>7</v>
      </c>
      <c r="T57" s="66" t="n">
        <v>29</v>
      </c>
      <c r="U57" s="67">
        <f>IF(ISNUMBER(tblY10[[#This Row],[4B02 - Organisation
Raw Score]]),IFERROR(VLOOKUP(ROUND(STANDARDIZE(tblY10[[#This Row],[4B02 - Organisation
Raw Score]],AVERAGE(tblY10[[4B02 - Organisation
Raw Score]]),_xlfn.STDEV.P(tblY10[[4B02 - Organisation
Raw Score]])),9),_Stanine,2),5),"")</f>
        <v>7</v>
      </c>
      <c r="V57" s="66" t="n"/>
      <c r="W57" s="67" t="str">
        <f>IF(ISNUMBER(tblY10[[#This Row],[4C02 - Bonding
Raw Score]]),IFERROR(VLOOKUP(ROUND(STANDARDIZE(tblY10[[#This Row],[4C02 - Bonding
Raw Score]],AVERAGE(tblY10[[4C02 - Bonding
Raw Score]]),_xlfn.STDEV.P(tblY10[[4C02 - Bonding
Raw Score]])),9),_Stanine,2),5),"")</f>
        <v/>
      </c>
    </row>
    <row r="58">
      <c r="A58" s="65" t="inlineStr">
        <is>
          <t>X904031835150</t>
        </is>
      </c>
      <c r="B58" s="65" t="inlineStr">
        <is>
          <t>Williams</t>
        </is>
      </c>
      <c r="C58" s="65" t="inlineStr">
        <is>
          <t>Rhys</t>
        </is>
      </c>
      <c r="D58" s="66" t="inlineStr">
        <is>
          <t>F</t>
        </is>
      </c>
      <c r="E58" s="66" t="n"/>
      <c r="F58" s="66" t="inlineStr">
        <is>
          <t>Y</t>
        </is>
      </c>
      <c r="G58" s="34" t="n">
        <v>91.59999999999999</v>
      </c>
      <c r="H58" s="34" t="n">
        <v>108.5</v>
      </c>
      <c r="I58" s="67">
        <f>IF(ISNUMBER(tblY10[[#This Row],[Avg KS2]]),IFERROR(VLOOKUP(ROUND(STANDARDIZE(tblY10[[#This Row],[Avg KS2]],AVERAGE(tblY10[[Avg KS2]]),_xlfn.STDEV.P(tblY10[[Avg KS2]])),9),_Stanine,2),5),"")</f>
        <v>7</v>
      </c>
      <c r="J58" s="66" t="inlineStr">
        <is>
          <t>10S/Sc2</t>
        </is>
      </c>
      <c r="K58" s="67">
        <f>IF(tblY10[[#This Row],[Preferred Last name]]="","",COUNTIFS($N$1:$ZZ$1,"*"&amp;CHAR(10)&amp;"Stanine",$N58:$ZZ58,"&gt;=1"))</f>
        <v>4</v>
      </c>
      <c r="L58" s="68">
        <f>IFERROR(AVERAGEIF($N$1:$ZZ$1,"*"&amp;CHAR(10)&amp;"Stanine",$N58:$ZZ58),"")</f>
        <v>5.75</v>
      </c>
      <c r="M58" s="69">
        <f>IF(AND(ISNUMBER(tblY10[[#This Row],[Mean Stanine]]),ISNUMBER(tblY10[[#This Row],[Avg KS2 Band]]),ISNUMBER(SlopeY10)),tblY10[[#This Row],[Mean Stanine]]-(InterceptY10+SlopeY10*tblY10[[#This Row],[Avg KS2 Band]]),"")</f>
        <v>-0.818136713089186</v>
      </c>
      <c r="N58" s="66" t="n">
        <v>24</v>
      </c>
      <c r="O58" s="67">
        <f>IF(ISNUMBER(tblY10[[#This Row],[4B01 - Cell Biology
Raw Score]]),IFERROR(VLOOKUP(ROUND(STANDARDIZE(tblY10[[#This Row],[4B01 - Cell Biology
Raw Score]],AVERAGE(tblY10[[4B01 - Cell Biology
Raw Score]]),_xlfn.STDEV.P(tblY10[[4B01 - Cell Biology
Raw Score]])),9),_Stanine,2),5),"")</f>
        <v>6</v>
      </c>
      <c r="P58" s="66" t="n">
        <v>22</v>
      </c>
      <c r="Q58" s="67">
        <f>IF(ISNUMBER(tblY10[[#This Row],[4C01 - Atomic Structure
Raw Score]]),IFERROR(VLOOKUP(ROUND(STANDARDIZE(tblY10[[#This Row],[4C01 - Atomic Structure
Raw Score]],AVERAGE(tblY10[[4C01 - Atomic Structure
Raw Score]]),_xlfn.STDEV.P(tblY10[[4C01 - Atomic Structure
Raw Score]])),9),_Stanine,2),5),"")</f>
        <v>6</v>
      </c>
      <c r="R58" s="66" t="n">
        <v>15</v>
      </c>
      <c r="S58" s="67">
        <f>IF(ISNUMBER(tblY10[[#This Row],[4P01 - Energy
Raw Score]]),IFERROR(VLOOKUP(ROUND(STANDARDIZE(tblY10[[#This Row],[4P01 - Energy
Raw Score]],AVERAGE(tblY10[[4P01 - Energy
Raw Score]]),_xlfn.STDEV.P(tblY10[[4P01 - Energy
Raw Score]])),9),_Stanine,2),5),"")</f>
        <v>5</v>
      </c>
      <c r="T58" s="66" t="n">
        <v>25</v>
      </c>
      <c r="U58" s="67">
        <f>IF(ISNUMBER(tblY10[[#This Row],[4B02 - Organisation
Raw Score]]),IFERROR(VLOOKUP(ROUND(STANDARDIZE(tblY10[[#This Row],[4B02 - Organisation
Raw Score]],AVERAGE(tblY10[[4B02 - Organisation
Raw Score]]),_xlfn.STDEV.P(tblY10[[4B02 - Organisation
Raw Score]])),9),_Stanine,2),5),"")</f>
        <v>6</v>
      </c>
      <c r="V58" s="66" t="n"/>
      <c r="W58" s="67" t="str">
        <f>IF(ISNUMBER(tblY10[[#This Row],[4C02 - Bonding
Raw Score]]),IFERROR(VLOOKUP(ROUND(STANDARDIZE(tblY10[[#This Row],[4C02 - Bonding
Raw Score]],AVERAGE(tblY10[[4C02 - Bonding
Raw Score]]),_xlfn.STDEV.P(tblY10[[4C02 - Bonding
Raw Score]])),9),_Stanine,2),5),"")</f>
        <v/>
      </c>
    </row>
    <row r="59">
      <c r="A59" s="65" t="inlineStr">
        <is>
          <t>X905929105677</t>
        </is>
      </c>
      <c r="B59" s="65" t="inlineStr">
        <is>
          <t>Adeyemi</t>
        </is>
      </c>
      <c r="C59" s="65" t="inlineStr">
        <is>
          <t>Maisie</t>
        </is>
      </c>
      <c r="D59" s="66" t="inlineStr">
        <is>
          <t>F</t>
        </is>
      </c>
      <c r="E59" s="66" t="inlineStr">
        <is>
          <t>K</t>
        </is>
      </c>
      <c r="F59" s="66" t="inlineStr">
        <is>
          <t>N</t>
        </is>
      </c>
      <c r="G59" s="34" t="n">
        <v>91.09999999999999</v>
      </c>
      <c r="H59" s="34" t="n">
        <v>101.5</v>
      </c>
      <c r="I59" s="67">
        <f>IF(ISNUMBER(tblY10[[#This Row],[Avg KS2]]),IFERROR(VLOOKUP(ROUND(STANDARDIZE(tblY10[[#This Row],[Avg KS2]],AVERAGE(tblY10[[Avg KS2]]),_xlfn.STDEV.P(tblY10[[Avg KS2]])),9),_Stanine,2),5),"")</f>
        <v>4</v>
      </c>
      <c r="J59" s="66" t="inlineStr">
        <is>
          <t>10S/Sc3</t>
        </is>
      </c>
      <c r="K59" s="67">
        <f>IF(tblY10[[#This Row],[Preferred Last name]]="","",COUNTIFS($N$1:$ZZ$1,"*"&amp;CHAR(10)&amp;"Stanine",$N59:$ZZ59,"&gt;=1"))</f>
        <v>5</v>
      </c>
      <c r="L59" s="68">
        <f>IFERROR(AVERAGEIF($N$1:$ZZ$1,"*"&amp;CHAR(10)&amp;"Stanine",$N59:$ZZ59),"")</f>
        <v>5.2</v>
      </c>
      <c r="M59" s="69">
        <f>IF(AND(ISNUMBER(tblY10[[#This Row],[Mean Stanine]]),ISNUMBER(tblY10[[#This Row],[Avg KS2 Band]]),ISNUMBER(SlopeY10)),tblY10[[#This Row],[Mean Stanine]]-(InterceptY10+SlopeY10*tblY10[[#This Row],[Avg KS2 Band]]),"")</f>
        <v>1.0738701397588</v>
      </c>
      <c r="N59" s="66" t="n">
        <v>19</v>
      </c>
      <c r="O59" s="67">
        <f>IF(ISNUMBER(tblY10[[#This Row],[4B01 - Cell Biology
Raw Score]]),IFERROR(VLOOKUP(ROUND(STANDARDIZE(tblY10[[#This Row],[4B01 - Cell Biology
Raw Score]],AVERAGE(tblY10[[4B01 - Cell Biology
Raw Score]]),_xlfn.STDEV.P(tblY10[[4B01 - Cell Biology
Raw Score]])),9),_Stanine,2),5),"")</f>
        <v>5</v>
      </c>
      <c r="P59" s="66" t="n">
        <v>15</v>
      </c>
      <c r="Q59" s="67">
        <f>IF(ISNUMBER(tblY10[[#This Row],[4C01 - Atomic Structure
Raw Score]]),IFERROR(VLOOKUP(ROUND(STANDARDIZE(tblY10[[#This Row],[4C01 - Atomic Structure
Raw Score]],AVERAGE(tblY10[[4C01 - Atomic Structure
Raw Score]]),_xlfn.STDEV.P(tblY10[[4C01 - Atomic Structure
Raw Score]])),9),_Stanine,2),5),"")</f>
        <v>4</v>
      </c>
      <c r="R59" s="66" t="n">
        <v>17</v>
      </c>
      <c r="S59" s="67">
        <f>IF(ISNUMBER(tblY10[[#This Row],[4P01 - Energy
Raw Score]]),IFERROR(VLOOKUP(ROUND(STANDARDIZE(tblY10[[#This Row],[4P01 - Energy
Raw Score]],AVERAGE(tblY10[[4P01 - Energy
Raw Score]]),_xlfn.STDEV.P(tblY10[[4P01 - Energy
Raw Score]])),9),_Stanine,2),5),"")</f>
        <v>5</v>
      </c>
      <c r="T59" s="66" t="n">
        <v>25</v>
      </c>
      <c r="U59" s="67">
        <f>IF(ISNUMBER(tblY10[[#This Row],[4B02 - Organisation
Raw Score]]),IFERROR(VLOOKUP(ROUND(STANDARDIZE(tblY10[[#This Row],[4B02 - Organisation
Raw Score]],AVERAGE(tblY10[[4B02 - Organisation
Raw Score]]),_xlfn.STDEV.P(tblY10[[4B02 - Organisation
Raw Score]])),9),_Stanine,2),5),"")</f>
        <v>6</v>
      </c>
      <c r="V59" s="66" t="n">
        <v>26</v>
      </c>
      <c r="W59" s="67">
        <f>IF(ISNUMBER(tblY10[[#This Row],[4C02 - Bonding
Raw Score]]),IFERROR(VLOOKUP(ROUND(STANDARDIZE(tblY10[[#This Row],[4C02 - Bonding
Raw Score]],AVERAGE(tblY10[[4C02 - Bonding
Raw Score]]),_xlfn.STDEV.P(tblY10[[4C02 - Bonding
Raw Score]])),9),_Stanine,2),5),"")</f>
        <v>6</v>
      </c>
    </row>
    <row r="60">
      <c r="A60" s="65" t="inlineStr">
        <is>
          <t>X909368312923</t>
        </is>
      </c>
      <c r="B60" s="65" t="inlineStr">
        <is>
          <t>Begum</t>
        </is>
      </c>
      <c r="C60" s="65" t="inlineStr">
        <is>
          <t>Aisha</t>
        </is>
      </c>
      <c r="D60" s="66" t="inlineStr">
        <is>
          <t>M</t>
        </is>
      </c>
      <c r="E60" s="66" t="inlineStr">
        <is>
          <t>N</t>
        </is>
      </c>
      <c r="F60" s="66" t="inlineStr">
        <is>
          <t>N</t>
        </is>
      </c>
      <c r="G60" s="34" t="n">
        <v>96</v>
      </c>
      <c r="H60" s="34" t="n">
        <v>100</v>
      </c>
      <c r="I60" s="67">
        <f>IF(ISNUMBER(tblY10[[#This Row],[Avg KS2]]),IFERROR(VLOOKUP(ROUND(STANDARDIZE(tblY10[[#This Row],[Avg KS2]],AVERAGE(tblY10[[Avg KS2]]),_xlfn.STDEV.P(tblY10[[Avg KS2]])),9),_Stanine,2),5),"")</f>
        <v>4</v>
      </c>
      <c r="J60" s="66" t="inlineStr">
        <is>
          <t>10S/Sc3</t>
        </is>
      </c>
      <c r="K60" s="67">
        <f>IF(tblY10[[#This Row],[Preferred Last name]]="","",COUNTIFS($N$1:$ZZ$1,"*"&amp;CHAR(10)&amp;"Stanine",$N60:$ZZ60,"&gt;=1"))</f>
        <v>5</v>
      </c>
      <c r="L60" s="68">
        <f>IFERROR(AVERAGEIF($N$1:$ZZ$1,"*"&amp;CHAR(10)&amp;"Stanine",$N60:$ZZ60),"")</f>
        <v>5.6</v>
      </c>
      <c r="M60" s="69">
        <f>IF(AND(ISNUMBER(tblY10[[#This Row],[Mean Stanine]]),ISNUMBER(tblY10[[#This Row],[Avg KS2 Band]]),ISNUMBER(SlopeY10)),tblY10[[#This Row],[Mean Stanine]]-(InterceptY10+SlopeY10*tblY10[[#This Row],[Avg KS2 Band]]),"")</f>
        <v>1.4738701397588</v>
      </c>
      <c r="N60" s="66" t="n">
        <v>22</v>
      </c>
      <c r="O60" s="67">
        <f>IF(ISNUMBER(tblY10[[#This Row],[4B01 - Cell Biology
Raw Score]]),IFERROR(VLOOKUP(ROUND(STANDARDIZE(tblY10[[#This Row],[4B01 - Cell Biology
Raw Score]],AVERAGE(tblY10[[4B01 - Cell Biology
Raw Score]]),_xlfn.STDEV.P(tblY10[[4B01 - Cell Biology
Raw Score]])),9),_Stanine,2),5),"")</f>
        <v>6</v>
      </c>
      <c r="P60" s="66" t="n">
        <v>16</v>
      </c>
      <c r="Q60" s="67">
        <f>IF(ISNUMBER(tblY10[[#This Row],[4C01 - Atomic Structure
Raw Score]]),IFERROR(VLOOKUP(ROUND(STANDARDIZE(tblY10[[#This Row],[4C01 - Atomic Structure
Raw Score]],AVERAGE(tblY10[[4C01 - Atomic Structure
Raw Score]]),_xlfn.STDEV.P(tblY10[[4C01 - Atomic Structure
Raw Score]])),9),_Stanine,2),5),"")</f>
        <v>5</v>
      </c>
      <c r="R60" s="66" t="n">
        <v>16</v>
      </c>
      <c r="S60" s="67">
        <f>IF(ISNUMBER(tblY10[[#This Row],[4P01 - Energy
Raw Score]]),IFERROR(VLOOKUP(ROUND(STANDARDIZE(tblY10[[#This Row],[4P01 - Energy
Raw Score]],AVERAGE(tblY10[[4P01 - Energy
Raw Score]]),_xlfn.STDEV.P(tblY10[[4P01 - Energy
Raw Score]])),9),_Stanine,2),5),"")</f>
        <v>5</v>
      </c>
      <c r="T60" s="66" t="n">
        <v>28</v>
      </c>
      <c r="U60" s="67">
        <f>IF(ISNUMBER(tblY10[[#This Row],[4B02 - Organisation
Raw Score]]),IFERROR(VLOOKUP(ROUND(STANDARDIZE(tblY10[[#This Row],[4B02 - Organisation
Raw Score]],AVERAGE(tblY10[[4B02 - Organisation
Raw Score]]),_xlfn.STDEV.P(tblY10[[4B02 - Organisation
Raw Score]])),9),_Stanine,2),5),"")</f>
        <v>6</v>
      </c>
      <c r="V60" s="66" t="n">
        <v>26</v>
      </c>
      <c r="W60" s="67">
        <f>IF(ISNUMBER(tblY10[[#This Row],[4C02 - Bonding
Raw Score]]),IFERROR(VLOOKUP(ROUND(STANDARDIZE(tblY10[[#This Row],[4C02 - Bonding
Raw Score]],AVERAGE(tblY10[[4C02 - Bonding
Raw Score]]),_xlfn.STDEV.P(tblY10[[4C02 - Bonding
Raw Score]])),9),_Stanine,2),5),"")</f>
        <v>6</v>
      </c>
    </row>
    <row r="61">
      <c r="A61" s="65" t="inlineStr">
        <is>
          <t>X902221472971</t>
        </is>
      </c>
      <c r="B61" s="65" t="inlineStr">
        <is>
          <t>Fletcher</t>
        </is>
      </c>
      <c r="C61" s="65" t="inlineStr">
        <is>
          <t>Grace</t>
        </is>
      </c>
      <c r="D61" s="66" t="inlineStr">
        <is>
          <t>F</t>
        </is>
      </c>
      <c r="E61" s="66" t="inlineStr">
        <is>
          <t>N</t>
        </is>
      </c>
      <c r="F61" s="66" t="inlineStr">
        <is>
          <t>Y</t>
        </is>
      </c>
      <c r="G61" s="34" t="n">
        <v>89.59999999999999</v>
      </c>
      <c r="H61" s="34" t="n">
        <v>95</v>
      </c>
      <c r="I61" s="67">
        <f>IF(ISNUMBER(tblY10[[#This Row],[Avg KS2]]),IFERROR(VLOOKUP(ROUND(STANDARDIZE(tblY10[[#This Row],[Avg KS2]],AVERAGE(tblY10[[Avg KS2]]),_xlfn.STDEV.P(tblY10[[Avg KS2]])),9),_Stanine,2),5),"")</f>
        <v>2</v>
      </c>
      <c r="J61" s="66" t="inlineStr">
        <is>
          <t>10S/Sc3</t>
        </is>
      </c>
      <c r="K61" s="67">
        <f>IF(tblY10[[#This Row],[Preferred Last name]]="","",COUNTIFS($N$1:$ZZ$1,"*"&amp;CHAR(10)&amp;"Stanine",$N61:$ZZ61,"&gt;=1"))</f>
        <v>5</v>
      </c>
      <c r="L61" s="68">
        <f>IFERROR(AVERAGEIF($N$1:$ZZ$1,"*"&amp;CHAR(10)&amp;"Stanine",$N61:$ZZ61),"")</f>
        <v>4.8</v>
      </c>
      <c r="M61" s="69">
        <f>IF(AND(ISNUMBER(tblY10[[#This Row],[Mean Stanine]]),ISNUMBER(tblY10[[#This Row],[Avg KS2 Band]]),ISNUMBER(SlopeY10)),tblY10[[#This Row],[Mean Stanine]]-(InterceptY10+SlopeY10*tblY10[[#This Row],[Avg KS2 Band]]),"")</f>
        <v>2.30187470832413</v>
      </c>
      <c r="N61" s="66" t="n">
        <v>14</v>
      </c>
      <c r="O61" s="67">
        <f>IF(ISNUMBER(tblY10[[#This Row],[4B01 - Cell Biology
Raw Score]]),IFERROR(VLOOKUP(ROUND(STANDARDIZE(tblY10[[#This Row],[4B01 - Cell Biology
Raw Score]],AVERAGE(tblY10[[4B01 - Cell Biology
Raw Score]]),_xlfn.STDEV.P(tblY10[[4B01 - Cell Biology
Raw Score]])),9),_Stanine,2),5),"")</f>
        <v>4</v>
      </c>
      <c r="P61" s="66" t="n">
        <v>16</v>
      </c>
      <c r="Q61" s="67">
        <f>IF(ISNUMBER(tblY10[[#This Row],[4C01 - Atomic Structure
Raw Score]]),IFERROR(VLOOKUP(ROUND(STANDARDIZE(tblY10[[#This Row],[4C01 - Atomic Structure
Raw Score]],AVERAGE(tblY10[[4C01 - Atomic Structure
Raw Score]]),_xlfn.STDEV.P(tblY10[[4C01 - Atomic Structure
Raw Score]])),9),_Stanine,2),5),"")</f>
        <v>5</v>
      </c>
      <c r="R61" s="66" t="n">
        <v>18</v>
      </c>
      <c r="S61" s="67">
        <f>IF(ISNUMBER(tblY10[[#This Row],[4P01 - Energy
Raw Score]]),IFERROR(VLOOKUP(ROUND(STANDARDIZE(tblY10[[#This Row],[4P01 - Energy
Raw Score]],AVERAGE(tblY10[[4P01 - Energy
Raw Score]]),_xlfn.STDEV.P(tblY10[[4P01 - Energy
Raw Score]])),9),_Stanine,2),5),"")</f>
        <v>6</v>
      </c>
      <c r="T61" s="66" t="n">
        <v>23</v>
      </c>
      <c r="U61" s="67">
        <f>IF(ISNUMBER(tblY10[[#This Row],[4B02 - Organisation
Raw Score]]),IFERROR(VLOOKUP(ROUND(STANDARDIZE(tblY10[[#This Row],[4B02 - Organisation
Raw Score]],AVERAGE(tblY10[[4B02 - Organisation
Raw Score]]),_xlfn.STDEV.P(tblY10[[4B02 - Organisation
Raw Score]])),9),_Stanine,2),5),"")</f>
        <v>5</v>
      </c>
      <c r="V61" s="66" t="n">
        <v>17</v>
      </c>
      <c r="W61" s="67">
        <f>IF(ISNUMBER(tblY10[[#This Row],[4C02 - Bonding
Raw Score]]),IFERROR(VLOOKUP(ROUND(STANDARDIZE(tblY10[[#This Row],[4C02 - Bonding
Raw Score]],AVERAGE(tblY10[[4C02 - Bonding
Raw Score]]),_xlfn.STDEV.P(tblY10[[4C02 - Bonding
Raw Score]])),9),_Stanine,2),5),"")</f>
        <v>4</v>
      </c>
    </row>
    <row r="62">
      <c r="A62" s="65" t="inlineStr">
        <is>
          <t>X909634630084</t>
        </is>
      </c>
      <c r="B62" s="65" t="inlineStr">
        <is>
          <t>Hall</t>
        </is>
      </c>
      <c r="C62" s="65" t="inlineStr">
        <is>
          <t>Arjun</t>
        </is>
      </c>
      <c r="D62" s="66" t="inlineStr">
        <is>
          <t>M</t>
        </is>
      </c>
      <c r="E62" s="66" t="inlineStr">
        <is>
          <t>N</t>
        </is>
      </c>
      <c r="F62" s="66" t="inlineStr">
        <is>
          <t>Y</t>
        </is>
      </c>
      <c r="G62" s="34" t="n">
        <v>88.90000000000001</v>
      </c>
      <c r="H62" s="34" t="n">
        <v>95</v>
      </c>
      <c r="I62" s="67">
        <f>IF(ISNUMBER(tblY10[[#This Row],[Avg KS2]]),IFERROR(VLOOKUP(ROUND(STANDARDIZE(tblY10[[#This Row],[Avg KS2]],AVERAGE(tblY10[[Avg KS2]]),_xlfn.STDEV.P(tblY10[[Avg KS2]])),9),_Stanine,2),5),"")</f>
        <v>2</v>
      </c>
      <c r="J62" s="66" t="inlineStr">
        <is>
          <t>10S/Sc3</t>
        </is>
      </c>
      <c r="K62" s="67">
        <f>IF(tblY10[[#This Row],[Preferred Last name]]="","",COUNTIFS($N$1:$ZZ$1,"*"&amp;CHAR(10)&amp;"Stanine",$N62:$ZZ62,"&gt;=1"))</f>
        <v>5</v>
      </c>
      <c r="L62" s="68">
        <f>IFERROR(AVERAGEIF($N$1:$ZZ$1,"*"&amp;CHAR(10)&amp;"Stanine",$N62:$ZZ62),"")</f>
        <v>4.2</v>
      </c>
      <c r="M62" s="69">
        <f>IF(AND(ISNUMBER(tblY10[[#This Row],[Mean Stanine]]),ISNUMBER(tblY10[[#This Row],[Avg KS2 Band]]),ISNUMBER(SlopeY10)),tblY10[[#This Row],[Mean Stanine]]-(InterceptY10+SlopeY10*tblY10[[#This Row],[Avg KS2 Band]]),"")</f>
        <v>1.70187470832413</v>
      </c>
      <c r="N62" s="66" t="n">
        <v>21</v>
      </c>
      <c r="O62" s="67">
        <f>IF(ISNUMBER(tblY10[[#This Row],[4B01 - Cell Biology
Raw Score]]),IFERROR(VLOOKUP(ROUND(STANDARDIZE(tblY10[[#This Row],[4B01 - Cell Biology
Raw Score]],AVERAGE(tblY10[[4B01 - Cell Biology
Raw Score]]),_xlfn.STDEV.P(tblY10[[4B01 - Cell Biology
Raw Score]])),9),_Stanine,2),5),"")</f>
        <v>5</v>
      </c>
      <c r="P62" s="66" t="n">
        <v>18</v>
      </c>
      <c r="Q62" s="67">
        <f>IF(ISNUMBER(tblY10[[#This Row],[4C01 - Atomic Structure
Raw Score]]),IFERROR(VLOOKUP(ROUND(STANDARDIZE(tblY10[[#This Row],[4C01 - Atomic Structure
Raw Score]],AVERAGE(tblY10[[4C01 - Atomic Structure
Raw Score]]),_xlfn.STDEV.P(tblY10[[4C01 - Atomic Structure
Raw Score]])),9),_Stanine,2),5),"")</f>
        <v>5</v>
      </c>
      <c r="R62" s="66" t="n">
        <v>11</v>
      </c>
      <c r="S62" s="67">
        <f>IF(ISNUMBER(tblY10[[#This Row],[4P01 - Energy
Raw Score]]),IFERROR(VLOOKUP(ROUND(STANDARDIZE(tblY10[[#This Row],[4P01 - Energy
Raw Score]],AVERAGE(tblY10[[4P01 - Energy
Raw Score]]),_xlfn.STDEV.P(tblY10[[4P01 - Energy
Raw Score]])),9),_Stanine,2),5),"")</f>
        <v>4</v>
      </c>
      <c r="T62" s="66" t="n">
        <v>17</v>
      </c>
      <c r="U62" s="67">
        <f>IF(ISNUMBER(tblY10[[#This Row],[4B02 - Organisation
Raw Score]]),IFERROR(VLOOKUP(ROUND(STANDARDIZE(tblY10[[#This Row],[4B02 - Organisation
Raw Score]],AVERAGE(tblY10[[4B02 - Organisation
Raw Score]]),_xlfn.STDEV.P(tblY10[[4B02 - Organisation
Raw Score]])),9),_Stanine,2),5),"")</f>
        <v>4</v>
      </c>
      <c r="V62" s="66" t="n">
        <v>14</v>
      </c>
      <c r="W62" s="67">
        <f>IF(ISNUMBER(tblY10[[#This Row],[4C02 - Bonding
Raw Score]]),IFERROR(VLOOKUP(ROUND(STANDARDIZE(tblY10[[#This Row],[4C02 - Bonding
Raw Score]],AVERAGE(tblY10[[4C02 - Bonding
Raw Score]]),_xlfn.STDEV.P(tblY10[[4C02 - Bonding
Raw Score]])),9),_Stanine,2),5),"")</f>
        <v>3</v>
      </c>
    </row>
    <row r="63">
      <c r="A63" s="65" t="inlineStr">
        <is>
          <t>X901768640296</t>
        </is>
      </c>
      <c r="B63" s="65" t="inlineStr">
        <is>
          <t>Hall</t>
        </is>
      </c>
      <c r="C63" s="65" t="inlineStr">
        <is>
          <t>Hollie</t>
        </is>
      </c>
      <c r="D63" s="66" t="inlineStr">
        <is>
          <t>M</t>
        </is>
      </c>
      <c r="E63" s="66" t="inlineStr">
        <is>
          <t>K</t>
        </is>
      </c>
      <c r="F63" s="66" t="inlineStr">
        <is>
          <t>N</t>
        </is>
      </c>
      <c r="G63" s="34" t="n">
        <v>100</v>
      </c>
      <c r="H63" s="34" t="n">
        <v>96.5</v>
      </c>
      <c r="I63" s="67">
        <f>IF(ISNUMBER(tblY10[[#This Row],[Avg KS2]]),IFERROR(VLOOKUP(ROUND(STANDARDIZE(tblY10[[#This Row],[Avg KS2]],AVERAGE(tblY10[[Avg KS2]]),_xlfn.STDEV.P(tblY10[[Avg KS2]])),9),_Stanine,2),5),"")</f>
        <v>3</v>
      </c>
      <c r="J63" s="66" t="inlineStr">
        <is>
          <t>10S/Sc3</t>
        </is>
      </c>
      <c r="K63" s="67">
        <f>IF(tblY10[[#This Row],[Preferred Last name]]="","",COUNTIFS($N$1:$ZZ$1,"*"&amp;CHAR(10)&amp;"Stanine",$N63:$ZZ63,"&gt;=1"))</f>
        <v>4</v>
      </c>
      <c r="L63" s="68">
        <f>IFERROR(AVERAGEIF($N$1:$ZZ$1,"*"&amp;CHAR(10)&amp;"Stanine",$N63:$ZZ63),"")</f>
        <v>2.75</v>
      </c>
      <c r="M63" s="69">
        <f>IF(AND(ISNUMBER(tblY10[[#This Row],[Mean Stanine]]),ISNUMBER(tblY10[[#This Row],[Avg KS2 Band]]),ISNUMBER(SlopeY10)),tblY10[[#This Row],[Mean Stanine]]-(InterceptY10+SlopeY10*tblY10[[#This Row],[Avg KS2 Band]]),"")</f>
        <v>-0.562127575958537</v>
      </c>
      <c r="N63" s="66" t="inlineStr">
        <is>
          <t>A</t>
        </is>
      </c>
      <c r="O63" s="67" t="str">
        <f>IF(ISNUMBER(tblY10[[#This Row],[4B01 - Cell Biology
Raw Score]]),IFERROR(VLOOKUP(ROUND(STANDARDIZE(tblY10[[#This Row],[4B01 - Cell Biology
Raw Score]],AVERAGE(tblY10[[4B01 - Cell Biology
Raw Score]]),_xlfn.STDEV.P(tblY10[[4B01 - Cell Biology
Raw Score]])),9),_Stanine,2),5),"")</f>
        <v/>
      </c>
      <c r="P63" s="66" t="n">
        <v>7</v>
      </c>
      <c r="Q63" s="67">
        <f>IF(ISNUMBER(tblY10[[#This Row],[4C01 - Atomic Structure
Raw Score]]),IFERROR(VLOOKUP(ROUND(STANDARDIZE(tblY10[[#This Row],[4C01 - Atomic Structure
Raw Score]],AVERAGE(tblY10[[4C01 - Atomic Structure
Raw Score]]),_xlfn.STDEV.P(tblY10[[4C01 - Atomic Structure
Raw Score]])),9),_Stanine,2),5),"")</f>
        <v>2</v>
      </c>
      <c r="R63" s="66" t="n">
        <v>9</v>
      </c>
      <c r="S63" s="67">
        <f>IF(ISNUMBER(tblY10[[#This Row],[4P01 - Energy
Raw Score]]),IFERROR(VLOOKUP(ROUND(STANDARDIZE(tblY10[[#This Row],[4P01 - Energy
Raw Score]],AVERAGE(tblY10[[4P01 - Energy
Raw Score]]),_xlfn.STDEV.P(tblY10[[4P01 - Energy
Raw Score]])),9),_Stanine,2),5),"")</f>
        <v>3</v>
      </c>
      <c r="T63" s="66" t="n">
        <v>9</v>
      </c>
      <c r="U63" s="67">
        <f>IF(ISNUMBER(tblY10[[#This Row],[4B02 - Organisation
Raw Score]]),IFERROR(VLOOKUP(ROUND(STANDARDIZE(tblY10[[#This Row],[4B02 - Organisation
Raw Score]],AVERAGE(tblY10[[4B02 - Organisation
Raw Score]]),_xlfn.STDEV.P(tblY10[[4B02 - Organisation
Raw Score]])),9),_Stanine,2),5),"")</f>
        <v>2</v>
      </c>
      <c r="V63" s="66" t="n">
        <v>15</v>
      </c>
      <c r="W63" s="67">
        <f>IF(ISNUMBER(tblY10[[#This Row],[4C02 - Bonding
Raw Score]]),IFERROR(VLOOKUP(ROUND(STANDARDIZE(tblY10[[#This Row],[4C02 - Bonding
Raw Score]],AVERAGE(tblY10[[4C02 - Bonding
Raw Score]]),_xlfn.STDEV.P(tblY10[[4C02 - Bonding
Raw Score]])),9),_Stanine,2),5),"")</f>
        <v>4</v>
      </c>
    </row>
    <row r="64">
      <c r="A64" s="65" t="inlineStr">
        <is>
          <t>X908167632084</t>
        </is>
      </c>
      <c r="B64" s="65" t="inlineStr">
        <is>
          <t>Hall</t>
        </is>
      </c>
      <c r="C64" s="65" t="inlineStr">
        <is>
          <t>Poppy</t>
        </is>
      </c>
      <c r="D64" s="66" t="inlineStr">
        <is>
          <t>F</t>
        </is>
      </c>
      <c r="E64" s="66" t="n"/>
      <c r="F64" s="66" t="inlineStr">
        <is>
          <t>N</t>
        </is>
      </c>
      <c r="G64" s="34" t="n">
        <v>92.40000000000001</v>
      </c>
      <c r="H64" s="34" t="n">
        <v>103.5</v>
      </c>
      <c r="I64" s="67">
        <f>IF(ISNUMBER(tblY10[[#This Row],[Avg KS2]]),IFERROR(VLOOKUP(ROUND(STANDARDIZE(tblY10[[#This Row],[Avg KS2]],AVERAGE(tblY10[[Avg KS2]]),_xlfn.STDEV.P(tblY10[[Avg KS2]])),9),_Stanine,2),5),"")</f>
        <v>5</v>
      </c>
      <c r="J64" s="66" t="inlineStr">
        <is>
          <t>10S/Sc3</t>
        </is>
      </c>
      <c r="K64" s="67">
        <f>IF(tblY10[[#This Row],[Preferred Last name]]="","",COUNTIFS($N$1:$ZZ$1,"*"&amp;CHAR(10)&amp;"Stanine",$N64:$ZZ64,"&gt;=1"))</f>
        <v>5</v>
      </c>
      <c r="L64" s="68">
        <f>IFERROR(AVERAGEIF($N$1:$ZZ$1,"*"&amp;CHAR(10)&amp;"Stanine",$N64:$ZZ64),"")</f>
        <v>4.8</v>
      </c>
      <c r="M64" s="69">
        <f>IF(AND(ISNUMBER(tblY10[[#This Row],[Mean Stanine]]),ISNUMBER(tblY10[[#This Row],[Avg KS2 Band]]),ISNUMBER(SlopeY10)),tblY10[[#This Row],[Mean Stanine]]-(InterceptY10+SlopeY10*tblY10[[#This Row],[Avg KS2 Band]]),"")</f>
        <v>-0.140132144523862</v>
      </c>
      <c r="N64" s="66" t="n">
        <v>19</v>
      </c>
      <c r="O64" s="67">
        <f>IF(ISNUMBER(tblY10[[#This Row],[4B01 - Cell Biology
Raw Score]]),IFERROR(VLOOKUP(ROUND(STANDARDIZE(tblY10[[#This Row],[4B01 - Cell Biology
Raw Score]],AVERAGE(tblY10[[4B01 - Cell Biology
Raw Score]]),_xlfn.STDEV.P(tblY10[[4B01 - Cell Biology
Raw Score]])),9),_Stanine,2),5),"")</f>
        <v>5</v>
      </c>
      <c r="P64" s="66" t="n">
        <v>14</v>
      </c>
      <c r="Q64" s="67">
        <f>IF(ISNUMBER(tblY10[[#This Row],[4C01 - Atomic Structure
Raw Score]]),IFERROR(VLOOKUP(ROUND(STANDARDIZE(tblY10[[#This Row],[4C01 - Atomic Structure
Raw Score]],AVERAGE(tblY10[[4C01 - Atomic Structure
Raw Score]]),_xlfn.STDEV.P(tblY10[[4C01 - Atomic Structure
Raw Score]])),9),_Stanine,2),5),"")</f>
        <v>4</v>
      </c>
      <c r="R64" s="66" t="n">
        <v>15</v>
      </c>
      <c r="S64" s="67">
        <f>IF(ISNUMBER(tblY10[[#This Row],[4P01 - Energy
Raw Score]]),IFERROR(VLOOKUP(ROUND(STANDARDIZE(tblY10[[#This Row],[4P01 - Energy
Raw Score]],AVERAGE(tblY10[[4P01 - Energy
Raw Score]]),_xlfn.STDEV.P(tblY10[[4P01 - Energy
Raw Score]])),9),_Stanine,2),5),"")</f>
        <v>5</v>
      </c>
      <c r="T64" s="66" t="n">
        <v>25</v>
      </c>
      <c r="U64" s="67">
        <f>IF(ISNUMBER(tblY10[[#This Row],[4B02 - Organisation
Raw Score]]),IFERROR(VLOOKUP(ROUND(STANDARDIZE(tblY10[[#This Row],[4B02 - Organisation
Raw Score]],AVERAGE(tblY10[[4B02 - Organisation
Raw Score]]),_xlfn.STDEV.P(tblY10[[4B02 - Organisation
Raw Score]])),9),_Stanine,2),5),"")</f>
        <v>6</v>
      </c>
      <c r="V64" s="66" t="n">
        <v>19</v>
      </c>
      <c r="W64" s="67">
        <f>IF(ISNUMBER(tblY10[[#This Row],[4C02 - Bonding
Raw Score]]),IFERROR(VLOOKUP(ROUND(STANDARDIZE(tblY10[[#This Row],[4C02 - Bonding
Raw Score]],AVERAGE(tblY10[[4C02 - Bonding
Raw Score]]),_xlfn.STDEV.P(tblY10[[4C02 - Bonding
Raw Score]])),9),_Stanine,2),5),"")</f>
        <v>4</v>
      </c>
    </row>
    <row r="65">
      <c r="A65" s="65" t="inlineStr">
        <is>
          <t>X906055324091</t>
        </is>
      </c>
      <c r="B65" s="65" t="inlineStr">
        <is>
          <t>Hughes</t>
        </is>
      </c>
      <c r="C65" s="65" t="inlineStr">
        <is>
          <t>Arthur</t>
        </is>
      </c>
      <c r="D65" s="66" t="inlineStr">
        <is>
          <t>F</t>
        </is>
      </c>
      <c r="E65" s="66" t="n"/>
      <c r="F65" s="66" t="inlineStr">
        <is>
          <t>N</t>
        </is>
      </c>
      <c r="G65" s="34" t="n">
        <v>90.40000000000001</v>
      </c>
      <c r="H65" s="34" t="n">
        <v>105</v>
      </c>
      <c r="I65" s="67">
        <f>IF(ISNUMBER(tblY10[[#This Row],[Avg KS2]]),IFERROR(VLOOKUP(ROUND(STANDARDIZE(tblY10[[#This Row],[Avg KS2]],AVERAGE(tblY10[[Avg KS2]]),_xlfn.STDEV.P(tblY10[[Avg KS2]])),9),_Stanine,2),5),"")</f>
        <v>6</v>
      </c>
      <c r="J65" s="66" t="inlineStr">
        <is>
          <t>10S/Sc3</t>
        </is>
      </c>
      <c r="K65" s="67">
        <f>IF(tblY10[[#This Row],[Preferred Last name]]="","",COUNTIFS($N$1:$ZZ$1,"*"&amp;CHAR(10)&amp;"Stanine",$N65:$ZZ65,"&gt;=1"))</f>
        <v>5</v>
      </c>
      <c r="L65" s="68">
        <f>IFERROR(AVERAGEIF($N$1:$ZZ$1,"*"&amp;CHAR(10)&amp;"Stanine",$N65:$ZZ65),"")</f>
        <v>4.6</v>
      </c>
      <c r="M65" s="69">
        <f>IF(AND(ISNUMBER(tblY10[[#This Row],[Mean Stanine]]),ISNUMBER(tblY10[[#This Row],[Avg KS2 Band]]),ISNUMBER(SlopeY10)),tblY10[[#This Row],[Mean Stanine]]-(InterceptY10+SlopeY10*tblY10[[#This Row],[Avg KS2 Band]]),"")</f>
        <v>-1.15413442880652</v>
      </c>
      <c r="N65" s="66" t="n">
        <v>21</v>
      </c>
      <c r="O65" s="67">
        <f>IF(ISNUMBER(tblY10[[#This Row],[4B01 - Cell Biology
Raw Score]]),IFERROR(VLOOKUP(ROUND(STANDARDIZE(tblY10[[#This Row],[4B01 - Cell Biology
Raw Score]],AVERAGE(tblY10[[4B01 - Cell Biology
Raw Score]]),_xlfn.STDEV.P(tblY10[[4B01 - Cell Biology
Raw Score]])),9),_Stanine,2),5),"")</f>
        <v>5</v>
      </c>
      <c r="P65" s="66" t="n">
        <v>16</v>
      </c>
      <c r="Q65" s="67">
        <f>IF(ISNUMBER(tblY10[[#This Row],[4C01 - Atomic Structure
Raw Score]]),IFERROR(VLOOKUP(ROUND(STANDARDIZE(tblY10[[#This Row],[4C01 - Atomic Structure
Raw Score]],AVERAGE(tblY10[[4C01 - Atomic Structure
Raw Score]]),_xlfn.STDEV.P(tblY10[[4C01 - Atomic Structure
Raw Score]])),9),_Stanine,2),5),"")</f>
        <v>5</v>
      </c>
      <c r="R65" s="66" t="n">
        <v>13</v>
      </c>
      <c r="S65" s="67">
        <f>IF(ISNUMBER(tblY10[[#This Row],[4P01 - Energy
Raw Score]]),IFERROR(VLOOKUP(ROUND(STANDARDIZE(tblY10[[#This Row],[4P01 - Energy
Raw Score]],AVERAGE(tblY10[[4P01 - Energy
Raw Score]]),_xlfn.STDEV.P(tblY10[[4P01 - Energy
Raw Score]])),9),_Stanine,2),5),"")</f>
        <v>4</v>
      </c>
      <c r="T65" s="66" t="n">
        <v>21</v>
      </c>
      <c r="U65" s="67">
        <f>IF(ISNUMBER(tblY10[[#This Row],[4B02 - Organisation
Raw Score]]),IFERROR(VLOOKUP(ROUND(STANDARDIZE(tblY10[[#This Row],[4B02 - Organisation
Raw Score]],AVERAGE(tblY10[[4B02 - Organisation
Raw Score]]),_xlfn.STDEV.P(tblY10[[4B02 - Organisation
Raw Score]])),9),_Stanine,2),5),"")</f>
        <v>5</v>
      </c>
      <c r="V65" s="66" t="n">
        <v>18</v>
      </c>
      <c r="W65" s="67">
        <f>IF(ISNUMBER(tblY10[[#This Row],[4C02 - Bonding
Raw Score]]),IFERROR(VLOOKUP(ROUND(STANDARDIZE(tblY10[[#This Row],[4C02 - Bonding
Raw Score]],AVERAGE(tblY10[[4C02 - Bonding
Raw Score]]),_xlfn.STDEV.P(tblY10[[4C02 - Bonding
Raw Score]])),9),_Stanine,2),5),"")</f>
        <v>4</v>
      </c>
    </row>
    <row r="66">
      <c r="A66" s="65" t="inlineStr">
        <is>
          <t>X900260520280</t>
        </is>
      </c>
      <c r="B66" s="65" t="inlineStr">
        <is>
          <t>Hughes</t>
        </is>
      </c>
      <c r="C66" s="65" t="inlineStr">
        <is>
          <t>Ibrahim</t>
        </is>
      </c>
      <c r="D66" s="66" t="inlineStr">
        <is>
          <t>M</t>
        </is>
      </c>
      <c r="E66" s="66" t="inlineStr">
        <is>
          <t>K</t>
        </is>
      </c>
      <c r="F66" s="66" t="inlineStr">
        <is>
          <t>N</t>
        </is>
      </c>
      <c r="G66" s="34" t="n">
        <v>78.3</v>
      </c>
      <c r="H66" s="34" t="n">
        <v>96.5</v>
      </c>
      <c r="I66" s="67">
        <f>IF(ISNUMBER(tblY10[[#This Row],[Avg KS2]]),IFERROR(VLOOKUP(ROUND(STANDARDIZE(tblY10[[#This Row],[Avg KS2]],AVERAGE(tblY10[[Avg KS2]]),_xlfn.STDEV.P(tblY10[[Avg KS2]])),9),_Stanine,2),5),"")</f>
        <v>3</v>
      </c>
      <c r="J66" s="66" t="inlineStr">
        <is>
          <t>10S/Sc3</t>
        </is>
      </c>
      <c r="K66" s="67">
        <f>IF(tblY10[[#This Row],[Preferred Last name]]="","",COUNTIFS($N$1:$ZZ$1,"*"&amp;CHAR(10)&amp;"Stanine",$N66:$ZZ66,"&gt;=1"))</f>
        <v>5</v>
      </c>
      <c r="L66" s="68">
        <f>IFERROR(AVERAGEIF($N$1:$ZZ$1,"*"&amp;CHAR(10)&amp;"Stanine",$N66:$ZZ66),"")</f>
        <v>2.8</v>
      </c>
      <c r="M66" s="69">
        <f>IF(AND(ISNUMBER(tblY10[[#This Row],[Mean Stanine]]),ISNUMBER(tblY10[[#This Row],[Avg KS2 Band]]),ISNUMBER(SlopeY10)),tblY10[[#This Row],[Mean Stanine]]-(InterceptY10+SlopeY10*tblY10[[#This Row],[Avg KS2 Band]]),"")</f>
        <v>-0.512127575958537</v>
      </c>
      <c r="N66" s="66" t="n">
        <v>16</v>
      </c>
      <c r="O66" s="67">
        <f>IF(ISNUMBER(tblY10[[#This Row],[4B01 - Cell Biology
Raw Score]]),IFERROR(VLOOKUP(ROUND(STANDARDIZE(tblY10[[#This Row],[4B01 - Cell Biology
Raw Score]],AVERAGE(tblY10[[4B01 - Cell Biology
Raw Score]]),_xlfn.STDEV.P(tblY10[[4B01 - Cell Biology
Raw Score]])),9),_Stanine,2),5),"")</f>
        <v>4</v>
      </c>
      <c r="P66" s="66" t="n">
        <v>6</v>
      </c>
      <c r="Q66" s="67">
        <f>IF(ISNUMBER(tblY10[[#This Row],[4C01 - Atomic Structure
Raw Score]]),IFERROR(VLOOKUP(ROUND(STANDARDIZE(tblY10[[#This Row],[4C01 - Atomic Structure
Raw Score]],AVERAGE(tblY10[[4C01 - Atomic Structure
Raw Score]]),_xlfn.STDEV.P(tblY10[[4C01 - Atomic Structure
Raw Score]])),9),_Stanine,2),5),"")</f>
        <v>2</v>
      </c>
      <c r="R66" s="66" t="n">
        <v>6</v>
      </c>
      <c r="S66" s="67">
        <f>IF(ISNUMBER(tblY10[[#This Row],[4P01 - Energy
Raw Score]]),IFERROR(VLOOKUP(ROUND(STANDARDIZE(tblY10[[#This Row],[4P01 - Energy
Raw Score]],AVERAGE(tblY10[[4P01 - Energy
Raw Score]]),_xlfn.STDEV.P(tblY10[[4P01 - Energy
Raw Score]])),9),_Stanine,2),5),"")</f>
        <v>3</v>
      </c>
      <c r="T66" s="66" t="n">
        <v>15</v>
      </c>
      <c r="U66" s="67">
        <f>IF(ISNUMBER(tblY10[[#This Row],[4B02 - Organisation
Raw Score]]),IFERROR(VLOOKUP(ROUND(STANDARDIZE(tblY10[[#This Row],[4B02 - Organisation
Raw Score]],AVERAGE(tblY10[[4B02 - Organisation
Raw Score]]),_xlfn.STDEV.P(tblY10[[4B02 - Organisation
Raw Score]])),9),_Stanine,2),5),"")</f>
        <v>3</v>
      </c>
      <c r="V66" s="66" t="n">
        <v>10</v>
      </c>
      <c r="W66" s="67">
        <f>IF(ISNUMBER(tblY10[[#This Row],[4C02 - Bonding
Raw Score]]),IFERROR(VLOOKUP(ROUND(STANDARDIZE(tblY10[[#This Row],[4C02 - Bonding
Raw Score]],AVERAGE(tblY10[[4C02 - Bonding
Raw Score]]),_xlfn.STDEV.P(tblY10[[4C02 - Bonding
Raw Score]])),9),_Stanine,2),5),"")</f>
        <v>2</v>
      </c>
    </row>
    <row r="67">
      <c r="A67" s="65" t="inlineStr">
        <is>
          <t>X902446461816</t>
        </is>
      </c>
      <c r="B67" s="65" t="inlineStr">
        <is>
          <t>Jones</t>
        </is>
      </c>
      <c r="C67" s="65" t="inlineStr">
        <is>
          <t>Kai</t>
        </is>
      </c>
      <c r="D67" s="66" t="inlineStr">
        <is>
          <t>F</t>
        </is>
      </c>
      <c r="E67" s="66" t="n"/>
      <c r="F67" s="66" t="inlineStr">
        <is>
          <t>Y</t>
        </is>
      </c>
      <c r="G67" s="34" t="n">
        <v>100</v>
      </c>
      <c r="H67" s="34" t="n">
        <v>98</v>
      </c>
      <c r="I67" s="67">
        <f>IF(ISNUMBER(tblY10[[#This Row],[Avg KS2]]),IFERROR(VLOOKUP(ROUND(STANDARDIZE(tblY10[[#This Row],[Avg KS2]],AVERAGE(tblY10[[Avg KS2]]),_xlfn.STDEV.P(tblY10[[Avg KS2]])),9),_Stanine,2),5),"")</f>
        <v>3</v>
      </c>
      <c r="J67" s="66" t="inlineStr">
        <is>
          <t>10S/Sc3</t>
        </is>
      </c>
      <c r="K67" s="67">
        <f>IF(tblY10[[#This Row],[Preferred Last name]]="","",COUNTIFS($N$1:$ZZ$1,"*"&amp;CHAR(10)&amp;"Stanine",$N67:$ZZ67,"&gt;=1"))</f>
        <v>5</v>
      </c>
      <c r="L67" s="68">
        <f>IFERROR(AVERAGEIF($N$1:$ZZ$1,"*"&amp;CHAR(10)&amp;"Stanine",$N67:$ZZ67),"")</f>
        <v>3.4</v>
      </c>
      <c r="M67" s="69">
        <f>IF(AND(ISNUMBER(tblY10[[#This Row],[Mean Stanine]]),ISNUMBER(tblY10[[#This Row],[Avg KS2 Band]]),ISNUMBER(SlopeY10)),tblY10[[#This Row],[Mean Stanine]]-(InterceptY10+SlopeY10*tblY10[[#This Row],[Avg KS2 Band]]),"")</f>
        <v>0.0878724240414632</v>
      </c>
      <c r="N67" s="66" t="n">
        <v>14</v>
      </c>
      <c r="O67" s="67">
        <f>IF(ISNUMBER(tblY10[[#This Row],[4B01 - Cell Biology
Raw Score]]),IFERROR(VLOOKUP(ROUND(STANDARDIZE(tblY10[[#This Row],[4B01 - Cell Biology
Raw Score]],AVERAGE(tblY10[[4B01 - Cell Biology
Raw Score]]),_xlfn.STDEV.P(tblY10[[4B01 - Cell Biology
Raw Score]])),9),_Stanine,2),5),"")</f>
        <v>4</v>
      </c>
      <c r="P67" s="66" t="n">
        <v>11</v>
      </c>
      <c r="Q67" s="67">
        <f>IF(ISNUMBER(tblY10[[#This Row],[4C01 - Atomic Structure
Raw Score]]),IFERROR(VLOOKUP(ROUND(STANDARDIZE(tblY10[[#This Row],[4C01 - Atomic Structure
Raw Score]],AVERAGE(tblY10[[4C01 - Atomic Structure
Raw Score]]),_xlfn.STDEV.P(tblY10[[4C01 - Atomic Structure
Raw Score]])),9),_Stanine,2),5),"")</f>
        <v>3</v>
      </c>
      <c r="R67" s="66" t="n">
        <v>11</v>
      </c>
      <c r="S67" s="67">
        <f>IF(ISNUMBER(tblY10[[#This Row],[4P01 - Energy
Raw Score]]),IFERROR(VLOOKUP(ROUND(STANDARDIZE(tblY10[[#This Row],[4P01 - Energy
Raw Score]],AVERAGE(tblY10[[4P01 - Energy
Raw Score]]),_xlfn.STDEV.P(tblY10[[4P01 - Energy
Raw Score]])),9),_Stanine,2),5),"")</f>
        <v>4</v>
      </c>
      <c r="T67" s="66" t="n">
        <v>15</v>
      </c>
      <c r="U67" s="67">
        <f>IF(ISNUMBER(tblY10[[#This Row],[4B02 - Organisation
Raw Score]]),IFERROR(VLOOKUP(ROUND(STANDARDIZE(tblY10[[#This Row],[4B02 - Organisation
Raw Score]],AVERAGE(tblY10[[4B02 - Organisation
Raw Score]]),_xlfn.STDEV.P(tblY10[[4B02 - Organisation
Raw Score]])),9),_Stanine,2),5),"")</f>
        <v>3</v>
      </c>
      <c r="V67" s="66" t="n">
        <v>14</v>
      </c>
      <c r="W67" s="67">
        <f>IF(ISNUMBER(tblY10[[#This Row],[4C02 - Bonding
Raw Score]]),IFERROR(VLOOKUP(ROUND(STANDARDIZE(tblY10[[#This Row],[4C02 - Bonding
Raw Score]],AVERAGE(tblY10[[4C02 - Bonding
Raw Score]]),_xlfn.STDEV.P(tblY10[[4C02 - Bonding
Raw Score]])),9),_Stanine,2),5),"")</f>
        <v>3</v>
      </c>
    </row>
    <row r="68">
      <c r="A68" s="65" t="inlineStr">
        <is>
          <t>X906342193119</t>
        </is>
      </c>
      <c r="B68" s="65" t="inlineStr">
        <is>
          <t>Kowalski</t>
        </is>
      </c>
      <c r="C68" s="65" t="inlineStr">
        <is>
          <t>Amara</t>
        </is>
      </c>
      <c r="D68" s="66" t="inlineStr">
        <is>
          <t>F</t>
        </is>
      </c>
      <c r="E68" s="66" t="inlineStr">
        <is>
          <t>K</t>
        </is>
      </c>
      <c r="F68" s="66" t="inlineStr">
        <is>
          <t>N</t>
        </is>
      </c>
      <c r="G68" s="34" t="n">
        <v>79</v>
      </c>
      <c r="H68" s="34" t="n">
        <v>98.5</v>
      </c>
      <c r="I68" s="67">
        <f>IF(ISNUMBER(tblY10[[#This Row],[Avg KS2]]),IFERROR(VLOOKUP(ROUND(STANDARDIZE(tblY10[[#This Row],[Avg KS2]],AVERAGE(tblY10[[Avg KS2]]),_xlfn.STDEV.P(tblY10[[Avg KS2]])),9),_Stanine,2),5),"")</f>
        <v>4</v>
      </c>
      <c r="J68" s="66" t="inlineStr">
        <is>
          <t>10S/Sc3</t>
        </is>
      </c>
      <c r="K68" s="67">
        <f>IF(tblY10[[#This Row],[Preferred Last name]]="","",COUNTIFS($N$1:$ZZ$1,"*"&amp;CHAR(10)&amp;"Stanine",$N68:$ZZ68,"&gt;=1"))</f>
        <v>4</v>
      </c>
      <c r="L68" s="68">
        <f>IFERROR(AVERAGEIF($N$1:$ZZ$1,"*"&amp;CHAR(10)&amp;"Stanine",$N68:$ZZ68),"")</f>
        <v>3.75</v>
      </c>
      <c r="M68" s="69">
        <f>IF(AND(ISNUMBER(tblY10[[#This Row],[Mean Stanine]]),ISNUMBER(tblY10[[#This Row],[Avg KS2 Band]]),ISNUMBER(SlopeY10)),tblY10[[#This Row],[Mean Stanine]]-(InterceptY10+SlopeY10*tblY10[[#This Row],[Avg KS2 Band]]),"")</f>
        <v>-0.376129860241199</v>
      </c>
      <c r="N68" s="66" t="inlineStr">
        <is>
          <t>A</t>
        </is>
      </c>
      <c r="O68" s="67" t="str">
        <f>IF(ISNUMBER(tblY10[[#This Row],[4B01 - Cell Biology
Raw Score]]),IFERROR(VLOOKUP(ROUND(STANDARDIZE(tblY10[[#This Row],[4B01 - Cell Biology
Raw Score]],AVERAGE(tblY10[[4B01 - Cell Biology
Raw Score]]),_xlfn.STDEV.P(tblY10[[4B01 - Cell Biology
Raw Score]])),9),_Stanine,2),5),"")</f>
        <v/>
      </c>
      <c r="P68" s="66" t="n">
        <v>13</v>
      </c>
      <c r="Q68" s="67">
        <f>IF(ISNUMBER(tblY10[[#This Row],[4C01 - Atomic Structure
Raw Score]]),IFERROR(VLOOKUP(ROUND(STANDARDIZE(tblY10[[#This Row],[4C01 - Atomic Structure
Raw Score]],AVERAGE(tblY10[[4C01 - Atomic Structure
Raw Score]]),_xlfn.STDEV.P(tblY10[[4C01 - Atomic Structure
Raw Score]])),9),_Stanine,2),5),"")</f>
        <v>4</v>
      </c>
      <c r="R68" s="66" t="n">
        <v>12</v>
      </c>
      <c r="S68" s="67">
        <f>IF(ISNUMBER(tblY10[[#This Row],[4P01 - Energy
Raw Score]]),IFERROR(VLOOKUP(ROUND(STANDARDIZE(tblY10[[#This Row],[4P01 - Energy
Raw Score]],AVERAGE(tblY10[[4P01 - Energy
Raw Score]]),_xlfn.STDEV.P(tblY10[[4P01 - Energy
Raw Score]])),9),_Stanine,2),5),"")</f>
        <v>4</v>
      </c>
      <c r="T68" s="66" t="n">
        <v>14</v>
      </c>
      <c r="U68" s="67">
        <f>IF(ISNUMBER(tblY10[[#This Row],[4B02 - Organisation
Raw Score]]),IFERROR(VLOOKUP(ROUND(STANDARDIZE(tblY10[[#This Row],[4B02 - Organisation
Raw Score]],AVERAGE(tblY10[[4B02 - Organisation
Raw Score]]),_xlfn.STDEV.P(tblY10[[4B02 - Organisation
Raw Score]])),9),_Stanine,2),5),"")</f>
        <v>3</v>
      </c>
      <c r="V68" s="66" t="n">
        <v>18</v>
      </c>
      <c r="W68" s="67">
        <f>IF(ISNUMBER(tblY10[[#This Row],[4C02 - Bonding
Raw Score]]),IFERROR(VLOOKUP(ROUND(STANDARDIZE(tblY10[[#This Row],[4C02 - Bonding
Raw Score]],AVERAGE(tblY10[[4C02 - Bonding
Raw Score]]),_xlfn.STDEV.P(tblY10[[4C02 - Bonding
Raw Score]])),9),_Stanine,2),5),"")</f>
        <v>4</v>
      </c>
    </row>
    <row r="69">
      <c r="A69" s="65" t="inlineStr">
        <is>
          <t>X901188926842</t>
        </is>
      </c>
      <c r="B69" s="65" t="inlineStr">
        <is>
          <t>Kowalski</t>
        </is>
      </c>
      <c r="C69" s="65" t="inlineStr">
        <is>
          <t>Arjun</t>
        </is>
      </c>
      <c r="D69" s="66" t="inlineStr">
        <is>
          <t>M</t>
        </is>
      </c>
      <c r="E69" s="66" t="inlineStr">
        <is>
          <t>N</t>
        </is>
      </c>
      <c r="F69" s="66" t="inlineStr">
        <is>
          <t>Y</t>
        </is>
      </c>
      <c r="G69" s="34" t="n">
        <v>94.8</v>
      </c>
      <c r="H69" s="34" t="n">
        <v>103</v>
      </c>
      <c r="I69" s="67">
        <f>IF(ISNUMBER(tblY10[[#This Row],[Avg KS2]]),IFERROR(VLOOKUP(ROUND(STANDARDIZE(tblY10[[#This Row],[Avg KS2]],AVERAGE(tblY10[[Avg KS2]]),_xlfn.STDEV.P(tblY10[[Avg KS2]])),9),_Stanine,2),5),"")</f>
        <v>5</v>
      </c>
      <c r="J69" s="66" t="inlineStr">
        <is>
          <t>10S/Sc3</t>
        </is>
      </c>
      <c r="K69" s="67">
        <f>IF(tblY10[[#This Row],[Preferred Last name]]="","",COUNTIFS($N$1:$ZZ$1,"*"&amp;CHAR(10)&amp;"Stanine",$N69:$ZZ69,"&gt;=1"))</f>
        <v>5</v>
      </c>
      <c r="L69" s="68">
        <f>IFERROR(AVERAGEIF($N$1:$ZZ$1,"*"&amp;CHAR(10)&amp;"Stanine",$N69:$ZZ69),"")</f>
        <v>6</v>
      </c>
      <c r="M69" s="69">
        <f>IF(AND(ISNUMBER(tblY10[[#This Row],[Mean Stanine]]),ISNUMBER(tblY10[[#This Row],[Avg KS2 Band]]),ISNUMBER(SlopeY10)),tblY10[[#This Row],[Mean Stanine]]-(InterceptY10+SlopeY10*tblY10[[#This Row],[Avg KS2 Band]]),"")</f>
        <v>1.05986785547614</v>
      </c>
      <c r="N69" s="66" t="n">
        <v>20</v>
      </c>
      <c r="O69" s="67">
        <f>IF(ISNUMBER(tblY10[[#This Row],[4B01 - Cell Biology
Raw Score]]),IFERROR(VLOOKUP(ROUND(STANDARDIZE(tblY10[[#This Row],[4B01 - Cell Biology
Raw Score]],AVERAGE(tblY10[[4B01 - Cell Biology
Raw Score]]),_xlfn.STDEV.P(tblY10[[4B01 - Cell Biology
Raw Score]])),9),_Stanine,2),5),"")</f>
        <v>5</v>
      </c>
      <c r="P69" s="66" t="n">
        <v>23</v>
      </c>
      <c r="Q69" s="67">
        <f>IF(ISNUMBER(tblY10[[#This Row],[4C01 - Atomic Structure
Raw Score]]),IFERROR(VLOOKUP(ROUND(STANDARDIZE(tblY10[[#This Row],[4C01 - Atomic Structure
Raw Score]],AVERAGE(tblY10[[4C01 - Atomic Structure
Raw Score]]),_xlfn.STDEV.P(tblY10[[4C01 - Atomic Structure
Raw Score]])),9),_Stanine,2),5),"")</f>
        <v>6</v>
      </c>
      <c r="R69" s="66" t="n">
        <v>23</v>
      </c>
      <c r="S69" s="67">
        <f>IF(ISNUMBER(tblY10[[#This Row],[4P01 - Energy
Raw Score]]),IFERROR(VLOOKUP(ROUND(STANDARDIZE(tblY10[[#This Row],[4P01 - Energy
Raw Score]],AVERAGE(tblY10[[4P01 - Energy
Raw Score]]),_xlfn.STDEV.P(tblY10[[4P01 - Energy
Raw Score]])),9),_Stanine,2),5),"")</f>
        <v>7</v>
      </c>
      <c r="T69" s="66" t="n">
        <v>28</v>
      </c>
      <c r="U69" s="67">
        <f>IF(ISNUMBER(tblY10[[#This Row],[4B02 - Organisation
Raw Score]]),IFERROR(VLOOKUP(ROUND(STANDARDIZE(tblY10[[#This Row],[4B02 - Organisation
Raw Score]],AVERAGE(tblY10[[4B02 - Organisation
Raw Score]]),_xlfn.STDEV.P(tblY10[[4B02 - Organisation
Raw Score]])),9),_Stanine,2),5),"")</f>
        <v>6</v>
      </c>
      <c r="V69" s="66" t="n">
        <v>26</v>
      </c>
      <c r="W69" s="67">
        <f>IF(ISNUMBER(tblY10[[#This Row],[4C02 - Bonding
Raw Score]]),IFERROR(VLOOKUP(ROUND(STANDARDIZE(tblY10[[#This Row],[4C02 - Bonding
Raw Score]],AVERAGE(tblY10[[4C02 - Bonding
Raw Score]]),_xlfn.STDEV.P(tblY10[[4C02 - Bonding
Raw Score]])),9),_Stanine,2),5),"")</f>
        <v>6</v>
      </c>
    </row>
    <row r="70">
      <c r="A70" s="65" t="inlineStr">
        <is>
          <t>X908879432086</t>
        </is>
      </c>
      <c r="B70" s="65" t="inlineStr">
        <is>
          <t>Nowak</t>
        </is>
      </c>
      <c r="C70" s="65" t="inlineStr">
        <is>
          <t>Ella</t>
        </is>
      </c>
      <c r="D70" s="66" t="inlineStr">
        <is>
          <t>M</t>
        </is>
      </c>
      <c r="E70" s="66" t="inlineStr">
        <is>
          <t>N</t>
        </is>
      </c>
      <c r="F70" s="66" t="inlineStr">
        <is>
          <t>N</t>
        </is>
      </c>
      <c r="G70" s="34" t="n">
        <v>95.3</v>
      </c>
      <c r="H70" s="34" t="n">
        <v>97.5</v>
      </c>
      <c r="I70" s="67">
        <f>IF(ISNUMBER(tblY10[[#This Row],[Avg KS2]]),IFERROR(VLOOKUP(ROUND(STANDARDIZE(tblY10[[#This Row],[Avg KS2]],AVERAGE(tblY10[[Avg KS2]]),_xlfn.STDEV.P(tblY10[[Avg KS2]])),9),_Stanine,2),5),"")</f>
        <v>3</v>
      </c>
      <c r="J70" s="66" t="inlineStr">
        <is>
          <t>10S/Sc3</t>
        </is>
      </c>
      <c r="K70" s="67">
        <f>IF(tblY10[[#This Row],[Preferred Last name]]="","",COUNTIFS($N$1:$ZZ$1,"*"&amp;CHAR(10)&amp;"Stanine",$N70:$ZZ70,"&gt;=1"))</f>
        <v>4</v>
      </c>
      <c r="L70" s="68">
        <f>IFERROR(AVERAGEIF($N$1:$ZZ$1,"*"&amp;CHAR(10)&amp;"Stanine",$N70:$ZZ70),"")</f>
        <v>4</v>
      </c>
      <c r="M70" s="69">
        <f>IF(AND(ISNUMBER(tblY10[[#This Row],[Mean Stanine]]),ISNUMBER(tblY10[[#This Row],[Avg KS2 Band]]),ISNUMBER(SlopeY10)),tblY10[[#This Row],[Mean Stanine]]-(InterceptY10+SlopeY10*tblY10[[#This Row],[Avg KS2 Band]]),"")</f>
        <v>0.687872424041463</v>
      </c>
      <c r="N70" s="66" t="n">
        <v>9</v>
      </c>
      <c r="O70" s="67">
        <f>IF(ISNUMBER(tblY10[[#This Row],[4B01 - Cell Biology
Raw Score]]),IFERROR(VLOOKUP(ROUND(STANDARDIZE(tblY10[[#This Row],[4B01 - Cell Biology
Raw Score]],AVERAGE(tblY10[[4B01 - Cell Biology
Raw Score]]),_xlfn.STDEV.P(tblY10[[4B01 - Cell Biology
Raw Score]])),9),_Stanine,2),5),"")</f>
        <v>3</v>
      </c>
      <c r="P70" s="66" t="n">
        <v>13</v>
      </c>
      <c r="Q70" s="67">
        <f>IF(ISNUMBER(tblY10[[#This Row],[4C01 - Atomic Structure
Raw Score]]),IFERROR(VLOOKUP(ROUND(STANDARDIZE(tblY10[[#This Row],[4C01 - Atomic Structure
Raw Score]],AVERAGE(tblY10[[4C01 - Atomic Structure
Raw Score]]),_xlfn.STDEV.P(tblY10[[4C01 - Atomic Structure
Raw Score]])),9),_Stanine,2),5),"")</f>
        <v>4</v>
      </c>
      <c r="R70" s="66" t="inlineStr">
        <is>
          <t>A</t>
        </is>
      </c>
      <c r="S70" s="67" t="str">
        <f>IF(ISNUMBER(tblY10[[#This Row],[4P01 - Energy
Raw Score]]),IFERROR(VLOOKUP(ROUND(STANDARDIZE(tblY10[[#This Row],[4P01 - Energy
Raw Score]],AVERAGE(tblY10[[4P01 - Energy
Raw Score]]),_xlfn.STDEV.P(tblY10[[4P01 - Energy
Raw Score]])),9),_Stanine,2),5),"")</f>
        <v/>
      </c>
      <c r="T70" s="66" t="n">
        <v>21</v>
      </c>
      <c r="U70" s="67">
        <f>IF(ISNUMBER(tblY10[[#This Row],[4B02 - Organisation
Raw Score]]),IFERROR(VLOOKUP(ROUND(STANDARDIZE(tblY10[[#This Row],[4B02 - Organisation
Raw Score]],AVERAGE(tblY10[[4B02 - Organisation
Raw Score]]),_xlfn.STDEV.P(tblY10[[4B02 - Organisation
Raw Score]])),9),_Stanine,2),5),"")</f>
        <v>5</v>
      </c>
      <c r="V70" s="66" t="n">
        <v>17</v>
      </c>
      <c r="W70" s="67">
        <f>IF(ISNUMBER(tblY10[[#This Row],[4C02 - Bonding
Raw Score]]),IFERROR(VLOOKUP(ROUND(STANDARDIZE(tblY10[[#This Row],[4C02 - Bonding
Raw Score]],AVERAGE(tblY10[[4C02 - Bonding
Raw Score]]),_xlfn.STDEV.P(tblY10[[4C02 - Bonding
Raw Score]])),9),_Stanine,2),5),"")</f>
        <v>4</v>
      </c>
    </row>
    <row r="71">
      <c r="A71" s="65" t="inlineStr">
        <is>
          <t>X905359028264</t>
        </is>
      </c>
      <c r="B71" s="65" t="inlineStr">
        <is>
          <t>Patel</t>
        </is>
      </c>
      <c r="C71" s="65" t="inlineStr">
        <is>
          <t>Arjun</t>
        </is>
      </c>
      <c r="D71" s="66" t="inlineStr">
        <is>
          <t>F</t>
        </is>
      </c>
      <c r="E71" s="66" t="inlineStr">
        <is>
          <t>N</t>
        </is>
      </c>
      <c r="F71" s="66" t="inlineStr">
        <is>
          <t>N</t>
        </is>
      </c>
      <c r="G71" s="34" t="n">
        <v>92.8</v>
      </c>
      <c r="H71" s="34" t="n">
        <v>108.5</v>
      </c>
      <c r="I71" s="67">
        <f>IF(ISNUMBER(tblY10[[#This Row],[Avg KS2]]),IFERROR(VLOOKUP(ROUND(STANDARDIZE(tblY10[[#This Row],[Avg KS2]],AVERAGE(tblY10[[Avg KS2]]),_xlfn.STDEV.P(tblY10[[Avg KS2]])),9),_Stanine,2),5),"")</f>
        <v>7</v>
      </c>
      <c r="J71" s="66" t="inlineStr">
        <is>
          <t>10S/Sc3</t>
        </is>
      </c>
      <c r="K71" s="67">
        <f>IF(tblY10[[#This Row],[Preferred Last name]]="","",COUNTIFS($N$1:$ZZ$1,"*"&amp;CHAR(10)&amp;"Stanine",$N71:$ZZ71,"&gt;=1"))</f>
        <v>5</v>
      </c>
      <c r="L71" s="68">
        <f>IFERROR(AVERAGEIF($N$1:$ZZ$1,"*"&amp;CHAR(10)&amp;"Stanine",$N71:$ZZ71),"")</f>
        <v>5.8</v>
      </c>
      <c r="M71" s="69">
        <f>IF(AND(ISNUMBER(tblY10[[#This Row],[Mean Stanine]]),ISNUMBER(tblY10[[#This Row],[Avg KS2 Band]]),ISNUMBER(SlopeY10)),tblY10[[#This Row],[Mean Stanine]]-(InterceptY10+SlopeY10*tblY10[[#This Row],[Avg KS2 Band]]),"")</f>
        <v>-0.768136713089186</v>
      </c>
      <c r="N71" s="66" t="n">
        <v>18</v>
      </c>
      <c r="O71" s="67">
        <f>IF(ISNUMBER(tblY10[[#This Row],[4B01 - Cell Biology
Raw Score]]),IFERROR(VLOOKUP(ROUND(STANDARDIZE(tblY10[[#This Row],[4B01 - Cell Biology
Raw Score]],AVERAGE(tblY10[[4B01 - Cell Biology
Raw Score]]),_xlfn.STDEV.P(tblY10[[4B01 - Cell Biology
Raw Score]])),9),_Stanine,2),5),"")</f>
        <v>5</v>
      </c>
      <c r="P71" s="66" t="n">
        <v>23</v>
      </c>
      <c r="Q71" s="67">
        <f>IF(ISNUMBER(tblY10[[#This Row],[4C01 - Atomic Structure
Raw Score]]),IFERROR(VLOOKUP(ROUND(STANDARDIZE(tblY10[[#This Row],[4C01 - Atomic Structure
Raw Score]],AVERAGE(tblY10[[4C01 - Atomic Structure
Raw Score]]),_xlfn.STDEV.P(tblY10[[4C01 - Atomic Structure
Raw Score]])),9),_Stanine,2),5),"")</f>
        <v>6</v>
      </c>
      <c r="R71" s="66" t="n">
        <v>15</v>
      </c>
      <c r="S71" s="67">
        <f>IF(ISNUMBER(tblY10[[#This Row],[4P01 - Energy
Raw Score]]),IFERROR(VLOOKUP(ROUND(STANDARDIZE(tblY10[[#This Row],[4P01 - Energy
Raw Score]],AVERAGE(tblY10[[4P01 - Energy
Raw Score]]),_xlfn.STDEV.P(tblY10[[4P01 - Energy
Raw Score]])),9),_Stanine,2),5),"")</f>
        <v>5</v>
      </c>
      <c r="T71" s="66" t="n">
        <v>26</v>
      </c>
      <c r="U71" s="67">
        <f>IF(ISNUMBER(tblY10[[#This Row],[4B02 - Organisation
Raw Score]]),IFERROR(VLOOKUP(ROUND(STANDARDIZE(tblY10[[#This Row],[4B02 - Organisation
Raw Score]],AVERAGE(tblY10[[4B02 - Organisation
Raw Score]]),_xlfn.STDEV.P(tblY10[[4B02 - Organisation
Raw Score]])),9),_Stanine,2),5),"")</f>
        <v>6</v>
      </c>
      <c r="V71" s="66" t="n">
        <v>32</v>
      </c>
      <c r="W71" s="67">
        <f>IF(ISNUMBER(tblY10[[#This Row],[4C02 - Bonding
Raw Score]]),IFERROR(VLOOKUP(ROUND(STANDARDIZE(tblY10[[#This Row],[4C02 - Bonding
Raw Score]],AVERAGE(tblY10[[4C02 - Bonding
Raw Score]]),_xlfn.STDEV.P(tblY10[[4C02 - Bonding
Raw Score]])),9),_Stanine,2),5),"")</f>
        <v>7</v>
      </c>
    </row>
    <row r="72">
      <c r="A72" s="65" t="inlineStr">
        <is>
          <t>X909055754789</t>
        </is>
      </c>
      <c r="B72" s="65" t="inlineStr">
        <is>
          <t>Shaw</t>
        </is>
      </c>
      <c r="C72" s="65" t="inlineStr">
        <is>
          <t>Arjun</t>
        </is>
      </c>
      <c r="D72" s="66" t="inlineStr">
        <is>
          <t>F</t>
        </is>
      </c>
      <c r="E72" s="66" t="n"/>
      <c r="F72" s="66" t="inlineStr">
        <is>
          <t>N</t>
        </is>
      </c>
      <c r="G72" s="34" t="n">
        <v>88.90000000000001</v>
      </c>
      <c r="H72" s="34" t="n">
        <v>111.5</v>
      </c>
      <c r="I72" s="67">
        <f>IF(ISNUMBER(tblY10[[#This Row],[Avg KS2]]),IFERROR(VLOOKUP(ROUND(STANDARDIZE(tblY10[[#This Row],[Avg KS2]],AVERAGE(tblY10[[Avg KS2]]),_xlfn.STDEV.P(tblY10[[Avg KS2]])),9),_Stanine,2),5),"")</f>
        <v>8</v>
      </c>
      <c r="J72" s="66" t="inlineStr">
        <is>
          <t>10S/Sc3</t>
        </is>
      </c>
      <c r="K72" s="67">
        <f>IF(tblY10[[#This Row],[Preferred Last name]]="","",COUNTIFS($N$1:$ZZ$1,"*"&amp;CHAR(10)&amp;"Stanine",$N72:$ZZ72,"&gt;=1"))</f>
        <v>5</v>
      </c>
      <c r="L72" s="68">
        <f>IFERROR(AVERAGEIF($N$1:$ZZ$1,"*"&amp;CHAR(10)&amp;"Stanine",$N72:$ZZ72),"")</f>
        <v>7.6</v>
      </c>
      <c r="M72" s="69">
        <f>IF(AND(ISNUMBER(tblY10[[#This Row],[Mean Stanine]]),ISNUMBER(tblY10[[#This Row],[Avg KS2 Band]]),ISNUMBER(SlopeY10)),tblY10[[#This Row],[Mean Stanine]]-(InterceptY10+SlopeY10*tblY10[[#This Row],[Avg KS2 Band]]),"")</f>
        <v>0.217861002628151</v>
      </c>
      <c r="N72" s="66" t="n">
        <v>31</v>
      </c>
      <c r="O72" s="67">
        <f>IF(ISNUMBER(tblY10[[#This Row],[4B01 - Cell Biology
Raw Score]]),IFERROR(VLOOKUP(ROUND(STANDARDIZE(tblY10[[#This Row],[4B01 - Cell Biology
Raw Score]],AVERAGE(tblY10[[4B01 - Cell Biology
Raw Score]]),_xlfn.STDEV.P(tblY10[[4B01 - Cell Biology
Raw Score]])),9),_Stanine,2),5),"")</f>
        <v>7</v>
      </c>
      <c r="P72" s="66" t="n">
        <v>28</v>
      </c>
      <c r="Q72" s="67">
        <f>IF(ISNUMBER(tblY10[[#This Row],[4C01 - Atomic Structure
Raw Score]]),IFERROR(VLOOKUP(ROUND(STANDARDIZE(tblY10[[#This Row],[4C01 - Atomic Structure
Raw Score]],AVERAGE(tblY10[[4C01 - Atomic Structure
Raw Score]]),_xlfn.STDEV.P(tblY10[[4C01 - Atomic Structure
Raw Score]])),9),_Stanine,2),5),"")</f>
        <v>8</v>
      </c>
      <c r="R72" s="66" t="n">
        <v>30</v>
      </c>
      <c r="S72" s="67">
        <f>IF(ISNUMBER(tblY10[[#This Row],[4P01 - Energy
Raw Score]]),IFERROR(VLOOKUP(ROUND(STANDARDIZE(tblY10[[#This Row],[4P01 - Energy
Raw Score]],AVERAGE(tblY10[[4P01 - Energy
Raw Score]]),_xlfn.STDEV.P(tblY10[[4P01 - Energy
Raw Score]])),9),_Stanine,2),5),"")</f>
        <v>9</v>
      </c>
      <c r="T72" s="66" t="n">
        <v>32</v>
      </c>
      <c r="U72" s="67">
        <f>IF(ISNUMBER(tblY10[[#This Row],[4B02 - Organisation
Raw Score]]),IFERROR(VLOOKUP(ROUND(STANDARDIZE(tblY10[[#This Row],[4B02 - Organisation
Raw Score]],AVERAGE(tblY10[[4B02 - Organisation
Raw Score]]),_xlfn.STDEV.P(tblY10[[4B02 - Organisation
Raw Score]])),9),_Stanine,2),5),"")</f>
        <v>7</v>
      </c>
      <c r="V72" s="66" t="n">
        <v>32</v>
      </c>
      <c r="W72" s="67">
        <f>IF(ISNUMBER(tblY10[[#This Row],[4C02 - Bonding
Raw Score]]),IFERROR(VLOOKUP(ROUND(STANDARDIZE(tblY10[[#This Row],[4C02 - Bonding
Raw Score]],AVERAGE(tblY10[[4C02 - Bonding
Raw Score]]),_xlfn.STDEV.P(tblY10[[4C02 - Bonding
Raw Score]])),9),_Stanine,2),5),"")</f>
        <v>7</v>
      </c>
    </row>
    <row r="73">
      <c r="A73" s="65" t="inlineStr">
        <is>
          <t>X905807786455</t>
        </is>
      </c>
      <c r="B73" s="65" t="inlineStr">
        <is>
          <t>Shaw</t>
        </is>
      </c>
      <c r="C73" s="65" t="inlineStr">
        <is>
          <t>Zara</t>
        </is>
      </c>
      <c r="D73" s="66" t="inlineStr">
        <is>
          <t>M</t>
        </is>
      </c>
      <c r="E73" s="66" t="inlineStr">
        <is>
          <t>K</t>
        </is>
      </c>
      <c r="F73" s="66" t="inlineStr">
        <is>
          <t>Y</t>
        </is>
      </c>
      <c r="G73" s="34" t="n">
        <v>89.2</v>
      </c>
      <c r="H73" s="34" t="n">
        <v>104</v>
      </c>
      <c r="I73" s="67">
        <f>IF(ISNUMBER(tblY10[[#This Row],[Avg KS2]]),IFERROR(VLOOKUP(ROUND(STANDARDIZE(tblY10[[#This Row],[Avg KS2]],AVERAGE(tblY10[[Avg KS2]]),_xlfn.STDEV.P(tblY10[[Avg KS2]])),9),_Stanine,2),5),"")</f>
        <v>5</v>
      </c>
      <c r="J73" s="66" t="inlineStr">
        <is>
          <t>10S/Sc3</t>
        </is>
      </c>
      <c r="K73" s="67">
        <f>IF(tblY10[[#This Row],[Preferred Last name]]="","",COUNTIFS($N$1:$ZZ$1,"*"&amp;CHAR(10)&amp;"Stanine",$N73:$ZZ73,"&gt;=1"))</f>
        <v>5</v>
      </c>
      <c r="L73" s="68">
        <f>IFERROR(AVERAGEIF($N$1:$ZZ$1,"*"&amp;CHAR(10)&amp;"Stanine",$N73:$ZZ73),"")</f>
        <v>4.2</v>
      </c>
      <c r="M73" s="69">
        <f>IF(AND(ISNUMBER(tblY10[[#This Row],[Mean Stanine]]),ISNUMBER(tblY10[[#This Row],[Avg KS2 Band]]),ISNUMBER(SlopeY10)),tblY10[[#This Row],[Mean Stanine]]-(InterceptY10+SlopeY10*tblY10[[#This Row],[Avg KS2 Band]]),"")</f>
        <v>-0.740132144523861</v>
      </c>
      <c r="N73" s="66" t="n">
        <v>19</v>
      </c>
      <c r="O73" s="67">
        <f>IF(ISNUMBER(tblY10[[#This Row],[4B01 - Cell Biology
Raw Score]]),IFERROR(VLOOKUP(ROUND(STANDARDIZE(tblY10[[#This Row],[4B01 - Cell Biology
Raw Score]],AVERAGE(tblY10[[4B01 - Cell Biology
Raw Score]]),_xlfn.STDEV.P(tblY10[[4B01 - Cell Biology
Raw Score]])),9),_Stanine,2),5),"")</f>
        <v>5</v>
      </c>
      <c r="P73" s="66" t="n">
        <v>15</v>
      </c>
      <c r="Q73" s="67">
        <f>IF(ISNUMBER(tblY10[[#This Row],[4C01 - Atomic Structure
Raw Score]]),IFERROR(VLOOKUP(ROUND(STANDARDIZE(tblY10[[#This Row],[4C01 - Atomic Structure
Raw Score]],AVERAGE(tblY10[[4C01 - Atomic Structure
Raw Score]]),_xlfn.STDEV.P(tblY10[[4C01 - Atomic Structure
Raw Score]])),9),_Stanine,2),5),"")</f>
        <v>4</v>
      </c>
      <c r="R73" s="66" t="n">
        <v>9</v>
      </c>
      <c r="S73" s="67">
        <f>IF(ISNUMBER(tblY10[[#This Row],[4P01 - Energy
Raw Score]]),IFERROR(VLOOKUP(ROUND(STANDARDIZE(tblY10[[#This Row],[4P01 - Energy
Raw Score]],AVERAGE(tblY10[[4P01 - Energy
Raw Score]]),_xlfn.STDEV.P(tblY10[[4P01 - Energy
Raw Score]])),9),_Stanine,2),5),"")</f>
        <v>3</v>
      </c>
      <c r="T73" s="66" t="n">
        <v>21</v>
      </c>
      <c r="U73" s="67">
        <f>IF(ISNUMBER(tblY10[[#This Row],[4B02 - Organisation
Raw Score]]),IFERROR(VLOOKUP(ROUND(STANDARDIZE(tblY10[[#This Row],[4B02 - Organisation
Raw Score]],AVERAGE(tblY10[[4B02 - Organisation
Raw Score]]),_xlfn.STDEV.P(tblY10[[4B02 - Organisation
Raw Score]])),9),_Stanine,2),5),"")</f>
        <v>5</v>
      </c>
      <c r="V73" s="66" t="n">
        <v>17</v>
      </c>
      <c r="W73" s="67">
        <f>IF(ISNUMBER(tblY10[[#This Row],[4C02 - Bonding
Raw Score]]),IFERROR(VLOOKUP(ROUND(STANDARDIZE(tblY10[[#This Row],[4C02 - Bonding
Raw Score]],AVERAGE(tblY10[[4C02 - Bonding
Raw Score]]),_xlfn.STDEV.P(tblY10[[4C02 - Bonding
Raw Score]])),9),_Stanine,2),5),"")</f>
        <v>4</v>
      </c>
    </row>
    <row r="74">
      <c r="A74" s="65" t="inlineStr">
        <is>
          <t>X904784464869</t>
        </is>
      </c>
      <c r="B74" s="65" t="inlineStr">
        <is>
          <t>Taylor</t>
        </is>
      </c>
      <c r="C74" s="65" t="inlineStr">
        <is>
          <t>Seren</t>
        </is>
      </c>
      <c r="D74" s="66" t="inlineStr">
        <is>
          <t>M</t>
        </is>
      </c>
      <c r="E74" s="66" t="inlineStr">
        <is>
          <t>N</t>
        </is>
      </c>
      <c r="F74" s="66" t="inlineStr">
        <is>
          <t>N</t>
        </is>
      </c>
      <c r="G74" s="34" t="n">
        <v>97.3</v>
      </c>
      <c r="H74" s="34" t="n">
        <v>104</v>
      </c>
      <c r="I74" s="67">
        <f>IF(ISNUMBER(tblY10[[#This Row],[Avg KS2]]),IFERROR(VLOOKUP(ROUND(STANDARDIZE(tblY10[[#This Row],[Avg KS2]],AVERAGE(tblY10[[Avg KS2]]),_xlfn.STDEV.P(tblY10[[Avg KS2]])),9),_Stanine,2),5),"")</f>
        <v>5</v>
      </c>
      <c r="J74" s="66" t="inlineStr">
        <is>
          <t>10S/Sc3</t>
        </is>
      </c>
      <c r="K74" s="67">
        <f>IF(tblY10[[#This Row],[Preferred Last name]]="","",COUNTIFS($N$1:$ZZ$1,"*"&amp;CHAR(10)&amp;"Stanine",$N74:$ZZ74,"&gt;=1"))</f>
        <v>4</v>
      </c>
      <c r="L74" s="68">
        <f>IFERROR(AVERAGEIF($N$1:$ZZ$1,"*"&amp;CHAR(10)&amp;"Stanine",$N74:$ZZ74),"")</f>
        <v>5.25</v>
      </c>
      <c r="M74" s="69">
        <f>IF(AND(ISNUMBER(tblY10[[#This Row],[Mean Stanine]]),ISNUMBER(tblY10[[#This Row],[Avg KS2 Band]]),ISNUMBER(SlopeY10)),tblY10[[#This Row],[Mean Stanine]]-(InterceptY10+SlopeY10*tblY10[[#This Row],[Avg KS2 Band]]),"")</f>
        <v>0.309867855476139</v>
      </c>
      <c r="N74" s="66" t="n">
        <v>21</v>
      </c>
      <c r="O74" s="67">
        <f>IF(ISNUMBER(tblY10[[#This Row],[4B01 - Cell Biology
Raw Score]]),IFERROR(VLOOKUP(ROUND(STANDARDIZE(tblY10[[#This Row],[4B01 - Cell Biology
Raw Score]],AVERAGE(tblY10[[4B01 - Cell Biology
Raw Score]]),_xlfn.STDEV.P(tblY10[[4B01 - Cell Biology
Raw Score]])),9),_Stanine,2),5),"")</f>
        <v>5</v>
      </c>
      <c r="P74" s="66" t="n">
        <v>22</v>
      </c>
      <c r="Q74" s="67">
        <f>IF(ISNUMBER(tblY10[[#This Row],[4C01 - Atomic Structure
Raw Score]]),IFERROR(VLOOKUP(ROUND(STANDARDIZE(tblY10[[#This Row],[4C01 - Atomic Structure
Raw Score]],AVERAGE(tblY10[[4C01 - Atomic Structure
Raw Score]]),_xlfn.STDEV.P(tblY10[[4C01 - Atomic Structure
Raw Score]])),9),_Stanine,2),5),"")</f>
        <v>6</v>
      </c>
      <c r="R74" s="66" t="n">
        <v>15</v>
      </c>
      <c r="S74" s="67">
        <f>IF(ISNUMBER(tblY10[[#This Row],[4P01 - Energy
Raw Score]]),IFERROR(VLOOKUP(ROUND(STANDARDIZE(tblY10[[#This Row],[4P01 - Energy
Raw Score]],AVERAGE(tblY10[[4P01 - Energy
Raw Score]]),_xlfn.STDEV.P(tblY10[[4P01 - Energy
Raw Score]])),9),_Stanine,2),5),"")</f>
        <v>5</v>
      </c>
      <c r="T74" s="66" t="n">
        <v>22</v>
      </c>
      <c r="U74" s="67">
        <f>IF(ISNUMBER(tblY10[[#This Row],[4B02 - Organisation
Raw Score]]),IFERROR(VLOOKUP(ROUND(STANDARDIZE(tblY10[[#This Row],[4B02 - Organisation
Raw Score]],AVERAGE(tblY10[[4B02 - Organisation
Raw Score]]),_xlfn.STDEV.P(tblY10[[4B02 - Organisation
Raw Score]])),9),_Stanine,2),5),"")</f>
        <v>5</v>
      </c>
      <c r="V74" s="66" t="inlineStr">
        <is>
          <t>A</t>
        </is>
      </c>
      <c r="W74" s="67" t="str">
        <f>IF(ISNUMBER(tblY10[[#This Row],[4C02 - Bonding
Raw Score]]),IFERROR(VLOOKUP(ROUND(STANDARDIZE(tblY10[[#This Row],[4C02 - Bonding
Raw Score]],AVERAGE(tblY10[[4C02 - Bonding
Raw Score]]),_xlfn.STDEV.P(tblY10[[4C02 - Bonding
Raw Score]])),9),_Stanine,2),5),"")</f>
        <v/>
      </c>
    </row>
    <row r="75">
      <c r="A75" s="65" t="inlineStr">
        <is>
          <t>X900410089839</t>
        </is>
      </c>
      <c r="B75" s="65" t="inlineStr">
        <is>
          <t>Thompson</t>
        </is>
      </c>
      <c r="C75" s="65" t="inlineStr">
        <is>
          <t>Rhys</t>
        </is>
      </c>
      <c r="D75" s="66" t="inlineStr">
        <is>
          <t>M</t>
        </is>
      </c>
      <c r="E75" s="66" t="inlineStr">
        <is>
          <t>N</t>
        </is>
      </c>
      <c r="F75" s="66" t="inlineStr">
        <is>
          <t>N</t>
        </is>
      </c>
      <c r="G75" s="34" t="n">
        <v>94</v>
      </c>
      <c r="H75" s="34" t="n">
        <v>106.5</v>
      </c>
      <c r="I75" s="67">
        <f>IF(ISNUMBER(tblY10[[#This Row],[Avg KS2]]),IFERROR(VLOOKUP(ROUND(STANDARDIZE(tblY10[[#This Row],[Avg KS2]],AVERAGE(tblY10[[Avg KS2]]),_xlfn.STDEV.P(tblY10[[Avg KS2]])),9),_Stanine,2),5),"")</f>
        <v>6</v>
      </c>
      <c r="J75" s="66" t="inlineStr">
        <is>
          <t>10S/Sc3</t>
        </is>
      </c>
      <c r="K75" s="67">
        <f>IF(tblY10[[#This Row],[Preferred Last name]]="","",COUNTIFS($N$1:$ZZ$1,"*"&amp;CHAR(10)&amp;"Stanine",$N75:$ZZ75,"&gt;=1"))</f>
        <v>5</v>
      </c>
      <c r="L75" s="68">
        <f>IFERROR(AVERAGEIF($N$1:$ZZ$1,"*"&amp;CHAR(10)&amp;"Stanine",$N75:$ZZ75),"")</f>
        <v>5.8</v>
      </c>
      <c r="M75" s="69">
        <f>IF(AND(ISNUMBER(tblY10[[#This Row],[Mean Stanine]]),ISNUMBER(tblY10[[#This Row],[Avg KS2 Band]]),ISNUMBER(SlopeY10)),tblY10[[#This Row],[Mean Stanine]]-(InterceptY10+SlopeY10*tblY10[[#This Row],[Avg KS2 Band]]),"")</f>
        <v>0.0458655711934766</v>
      </c>
      <c r="N75" s="66" t="n">
        <v>24</v>
      </c>
      <c r="O75" s="67">
        <f>IF(ISNUMBER(tblY10[[#This Row],[4B01 - Cell Biology
Raw Score]]),IFERROR(VLOOKUP(ROUND(STANDARDIZE(tblY10[[#This Row],[4B01 - Cell Biology
Raw Score]],AVERAGE(tblY10[[4B01 - Cell Biology
Raw Score]]),_xlfn.STDEV.P(tblY10[[4B01 - Cell Biology
Raw Score]])),9),_Stanine,2),5),"")</f>
        <v>6</v>
      </c>
      <c r="P75" s="66" t="n">
        <v>16</v>
      </c>
      <c r="Q75" s="67">
        <f>IF(ISNUMBER(tblY10[[#This Row],[4C01 - Atomic Structure
Raw Score]]),IFERROR(VLOOKUP(ROUND(STANDARDIZE(tblY10[[#This Row],[4C01 - Atomic Structure
Raw Score]],AVERAGE(tblY10[[4C01 - Atomic Structure
Raw Score]]),_xlfn.STDEV.P(tblY10[[4C01 - Atomic Structure
Raw Score]])),9),_Stanine,2),5),"")</f>
        <v>5</v>
      </c>
      <c r="R75" s="66" t="n">
        <v>19</v>
      </c>
      <c r="S75" s="67">
        <f>IF(ISNUMBER(tblY10[[#This Row],[4P01 - Energy
Raw Score]]),IFERROR(VLOOKUP(ROUND(STANDARDIZE(tblY10[[#This Row],[4P01 - Energy
Raw Score]],AVERAGE(tblY10[[4P01 - Energy
Raw Score]]),_xlfn.STDEV.P(tblY10[[4P01 - Energy
Raw Score]])),9),_Stanine,2),5),"")</f>
        <v>6</v>
      </c>
      <c r="T75" s="66" t="n">
        <v>25</v>
      </c>
      <c r="U75" s="67">
        <f>IF(ISNUMBER(tblY10[[#This Row],[4B02 - Organisation
Raw Score]]),IFERROR(VLOOKUP(ROUND(STANDARDIZE(tblY10[[#This Row],[4B02 - Organisation
Raw Score]],AVERAGE(tblY10[[4B02 - Organisation
Raw Score]]),_xlfn.STDEV.P(tblY10[[4B02 - Organisation
Raw Score]])),9),_Stanine,2),5),"")</f>
        <v>6</v>
      </c>
      <c r="V75" s="66" t="n">
        <v>24</v>
      </c>
      <c r="W75" s="67">
        <f>IF(ISNUMBER(tblY10[[#This Row],[4C02 - Bonding
Raw Score]]),IFERROR(VLOOKUP(ROUND(STANDARDIZE(tblY10[[#This Row],[4C02 - Bonding
Raw Score]],AVERAGE(tblY10[[4C02 - Bonding
Raw Score]]),_xlfn.STDEV.P(tblY10[[4C02 - Bonding
Raw Score]])),9),_Stanine,2),5),"")</f>
        <v>6</v>
      </c>
    </row>
    <row r="76">
      <c r="A76" s="65" t="inlineStr">
        <is>
          <t>X901748743750</t>
        </is>
      </c>
      <c r="B76" s="65" t="inlineStr">
        <is>
          <t>Ward</t>
        </is>
      </c>
      <c r="C76" s="65" t="inlineStr">
        <is>
          <t>Hollie</t>
        </is>
      </c>
      <c r="D76" s="66" t="inlineStr">
        <is>
          <t>M</t>
        </is>
      </c>
      <c r="E76" s="66" t="inlineStr">
        <is>
          <t>N</t>
        </is>
      </c>
      <c r="F76" s="66" t="inlineStr">
        <is>
          <t>N</t>
        </is>
      </c>
      <c r="G76" s="34" t="n">
        <v>99.5</v>
      </c>
      <c r="H76" s="34" t="n">
        <v>103</v>
      </c>
      <c r="I76" s="67">
        <f>IF(ISNUMBER(tblY10[[#This Row],[Avg KS2]]),IFERROR(VLOOKUP(ROUND(STANDARDIZE(tblY10[[#This Row],[Avg KS2]],AVERAGE(tblY10[[Avg KS2]]),_xlfn.STDEV.P(tblY10[[Avg KS2]])),9),_Stanine,2),5),"")</f>
        <v>5</v>
      </c>
      <c r="J76" s="66" t="inlineStr">
        <is>
          <t>10S/Sc3</t>
        </is>
      </c>
      <c r="K76" s="67">
        <f>IF(tblY10[[#This Row],[Preferred Last name]]="","",COUNTIFS($N$1:$ZZ$1,"*"&amp;CHAR(10)&amp;"Stanine",$N76:$ZZ76,"&gt;=1"))</f>
        <v>5</v>
      </c>
      <c r="L76" s="68">
        <f>IFERROR(AVERAGEIF($N$1:$ZZ$1,"*"&amp;CHAR(10)&amp;"Stanine",$N76:$ZZ76),"")</f>
        <v>6.6</v>
      </c>
      <c r="M76" s="69">
        <f>IF(AND(ISNUMBER(tblY10[[#This Row],[Mean Stanine]]),ISNUMBER(tblY10[[#This Row],[Avg KS2 Band]]),ISNUMBER(SlopeY10)),tblY10[[#This Row],[Mean Stanine]]-(InterceptY10+SlopeY10*tblY10[[#This Row],[Avg KS2 Band]]),"")</f>
        <v>1.65986785547614</v>
      </c>
      <c r="N76" s="66" t="n">
        <v>27</v>
      </c>
      <c r="O76" s="67">
        <f>IF(ISNUMBER(tblY10[[#This Row],[4B01 - Cell Biology
Raw Score]]),IFERROR(VLOOKUP(ROUND(STANDARDIZE(tblY10[[#This Row],[4B01 - Cell Biology
Raw Score]],AVERAGE(tblY10[[4B01 - Cell Biology
Raw Score]]),_xlfn.STDEV.P(tblY10[[4B01 - Cell Biology
Raw Score]])),9),_Stanine,2),5),"")</f>
        <v>7</v>
      </c>
      <c r="P76" s="66" t="n">
        <v>28</v>
      </c>
      <c r="Q76" s="67">
        <f>IF(ISNUMBER(tblY10[[#This Row],[4C01 - Atomic Structure
Raw Score]]),IFERROR(VLOOKUP(ROUND(STANDARDIZE(tblY10[[#This Row],[4C01 - Atomic Structure
Raw Score]],AVERAGE(tblY10[[4C01 - Atomic Structure
Raw Score]]),_xlfn.STDEV.P(tblY10[[4C01 - Atomic Structure
Raw Score]])),9),_Stanine,2),5),"")</f>
        <v>8</v>
      </c>
      <c r="R76" s="66" t="n">
        <v>20</v>
      </c>
      <c r="S76" s="67">
        <f>IF(ISNUMBER(tblY10[[#This Row],[4P01 - Energy
Raw Score]]),IFERROR(VLOOKUP(ROUND(STANDARDIZE(tblY10[[#This Row],[4P01 - Energy
Raw Score]],AVERAGE(tblY10[[4P01 - Energy
Raw Score]]),_xlfn.STDEV.P(tblY10[[4P01 - Energy
Raw Score]])),9),_Stanine,2),5),"")</f>
        <v>6</v>
      </c>
      <c r="T76" s="66" t="n">
        <v>32</v>
      </c>
      <c r="U76" s="67">
        <f>IF(ISNUMBER(tblY10[[#This Row],[4B02 - Organisation
Raw Score]]),IFERROR(VLOOKUP(ROUND(STANDARDIZE(tblY10[[#This Row],[4B02 - Organisation
Raw Score]],AVERAGE(tblY10[[4B02 - Organisation
Raw Score]]),_xlfn.STDEV.P(tblY10[[4B02 - Organisation
Raw Score]])),9),_Stanine,2),5),"")</f>
        <v>7</v>
      </c>
      <c r="V76" s="66" t="n">
        <v>23</v>
      </c>
      <c r="W76" s="67">
        <f>IF(ISNUMBER(tblY10[[#This Row],[4C02 - Bonding
Raw Score]]),IFERROR(VLOOKUP(ROUND(STANDARDIZE(tblY10[[#This Row],[4C02 - Bonding
Raw Score]],AVERAGE(tblY10[[4C02 - Bonding
Raw Score]]),_xlfn.STDEV.P(tblY10[[4C02 - Bonding
Raw Score]])),9),_Stanine,2),5),"")</f>
        <v>5</v>
      </c>
    </row>
    <row r="77">
      <c r="A77" s="65" t="inlineStr">
        <is>
          <t>X909102045950</t>
        </is>
      </c>
      <c r="B77" s="65" t="inlineStr">
        <is>
          <t>Ward</t>
        </is>
      </c>
      <c r="C77" s="65" t="inlineStr">
        <is>
          <t>Megan</t>
        </is>
      </c>
      <c r="D77" s="66" t="inlineStr">
        <is>
          <t>M</t>
        </is>
      </c>
      <c r="E77" s="66" t="n"/>
      <c r="F77" s="66" t="inlineStr">
        <is>
          <t>N</t>
        </is>
      </c>
      <c r="G77" s="34" t="n">
        <v>100</v>
      </c>
      <c r="H77" s="34" t="n">
        <v>106</v>
      </c>
      <c r="I77" s="67">
        <f>IF(ISNUMBER(tblY10[[#This Row],[Avg KS2]]),IFERROR(VLOOKUP(ROUND(STANDARDIZE(tblY10[[#This Row],[Avg KS2]],AVERAGE(tblY10[[Avg KS2]]),_xlfn.STDEV.P(tblY10[[Avg KS2]])),9),_Stanine,2),5),"")</f>
        <v>6</v>
      </c>
      <c r="J77" s="66" t="inlineStr">
        <is>
          <t>10S/Sc3</t>
        </is>
      </c>
      <c r="K77" s="67">
        <f>IF(tblY10[[#This Row],[Preferred Last name]]="","",COUNTIFS($N$1:$ZZ$1,"*"&amp;CHAR(10)&amp;"Stanine",$N77:$ZZ77,"&gt;=1"))</f>
        <v>5</v>
      </c>
      <c r="L77" s="68">
        <f>IFERROR(AVERAGEIF($N$1:$ZZ$1,"*"&amp;CHAR(10)&amp;"Stanine",$N77:$ZZ77),"")</f>
        <v>4.8</v>
      </c>
      <c r="M77" s="69">
        <f>IF(AND(ISNUMBER(tblY10[[#This Row],[Mean Stanine]]),ISNUMBER(tblY10[[#This Row],[Avg KS2 Band]]),ISNUMBER(SlopeY10)),tblY10[[#This Row],[Mean Stanine]]-(InterceptY10+SlopeY10*tblY10[[#This Row],[Avg KS2 Band]]),"")</f>
        <v>-0.954134428806523</v>
      </c>
      <c r="N77" s="66" t="n">
        <v>22</v>
      </c>
      <c r="O77" s="67">
        <f>IF(ISNUMBER(tblY10[[#This Row],[4B01 - Cell Biology
Raw Score]]),IFERROR(VLOOKUP(ROUND(STANDARDIZE(tblY10[[#This Row],[4B01 - Cell Biology
Raw Score]],AVERAGE(tblY10[[4B01 - Cell Biology
Raw Score]]),_xlfn.STDEV.P(tblY10[[4B01 - Cell Biology
Raw Score]])),9),_Stanine,2),5),"")</f>
        <v>6</v>
      </c>
      <c r="P77" s="66" t="n">
        <v>15</v>
      </c>
      <c r="Q77" s="67">
        <f>IF(ISNUMBER(tblY10[[#This Row],[4C01 - Atomic Structure
Raw Score]]),IFERROR(VLOOKUP(ROUND(STANDARDIZE(tblY10[[#This Row],[4C01 - Atomic Structure
Raw Score]],AVERAGE(tblY10[[4C01 - Atomic Structure
Raw Score]]),_xlfn.STDEV.P(tblY10[[4C01 - Atomic Structure
Raw Score]])),9),_Stanine,2),5),"")</f>
        <v>4</v>
      </c>
      <c r="R77" s="66" t="n">
        <v>11</v>
      </c>
      <c r="S77" s="67">
        <f>IF(ISNUMBER(tblY10[[#This Row],[4P01 - Energy
Raw Score]]),IFERROR(VLOOKUP(ROUND(STANDARDIZE(tblY10[[#This Row],[4P01 - Energy
Raw Score]],AVERAGE(tblY10[[4P01 - Energy
Raw Score]]),_xlfn.STDEV.P(tblY10[[4P01 - Energy
Raw Score]])),9),_Stanine,2),5),"")</f>
        <v>4</v>
      </c>
      <c r="T77" s="66" t="n">
        <v>24</v>
      </c>
      <c r="U77" s="67">
        <f>IF(ISNUMBER(tblY10[[#This Row],[4B02 - Organisation
Raw Score]]),IFERROR(VLOOKUP(ROUND(STANDARDIZE(tblY10[[#This Row],[4B02 - Organisation
Raw Score]],AVERAGE(tblY10[[4B02 - Organisation
Raw Score]]),_xlfn.STDEV.P(tblY10[[4B02 - Organisation
Raw Score]])),9),_Stanine,2),5),"")</f>
        <v>5</v>
      </c>
      <c r="V77" s="66" t="n">
        <v>21</v>
      </c>
      <c r="W77" s="67">
        <f>IF(ISNUMBER(tblY10[[#This Row],[4C02 - Bonding
Raw Score]]),IFERROR(VLOOKUP(ROUND(STANDARDIZE(tblY10[[#This Row],[4C02 - Bonding
Raw Score]],AVERAGE(tblY10[[4C02 - Bonding
Raw Score]]),_xlfn.STDEV.P(tblY10[[4C02 - Bonding
Raw Score]])),9),_Stanine,2),5),"")</f>
        <v>5</v>
      </c>
    </row>
    <row r="78">
      <c r="A78" s="65" t="inlineStr">
        <is>
          <t>X908704276160</t>
        </is>
      </c>
      <c r="B78" s="65" t="inlineStr">
        <is>
          <t>White</t>
        </is>
      </c>
      <c r="C78" s="65" t="inlineStr">
        <is>
          <t>Sami</t>
        </is>
      </c>
      <c r="D78" s="66" t="inlineStr">
        <is>
          <t>F</t>
        </is>
      </c>
      <c r="E78" s="66" t="n"/>
      <c r="F78" s="66" t="inlineStr">
        <is>
          <t>N</t>
        </is>
      </c>
      <c r="G78" s="34" t="n">
        <v>94.3</v>
      </c>
      <c r="H78" s="34" t="n">
        <v>103</v>
      </c>
      <c r="I78" s="67">
        <f>IF(ISNUMBER(tblY10[[#This Row],[Avg KS2]]),IFERROR(VLOOKUP(ROUND(STANDARDIZE(tblY10[[#This Row],[Avg KS2]],AVERAGE(tblY10[[Avg KS2]]),_xlfn.STDEV.P(tblY10[[Avg KS2]])),9),_Stanine,2),5),"")</f>
        <v>5</v>
      </c>
      <c r="J78" s="66" t="inlineStr">
        <is>
          <t>10S/Sc3</t>
        </is>
      </c>
      <c r="K78" s="67">
        <f>IF(tblY10[[#This Row],[Preferred Last name]]="","",COUNTIFS($N$1:$ZZ$1,"*"&amp;CHAR(10)&amp;"Stanine",$N78:$ZZ78,"&gt;=1"))</f>
        <v>5</v>
      </c>
      <c r="L78" s="68">
        <f>IFERROR(AVERAGEIF($N$1:$ZZ$1,"*"&amp;CHAR(10)&amp;"Stanine",$N78:$ZZ78),"")</f>
        <v>5.4</v>
      </c>
      <c r="M78" s="69">
        <f>IF(AND(ISNUMBER(tblY10[[#This Row],[Mean Stanine]]),ISNUMBER(tblY10[[#This Row],[Avg KS2 Band]]),ISNUMBER(SlopeY10)),tblY10[[#This Row],[Mean Stanine]]-(InterceptY10+SlopeY10*tblY10[[#This Row],[Avg KS2 Band]]),"")</f>
        <v>0.459867855476139</v>
      </c>
      <c r="N78" s="66" t="n">
        <v>21</v>
      </c>
      <c r="O78" s="67">
        <f>IF(ISNUMBER(tblY10[[#This Row],[4B01 - Cell Biology
Raw Score]]),IFERROR(VLOOKUP(ROUND(STANDARDIZE(tblY10[[#This Row],[4B01 - Cell Biology
Raw Score]],AVERAGE(tblY10[[4B01 - Cell Biology
Raw Score]]),_xlfn.STDEV.P(tblY10[[4B01 - Cell Biology
Raw Score]])),9),_Stanine,2),5),"")</f>
        <v>5</v>
      </c>
      <c r="P78" s="66" t="n">
        <v>20</v>
      </c>
      <c r="Q78" s="67">
        <f>IF(ISNUMBER(tblY10[[#This Row],[4C01 - Atomic Structure
Raw Score]]),IFERROR(VLOOKUP(ROUND(STANDARDIZE(tblY10[[#This Row],[4C01 - Atomic Structure
Raw Score]],AVERAGE(tblY10[[4C01 - Atomic Structure
Raw Score]]),_xlfn.STDEV.P(tblY10[[4C01 - Atomic Structure
Raw Score]])),9),_Stanine,2),5),"")</f>
        <v>6</v>
      </c>
      <c r="R78" s="66" t="n">
        <v>15</v>
      </c>
      <c r="S78" s="67">
        <f>IF(ISNUMBER(tblY10[[#This Row],[4P01 - Energy
Raw Score]]),IFERROR(VLOOKUP(ROUND(STANDARDIZE(tblY10[[#This Row],[4P01 - Energy
Raw Score]],AVERAGE(tblY10[[4P01 - Energy
Raw Score]]),_xlfn.STDEV.P(tblY10[[4P01 - Energy
Raw Score]])),9),_Stanine,2),5),"")</f>
        <v>5</v>
      </c>
      <c r="T78" s="66" t="n">
        <v>23</v>
      </c>
      <c r="U78" s="67">
        <f>IF(ISNUMBER(tblY10[[#This Row],[4B02 - Organisation
Raw Score]]),IFERROR(VLOOKUP(ROUND(STANDARDIZE(tblY10[[#This Row],[4B02 - Organisation
Raw Score]],AVERAGE(tblY10[[4B02 - Organisation
Raw Score]]),_xlfn.STDEV.P(tblY10[[4B02 - Organisation
Raw Score]])),9),_Stanine,2),5),"")</f>
        <v>5</v>
      </c>
      <c r="V78" s="66" t="n">
        <v>26</v>
      </c>
      <c r="W78" s="67">
        <f>IF(ISNUMBER(tblY10[[#This Row],[4C02 - Bonding
Raw Score]]),IFERROR(VLOOKUP(ROUND(STANDARDIZE(tblY10[[#This Row],[4C02 - Bonding
Raw Score]],AVERAGE(tblY10[[4C02 - Bonding
Raw Score]]),_xlfn.STDEV.P(tblY10[[4C02 - Bonding
Raw Score]])),9),_Stanine,2),5),"")</f>
        <v>6</v>
      </c>
    </row>
    <row r="79">
      <c r="A79" s="65" t="inlineStr">
        <is>
          <t>X906814502693</t>
        </is>
      </c>
      <c r="B79" s="65" t="inlineStr">
        <is>
          <t>Wright</t>
        </is>
      </c>
      <c r="C79" s="65" t="inlineStr">
        <is>
          <t>Layla</t>
        </is>
      </c>
      <c r="D79" s="66" t="inlineStr">
        <is>
          <t>F</t>
        </is>
      </c>
      <c r="E79" s="66" t="n"/>
      <c r="F79" s="66" t="inlineStr">
        <is>
          <t>N</t>
        </is>
      </c>
      <c r="G79" s="34" t="n">
        <v>86.8</v>
      </c>
      <c r="H79" s="34" t="n">
        <v>104</v>
      </c>
      <c r="I79" s="67">
        <f>IF(ISNUMBER(tblY10[[#This Row],[Avg KS2]]),IFERROR(VLOOKUP(ROUND(STANDARDIZE(tblY10[[#This Row],[Avg KS2]],AVERAGE(tblY10[[Avg KS2]]),_xlfn.STDEV.P(tblY10[[Avg KS2]])),9),_Stanine,2),5),"")</f>
        <v>5</v>
      </c>
      <c r="J79" s="66" t="inlineStr">
        <is>
          <t>10S/Sc3</t>
        </is>
      </c>
      <c r="K79" s="67">
        <f>IF(tblY10[[#This Row],[Preferred Last name]]="","",COUNTIFS($N$1:$ZZ$1,"*"&amp;CHAR(10)&amp;"Stanine",$N79:$ZZ79,"&gt;=1"))</f>
        <v>4</v>
      </c>
      <c r="L79" s="68">
        <f>IFERROR(AVERAGEIF($N$1:$ZZ$1,"*"&amp;CHAR(10)&amp;"Stanine",$N79:$ZZ79),"")</f>
        <v>5.75</v>
      </c>
      <c r="M79" s="69">
        <f>IF(AND(ISNUMBER(tblY10[[#This Row],[Mean Stanine]]),ISNUMBER(tblY10[[#This Row],[Avg KS2 Band]]),ISNUMBER(SlopeY10)),tblY10[[#This Row],[Mean Stanine]]-(InterceptY10+SlopeY10*tblY10[[#This Row],[Avg KS2 Band]]),"")</f>
        <v>0.809867855476139</v>
      </c>
      <c r="N79" s="66" t="inlineStr">
        <is>
          <t>A</t>
        </is>
      </c>
      <c r="O79" s="67" t="str">
        <f>IF(ISNUMBER(tblY10[[#This Row],[4B01 - Cell Biology
Raw Score]]),IFERROR(VLOOKUP(ROUND(STANDARDIZE(tblY10[[#This Row],[4B01 - Cell Biology
Raw Score]],AVERAGE(tblY10[[4B01 - Cell Biology
Raw Score]]),_xlfn.STDEV.P(tblY10[[4B01 - Cell Biology
Raw Score]])),9),_Stanine,2),5),"")</f>
        <v/>
      </c>
      <c r="P79" s="66" t="n">
        <v>21</v>
      </c>
      <c r="Q79" s="67">
        <f>IF(ISNUMBER(tblY10[[#This Row],[4C01 - Atomic Structure
Raw Score]]),IFERROR(VLOOKUP(ROUND(STANDARDIZE(tblY10[[#This Row],[4C01 - Atomic Structure
Raw Score]],AVERAGE(tblY10[[4C01 - Atomic Structure
Raw Score]]),_xlfn.STDEV.P(tblY10[[4C01 - Atomic Structure
Raw Score]])),9),_Stanine,2),5),"")</f>
        <v>6</v>
      </c>
      <c r="R79" s="66" t="n">
        <v>17</v>
      </c>
      <c r="S79" s="67">
        <f>IF(ISNUMBER(tblY10[[#This Row],[4P01 - Energy
Raw Score]]),IFERROR(VLOOKUP(ROUND(STANDARDIZE(tblY10[[#This Row],[4P01 - Energy
Raw Score]],AVERAGE(tblY10[[4P01 - Energy
Raw Score]]),_xlfn.STDEV.P(tblY10[[4P01 - Energy
Raw Score]])),9),_Stanine,2),5),"")</f>
        <v>5</v>
      </c>
      <c r="T79" s="66" t="n">
        <v>31</v>
      </c>
      <c r="U79" s="67">
        <f>IF(ISNUMBER(tblY10[[#This Row],[4B02 - Organisation
Raw Score]]),IFERROR(VLOOKUP(ROUND(STANDARDIZE(tblY10[[#This Row],[4B02 - Organisation
Raw Score]],AVERAGE(tblY10[[4B02 - Organisation
Raw Score]]),_xlfn.STDEV.P(tblY10[[4B02 - Organisation
Raw Score]])),9),_Stanine,2),5),"")</f>
        <v>7</v>
      </c>
      <c r="V79" s="66" t="n">
        <v>21</v>
      </c>
      <c r="W79" s="67">
        <f>IF(ISNUMBER(tblY10[[#This Row],[4C02 - Bonding
Raw Score]]),IFERROR(VLOOKUP(ROUND(STANDARDIZE(tblY10[[#This Row],[4C02 - Bonding
Raw Score]],AVERAGE(tblY10[[4C02 - Bonding
Raw Score]]),_xlfn.STDEV.P(tblY10[[4C02 - Bonding
Raw Score]])),9),_Stanine,2),5),"")</f>
        <v>5</v>
      </c>
    </row>
    <row r="80">
      <c r="A80" s="65" t="inlineStr">
        <is>
          <t>X906298467802</t>
        </is>
      </c>
      <c r="B80" s="65" t="inlineStr">
        <is>
          <t>Wright</t>
        </is>
      </c>
      <c r="C80" s="65" t="inlineStr">
        <is>
          <t>Nia</t>
        </is>
      </c>
      <c r="D80" s="66" t="inlineStr">
        <is>
          <t>M</t>
        </is>
      </c>
      <c r="E80" s="66" t="inlineStr">
        <is>
          <t>N</t>
        </is>
      </c>
      <c r="F80" s="66" t="inlineStr">
        <is>
          <t>Y</t>
        </is>
      </c>
      <c r="G80" s="34" t="n">
        <v>100</v>
      </c>
      <c r="H80" s="34" t="n">
        <v>106.5</v>
      </c>
      <c r="I80" s="67">
        <f>IF(ISNUMBER(tblY10[[#This Row],[Avg KS2]]),IFERROR(VLOOKUP(ROUND(STANDARDIZE(tblY10[[#This Row],[Avg KS2]],AVERAGE(tblY10[[Avg KS2]]),_xlfn.STDEV.P(tblY10[[Avg KS2]])),9),_Stanine,2),5),"")</f>
        <v>6</v>
      </c>
      <c r="J80" s="66" t="inlineStr">
        <is>
          <t>10S/Sc3</t>
        </is>
      </c>
      <c r="K80" s="67">
        <f>IF(tblY10[[#This Row],[Preferred Last name]]="","",COUNTIFS($N$1:$ZZ$1,"*"&amp;CHAR(10)&amp;"Stanine",$N80:$ZZ80,"&gt;=1"))</f>
        <v>5</v>
      </c>
      <c r="L80" s="68">
        <f>IFERROR(AVERAGEIF($N$1:$ZZ$1,"*"&amp;CHAR(10)&amp;"Stanine",$N80:$ZZ80),"")</f>
        <v>5.6</v>
      </c>
      <c r="M80" s="69">
        <f>IF(AND(ISNUMBER(tblY10[[#This Row],[Mean Stanine]]),ISNUMBER(tblY10[[#This Row],[Avg KS2 Band]]),ISNUMBER(SlopeY10)),tblY10[[#This Row],[Mean Stanine]]-(InterceptY10+SlopeY10*tblY10[[#This Row],[Avg KS2 Band]]),"")</f>
        <v>-0.154134428806524</v>
      </c>
      <c r="N80" s="66" t="n">
        <v>25</v>
      </c>
      <c r="O80" s="67">
        <f>IF(ISNUMBER(tblY10[[#This Row],[4B01 - Cell Biology
Raw Score]]),IFERROR(VLOOKUP(ROUND(STANDARDIZE(tblY10[[#This Row],[4B01 - Cell Biology
Raw Score]],AVERAGE(tblY10[[4B01 - Cell Biology
Raw Score]]),_xlfn.STDEV.P(tblY10[[4B01 - Cell Biology
Raw Score]])),9),_Stanine,2),5),"")</f>
        <v>6</v>
      </c>
      <c r="P80" s="66" t="n">
        <v>16</v>
      </c>
      <c r="Q80" s="67">
        <f>IF(ISNUMBER(tblY10[[#This Row],[4C01 - Atomic Structure
Raw Score]]),IFERROR(VLOOKUP(ROUND(STANDARDIZE(tblY10[[#This Row],[4C01 - Atomic Structure
Raw Score]],AVERAGE(tblY10[[4C01 - Atomic Structure
Raw Score]]),_xlfn.STDEV.P(tblY10[[4C01 - Atomic Structure
Raw Score]])),9),_Stanine,2),5),"")</f>
        <v>5</v>
      </c>
      <c r="R80" s="66" t="n">
        <v>20</v>
      </c>
      <c r="S80" s="67">
        <f>IF(ISNUMBER(tblY10[[#This Row],[4P01 - Energy
Raw Score]]),IFERROR(VLOOKUP(ROUND(STANDARDIZE(tblY10[[#This Row],[4P01 - Energy
Raw Score]],AVERAGE(tblY10[[4P01 - Energy
Raw Score]]),_xlfn.STDEV.P(tblY10[[4P01 - Energy
Raw Score]])),9),_Stanine,2),5),"")</f>
        <v>6</v>
      </c>
      <c r="T80" s="66" t="n">
        <v>28</v>
      </c>
      <c r="U80" s="67">
        <f>IF(ISNUMBER(tblY10[[#This Row],[4B02 - Organisation
Raw Score]]),IFERROR(VLOOKUP(ROUND(STANDARDIZE(tblY10[[#This Row],[4B02 - Organisation
Raw Score]],AVERAGE(tblY10[[4B02 - Organisation
Raw Score]]),_xlfn.STDEV.P(tblY10[[4B02 - Organisation
Raw Score]])),9),_Stanine,2),5),"")</f>
        <v>6</v>
      </c>
      <c r="V80" s="66" t="n">
        <v>20</v>
      </c>
      <c r="W80" s="67">
        <f>IF(ISNUMBER(tblY10[[#This Row],[4C02 - Bonding
Raw Score]]),IFERROR(VLOOKUP(ROUND(STANDARDIZE(tblY10[[#This Row],[4C02 - Bonding
Raw Score]],AVERAGE(tblY10[[4C02 - Bonding
Raw Score]]),_xlfn.STDEV.P(tblY10[[4C02 - Bonding
Raw Score]])),9),_Stanine,2),5),"")</f>
        <v>5</v>
      </c>
    </row>
    <row r="81">
      <c r="A81" s="65" t="inlineStr">
        <is>
          <t>X902602935316</t>
        </is>
      </c>
      <c r="B81" s="65" t="inlineStr">
        <is>
          <t>Wright</t>
        </is>
      </c>
      <c r="C81" s="65" t="inlineStr">
        <is>
          <t>Reuben</t>
        </is>
      </c>
      <c r="D81" s="66" t="inlineStr">
        <is>
          <t>M</t>
        </is>
      </c>
      <c r="E81" s="66" t="inlineStr">
        <is>
          <t>N</t>
        </is>
      </c>
      <c r="F81" s="66" t="inlineStr">
        <is>
          <t>Y</t>
        </is>
      </c>
      <c r="G81" s="34" t="n">
        <v>92.5</v>
      </c>
      <c r="H81" s="34" t="n">
        <v>94</v>
      </c>
      <c r="I81" s="67">
        <f>IF(ISNUMBER(tblY10[[#This Row],[Avg KS2]]),IFERROR(VLOOKUP(ROUND(STANDARDIZE(tblY10[[#This Row],[Avg KS2]],AVERAGE(tblY10[[Avg KS2]]),_xlfn.STDEV.P(tblY10[[Avg KS2]])),9),_Stanine,2),5),"")</f>
        <v>2</v>
      </c>
      <c r="J81" s="66" t="inlineStr">
        <is>
          <t>10S/Sc3</t>
        </is>
      </c>
      <c r="K81" s="67">
        <f>IF(tblY10[[#This Row],[Preferred Last name]]="","",COUNTIFS($N$1:$ZZ$1,"*"&amp;CHAR(10)&amp;"Stanine",$N81:$ZZ81,"&gt;=1"))</f>
        <v>4</v>
      </c>
      <c r="L81" s="68">
        <f>IFERROR(AVERAGEIF($N$1:$ZZ$1,"*"&amp;CHAR(10)&amp;"Stanine",$N81:$ZZ81),"")</f>
        <v>4.25</v>
      </c>
      <c r="M81" s="69">
        <f>IF(AND(ISNUMBER(tblY10[[#This Row],[Mean Stanine]]),ISNUMBER(tblY10[[#This Row],[Avg KS2 Band]]),ISNUMBER(SlopeY10)),tblY10[[#This Row],[Mean Stanine]]-(InterceptY10+SlopeY10*tblY10[[#This Row],[Avg KS2 Band]]),"")</f>
        <v>1.75187470832413</v>
      </c>
      <c r="N81" s="66" t="n">
        <v>17</v>
      </c>
      <c r="O81" s="67">
        <f>IF(ISNUMBER(tblY10[[#This Row],[4B01 - Cell Biology
Raw Score]]),IFERROR(VLOOKUP(ROUND(STANDARDIZE(tblY10[[#This Row],[4B01 - Cell Biology
Raw Score]],AVERAGE(tblY10[[4B01 - Cell Biology
Raw Score]]),_xlfn.STDEV.P(tblY10[[4B01 - Cell Biology
Raw Score]])),9),_Stanine,2),5),"")</f>
        <v>4</v>
      </c>
      <c r="P81" s="66" t="n">
        <v>14</v>
      </c>
      <c r="Q81" s="67">
        <f>IF(ISNUMBER(tblY10[[#This Row],[4C01 - Atomic Structure
Raw Score]]),IFERROR(VLOOKUP(ROUND(STANDARDIZE(tblY10[[#This Row],[4C01 - Atomic Structure
Raw Score]],AVERAGE(tblY10[[4C01 - Atomic Structure
Raw Score]]),_xlfn.STDEV.P(tblY10[[4C01 - Atomic Structure
Raw Score]])),9),_Stanine,2),5),"")</f>
        <v>4</v>
      </c>
      <c r="R81" s="66" t="n">
        <v>11</v>
      </c>
      <c r="S81" s="67">
        <f>IF(ISNUMBER(tblY10[[#This Row],[4P01 - Energy
Raw Score]]),IFERROR(VLOOKUP(ROUND(STANDARDIZE(tblY10[[#This Row],[4P01 - Energy
Raw Score]],AVERAGE(tblY10[[4P01 - Energy
Raw Score]]),_xlfn.STDEV.P(tblY10[[4P01 - Energy
Raw Score]])),9),_Stanine,2),5),"")</f>
        <v>4</v>
      </c>
      <c r="T81" s="66" t="n">
        <v>23</v>
      </c>
      <c r="U81" s="67">
        <f>IF(ISNUMBER(tblY10[[#This Row],[4B02 - Organisation
Raw Score]]),IFERROR(VLOOKUP(ROUND(STANDARDIZE(tblY10[[#This Row],[4B02 - Organisation
Raw Score]],AVERAGE(tblY10[[4B02 - Organisation
Raw Score]]),_xlfn.STDEV.P(tblY10[[4B02 - Organisation
Raw Score]])),9),_Stanine,2),5),"")</f>
        <v>5</v>
      </c>
      <c r="V81" s="66" t="inlineStr">
        <is>
          <t>A</t>
        </is>
      </c>
      <c r="W81" s="67" t="str">
        <f>IF(ISNUMBER(tblY10[[#This Row],[4C02 - Bonding
Raw Score]]),IFERROR(VLOOKUP(ROUND(STANDARDIZE(tblY10[[#This Row],[4C02 - Bonding
Raw Score]],AVERAGE(tblY10[[4C02 - Bonding
Raw Score]]),_xlfn.STDEV.P(tblY10[[4C02 - Bonding
Raw Score]])),9),_Stanine,2),5),"")</f>
        <v/>
      </c>
    </row>
    <row r="82">
      <c r="A82" s="65" t="inlineStr">
        <is>
          <t>X907475943431</t>
        </is>
      </c>
      <c r="B82" s="65" t="inlineStr">
        <is>
          <t>Adeyemi</t>
        </is>
      </c>
      <c r="C82" s="65" t="inlineStr">
        <is>
          <t>Kai</t>
        </is>
      </c>
      <c r="D82" s="66" t="inlineStr">
        <is>
          <t>F</t>
        </is>
      </c>
      <c r="E82" s="66" t="inlineStr">
        <is>
          <t>K</t>
        </is>
      </c>
      <c r="F82" s="66" t="inlineStr">
        <is>
          <t>N</t>
        </is>
      </c>
      <c r="G82" s="34" t="n">
        <v>86.5</v>
      </c>
      <c r="H82" s="34" t="n">
        <v>98</v>
      </c>
      <c r="I82" s="67">
        <f>IF(ISNUMBER(tblY10[[#This Row],[Avg KS2]]),IFERROR(VLOOKUP(ROUND(STANDARDIZE(tblY10[[#This Row],[Avg KS2]],AVERAGE(tblY10[[Avg KS2]]),_xlfn.STDEV.P(tblY10[[Avg KS2]])),9),_Stanine,2),5),"")</f>
        <v>3</v>
      </c>
      <c r="J82" s="66" t="inlineStr">
        <is>
          <t>10S/Sc4</t>
        </is>
      </c>
      <c r="K82" s="67">
        <f>IF(tblY10[[#This Row],[Preferred Last name]]="","",COUNTIFS($N$1:$ZZ$1,"*"&amp;CHAR(10)&amp;"Stanine",$N82:$ZZ82,"&gt;=1"))</f>
        <v>4</v>
      </c>
      <c r="L82" s="68">
        <f>IFERROR(AVERAGEIF($N$1:$ZZ$1,"*"&amp;CHAR(10)&amp;"Stanine",$N82:$ZZ82),"")</f>
        <v>3.75</v>
      </c>
      <c r="M82" s="69">
        <f>IF(AND(ISNUMBER(tblY10[[#This Row],[Mean Stanine]]),ISNUMBER(tblY10[[#This Row],[Avg KS2 Band]]),ISNUMBER(SlopeY10)),tblY10[[#This Row],[Mean Stanine]]-(InterceptY10+SlopeY10*tblY10[[#This Row],[Avg KS2 Band]]),"")</f>
        <v>0.437872424041463</v>
      </c>
      <c r="N82" s="66" t="inlineStr">
        <is>
          <t>A</t>
        </is>
      </c>
      <c r="O82" s="67" t="str">
        <f>IF(ISNUMBER(tblY10[[#This Row],[4B01 - Cell Biology
Raw Score]]),IFERROR(VLOOKUP(ROUND(STANDARDIZE(tblY10[[#This Row],[4B01 - Cell Biology
Raw Score]],AVERAGE(tblY10[[4B01 - Cell Biology
Raw Score]]),_xlfn.STDEV.P(tblY10[[4B01 - Cell Biology
Raw Score]])),9),_Stanine,2),5),"")</f>
        <v/>
      </c>
      <c r="P82" s="66" t="n">
        <v>14</v>
      </c>
      <c r="Q82" s="67">
        <f>IF(ISNUMBER(tblY10[[#This Row],[4C01 - Atomic Structure
Raw Score]]),IFERROR(VLOOKUP(ROUND(STANDARDIZE(tblY10[[#This Row],[4C01 - Atomic Structure
Raw Score]],AVERAGE(tblY10[[4C01 - Atomic Structure
Raw Score]]),_xlfn.STDEV.P(tblY10[[4C01 - Atomic Structure
Raw Score]])),9),_Stanine,2),5),"")</f>
        <v>4</v>
      </c>
      <c r="R82" s="66" t="n">
        <v>7</v>
      </c>
      <c r="S82" s="67">
        <f>IF(ISNUMBER(tblY10[[#This Row],[4P01 - Energy
Raw Score]]),IFERROR(VLOOKUP(ROUND(STANDARDIZE(tblY10[[#This Row],[4P01 - Energy
Raw Score]],AVERAGE(tblY10[[4P01 - Energy
Raw Score]]),_xlfn.STDEV.P(tblY10[[4P01 - Energy
Raw Score]])),9),_Stanine,2),5),"")</f>
        <v>3</v>
      </c>
      <c r="T82" s="66" t="n">
        <v>16</v>
      </c>
      <c r="U82" s="67">
        <f>IF(ISNUMBER(tblY10[[#This Row],[4B02 - Organisation
Raw Score]]),IFERROR(VLOOKUP(ROUND(STANDARDIZE(tblY10[[#This Row],[4B02 - Organisation
Raw Score]],AVERAGE(tblY10[[4B02 - Organisation
Raw Score]]),_xlfn.STDEV.P(tblY10[[4B02 - Organisation
Raw Score]])),9),_Stanine,2),5),"")</f>
        <v>3</v>
      </c>
      <c r="V82" s="66" t="n">
        <v>20</v>
      </c>
      <c r="W82" s="67">
        <f>IF(ISNUMBER(tblY10[[#This Row],[4C02 - Bonding
Raw Score]]),IFERROR(VLOOKUP(ROUND(STANDARDIZE(tblY10[[#This Row],[4C02 - Bonding
Raw Score]],AVERAGE(tblY10[[4C02 - Bonding
Raw Score]]),_xlfn.STDEV.P(tblY10[[4C02 - Bonding
Raw Score]])),9),_Stanine,2),5),"")</f>
        <v>5</v>
      </c>
    </row>
    <row r="83">
      <c r="A83" s="65" t="inlineStr">
        <is>
          <t>X907018812866</t>
        </is>
      </c>
      <c r="B83" s="65" t="inlineStr">
        <is>
          <t>Ahmed</t>
        </is>
      </c>
      <c r="C83" s="65" t="inlineStr">
        <is>
          <t>Zara</t>
        </is>
      </c>
      <c r="D83" s="66" t="inlineStr">
        <is>
          <t>F</t>
        </is>
      </c>
      <c r="E83" s="66" t="n"/>
      <c r="F83" s="66" t="inlineStr">
        <is>
          <t>N</t>
        </is>
      </c>
      <c r="G83" s="34" t="n">
        <v>89.5</v>
      </c>
      <c r="H83" s="34" t="n">
        <v>95.5</v>
      </c>
      <c r="I83" s="67">
        <f>IF(ISNUMBER(tblY10[[#This Row],[Avg KS2]]),IFERROR(VLOOKUP(ROUND(STANDARDIZE(tblY10[[#This Row],[Avg KS2]],AVERAGE(tblY10[[Avg KS2]]),_xlfn.STDEV.P(tblY10[[Avg KS2]])),9),_Stanine,2),5),"")</f>
        <v>3</v>
      </c>
      <c r="J83" s="66" t="inlineStr">
        <is>
          <t>10S/Sc4</t>
        </is>
      </c>
      <c r="K83" s="67">
        <f>IF(tblY10[[#This Row],[Preferred Last name]]="","",COUNTIFS($N$1:$ZZ$1,"*"&amp;CHAR(10)&amp;"Stanine",$N83:$ZZ83,"&gt;=1"))</f>
        <v>5</v>
      </c>
      <c r="L83" s="68">
        <f>IFERROR(AVERAGEIF($N$1:$ZZ$1,"*"&amp;CHAR(10)&amp;"Stanine",$N83:$ZZ83),"")</f>
        <v>3.8</v>
      </c>
      <c r="M83" s="69">
        <f>IF(AND(ISNUMBER(tblY10[[#This Row],[Mean Stanine]]),ISNUMBER(tblY10[[#This Row],[Avg KS2 Band]]),ISNUMBER(SlopeY10)),tblY10[[#This Row],[Mean Stanine]]-(InterceptY10+SlopeY10*tblY10[[#This Row],[Avg KS2 Band]]),"")</f>
        <v>0.487872424041463</v>
      </c>
      <c r="N83" s="66" t="n">
        <v>19</v>
      </c>
      <c r="O83" s="67">
        <f>IF(ISNUMBER(tblY10[[#This Row],[4B01 - Cell Biology
Raw Score]]),IFERROR(VLOOKUP(ROUND(STANDARDIZE(tblY10[[#This Row],[4B01 - Cell Biology
Raw Score]],AVERAGE(tblY10[[4B01 - Cell Biology
Raw Score]]),_xlfn.STDEV.P(tblY10[[4B01 - Cell Biology
Raw Score]])),9),_Stanine,2),5),"")</f>
        <v>5</v>
      </c>
      <c r="P83" s="66" t="n">
        <v>15</v>
      </c>
      <c r="Q83" s="67">
        <f>IF(ISNUMBER(tblY10[[#This Row],[4C01 - Atomic Structure
Raw Score]]),IFERROR(VLOOKUP(ROUND(STANDARDIZE(tblY10[[#This Row],[4C01 - Atomic Structure
Raw Score]],AVERAGE(tblY10[[4C01 - Atomic Structure
Raw Score]]),_xlfn.STDEV.P(tblY10[[4C01 - Atomic Structure
Raw Score]])),9),_Stanine,2),5),"")</f>
        <v>4</v>
      </c>
      <c r="R83" s="66" t="n">
        <v>9</v>
      </c>
      <c r="S83" s="67">
        <f>IF(ISNUMBER(tblY10[[#This Row],[4P01 - Energy
Raw Score]]),IFERROR(VLOOKUP(ROUND(STANDARDIZE(tblY10[[#This Row],[4P01 - Energy
Raw Score]],AVERAGE(tblY10[[4P01 - Energy
Raw Score]]),_xlfn.STDEV.P(tblY10[[4P01 - Energy
Raw Score]])),9),_Stanine,2),5),"")</f>
        <v>3</v>
      </c>
      <c r="T83" s="66" t="n">
        <v>10</v>
      </c>
      <c r="U83" s="67">
        <f>IF(ISNUMBER(tblY10[[#This Row],[4B02 - Organisation
Raw Score]]),IFERROR(VLOOKUP(ROUND(STANDARDIZE(tblY10[[#This Row],[4B02 - Organisation
Raw Score]],AVERAGE(tblY10[[4B02 - Organisation
Raw Score]]),_xlfn.STDEV.P(tblY10[[4B02 - Organisation
Raw Score]])),9),_Stanine,2),5),"")</f>
        <v>2</v>
      </c>
      <c r="V83" s="66" t="n">
        <v>23</v>
      </c>
      <c r="W83" s="67">
        <f>IF(ISNUMBER(tblY10[[#This Row],[4C02 - Bonding
Raw Score]]),IFERROR(VLOOKUP(ROUND(STANDARDIZE(tblY10[[#This Row],[4C02 - Bonding
Raw Score]],AVERAGE(tblY10[[4C02 - Bonding
Raw Score]]),_xlfn.STDEV.P(tblY10[[4C02 - Bonding
Raw Score]])),9),_Stanine,2),5),"")</f>
        <v>5</v>
      </c>
    </row>
    <row r="84">
      <c r="A84" s="65" t="inlineStr">
        <is>
          <t>X907020219957</t>
        </is>
      </c>
      <c r="B84" s="65" t="inlineStr">
        <is>
          <t>Begum</t>
        </is>
      </c>
      <c r="C84" s="65" t="inlineStr">
        <is>
          <t>Evie</t>
        </is>
      </c>
      <c r="D84" s="66" t="inlineStr">
        <is>
          <t>M</t>
        </is>
      </c>
      <c r="E84" s="66" t="inlineStr">
        <is>
          <t>K</t>
        </is>
      </c>
      <c r="F84" s="66" t="inlineStr">
        <is>
          <t>N</t>
        </is>
      </c>
      <c r="G84" s="34" t="n">
        <v>88.59999999999999</v>
      </c>
      <c r="H84" s="34" t="n">
        <v>105</v>
      </c>
      <c r="I84" s="67">
        <f>IF(ISNUMBER(tblY10[[#This Row],[Avg KS2]]),IFERROR(VLOOKUP(ROUND(STANDARDIZE(tblY10[[#This Row],[Avg KS2]],AVERAGE(tblY10[[Avg KS2]]),_xlfn.STDEV.P(tblY10[[Avg KS2]])),9),_Stanine,2),5),"")</f>
        <v>6</v>
      </c>
      <c r="J84" s="66" t="inlineStr">
        <is>
          <t>10S/Sc4</t>
        </is>
      </c>
      <c r="K84" s="67">
        <f>IF(tblY10[[#This Row],[Preferred Last name]]="","",COUNTIFS($N$1:$ZZ$1,"*"&amp;CHAR(10)&amp;"Stanine",$N84:$ZZ84,"&gt;=1"))</f>
        <v>5</v>
      </c>
      <c r="L84" s="68">
        <f>IFERROR(AVERAGEIF($N$1:$ZZ$1,"*"&amp;CHAR(10)&amp;"Stanine",$N84:$ZZ84),"")</f>
        <v>6.8</v>
      </c>
      <c r="M84" s="69">
        <f>IF(AND(ISNUMBER(tblY10[[#This Row],[Mean Stanine]]),ISNUMBER(tblY10[[#This Row],[Avg KS2 Band]]),ISNUMBER(SlopeY10)),tblY10[[#This Row],[Mean Stanine]]-(InterceptY10+SlopeY10*tblY10[[#This Row],[Avg KS2 Band]]),"")</f>
        <v>1.04586557119348</v>
      </c>
      <c r="N84" s="66" t="n">
        <v>31</v>
      </c>
      <c r="O84" s="67">
        <f>IF(ISNUMBER(tblY10[[#This Row],[4B01 - Cell Biology
Raw Score]]),IFERROR(VLOOKUP(ROUND(STANDARDIZE(tblY10[[#This Row],[4B01 - Cell Biology
Raw Score]],AVERAGE(tblY10[[4B01 - Cell Biology
Raw Score]]),_xlfn.STDEV.P(tblY10[[4B01 - Cell Biology
Raw Score]])),9),_Stanine,2),5),"")</f>
        <v>7</v>
      </c>
      <c r="P84" s="66" t="n">
        <v>28</v>
      </c>
      <c r="Q84" s="67">
        <f>IF(ISNUMBER(tblY10[[#This Row],[4C01 - Atomic Structure
Raw Score]]),IFERROR(VLOOKUP(ROUND(STANDARDIZE(tblY10[[#This Row],[4C01 - Atomic Structure
Raw Score]],AVERAGE(tblY10[[4C01 - Atomic Structure
Raw Score]]),_xlfn.STDEV.P(tblY10[[4C01 - Atomic Structure
Raw Score]])),9),_Stanine,2),5),"")</f>
        <v>8</v>
      </c>
      <c r="R84" s="66" t="n">
        <v>23</v>
      </c>
      <c r="S84" s="67">
        <f>IF(ISNUMBER(tblY10[[#This Row],[4P01 - Energy
Raw Score]]),IFERROR(VLOOKUP(ROUND(STANDARDIZE(tblY10[[#This Row],[4P01 - Energy
Raw Score]],AVERAGE(tblY10[[4P01 - Energy
Raw Score]]),_xlfn.STDEV.P(tblY10[[4P01 - Energy
Raw Score]])),9),_Stanine,2),5),"")</f>
        <v>7</v>
      </c>
      <c r="T84" s="66" t="n">
        <v>27</v>
      </c>
      <c r="U84" s="67">
        <f>IF(ISNUMBER(tblY10[[#This Row],[4B02 - Organisation
Raw Score]]),IFERROR(VLOOKUP(ROUND(STANDARDIZE(tblY10[[#This Row],[4B02 - Organisation
Raw Score]],AVERAGE(tblY10[[4B02 - Organisation
Raw Score]]),_xlfn.STDEV.P(tblY10[[4B02 - Organisation
Raw Score]])),9),_Stanine,2),5),"")</f>
        <v>6</v>
      </c>
      <c r="V84" s="66" t="n">
        <v>27</v>
      </c>
      <c r="W84" s="67">
        <f>IF(ISNUMBER(tblY10[[#This Row],[4C02 - Bonding
Raw Score]]),IFERROR(VLOOKUP(ROUND(STANDARDIZE(tblY10[[#This Row],[4C02 - Bonding
Raw Score]],AVERAGE(tblY10[[4C02 - Bonding
Raw Score]]),_xlfn.STDEV.P(tblY10[[4C02 - Bonding
Raw Score]])),9),_Stanine,2),5),"")</f>
        <v>6</v>
      </c>
    </row>
    <row r="85">
      <c r="A85" s="65" t="inlineStr">
        <is>
          <t>X906373219452</t>
        </is>
      </c>
      <c r="B85" s="65" t="inlineStr">
        <is>
          <t>Bennett</t>
        </is>
      </c>
      <c r="C85" s="65" t="inlineStr">
        <is>
          <t>Arthur</t>
        </is>
      </c>
      <c r="D85" s="66" t="inlineStr">
        <is>
          <t>M</t>
        </is>
      </c>
      <c r="E85" s="66" t="inlineStr">
        <is>
          <t>N</t>
        </is>
      </c>
      <c r="F85" s="66" t="inlineStr">
        <is>
          <t>N</t>
        </is>
      </c>
      <c r="G85" s="34" t="n">
        <v>98</v>
      </c>
      <c r="H85" s="34" t="n">
        <v>96.5</v>
      </c>
      <c r="I85" s="67">
        <f>IF(ISNUMBER(tblY10[[#This Row],[Avg KS2]]),IFERROR(VLOOKUP(ROUND(STANDARDIZE(tblY10[[#This Row],[Avg KS2]],AVERAGE(tblY10[[Avg KS2]]),_xlfn.STDEV.P(tblY10[[Avg KS2]])),9),_Stanine,2),5),"")</f>
        <v>3</v>
      </c>
      <c r="J85" s="66" t="inlineStr">
        <is>
          <t>10S/Sc4</t>
        </is>
      </c>
      <c r="K85" s="67">
        <f>IF(tblY10[[#This Row],[Preferred Last name]]="","",COUNTIFS($N$1:$ZZ$1,"*"&amp;CHAR(10)&amp;"Stanine",$N85:$ZZ85,"&gt;=1"))</f>
        <v>5</v>
      </c>
      <c r="L85" s="68">
        <f>IFERROR(AVERAGEIF($N$1:$ZZ$1,"*"&amp;CHAR(10)&amp;"Stanine",$N85:$ZZ85),"")</f>
        <v>2.8</v>
      </c>
      <c r="M85" s="69">
        <f>IF(AND(ISNUMBER(tblY10[[#This Row],[Mean Stanine]]),ISNUMBER(tblY10[[#This Row],[Avg KS2 Band]]),ISNUMBER(SlopeY10)),tblY10[[#This Row],[Mean Stanine]]-(InterceptY10+SlopeY10*tblY10[[#This Row],[Avg KS2 Band]]),"")</f>
        <v>-0.512127575958537</v>
      </c>
      <c r="N85" s="66" t="n">
        <v>8</v>
      </c>
      <c r="O85" s="67">
        <f>IF(ISNUMBER(tblY10[[#This Row],[4B01 - Cell Biology
Raw Score]]),IFERROR(VLOOKUP(ROUND(STANDARDIZE(tblY10[[#This Row],[4B01 - Cell Biology
Raw Score]],AVERAGE(tblY10[[4B01 - Cell Biology
Raw Score]]),_xlfn.STDEV.P(tblY10[[4B01 - Cell Biology
Raw Score]])),9),_Stanine,2),5),"")</f>
        <v>2</v>
      </c>
      <c r="P85" s="66" t="n">
        <v>7</v>
      </c>
      <c r="Q85" s="67">
        <f>IF(ISNUMBER(tblY10[[#This Row],[4C01 - Atomic Structure
Raw Score]]),IFERROR(VLOOKUP(ROUND(STANDARDIZE(tblY10[[#This Row],[4C01 - Atomic Structure
Raw Score]],AVERAGE(tblY10[[4C01 - Atomic Structure
Raw Score]]),_xlfn.STDEV.P(tblY10[[4C01 - Atomic Structure
Raw Score]])),9),_Stanine,2),5),"")</f>
        <v>2</v>
      </c>
      <c r="R85" s="66" t="n">
        <v>9</v>
      </c>
      <c r="S85" s="67">
        <f>IF(ISNUMBER(tblY10[[#This Row],[4P01 - Energy
Raw Score]]),IFERROR(VLOOKUP(ROUND(STANDARDIZE(tblY10[[#This Row],[4P01 - Energy
Raw Score]],AVERAGE(tblY10[[4P01 - Energy
Raw Score]]),_xlfn.STDEV.P(tblY10[[4P01 - Energy
Raw Score]])),9),_Stanine,2),5),"")</f>
        <v>3</v>
      </c>
      <c r="T85" s="66" t="n">
        <v>20</v>
      </c>
      <c r="U85" s="67">
        <f>IF(ISNUMBER(tblY10[[#This Row],[4B02 - Organisation
Raw Score]]),IFERROR(VLOOKUP(ROUND(STANDARDIZE(tblY10[[#This Row],[4B02 - Organisation
Raw Score]],AVERAGE(tblY10[[4B02 - Organisation
Raw Score]]),_xlfn.STDEV.P(tblY10[[4B02 - Organisation
Raw Score]])),9),_Stanine,2),5),"")</f>
        <v>4</v>
      </c>
      <c r="V85" s="66" t="n">
        <v>14</v>
      </c>
      <c r="W85" s="67">
        <f>IF(ISNUMBER(tblY10[[#This Row],[4C02 - Bonding
Raw Score]]),IFERROR(VLOOKUP(ROUND(STANDARDIZE(tblY10[[#This Row],[4C02 - Bonding
Raw Score]],AVERAGE(tblY10[[4C02 - Bonding
Raw Score]]),_xlfn.STDEV.P(tblY10[[4C02 - Bonding
Raw Score]])),9),_Stanine,2),5),"")</f>
        <v>3</v>
      </c>
    </row>
    <row r="86">
      <c r="A86" s="65" t="inlineStr">
        <is>
          <t>X900823532386</t>
        </is>
      </c>
      <c r="B86" s="65" t="inlineStr">
        <is>
          <t>Clarke</t>
        </is>
      </c>
      <c r="C86" s="65" t="inlineStr">
        <is>
          <t>Poppy</t>
        </is>
      </c>
      <c r="D86" s="66" t="inlineStr">
        <is>
          <t>F</t>
        </is>
      </c>
      <c r="E86" s="66" t="n"/>
      <c r="F86" s="66" t="inlineStr">
        <is>
          <t>N</t>
        </is>
      </c>
      <c r="G86" s="34" t="n">
        <v>94.8</v>
      </c>
      <c r="H86" s="34" t="n">
        <v>97</v>
      </c>
      <c r="I86" s="67">
        <f>IF(ISNUMBER(tblY10[[#This Row],[Avg KS2]]),IFERROR(VLOOKUP(ROUND(STANDARDIZE(tblY10[[#This Row],[Avg KS2]],AVERAGE(tblY10[[Avg KS2]]),_xlfn.STDEV.P(tblY10[[Avg KS2]])),9),_Stanine,2),5),"")</f>
        <v>3</v>
      </c>
      <c r="J86" s="66" t="inlineStr">
        <is>
          <t>10S/Sc4</t>
        </is>
      </c>
      <c r="K86" s="67">
        <f>IF(tblY10[[#This Row],[Preferred Last name]]="","",COUNTIFS($N$1:$ZZ$1,"*"&amp;CHAR(10)&amp;"Stanine",$N86:$ZZ86,"&gt;=1"))</f>
        <v>5</v>
      </c>
      <c r="L86" s="68">
        <f>IFERROR(AVERAGEIF($N$1:$ZZ$1,"*"&amp;CHAR(10)&amp;"Stanine",$N86:$ZZ86),"")</f>
        <v>3.2</v>
      </c>
      <c r="M86" s="69">
        <f>IF(AND(ISNUMBER(tblY10[[#This Row],[Mean Stanine]]),ISNUMBER(tblY10[[#This Row],[Avg KS2 Band]]),ISNUMBER(SlopeY10)),tblY10[[#This Row],[Mean Stanine]]-(InterceptY10+SlopeY10*tblY10[[#This Row],[Avg KS2 Band]]),"")</f>
        <v>-0.112127575958537</v>
      </c>
      <c r="N86" s="66" t="n">
        <v>13</v>
      </c>
      <c r="O86" s="67">
        <f>IF(ISNUMBER(tblY10[[#This Row],[4B01 - Cell Biology
Raw Score]]),IFERROR(VLOOKUP(ROUND(STANDARDIZE(tblY10[[#This Row],[4B01 - Cell Biology
Raw Score]],AVERAGE(tblY10[[4B01 - Cell Biology
Raw Score]]),_xlfn.STDEV.P(tblY10[[4B01 - Cell Biology
Raw Score]])),9),_Stanine,2),5),"")</f>
        <v>4</v>
      </c>
      <c r="P86" s="66" t="n">
        <v>7</v>
      </c>
      <c r="Q86" s="67">
        <f>IF(ISNUMBER(tblY10[[#This Row],[4C01 - Atomic Structure
Raw Score]]),IFERROR(VLOOKUP(ROUND(STANDARDIZE(tblY10[[#This Row],[4C01 - Atomic Structure
Raw Score]],AVERAGE(tblY10[[4C01 - Atomic Structure
Raw Score]]),_xlfn.STDEV.P(tblY10[[4C01 - Atomic Structure
Raw Score]])),9),_Stanine,2),5),"")</f>
        <v>2</v>
      </c>
      <c r="R86" s="66" t="n">
        <v>7</v>
      </c>
      <c r="S86" s="67">
        <f>IF(ISNUMBER(tblY10[[#This Row],[4P01 - Energy
Raw Score]]),IFERROR(VLOOKUP(ROUND(STANDARDIZE(tblY10[[#This Row],[4P01 - Energy
Raw Score]],AVERAGE(tblY10[[4P01 - Energy
Raw Score]]),_xlfn.STDEV.P(tblY10[[4P01 - Energy
Raw Score]])),9),_Stanine,2),5),"")</f>
        <v>3</v>
      </c>
      <c r="T86" s="66" t="n">
        <v>17</v>
      </c>
      <c r="U86" s="67">
        <f>IF(ISNUMBER(tblY10[[#This Row],[4B02 - Organisation
Raw Score]]),IFERROR(VLOOKUP(ROUND(STANDARDIZE(tblY10[[#This Row],[4B02 - Organisation
Raw Score]],AVERAGE(tblY10[[4B02 - Organisation
Raw Score]]),_xlfn.STDEV.P(tblY10[[4B02 - Organisation
Raw Score]])),9),_Stanine,2),5),"")</f>
        <v>4</v>
      </c>
      <c r="V86" s="66" t="n">
        <v>12</v>
      </c>
      <c r="W86" s="67">
        <f>IF(ISNUMBER(tblY10[[#This Row],[4C02 - Bonding
Raw Score]]),IFERROR(VLOOKUP(ROUND(STANDARDIZE(tblY10[[#This Row],[4C02 - Bonding
Raw Score]],AVERAGE(tblY10[[4C02 - Bonding
Raw Score]]),_xlfn.STDEV.P(tblY10[[4C02 - Bonding
Raw Score]])),9),_Stanine,2),5),"")</f>
        <v>3</v>
      </c>
    </row>
    <row r="87">
      <c r="A87" s="65" t="inlineStr">
        <is>
          <t>X906915683865</t>
        </is>
      </c>
      <c r="B87" s="65" t="inlineStr">
        <is>
          <t>Fletcher</t>
        </is>
      </c>
      <c r="C87" s="65" t="inlineStr">
        <is>
          <t>Muhammad</t>
        </is>
      </c>
      <c r="D87" s="66" t="inlineStr">
        <is>
          <t>M</t>
        </is>
      </c>
      <c r="E87" s="66" t="inlineStr">
        <is>
          <t>N</t>
        </is>
      </c>
      <c r="F87" s="66" t="inlineStr">
        <is>
          <t>Y</t>
        </is>
      </c>
      <c r="G87" s="34" t="n">
        <v>92.8</v>
      </c>
      <c r="H87" s="34" t="n">
        <v>92.5</v>
      </c>
      <c r="I87" s="67">
        <f>IF(ISNUMBER(tblY10[[#This Row],[Avg KS2]]),IFERROR(VLOOKUP(ROUND(STANDARDIZE(tblY10[[#This Row],[Avg KS2]],AVERAGE(tblY10[[Avg KS2]]),_xlfn.STDEV.P(tblY10[[Avg KS2]])),9),_Stanine,2),5),"")</f>
        <v>2</v>
      </c>
      <c r="J87" s="66" t="inlineStr">
        <is>
          <t>10S/Sc4</t>
        </is>
      </c>
      <c r="K87" s="67">
        <f>IF(tblY10[[#This Row],[Preferred Last name]]="","",COUNTIFS($N$1:$ZZ$1,"*"&amp;CHAR(10)&amp;"Stanine",$N87:$ZZ87,"&gt;=1"))</f>
        <v>5</v>
      </c>
      <c r="L87" s="68">
        <f>IFERROR(AVERAGEIF($N$1:$ZZ$1,"*"&amp;CHAR(10)&amp;"Stanine",$N87:$ZZ87),"")</f>
        <v>1.4</v>
      </c>
      <c r="M87" s="69">
        <f>IF(AND(ISNUMBER(tblY10[[#This Row],[Mean Stanine]]),ISNUMBER(tblY10[[#This Row],[Avg KS2 Band]]),ISNUMBER(SlopeY10)),tblY10[[#This Row],[Mean Stanine]]-(InterceptY10+SlopeY10*tblY10[[#This Row],[Avg KS2 Band]]),"")</f>
        <v>-1.09812529167587</v>
      </c>
      <c r="N87" s="66" t="n">
        <v>3</v>
      </c>
      <c r="O87" s="67">
        <f>IF(ISNUMBER(tblY10[[#This Row],[4B01 - Cell Biology
Raw Score]]),IFERROR(VLOOKUP(ROUND(STANDARDIZE(tblY10[[#This Row],[4B01 - Cell Biology
Raw Score]],AVERAGE(tblY10[[4B01 - Cell Biology
Raw Score]]),_xlfn.STDEV.P(tblY10[[4B01 - Cell Biology
Raw Score]])),9),_Stanine,2),5),"")</f>
        <v>1</v>
      </c>
      <c r="P87" s="66" t="n">
        <v>4</v>
      </c>
      <c r="Q87" s="67">
        <f>IF(ISNUMBER(tblY10[[#This Row],[4C01 - Atomic Structure
Raw Score]]),IFERROR(VLOOKUP(ROUND(STANDARDIZE(tblY10[[#This Row],[4C01 - Atomic Structure
Raw Score]],AVERAGE(tblY10[[4C01 - Atomic Structure
Raw Score]]),_xlfn.STDEV.P(tblY10[[4C01 - Atomic Structure
Raw Score]])),9),_Stanine,2),5),"")</f>
        <v>2</v>
      </c>
      <c r="R87" s="66" t="n">
        <v>5</v>
      </c>
      <c r="S87" s="67">
        <f>IF(ISNUMBER(tblY10[[#This Row],[4P01 - Energy
Raw Score]]),IFERROR(VLOOKUP(ROUND(STANDARDIZE(tblY10[[#This Row],[4P01 - Energy
Raw Score]],AVERAGE(tblY10[[4P01 - Energy
Raw Score]]),_xlfn.STDEV.P(tblY10[[4P01 - Energy
Raw Score]])),9),_Stanine,2),5),"")</f>
        <v>2</v>
      </c>
      <c r="T87" s="66" t="n">
        <v>6</v>
      </c>
      <c r="U87" s="67">
        <f>IF(ISNUMBER(tblY10[[#This Row],[4B02 - Organisation
Raw Score]]),IFERROR(VLOOKUP(ROUND(STANDARDIZE(tblY10[[#This Row],[4B02 - Organisation
Raw Score]],AVERAGE(tblY10[[4B02 - Organisation
Raw Score]]),_xlfn.STDEV.P(tblY10[[4B02 - Organisation
Raw Score]])),9),_Stanine,2),5),"")</f>
        <v>1</v>
      </c>
      <c r="V87" s="66" t="n">
        <v>3</v>
      </c>
      <c r="W87" s="67">
        <f>IF(ISNUMBER(tblY10[[#This Row],[4C02 - Bonding
Raw Score]]),IFERROR(VLOOKUP(ROUND(STANDARDIZE(tblY10[[#This Row],[4C02 - Bonding
Raw Score]],AVERAGE(tblY10[[4C02 - Bonding
Raw Score]]),_xlfn.STDEV.P(tblY10[[4C02 - Bonding
Raw Score]])),9),_Stanine,2),5),"")</f>
        <v>1</v>
      </c>
    </row>
    <row r="88">
      <c r="A88" s="65" t="inlineStr">
        <is>
          <t>X906063377675</t>
        </is>
      </c>
      <c r="B88" s="65" t="inlineStr">
        <is>
          <t>Griffiths</t>
        </is>
      </c>
      <c r="C88" s="65" t="inlineStr">
        <is>
          <t>Callum</t>
        </is>
      </c>
      <c r="D88" s="66" t="inlineStr">
        <is>
          <t>M</t>
        </is>
      </c>
      <c r="E88" s="66" t="inlineStr">
        <is>
          <t>K</t>
        </is>
      </c>
      <c r="F88" s="66" t="inlineStr">
        <is>
          <t>Y</t>
        </is>
      </c>
      <c r="G88" s="34" t="n">
        <v>92.2</v>
      </c>
      <c r="H88" s="34" t="n">
        <v>98.5</v>
      </c>
      <c r="I88" s="67">
        <f>IF(ISNUMBER(tblY10[[#This Row],[Avg KS2]]),IFERROR(VLOOKUP(ROUND(STANDARDIZE(tblY10[[#This Row],[Avg KS2]],AVERAGE(tblY10[[Avg KS2]]),_xlfn.STDEV.P(tblY10[[Avg KS2]])),9),_Stanine,2),5),"")</f>
        <v>4</v>
      </c>
      <c r="J88" s="66" t="inlineStr">
        <is>
          <t>10S/Sc4</t>
        </is>
      </c>
      <c r="K88" s="67">
        <f>IF(tblY10[[#This Row],[Preferred Last name]]="","",COUNTIFS($N$1:$ZZ$1,"*"&amp;CHAR(10)&amp;"Stanine",$N88:$ZZ88,"&gt;=1"))</f>
        <v>5</v>
      </c>
      <c r="L88" s="68">
        <f>IFERROR(AVERAGEIF($N$1:$ZZ$1,"*"&amp;CHAR(10)&amp;"Stanine",$N88:$ZZ88),"")</f>
        <v>3.2</v>
      </c>
      <c r="M88" s="69">
        <f>IF(AND(ISNUMBER(tblY10[[#This Row],[Mean Stanine]]),ISNUMBER(tblY10[[#This Row],[Avg KS2 Band]]),ISNUMBER(SlopeY10)),tblY10[[#This Row],[Mean Stanine]]-(InterceptY10+SlopeY10*tblY10[[#This Row],[Avg KS2 Band]]),"")</f>
        <v>-0.926129860241199</v>
      </c>
      <c r="N88" s="66" t="n">
        <v>11</v>
      </c>
      <c r="O88" s="67">
        <f>IF(ISNUMBER(tblY10[[#This Row],[4B01 - Cell Biology
Raw Score]]),IFERROR(VLOOKUP(ROUND(STANDARDIZE(tblY10[[#This Row],[4B01 - Cell Biology
Raw Score]],AVERAGE(tblY10[[4B01 - Cell Biology
Raw Score]]),_xlfn.STDEV.P(tblY10[[4B01 - Cell Biology
Raw Score]])),9),_Stanine,2),5),"")</f>
        <v>3</v>
      </c>
      <c r="P88" s="66" t="n">
        <v>17</v>
      </c>
      <c r="Q88" s="67">
        <f>IF(ISNUMBER(tblY10[[#This Row],[4C01 - Atomic Structure
Raw Score]]),IFERROR(VLOOKUP(ROUND(STANDARDIZE(tblY10[[#This Row],[4C01 - Atomic Structure
Raw Score]],AVERAGE(tblY10[[4C01 - Atomic Structure
Raw Score]]),_xlfn.STDEV.P(tblY10[[4C01 - Atomic Structure
Raw Score]])),9),_Stanine,2),5),"")</f>
        <v>5</v>
      </c>
      <c r="R88" s="66" t="n">
        <v>5</v>
      </c>
      <c r="S88" s="67">
        <f>IF(ISNUMBER(tblY10[[#This Row],[4P01 - Energy
Raw Score]]),IFERROR(VLOOKUP(ROUND(STANDARDIZE(tblY10[[#This Row],[4P01 - Energy
Raw Score]],AVERAGE(tblY10[[4P01 - Energy
Raw Score]]),_xlfn.STDEV.P(tblY10[[4P01 - Energy
Raw Score]])),9),_Stanine,2),5),"")</f>
        <v>2</v>
      </c>
      <c r="T88" s="66" t="n">
        <v>13</v>
      </c>
      <c r="U88" s="67">
        <f>IF(ISNUMBER(tblY10[[#This Row],[4B02 - Organisation
Raw Score]]),IFERROR(VLOOKUP(ROUND(STANDARDIZE(tblY10[[#This Row],[4B02 - Organisation
Raw Score]],AVERAGE(tblY10[[4B02 - Organisation
Raw Score]]),_xlfn.STDEV.P(tblY10[[4B02 - Organisation
Raw Score]])),9),_Stanine,2),5),"")</f>
        <v>3</v>
      </c>
      <c r="V88" s="66" t="n">
        <v>13</v>
      </c>
      <c r="W88" s="67">
        <f>IF(ISNUMBER(tblY10[[#This Row],[4C02 - Bonding
Raw Score]]),IFERROR(VLOOKUP(ROUND(STANDARDIZE(tblY10[[#This Row],[4C02 - Bonding
Raw Score]],AVERAGE(tblY10[[4C02 - Bonding
Raw Score]]),_xlfn.STDEV.P(tblY10[[4C02 - Bonding
Raw Score]])),9),_Stanine,2),5),"")</f>
        <v>3</v>
      </c>
    </row>
    <row r="89">
      <c r="A89" s="65" t="inlineStr">
        <is>
          <t>X902815549394</t>
        </is>
      </c>
      <c r="B89" s="65" t="inlineStr">
        <is>
          <t>Hall</t>
        </is>
      </c>
      <c r="C89" s="65" t="inlineStr">
        <is>
          <t>Kai</t>
        </is>
      </c>
      <c r="D89" s="66" t="inlineStr">
        <is>
          <t>F</t>
        </is>
      </c>
      <c r="E89" s="66" t="inlineStr">
        <is>
          <t>N</t>
        </is>
      </c>
      <c r="F89" s="66" t="inlineStr">
        <is>
          <t>N</t>
        </is>
      </c>
      <c r="G89" s="34" t="n">
        <v>90.5</v>
      </c>
      <c r="H89" s="34" t="n">
        <v>92</v>
      </c>
      <c r="I89" s="67">
        <f>IF(ISNUMBER(tblY10[[#This Row],[Avg KS2]]),IFERROR(VLOOKUP(ROUND(STANDARDIZE(tblY10[[#This Row],[Avg KS2]],AVERAGE(tblY10[[Avg KS2]]),_xlfn.STDEV.P(tblY10[[Avg KS2]])),9),_Stanine,2),5),"")</f>
        <v>1</v>
      </c>
      <c r="J89" s="66" t="inlineStr">
        <is>
          <t>10S/Sc4</t>
        </is>
      </c>
      <c r="K89" s="67">
        <f>IF(tblY10[[#This Row],[Preferred Last name]]="","",COUNTIFS($N$1:$ZZ$1,"*"&amp;CHAR(10)&amp;"Stanine",$N89:$ZZ89,"&gt;=1"))</f>
        <v>4</v>
      </c>
      <c r="L89" s="68">
        <f>IFERROR(AVERAGEIF($N$1:$ZZ$1,"*"&amp;CHAR(10)&amp;"Stanine",$N89:$ZZ89),"")</f>
        <v>1.75</v>
      </c>
      <c r="M89" s="69">
        <f>IF(AND(ISNUMBER(tblY10[[#This Row],[Mean Stanine]]),ISNUMBER(tblY10[[#This Row],[Avg KS2 Band]]),ISNUMBER(SlopeY10)),tblY10[[#This Row],[Mean Stanine]]-(InterceptY10+SlopeY10*tblY10[[#This Row],[Avg KS2 Band]]),"")</f>
        <v>0.0658769926067881</v>
      </c>
      <c r="N89" s="66" t="n">
        <v>4</v>
      </c>
      <c r="O89" s="67">
        <f>IF(ISNUMBER(tblY10[[#This Row],[4B01 - Cell Biology
Raw Score]]),IFERROR(VLOOKUP(ROUND(STANDARDIZE(tblY10[[#This Row],[4B01 - Cell Biology
Raw Score]],AVERAGE(tblY10[[4B01 - Cell Biology
Raw Score]]),_xlfn.STDEV.P(tblY10[[4B01 - Cell Biology
Raw Score]])),9),_Stanine,2),5),"")</f>
        <v>2</v>
      </c>
      <c r="P89" s="66" t="n">
        <v>4</v>
      </c>
      <c r="Q89" s="67">
        <f>IF(ISNUMBER(tblY10[[#This Row],[4C01 - Atomic Structure
Raw Score]]),IFERROR(VLOOKUP(ROUND(STANDARDIZE(tblY10[[#This Row],[4C01 - Atomic Structure
Raw Score]],AVERAGE(tblY10[[4C01 - Atomic Structure
Raw Score]]),_xlfn.STDEV.P(tblY10[[4C01 - Atomic Structure
Raw Score]])),9),_Stanine,2),5),"")</f>
        <v>2</v>
      </c>
      <c r="R89" s="66" t="n">
        <v>4</v>
      </c>
      <c r="S89" s="67">
        <f>IF(ISNUMBER(tblY10[[#This Row],[4P01 - Energy
Raw Score]]),IFERROR(VLOOKUP(ROUND(STANDARDIZE(tblY10[[#This Row],[4P01 - Energy
Raw Score]],AVERAGE(tblY10[[4P01 - Energy
Raw Score]]),_xlfn.STDEV.P(tblY10[[4P01 - Energy
Raw Score]])),9),_Stanine,2),5),"")</f>
        <v>2</v>
      </c>
      <c r="T89" s="66" t="inlineStr">
        <is>
          <t>A</t>
        </is>
      </c>
      <c r="U89" s="67" t="str">
        <f>IF(ISNUMBER(tblY10[[#This Row],[4B02 - Organisation
Raw Score]]),IFERROR(VLOOKUP(ROUND(STANDARDIZE(tblY10[[#This Row],[4B02 - Organisation
Raw Score]],AVERAGE(tblY10[[4B02 - Organisation
Raw Score]]),_xlfn.STDEV.P(tblY10[[4B02 - Organisation
Raw Score]])),9),_Stanine,2),5),"")</f>
        <v/>
      </c>
      <c r="V89" s="66" t="n">
        <v>3</v>
      </c>
      <c r="W89" s="67">
        <f>IF(ISNUMBER(tblY10[[#This Row],[4C02 - Bonding
Raw Score]]),IFERROR(VLOOKUP(ROUND(STANDARDIZE(tblY10[[#This Row],[4C02 - Bonding
Raw Score]],AVERAGE(tblY10[[4C02 - Bonding
Raw Score]]),_xlfn.STDEV.P(tblY10[[4C02 - Bonding
Raw Score]])),9),_Stanine,2),5),"")</f>
        <v>1</v>
      </c>
    </row>
    <row r="90">
      <c r="A90" s="65" t="inlineStr">
        <is>
          <t>X906089757451</t>
        </is>
      </c>
      <c r="B90" s="65" t="inlineStr">
        <is>
          <t>Hughes</t>
        </is>
      </c>
      <c r="C90" s="65" t="inlineStr">
        <is>
          <t>Alfie</t>
        </is>
      </c>
      <c r="D90" s="66" t="inlineStr">
        <is>
          <t>M</t>
        </is>
      </c>
      <c r="E90" s="66" t="n"/>
      <c r="F90" s="66" t="inlineStr">
        <is>
          <t>N</t>
        </is>
      </c>
      <c r="G90" s="34" t="n">
        <v>86.2</v>
      </c>
      <c r="H90" s="34" t="n">
        <v>102</v>
      </c>
      <c r="I90" s="67">
        <f>IF(ISNUMBER(tblY10[[#This Row],[Avg KS2]]),IFERROR(VLOOKUP(ROUND(STANDARDIZE(tblY10[[#This Row],[Avg KS2]],AVERAGE(tblY10[[Avg KS2]]),_xlfn.STDEV.P(tblY10[[Avg KS2]])),9),_Stanine,2),5),"")</f>
        <v>5</v>
      </c>
      <c r="J90" s="66" t="inlineStr">
        <is>
          <t>10S/Sc4</t>
        </is>
      </c>
      <c r="K90" s="67">
        <f>IF(tblY10[[#This Row],[Preferred Last name]]="","",COUNTIFS($N$1:$ZZ$1,"*"&amp;CHAR(10)&amp;"Stanine",$N90:$ZZ90,"&gt;=1"))</f>
        <v>4</v>
      </c>
      <c r="L90" s="68">
        <f>IFERROR(AVERAGEIF($N$1:$ZZ$1,"*"&amp;CHAR(10)&amp;"Stanine",$N90:$ZZ90),"")</f>
        <v>3</v>
      </c>
      <c r="M90" s="69">
        <f>IF(AND(ISNUMBER(tblY10[[#This Row],[Mean Stanine]]),ISNUMBER(tblY10[[#This Row],[Avg KS2 Band]]),ISNUMBER(SlopeY10)),tblY10[[#This Row],[Mean Stanine]]-(InterceptY10+SlopeY10*tblY10[[#This Row],[Avg KS2 Band]]),"")</f>
        <v>-1.94013214452386</v>
      </c>
      <c r="N90" s="66" t="n">
        <v>9</v>
      </c>
      <c r="O90" s="67">
        <f>IF(ISNUMBER(tblY10[[#This Row],[4B01 - Cell Biology
Raw Score]]),IFERROR(VLOOKUP(ROUND(STANDARDIZE(tblY10[[#This Row],[4B01 - Cell Biology
Raw Score]],AVERAGE(tblY10[[4B01 - Cell Biology
Raw Score]]),_xlfn.STDEV.P(tblY10[[4B01 - Cell Biology
Raw Score]])),9),_Stanine,2),5),"")</f>
        <v>3</v>
      </c>
      <c r="P90" s="66" t="n">
        <v>9</v>
      </c>
      <c r="Q90" s="67">
        <f>IF(ISNUMBER(tblY10[[#This Row],[4C01 - Atomic Structure
Raw Score]]),IFERROR(VLOOKUP(ROUND(STANDARDIZE(tblY10[[#This Row],[4C01 - Atomic Structure
Raw Score]],AVERAGE(tblY10[[4C01 - Atomic Structure
Raw Score]]),_xlfn.STDEV.P(tblY10[[4C01 - Atomic Structure
Raw Score]])),9),_Stanine,2),5),"")</f>
        <v>3</v>
      </c>
      <c r="R90" s="66" t="n">
        <v>6</v>
      </c>
      <c r="S90" s="67">
        <f>IF(ISNUMBER(tblY10[[#This Row],[4P01 - Energy
Raw Score]]),IFERROR(VLOOKUP(ROUND(STANDARDIZE(tblY10[[#This Row],[4P01 - Energy
Raw Score]],AVERAGE(tblY10[[4P01 - Energy
Raw Score]]),_xlfn.STDEV.P(tblY10[[4P01 - Energy
Raw Score]])),9),_Stanine,2),5),"")</f>
        <v>3</v>
      </c>
      <c r="T90" s="66" t="inlineStr">
        <is>
          <t>A</t>
        </is>
      </c>
      <c r="U90" s="67" t="str">
        <f>IF(ISNUMBER(tblY10[[#This Row],[4B02 - Organisation
Raw Score]]),IFERROR(VLOOKUP(ROUND(STANDARDIZE(tblY10[[#This Row],[4B02 - Organisation
Raw Score]],AVERAGE(tblY10[[4B02 - Organisation
Raw Score]]),_xlfn.STDEV.P(tblY10[[4B02 - Organisation
Raw Score]])),9),_Stanine,2),5),"")</f>
        <v/>
      </c>
      <c r="V90" s="66" t="n">
        <v>11</v>
      </c>
      <c r="W90" s="67">
        <f>IF(ISNUMBER(tblY10[[#This Row],[4C02 - Bonding
Raw Score]]),IFERROR(VLOOKUP(ROUND(STANDARDIZE(tblY10[[#This Row],[4C02 - Bonding
Raw Score]],AVERAGE(tblY10[[4C02 - Bonding
Raw Score]]),_xlfn.STDEV.P(tblY10[[4C02 - Bonding
Raw Score]])),9),_Stanine,2),5),"")</f>
        <v>3</v>
      </c>
    </row>
    <row r="91">
      <c r="A91" s="65" t="inlineStr">
        <is>
          <t>X901819101349</t>
        </is>
      </c>
      <c r="B91" s="65" t="inlineStr">
        <is>
          <t>Johnson</t>
        </is>
      </c>
      <c r="C91" s="65" t="inlineStr">
        <is>
          <t>Alfie</t>
        </is>
      </c>
      <c r="D91" s="66" t="inlineStr">
        <is>
          <t>M</t>
        </is>
      </c>
      <c r="E91" s="66" t="n"/>
      <c r="F91" s="66" t="inlineStr">
        <is>
          <t>Y</t>
        </is>
      </c>
      <c r="G91" s="34" t="n">
        <v>97.2</v>
      </c>
      <c r="H91" s="34" t="n">
        <v>96</v>
      </c>
      <c r="I91" s="67">
        <f>IF(ISNUMBER(tblY10[[#This Row],[Avg KS2]]),IFERROR(VLOOKUP(ROUND(STANDARDIZE(tblY10[[#This Row],[Avg KS2]],AVERAGE(tblY10[[Avg KS2]]),_xlfn.STDEV.P(tblY10[[Avg KS2]])),9),_Stanine,2),5),"")</f>
        <v>3</v>
      </c>
      <c r="J91" s="66" t="inlineStr">
        <is>
          <t>10S/Sc4</t>
        </is>
      </c>
      <c r="K91" s="67">
        <f>IF(tblY10[[#This Row],[Preferred Last name]]="","",COUNTIFS($N$1:$ZZ$1,"*"&amp;CHAR(10)&amp;"Stanine",$N91:$ZZ91,"&gt;=1"))</f>
        <v>5</v>
      </c>
      <c r="L91" s="68">
        <f>IFERROR(AVERAGEIF($N$1:$ZZ$1,"*"&amp;CHAR(10)&amp;"Stanine",$N91:$ZZ91),"")</f>
        <v>2.6</v>
      </c>
      <c r="M91" s="69">
        <f>IF(AND(ISNUMBER(tblY10[[#This Row],[Mean Stanine]]),ISNUMBER(tblY10[[#This Row],[Avg KS2 Band]]),ISNUMBER(SlopeY10)),tblY10[[#This Row],[Mean Stanine]]-(InterceptY10+SlopeY10*tblY10[[#This Row],[Avg KS2 Band]]),"")</f>
        <v>-0.712127575958537</v>
      </c>
      <c r="N91" s="66" t="n">
        <v>11</v>
      </c>
      <c r="O91" s="67">
        <f>IF(ISNUMBER(tblY10[[#This Row],[4B01 - Cell Biology
Raw Score]]),IFERROR(VLOOKUP(ROUND(STANDARDIZE(tblY10[[#This Row],[4B01 - Cell Biology
Raw Score]],AVERAGE(tblY10[[4B01 - Cell Biology
Raw Score]]),_xlfn.STDEV.P(tblY10[[4B01 - Cell Biology
Raw Score]])),9),_Stanine,2),5),"")</f>
        <v>3</v>
      </c>
      <c r="P91" s="66" t="n">
        <v>4</v>
      </c>
      <c r="Q91" s="67">
        <f>IF(ISNUMBER(tblY10[[#This Row],[4C01 - Atomic Structure
Raw Score]]),IFERROR(VLOOKUP(ROUND(STANDARDIZE(tblY10[[#This Row],[4C01 - Atomic Structure
Raw Score]],AVERAGE(tblY10[[4C01 - Atomic Structure
Raw Score]]),_xlfn.STDEV.P(tblY10[[4C01 - Atomic Structure
Raw Score]])),9),_Stanine,2),5),"")</f>
        <v>2</v>
      </c>
      <c r="R91" s="66" t="n">
        <v>6</v>
      </c>
      <c r="S91" s="67">
        <f>IF(ISNUMBER(tblY10[[#This Row],[4P01 - Energy
Raw Score]]),IFERROR(VLOOKUP(ROUND(STANDARDIZE(tblY10[[#This Row],[4P01 - Energy
Raw Score]],AVERAGE(tblY10[[4P01 - Energy
Raw Score]]),_xlfn.STDEV.P(tblY10[[4P01 - Energy
Raw Score]])),9),_Stanine,2),5),"")</f>
        <v>3</v>
      </c>
      <c r="T91" s="66" t="n">
        <v>12</v>
      </c>
      <c r="U91" s="67">
        <f>IF(ISNUMBER(tblY10[[#This Row],[4B02 - Organisation
Raw Score]]),IFERROR(VLOOKUP(ROUND(STANDARDIZE(tblY10[[#This Row],[4B02 - Organisation
Raw Score]],AVERAGE(tblY10[[4B02 - Organisation
Raw Score]]),_xlfn.STDEV.P(tblY10[[4B02 - Organisation
Raw Score]])),9),_Stanine,2),5),"")</f>
        <v>3</v>
      </c>
      <c r="V91" s="66" t="n">
        <v>6</v>
      </c>
      <c r="W91" s="67">
        <f>IF(ISNUMBER(tblY10[[#This Row],[4C02 - Bonding
Raw Score]]),IFERROR(VLOOKUP(ROUND(STANDARDIZE(tblY10[[#This Row],[4C02 - Bonding
Raw Score]],AVERAGE(tblY10[[4C02 - Bonding
Raw Score]]),_xlfn.STDEV.P(tblY10[[4C02 - Bonding
Raw Score]])),9),_Stanine,2),5),"")</f>
        <v>2</v>
      </c>
    </row>
    <row r="92">
      <c r="A92" s="65" t="inlineStr">
        <is>
          <t>X903567058651</t>
        </is>
      </c>
      <c r="B92" s="65" t="inlineStr">
        <is>
          <t>Kelly</t>
        </is>
      </c>
      <c r="C92" s="65" t="inlineStr">
        <is>
          <t>Amelia</t>
        </is>
      </c>
      <c r="D92" s="66" t="inlineStr">
        <is>
          <t>M</t>
        </is>
      </c>
      <c r="E92" s="66" t="n"/>
      <c r="F92" s="66" t="inlineStr">
        <is>
          <t>N</t>
        </is>
      </c>
      <c r="G92" s="34" t="n">
        <v>100</v>
      </c>
      <c r="H92" s="34" t="inlineStr">
        <is>
          <t>No Data</t>
        </is>
      </c>
      <c r="I92" s="67" t="str">
        <f>IF(ISNUMBER(tblY10[[#This Row],[Avg KS2]]),IFERROR(VLOOKUP(ROUND(STANDARDIZE(tblY10[[#This Row],[Avg KS2]],AVERAGE(tblY10[[Avg KS2]]),_xlfn.STDEV.P(tblY10[[Avg KS2]])),9),_Stanine,2),5),"")</f>
        <v/>
      </c>
      <c r="J92" s="66" t="inlineStr">
        <is>
          <t>10S/Sc4</t>
        </is>
      </c>
      <c r="K92" s="67">
        <f>IF(tblY10[[#This Row],[Preferred Last name]]="","",COUNTIFS($N$1:$ZZ$1,"*"&amp;CHAR(10)&amp;"Stanine",$N92:$ZZ92,"&gt;=1"))</f>
        <v>4</v>
      </c>
      <c r="L92" s="68">
        <f>IFERROR(AVERAGEIF($N$1:$ZZ$1,"*"&amp;CHAR(10)&amp;"Stanine",$N92:$ZZ92),"")</f>
        <v>3.5</v>
      </c>
      <c r="M92" s="69" t="str">
        <f>IF(AND(ISNUMBER(tblY10[[#This Row],[Mean Stanine]]),ISNUMBER(tblY10[[#This Row],[Avg KS2 Band]]),ISNUMBER(SlopeY10)),tblY10[[#This Row],[Mean Stanine]]-(InterceptY10+SlopeY10*tblY10[[#This Row],[Avg KS2 Band]]),"")</f>
        <v/>
      </c>
      <c r="N92" s="66" t="n">
        <v>11</v>
      </c>
      <c r="O92" s="67">
        <f>IF(ISNUMBER(tblY10[[#This Row],[4B01 - Cell Biology
Raw Score]]),IFERROR(VLOOKUP(ROUND(STANDARDIZE(tblY10[[#This Row],[4B01 - Cell Biology
Raw Score]],AVERAGE(tblY10[[4B01 - Cell Biology
Raw Score]]),_xlfn.STDEV.P(tblY10[[4B01 - Cell Biology
Raw Score]])),9),_Stanine,2),5),"")</f>
        <v>3</v>
      </c>
      <c r="P92" s="66" t="inlineStr">
        <is>
          <t>A</t>
        </is>
      </c>
      <c r="Q92" s="67" t="str">
        <f>IF(ISNUMBER(tblY10[[#This Row],[4C01 - Atomic Structure
Raw Score]]),IFERROR(VLOOKUP(ROUND(STANDARDIZE(tblY10[[#This Row],[4C01 - Atomic Structure
Raw Score]],AVERAGE(tblY10[[4C01 - Atomic Structure
Raw Score]]),_xlfn.STDEV.P(tblY10[[4C01 - Atomic Structure
Raw Score]])),9),_Stanine,2),5),"")</f>
        <v/>
      </c>
      <c r="R92" s="66" t="n">
        <v>9</v>
      </c>
      <c r="S92" s="67">
        <f>IF(ISNUMBER(tblY10[[#This Row],[4P01 - Energy
Raw Score]]),IFERROR(VLOOKUP(ROUND(STANDARDIZE(tblY10[[#This Row],[4P01 - Energy
Raw Score]],AVERAGE(tblY10[[4P01 - Energy
Raw Score]]),_xlfn.STDEV.P(tblY10[[4P01 - Energy
Raw Score]])),9),_Stanine,2),5),"")</f>
        <v>3</v>
      </c>
      <c r="T92" s="66" t="n">
        <v>20</v>
      </c>
      <c r="U92" s="67">
        <f>IF(ISNUMBER(tblY10[[#This Row],[4B02 - Organisation
Raw Score]]),IFERROR(VLOOKUP(ROUND(STANDARDIZE(tblY10[[#This Row],[4B02 - Organisation
Raw Score]],AVERAGE(tblY10[[4B02 - Organisation
Raw Score]]),_xlfn.STDEV.P(tblY10[[4B02 - Organisation
Raw Score]])),9),_Stanine,2),5),"")</f>
        <v>4</v>
      </c>
      <c r="V92" s="66" t="n">
        <v>19</v>
      </c>
      <c r="W92" s="67">
        <f>IF(ISNUMBER(tblY10[[#This Row],[4C02 - Bonding
Raw Score]]),IFERROR(VLOOKUP(ROUND(STANDARDIZE(tblY10[[#This Row],[4C02 - Bonding
Raw Score]],AVERAGE(tblY10[[4C02 - Bonding
Raw Score]]),_xlfn.STDEV.P(tblY10[[4C02 - Bonding
Raw Score]])),9),_Stanine,2),5),"")</f>
        <v>4</v>
      </c>
    </row>
    <row r="93">
      <c r="A93" s="65" t="inlineStr">
        <is>
          <t>X904502786131</t>
        </is>
      </c>
      <c r="B93" s="65" t="inlineStr">
        <is>
          <t>Lloyd</t>
        </is>
      </c>
      <c r="C93" s="65" t="inlineStr">
        <is>
          <t>Zara</t>
        </is>
      </c>
      <c r="D93" s="66" t="inlineStr">
        <is>
          <t>M</t>
        </is>
      </c>
      <c r="E93" s="66" t="inlineStr">
        <is>
          <t>K</t>
        </is>
      </c>
      <c r="F93" s="66" t="inlineStr">
        <is>
          <t>Y</t>
        </is>
      </c>
      <c r="G93" s="34" t="n">
        <v>99.8</v>
      </c>
      <c r="H93" s="34" t="n">
        <v>99.5</v>
      </c>
      <c r="I93" s="67">
        <f>IF(ISNUMBER(tblY10[[#This Row],[Avg KS2]]),IFERROR(VLOOKUP(ROUND(STANDARDIZE(tblY10[[#This Row],[Avg KS2]],AVERAGE(tblY10[[Avg KS2]]),_xlfn.STDEV.P(tblY10[[Avg KS2]])),9),_Stanine,2),5),"")</f>
        <v>4</v>
      </c>
      <c r="J93" s="66" t="inlineStr">
        <is>
          <t>10S/Sc4</t>
        </is>
      </c>
      <c r="K93" s="67">
        <f>IF(tblY10[[#This Row],[Preferred Last name]]="","",COUNTIFS($N$1:$ZZ$1,"*"&amp;CHAR(10)&amp;"Stanine",$N93:$ZZ93,"&gt;=1"))</f>
        <v>5</v>
      </c>
      <c r="L93" s="68">
        <f>IFERROR(AVERAGEIF($N$1:$ZZ$1,"*"&amp;CHAR(10)&amp;"Stanine",$N93:$ZZ93),"")</f>
        <v>1.8</v>
      </c>
      <c r="M93" s="69">
        <f>IF(AND(ISNUMBER(tblY10[[#This Row],[Mean Stanine]]),ISNUMBER(tblY10[[#This Row],[Avg KS2 Band]]),ISNUMBER(SlopeY10)),tblY10[[#This Row],[Mean Stanine]]-(InterceptY10+SlopeY10*tblY10[[#This Row],[Avg KS2 Band]]),"")</f>
        <v>-2.3261298602412</v>
      </c>
      <c r="N93" s="66" t="n">
        <v>6</v>
      </c>
      <c r="O93" s="67">
        <f>IF(ISNUMBER(tblY10[[#This Row],[4B01 - Cell Biology
Raw Score]]),IFERROR(VLOOKUP(ROUND(STANDARDIZE(tblY10[[#This Row],[4B01 - Cell Biology
Raw Score]],AVERAGE(tblY10[[4B01 - Cell Biology
Raw Score]]),_xlfn.STDEV.P(tblY10[[4B01 - Cell Biology
Raw Score]])),9),_Stanine,2),5),"")</f>
        <v>2</v>
      </c>
      <c r="P93" s="66" t="n">
        <v>6</v>
      </c>
      <c r="Q93" s="67">
        <f>IF(ISNUMBER(tblY10[[#This Row],[4C01 - Atomic Structure
Raw Score]]),IFERROR(VLOOKUP(ROUND(STANDARDIZE(tblY10[[#This Row],[4C01 - Atomic Structure
Raw Score]],AVERAGE(tblY10[[4C01 - Atomic Structure
Raw Score]]),_xlfn.STDEV.P(tblY10[[4C01 - Atomic Structure
Raw Score]])),9),_Stanine,2),5),"")</f>
        <v>2</v>
      </c>
      <c r="R93" s="66" t="n">
        <v>3</v>
      </c>
      <c r="S93" s="67">
        <f>IF(ISNUMBER(tblY10[[#This Row],[4P01 - Energy
Raw Score]]),IFERROR(VLOOKUP(ROUND(STANDARDIZE(tblY10[[#This Row],[4P01 - Energy
Raw Score]],AVERAGE(tblY10[[4P01 - Energy
Raw Score]]),_xlfn.STDEV.P(tblY10[[4P01 - Energy
Raw Score]])),9),_Stanine,2),5),"")</f>
        <v>2</v>
      </c>
      <c r="T93" s="66" t="n">
        <v>6</v>
      </c>
      <c r="U93" s="67">
        <f>IF(ISNUMBER(tblY10[[#This Row],[4B02 - Organisation
Raw Score]]),IFERROR(VLOOKUP(ROUND(STANDARDIZE(tblY10[[#This Row],[4B02 - Organisation
Raw Score]],AVERAGE(tblY10[[4B02 - Organisation
Raw Score]]),_xlfn.STDEV.P(tblY10[[4B02 - Organisation
Raw Score]])),9),_Stanine,2),5),"")</f>
        <v>1</v>
      </c>
      <c r="V93" s="66" t="n">
        <v>8</v>
      </c>
      <c r="W93" s="67">
        <f>IF(ISNUMBER(tblY10[[#This Row],[4C02 - Bonding
Raw Score]]),IFERROR(VLOOKUP(ROUND(STANDARDIZE(tblY10[[#This Row],[4C02 - Bonding
Raw Score]],AVERAGE(tblY10[[4C02 - Bonding
Raw Score]]),_xlfn.STDEV.P(tblY10[[4C02 - Bonding
Raw Score]])),9),_Stanine,2),5),"")</f>
        <v>2</v>
      </c>
    </row>
    <row r="94">
      <c r="A94" s="65" t="inlineStr">
        <is>
          <t>X905181306993</t>
        </is>
      </c>
      <c r="B94" s="65" t="inlineStr">
        <is>
          <t>Mistry</t>
        </is>
      </c>
      <c r="C94" s="65" t="inlineStr">
        <is>
          <t>Rosie</t>
        </is>
      </c>
      <c r="D94" s="66" t="inlineStr">
        <is>
          <t>M</t>
        </is>
      </c>
      <c r="E94" s="66" t="inlineStr">
        <is>
          <t>N</t>
        </is>
      </c>
      <c r="F94" s="66" t="inlineStr">
        <is>
          <t>Y</t>
        </is>
      </c>
      <c r="G94" s="34" t="n">
        <v>93.8</v>
      </c>
      <c r="H94" s="34" t="n">
        <v>97</v>
      </c>
      <c r="I94" s="67">
        <f>IF(ISNUMBER(tblY10[[#This Row],[Avg KS2]]),IFERROR(VLOOKUP(ROUND(STANDARDIZE(tblY10[[#This Row],[Avg KS2]],AVERAGE(tblY10[[Avg KS2]]),_xlfn.STDEV.P(tblY10[[Avg KS2]])),9),_Stanine,2),5),"")</f>
        <v>3</v>
      </c>
      <c r="J94" s="66" t="inlineStr">
        <is>
          <t>10S/Sc4</t>
        </is>
      </c>
      <c r="K94" s="67">
        <f>IF(tblY10[[#This Row],[Preferred Last name]]="","",COUNTIFS($N$1:$ZZ$1,"*"&amp;CHAR(10)&amp;"Stanine",$N94:$ZZ94,"&gt;=1"))</f>
        <v>4</v>
      </c>
      <c r="L94" s="68">
        <f>IFERROR(AVERAGEIF($N$1:$ZZ$1,"*"&amp;CHAR(10)&amp;"Stanine",$N94:$ZZ94),"")</f>
        <v>2.5</v>
      </c>
      <c r="M94" s="69">
        <f>IF(AND(ISNUMBER(tblY10[[#This Row],[Mean Stanine]]),ISNUMBER(tblY10[[#This Row],[Avg KS2 Band]]),ISNUMBER(SlopeY10)),tblY10[[#This Row],[Mean Stanine]]-(InterceptY10+SlopeY10*tblY10[[#This Row],[Avg KS2 Band]]),"")</f>
        <v>-0.812127575958537</v>
      </c>
      <c r="N94" s="66" t="n">
        <v>8</v>
      </c>
      <c r="O94" s="67">
        <f>IF(ISNUMBER(tblY10[[#This Row],[4B01 - Cell Biology
Raw Score]]),IFERROR(VLOOKUP(ROUND(STANDARDIZE(tblY10[[#This Row],[4B01 - Cell Biology
Raw Score]],AVERAGE(tblY10[[4B01 - Cell Biology
Raw Score]]),_xlfn.STDEV.P(tblY10[[4B01 - Cell Biology
Raw Score]])),9),_Stanine,2),5),"")</f>
        <v>2</v>
      </c>
      <c r="P94" s="66" t="n">
        <v>9</v>
      </c>
      <c r="Q94" s="67">
        <f>IF(ISNUMBER(tblY10[[#This Row],[4C01 - Atomic Structure
Raw Score]]),IFERROR(VLOOKUP(ROUND(STANDARDIZE(tblY10[[#This Row],[4C01 - Atomic Structure
Raw Score]],AVERAGE(tblY10[[4C01 - Atomic Structure
Raw Score]]),_xlfn.STDEV.P(tblY10[[4C01 - Atomic Structure
Raw Score]])),9),_Stanine,2),5),"")</f>
        <v>3</v>
      </c>
      <c r="R94" s="66" t="n">
        <v>6</v>
      </c>
      <c r="S94" s="67">
        <f>IF(ISNUMBER(tblY10[[#This Row],[4P01 - Energy
Raw Score]]),IFERROR(VLOOKUP(ROUND(STANDARDIZE(tblY10[[#This Row],[4P01 - Energy
Raw Score]],AVERAGE(tblY10[[4P01 - Energy
Raw Score]]),_xlfn.STDEV.P(tblY10[[4P01 - Energy
Raw Score]])),9),_Stanine,2),5),"")</f>
        <v>3</v>
      </c>
      <c r="T94" s="66" t="inlineStr">
        <is>
          <t>A</t>
        </is>
      </c>
      <c r="U94" s="67" t="str">
        <f>IF(ISNUMBER(tblY10[[#This Row],[4B02 - Organisation
Raw Score]]),IFERROR(VLOOKUP(ROUND(STANDARDIZE(tblY10[[#This Row],[4B02 - Organisation
Raw Score]],AVERAGE(tblY10[[4B02 - Organisation
Raw Score]]),_xlfn.STDEV.P(tblY10[[4B02 - Organisation
Raw Score]])),9),_Stanine,2),5),"")</f>
        <v/>
      </c>
      <c r="V94" s="66" t="n">
        <v>9</v>
      </c>
      <c r="W94" s="67">
        <f>IF(ISNUMBER(tblY10[[#This Row],[4C02 - Bonding
Raw Score]]),IFERROR(VLOOKUP(ROUND(STANDARDIZE(tblY10[[#This Row],[4C02 - Bonding
Raw Score]],AVERAGE(tblY10[[4C02 - Bonding
Raw Score]]),_xlfn.STDEV.P(tblY10[[4C02 - Bonding
Raw Score]])),9),_Stanine,2),5),"")</f>
        <v>2</v>
      </c>
    </row>
    <row r="95">
      <c r="A95" s="65" t="inlineStr">
        <is>
          <t>X902875334340</t>
        </is>
      </c>
      <c r="B95" s="65" t="inlineStr">
        <is>
          <t>Morgan</t>
        </is>
      </c>
      <c r="C95" s="65" t="inlineStr">
        <is>
          <t>Theo</t>
        </is>
      </c>
      <c r="D95" s="66" t="inlineStr">
        <is>
          <t>F</t>
        </is>
      </c>
      <c r="E95" s="66" t="inlineStr">
        <is>
          <t>N</t>
        </is>
      </c>
      <c r="F95" s="66" t="inlineStr">
        <is>
          <t>N</t>
        </is>
      </c>
      <c r="G95" s="34" t="n">
        <v>91.7</v>
      </c>
      <c r="H95" s="34" t="n">
        <v>113</v>
      </c>
      <c r="I95" s="67">
        <f>IF(ISNUMBER(tblY10[[#This Row],[Avg KS2]]),IFERROR(VLOOKUP(ROUND(STANDARDIZE(tblY10[[#This Row],[Avg KS2]],AVERAGE(tblY10[[Avg KS2]]),_xlfn.STDEV.P(tblY10[[Avg KS2]])),9),_Stanine,2),5),"")</f>
        <v>8</v>
      </c>
      <c r="J95" s="66" t="inlineStr">
        <is>
          <t>10S/Sc4</t>
        </is>
      </c>
      <c r="K95" s="67">
        <f>IF(tblY10[[#This Row],[Preferred Last name]]="","",COUNTIFS($N$1:$ZZ$1,"*"&amp;CHAR(10)&amp;"Stanine",$N95:$ZZ95,"&gt;=1"))</f>
        <v>5</v>
      </c>
      <c r="L95" s="68">
        <f>IFERROR(AVERAGEIF($N$1:$ZZ$1,"*"&amp;CHAR(10)&amp;"Stanine",$N95:$ZZ95),"")</f>
        <v>6.6</v>
      </c>
      <c r="M95" s="69">
        <f>IF(AND(ISNUMBER(tblY10[[#This Row],[Mean Stanine]]),ISNUMBER(tblY10[[#This Row],[Avg KS2 Band]]),ISNUMBER(SlopeY10)),tblY10[[#This Row],[Mean Stanine]]-(InterceptY10+SlopeY10*tblY10[[#This Row],[Avg KS2 Band]]),"")</f>
        <v>-0.782138997371849</v>
      </c>
      <c r="N95" s="66" t="n">
        <v>23</v>
      </c>
      <c r="O95" s="67">
        <f>IF(ISNUMBER(tblY10[[#This Row],[4B01 - Cell Biology
Raw Score]]),IFERROR(VLOOKUP(ROUND(STANDARDIZE(tblY10[[#This Row],[4B01 - Cell Biology
Raw Score]],AVERAGE(tblY10[[4B01 - Cell Biology
Raw Score]]),_xlfn.STDEV.P(tblY10[[4B01 - Cell Biology
Raw Score]])),9),_Stanine,2),5),"")</f>
        <v>6</v>
      </c>
      <c r="P95" s="66" t="n">
        <v>26</v>
      </c>
      <c r="Q95" s="67">
        <f>IF(ISNUMBER(tblY10[[#This Row],[4C01 - Atomic Structure
Raw Score]]),IFERROR(VLOOKUP(ROUND(STANDARDIZE(tblY10[[#This Row],[4C01 - Atomic Structure
Raw Score]],AVERAGE(tblY10[[4C01 - Atomic Structure
Raw Score]]),_xlfn.STDEV.P(tblY10[[4C01 - Atomic Structure
Raw Score]])),9),_Stanine,2),5),"")</f>
        <v>7</v>
      </c>
      <c r="R95" s="66" t="n">
        <v>26</v>
      </c>
      <c r="S95" s="67">
        <f>IF(ISNUMBER(tblY10[[#This Row],[4P01 - Energy
Raw Score]]),IFERROR(VLOOKUP(ROUND(STANDARDIZE(tblY10[[#This Row],[4P01 - Energy
Raw Score]],AVERAGE(tblY10[[4P01 - Energy
Raw Score]]),_xlfn.STDEV.P(tblY10[[4P01 - Energy
Raw Score]])),9),_Stanine,2),5),"")</f>
        <v>8</v>
      </c>
      <c r="T95" s="66" t="n">
        <v>32</v>
      </c>
      <c r="U95" s="67">
        <f>IF(ISNUMBER(tblY10[[#This Row],[4B02 - Organisation
Raw Score]]),IFERROR(VLOOKUP(ROUND(STANDARDIZE(tblY10[[#This Row],[4B02 - Organisation
Raw Score]],AVERAGE(tblY10[[4B02 - Organisation
Raw Score]]),_xlfn.STDEV.P(tblY10[[4B02 - Organisation
Raw Score]])),9),_Stanine,2),5),"")</f>
        <v>7</v>
      </c>
      <c r="V95" s="66" t="n">
        <v>23</v>
      </c>
      <c r="W95" s="67">
        <f>IF(ISNUMBER(tblY10[[#This Row],[4C02 - Bonding
Raw Score]]),IFERROR(VLOOKUP(ROUND(STANDARDIZE(tblY10[[#This Row],[4C02 - Bonding
Raw Score]],AVERAGE(tblY10[[4C02 - Bonding
Raw Score]]),_xlfn.STDEV.P(tblY10[[4C02 - Bonding
Raw Score]])),9),_Stanine,2),5),"")</f>
        <v>5</v>
      </c>
    </row>
    <row r="96">
      <c r="A96" s="65" t="inlineStr">
        <is>
          <t>X902645138960</t>
        </is>
      </c>
      <c r="B96" s="65" t="inlineStr">
        <is>
          <t>Nowak</t>
        </is>
      </c>
      <c r="C96" s="65" t="inlineStr">
        <is>
          <t>Freya</t>
        </is>
      </c>
      <c r="D96" s="66" t="inlineStr">
        <is>
          <t>M</t>
        </is>
      </c>
      <c r="E96" s="66" t="n"/>
      <c r="F96" s="66" t="inlineStr">
        <is>
          <t>N</t>
        </is>
      </c>
      <c r="G96" s="34" t="n">
        <v>89.59999999999999</v>
      </c>
      <c r="H96" s="34" t="n">
        <v>95</v>
      </c>
      <c r="I96" s="67">
        <f>IF(ISNUMBER(tblY10[[#This Row],[Avg KS2]]),IFERROR(VLOOKUP(ROUND(STANDARDIZE(tblY10[[#This Row],[Avg KS2]],AVERAGE(tblY10[[Avg KS2]]),_xlfn.STDEV.P(tblY10[[Avg KS2]])),9),_Stanine,2),5),"")</f>
        <v>2</v>
      </c>
      <c r="J96" s="66" t="inlineStr">
        <is>
          <t>10S/Sc4</t>
        </is>
      </c>
      <c r="K96" s="67">
        <f>IF(tblY10[[#This Row],[Preferred Last name]]="","",COUNTIFS($N$1:$ZZ$1,"*"&amp;CHAR(10)&amp;"Stanine",$N96:$ZZ96,"&gt;=1"))</f>
        <v>4</v>
      </c>
      <c r="L96" s="68">
        <f>IFERROR(AVERAGEIF($N$1:$ZZ$1,"*"&amp;CHAR(10)&amp;"Stanine",$N96:$ZZ96),"")</f>
        <v>3.25</v>
      </c>
      <c r="M96" s="69">
        <f>IF(AND(ISNUMBER(tblY10[[#This Row],[Mean Stanine]]),ISNUMBER(tblY10[[#This Row],[Avg KS2 Band]]),ISNUMBER(SlopeY10)),tblY10[[#This Row],[Mean Stanine]]-(InterceptY10+SlopeY10*tblY10[[#This Row],[Avg KS2 Band]]),"")</f>
        <v>0.751874708324126</v>
      </c>
      <c r="N96" s="66" t="n">
        <v>11</v>
      </c>
      <c r="O96" s="67">
        <f>IF(ISNUMBER(tblY10[[#This Row],[4B01 - Cell Biology
Raw Score]]),IFERROR(VLOOKUP(ROUND(STANDARDIZE(tblY10[[#This Row],[4B01 - Cell Biology
Raw Score]],AVERAGE(tblY10[[4B01 - Cell Biology
Raw Score]]),_xlfn.STDEV.P(tblY10[[4B01 - Cell Biology
Raw Score]])),9),_Stanine,2),5),"")</f>
        <v>3</v>
      </c>
      <c r="P96" s="66" t="n">
        <v>9</v>
      </c>
      <c r="Q96" s="67">
        <f>IF(ISNUMBER(tblY10[[#This Row],[4C01 - Atomic Structure
Raw Score]]),IFERROR(VLOOKUP(ROUND(STANDARDIZE(tblY10[[#This Row],[4C01 - Atomic Structure
Raw Score]],AVERAGE(tblY10[[4C01 - Atomic Structure
Raw Score]]),_xlfn.STDEV.P(tblY10[[4C01 - Atomic Structure
Raw Score]])),9),_Stanine,2),5),"")</f>
        <v>3</v>
      </c>
      <c r="R96" s="66" t="n">
        <v>13</v>
      </c>
      <c r="S96" s="67">
        <f>IF(ISNUMBER(tblY10[[#This Row],[4P01 - Energy
Raw Score]]),IFERROR(VLOOKUP(ROUND(STANDARDIZE(tblY10[[#This Row],[4P01 - Energy
Raw Score]],AVERAGE(tblY10[[4P01 - Energy
Raw Score]]),_xlfn.STDEV.P(tblY10[[4P01 - Energy
Raw Score]])),9),_Stanine,2),5),"")</f>
        <v>4</v>
      </c>
      <c r="T96" s="66" t="n">
        <v>13</v>
      </c>
      <c r="U96" s="67">
        <f>IF(ISNUMBER(tblY10[[#This Row],[4B02 - Organisation
Raw Score]]),IFERROR(VLOOKUP(ROUND(STANDARDIZE(tblY10[[#This Row],[4B02 - Organisation
Raw Score]],AVERAGE(tblY10[[4B02 - Organisation
Raw Score]]),_xlfn.STDEV.P(tblY10[[4B02 - Organisation
Raw Score]])),9),_Stanine,2),5),"")</f>
        <v>3</v>
      </c>
      <c r="V96" s="66" t="inlineStr">
        <is>
          <t>A</t>
        </is>
      </c>
      <c r="W96" s="67" t="str">
        <f>IF(ISNUMBER(tblY10[[#This Row],[4C02 - Bonding
Raw Score]]),IFERROR(VLOOKUP(ROUND(STANDARDIZE(tblY10[[#This Row],[4C02 - Bonding
Raw Score]],AVERAGE(tblY10[[4C02 - Bonding
Raw Score]]),_xlfn.STDEV.P(tblY10[[4C02 - Bonding
Raw Score]])),9),_Stanine,2),5),"")</f>
        <v/>
      </c>
    </row>
    <row r="97">
      <c r="A97" s="65" t="inlineStr">
        <is>
          <t>X903629302171</t>
        </is>
      </c>
      <c r="B97" s="65" t="inlineStr">
        <is>
          <t>Nowak</t>
        </is>
      </c>
      <c r="C97" s="65" t="inlineStr">
        <is>
          <t>Lily</t>
        </is>
      </c>
      <c r="D97" s="66" t="inlineStr">
        <is>
          <t>F</t>
        </is>
      </c>
      <c r="E97" s="66" t="inlineStr">
        <is>
          <t>K</t>
        </is>
      </c>
      <c r="F97" s="66" t="inlineStr">
        <is>
          <t>N</t>
        </is>
      </c>
      <c r="G97" s="34" t="n">
        <v>95.7</v>
      </c>
      <c r="H97" s="34" t="n">
        <v>93.5</v>
      </c>
      <c r="I97" s="67">
        <f>IF(ISNUMBER(tblY10[[#This Row],[Avg KS2]]),IFERROR(VLOOKUP(ROUND(STANDARDIZE(tblY10[[#This Row],[Avg KS2]],AVERAGE(tblY10[[Avg KS2]]),_xlfn.STDEV.P(tblY10[[Avg KS2]])),9),_Stanine,2),5),"")</f>
        <v>2</v>
      </c>
      <c r="J97" s="66" t="inlineStr">
        <is>
          <t>10S/Sc4</t>
        </is>
      </c>
      <c r="K97" s="67">
        <f>IF(tblY10[[#This Row],[Preferred Last name]]="","",COUNTIFS($N$1:$ZZ$1,"*"&amp;CHAR(10)&amp;"Stanine",$N97:$ZZ97,"&gt;=1"))</f>
        <v>5</v>
      </c>
      <c r="L97" s="68">
        <f>IFERROR(AVERAGEIF($N$1:$ZZ$1,"*"&amp;CHAR(10)&amp;"Stanine",$N97:$ZZ97),"")</f>
        <v>2.6</v>
      </c>
      <c r="M97" s="69">
        <f>IF(AND(ISNUMBER(tblY10[[#This Row],[Mean Stanine]]),ISNUMBER(tblY10[[#This Row],[Avg KS2 Band]]),ISNUMBER(SlopeY10)),tblY10[[#This Row],[Mean Stanine]]-(InterceptY10+SlopeY10*tblY10[[#This Row],[Avg KS2 Band]]),"")</f>
        <v>0.101874708324126</v>
      </c>
      <c r="N97" s="66" t="n">
        <v>6</v>
      </c>
      <c r="O97" s="67">
        <f>IF(ISNUMBER(tblY10[[#This Row],[4B01 - Cell Biology
Raw Score]]),IFERROR(VLOOKUP(ROUND(STANDARDIZE(tblY10[[#This Row],[4B01 - Cell Biology
Raw Score]],AVERAGE(tblY10[[4B01 - Cell Biology
Raw Score]]),_xlfn.STDEV.P(tblY10[[4B01 - Cell Biology
Raw Score]])),9),_Stanine,2),5),"")</f>
        <v>2</v>
      </c>
      <c r="P97" s="66" t="n">
        <v>11</v>
      </c>
      <c r="Q97" s="67">
        <f>IF(ISNUMBER(tblY10[[#This Row],[4C01 - Atomic Structure
Raw Score]]),IFERROR(VLOOKUP(ROUND(STANDARDIZE(tblY10[[#This Row],[4C01 - Atomic Structure
Raw Score]],AVERAGE(tblY10[[4C01 - Atomic Structure
Raw Score]]),_xlfn.STDEV.P(tblY10[[4C01 - Atomic Structure
Raw Score]])),9),_Stanine,2),5),"")</f>
        <v>3</v>
      </c>
      <c r="R97" s="66" t="n">
        <v>9</v>
      </c>
      <c r="S97" s="67">
        <f>IF(ISNUMBER(tblY10[[#This Row],[4P01 - Energy
Raw Score]]),IFERROR(VLOOKUP(ROUND(STANDARDIZE(tblY10[[#This Row],[4P01 - Energy
Raw Score]],AVERAGE(tblY10[[4P01 - Energy
Raw Score]]),_xlfn.STDEV.P(tblY10[[4P01 - Energy
Raw Score]])),9),_Stanine,2),5),"")</f>
        <v>3</v>
      </c>
      <c r="T97" s="66" t="n">
        <v>10</v>
      </c>
      <c r="U97" s="67">
        <f>IF(ISNUMBER(tblY10[[#This Row],[4B02 - Organisation
Raw Score]]),IFERROR(VLOOKUP(ROUND(STANDARDIZE(tblY10[[#This Row],[4B02 - Organisation
Raw Score]],AVERAGE(tblY10[[4B02 - Organisation
Raw Score]]),_xlfn.STDEV.P(tblY10[[4B02 - Organisation
Raw Score]])),9),_Stanine,2),5),"")</f>
        <v>2</v>
      </c>
      <c r="V97" s="66" t="n">
        <v>11</v>
      </c>
      <c r="W97" s="67">
        <f>IF(ISNUMBER(tblY10[[#This Row],[4C02 - Bonding
Raw Score]]),IFERROR(VLOOKUP(ROUND(STANDARDIZE(tblY10[[#This Row],[4C02 - Bonding
Raw Score]],AVERAGE(tblY10[[4C02 - Bonding
Raw Score]]),_xlfn.STDEV.P(tblY10[[4C02 - Bonding
Raw Score]])),9),_Stanine,2),5),"")</f>
        <v>3</v>
      </c>
    </row>
    <row r="98">
      <c r="A98" s="65" t="inlineStr">
        <is>
          <t>X906863890453</t>
        </is>
      </c>
      <c r="B98" s="65" t="inlineStr">
        <is>
          <t>Taylor</t>
        </is>
      </c>
      <c r="C98" s="65" t="inlineStr">
        <is>
          <t>Zofia</t>
        </is>
      </c>
      <c r="D98" s="66" t="inlineStr">
        <is>
          <t>F</t>
        </is>
      </c>
      <c r="E98" s="66" t="n"/>
      <c r="F98" s="66" t="inlineStr">
        <is>
          <t>N</t>
        </is>
      </c>
      <c r="G98" s="34" t="n">
        <v>95.40000000000001</v>
      </c>
      <c r="H98" s="34" t="n">
        <v>97.5</v>
      </c>
      <c r="I98" s="67">
        <f>IF(ISNUMBER(tblY10[[#This Row],[Avg KS2]]),IFERROR(VLOOKUP(ROUND(STANDARDIZE(tblY10[[#This Row],[Avg KS2]],AVERAGE(tblY10[[Avg KS2]]),_xlfn.STDEV.P(tblY10[[Avg KS2]])),9),_Stanine,2),5),"")</f>
        <v>3</v>
      </c>
      <c r="J98" s="66" t="inlineStr">
        <is>
          <t>10S/Sc4</t>
        </is>
      </c>
      <c r="K98" s="67">
        <f>IF(tblY10[[#This Row],[Preferred Last name]]="","",COUNTIFS($N$1:$ZZ$1,"*"&amp;CHAR(10)&amp;"Stanine",$N98:$ZZ98,"&gt;=1"))</f>
        <v>5</v>
      </c>
      <c r="L98" s="68">
        <f>IFERROR(AVERAGEIF($N$1:$ZZ$1,"*"&amp;CHAR(10)&amp;"Stanine",$N98:$ZZ98),"")</f>
        <v>2.8</v>
      </c>
      <c r="M98" s="69">
        <f>IF(AND(ISNUMBER(tblY10[[#This Row],[Mean Stanine]]),ISNUMBER(tblY10[[#This Row],[Avg KS2 Band]]),ISNUMBER(SlopeY10)),tblY10[[#This Row],[Mean Stanine]]-(InterceptY10+SlopeY10*tblY10[[#This Row],[Avg KS2 Band]]),"")</f>
        <v>-0.512127575958537</v>
      </c>
      <c r="N98" s="66" t="n">
        <v>9</v>
      </c>
      <c r="O98" s="67">
        <f>IF(ISNUMBER(tblY10[[#This Row],[4B01 - Cell Biology
Raw Score]]),IFERROR(VLOOKUP(ROUND(STANDARDIZE(tblY10[[#This Row],[4B01 - Cell Biology
Raw Score]],AVERAGE(tblY10[[4B01 - Cell Biology
Raw Score]]),_xlfn.STDEV.P(tblY10[[4B01 - Cell Biology
Raw Score]])),9),_Stanine,2),5),"")</f>
        <v>3</v>
      </c>
      <c r="P98" s="66" t="n">
        <v>7</v>
      </c>
      <c r="Q98" s="67">
        <f>IF(ISNUMBER(tblY10[[#This Row],[4C01 - Atomic Structure
Raw Score]]),IFERROR(VLOOKUP(ROUND(STANDARDIZE(tblY10[[#This Row],[4C01 - Atomic Structure
Raw Score]],AVERAGE(tblY10[[4C01 - Atomic Structure
Raw Score]]),_xlfn.STDEV.P(tblY10[[4C01 - Atomic Structure
Raw Score]])),9),_Stanine,2),5),"")</f>
        <v>2</v>
      </c>
      <c r="R98" s="66" t="n">
        <v>8</v>
      </c>
      <c r="S98" s="67">
        <f>IF(ISNUMBER(tblY10[[#This Row],[4P01 - Energy
Raw Score]]),IFERROR(VLOOKUP(ROUND(STANDARDIZE(tblY10[[#This Row],[4P01 - Energy
Raw Score]],AVERAGE(tblY10[[4P01 - Energy
Raw Score]]),_xlfn.STDEV.P(tblY10[[4P01 - Energy
Raw Score]])),9),_Stanine,2),5),"")</f>
        <v>3</v>
      </c>
      <c r="T98" s="66" t="n">
        <v>15</v>
      </c>
      <c r="U98" s="67">
        <f>IF(ISNUMBER(tblY10[[#This Row],[4B02 - Organisation
Raw Score]]),IFERROR(VLOOKUP(ROUND(STANDARDIZE(tblY10[[#This Row],[4B02 - Organisation
Raw Score]],AVERAGE(tblY10[[4B02 - Organisation
Raw Score]]),_xlfn.STDEV.P(tblY10[[4B02 - Organisation
Raw Score]])),9),_Stanine,2),5),"")</f>
        <v>3</v>
      </c>
      <c r="V98" s="66" t="n">
        <v>14</v>
      </c>
      <c r="W98" s="67">
        <f>IF(ISNUMBER(tblY10[[#This Row],[4C02 - Bonding
Raw Score]]),IFERROR(VLOOKUP(ROUND(STANDARDIZE(tblY10[[#This Row],[4C02 - Bonding
Raw Score]],AVERAGE(tblY10[[4C02 - Bonding
Raw Score]]),_xlfn.STDEV.P(tblY10[[4C02 - Bonding
Raw Score]])),9),_Stanine,2),5),"")</f>
        <v>3</v>
      </c>
    </row>
    <row r="99">
      <c r="A99" s="65" t="inlineStr">
        <is>
          <t>X908264127468</t>
        </is>
      </c>
      <c r="B99" s="65" t="inlineStr">
        <is>
          <t>Thompson</t>
        </is>
      </c>
      <c r="C99" s="65" t="inlineStr">
        <is>
          <t>Megan</t>
        </is>
      </c>
      <c r="D99" s="66" t="inlineStr">
        <is>
          <t>F</t>
        </is>
      </c>
      <c r="E99" s="66" t="inlineStr">
        <is>
          <t>K</t>
        </is>
      </c>
      <c r="F99" s="66" t="inlineStr">
        <is>
          <t>N</t>
        </is>
      </c>
      <c r="G99" s="34" t="n">
        <v>100</v>
      </c>
      <c r="H99" s="34" t="n">
        <v>98</v>
      </c>
      <c r="I99" s="67">
        <f>IF(ISNUMBER(tblY10[[#This Row],[Avg KS2]]),IFERROR(VLOOKUP(ROUND(STANDARDIZE(tblY10[[#This Row],[Avg KS2]],AVERAGE(tblY10[[Avg KS2]]),_xlfn.STDEV.P(tblY10[[Avg KS2]])),9),_Stanine,2),5),"")</f>
        <v>3</v>
      </c>
      <c r="J99" s="66" t="inlineStr">
        <is>
          <t>10S/Sc4</t>
        </is>
      </c>
      <c r="K99" s="67">
        <f>IF(tblY10[[#This Row],[Preferred Last name]]="","",COUNTIFS($N$1:$ZZ$1,"*"&amp;CHAR(10)&amp;"Stanine",$N99:$ZZ99,"&gt;=1"))</f>
        <v>5</v>
      </c>
      <c r="L99" s="68">
        <f>IFERROR(AVERAGEIF($N$1:$ZZ$1,"*"&amp;CHAR(10)&amp;"Stanine",$N99:$ZZ99),"")</f>
        <v>2.8</v>
      </c>
      <c r="M99" s="69">
        <f>IF(AND(ISNUMBER(tblY10[[#This Row],[Mean Stanine]]),ISNUMBER(tblY10[[#This Row],[Avg KS2 Band]]),ISNUMBER(SlopeY10)),tblY10[[#This Row],[Mean Stanine]]-(InterceptY10+SlopeY10*tblY10[[#This Row],[Avg KS2 Band]]),"")</f>
        <v>-0.512127575958537</v>
      </c>
      <c r="N99" s="66" t="n">
        <v>10</v>
      </c>
      <c r="O99" s="67">
        <f>IF(ISNUMBER(tblY10[[#This Row],[4B01 - Cell Biology
Raw Score]]),IFERROR(VLOOKUP(ROUND(STANDARDIZE(tblY10[[#This Row],[4B01 - Cell Biology
Raw Score]],AVERAGE(tblY10[[4B01 - Cell Biology
Raw Score]]),_xlfn.STDEV.P(tblY10[[4B01 - Cell Biology
Raw Score]])),9),_Stanine,2),5),"")</f>
        <v>3</v>
      </c>
      <c r="P99" s="66" t="n">
        <v>8</v>
      </c>
      <c r="Q99" s="67">
        <f>IF(ISNUMBER(tblY10[[#This Row],[4C01 - Atomic Structure
Raw Score]]),IFERROR(VLOOKUP(ROUND(STANDARDIZE(tblY10[[#This Row],[4C01 - Atomic Structure
Raw Score]],AVERAGE(tblY10[[4C01 - Atomic Structure
Raw Score]]),_xlfn.STDEV.P(tblY10[[4C01 - Atomic Structure
Raw Score]])),9),_Stanine,2),5),"")</f>
        <v>3</v>
      </c>
      <c r="R99" s="66" t="n">
        <v>7</v>
      </c>
      <c r="S99" s="67">
        <f>IF(ISNUMBER(tblY10[[#This Row],[4P01 - Energy
Raw Score]]),IFERROR(VLOOKUP(ROUND(STANDARDIZE(tblY10[[#This Row],[4P01 - Energy
Raw Score]],AVERAGE(tblY10[[4P01 - Energy
Raw Score]]),_xlfn.STDEV.P(tblY10[[4P01 - Energy
Raw Score]])),9),_Stanine,2),5),"")</f>
        <v>3</v>
      </c>
      <c r="T99" s="66" t="n">
        <v>13</v>
      </c>
      <c r="U99" s="67">
        <f>IF(ISNUMBER(tblY10[[#This Row],[4B02 - Organisation
Raw Score]]),IFERROR(VLOOKUP(ROUND(STANDARDIZE(tblY10[[#This Row],[4B02 - Organisation
Raw Score]],AVERAGE(tblY10[[4B02 - Organisation
Raw Score]]),_xlfn.STDEV.P(tblY10[[4B02 - Organisation
Raw Score]])),9),_Stanine,2),5),"")</f>
        <v>3</v>
      </c>
      <c r="V99" s="66" t="n">
        <v>10</v>
      </c>
      <c r="W99" s="67">
        <f>IF(ISNUMBER(tblY10[[#This Row],[4C02 - Bonding
Raw Score]]),IFERROR(VLOOKUP(ROUND(STANDARDIZE(tblY10[[#This Row],[4C02 - Bonding
Raw Score]],AVERAGE(tblY10[[4C02 - Bonding
Raw Score]]),_xlfn.STDEV.P(tblY10[[4C02 - Bonding
Raw Score]])),9),_Stanine,2),5),"")</f>
        <v>2</v>
      </c>
    </row>
    <row r="100">
      <c r="A100" s="65" t="inlineStr">
        <is>
          <t>X903831697154</t>
        </is>
      </c>
      <c r="B100" s="65" t="inlineStr">
        <is>
          <t>Turner</t>
        </is>
      </c>
      <c r="C100" s="65" t="inlineStr">
        <is>
          <t>Dylan</t>
        </is>
      </c>
      <c r="D100" s="66" t="inlineStr">
        <is>
          <t>F</t>
        </is>
      </c>
      <c r="E100" s="66" t="n"/>
      <c r="F100" s="66" t="inlineStr">
        <is>
          <t>Y</t>
        </is>
      </c>
      <c r="G100" s="34" t="n">
        <v>88.90000000000001</v>
      </c>
      <c r="H100" s="34" t="n">
        <v>99.5</v>
      </c>
      <c r="I100" s="67">
        <f>IF(ISNUMBER(tblY10[[#This Row],[Avg KS2]]),IFERROR(VLOOKUP(ROUND(STANDARDIZE(tblY10[[#This Row],[Avg KS2]],AVERAGE(tblY10[[Avg KS2]]),_xlfn.STDEV.P(tblY10[[Avg KS2]])),9),_Stanine,2),5),"")</f>
        <v>4</v>
      </c>
      <c r="J100" s="66" t="inlineStr">
        <is>
          <t>10S/Sc4</t>
        </is>
      </c>
      <c r="K100" s="67">
        <f>IF(tblY10[[#This Row],[Preferred Last name]]="","",COUNTIFS($N$1:$ZZ$1,"*"&amp;CHAR(10)&amp;"Stanine",$N100:$ZZ100,"&gt;=1"))</f>
        <v>5</v>
      </c>
      <c r="L100" s="68">
        <f>IFERROR(AVERAGEIF($N$1:$ZZ$1,"*"&amp;CHAR(10)&amp;"Stanine",$N100:$ZZ100),"")</f>
        <v>3.4</v>
      </c>
      <c r="M100" s="69">
        <f>IF(AND(ISNUMBER(tblY10[[#This Row],[Mean Stanine]]),ISNUMBER(tblY10[[#This Row],[Avg KS2 Band]]),ISNUMBER(SlopeY10)),tblY10[[#This Row],[Mean Stanine]]-(InterceptY10+SlopeY10*tblY10[[#This Row],[Avg KS2 Band]]),"")</f>
        <v>-0.726129860241199</v>
      </c>
      <c r="N100" s="66" t="n">
        <v>17</v>
      </c>
      <c r="O100" s="67">
        <f>IF(ISNUMBER(tblY10[[#This Row],[4B01 - Cell Biology
Raw Score]]),IFERROR(VLOOKUP(ROUND(STANDARDIZE(tblY10[[#This Row],[4B01 - Cell Biology
Raw Score]],AVERAGE(tblY10[[4B01 - Cell Biology
Raw Score]]),_xlfn.STDEV.P(tblY10[[4B01 - Cell Biology
Raw Score]])),9),_Stanine,2),5),"")</f>
        <v>4</v>
      </c>
      <c r="P100" s="66" t="n">
        <v>13</v>
      </c>
      <c r="Q100" s="67">
        <f>IF(ISNUMBER(tblY10[[#This Row],[4C01 - Atomic Structure
Raw Score]]),IFERROR(VLOOKUP(ROUND(STANDARDIZE(tblY10[[#This Row],[4C01 - Atomic Structure
Raw Score]],AVERAGE(tblY10[[4C01 - Atomic Structure
Raw Score]]),_xlfn.STDEV.P(tblY10[[4C01 - Atomic Structure
Raw Score]])),9),_Stanine,2),5),"")</f>
        <v>4</v>
      </c>
      <c r="R100" s="66" t="n">
        <v>9</v>
      </c>
      <c r="S100" s="67">
        <f>IF(ISNUMBER(tblY10[[#This Row],[4P01 - Energy
Raw Score]]),IFERROR(VLOOKUP(ROUND(STANDARDIZE(tblY10[[#This Row],[4P01 - Energy
Raw Score]],AVERAGE(tblY10[[4P01 - Energy
Raw Score]]),_xlfn.STDEV.P(tblY10[[4P01 - Energy
Raw Score]])),9),_Stanine,2),5),"")</f>
        <v>3</v>
      </c>
      <c r="T100" s="66" t="n">
        <v>11</v>
      </c>
      <c r="U100" s="67">
        <f>IF(ISNUMBER(tblY10[[#This Row],[4B02 - Organisation
Raw Score]]),IFERROR(VLOOKUP(ROUND(STANDARDIZE(tblY10[[#This Row],[4B02 - Organisation
Raw Score]],AVERAGE(tblY10[[4B02 - Organisation
Raw Score]]),_xlfn.STDEV.P(tblY10[[4B02 - Organisation
Raw Score]])),9),_Stanine,2),5),"")</f>
        <v>2</v>
      </c>
      <c r="V100" s="66" t="n">
        <v>19</v>
      </c>
      <c r="W100" s="67">
        <f>IF(ISNUMBER(tblY10[[#This Row],[4C02 - Bonding
Raw Score]]),IFERROR(VLOOKUP(ROUND(STANDARDIZE(tblY10[[#This Row],[4C02 - Bonding
Raw Score]],AVERAGE(tblY10[[4C02 - Bonding
Raw Score]]),_xlfn.STDEV.P(tblY10[[4C02 - Bonding
Raw Score]])),9),_Stanine,2),5),"")</f>
        <v>4</v>
      </c>
    </row>
    <row r="101">
      <c r="A101" s="65" t="inlineStr">
        <is>
          <t>X903904071412</t>
        </is>
      </c>
      <c r="B101" s="65" t="inlineStr">
        <is>
          <t>Ward</t>
        </is>
      </c>
      <c r="C101" s="65" t="inlineStr">
        <is>
          <t>Rhys</t>
        </is>
      </c>
      <c r="D101" s="66" t="inlineStr">
        <is>
          <t>F</t>
        </is>
      </c>
      <c r="E101" s="66" t="inlineStr">
        <is>
          <t>N</t>
        </is>
      </c>
      <c r="F101" s="66" t="inlineStr">
        <is>
          <t>Y</t>
        </is>
      </c>
      <c r="G101" s="34" t="n">
        <v>87.40000000000001</v>
      </c>
      <c r="H101" s="34" t="n">
        <v>90</v>
      </c>
      <c r="I101" s="67">
        <f>IF(ISNUMBER(tblY10[[#This Row],[Avg KS2]]),IFERROR(VLOOKUP(ROUND(STANDARDIZE(tblY10[[#This Row],[Avg KS2]],AVERAGE(tblY10[[Avg KS2]]),_xlfn.STDEV.P(tblY10[[Avg KS2]])),9),_Stanine,2),5),"")</f>
        <v>1</v>
      </c>
      <c r="J101" s="66" t="inlineStr">
        <is>
          <t>10S/Sc4</t>
        </is>
      </c>
      <c r="K101" s="67">
        <f>IF(tblY10[[#This Row],[Preferred Last name]]="","",COUNTIFS($N$1:$ZZ$1,"*"&amp;CHAR(10)&amp;"Stanine",$N101:$ZZ101,"&gt;=1"))</f>
        <v>5</v>
      </c>
      <c r="L101" s="68">
        <f>IFERROR(AVERAGEIF($N$1:$ZZ$1,"*"&amp;CHAR(10)&amp;"Stanine",$N101:$ZZ101),"")</f>
        <v>3</v>
      </c>
      <c r="M101" s="69">
        <f>IF(AND(ISNUMBER(tblY10[[#This Row],[Mean Stanine]]),ISNUMBER(tblY10[[#This Row],[Avg KS2 Band]]),ISNUMBER(SlopeY10)),tblY10[[#This Row],[Mean Stanine]]-(InterceptY10+SlopeY10*tblY10[[#This Row],[Avg KS2 Band]]),"")</f>
        <v>1.31587699260679</v>
      </c>
      <c r="N101" s="66" t="n">
        <v>14</v>
      </c>
      <c r="O101" s="67">
        <f>IF(ISNUMBER(tblY10[[#This Row],[4B01 - Cell Biology
Raw Score]]),IFERROR(VLOOKUP(ROUND(STANDARDIZE(tblY10[[#This Row],[4B01 - Cell Biology
Raw Score]],AVERAGE(tblY10[[4B01 - Cell Biology
Raw Score]]),_xlfn.STDEV.P(tblY10[[4B01 - Cell Biology
Raw Score]])),9),_Stanine,2),5),"")</f>
        <v>4</v>
      </c>
      <c r="P101" s="66" t="n">
        <v>10</v>
      </c>
      <c r="Q101" s="67">
        <f>IF(ISNUMBER(tblY10[[#This Row],[4C01 - Atomic Structure
Raw Score]]),IFERROR(VLOOKUP(ROUND(STANDARDIZE(tblY10[[#This Row],[4C01 - Atomic Structure
Raw Score]],AVERAGE(tblY10[[4C01 - Atomic Structure
Raw Score]]),_xlfn.STDEV.P(tblY10[[4C01 - Atomic Structure
Raw Score]])),9),_Stanine,2),5),"")</f>
        <v>3</v>
      </c>
      <c r="R101" s="66" t="n">
        <v>8</v>
      </c>
      <c r="S101" s="67">
        <f>IF(ISNUMBER(tblY10[[#This Row],[4P01 - Energy
Raw Score]]),IFERROR(VLOOKUP(ROUND(STANDARDIZE(tblY10[[#This Row],[4P01 - Energy
Raw Score]],AVERAGE(tblY10[[4P01 - Energy
Raw Score]]),_xlfn.STDEV.P(tblY10[[4P01 - Energy
Raw Score]])),9),_Stanine,2),5),"")</f>
        <v>3</v>
      </c>
      <c r="T101" s="66" t="n">
        <v>16</v>
      </c>
      <c r="U101" s="67">
        <f>IF(ISNUMBER(tblY10[[#This Row],[4B02 - Organisation
Raw Score]]),IFERROR(VLOOKUP(ROUND(STANDARDIZE(tblY10[[#This Row],[4B02 - Organisation
Raw Score]],AVERAGE(tblY10[[4B02 - Organisation
Raw Score]]),_xlfn.STDEV.P(tblY10[[4B02 - Organisation
Raw Score]])),9),_Stanine,2),5),"")</f>
        <v>3</v>
      </c>
      <c r="V101" s="66" t="n">
        <v>10</v>
      </c>
      <c r="W101" s="67">
        <f>IF(ISNUMBER(tblY10[[#This Row],[4C02 - Bonding
Raw Score]]),IFERROR(VLOOKUP(ROUND(STANDARDIZE(tblY10[[#This Row],[4C02 - Bonding
Raw Score]],AVERAGE(tblY10[[4C02 - Bonding
Raw Score]]),_xlfn.STDEV.P(tblY10[[4C02 - Bonding
Raw Score]])),9),_Stanine,2),5),"")</f>
        <v>2</v>
      </c>
    </row>
    <row r="102">
      <c r="A102" s="65" t="inlineStr">
        <is>
          <t>X908701321556</t>
        </is>
      </c>
      <c r="B102" s="65" t="inlineStr">
        <is>
          <t>Williams</t>
        </is>
      </c>
      <c r="C102" s="65" t="inlineStr">
        <is>
          <t>Ava</t>
        </is>
      </c>
      <c r="D102" s="66" t="inlineStr">
        <is>
          <t>F</t>
        </is>
      </c>
      <c r="E102" s="66" t="n"/>
      <c r="F102" s="66" t="inlineStr">
        <is>
          <t>N</t>
        </is>
      </c>
      <c r="G102" s="34" t="n">
        <v>95.09999999999999</v>
      </c>
      <c r="H102" s="34" t="n">
        <v>107.5</v>
      </c>
      <c r="I102" s="67">
        <f>IF(ISNUMBER(tblY10[[#This Row],[Avg KS2]]),IFERROR(VLOOKUP(ROUND(STANDARDIZE(tblY10[[#This Row],[Avg KS2]],AVERAGE(tblY10[[Avg KS2]]),_xlfn.STDEV.P(tblY10[[Avg KS2]])),9),_Stanine,2),5),"")</f>
        <v>6</v>
      </c>
      <c r="J102" s="66" t="inlineStr">
        <is>
          <t>10S/Sc4</t>
        </is>
      </c>
      <c r="K102" s="67">
        <f>IF(tblY10[[#This Row],[Preferred Last name]]="","",COUNTIFS($N$1:$ZZ$1,"*"&amp;CHAR(10)&amp;"Stanine",$N102:$ZZ102,"&gt;=1"))</f>
        <v>5</v>
      </c>
      <c r="L102" s="68">
        <f>IFERROR(AVERAGEIF($N$1:$ZZ$1,"*"&amp;CHAR(10)&amp;"Stanine",$N102:$ZZ102),"")</f>
        <v>3.8</v>
      </c>
      <c r="M102" s="69">
        <f>IF(AND(ISNUMBER(tblY10[[#This Row],[Mean Stanine]]),ISNUMBER(tblY10[[#This Row],[Avg KS2 Band]]),ISNUMBER(SlopeY10)),tblY10[[#This Row],[Mean Stanine]]-(InterceptY10+SlopeY10*tblY10[[#This Row],[Avg KS2 Band]]),"")</f>
        <v>-1.95413442880652</v>
      </c>
      <c r="N102" s="66" t="n">
        <v>20</v>
      </c>
      <c r="O102" s="67">
        <f>IF(ISNUMBER(tblY10[[#This Row],[4B01 - Cell Biology
Raw Score]]),IFERROR(VLOOKUP(ROUND(STANDARDIZE(tblY10[[#This Row],[4B01 - Cell Biology
Raw Score]],AVERAGE(tblY10[[4B01 - Cell Biology
Raw Score]]),_xlfn.STDEV.P(tblY10[[4B01 - Cell Biology
Raw Score]])),9),_Stanine,2),5),"")</f>
        <v>5</v>
      </c>
      <c r="P102" s="66" t="n">
        <v>15</v>
      </c>
      <c r="Q102" s="67">
        <f>IF(ISNUMBER(tblY10[[#This Row],[4C01 - Atomic Structure
Raw Score]]),IFERROR(VLOOKUP(ROUND(STANDARDIZE(tblY10[[#This Row],[4C01 - Atomic Structure
Raw Score]],AVERAGE(tblY10[[4C01 - Atomic Structure
Raw Score]]),_xlfn.STDEV.P(tblY10[[4C01 - Atomic Structure
Raw Score]])),9),_Stanine,2),5),"")</f>
        <v>4</v>
      </c>
      <c r="R102" s="66" t="n">
        <v>11</v>
      </c>
      <c r="S102" s="67">
        <f>IF(ISNUMBER(tblY10[[#This Row],[4P01 - Energy
Raw Score]]),IFERROR(VLOOKUP(ROUND(STANDARDIZE(tblY10[[#This Row],[4P01 - Energy
Raw Score]],AVERAGE(tblY10[[4P01 - Energy
Raw Score]]),_xlfn.STDEV.P(tblY10[[4P01 - Energy
Raw Score]])),9),_Stanine,2),5),"")</f>
        <v>4</v>
      </c>
      <c r="T102" s="66" t="n">
        <v>16</v>
      </c>
      <c r="U102" s="67">
        <f>IF(ISNUMBER(tblY10[[#This Row],[4B02 - Organisation
Raw Score]]),IFERROR(VLOOKUP(ROUND(STANDARDIZE(tblY10[[#This Row],[4B02 - Organisation
Raw Score]],AVERAGE(tblY10[[4B02 - Organisation
Raw Score]]),_xlfn.STDEV.P(tblY10[[4B02 - Organisation
Raw Score]])),9),_Stanine,2),5),"")</f>
        <v>3</v>
      </c>
      <c r="V102" s="66" t="n">
        <v>14</v>
      </c>
      <c r="W102" s="67">
        <f>IF(ISNUMBER(tblY10[[#This Row],[4C02 - Bonding
Raw Score]]),IFERROR(VLOOKUP(ROUND(STANDARDIZE(tblY10[[#This Row],[4C02 - Bonding
Raw Score]],AVERAGE(tblY10[[4C02 - Bonding
Raw Score]]),_xlfn.STDEV.P(tblY10[[4C02 - Bonding
Raw Score]])),9),_Stanine,2),5),"")</f>
        <v>3</v>
      </c>
    </row>
    <row r="103">
      <c r="A103" s="65" t="inlineStr">
        <is>
          <t>X904042141684</t>
        </is>
      </c>
      <c r="B103" s="65" t="inlineStr">
        <is>
          <t>Wood</t>
        </is>
      </c>
      <c r="C103" s="65" t="inlineStr">
        <is>
          <t>Amara</t>
        </is>
      </c>
      <c r="D103" s="66" t="inlineStr">
        <is>
          <t>M</t>
        </is>
      </c>
      <c r="E103" s="66" t="inlineStr">
        <is>
          <t>K</t>
        </is>
      </c>
      <c r="F103" s="66" t="inlineStr">
        <is>
          <t>N</t>
        </is>
      </c>
      <c r="G103" s="34" t="n">
        <v>100</v>
      </c>
      <c r="H103" s="34" t="n">
        <v>110.5</v>
      </c>
      <c r="I103" s="67">
        <f>IF(ISNUMBER(tblY10[[#This Row],[Avg KS2]]),IFERROR(VLOOKUP(ROUND(STANDARDIZE(tblY10[[#This Row],[Avg KS2]],AVERAGE(tblY10[[Avg KS2]]),_xlfn.STDEV.P(tblY10[[Avg KS2]])),9),_Stanine,2),5),"")</f>
        <v>7</v>
      </c>
      <c r="J103" s="66" t="inlineStr">
        <is>
          <t>10S/Sc4</t>
        </is>
      </c>
      <c r="K103" s="67">
        <f>IF(tblY10[[#This Row],[Preferred Last name]]="","",COUNTIFS($N$1:$ZZ$1,"*"&amp;CHAR(10)&amp;"Stanine",$N103:$ZZ103,"&gt;=1"))</f>
        <v>5</v>
      </c>
      <c r="L103" s="68">
        <f>IFERROR(AVERAGEIF($N$1:$ZZ$1,"*"&amp;CHAR(10)&amp;"Stanine",$N103:$ZZ103),"")</f>
        <v>6</v>
      </c>
      <c r="M103" s="69">
        <f>IF(AND(ISNUMBER(tblY10[[#This Row],[Mean Stanine]]),ISNUMBER(tblY10[[#This Row],[Avg KS2 Band]]),ISNUMBER(SlopeY10)),tblY10[[#This Row],[Mean Stanine]]-(InterceptY10+SlopeY10*tblY10[[#This Row],[Avg KS2 Band]]),"")</f>
        <v>-0.568136713089186</v>
      </c>
      <c r="N103" s="66" t="n">
        <v>29</v>
      </c>
      <c r="O103" s="67">
        <f>IF(ISNUMBER(tblY10[[#This Row],[4B01 - Cell Biology
Raw Score]]),IFERROR(VLOOKUP(ROUND(STANDARDIZE(tblY10[[#This Row],[4B01 - Cell Biology
Raw Score]],AVERAGE(tblY10[[4B01 - Cell Biology
Raw Score]]),_xlfn.STDEV.P(tblY10[[4B01 - Cell Biology
Raw Score]])),9),_Stanine,2),5),"")</f>
        <v>7</v>
      </c>
      <c r="P103" s="66" t="n">
        <v>27</v>
      </c>
      <c r="Q103" s="67">
        <f>IF(ISNUMBER(tblY10[[#This Row],[4C01 - Atomic Structure
Raw Score]]),IFERROR(VLOOKUP(ROUND(STANDARDIZE(tblY10[[#This Row],[4C01 - Atomic Structure
Raw Score]],AVERAGE(tblY10[[4C01 - Atomic Structure
Raw Score]]),_xlfn.STDEV.P(tblY10[[4C01 - Atomic Structure
Raw Score]])),9),_Stanine,2),5),"")</f>
        <v>7</v>
      </c>
      <c r="R103" s="66" t="n">
        <v>17</v>
      </c>
      <c r="S103" s="67">
        <f>IF(ISNUMBER(tblY10[[#This Row],[4P01 - Energy
Raw Score]]),IFERROR(VLOOKUP(ROUND(STANDARDIZE(tblY10[[#This Row],[4P01 - Energy
Raw Score]],AVERAGE(tblY10[[4P01 - Energy
Raw Score]]),_xlfn.STDEV.P(tblY10[[4P01 - Energy
Raw Score]])),9),_Stanine,2),5),"")</f>
        <v>5</v>
      </c>
      <c r="T103" s="66" t="n">
        <v>25</v>
      </c>
      <c r="U103" s="67">
        <f>IF(ISNUMBER(tblY10[[#This Row],[4B02 - Organisation
Raw Score]]),IFERROR(VLOOKUP(ROUND(STANDARDIZE(tblY10[[#This Row],[4B02 - Organisation
Raw Score]],AVERAGE(tblY10[[4B02 - Organisation
Raw Score]]),_xlfn.STDEV.P(tblY10[[4B02 - Organisation
Raw Score]])),9),_Stanine,2),5),"")</f>
        <v>6</v>
      </c>
      <c r="V103" s="66" t="n">
        <v>22</v>
      </c>
      <c r="W103" s="67">
        <f>IF(ISNUMBER(tblY10[[#This Row],[4C02 - Bonding
Raw Score]]),IFERROR(VLOOKUP(ROUND(STANDARDIZE(tblY10[[#This Row],[4C02 - Bonding
Raw Score]],AVERAGE(tblY10[[4C02 - Bonding
Raw Score]]),_xlfn.STDEV.P(tblY10[[4C02 - Bonding
Raw Score]])),9),_Stanine,2),5),"")</f>
        <v>5</v>
      </c>
    </row>
    <row r="104">
      <c r="A104" s="65" t="inlineStr">
        <is>
          <t>X901315963884</t>
        </is>
      </c>
      <c r="B104" s="65" t="inlineStr">
        <is>
          <t>Hussain</t>
        </is>
      </c>
      <c r="C104" s="65" t="inlineStr">
        <is>
          <t>Hollie</t>
        </is>
      </c>
      <c r="D104" s="66" t="inlineStr">
        <is>
          <t>F</t>
        </is>
      </c>
      <c r="E104" s="66" t="inlineStr">
        <is>
          <t>N</t>
        </is>
      </c>
      <c r="F104" s="66" t="inlineStr">
        <is>
          <t>Y</t>
        </is>
      </c>
      <c r="G104" s="34" t="n">
        <v>100</v>
      </c>
      <c r="H104" s="34" t="n">
        <v>98.5</v>
      </c>
      <c r="I104" s="67">
        <f>IF(ISNUMBER(tblY10[[#This Row],[Avg KS2]]),IFERROR(VLOOKUP(ROUND(STANDARDIZE(tblY10[[#This Row],[Avg KS2]],AVERAGE(tblY10[[Avg KS2]]),_xlfn.STDEV.P(tblY10[[Avg KS2]])),9),_Stanine,2),5),"")</f>
        <v>4</v>
      </c>
      <c r="J104" s="66" t="inlineStr">
        <is>
          <t>10S/Sc5</t>
        </is>
      </c>
      <c r="K104" s="67">
        <f>IF(tblY10[[#This Row],[Preferred Last name]]="","",COUNTIFS($N$1:$ZZ$1,"*"&amp;CHAR(10)&amp;"Stanine",$N104:$ZZ104,"&gt;=1"))</f>
        <v>4</v>
      </c>
      <c r="L104" s="68">
        <f>IFERROR(AVERAGEIF($N$1:$ZZ$1,"*"&amp;CHAR(10)&amp;"Stanine",$N104:$ZZ104),"")</f>
        <v>2</v>
      </c>
      <c r="M104" s="69">
        <f>IF(AND(ISNUMBER(tblY10[[#This Row],[Mean Stanine]]),ISNUMBER(tblY10[[#This Row],[Avg KS2 Band]]),ISNUMBER(SlopeY10)),tblY10[[#This Row],[Mean Stanine]]-(InterceptY10+SlopeY10*tblY10[[#This Row],[Avg KS2 Band]]),"")</f>
        <v>-2.1261298602412</v>
      </c>
      <c r="N104" s="66" t="n">
        <v>5</v>
      </c>
      <c r="O104" s="67">
        <f>IF(ISNUMBER(tblY10[[#This Row],[4B01 - Cell Biology
Raw Score]]),IFERROR(VLOOKUP(ROUND(STANDARDIZE(tblY10[[#This Row],[4B01 - Cell Biology
Raw Score]],AVERAGE(tblY10[[4B01 - Cell Biology
Raw Score]]),_xlfn.STDEV.P(tblY10[[4B01 - Cell Biology
Raw Score]])),9),_Stanine,2),5),"")</f>
        <v>2</v>
      </c>
      <c r="P104" s="66" t="n">
        <v>11</v>
      </c>
      <c r="Q104" s="67">
        <f>IF(ISNUMBER(tblY10[[#This Row],[4C01 - Atomic Structure
Raw Score]]),IFERROR(VLOOKUP(ROUND(STANDARDIZE(tblY10[[#This Row],[4C01 - Atomic Structure
Raw Score]],AVERAGE(tblY10[[4C01 - Atomic Structure
Raw Score]]),_xlfn.STDEV.P(tblY10[[4C01 - Atomic Structure
Raw Score]])),9),_Stanine,2),5),"")</f>
        <v>3</v>
      </c>
      <c r="R104" s="66" t="n">
        <v>3</v>
      </c>
      <c r="S104" s="67">
        <f>IF(ISNUMBER(tblY10[[#This Row],[4P01 - Energy
Raw Score]]),IFERROR(VLOOKUP(ROUND(STANDARDIZE(tblY10[[#This Row],[4P01 - Energy
Raw Score]],AVERAGE(tblY10[[4P01 - Energy
Raw Score]]),_xlfn.STDEV.P(tblY10[[4P01 - Energy
Raw Score]])),9),_Stanine,2),5),"")</f>
        <v>2</v>
      </c>
      <c r="T104" s="66" t="n">
        <v>6</v>
      </c>
      <c r="U104" s="67">
        <f>IF(ISNUMBER(tblY10[[#This Row],[4B02 - Organisation
Raw Score]]),IFERROR(VLOOKUP(ROUND(STANDARDIZE(tblY10[[#This Row],[4B02 - Organisation
Raw Score]],AVERAGE(tblY10[[4B02 - Organisation
Raw Score]]),_xlfn.STDEV.P(tblY10[[4B02 - Organisation
Raw Score]])),9),_Stanine,2),5),"")</f>
        <v>1</v>
      </c>
      <c r="V104" s="66" t="n"/>
      <c r="W104" s="67" t="str">
        <f>IF(ISNUMBER(tblY10[[#This Row],[4C02 - Bonding
Raw Score]]),IFERROR(VLOOKUP(ROUND(STANDARDIZE(tblY10[[#This Row],[4C02 - Bonding
Raw Score]],AVERAGE(tblY10[[4C02 - Bonding
Raw Score]]),_xlfn.STDEV.P(tblY10[[4C02 - Bonding
Raw Score]])),9),_Stanine,2),5),"")</f>
        <v/>
      </c>
    </row>
    <row r="105">
      <c r="A105" s="65" t="inlineStr">
        <is>
          <t>X905690678662</t>
        </is>
      </c>
      <c r="B105" s="65" t="inlineStr">
        <is>
          <t>Jones</t>
        </is>
      </c>
      <c r="C105" s="65" t="inlineStr">
        <is>
          <t>Harry</t>
        </is>
      </c>
      <c r="D105" s="66" t="inlineStr">
        <is>
          <t>F</t>
        </is>
      </c>
      <c r="E105" s="66" t="n"/>
      <c r="F105" s="66" t="inlineStr">
        <is>
          <t>Y</t>
        </is>
      </c>
      <c r="G105" s="34" t="n">
        <v>96.8</v>
      </c>
      <c r="H105" s="34" t="n">
        <v>100</v>
      </c>
      <c r="I105" s="67">
        <f>IF(ISNUMBER(tblY10[[#This Row],[Avg KS2]]),IFERROR(VLOOKUP(ROUND(STANDARDIZE(tblY10[[#This Row],[Avg KS2]],AVERAGE(tblY10[[Avg KS2]]),_xlfn.STDEV.P(tblY10[[Avg KS2]])),9),_Stanine,2),5),"")</f>
        <v>4</v>
      </c>
      <c r="J105" s="66" t="inlineStr">
        <is>
          <t>10S/Sc5</t>
        </is>
      </c>
      <c r="K105" s="67">
        <f>IF(tblY10[[#This Row],[Preferred Last name]]="","",COUNTIFS($N$1:$ZZ$1,"*"&amp;CHAR(10)&amp;"Stanine",$N105:$ZZ105,"&gt;=1"))</f>
        <v>4</v>
      </c>
      <c r="L105" s="68">
        <f>IFERROR(AVERAGEIF($N$1:$ZZ$1,"*"&amp;CHAR(10)&amp;"Stanine",$N105:$ZZ105),"")</f>
        <v>4</v>
      </c>
      <c r="M105" s="69">
        <f>IF(AND(ISNUMBER(tblY10[[#This Row],[Mean Stanine]]),ISNUMBER(tblY10[[#This Row],[Avg KS2 Band]]),ISNUMBER(SlopeY10)),tblY10[[#This Row],[Mean Stanine]]-(InterceptY10+SlopeY10*tblY10[[#This Row],[Avg KS2 Band]]),"")</f>
        <v>-0.126129860241199</v>
      </c>
      <c r="N105" s="66" t="n">
        <v>13</v>
      </c>
      <c r="O105" s="67">
        <f>IF(ISNUMBER(tblY10[[#This Row],[4B01 - Cell Biology
Raw Score]]),IFERROR(VLOOKUP(ROUND(STANDARDIZE(tblY10[[#This Row],[4B01 - Cell Biology
Raw Score]],AVERAGE(tblY10[[4B01 - Cell Biology
Raw Score]]),_xlfn.STDEV.P(tblY10[[4B01 - Cell Biology
Raw Score]])),9),_Stanine,2),5),"")</f>
        <v>4</v>
      </c>
      <c r="P105" s="66" t="n">
        <v>16</v>
      </c>
      <c r="Q105" s="67">
        <f>IF(ISNUMBER(tblY10[[#This Row],[4C01 - Atomic Structure
Raw Score]]),IFERROR(VLOOKUP(ROUND(STANDARDIZE(tblY10[[#This Row],[4C01 - Atomic Structure
Raw Score]],AVERAGE(tblY10[[4C01 - Atomic Structure
Raw Score]]),_xlfn.STDEV.P(tblY10[[4C01 - Atomic Structure
Raw Score]])),9),_Stanine,2),5),"")</f>
        <v>5</v>
      </c>
      <c r="R105" s="66" t="n">
        <v>12</v>
      </c>
      <c r="S105" s="67">
        <f>IF(ISNUMBER(tblY10[[#This Row],[4P01 - Energy
Raw Score]]),IFERROR(VLOOKUP(ROUND(STANDARDIZE(tblY10[[#This Row],[4P01 - Energy
Raw Score]],AVERAGE(tblY10[[4P01 - Energy
Raw Score]]),_xlfn.STDEV.P(tblY10[[4P01 - Energy
Raw Score]])),9),_Stanine,2),5),"")</f>
        <v>4</v>
      </c>
      <c r="T105" s="66" t="n">
        <v>15</v>
      </c>
      <c r="U105" s="67">
        <f>IF(ISNUMBER(tblY10[[#This Row],[4B02 - Organisation
Raw Score]]),IFERROR(VLOOKUP(ROUND(STANDARDIZE(tblY10[[#This Row],[4B02 - Organisation
Raw Score]],AVERAGE(tblY10[[4B02 - Organisation
Raw Score]]),_xlfn.STDEV.P(tblY10[[4B02 - Organisation
Raw Score]])),9),_Stanine,2),5),"")</f>
        <v>3</v>
      </c>
      <c r="V105" s="66" t="n"/>
      <c r="W105" s="67" t="str">
        <f>IF(ISNUMBER(tblY10[[#This Row],[4C02 - Bonding
Raw Score]]),IFERROR(VLOOKUP(ROUND(STANDARDIZE(tblY10[[#This Row],[4C02 - Bonding
Raw Score]],AVERAGE(tblY10[[4C02 - Bonding
Raw Score]]),_xlfn.STDEV.P(tblY10[[4C02 - Bonding
Raw Score]])),9),_Stanine,2),5),"")</f>
        <v/>
      </c>
    </row>
    <row r="106">
      <c r="A106" s="65" t="inlineStr">
        <is>
          <t>X900408205664</t>
        </is>
      </c>
      <c r="B106" s="65" t="inlineStr">
        <is>
          <t>Khan</t>
        </is>
      </c>
      <c r="C106" s="65" t="inlineStr">
        <is>
          <t>Reuben</t>
        </is>
      </c>
      <c r="D106" s="66" t="inlineStr">
        <is>
          <t>F</t>
        </is>
      </c>
      <c r="E106" s="66" t="n"/>
      <c r="F106" s="66" t="inlineStr">
        <is>
          <t>N</t>
        </is>
      </c>
      <c r="G106" s="34" t="n">
        <v>86.40000000000001</v>
      </c>
      <c r="H106" s="34" t="n">
        <v>95.5</v>
      </c>
      <c r="I106" s="67">
        <f>IF(ISNUMBER(tblY10[[#This Row],[Avg KS2]]),IFERROR(VLOOKUP(ROUND(STANDARDIZE(tblY10[[#This Row],[Avg KS2]],AVERAGE(tblY10[[Avg KS2]]),_xlfn.STDEV.P(tblY10[[Avg KS2]])),9),_Stanine,2),5),"")</f>
        <v>3</v>
      </c>
      <c r="J106" s="66" t="inlineStr">
        <is>
          <t>10S/Sc5</t>
        </is>
      </c>
      <c r="K106" s="67">
        <f>IF(tblY10[[#This Row],[Preferred Last name]]="","",COUNTIFS($N$1:$ZZ$1,"*"&amp;CHAR(10)&amp;"Stanine",$N106:$ZZ106,"&gt;=1"))</f>
        <v>4</v>
      </c>
      <c r="L106" s="68">
        <f>IFERROR(AVERAGEIF($N$1:$ZZ$1,"*"&amp;CHAR(10)&amp;"Stanine",$N106:$ZZ106),"")</f>
        <v>2.5</v>
      </c>
      <c r="M106" s="69">
        <f>IF(AND(ISNUMBER(tblY10[[#This Row],[Mean Stanine]]),ISNUMBER(tblY10[[#This Row],[Avg KS2 Band]]),ISNUMBER(SlopeY10)),tblY10[[#This Row],[Mean Stanine]]-(InterceptY10+SlopeY10*tblY10[[#This Row],[Avg KS2 Band]]),"")</f>
        <v>-0.812127575958537</v>
      </c>
      <c r="N106" s="66" t="n">
        <v>8</v>
      </c>
      <c r="O106" s="67">
        <f>IF(ISNUMBER(tblY10[[#This Row],[4B01 - Cell Biology
Raw Score]]),IFERROR(VLOOKUP(ROUND(STANDARDIZE(tblY10[[#This Row],[4B01 - Cell Biology
Raw Score]],AVERAGE(tblY10[[4B01 - Cell Biology
Raw Score]]),_xlfn.STDEV.P(tblY10[[4B01 - Cell Biology
Raw Score]])),9),_Stanine,2),5),"")</f>
        <v>2</v>
      </c>
      <c r="P106" s="66" t="n">
        <v>5</v>
      </c>
      <c r="Q106" s="67">
        <f>IF(ISNUMBER(tblY10[[#This Row],[4C01 - Atomic Structure
Raw Score]]),IFERROR(VLOOKUP(ROUND(STANDARDIZE(tblY10[[#This Row],[4C01 - Atomic Structure
Raw Score]],AVERAGE(tblY10[[4C01 - Atomic Structure
Raw Score]]),_xlfn.STDEV.P(tblY10[[4C01 - Atomic Structure
Raw Score]])),9),_Stanine,2),5),"")</f>
        <v>2</v>
      </c>
      <c r="R106" s="66" t="n">
        <v>6</v>
      </c>
      <c r="S106" s="67">
        <f>IF(ISNUMBER(tblY10[[#This Row],[4P01 - Energy
Raw Score]]),IFERROR(VLOOKUP(ROUND(STANDARDIZE(tblY10[[#This Row],[4P01 - Energy
Raw Score]],AVERAGE(tblY10[[4P01 - Energy
Raw Score]]),_xlfn.STDEV.P(tblY10[[4P01 - Energy
Raw Score]])),9),_Stanine,2),5),"")</f>
        <v>3</v>
      </c>
      <c r="T106" s="66" t="n">
        <v>13</v>
      </c>
      <c r="U106" s="67">
        <f>IF(ISNUMBER(tblY10[[#This Row],[4B02 - Organisation
Raw Score]]),IFERROR(VLOOKUP(ROUND(STANDARDIZE(tblY10[[#This Row],[4B02 - Organisation
Raw Score]],AVERAGE(tblY10[[4B02 - Organisation
Raw Score]]),_xlfn.STDEV.P(tblY10[[4B02 - Organisation
Raw Score]])),9),_Stanine,2),5),"")</f>
        <v>3</v>
      </c>
      <c r="V106" s="66" t="n"/>
      <c r="W106" s="67" t="str">
        <f>IF(ISNUMBER(tblY10[[#This Row],[4C02 - Bonding
Raw Score]]),IFERROR(VLOOKUP(ROUND(STANDARDIZE(tblY10[[#This Row],[4C02 - Bonding
Raw Score]],AVERAGE(tblY10[[4C02 - Bonding
Raw Score]]),_xlfn.STDEV.P(tblY10[[4C02 - Bonding
Raw Score]])),9),_Stanine,2),5),"")</f>
        <v/>
      </c>
    </row>
    <row r="107">
      <c r="A107" s="65" t="inlineStr">
        <is>
          <t>X904458307322</t>
        </is>
      </c>
      <c r="B107" s="65" t="inlineStr">
        <is>
          <t>Nowak</t>
        </is>
      </c>
      <c r="C107" s="65" t="inlineStr">
        <is>
          <t>Keira</t>
        </is>
      </c>
      <c r="D107" s="66" t="inlineStr">
        <is>
          <t>M</t>
        </is>
      </c>
      <c r="E107" s="66" t="n"/>
      <c r="F107" s="66" t="inlineStr">
        <is>
          <t>N</t>
        </is>
      </c>
      <c r="G107" s="34" t="n">
        <v>88.3</v>
      </c>
      <c r="H107" s="34" t="n">
        <v>102</v>
      </c>
      <c r="I107" s="67">
        <f>IF(ISNUMBER(tblY10[[#This Row],[Avg KS2]]),IFERROR(VLOOKUP(ROUND(STANDARDIZE(tblY10[[#This Row],[Avg KS2]],AVERAGE(tblY10[[Avg KS2]]),_xlfn.STDEV.P(tblY10[[Avg KS2]])),9),_Stanine,2),5),"")</f>
        <v>5</v>
      </c>
      <c r="J107" s="66" t="inlineStr">
        <is>
          <t>10S/Sc5</t>
        </is>
      </c>
      <c r="K107" s="67">
        <f>IF(tblY10[[#This Row],[Preferred Last name]]="","",COUNTIFS($N$1:$ZZ$1,"*"&amp;CHAR(10)&amp;"Stanine",$N107:$ZZ107,"&gt;=1"))</f>
        <v>4</v>
      </c>
      <c r="L107" s="68">
        <f>IFERROR(AVERAGEIF($N$1:$ZZ$1,"*"&amp;CHAR(10)&amp;"Stanine",$N107:$ZZ107),"")</f>
        <v>2.5</v>
      </c>
      <c r="M107" s="69">
        <f>IF(AND(ISNUMBER(tblY10[[#This Row],[Mean Stanine]]),ISNUMBER(tblY10[[#This Row],[Avg KS2 Band]]),ISNUMBER(SlopeY10)),tblY10[[#This Row],[Mean Stanine]]-(InterceptY10+SlopeY10*tblY10[[#This Row],[Avg KS2 Band]]),"")</f>
        <v>-2.44013214452386</v>
      </c>
      <c r="N107" s="66" t="n">
        <v>10</v>
      </c>
      <c r="O107" s="67">
        <f>IF(ISNUMBER(tblY10[[#This Row],[4B01 - Cell Biology
Raw Score]]),IFERROR(VLOOKUP(ROUND(STANDARDIZE(tblY10[[#This Row],[4B01 - Cell Biology
Raw Score]],AVERAGE(tblY10[[4B01 - Cell Biology
Raw Score]]),_xlfn.STDEV.P(tblY10[[4B01 - Cell Biology
Raw Score]])),9),_Stanine,2),5),"")</f>
        <v>3</v>
      </c>
      <c r="P107" s="66" t="n">
        <v>7</v>
      </c>
      <c r="Q107" s="67">
        <f>IF(ISNUMBER(tblY10[[#This Row],[4C01 - Atomic Structure
Raw Score]]),IFERROR(VLOOKUP(ROUND(STANDARDIZE(tblY10[[#This Row],[4C01 - Atomic Structure
Raw Score]],AVERAGE(tblY10[[4C01 - Atomic Structure
Raw Score]]),_xlfn.STDEV.P(tblY10[[4C01 - Atomic Structure
Raw Score]])),9),_Stanine,2),5),"")</f>
        <v>2</v>
      </c>
      <c r="R107" s="66" t="n">
        <v>7</v>
      </c>
      <c r="S107" s="67">
        <f>IF(ISNUMBER(tblY10[[#This Row],[4P01 - Energy
Raw Score]]),IFERROR(VLOOKUP(ROUND(STANDARDIZE(tblY10[[#This Row],[4P01 - Energy
Raw Score]],AVERAGE(tblY10[[4P01 - Energy
Raw Score]]),_xlfn.STDEV.P(tblY10[[4P01 - Energy
Raw Score]])),9),_Stanine,2),5),"")</f>
        <v>3</v>
      </c>
      <c r="T107" s="66" t="n">
        <v>11</v>
      </c>
      <c r="U107" s="67">
        <f>IF(ISNUMBER(tblY10[[#This Row],[4B02 - Organisation
Raw Score]]),IFERROR(VLOOKUP(ROUND(STANDARDIZE(tblY10[[#This Row],[4B02 - Organisation
Raw Score]],AVERAGE(tblY10[[4B02 - Organisation
Raw Score]]),_xlfn.STDEV.P(tblY10[[4B02 - Organisation
Raw Score]])),9),_Stanine,2),5),"")</f>
        <v>2</v>
      </c>
      <c r="V107" s="66" t="n"/>
      <c r="W107" s="67" t="str">
        <f>IF(ISNUMBER(tblY10[[#This Row],[4C02 - Bonding
Raw Score]]),IFERROR(VLOOKUP(ROUND(STANDARDIZE(tblY10[[#This Row],[4C02 - Bonding
Raw Score]],AVERAGE(tblY10[[4C02 - Bonding
Raw Score]]),_xlfn.STDEV.P(tblY10[[4C02 - Bonding
Raw Score]])),9),_Stanine,2),5),"")</f>
        <v/>
      </c>
    </row>
    <row r="108">
      <c r="A108" s="65" t="inlineStr">
        <is>
          <t>X907662320779</t>
        </is>
      </c>
      <c r="B108" s="65" t="inlineStr">
        <is>
          <t>Patel</t>
        </is>
      </c>
      <c r="C108" s="65" t="inlineStr">
        <is>
          <t>Jacob</t>
        </is>
      </c>
      <c r="D108" s="66" t="inlineStr">
        <is>
          <t>F</t>
        </is>
      </c>
      <c r="E108" s="66" t="inlineStr">
        <is>
          <t>N</t>
        </is>
      </c>
      <c r="F108" s="66" t="inlineStr">
        <is>
          <t>N</t>
        </is>
      </c>
      <c r="G108" s="34" t="n">
        <v>93.90000000000001</v>
      </c>
      <c r="H108" s="34" t="n">
        <v>100.5</v>
      </c>
      <c r="I108" s="67">
        <f>IF(ISNUMBER(tblY10[[#This Row],[Avg KS2]]),IFERROR(VLOOKUP(ROUND(STANDARDIZE(tblY10[[#This Row],[Avg KS2]],AVERAGE(tblY10[[Avg KS2]]),_xlfn.STDEV.P(tblY10[[Avg KS2]])),9),_Stanine,2),5),"")</f>
        <v>4</v>
      </c>
      <c r="J108" s="66" t="inlineStr">
        <is>
          <t>10S/Sc5</t>
        </is>
      </c>
      <c r="K108" s="67">
        <f>IF(tblY10[[#This Row],[Preferred Last name]]="","",COUNTIFS($N$1:$ZZ$1,"*"&amp;CHAR(10)&amp;"Stanine",$N108:$ZZ108,"&gt;=1"))</f>
        <v>3</v>
      </c>
      <c r="L108" s="68">
        <f>IFERROR(AVERAGEIF($N$1:$ZZ$1,"*"&amp;CHAR(10)&amp;"Stanine",$N108:$ZZ108),"")</f>
        <v>4.33333333333333</v>
      </c>
      <c r="M108" s="69">
        <f>IF(AND(ISNUMBER(tblY10[[#This Row],[Mean Stanine]]),ISNUMBER(tblY10[[#This Row],[Avg KS2 Band]]),ISNUMBER(SlopeY10)),tblY10[[#This Row],[Mean Stanine]]-(InterceptY10+SlopeY10*tblY10[[#This Row],[Avg KS2 Band]]),"")</f>
        <v>0.207203473092134</v>
      </c>
      <c r="N108" s="66" t="n">
        <v>15</v>
      </c>
      <c r="O108" s="67">
        <f>IF(ISNUMBER(tblY10[[#This Row],[4B01 - Cell Biology
Raw Score]]),IFERROR(VLOOKUP(ROUND(STANDARDIZE(tblY10[[#This Row],[4B01 - Cell Biology
Raw Score]],AVERAGE(tblY10[[4B01 - Cell Biology
Raw Score]]),_xlfn.STDEV.P(tblY10[[4B01 - Cell Biology
Raw Score]])),9),_Stanine,2),5),"")</f>
        <v>4</v>
      </c>
      <c r="P108" s="66" t="inlineStr">
        <is>
          <t>A</t>
        </is>
      </c>
      <c r="Q108" s="67" t="str">
        <f>IF(ISNUMBER(tblY10[[#This Row],[4C01 - Atomic Structure
Raw Score]]),IFERROR(VLOOKUP(ROUND(STANDARDIZE(tblY10[[#This Row],[4C01 - Atomic Structure
Raw Score]],AVERAGE(tblY10[[4C01 - Atomic Structure
Raw Score]]),_xlfn.STDEV.P(tblY10[[4C01 - Atomic Structure
Raw Score]])),9),_Stanine,2),5),"")</f>
        <v/>
      </c>
      <c r="R108" s="66" t="n">
        <v>13</v>
      </c>
      <c r="S108" s="67">
        <f>IF(ISNUMBER(tblY10[[#This Row],[4P01 - Energy
Raw Score]]),IFERROR(VLOOKUP(ROUND(STANDARDIZE(tblY10[[#This Row],[4P01 - Energy
Raw Score]],AVERAGE(tblY10[[4P01 - Energy
Raw Score]]),_xlfn.STDEV.P(tblY10[[4P01 - Energy
Raw Score]])),9),_Stanine,2),5),"")</f>
        <v>4</v>
      </c>
      <c r="T108" s="66" t="n">
        <v>22</v>
      </c>
      <c r="U108" s="67">
        <f>IF(ISNUMBER(tblY10[[#This Row],[4B02 - Organisation
Raw Score]]),IFERROR(VLOOKUP(ROUND(STANDARDIZE(tblY10[[#This Row],[4B02 - Organisation
Raw Score]],AVERAGE(tblY10[[4B02 - Organisation
Raw Score]]),_xlfn.STDEV.P(tblY10[[4B02 - Organisation
Raw Score]])),9),_Stanine,2),5),"")</f>
        <v>5</v>
      </c>
      <c r="V108" s="66" t="n"/>
      <c r="W108" s="67" t="str">
        <f>IF(ISNUMBER(tblY10[[#This Row],[4C02 - Bonding
Raw Score]]),IFERROR(VLOOKUP(ROUND(STANDARDIZE(tblY10[[#This Row],[4C02 - Bonding
Raw Score]],AVERAGE(tblY10[[4C02 - Bonding
Raw Score]]),_xlfn.STDEV.P(tblY10[[4C02 - Bonding
Raw Score]])),9),_Stanine,2),5),"")</f>
        <v/>
      </c>
    </row>
    <row r="109">
      <c r="A109" s="65" t="inlineStr">
        <is>
          <t>X904387339253</t>
        </is>
      </c>
      <c r="B109" s="65" t="inlineStr">
        <is>
          <t>Price</t>
        </is>
      </c>
      <c r="C109" s="65" t="inlineStr">
        <is>
          <t>Tomasz</t>
        </is>
      </c>
      <c r="D109" s="66" t="inlineStr">
        <is>
          <t>M</t>
        </is>
      </c>
      <c r="E109" s="66" t="inlineStr">
        <is>
          <t>K</t>
        </is>
      </c>
      <c r="F109" s="66" t="inlineStr">
        <is>
          <t>Y</t>
        </is>
      </c>
      <c r="G109" s="34" t="n">
        <v>100</v>
      </c>
      <c r="H109" s="34" t="n">
        <v>91.5</v>
      </c>
      <c r="I109" s="67">
        <f>IF(ISNUMBER(tblY10[[#This Row],[Avg KS2]]),IFERROR(VLOOKUP(ROUND(STANDARDIZE(tblY10[[#This Row],[Avg KS2]],AVERAGE(tblY10[[Avg KS2]]),_xlfn.STDEV.P(tblY10[[Avg KS2]])),9),_Stanine,2),5),"")</f>
        <v>1</v>
      </c>
      <c r="J109" s="66" t="inlineStr">
        <is>
          <t>10S/Sc5</t>
        </is>
      </c>
      <c r="K109" s="67">
        <f>IF(tblY10[[#This Row],[Preferred Last name]]="","",COUNTIFS($N$1:$ZZ$1,"*"&amp;CHAR(10)&amp;"Stanine",$N109:$ZZ109,"&gt;=1"))</f>
        <v>3</v>
      </c>
      <c r="L109" s="68">
        <f>IFERROR(AVERAGEIF($N$1:$ZZ$1,"*"&amp;CHAR(10)&amp;"Stanine",$N109:$ZZ109),"")</f>
        <v>1.66666666666667</v>
      </c>
      <c r="M109" s="69">
        <f>IF(AND(ISNUMBER(tblY10[[#This Row],[Mean Stanine]]),ISNUMBER(tblY10[[#This Row],[Avg KS2 Band]]),ISNUMBER(SlopeY10)),tblY10[[#This Row],[Mean Stanine]]-(InterceptY10+SlopeY10*tblY10[[#This Row],[Avg KS2 Band]]),"")</f>
        <v>-0.0174563407265451</v>
      </c>
      <c r="N109" s="66" t="n">
        <v>4</v>
      </c>
      <c r="O109" s="67">
        <f>IF(ISNUMBER(tblY10[[#This Row],[4B01 - Cell Biology
Raw Score]]),IFERROR(VLOOKUP(ROUND(STANDARDIZE(tblY10[[#This Row],[4B01 - Cell Biology
Raw Score]],AVERAGE(tblY10[[4B01 - Cell Biology
Raw Score]]),_xlfn.STDEV.P(tblY10[[4B01 - Cell Biology
Raw Score]])),9),_Stanine,2),5),"")</f>
        <v>2</v>
      </c>
      <c r="P109" s="66" t="n">
        <v>2</v>
      </c>
      <c r="Q109" s="67">
        <f>IF(ISNUMBER(tblY10[[#This Row],[4C01 - Atomic Structure
Raw Score]]),IFERROR(VLOOKUP(ROUND(STANDARDIZE(tblY10[[#This Row],[4C01 - Atomic Structure
Raw Score]],AVERAGE(tblY10[[4C01 - Atomic Structure
Raw Score]]),_xlfn.STDEV.P(tblY10[[4C01 - Atomic Structure
Raw Score]])),9),_Stanine,2),5),"")</f>
        <v>1</v>
      </c>
      <c r="R109" s="66" t="n">
        <v>2</v>
      </c>
      <c r="S109" s="67">
        <f>IF(ISNUMBER(tblY10[[#This Row],[4P01 - Energy
Raw Score]]),IFERROR(VLOOKUP(ROUND(STANDARDIZE(tblY10[[#This Row],[4P01 - Energy
Raw Score]],AVERAGE(tblY10[[4P01 - Energy
Raw Score]]),_xlfn.STDEV.P(tblY10[[4P01 - Energy
Raw Score]])),9),_Stanine,2),5),"")</f>
        <v>2</v>
      </c>
      <c r="T109" s="66" t="inlineStr">
        <is>
          <t>A</t>
        </is>
      </c>
      <c r="U109" s="67" t="str">
        <f>IF(ISNUMBER(tblY10[[#This Row],[4B02 - Organisation
Raw Score]]),IFERROR(VLOOKUP(ROUND(STANDARDIZE(tblY10[[#This Row],[4B02 - Organisation
Raw Score]],AVERAGE(tblY10[[4B02 - Organisation
Raw Score]]),_xlfn.STDEV.P(tblY10[[4B02 - Organisation
Raw Score]])),9),_Stanine,2),5),"")</f>
        <v/>
      </c>
      <c r="V109" s="66" t="n"/>
      <c r="W109" s="67" t="str">
        <f>IF(ISNUMBER(tblY10[[#This Row],[4C02 - Bonding
Raw Score]]),IFERROR(VLOOKUP(ROUND(STANDARDIZE(tblY10[[#This Row],[4C02 - Bonding
Raw Score]],AVERAGE(tblY10[[4C02 - Bonding
Raw Score]]),_xlfn.STDEV.P(tblY10[[4C02 - Bonding
Raw Score]])),9),_Stanine,2),5),"")</f>
        <v/>
      </c>
    </row>
    <row r="110">
      <c r="A110" s="65" t="inlineStr">
        <is>
          <t>X903975519282</t>
        </is>
      </c>
      <c r="B110" s="65" t="inlineStr">
        <is>
          <t>Roberts</t>
        </is>
      </c>
      <c r="C110" s="65" t="inlineStr">
        <is>
          <t>Arthur</t>
        </is>
      </c>
      <c r="D110" s="66" t="inlineStr">
        <is>
          <t>M</t>
        </is>
      </c>
      <c r="E110" s="66" t="n"/>
      <c r="F110" s="66" t="inlineStr">
        <is>
          <t>N</t>
        </is>
      </c>
      <c r="G110" s="34" t="n">
        <v>84.09999999999999</v>
      </c>
      <c r="H110" s="34" t="n">
        <v>102</v>
      </c>
      <c r="I110" s="67">
        <f>IF(ISNUMBER(tblY10[[#This Row],[Avg KS2]]),IFERROR(VLOOKUP(ROUND(STANDARDIZE(tblY10[[#This Row],[Avg KS2]],AVERAGE(tblY10[[Avg KS2]]),_xlfn.STDEV.P(tblY10[[Avg KS2]])),9),_Stanine,2),5),"")</f>
        <v>5</v>
      </c>
      <c r="J110" s="66" t="inlineStr">
        <is>
          <t>10S/Sc5</t>
        </is>
      </c>
      <c r="K110" s="67">
        <f>IF(tblY10[[#This Row],[Preferred Last name]]="","",COUNTIFS($N$1:$ZZ$1,"*"&amp;CHAR(10)&amp;"Stanine",$N110:$ZZ110,"&gt;=1"))</f>
        <v>4</v>
      </c>
      <c r="L110" s="68">
        <f>IFERROR(AVERAGEIF($N$1:$ZZ$1,"*"&amp;CHAR(10)&amp;"Stanine",$N110:$ZZ110),"")</f>
        <v>4.25</v>
      </c>
      <c r="M110" s="69">
        <f>IF(AND(ISNUMBER(tblY10[[#This Row],[Mean Stanine]]),ISNUMBER(tblY10[[#This Row],[Avg KS2 Band]]),ISNUMBER(SlopeY10)),tblY10[[#This Row],[Mean Stanine]]-(InterceptY10+SlopeY10*tblY10[[#This Row],[Avg KS2 Band]]),"")</f>
        <v>-0.690132144523862</v>
      </c>
      <c r="N110" s="66" t="n">
        <v>21</v>
      </c>
      <c r="O110" s="67">
        <f>IF(ISNUMBER(tblY10[[#This Row],[4B01 - Cell Biology
Raw Score]]),IFERROR(VLOOKUP(ROUND(STANDARDIZE(tblY10[[#This Row],[4B01 - Cell Biology
Raw Score]],AVERAGE(tblY10[[4B01 - Cell Biology
Raw Score]]),_xlfn.STDEV.P(tblY10[[4B01 - Cell Biology
Raw Score]])),9),_Stanine,2),5),"")</f>
        <v>5</v>
      </c>
      <c r="P110" s="66" t="n">
        <v>15</v>
      </c>
      <c r="Q110" s="67">
        <f>IF(ISNUMBER(tblY10[[#This Row],[4C01 - Atomic Structure
Raw Score]]),IFERROR(VLOOKUP(ROUND(STANDARDIZE(tblY10[[#This Row],[4C01 - Atomic Structure
Raw Score]],AVERAGE(tblY10[[4C01 - Atomic Structure
Raw Score]]),_xlfn.STDEV.P(tblY10[[4C01 - Atomic Structure
Raw Score]])),9),_Stanine,2),5),"")</f>
        <v>4</v>
      </c>
      <c r="R110" s="66" t="n">
        <v>10</v>
      </c>
      <c r="S110" s="67">
        <f>IF(ISNUMBER(tblY10[[#This Row],[4P01 - Energy
Raw Score]]),IFERROR(VLOOKUP(ROUND(STANDARDIZE(tblY10[[#This Row],[4P01 - Energy
Raw Score]],AVERAGE(tblY10[[4P01 - Energy
Raw Score]]),_xlfn.STDEV.P(tblY10[[4P01 - Energy
Raw Score]])),9),_Stanine,2),5),"")</f>
        <v>4</v>
      </c>
      <c r="T110" s="66" t="n">
        <v>17</v>
      </c>
      <c r="U110" s="67">
        <f>IF(ISNUMBER(tblY10[[#This Row],[4B02 - Organisation
Raw Score]]),IFERROR(VLOOKUP(ROUND(STANDARDIZE(tblY10[[#This Row],[4B02 - Organisation
Raw Score]],AVERAGE(tblY10[[4B02 - Organisation
Raw Score]]),_xlfn.STDEV.P(tblY10[[4B02 - Organisation
Raw Score]])),9),_Stanine,2),5),"")</f>
        <v>4</v>
      </c>
      <c r="V110" s="66" t="n"/>
      <c r="W110" s="67" t="str">
        <f>IF(ISNUMBER(tblY10[[#This Row],[4C02 - Bonding
Raw Score]]),IFERROR(VLOOKUP(ROUND(STANDARDIZE(tblY10[[#This Row],[4C02 - Bonding
Raw Score]],AVERAGE(tblY10[[4C02 - Bonding
Raw Score]]),_xlfn.STDEV.P(tblY10[[4C02 - Bonding
Raw Score]])),9),_Stanine,2),5),"")</f>
        <v/>
      </c>
    </row>
    <row r="111">
      <c r="A111" s="65" t="inlineStr">
        <is>
          <t>X909948830081</t>
        </is>
      </c>
      <c r="B111" s="65" t="inlineStr">
        <is>
          <t>Shaw</t>
        </is>
      </c>
      <c r="C111" s="65" t="inlineStr">
        <is>
          <t>Seren</t>
        </is>
      </c>
      <c r="D111" s="66" t="inlineStr">
        <is>
          <t>M</t>
        </is>
      </c>
      <c r="E111" s="66" t="n"/>
      <c r="F111" s="66" t="inlineStr">
        <is>
          <t>N</t>
        </is>
      </c>
      <c r="G111" s="34" t="n">
        <v>89.2</v>
      </c>
      <c r="H111" s="34" t="n">
        <v>90</v>
      </c>
      <c r="I111" s="67">
        <f>IF(ISNUMBER(tblY10[[#This Row],[Avg KS2]]),IFERROR(VLOOKUP(ROUND(STANDARDIZE(tblY10[[#This Row],[Avg KS2]],AVERAGE(tblY10[[Avg KS2]]),_xlfn.STDEV.P(tblY10[[Avg KS2]])),9),_Stanine,2),5),"")</f>
        <v>1</v>
      </c>
      <c r="J111" s="66" t="inlineStr">
        <is>
          <t>10S/Sc5</t>
        </is>
      </c>
      <c r="K111" s="67">
        <f>IF(tblY10[[#This Row],[Preferred Last name]]="","",COUNTIFS($N$1:$ZZ$1,"*"&amp;CHAR(10)&amp;"Stanine",$N111:$ZZ111,"&gt;=1"))</f>
        <v>3</v>
      </c>
      <c r="L111" s="68">
        <f>IFERROR(AVERAGEIF($N$1:$ZZ$1,"*"&amp;CHAR(10)&amp;"Stanine",$N111:$ZZ111),"")</f>
        <v>2</v>
      </c>
      <c r="M111" s="69">
        <f>IF(AND(ISNUMBER(tblY10[[#This Row],[Mean Stanine]]),ISNUMBER(tblY10[[#This Row],[Avg KS2 Band]]),ISNUMBER(SlopeY10)),tblY10[[#This Row],[Mean Stanine]]-(InterceptY10+SlopeY10*tblY10[[#This Row],[Avg KS2 Band]]),"")</f>
        <v>0.315876992606788</v>
      </c>
      <c r="N111" s="66" t="n">
        <v>5</v>
      </c>
      <c r="O111" s="67">
        <f>IF(ISNUMBER(tblY10[[#This Row],[4B01 - Cell Biology
Raw Score]]),IFERROR(VLOOKUP(ROUND(STANDARDIZE(tblY10[[#This Row],[4B01 - Cell Biology
Raw Score]],AVERAGE(tblY10[[4B01 - Cell Biology
Raw Score]]),_xlfn.STDEV.P(tblY10[[4B01 - Cell Biology
Raw Score]])),9),_Stanine,2),5),"")</f>
        <v>2</v>
      </c>
      <c r="P111" s="66" t="n">
        <v>4</v>
      </c>
      <c r="Q111" s="67">
        <f>IF(ISNUMBER(tblY10[[#This Row],[4C01 - Atomic Structure
Raw Score]]),IFERROR(VLOOKUP(ROUND(STANDARDIZE(tblY10[[#This Row],[4C01 - Atomic Structure
Raw Score]],AVERAGE(tblY10[[4C01 - Atomic Structure
Raw Score]]),_xlfn.STDEV.P(tblY10[[4C01 - Atomic Structure
Raw Score]])),9),_Stanine,2),5),"")</f>
        <v>2</v>
      </c>
      <c r="R111" s="66" t="n">
        <v>3</v>
      </c>
      <c r="S111" s="67">
        <f>IF(ISNUMBER(tblY10[[#This Row],[4P01 - Energy
Raw Score]]),IFERROR(VLOOKUP(ROUND(STANDARDIZE(tblY10[[#This Row],[4P01 - Energy
Raw Score]],AVERAGE(tblY10[[4P01 - Energy
Raw Score]]),_xlfn.STDEV.P(tblY10[[4P01 - Energy
Raw Score]])),9),_Stanine,2),5),"")</f>
        <v>2</v>
      </c>
      <c r="T111" s="66" t="inlineStr">
        <is>
          <t>A</t>
        </is>
      </c>
      <c r="U111" s="67" t="str">
        <f>IF(ISNUMBER(tblY10[[#This Row],[4B02 - Organisation
Raw Score]]),IFERROR(VLOOKUP(ROUND(STANDARDIZE(tblY10[[#This Row],[4B02 - Organisation
Raw Score]],AVERAGE(tblY10[[4B02 - Organisation
Raw Score]]),_xlfn.STDEV.P(tblY10[[4B02 - Organisation
Raw Score]])),9),_Stanine,2),5),"")</f>
        <v/>
      </c>
      <c r="V111" s="66" t="n"/>
      <c r="W111" s="67" t="str">
        <f>IF(ISNUMBER(tblY10[[#This Row],[4C02 - Bonding
Raw Score]]),IFERROR(VLOOKUP(ROUND(STANDARDIZE(tblY10[[#This Row],[4C02 - Bonding
Raw Score]],AVERAGE(tblY10[[4C02 - Bonding
Raw Score]]),_xlfn.STDEV.P(tblY10[[4C02 - Bonding
Raw Score]])),9),_Stanine,2),5),"")</f>
        <v/>
      </c>
    </row>
    <row r="112">
      <c r="A112" s="65" t="inlineStr">
        <is>
          <t>X906700806557</t>
        </is>
      </c>
      <c r="B112" s="65" t="inlineStr">
        <is>
          <t>Walker</t>
        </is>
      </c>
      <c r="C112" s="65" t="inlineStr">
        <is>
          <t>Mia</t>
        </is>
      </c>
      <c r="D112" s="66" t="inlineStr">
        <is>
          <t>F</t>
        </is>
      </c>
      <c r="E112" s="66" t="inlineStr">
        <is>
          <t>E</t>
        </is>
      </c>
      <c r="F112" s="66" t="inlineStr">
        <is>
          <t>N</t>
        </is>
      </c>
      <c r="G112" s="34" t="n">
        <v>92.2</v>
      </c>
      <c r="H112" s="34" t="n">
        <v>109</v>
      </c>
      <c r="I112" s="67">
        <f>IF(ISNUMBER(tblY10[[#This Row],[Avg KS2]]),IFERROR(VLOOKUP(ROUND(STANDARDIZE(tblY10[[#This Row],[Avg KS2]],AVERAGE(tblY10[[Avg KS2]]),_xlfn.STDEV.P(tblY10[[Avg KS2]])),9),_Stanine,2),5),"")</f>
        <v>7</v>
      </c>
      <c r="J112" s="66" t="inlineStr">
        <is>
          <t>10S/Sc5</t>
        </is>
      </c>
      <c r="K112" s="67">
        <f>IF(tblY10[[#This Row],[Preferred Last name]]="","",COUNTIFS($N$1:$ZZ$1,"*"&amp;CHAR(10)&amp;"Stanine",$N112:$ZZ112,"&gt;=1"))</f>
        <v>4</v>
      </c>
      <c r="L112" s="68">
        <f>IFERROR(AVERAGEIF($N$1:$ZZ$1,"*"&amp;CHAR(10)&amp;"Stanine",$N112:$ZZ112),"")</f>
        <v>6.5</v>
      </c>
      <c r="M112" s="69">
        <f>IF(AND(ISNUMBER(tblY10[[#This Row],[Mean Stanine]]),ISNUMBER(tblY10[[#This Row],[Avg KS2 Band]]),ISNUMBER(SlopeY10)),tblY10[[#This Row],[Mean Stanine]]-(InterceptY10+SlopeY10*tblY10[[#This Row],[Avg KS2 Band]]),"")</f>
        <v>-0.0681367130891859</v>
      </c>
      <c r="N112" s="66" t="n">
        <v>33</v>
      </c>
      <c r="O112" s="67">
        <f>IF(ISNUMBER(tblY10[[#This Row],[4B01 - Cell Biology
Raw Score]]),IFERROR(VLOOKUP(ROUND(STANDARDIZE(tblY10[[#This Row],[4B01 - Cell Biology
Raw Score]],AVERAGE(tblY10[[4B01 - Cell Biology
Raw Score]]),_xlfn.STDEV.P(tblY10[[4B01 - Cell Biology
Raw Score]])),9),_Stanine,2),5),"")</f>
        <v>8</v>
      </c>
      <c r="P112" s="66" t="n">
        <v>20</v>
      </c>
      <c r="Q112" s="67">
        <f>IF(ISNUMBER(tblY10[[#This Row],[4C01 - Atomic Structure
Raw Score]]),IFERROR(VLOOKUP(ROUND(STANDARDIZE(tblY10[[#This Row],[4C01 - Atomic Structure
Raw Score]],AVERAGE(tblY10[[4C01 - Atomic Structure
Raw Score]]),_xlfn.STDEV.P(tblY10[[4C01 - Atomic Structure
Raw Score]])),9),_Stanine,2),5),"")</f>
        <v>6</v>
      </c>
      <c r="R112" s="66" t="n">
        <v>21</v>
      </c>
      <c r="S112" s="67">
        <f>IF(ISNUMBER(tblY10[[#This Row],[4P01 - Energy
Raw Score]]),IFERROR(VLOOKUP(ROUND(STANDARDIZE(tblY10[[#This Row],[4P01 - Energy
Raw Score]],AVERAGE(tblY10[[4P01 - Energy
Raw Score]]),_xlfn.STDEV.P(tblY10[[4P01 - Energy
Raw Score]])),9),_Stanine,2),5),"")</f>
        <v>6</v>
      </c>
      <c r="T112" s="66" t="n">
        <v>28</v>
      </c>
      <c r="U112" s="67">
        <f>IF(ISNUMBER(tblY10[[#This Row],[4B02 - Organisation
Raw Score]]),IFERROR(VLOOKUP(ROUND(STANDARDIZE(tblY10[[#This Row],[4B02 - Organisation
Raw Score]],AVERAGE(tblY10[[4B02 - Organisation
Raw Score]]),_xlfn.STDEV.P(tblY10[[4B02 - Organisation
Raw Score]])),9),_Stanine,2),5),"")</f>
        <v>6</v>
      </c>
      <c r="V112" s="66" t="n"/>
      <c r="W112" s="67" t="str">
        <f>IF(ISNUMBER(tblY10[[#This Row],[4C02 - Bonding
Raw Score]]),IFERROR(VLOOKUP(ROUND(STANDARDIZE(tblY10[[#This Row],[4C02 - Bonding
Raw Score]],AVERAGE(tblY10[[4C02 - Bonding
Raw Score]]),_xlfn.STDEV.P(tblY10[[4C02 - Bonding
Raw Score]])),9),_Stanine,2),5),"")</f>
        <v/>
      </c>
    </row>
    <row r="113">
      <c r="A113" s="65" t="inlineStr">
        <is>
          <t>X907352752474</t>
        </is>
      </c>
      <c r="B113" s="65" t="inlineStr">
        <is>
          <t>Ward</t>
        </is>
      </c>
      <c r="C113" s="65" t="inlineStr">
        <is>
          <t>Arthur</t>
        </is>
      </c>
      <c r="D113" s="66" t="inlineStr">
        <is>
          <t>F</t>
        </is>
      </c>
      <c r="E113" s="66" t="inlineStr">
        <is>
          <t>N</t>
        </is>
      </c>
      <c r="F113" s="66" t="inlineStr">
        <is>
          <t>N</t>
        </is>
      </c>
      <c r="G113" s="34" t="n">
        <v>99</v>
      </c>
      <c r="H113" s="34" t="n">
        <v>99</v>
      </c>
      <c r="I113" s="67">
        <f>IF(ISNUMBER(tblY10[[#This Row],[Avg KS2]]),IFERROR(VLOOKUP(ROUND(STANDARDIZE(tblY10[[#This Row],[Avg KS2]],AVERAGE(tblY10[[Avg KS2]]),_xlfn.STDEV.P(tblY10[[Avg KS2]])),9),_Stanine,2),5),"")</f>
        <v>4</v>
      </c>
      <c r="J113" s="66" t="inlineStr">
        <is>
          <t>10S/Sc5</t>
        </is>
      </c>
      <c r="K113" s="67">
        <f>IF(tblY10[[#This Row],[Preferred Last name]]="","",COUNTIFS($N$1:$ZZ$1,"*"&amp;CHAR(10)&amp;"Stanine",$N113:$ZZ113,"&gt;=1"))</f>
        <v>4</v>
      </c>
      <c r="L113" s="68">
        <f>IFERROR(AVERAGEIF($N$1:$ZZ$1,"*"&amp;CHAR(10)&amp;"Stanine",$N113:$ZZ113),"")</f>
        <v>2.75</v>
      </c>
      <c r="M113" s="69">
        <f>IF(AND(ISNUMBER(tblY10[[#This Row],[Mean Stanine]]),ISNUMBER(tblY10[[#This Row],[Avg KS2 Band]]),ISNUMBER(SlopeY10)),tblY10[[#This Row],[Mean Stanine]]-(InterceptY10+SlopeY10*tblY10[[#This Row],[Avg KS2 Band]]),"")</f>
        <v>-1.3761298602412</v>
      </c>
      <c r="N113" s="66" t="n">
        <v>10</v>
      </c>
      <c r="O113" s="67">
        <f>IF(ISNUMBER(tblY10[[#This Row],[4B01 - Cell Biology
Raw Score]]),IFERROR(VLOOKUP(ROUND(STANDARDIZE(tblY10[[#This Row],[4B01 - Cell Biology
Raw Score]],AVERAGE(tblY10[[4B01 - Cell Biology
Raw Score]]),_xlfn.STDEV.P(tblY10[[4B01 - Cell Biology
Raw Score]])),9),_Stanine,2),5),"")</f>
        <v>3</v>
      </c>
      <c r="P113" s="66" t="n">
        <v>5</v>
      </c>
      <c r="Q113" s="67">
        <f>IF(ISNUMBER(tblY10[[#This Row],[4C01 - Atomic Structure
Raw Score]]),IFERROR(VLOOKUP(ROUND(STANDARDIZE(tblY10[[#This Row],[4C01 - Atomic Structure
Raw Score]],AVERAGE(tblY10[[4C01 - Atomic Structure
Raw Score]]),_xlfn.STDEV.P(tblY10[[4C01 - Atomic Structure
Raw Score]])),9),_Stanine,2),5),"")</f>
        <v>2</v>
      </c>
      <c r="R113" s="66" t="n">
        <v>7</v>
      </c>
      <c r="S113" s="67">
        <f>IF(ISNUMBER(tblY10[[#This Row],[4P01 - Energy
Raw Score]]),IFERROR(VLOOKUP(ROUND(STANDARDIZE(tblY10[[#This Row],[4P01 - Energy
Raw Score]],AVERAGE(tblY10[[4P01 - Energy
Raw Score]]),_xlfn.STDEV.P(tblY10[[4P01 - Energy
Raw Score]])),9),_Stanine,2),5),"")</f>
        <v>3</v>
      </c>
      <c r="T113" s="66" t="n">
        <v>13</v>
      </c>
      <c r="U113" s="67">
        <f>IF(ISNUMBER(tblY10[[#This Row],[4B02 - Organisation
Raw Score]]),IFERROR(VLOOKUP(ROUND(STANDARDIZE(tblY10[[#This Row],[4B02 - Organisation
Raw Score]],AVERAGE(tblY10[[4B02 - Organisation
Raw Score]]),_xlfn.STDEV.P(tblY10[[4B02 - Organisation
Raw Score]])),9),_Stanine,2),5),"")</f>
        <v>3</v>
      </c>
      <c r="V113" s="66" t="n"/>
      <c r="W113" s="67" t="str">
        <f>IF(ISNUMBER(tblY10[[#This Row],[4C02 - Bonding
Raw Score]]),IFERROR(VLOOKUP(ROUND(STANDARDIZE(tblY10[[#This Row],[4C02 - Bonding
Raw Score]],AVERAGE(tblY10[[4C02 - Bonding
Raw Score]]),_xlfn.STDEV.P(tblY10[[4C02 - Bonding
Raw Score]])),9),_Stanine,2),5),"")</f>
        <v/>
      </c>
    </row>
    <row r="114">
      <c r="A114" s="65" t="inlineStr">
        <is>
          <t>X900779053312</t>
        </is>
      </c>
      <c r="B114" s="65" t="inlineStr">
        <is>
          <t>Ward</t>
        </is>
      </c>
      <c r="C114" s="65" t="inlineStr">
        <is>
          <t>Zara</t>
        </is>
      </c>
      <c r="D114" s="66" t="inlineStr">
        <is>
          <t>M</t>
        </is>
      </c>
      <c r="E114" s="66" t="inlineStr">
        <is>
          <t>N</t>
        </is>
      </c>
      <c r="F114" s="66" t="inlineStr">
        <is>
          <t>Y</t>
        </is>
      </c>
      <c r="G114" s="34" t="n">
        <v>100</v>
      </c>
      <c r="H114" s="34" t="n">
        <v>105.5</v>
      </c>
      <c r="I114" s="67">
        <f>IF(ISNUMBER(tblY10[[#This Row],[Avg KS2]]),IFERROR(VLOOKUP(ROUND(STANDARDIZE(tblY10[[#This Row],[Avg KS2]],AVERAGE(tblY10[[Avg KS2]]),_xlfn.STDEV.P(tblY10[[Avg KS2]])),9),_Stanine,2),5),"")</f>
        <v>6</v>
      </c>
      <c r="J114" s="66" t="inlineStr">
        <is>
          <t>10S/Sc5</t>
        </is>
      </c>
      <c r="K114" s="67">
        <f>IF(tblY10[[#This Row],[Preferred Last name]]="","",COUNTIFS($N$1:$ZZ$1,"*"&amp;CHAR(10)&amp;"Stanine",$N114:$ZZ114,"&gt;=1"))</f>
        <v>4</v>
      </c>
      <c r="L114" s="68">
        <f>IFERROR(AVERAGEIF($N$1:$ZZ$1,"*"&amp;CHAR(10)&amp;"Stanine",$N114:$ZZ114),"")</f>
        <v>4.5</v>
      </c>
      <c r="M114" s="69">
        <f>IF(AND(ISNUMBER(tblY10[[#This Row],[Mean Stanine]]),ISNUMBER(tblY10[[#This Row],[Avg KS2 Band]]),ISNUMBER(SlopeY10)),tblY10[[#This Row],[Mean Stanine]]-(InterceptY10+SlopeY10*tblY10[[#This Row],[Avg KS2 Band]]),"")</f>
        <v>-1.25413442880652</v>
      </c>
      <c r="N114" s="66" t="n">
        <v>23</v>
      </c>
      <c r="O114" s="67">
        <f>IF(ISNUMBER(tblY10[[#This Row],[4B01 - Cell Biology
Raw Score]]),IFERROR(VLOOKUP(ROUND(STANDARDIZE(tblY10[[#This Row],[4B01 - Cell Biology
Raw Score]],AVERAGE(tblY10[[4B01 - Cell Biology
Raw Score]]),_xlfn.STDEV.P(tblY10[[4B01 - Cell Biology
Raw Score]])),9),_Stanine,2),5),"")</f>
        <v>6</v>
      </c>
      <c r="P114" s="66" t="n">
        <v>13</v>
      </c>
      <c r="Q114" s="67">
        <f>IF(ISNUMBER(tblY10[[#This Row],[4C01 - Atomic Structure
Raw Score]]),IFERROR(VLOOKUP(ROUND(STANDARDIZE(tblY10[[#This Row],[4C01 - Atomic Structure
Raw Score]],AVERAGE(tblY10[[4C01 - Atomic Structure
Raw Score]]),_xlfn.STDEV.P(tblY10[[4C01 - Atomic Structure
Raw Score]])),9),_Stanine,2),5),"")</f>
        <v>4</v>
      </c>
      <c r="R114" s="66" t="n">
        <v>12</v>
      </c>
      <c r="S114" s="67">
        <f>IF(ISNUMBER(tblY10[[#This Row],[4P01 - Energy
Raw Score]]),IFERROR(VLOOKUP(ROUND(STANDARDIZE(tblY10[[#This Row],[4P01 - Energy
Raw Score]],AVERAGE(tblY10[[4P01 - Energy
Raw Score]]),_xlfn.STDEV.P(tblY10[[4P01 - Energy
Raw Score]])),9),_Stanine,2),5),"")</f>
        <v>4</v>
      </c>
      <c r="T114" s="66" t="n">
        <v>19</v>
      </c>
      <c r="U114" s="67">
        <f>IF(ISNUMBER(tblY10[[#This Row],[4B02 - Organisation
Raw Score]]),IFERROR(VLOOKUP(ROUND(STANDARDIZE(tblY10[[#This Row],[4B02 - Organisation
Raw Score]],AVERAGE(tblY10[[4B02 - Organisation
Raw Score]]),_xlfn.STDEV.P(tblY10[[4B02 - Organisation
Raw Score]])),9),_Stanine,2),5),"")</f>
        <v>4</v>
      </c>
      <c r="V114" s="66" t="n"/>
      <c r="W114" s="67" t="str">
        <f>IF(ISNUMBER(tblY10[[#This Row],[4C02 - Bonding
Raw Score]]),IFERROR(VLOOKUP(ROUND(STANDARDIZE(tblY10[[#This Row],[4C02 - Bonding
Raw Score]],AVERAGE(tblY10[[4C02 - Bonding
Raw Score]]),_xlfn.STDEV.P(tblY10[[4C02 - Bonding
Raw Score]])),9),_Stanine,2),5),"")</f>
        <v/>
      </c>
    </row>
    <row r="115">
      <c r="A115" s="65" t="inlineStr">
        <is>
          <t>X909086765589</t>
        </is>
      </c>
      <c r="B115" s="65" t="inlineStr">
        <is>
          <t>Wood</t>
        </is>
      </c>
      <c r="C115" s="65" t="inlineStr">
        <is>
          <t>Arthur</t>
        </is>
      </c>
      <c r="D115" s="66" t="inlineStr">
        <is>
          <t>M</t>
        </is>
      </c>
      <c r="E115" s="66" t="inlineStr">
        <is>
          <t>K</t>
        </is>
      </c>
      <c r="F115" s="66" t="inlineStr">
        <is>
          <t>N</t>
        </is>
      </c>
      <c r="G115" s="34" t="n">
        <v>90.2</v>
      </c>
      <c r="H115" s="34" t="n">
        <v>98</v>
      </c>
      <c r="I115" s="67">
        <f>IF(ISNUMBER(tblY10[[#This Row],[Avg KS2]]),IFERROR(VLOOKUP(ROUND(STANDARDIZE(tblY10[[#This Row],[Avg KS2]],AVERAGE(tblY10[[Avg KS2]]),_xlfn.STDEV.P(tblY10[[Avg KS2]])),9),_Stanine,2),5),"")</f>
        <v>3</v>
      </c>
      <c r="J115" s="66" t="inlineStr">
        <is>
          <t>10S/Sc5</t>
        </is>
      </c>
      <c r="K115" s="67">
        <f>IF(tblY10[[#This Row],[Preferred Last name]]="","",COUNTIFS($N$1:$ZZ$1,"*"&amp;CHAR(10)&amp;"Stanine",$N115:$ZZ115,"&gt;=1"))</f>
        <v>4</v>
      </c>
      <c r="L115" s="68">
        <f>IFERROR(AVERAGEIF($N$1:$ZZ$1,"*"&amp;CHAR(10)&amp;"Stanine",$N115:$ZZ115),"")</f>
        <v>3.75</v>
      </c>
      <c r="M115" s="69">
        <f>IF(AND(ISNUMBER(tblY10[[#This Row],[Mean Stanine]]),ISNUMBER(tblY10[[#This Row],[Avg KS2 Band]]),ISNUMBER(SlopeY10)),tblY10[[#This Row],[Mean Stanine]]-(InterceptY10+SlopeY10*tblY10[[#This Row],[Avg KS2 Band]]),"")</f>
        <v>0.437872424041463</v>
      </c>
      <c r="N115" s="66" t="n">
        <v>11</v>
      </c>
      <c r="O115" s="67">
        <f>IF(ISNUMBER(tblY10[[#This Row],[4B01 - Cell Biology
Raw Score]]),IFERROR(VLOOKUP(ROUND(STANDARDIZE(tblY10[[#This Row],[4B01 - Cell Biology
Raw Score]],AVERAGE(tblY10[[4B01 - Cell Biology
Raw Score]]),_xlfn.STDEV.P(tblY10[[4B01 - Cell Biology
Raw Score]])),9),_Stanine,2),5),"")</f>
        <v>3</v>
      </c>
      <c r="P115" s="66" t="n">
        <v>14</v>
      </c>
      <c r="Q115" s="67">
        <f>IF(ISNUMBER(tblY10[[#This Row],[4C01 - Atomic Structure
Raw Score]]),IFERROR(VLOOKUP(ROUND(STANDARDIZE(tblY10[[#This Row],[4C01 - Atomic Structure
Raw Score]],AVERAGE(tblY10[[4C01 - Atomic Structure
Raw Score]]),_xlfn.STDEV.P(tblY10[[4C01 - Atomic Structure
Raw Score]])),9),_Stanine,2),5),"")</f>
        <v>4</v>
      </c>
      <c r="R115" s="66" t="n">
        <v>12</v>
      </c>
      <c r="S115" s="67">
        <f>IF(ISNUMBER(tblY10[[#This Row],[4P01 - Energy
Raw Score]]),IFERROR(VLOOKUP(ROUND(STANDARDIZE(tblY10[[#This Row],[4P01 - Energy
Raw Score]],AVERAGE(tblY10[[4P01 - Energy
Raw Score]]),_xlfn.STDEV.P(tblY10[[4P01 - Energy
Raw Score]])),9),_Stanine,2),5),"")</f>
        <v>4</v>
      </c>
      <c r="T115" s="66" t="n">
        <v>18</v>
      </c>
      <c r="U115" s="67">
        <f>IF(ISNUMBER(tblY10[[#This Row],[4B02 - Organisation
Raw Score]]),IFERROR(VLOOKUP(ROUND(STANDARDIZE(tblY10[[#This Row],[4B02 - Organisation
Raw Score]],AVERAGE(tblY10[[4B02 - Organisation
Raw Score]]),_xlfn.STDEV.P(tblY10[[4B02 - Organisation
Raw Score]])),9),_Stanine,2),5),"")</f>
        <v>4</v>
      </c>
      <c r="V115" s="66" t="n"/>
      <c r="W115" s="67" t="str">
        <f>IF(ISNUMBER(tblY10[[#This Row],[4C02 - Bonding
Raw Score]]),IFERROR(VLOOKUP(ROUND(STANDARDIZE(tblY10[[#This Row],[4C02 - Bonding
Raw Score]],AVERAGE(tblY10[[4C02 - Bonding
Raw Score]]),_xlfn.STDEV.P(tblY10[[4C02 - Bonding
Raw Score]])),9),_Stanine,2),5),"")</f>
        <v/>
      </c>
    </row>
    <row r="116">
      <c r="A116" s="65" t="inlineStr">
        <is>
          <t>X903312299627</t>
        </is>
      </c>
      <c r="B116" s="65" t="inlineStr">
        <is>
          <t>Davies</t>
        </is>
      </c>
      <c r="C116" s="65" t="inlineStr">
        <is>
          <t>Amelia</t>
        </is>
      </c>
      <c r="D116" s="66" t="inlineStr">
        <is>
          <t>M</t>
        </is>
      </c>
      <c r="E116" s="66" t="inlineStr">
        <is>
          <t>K</t>
        </is>
      </c>
      <c r="F116" s="66" t="inlineStr">
        <is>
          <t>Y</t>
        </is>
      </c>
      <c r="G116" s="34" t="n">
        <v>85.90000000000001</v>
      </c>
      <c r="H116" s="34" t="n">
        <v>90.5</v>
      </c>
      <c r="I116" s="67">
        <f>IF(ISNUMBER(tblY10[[#This Row],[Avg KS2]]),IFERROR(VLOOKUP(ROUND(STANDARDIZE(tblY10[[#This Row],[Avg KS2]],AVERAGE(tblY10[[Avg KS2]]),_xlfn.STDEV.P(tblY10[[Avg KS2]])),9),_Stanine,2),5),"")</f>
        <v>1</v>
      </c>
      <c r="J116" s="66" t="inlineStr">
        <is>
          <t>Science Support</t>
        </is>
      </c>
      <c r="K116" s="67">
        <f>IF(tblY10[[#This Row],[Preferred Last name]]="","",COUNTIFS($N$1:$ZZ$1,"*"&amp;CHAR(10)&amp;"Stanine",$N116:$ZZ116,"&gt;=1"))</f>
        <v>5</v>
      </c>
      <c r="L116" s="68">
        <f>IFERROR(AVERAGEIF($N$1:$ZZ$1,"*"&amp;CHAR(10)&amp;"Stanine",$N116:$ZZ116),"")</f>
        <v>1.6</v>
      </c>
      <c r="M116" s="69">
        <f>IF(AND(ISNUMBER(tblY10[[#This Row],[Mean Stanine]]),ISNUMBER(tblY10[[#This Row],[Avg KS2 Band]]),ISNUMBER(SlopeY10)),tblY10[[#This Row],[Mean Stanine]]-(InterceptY10+SlopeY10*tblY10[[#This Row],[Avg KS2 Band]]),"")</f>
        <v>-0.0841230073932118</v>
      </c>
      <c r="N116" s="66" t="n">
        <v>3</v>
      </c>
      <c r="O116" s="67">
        <f>IF(ISNUMBER(tblY10[[#This Row],[4B01 - Cell Biology
Raw Score]]),IFERROR(VLOOKUP(ROUND(STANDARDIZE(tblY10[[#This Row],[4B01 - Cell Biology
Raw Score]],AVERAGE(tblY10[[4B01 - Cell Biology
Raw Score]]),_xlfn.STDEV.P(tblY10[[4B01 - Cell Biology
Raw Score]])),9),_Stanine,2),5),"")</f>
        <v>1</v>
      </c>
      <c r="P116" s="66" t="n">
        <v>4</v>
      </c>
      <c r="Q116" s="67">
        <f>IF(ISNUMBER(tblY10[[#This Row],[4C01 - Atomic Structure
Raw Score]]),IFERROR(VLOOKUP(ROUND(STANDARDIZE(tblY10[[#This Row],[4C01 - Atomic Structure
Raw Score]],AVERAGE(tblY10[[4C01 - Atomic Structure
Raw Score]]),_xlfn.STDEV.P(tblY10[[4C01 - Atomic Structure
Raw Score]])),9),_Stanine,2),5),"")</f>
        <v>2</v>
      </c>
      <c r="R116" s="66" t="n">
        <v>3</v>
      </c>
      <c r="S116" s="67">
        <f>IF(ISNUMBER(tblY10[[#This Row],[4P01 - Energy
Raw Score]]),IFERROR(VLOOKUP(ROUND(STANDARDIZE(tblY10[[#This Row],[4P01 - Energy
Raw Score]],AVERAGE(tblY10[[4P01 - Energy
Raw Score]]),_xlfn.STDEV.P(tblY10[[4P01 - Energy
Raw Score]])),9),_Stanine,2),5),"")</f>
        <v>2</v>
      </c>
      <c r="T116" s="66" t="n">
        <v>7</v>
      </c>
      <c r="U116" s="67">
        <f>IF(ISNUMBER(tblY10[[#This Row],[4B02 - Organisation
Raw Score]]),IFERROR(VLOOKUP(ROUND(STANDARDIZE(tblY10[[#This Row],[4B02 - Organisation
Raw Score]],AVERAGE(tblY10[[4B02 - Organisation
Raw Score]]),_xlfn.STDEV.P(tblY10[[4B02 - Organisation
Raw Score]])),9),_Stanine,2),5),"")</f>
        <v>1</v>
      </c>
      <c r="V116" s="66" t="n">
        <v>6</v>
      </c>
      <c r="W116" s="67">
        <f>IF(ISNUMBER(tblY10[[#This Row],[4C02 - Bonding
Raw Score]]),IFERROR(VLOOKUP(ROUND(STANDARDIZE(tblY10[[#This Row],[4C02 - Bonding
Raw Score]],AVERAGE(tblY10[[4C02 - Bonding
Raw Score]]),_xlfn.STDEV.P(tblY10[[4C02 - Bonding
Raw Score]])),9),_Stanine,2),5),"")</f>
        <v>2</v>
      </c>
    </row>
    <row r="117">
      <c r="A117" s="65" t="inlineStr">
        <is>
          <t>X900742010666</t>
        </is>
      </c>
      <c r="B117" s="65" t="inlineStr">
        <is>
          <t>Mistry</t>
        </is>
      </c>
      <c r="C117" s="65" t="inlineStr">
        <is>
          <t>Amara</t>
        </is>
      </c>
      <c r="D117" s="66" t="inlineStr">
        <is>
          <t>M</t>
        </is>
      </c>
      <c r="E117" s="66" t="n"/>
      <c r="F117" s="66" t="inlineStr">
        <is>
          <t>Y</t>
        </is>
      </c>
      <c r="G117" s="34" t="n">
        <v>95.2</v>
      </c>
      <c r="H117" s="34" t="n">
        <v>95</v>
      </c>
      <c r="I117" s="67">
        <f>IF(ISNUMBER(tblY10[[#This Row],[Avg KS2]]),IFERROR(VLOOKUP(ROUND(STANDARDIZE(tblY10[[#This Row],[Avg KS2]],AVERAGE(tblY10[[Avg KS2]]),_xlfn.STDEV.P(tblY10[[Avg KS2]])),9),_Stanine,2),5),"")</f>
        <v>2</v>
      </c>
      <c r="J117" s="66" t="inlineStr">
        <is>
          <t>Science Support</t>
        </is>
      </c>
      <c r="K117" s="67">
        <f>IF(tblY10[[#This Row],[Preferred Last name]]="","",COUNTIFS($N$1:$ZZ$1,"*"&amp;CHAR(10)&amp;"Stanine",$N117:$ZZ117,"&gt;=1"))</f>
        <v>5</v>
      </c>
      <c r="L117" s="68">
        <f>IFERROR(AVERAGEIF($N$1:$ZZ$1,"*"&amp;CHAR(10)&amp;"Stanine",$N117:$ZZ117),"")</f>
        <v>1</v>
      </c>
      <c r="M117" s="69">
        <f>IF(AND(ISNUMBER(tblY10[[#This Row],[Mean Stanine]]),ISNUMBER(tblY10[[#This Row],[Avg KS2 Band]]),ISNUMBER(SlopeY10)),tblY10[[#This Row],[Mean Stanine]]-(InterceptY10+SlopeY10*tblY10[[#This Row],[Avg KS2 Band]]),"")</f>
        <v>-1.49812529167587</v>
      </c>
      <c r="N117" s="66" t="n">
        <v>2</v>
      </c>
      <c r="O117" s="67">
        <f>IF(ISNUMBER(tblY10[[#This Row],[4B01 - Cell Biology
Raw Score]]),IFERROR(VLOOKUP(ROUND(STANDARDIZE(tblY10[[#This Row],[4B01 - Cell Biology
Raw Score]],AVERAGE(tblY10[[4B01 - Cell Biology
Raw Score]]),_xlfn.STDEV.P(tblY10[[4B01 - Cell Biology
Raw Score]])),9),_Stanine,2),5),"")</f>
        <v>1</v>
      </c>
      <c r="P117" s="66" t="n">
        <v>2</v>
      </c>
      <c r="Q117" s="67">
        <f>IF(ISNUMBER(tblY10[[#This Row],[4C01 - Atomic Structure
Raw Score]]),IFERROR(VLOOKUP(ROUND(STANDARDIZE(tblY10[[#This Row],[4C01 - Atomic Structure
Raw Score]],AVERAGE(tblY10[[4C01 - Atomic Structure
Raw Score]]),_xlfn.STDEV.P(tblY10[[4C01 - Atomic Structure
Raw Score]])),9),_Stanine,2),5),"")</f>
        <v>1</v>
      </c>
      <c r="R117" s="66" t="n">
        <v>1</v>
      </c>
      <c r="S117" s="67">
        <f>IF(ISNUMBER(tblY10[[#This Row],[4P01 - Energy
Raw Score]]),IFERROR(VLOOKUP(ROUND(STANDARDIZE(tblY10[[#This Row],[4P01 - Energy
Raw Score]],AVERAGE(tblY10[[4P01 - Energy
Raw Score]]),_xlfn.STDEV.P(tblY10[[4P01 - Energy
Raw Score]])),9),_Stanine,2),5),"")</f>
        <v>1</v>
      </c>
      <c r="T117" s="66" t="n">
        <v>2</v>
      </c>
      <c r="U117" s="67">
        <f>IF(ISNUMBER(tblY10[[#This Row],[4B02 - Organisation
Raw Score]]),IFERROR(VLOOKUP(ROUND(STANDARDIZE(tblY10[[#This Row],[4B02 - Organisation
Raw Score]],AVERAGE(tblY10[[4B02 - Organisation
Raw Score]]),_xlfn.STDEV.P(tblY10[[4B02 - Organisation
Raw Score]])),9),_Stanine,2),5),"")</f>
        <v>1</v>
      </c>
      <c r="V117" s="66" t="n">
        <v>3</v>
      </c>
      <c r="W117" s="67">
        <f>IF(ISNUMBER(tblY10[[#This Row],[4C02 - Bonding
Raw Score]]),IFERROR(VLOOKUP(ROUND(STANDARDIZE(tblY10[[#This Row],[4C02 - Bonding
Raw Score]],AVERAGE(tblY10[[4C02 - Bonding
Raw Score]]),_xlfn.STDEV.P(tblY10[[4C02 - Bonding
Raw Score]])),9),_Stanine,2),5),"")</f>
        <v>1</v>
      </c>
    </row>
    <row r="118">
      <c r="A118" s="65" t="inlineStr">
        <is>
          <t>X900029488817</t>
        </is>
      </c>
      <c r="B118" s="65" t="inlineStr">
        <is>
          <t>Mistry</t>
        </is>
      </c>
      <c r="C118" s="65" t="inlineStr">
        <is>
          <t>Theo</t>
        </is>
      </c>
      <c r="D118" s="66" t="inlineStr">
        <is>
          <t>F</t>
        </is>
      </c>
      <c r="E118" s="66" t="inlineStr">
        <is>
          <t>N</t>
        </is>
      </c>
      <c r="F118" s="66" t="inlineStr">
        <is>
          <t>N</t>
        </is>
      </c>
      <c r="G118" s="34" t="n">
        <v>96.8</v>
      </c>
      <c r="H118" s="34" t="n">
        <v>98</v>
      </c>
      <c r="I118" s="67">
        <f>IF(ISNUMBER(tblY10[[#This Row],[Avg KS2]]),IFERROR(VLOOKUP(ROUND(STANDARDIZE(tblY10[[#This Row],[Avg KS2]],AVERAGE(tblY10[[Avg KS2]]),_xlfn.STDEV.P(tblY10[[Avg KS2]])),9),_Stanine,2),5),"")</f>
        <v>3</v>
      </c>
      <c r="J118" s="66" t="inlineStr">
        <is>
          <t>Science Support</t>
        </is>
      </c>
      <c r="K118" s="67">
        <f>IF(tblY10[[#This Row],[Preferred Last name]]="","",COUNTIFS($N$1:$ZZ$1,"*"&amp;CHAR(10)&amp;"Stanine",$N118:$ZZ118,"&gt;=1"))</f>
        <v>5</v>
      </c>
      <c r="L118" s="68">
        <f>IFERROR(AVERAGEIF($N$1:$ZZ$1,"*"&amp;CHAR(10)&amp;"Stanine",$N118:$ZZ118),"")</f>
        <v>4.8</v>
      </c>
      <c r="M118" s="69">
        <f>IF(AND(ISNUMBER(tblY10[[#This Row],[Mean Stanine]]),ISNUMBER(tblY10[[#This Row],[Avg KS2 Band]]),ISNUMBER(SlopeY10)),tblY10[[#This Row],[Mean Stanine]]-(InterceptY10+SlopeY10*tblY10[[#This Row],[Avg KS2 Band]]),"")</f>
        <v>1.48787242404146</v>
      </c>
      <c r="N118" s="66" t="n">
        <v>20</v>
      </c>
      <c r="O118" s="67">
        <f>IF(ISNUMBER(tblY10[[#This Row],[4B01 - Cell Biology
Raw Score]]),IFERROR(VLOOKUP(ROUND(STANDARDIZE(tblY10[[#This Row],[4B01 - Cell Biology
Raw Score]],AVERAGE(tblY10[[4B01 - Cell Biology
Raw Score]]),_xlfn.STDEV.P(tblY10[[4B01 - Cell Biology
Raw Score]])),9),_Stanine,2),5),"")</f>
        <v>5</v>
      </c>
      <c r="P118" s="66" t="n">
        <v>17</v>
      </c>
      <c r="Q118" s="67">
        <f>IF(ISNUMBER(tblY10[[#This Row],[4C01 - Atomic Structure
Raw Score]]),IFERROR(VLOOKUP(ROUND(STANDARDIZE(tblY10[[#This Row],[4C01 - Atomic Structure
Raw Score]],AVERAGE(tblY10[[4C01 - Atomic Structure
Raw Score]]),_xlfn.STDEV.P(tblY10[[4C01 - Atomic Structure
Raw Score]])),9),_Stanine,2),5),"")</f>
        <v>5</v>
      </c>
      <c r="R118" s="66" t="n">
        <v>16</v>
      </c>
      <c r="S118" s="67">
        <f>IF(ISNUMBER(tblY10[[#This Row],[4P01 - Energy
Raw Score]]),IFERROR(VLOOKUP(ROUND(STANDARDIZE(tblY10[[#This Row],[4P01 - Energy
Raw Score]],AVERAGE(tblY10[[4P01 - Energy
Raw Score]]),_xlfn.STDEV.P(tblY10[[4P01 - Energy
Raw Score]])),9),_Stanine,2),5),"")</f>
        <v>5</v>
      </c>
      <c r="T118" s="66" t="n">
        <v>17</v>
      </c>
      <c r="U118" s="67">
        <f>IF(ISNUMBER(tblY10[[#This Row],[4B02 - Organisation
Raw Score]]),IFERROR(VLOOKUP(ROUND(STANDARDIZE(tblY10[[#This Row],[4B02 - Organisation
Raw Score]],AVERAGE(tblY10[[4B02 - Organisation
Raw Score]]),_xlfn.STDEV.P(tblY10[[4B02 - Organisation
Raw Score]])),9),_Stanine,2),5),"")</f>
        <v>4</v>
      </c>
      <c r="V118" s="66" t="n">
        <v>21</v>
      </c>
      <c r="W118" s="67">
        <f>IF(ISNUMBER(tblY10[[#This Row],[4C02 - Bonding
Raw Score]]),IFERROR(VLOOKUP(ROUND(STANDARDIZE(tblY10[[#This Row],[4C02 - Bonding
Raw Score]],AVERAGE(tblY10[[4C02 - Bonding
Raw Score]]),_xlfn.STDEV.P(tblY10[[4C02 - Bonding
Raw Score]])),9),_Stanine,2),5),"")</f>
        <v>5</v>
      </c>
    </row>
  </sheetData>
  <conditionalFormatting sqref="I2:I118">
    <cfRule type="iconSet" priority="1">
      <iconSet iconSet="3TrafficLights1">
        <cfvo type="percent" val="0"/>
        <cfvo type="num" val="4"/>
        <cfvo type="num" val="7"/>
      </iconSet>
    </cfRule>
  </conditionalFormatting>
  <conditionalFormatting sqref="L2:L118">
    <cfRule type="iconSet" priority="2">
      <iconSet iconSet="3TrafficLights1">
        <cfvo type="percent" val="0"/>
        <cfvo type="num" val="3.5"/>
        <cfvo type="num" val="6.5"/>
      </iconSet>
    </cfRule>
  </conditionalFormatting>
  <conditionalFormatting sqref="M2:M118">
    <cfRule type="iconSet" priority="3">
      <iconSet iconSet="3Arrows">
        <cfvo type="percent" val="0"/>
        <cfvo type="num" val="-0.99"/>
        <cfvo type="num" val="1"/>
      </iconSet>
    </cfRule>
  </conditionalFormatting>
  <conditionalFormatting sqref="O2:O118">
    <cfRule type="iconSet" priority="4">
      <iconSet iconSet="3TrafficLights1">
        <cfvo type="percent" val="0"/>
        <cfvo type="num" val="4"/>
        <cfvo type="num" val="7"/>
      </iconSet>
    </cfRule>
  </conditionalFormatting>
  <conditionalFormatting sqref="Q2:Q118">
    <cfRule type="iconSet" priority="5">
      <iconSet iconSet="3TrafficLights1">
        <cfvo type="percent" val="0"/>
        <cfvo type="num" val="4"/>
        <cfvo type="num" val="7"/>
      </iconSet>
    </cfRule>
  </conditionalFormatting>
  <conditionalFormatting sqref="S2:S118">
    <cfRule type="iconSet" priority="6">
      <iconSet iconSet="3TrafficLights1">
        <cfvo type="percent" val="0"/>
        <cfvo type="num" val="4"/>
        <cfvo type="num" val="7"/>
      </iconSet>
    </cfRule>
  </conditionalFormatting>
  <conditionalFormatting sqref="U2:U118">
    <cfRule type="iconSet" priority="7">
      <iconSet iconSet="3TrafficLights1">
        <cfvo type="percent" val="0"/>
        <cfvo type="num" val="4"/>
        <cfvo type="num" val="7"/>
      </iconSet>
    </cfRule>
  </conditionalFormatting>
  <conditionalFormatting sqref="W2:W118">
    <cfRule type="iconSet" priority="8">
      <iconSet iconSet="3TrafficLights1">
        <cfvo type="percent" val="0"/>
        <cfvo type="num" val="4"/>
        <cfvo type="num" val="7"/>
      </iconSet>
    </cfRule>
  </conditionalFormatting>
  <dataValidations count="5">
    <dataValidation sqref="N2:N118"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18" showDropDown="0" showInputMessage="0" showErrorMessage="1" allowBlank="1" errorTitle="Score out of range" error="Type a mark from 0 to 36, or A for absent. Leave the cell blank if the student has not sat the test yet." type="custom">
      <formula1>OR(UPPER(P2)="A",AND(ISNUMBER(P2),P2&gt;=0,P2&lt;=36))</formula1>
    </dataValidation>
    <dataValidation sqref="R2:R118" showDropDown="0" showInputMessage="0" showErrorMessage="1" allowBlank="1" errorTitle="Score out of range" error="Type a mark from 0 to 35, or A for absent. Leave the cell blank if the student has not sat the test yet." type="custom">
      <formula1>OR(UPPER(R2)="A",AND(ISNUMBER(R2),R2&gt;=0,R2&lt;=35))</formula1>
    </dataValidation>
    <dataValidation sqref="T2:T118" showDropDown="0" showInputMessage="0" showErrorMessage="1" allowBlank="1" errorTitle="Score out of range" error="Type a mark from 0 to 40, or A for absent. Leave the cell blank if the student has not sat the test yet." type="custom">
      <formula1>OR(UPPER(T2)="A",AND(ISNUMBER(T2),T2&gt;=0,T2&lt;=40))</formula1>
    </dataValidation>
    <dataValidation sqref="V2:V118" showDropDown="0" showInputMessage="0" showErrorMessage="1" allowBlank="1" errorTitle="Score out of range" error="Type a mark from 0 to 38, or A for absent. Leave the cell blank if the student has not sat the test yet." type="custom">
      <formula1>OR(UPPER(V2)="A",AND(ISNUMBER(V2),V2&gt;=0,V2&lt;=38))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9.xml><?xml version="1.0" encoding="utf-8"?>
<worksheet xmlns="http://schemas.openxmlformats.org/spreadsheetml/2006/main">
  <sheetPr codeName="shY11">
    <outlinePr summaryBelow="1" summaryRight="1"/>
    <pageSetUpPr/>
  </sheetPr>
  <dimension ref="A1:Y107"/>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 width="6.7" customWidth="1" min="24" max="24"/>
    <col width="6.7" customWidth="1" min="25" max="25"/>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4B05 - Homeostasis
Raw Score</t>
        </is>
      </c>
      <c r="O1" s="63" t="inlineStr">
        <is>
          <t>4B05 - Homeostasis
Stanine</t>
        </is>
      </c>
      <c r="P1" s="64" t="inlineStr">
        <is>
          <t>4C09 - Organic Chemistry
Raw Score</t>
        </is>
      </c>
      <c r="Q1" s="64" t="inlineStr">
        <is>
          <t>4C09 - Organic Chemistry
Stanine</t>
        </is>
      </c>
      <c r="R1" s="63" t="inlineStr">
        <is>
          <t>4P06 - Waves
Raw Score</t>
        </is>
      </c>
      <c r="S1" s="63" t="inlineStr">
        <is>
          <t>4P06 - Waves
Stanine</t>
        </is>
      </c>
      <c r="T1" s="64" t="inlineStr">
        <is>
          <t>4B06 - Inheritance
Raw Score</t>
        </is>
      </c>
      <c r="U1" s="64" t="inlineStr">
        <is>
          <t>4B06 - Inheritance
Stanine</t>
        </is>
      </c>
      <c r="V1" s="63" t="inlineStr">
        <is>
          <t>4C10 - Chemical Analysis
Raw Score</t>
        </is>
      </c>
      <c r="W1" s="63" t="inlineStr">
        <is>
          <t>4C10 - Chemical Analysis
Stanine</t>
        </is>
      </c>
      <c r="X1" s="64" t="inlineStr">
        <is>
          <t>4P07 - Magnetism
Raw Score</t>
        </is>
      </c>
      <c r="Y1" s="64" t="inlineStr">
        <is>
          <t>4P07 - Magnetism
Stanine</t>
        </is>
      </c>
    </row>
    <row r="2">
      <c r="A2" s="65" t="inlineStr">
        <is>
          <t>X906171632213</t>
        </is>
      </c>
      <c r="B2" s="65" t="inlineStr">
        <is>
          <t>Begum</t>
        </is>
      </c>
      <c r="C2" s="65" t="inlineStr">
        <is>
          <t>Maisie</t>
        </is>
      </c>
      <c r="D2" s="66" t="inlineStr">
        <is>
          <t>F</t>
        </is>
      </c>
      <c r="E2" s="66" t="inlineStr">
        <is>
          <t>E</t>
        </is>
      </c>
      <c r="F2" s="66" t="inlineStr">
        <is>
          <t>N</t>
        </is>
      </c>
      <c r="G2" s="34" t="n">
        <v>98.40000000000001</v>
      </c>
      <c r="H2" s="34" t="n">
        <v>103</v>
      </c>
      <c r="I2" s="67">
        <f>IF(ISNUMBER(tblY11[[#This Row],[Avg KS2]]),IFERROR(VLOOKUP(ROUND(STANDARDIZE(tblY11[[#This Row],[Avg KS2]],AVERAGE(tblY11[[Avg KS2]]),_xlfn.STDEV.P(tblY11[[Avg KS2]])),9),_Stanine,2),5),"")</f>
        <v>4</v>
      </c>
      <c r="J2" s="66" t="inlineStr">
        <is>
          <t>11S/Sc1</t>
        </is>
      </c>
      <c r="K2" s="67">
        <f>IF(tblY11[[#This Row],[Preferred Last name]]="","",COUNTIFS($N$1:$ZZ$1,"*"&amp;CHAR(10)&amp;"Stanine",$N2:$ZZ2,"&gt;=1"))</f>
        <v>6</v>
      </c>
      <c r="L2" s="68">
        <f>IFERROR(AVERAGEIF($N$1:$ZZ$1,"*"&amp;CHAR(10)&amp;"Stanine",$N2:$ZZ2),"")</f>
        <v>4.66666666666667</v>
      </c>
      <c r="M2" s="69">
        <f>IF(AND(ISNUMBER(tblY11[[#This Row],[Mean Stanine]]),ISNUMBER(tblY11[[#This Row],[Avg KS2 Band]]),ISNUMBER(SlopeY11)),tblY11[[#This Row],[Mean Stanine]]-(InterceptY11+SlopeY11*tblY11[[#This Row],[Avg KS2 Band]]),"")</f>
        <v>0.462831890331891</v>
      </c>
      <c r="N2" s="66" t="n">
        <v>19</v>
      </c>
      <c r="O2" s="67">
        <f>IF(ISNUMBER(tblY11[[#This Row],[4B05 - Homeostasis
Raw Score]]),IFERROR(VLOOKUP(ROUND(STANDARDIZE(tblY11[[#This Row],[4B05 - Homeostasis
Raw Score]],AVERAGE(tblY11[[4B05 - Homeostasis
Raw Score]]),_xlfn.STDEV.P(tblY11[[4B05 - Homeostasis
Raw Score]])),9),_Stanine,2),5),"")</f>
        <v>5</v>
      </c>
      <c r="P2" s="66" t="n">
        <v>13</v>
      </c>
      <c r="Q2" s="67">
        <f>IF(ISNUMBER(tblY11[[#This Row],[4C09 - Organic Chemistry
Raw Score]]),IFERROR(VLOOKUP(ROUND(STANDARDIZE(tblY11[[#This Row],[4C09 - Organic Chemistry
Raw Score]],AVERAGE(tblY11[[4C09 - Organic Chemistry
Raw Score]]),_xlfn.STDEV.P(tblY11[[4C09 - Organic Chemistry
Raw Score]])),9),_Stanine,2),5),"")</f>
        <v>4</v>
      </c>
      <c r="R2" s="66" t="n">
        <v>17</v>
      </c>
      <c r="S2" s="67">
        <f>IF(ISNUMBER(tblY11[[#This Row],[4P06 - Waves
Raw Score]]),IFERROR(VLOOKUP(ROUND(STANDARDIZE(tblY11[[#This Row],[4P06 - Waves
Raw Score]],AVERAGE(tblY11[[4P06 - Waves
Raw Score]]),_xlfn.STDEV.P(tblY11[[4P06 - Waves
Raw Score]])),9),_Stanine,2),5),"")</f>
        <v>4</v>
      </c>
      <c r="T2" s="66" t="n">
        <v>20</v>
      </c>
      <c r="U2" s="67">
        <f>IF(ISNUMBER(tblY11[[#This Row],[4B06 - Inheritance
Raw Score]]),IFERROR(VLOOKUP(ROUND(STANDARDIZE(tblY11[[#This Row],[4B06 - Inheritance
Raw Score]],AVERAGE(tblY11[[4B06 - Inheritance
Raw Score]]),_xlfn.STDEV.P(tblY11[[4B06 - Inheritance
Raw Score]])),9),_Stanine,2),5),"")</f>
        <v>5</v>
      </c>
      <c r="V2" s="66" t="n">
        <v>14</v>
      </c>
      <c r="W2" s="67">
        <f>IF(ISNUMBER(tblY11[[#This Row],[4C10 - Chemical Analysis
Raw Score]]),IFERROR(VLOOKUP(ROUND(STANDARDIZE(tblY11[[#This Row],[4C10 - Chemical Analysis
Raw Score]],AVERAGE(tblY11[[4C10 - Chemical Analysis
Raw Score]]),_xlfn.STDEV.P(tblY11[[4C10 - Chemical Analysis
Raw Score]])),9),_Stanine,2),5),"")</f>
        <v>5</v>
      </c>
      <c r="X2" s="66" t="n">
        <v>15</v>
      </c>
      <c r="Y2" s="67">
        <f>IF(ISNUMBER(tblY11[[#This Row],[4P07 - Magnetism
Raw Score]]),IFERROR(VLOOKUP(ROUND(STANDARDIZE(tblY11[[#This Row],[4P07 - Magnetism
Raw Score]],AVERAGE(tblY11[[4P07 - Magnetism
Raw Score]]),_xlfn.STDEV.P(tblY11[[4P07 - Magnetism
Raw Score]])),9),_Stanine,2),5),"")</f>
        <v>5</v>
      </c>
    </row>
    <row r="3">
      <c r="A3" s="65" t="inlineStr">
        <is>
          <t>X903228599986</t>
        </is>
      </c>
      <c r="B3" s="65" t="inlineStr">
        <is>
          <t>Begum</t>
        </is>
      </c>
      <c r="C3" s="65" t="inlineStr">
        <is>
          <t>Rosie</t>
        </is>
      </c>
      <c r="D3" s="66" t="inlineStr">
        <is>
          <t>F</t>
        </is>
      </c>
      <c r="E3" s="66" t="inlineStr">
        <is>
          <t>N</t>
        </is>
      </c>
      <c r="F3" s="66" t="inlineStr">
        <is>
          <t>Y</t>
        </is>
      </c>
      <c r="G3" s="34" t="n">
        <v>95</v>
      </c>
      <c r="H3" s="34" t="n">
        <v>105</v>
      </c>
      <c r="I3" s="67">
        <f>IF(ISNUMBER(tblY11[[#This Row],[Avg KS2]]),IFERROR(VLOOKUP(ROUND(STANDARDIZE(tblY11[[#This Row],[Avg KS2]],AVERAGE(tblY11[[Avg KS2]]),_xlfn.STDEV.P(tblY11[[Avg KS2]])),9),_Stanine,2),5),"")</f>
        <v>5</v>
      </c>
      <c r="J3" s="66" t="inlineStr">
        <is>
          <t>11S/Sc1</t>
        </is>
      </c>
      <c r="K3" s="67">
        <f>IF(tblY11[[#This Row],[Preferred Last name]]="","",COUNTIFS($N$1:$ZZ$1,"*"&amp;CHAR(10)&amp;"Stanine",$N3:$ZZ3,"&gt;=1"))</f>
        <v>6</v>
      </c>
      <c r="L3" s="68">
        <f>IFERROR(AVERAGEIF($N$1:$ZZ$1,"*"&amp;CHAR(10)&amp;"Stanine",$N3:$ZZ3),"")</f>
        <v>4.5</v>
      </c>
      <c r="M3" s="69">
        <f>IF(AND(ISNUMBER(tblY11[[#This Row],[Mean Stanine]]),ISNUMBER(tblY11[[#This Row],[Avg KS2 Band]]),ISNUMBER(SlopeY11)),tblY11[[#This Row],[Mean Stanine]]-(InterceptY11+SlopeY11*tblY11[[#This Row],[Avg KS2 Band]]),"")</f>
        <v>-0.452698412698412</v>
      </c>
      <c r="N3" s="66" t="n">
        <v>20</v>
      </c>
      <c r="O3" s="67">
        <f>IF(ISNUMBER(tblY11[[#This Row],[4B05 - Homeostasis
Raw Score]]),IFERROR(VLOOKUP(ROUND(STANDARDIZE(tblY11[[#This Row],[4B05 - Homeostasis
Raw Score]],AVERAGE(tblY11[[4B05 - Homeostasis
Raw Score]]),_xlfn.STDEV.P(tblY11[[4B05 - Homeostasis
Raw Score]])),9),_Stanine,2),5),"")</f>
        <v>5</v>
      </c>
      <c r="P3" s="66" t="n">
        <v>13</v>
      </c>
      <c r="Q3" s="67">
        <f>IF(ISNUMBER(tblY11[[#This Row],[4C09 - Organic Chemistry
Raw Score]]),IFERROR(VLOOKUP(ROUND(STANDARDIZE(tblY11[[#This Row],[4C09 - Organic Chemistry
Raw Score]],AVERAGE(tblY11[[4C09 - Organic Chemistry
Raw Score]]),_xlfn.STDEV.P(tblY11[[4C09 - Organic Chemistry
Raw Score]])),9),_Stanine,2),5),"")</f>
        <v>4</v>
      </c>
      <c r="R3" s="66" t="n">
        <v>20</v>
      </c>
      <c r="S3" s="67">
        <f>IF(ISNUMBER(tblY11[[#This Row],[4P06 - Waves
Raw Score]]),IFERROR(VLOOKUP(ROUND(STANDARDIZE(tblY11[[#This Row],[4P06 - Waves
Raw Score]],AVERAGE(tblY11[[4P06 - Waves
Raw Score]]),_xlfn.STDEV.P(tblY11[[4P06 - Waves
Raw Score]])),9),_Stanine,2),5),"")</f>
        <v>5</v>
      </c>
      <c r="T3" s="66" t="n">
        <v>19</v>
      </c>
      <c r="U3" s="67">
        <f>IF(ISNUMBER(tblY11[[#This Row],[4B06 - Inheritance
Raw Score]]),IFERROR(VLOOKUP(ROUND(STANDARDIZE(tblY11[[#This Row],[4B06 - Inheritance
Raw Score]],AVERAGE(tblY11[[4B06 - Inheritance
Raw Score]]),_xlfn.STDEV.P(tblY11[[4B06 - Inheritance
Raw Score]])),9),_Stanine,2),5),"")</f>
        <v>5</v>
      </c>
      <c r="V3" s="66" t="n">
        <v>11</v>
      </c>
      <c r="W3" s="67">
        <f>IF(ISNUMBER(tblY11[[#This Row],[4C10 - Chemical Analysis
Raw Score]]),IFERROR(VLOOKUP(ROUND(STANDARDIZE(tblY11[[#This Row],[4C10 - Chemical Analysis
Raw Score]],AVERAGE(tblY11[[4C10 - Chemical Analysis
Raw Score]]),_xlfn.STDEV.P(tblY11[[4C10 - Chemical Analysis
Raw Score]])),9),_Stanine,2),5),"")</f>
        <v>4</v>
      </c>
      <c r="X3" s="66" t="n">
        <v>13</v>
      </c>
      <c r="Y3" s="67">
        <f>IF(ISNUMBER(tblY11[[#This Row],[4P07 - Magnetism
Raw Score]]),IFERROR(VLOOKUP(ROUND(STANDARDIZE(tblY11[[#This Row],[4P07 - Magnetism
Raw Score]],AVERAGE(tblY11[[4P07 - Magnetism
Raw Score]]),_xlfn.STDEV.P(tblY11[[4P07 - Magnetism
Raw Score]])),9),_Stanine,2),5),"")</f>
        <v>4</v>
      </c>
    </row>
    <row r="4">
      <c r="A4" s="65" t="inlineStr">
        <is>
          <t>X905876831829</t>
        </is>
      </c>
      <c r="B4" s="65" t="inlineStr">
        <is>
          <t>Bennett</t>
        </is>
      </c>
      <c r="C4" s="65" t="inlineStr">
        <is>
          <t>George</t>
        </is>
      </c>
      <c r="D4" s="66" t="inlineStr">
        <is>
          <t>M</t>
        </is>
      </c>
      <c r="E4" s="66" t="n"/>
      <c r="F4" s="66" t="inlineStr">
        <is>
          <t>Y</t>
        </is>
      </c>
      <c r="G4" s="34" t="n">
        <v>84.59999999999999</v>
      </c>
      <c r="H4" s="34" t="n">
        <v>110</v>
      </c>
      <c r="I4" s="67">
        <f>IF(ISNUMBER(tblY11[[#This Row],[Avg KS2]]),IFERROR(VLOOKUP(ROUND(STANDARDIZE(tblY11[[#This Row],[Avg KS2]],AVERAGE(tblY11[[Avg KS2]]),_xlfn.STDEV.P(tblY11[[Avg KS2]])),9),_Stanine,2),5),"")</f>
        <v>7</v>
      </c>
      <c r="J4" s="66" t="inlineStr">
        <is>
          <t>11S/Sc1</t>
        </is>
      </c>
      <c r="K4" s="67">
        <f>IF(tblY11[[#This Row],[Preferred Last name]]="","",COUNTIFS($N$1:$ZZ$1,"*"&amp;CHAR(10)&amp;"Stanine",$N4:$ZZ4,"&gt;=1"))</f>
        <v>6</v>
      </c>
      <c r="L4" s="68">
        <f>IFERROR(AVERAGEIF($N$1:$ZZ$1,"*"&amp;CHAR(10)&amp;"Stanine",$N4:$ZZ4),"")</f>
        <v>6.33333333333333</v>
      </c>
      <c r="M4" s="69">
        <f>IF(AND(ISNUMBER(tblY11[[#This Row],[Mean Stanine]]),ISNUMBER(tblY11[[#This Row],[Avg KS2 Band]]),ISNUMBER(SlopeY11)),tblY11[[#This Row],[Mean Stanine]]-(InterceptY11+SlopeY11*tblY11[[#This Row],[Avg KS2 Band]]),"")</f>
        <v>-0.117092352092352</v>
      </c>
      <c r="N4" s="66" t="n">
        <v>30</v>
      </c>
      <c r="O4" s="67">
        <f>IF(ISNUMBER(tblY11[[#This Row],[4B05 - Homeostasis
Raw Score]]),IFERROR(VLOOKUP(ROUND(STANDARDIZE(tblY11[[#This Row],[4B05 - Homeostasis
Raw Score]],AVERAGE(tblY11[[4B05 - Homeostasis
Raw Score]]),_xlfn.STDEV.P(tblY11[[4B05 - Homeostasis
Raw Score]])),9),_Stanine,2),5),"")</f>
        <v>7</v>
      </c>
      <c r="P4" s="66" t="n">
        <v>17</v>
      </c>
      <c r="Q4" s="67">
        <f>IF(ISNUMBER(tblY11[[#This Row],[4C09 - Organic Chemistry
Raw Score]]),IFERROR(VLOOKUP(ROUND(STANDARDIZE(tblY11[[#This Row],[4C09 - Organic Chemistry
Raw Score]],AVERAGE(tblY11[[4C09 - Organic Chemistry
Raw Score]]),_xlfn.STDEV.P(tblY11[[4C09 - Organic Chemistry
Raw Score]])),9),_Stanine,2),5),"")</f>
        <v>5</v>
      </c>
      <c r="R4" s="66" t="n">
        <v>31</v>
      </c>
      <c r="S4" s="67">
        <f>IF(ISNUMBER(tblY11[[#This Row],[4P06 - Waves
Raw Score]]),IFERROR(VLOOKUP(ROUND(STANDARDIZE(tblY11[[#This Row],[4P06 - Waves
Raw Score]],AVERAGE(tblY11[[4P06 - Waves
Raw Score]]),_xlfn.STDEV.P(tblY11[[4P06 - Waves
Raw Score]])),9),_Stanine,2),5),"")</f>
        <v>7</v>
      </c>
      <c r="T4" s="66" t="n">
        <v>25</v>
      </c>
      <c r="U4" s="67">
        <f>IF(ISNUMBER(tblY11[[#This Row],[4B06 - Inheritance
Raw Score]]),IFERROR(VLOOKUP(ROUND(STANDARDIZE(tblY11[[#This Row],[4B06 - Inheritance
Raw Score]],AVERAGE(tblY11[[4B06 - Inheritance
Raw Score]]),_xlfn.STDEV.P(tblY11[[4B06 - Inheritance
Raw Score]])),9),_Stanine,2),5),"")</f>
        <v>6</v>
      </c>
      <c r="V4" s="66" t="n">
        <v>21</v>
      </c>
      <c r="W4" s="67">
        <f>IF(ISNUMBER(tblY11[[#This Row],[4C10 - Chemical Analysis
Raw Score]]),IFERROR(VLOOKUP(ROUND(STANDARDIZE(tblY11[[#This Row],[4C10 - Chemical Analysis
Raw Score]],AVERAGE(tblY11[[4C10 - Chemical Analysis
Raw Score]]),_xlfn.STDEV.P(tblY11[[4C10 - Chemical Analysis
Raw Score]])),9),_Stanine,2),5),"")</f>
        <v>7</v>
      </c>
      <c r="X4" s="66" t="n">
        <v>21</v>
      </c>
      <c r="Y4" s="67">
        <f>IF(ISNUMBER(tblY11[[#This Row],[4P07 - Magnetism
Raw Score]]),IFERROR(VLOOKUP(ROUND(STANDARDIZE(tblY11[[#This Row],[4P07 - Magnetism
Raw Score]],AVERAGE(tblY11[[4P07 - Magnetism
Raw Score]]),_xlfn.STDEV.P(tblY11[[4P07 - Magnetism
Raw Score]])),9),_Stanine,2),5),"")</f>
        <v>6</v>
      </c>
    </row>
    <row r="5">
      <c r="A5" s="65" t="inlineStr">
        <is>
          <t>X906891673493</t>
        </is>
      </c>
      <c r="B5" s="65" t="inlineStr">
        <is>
          <t>Clarke</t>
        </is>
      </c>
      <c r="C5" s="65" t="inlineStr">
        <is>
          <t>Niamh</t>
        </is>
      </c>
      <c r="D5" s="66" t="inlineStr">
        <is>
          <t>M</t>
        </is>
      </c>
      <c r="E5" s="66" t="inlineStr">
        <is>
          <t>N</t>
        </is>
      </c>
      <c r="F5" s="66" t="inlineStr">
        <is>
          <t>Y</t>
        </is>
      </c>
      <c r="G5" s="34" t="n">
        <v>90.5</v>
      </c>
      <c r="H5" s="34" t="n">
        <v>114.5</v>
      </c>
      <c r="I5" s="67">
        <f>IF(ISNUMBER(tblY11[[#This Row],[Avg KS2]]),IFERROR(VLOOKUP(ROUND(STANDARDIZE(tblY11[[#This Row],[Avg KS2]],AVERAGE(tblY11[[Avg KS2]]),_xlfn.STDEV.P(tblY11[[Avg KS2]])),9),_Stanine,2),5),"")</f>
        <v>8</v>
      </c>
      <c r="J5" s="66" t="inlineStr">
        <is>
          <t>11S/Sc1</t>
        </is>
      </c>
      <c r="K5" s="67">
        <f>IF(tblY11[[#This Row],[Preferred Last name]]="","",COUNTIFS($N$1:$ZZ$1,"*"&amp;CHAR(10)&amp;"Stanine",$N5:$ZZ5,"&gt;=1"))</f>
        <v>6</v>
      </c>
      <c r="L5" s="68">
        <f>IFERROR(AVERAGEIF($N$1:$ZZ$1,"*"&amp;CHAR(10)&amp;"Stanine",$N5:$ZZ5),"")</f>
        <v>9</v>
      </c>
      <c r="M5" s="69">
        <f>IF(AND(ISNUMBER(tblY11[[#This Row],[Mean Stanine]]),ISNUMBER(tblY11[[#This Row],[Avg KS2 Band]]),ISNUMBER(SlopeY11)),tblY11[[#This Row],[Mean Stanine]]-(InterceptY11+SlopeY11*tblY11[[#This Row],[Avg KS2 Band]]),"")</f>
        <v>1.80071067821068</v>
      </c>
      <c r="N5" s="66" t="n">
        <v>36</v>
      </c>
      <c r="O5" s="67">
        <f>IF(ISNUMBER(tblY11[[#This Row],[4B05 - Homeostasis
Raw Score]]),IFERROR(VLOOKUP(ROUND(STANDARDIZE(tblY11[[#This Row],[4B05 - Homeostasis
Raw Score]],AVERAGE(tblY11[[4B05 - Homeostasis
Raw Score]]),_xlfn.STDEV.P(tblY11[[4B05 - Homeostasis
Raw Score]])),9),_Stanine,2),5),"")</f>
        <v>9</v>
      </c>
      <c r="P5" s="66" t="n">
        <v>30</v>
      </c>
      <c r="Q5" s="67">
        <f>IF(ISNUMBER(tblY11[[#This Row],[4C09 - Organic Chemistry
Raw Score]]),IFERROR(VLOOKUP(ROUND(STANDARDIZE(tblY11[[#This Row],[4C09 - Organic Chemistry
Raw Score]],AVERAGE(tblY11[[4C09 - Organic Chemistry
Raw Score]]),_xlfn.STDEV.P(tblY11[[4C09 - Organic Chemistry
Raw Score]])),9),_Stanine,2),5),"")</f>
        <v>9</v>
      </c>
      <c r="R5" s="66" t="n">
        <v>36</v>
      </c>
      <c r="S5" s="67">
        <f>IF(ISNUMBER(tblY11[[#This Row],[4P06 - Waves
Raw Score]]),IFERROR(VLOOKUP(ROUND(STANDARDIZE(tblY11[[#This Row],[4P06 - Waves
Raw Score]],AVERAGE(tblY11[[4P06 - Waves
Raw Score]]),_xlfn.STDEV.P(tblY11[[4P06 - Waves
Raw Score]])),9),_Stanine,2),5),"")</f>
        <v>9</v>
      </c>
      <c r="T5" s="66" t="n">
        <v>39</v>
      </c>
      <c r="U5" s="67">
        <f>IF(ISNUMBER(tblY11[[#This Row],[4B06 - Inheritance
Raw Score]]),IFERROR(VLOOKUP(ROUND(STANDARDIZE(tblY11[[#This Row],[4B06 - Inheritance
Raw Score]],AVERAGE(tblY11[[4B06 - Inheritance
Raw Score]]),_xlfn.STDEV.P(tblY11[[4B06 - Inheritance
Raw Score]])),9),_Stanine,2),5),"")</f>
        <v>9</v>
      </c>
      <c r="V5" s="66" t="n">
        <v>27</v>
      </c>
      <c r="W5" s="67">
        <f>IF(ISNUMBER(tblY11[[#This Row],[4C10 - Chemical Analysis
Raw Score]]),IFERROR(VLOOKUP(ROUND(STANDARDIZE(tblY11[[#This Row],[4C10 - Chemical Analysis
Raw Score]],AVERAGE(tblY11[[4C10 - Chemical Analysis
Raw Score]]),_xlfn.STDEV.P(tblY11[[4C10 - Chemical Analysis
Raw Score]])),9),_Stanine,2),5),"")</f>
        <v>9</v>
      </c>
      <c r="X5" s="66" t="n">
        <v>30</v>
      </c>
      <c r="Y5" s="67">
        <f>IF(ISNUMBER(tblY11[[#This Row],[4P07 - Magnetism
Raw Score]]),IFERROR(VLOOKUP(ROUND(STANDARDIZE(tblY11[[#This Row],[4P07 - Magnetism
Raw Score]],AVERAGE(tblY11[[4P07 - Magnetism
Raw Score]]),_xlfn.STDEV.P(tblY11[[4P07 - Magnetism
Raw Score]])),9),_Stanine,2),5),"")</f>
        <v>9</v>
      </c>
    </row>
    <row r="6">
      <c r="A6" s="65" t="inlineStr">
        <is>
          <t>X903864717117</t>
        </is>
      </c>
      <c r="B6" s="65" t="inlineStr">
        <is>
          <t>Cooper</t>
        </is>
      </c>
      <c r="C6" s="65" t="inlineStr">
        <is>
          <t>Ava</t>
        </is>
      </c>
      <c r="D6" s="66" t="inlineStr">
        <is>
          <t>F</t>
        </is>
      </c>
      <c r="E6" s="66" t="inlineStr">
        <is>
          <t>N</t>
        </is>
      </c>
      <c r="F6" s="66" t="inlineStr">
        <is>
          <t>Y</t>
        </is>
      </c>
      <c r="G6" s="34" t="n">
        <v>95.2</v>
      </c>
      <c r="H6" s="34" t="n">
        <v>105</v>
      </c>
      <c r="I6" s="67">
        <f>IF(ISNUMBER(tblY11[[#This Row],[Avg KS2]]),IFERROR(VLOOKUP(ROUND(STANDARDIZE(tblY11[[#This Row],[Avg KS2]],AVERAGE(tblY11[[Avg KS2]]),_xlfn.STDEV.P(tblY11[[Avg KS2]])),9),_Stanine,2),5),"")</f>
        <v>5</v>
      </c>
      <c r="J6" s="66" t="inlineStr">
        <is>
          <t>11S/Sc1</t>
        </is>
      </c>
      <c r="K6" s="67">
        <f>IF(tblY11[[#This Row],[Preferred Last name]]="","",COUNTIFS($N$1:$ZZ$1,"*"&amp;CHAR(10)&amp;"Stanine",$N6:$ZZ6,"&gt;=1"))</f>
        <v>5</v>
      </c>
      <c r="L6" s="68">
        <f>IFERROR(AVERAGEIF($N$1:$ZZ$1,"*"&amp;CHAR(10)&amp;"Stanine",$N6:$ZZ6),"")</f>
        <v>6</v>
      </c>
      <c r="M6" s="69">
        <f>IF(AND(ISNUMBER(tblY11[[#This Row],[Mean Stanine]]),ISNUMBER(tblY11[[#This Row],[Avg KS2 Band]]),ISNUMBER(SlopeY11)),tblY11[[#This Row],[Mean Stanine]]-(InterceptY11+SlopeY11*tblY11[[#This Row],[Avg KS2 Band]]),"")</f>
        <v>1.04730158730159</v>
      </c>
      <c r="N6" s="66" t="n">
        <v>27</v>
      </c>
      <c r="O6" s="67">
        <f>IF(ISNUMBER(tblY11[[#This Row],[4B05 - Homeostasis
Raw Score]]),IFERROR(VLOOKUP(ROUND(STANDARDIZE(tblY11[[#This Row],[4B05 - Homeostasis
Raw Score]],AVERAGE(tblY11[[4B05 - Homeostasis
Raw Score]]),_xlfn.STDEV.P(tblY11[[4B05 - Homeostasis
Raw Score]])),9),_Stanine,2),5),"")</f>
        <v>6</v>
      </c>
      <c r="P6" s="66" t="inlineStr">
        <is>
          <t>A</t>
        </is>
      </c>
      <c r="Q6" s="67" t="str">
        <f>IF(ISNUMBER(tblY11[[#This Row],[4C09 - Organic Chemistry
Raw Score]]),IFERROR(VLOOKUP(ROUND(STANDARDIZE(tblY11[[#This Row],[4C09 - Organic Chemistry
Raw Score]],AVERAGE(tblY11[[4C09 - Organic Chemistry
Raw Score]]),_xlfn.STDEV.P(tblY11[[4C09 - Organic Chemistry
Raw Score]])),9),_Stanine,2),5),"")</f>
        <v/>
      </c>
      <c r="R6" s="66" t="n">
        <v>29</v>
      </c>
      <c r="S6" s="67">
        <f>IF(ISNUMBER(tblY11[[#This Row],[4P06 - Waves
Raw Score]]),IFERROR(VLOOKUP(ROUND(STANDARDIZE(tblY11[[#This Row],[4P06 - Waves
Raw Score]],AVERAGE(tblY11[[4P06 - Waves
Raw Score]]),_xlfn.STDEV.P(tblY11[[4P06 - Waves
Raw Score]])),9),_Stanine,2),5),"")</f>
        <v>7</v>
      </c>
      <c r="T6" s="66" t="n">
        <v>25</v>
      </c>
      <c r="U6" s="67">
        <f>IF(ISNUMBER(tblY11[[#This Row],[4B06 - Inheritance
Raw Score]]),IFERROR(VLOOKUP(ROUND(STANDARDIZE(tblY11[[#This Row],[4B06 - Inheritance
Raw Score]],AVERAGE(tblY11[[4B06 - Inheritance
Raw Score]]),_xlfn.STDEV.P(tblY11[[4B06 - Inheritance
Raw Score]])),9),_Stanine,2),5),"")</f>
        <v>6</v>
      </c>
      <c r="V6" s="66" t="n">
        <v>18</v>
      </c>
      <c r="W6" s="67">
        <f>IF(ISNUMBER(tblY11[[#This Row],[4C10 - Chemical Analysis
Raw Score]]),IFERROR(VLOOKUP(ROUND(STANDARDIZE(tblY11[[#This Row],[4C10 - Chemical Analysis
Raw Score]],AVERAGE(tblY11[[4C10 - Chemical Analysis
Raw Score]]),_xlfn.STDEV.P(tblY11[[4C10 - Chemical Analysis
Raw Score]])),9),_Stanine,2),5),"")</f>
        <v>6</v>
      </c>
      <c r="X6" s="66" t="n">
        <v>17</v>
      </c>
      <c r="Y6" s="67">
        <f>IF(ISNUMBER(tblY11[[#This Row],[4P07 - Magnetism
Raw Score]]),IFERROR(VLOOKUP(ROUND(STANDARDIZE(tblY11[[#This Row],[4P07 - Magnetism
Raw Score]],AVERAGE(tblY11[[4P07 - Magnetism
Raw Score]]),_xlfn.STDEV.P(tblY11[[4P07 - Magnetism
Raw Score]])),9),_Stanine,2),5),"")</f>
        <v>5</v>
      </c>
    </row>
    <row r="7">
      <c r="A7" s="65" t="inlineStr">
        <is>
          <t>X909997518665</t>
        </is>
      </c>
      <c r="B7" s="65" t="inlineStr">
        <is>
          <t>Cooper</t>
        </is>
      </c>
      <c r="C7" s="65" t="inlineStr">
        <is>
          <t>Lewis</t>
        </is>
      </c>
      <c r="D7" s="66" t="inlineStr">
        <is>
          <t>M</t>
        </is>
      </c>
      <c r="E7" s="66" t="inlineStr">
        <is>
          <t>N</t>
        </is>
      </c>
      <c r="F7" s="66" t="inlineStr">
        <is>
          <t>N</t>
        </is>
      </c>
      <c r="G7" s="34" t="n">
        <v>90.2</v>
      </c>
      <c r="H7" s="34" t="n">
        <v>105</v>
      </c>
      <c r="I7" s="67">
        <f>IF(ISNUMBER(tblY11[[#This Row],[Avg KS2]]),IFERROR(VLOOKUP(ROUND(STANDARDIZE(tblY11[[#This Row],[Avg KS2]],AVERAGE(tblY11[[Avg KS2]]),_xlfn.STDEV.P(tblY11[[Avg KS2]])),9),_Stanine,2),5),"")</f>
        <v>5</v>
      </c>
      <c r="J7" s="66" t="inlineStr">
        <is>
          <t>11S/Sc1</t>
        </is>
      </c>
      <c r="K7" s="67">
        <f>IF(tblY11[[#This Row],[Preferred Last name]]="","",COUNTIFS($N$1:$ZZ$1,"*"&amp;CHAR(10)&amp;"Stanine",$N7:$ZZ7,"&gt;=1"))</f>
        <v>5</v>
      </c>
      <c r="L7" s="68">
        <f>IFERROR(AVERAGEIF($N$1:$ZZ$1,"*"&amp;CHAR(10)&amp;"Stanine",$N7:$ZZ7),"")</f>
        <v>4.8</v>
      </c>
      <c r="M7" s="69">
        <f>IF(AND(ISNUMBER(tblY11[[#This Row],[Mean Stanine]]),ISNUMBER(tblY11[[#This Row],[Avg KS2 Band]]),ISNUMBER(SlopeY11)),tblY11[[#This Row],[Mean Stanine]]-(InterceptY11+SlopeY11*tblY11[[#This Row],[Avg KS2 Band]]),"")</f>
        <v>-0.152698412698412</v>
      </c>
      <c r="N7" s="66" t="inlineStr">
        <is>
          <t>A</t>
        </is>
      </c>
      <c r="O7" s="67" t="str">
        <f>IF(ISNUMBER(tblY11[[#This Row],[4B05 - Homeostasis
Raw Score]]),IFERROR(VLOOKUP(ROUND(STANDARDIZE(tblY11[[#This Row],[4B05 - Homeostasis
Raw Score]],AVERAGE(tblY11[[4B05 - Homeostasis
Raw Score]]),_xlfn.STDEV.P(tblY11[[4B05 - Homeostasis
Raw Score]])),9),_Stanine,2),5),"")</f>
        <v/>
      </c>
      <c r="P7" s="66" t="n">
        <v>16</v>
      </c>
      <c r="Q7" s="67">
        <f>IF(ISNUMBER(tblY11[[#This Row],[4C09 - Organic Chemistry
Raw Score]]),IFERROR(VLOOKUP(ROUND(STANDARDIZE(tblY11[[#This Row],[4C09 - Organic Chemistry
Raw Score]],AVERAGE(tblY11[[4C09 - Organic Chemistry
Raw Score]]),_xlfn.STDEV.P(tblY11[[4C09 - Organic Chemistry
Raw Score]])),9),_Stanine,2),5),"")</f>
        <v>5</v>
      </c>
      <c r="R7" s="66" t="n">
        <v>20</v>
      </c>
      <c r="S7" s="67">
        <f>IF(ISNUMBER(tblY11[[#This Row],[4P06 - Waves
Raw Score]]),IFERROR(VLOOKUP(ROUND(STANDARDIZE(tblY11[[#This Row],[4P06 - Waves
Raw Score]],AVERAGE(tblY11[[4P06 - Waves
Raw Score]]),_xlfn.STDEV.P(tblY11[[4P06 - Waves
Raw Score]])),9),_Stanine,2),5),"")</f>
        <v>5</v>
      </c>
      <c r="T7" s="66" t="n">
        <v>17</v>
      </c>
      <c r="U7" s="67">
        <f>IF(ISNUMBER(tblY11[[#This Row],[4B06 - Inheritance
Raw Score]]),IFERROR(VLOOKUP(ROUND(STANDARDIZE(tblY11[[#This Row],[4B06 - Inheritance
Raw Score]],AVERAGE(tblY11[[4B06 - Inheritance
Raw Score]]),_xlfn.STDEV.P(tblY11[[4B06 - Inheritance
Raw Score]])),9),_Stanine,2),5),"")</f>
        <v>5</v>
      </c>
      <c r="V7" s="66" t="n">
        <v>13</v>
      </c>
      <c r="W7" s="67">
        <f>IF(ISNUMBER(tblY11[[#This Row],[4C10 - Chemical Analysis
Raw Score]]),IFERROR(VLOOKUP(ROUND(STANDARDIZE(tblY11[[#This Row],[4C10 - Chemical Analysis
Raw Score]],AVERAGE(tblY11[[4C10 - Chemical Analysis
Raw Score]]),_xlfn.STDEV.P(tblY11[[4C10 - Chemical Analysis
Raw Score]])),9),_Stanine,2),5),"")</f>
        <v>5</v>
      </c>
      <c r="X7" s="66" t="n">
        <v>12</v>
      </c>
      <c r="Y7" s="67">
        <f>IF(ISNUMBER(tblY11[[#This Row],[4P07 - Magnetism
Raw Score]]),IFERROR(VLOOKUP(ROUND(STANDARDIZE(tblY11[[#This Row],[4P07 - Magnetism
Raw Score]],AVERAGE(tblY11[[4P07 - Magnetism
Raw Score]]),_xlfn.STDEV.P(tblY11[[4P07 - Magnetism
Raw Score]])),9),_Stanine,2),5),"")</f>
        <v>4</v>
      </c>
    </row>
    <row r="8">
      <c r="A8" s="65" t="inlineStr">
        <is>
          <t>X903259072589</t>
        </is>
      </c>
      <c r="B8" s="65" t="inlineStr">
        <is>
          <t>Evans</t>
        </is>
      </c>
      <c r="C8" s="65" t="inlineStr">
        <is>
          <t>Hannah</t>
        </is>
      </c>
      <c r="D8" s="66" t="inlineStr">
        <is>
          <t>M</t>
        </is>
      </c>
      <c r="E8" s="66" t="n"/>
      <c r="F8" s="66" t="inlineStr">
        <is>
          <t>N</t>
        </is>
      </c>
      <c r="G8" s="34" t="n">
        <v>94</v>
      </c>
      <c r="H8" s="34" t="n">
        <v>106.5</v>
      </c>
      <c r="I8" s="67">
        <f>IF(ISNUMBER(tblY11[[#This Row],[Avg KS2]]),IFERROR(VLOOKUP(ROUND(STANDARDIZE(tblY11[[#This Row],[Avg KS2]],AVERAGE(tblY11[[Avg KS2]]),_xlfn.STDEV.P(tblY11[[Avg KS2]])),9),_Stanine,2),5),"")</f>
        <v>6</v>
      </c>
      <c r="J8" s="66" t="inlineStr">
        <is>
          <t>11S/Sc1</t>
        </is>
      </c>
      <c r="K8" s="67">
        <f>IF(tblY11[[#This Row],[Preferred Last name]]="","",COUNTIFS($N$1:$ZZ$1,"*"&amp;CHAR(10)&amp;"Stanine",$N8:$ZZ8,"&gt;=1"))</f>
        <v>6</v>
      </c>
      <c r="L8" s="68">
        <f>IFERROR(AVERAGEIF($N$1:$ZZ$1,"*"&amp;CHAR(10)&amp;"Stanine",$N8:$ZZ8),"")</f>
        <v>6.16666666666667</v>
      </c>
      <c r="M8" s="69">
        <f>IF(AND(ISNUMBER(tblY11[[#This Row],[Mean Stanine]]),ISNUMBER(tblY11[[#This Row],[Avg KS2 Band]]),ISNUMBER(SlopeY11)),tblY11[[#This Row],[Mean Stanine]]-(InterceptY11+SlopeY11*tblY11[[#This Row],[Avg KS2 Band]]),"")</f>
        <v>0.465104617604618</v>
      </c>
      <c r="N8" s="66" t="n">
        <v>28</v>
      </c>
      <c r="O8" s="67">
        <f>IF(ISNUMBER(tblY11[[#This Row],[4B05 - Homeostasis
Raw Score]]),IFERROR(VLOOKUP(ROUND(STANDARDIZE(tblY11[[#This Row],[4B05 - Homeostasis
Raw Score]],AVERAGE(tblY11[[4B05 - Homeostasis
Raw Score]]),_xlfn.STDEV.P(tblY11[[4B05 - Homeostasis
Raw Score]])),9),_Stanine,2),5),"")</f>
        <v>7</v>
      </c>
      <c r="P8" s="66" t="n">
        <v>21</v>
      </c>
      <c r="Q8" s="67">
        <f>IF(ISNUMBER(tblY11[[#This Row],[4C09 - Organic Chemistry
Raw Score]]),IFERROR(VLOOKUP(ROUND(STANDARDIZE(tblY11[[#This Row],[4C09 - Organic Chemistry
Raw Score]],AVERAGE(tblY11[[4C09 - Organic Chemistry
Raw Score]]),_xlfn.STDEV.P(tblY11[[4C09 - Organic Chemistry
Raw Score]])),9),_Stanine,2),5),"")</f>
        <v>6</v>
      </c>
      <c r="R8" s="66" t="n">
        <v>28</v>
      </c>
      <c r="S8" s="67">
        <f>IF(ISNUMBER(tblY11[[#This Row],[4P06 - Waves
Raw Score]]),IFERROR(VLOOKUP(ROUND(STANDARDIZE(tblY11[[#This Row],[4P06 - Waves
Raw Score]],AVERAGE(tblY11[[4P06 - Waves
Raw Score]]),_xlfn.STDEV.P(tblY11[[4P06 - Waves
Raw Score]])),9),_Stanine,2),5),"")</f>
        <v>7</v>
      </c>
      <c r="T8" s="66" t="n">
        <v>20</v>
      </c>
      <c r="U8" s="67">
        <f>IF(ISNUMBER(tblY11[[#This Row],[4B06 - Inheritance
Raw Score]]),IFERROR(VLOOKUP(ROUND(STANDARDIZE(tblY11[[#This Row],[4B06 - Inheritance
Raw Score]],AVERAGE(tblY11[[4B06 - Inheritance
Raw Score]]),_xlfn.STDEV.P(tblY11[[4B06 - Inheritance
Raw Score]])),9),_Stanine,2),5),"")</f>
        <v>5</v>
      </c>
      <c r="V8" s="66" t="n">
        <v>15</v>
      </c>
      <c r="W8" s="67">
        <f>IF(ISNUMBER(tblY11[[#This Row],[4C10 - Chemical Analysis
Raw Score]]),IFERROR(VLOOKUP(ROUND(STANDARDIZE(tblY11[[#This Row],[4C10 - Chemical Analysis
Raw Score]],AVERAGE(tblY11[[4C10 - Chemical Analysis
Raw Score]]),_xlfn.STDEV.P(tblY11[[4C10 - Chemical Analysis
Raw Score]])),9),_Stanine,2),5),"")</f>
        <v>5</v>
      </c>
      <c r="X8" s="66" t="n">
        <v>23</v>
      </c>
      <c r="Y8" s="67">
        <f>IF(ISNUMBER(tblY11[[#This Row],[4P07 - Magnetism
Raw Score]]),IFERROR(VLOOKUP(ROUND(STANDARDIZE(tblY11[[#This Row],[4P07 - Magnetism
Raw Score]],AVERAGE(tblY11[[4P07 - Magnetism
Raw Score]]),_xlfn.STDEV.P(tblY11[[4P07 - Magnetism
Raw Score]])),9),_Stanine,2),5),"")</f>
        <v>7</v>
      </c>
    </row>
    <row r="9">
      <c r="A9" s="65" t="inlineStr">
        <is>
          <t>X909288970022</t>
        </is>
      </c>
      <c r="B9" s="65" t="inlineStr">
        <is>
          <t>Hall</t>
        </is>
      </c>
      <c r="C9" s="65" t="inlineStr">
        <is>
          <t>Amara</t>
        </is>
      </c>
      <c r="D9" s="66" t="inlineStr">
        <is>
          <t>M</t>
        </is>
      </c>
      <c r="E9" s="66" t="n"/>
      <c r="F9" s="66" t="inlineStr">
        <is>
          <t>Y</t>
        </is>
      </c>
      <c r="G9" s="34" t="n">
        <v>85.90000000000001</v>
      </c>
      <c r="H9" s="34" t="n">
        <v>107</v>
      </c>
      <c r="I9" s="67">
        <f>IF(ISNUMBER(tblY11[[#This Row],[Avg KS2]]),IFERROR(VLOOKUP(ROUND(STANDARDIZE(tblY11[[#This Row],[Avg KS2]],AVERAGE(tblY11[[Avg KS2]]),_xlfn.STDEV.P(tblY11[[Avg KS2]])),9),_Stanine,2),5),"")</f>
        <v>6</v>
      </c>
      <c r="J9" s="66" t="inlineStr">
        <is>
          <t>11S/Sc1</t>
        </is>
      </c>
      <c r="K9" s="67">
        <f>IF(tblY11[[#This Row],[Preferred Last name]]="","",COUNTIFS($N$1:$ZZ$1,"*"&amp;CHAR(10)&amp;"Stanine",$N9:$ZZ9,"&gt;=1"))</f>
        <v>5</v>
      </c>
      <c r="L9" s="68">
        <f>IFERROR(AVERAGEIF($N$1:$ZZ$1,"*"&amp;CHAR(10)&amp;"Stanine",$N9:$ZZ9),"")</f>
        <v>5.8</v>
      </c>
      <c r="M9" s="69">
        <f>IF(AND(ISNUMBER(tblY11[[#This Row],[Mean Stanine]]),ISNUMBER(tblY11[[#This Row],[Avg KS2 Band]]),ISNUMBER(SlopeY11)),tblY11[[#This Row],[Mean Stanine]]-(InterceptY11+SlopeY11*tblY11[[#This Row],[Avg KS2 Band]]),"")</f>
        <v>0.0984379509379512</v>
      </c>
      <c r="N9" s="66" t="n">
        <v>23</v>
      </c>
      <c r="O9" s="67">
        <f>IF(ISNUMBER(tblY11[[#This Row],[4B05 - Homeostasis
Raw Score]]),IFERROR(VLOOKUP(ROUND(STANDARDIZE(tblY11[[#This Row],[4B05 - Homeostasis
Raw Score]],AVERAGE(tblY11[[4B05 - Homeostasis
Raw Score]]),_xlfn.STDEV.P(tblY11[[4B05 - Homeostasis
Raw Score]])),9),_Stanine,2),5),"")</f>
        <v>6</v>
      </c>
      <c r="P9" s="66" t="n">
        <v>16</v>
      </c>
      <c r="Q9" s="67">
        <f>IF(ISNUMBER(tblY11[[#This Row],[4C09 - Organic Chemistry
Raw Score]]),IFERROR(VLOOKUP(ROUND(STANDARDIZE(tblY11[[#This Row],[4C09 - Organic Chemistry
Raw Score]],AVERAGE(tblY11[[4C09 - Organic Chemistry
Raw Score]]),_xlfn.STDEV.P(tblY11[[4C09 - Organic Chemistry
Raw Score]])),9),_Stanine,2),5),"")</f>
        <v>5</v>
      </c>
      <c r="R9" s="66" t="n">
        <v>26</v>
      </c>
      <c r="S9" s="67">
        <f>IF(ISNUMBER(tblY11[[#This Row],[4P06 - Waves
Raw Score]]),IFERROR(VLOOKUP(ROUND(STANDARDIZE(tblY11[[#This Row],[4P06 - Waves
Raw Score]],AVERAGE(tblY11[[4P06 - Waves
Raw Score]]),_xlfn.STDEV.P(tblY11[[4P06 - Waves
Raw Score]])),9),_Stanine,2),5),"")</f>
        <v>6</v>
      </c>
      <c r="T9" s="66" t="n">
        <v>25</v>
      </c>
      <c r="U9" s="67">
        <f>IF(ISNUMBER(tblY11[[#This Row],[4B06 - Inheritance
Raw Score]]),IFERROR(VLOOKUP(ROUND(STANDARDIZE(tblY11[[#This Row],[4B06 - Inheritance
Raw Score]],AVERAGE(tblY11[[4B06 - Inheritance
Raw Score]]),_xlfn.STDEV.P(tblY11[[4B06 - Inheritance
Raw Score]])),9),_Stanine,2),5),"")</f>
        <v>6</v>
      </c>
      <c r="V9" s="66" t="n">
        <v>17</v>
      </c>
      <c r="W9" s="67">
        <f>IF(ISNUMBER(tblY11[[#This Row],[4C10 - Chemical Analysis
Raw Score]]),IFERROR(VLOOKUP(ROUND(STANDARDIZE(tblY11[[#This Row],[4C10 - Chemical Analysis
Raw Score]],AVERAGE(tblY11[[4C10 - Chemical Analysis
Raw Score]]),_xlfn.STDEV.P(tblY11[[4C10 - Chemical Analysis
Raw Score]])),9),_Stanine,2),5),"")</f>
        <v>6</v>
      </c>
      <c r="X9" s="66" t="inlineStr">
        <is>
          <t>A</t>
        </is>
      </c>
      <c r="Y9" s="67" t="str">
        <f>IF(ISNUMBER(tblY11[[#This Row],[4P07 - Magnetism
Raw Score]]),IFERROR(VLOOKUP(ROUND(STANDARDIZE(tblY11[[#This Row],[4P07 - Magnetism
Raw Score]],AVERAGE(tblY11[[4P07 - Magnetism
Raw Score]]),_xlfn.STDEV.P(tblY11[[4P07 - Magnetism
Raw Score]])),9),_Stanine,2),5),"")</f>
        <v/>
      </c>
    </row>
    <row r="10">
      <c r="A10" s="65" t="inlineStr">
        <is>
          <t>X900498885225</t>
        </is>
      </c>
      <c r="B10" s="65" t="inlineStr">
        <is>
          <t>Harrison</t>
        </is>
      </c>
      <c r="C10" s="65" t="inlineStr">
        <is>
          <t>Ella</t>
        </is>
      </c>
      <c r="D10" s="66" t="inlineStr">
        <is>
          <t>M</t>
        </is>
      </c>
      <c r="E10" s="66" t="inlineStr">
        <is>
          <t>N</t>
        </is>
      </c>
      <c r="F10" s="66" t="inlineStr">
        <is>
          <t>N</t>
        </is>
      </c>
      <c r="G10" s="34" t="n">
        <v>97.40000000000001</v>
      </c>
      <c r="H10" s="34" t="n">
        <v>109</v>
      </c>
      <c r="I10" s="67">
        <f>IF(ISNUMBER(tblY11[[#This Row],[Avg KS2]]),IFERROR(VLOOKUP(ROUND(STANDARDIZE(tblY11[[#This Row],[Avg KS2]],AVERAGE(tblY11[[Avg KS2]]),_xlfn.STDEV.P(tblY11[[Avg KS2]])),9),_Stanine,2),5),"")</f>
        <v>6</v>
      </c>
      <c r="J10" s="66" t="inlineStr">
        <is>
          <t>11S/Sc1</t>
        </is>
      </c>
      <c r="K10" s="67">
        <f>IF(tblY11[[#This Row],[Preferred Last name]]="","",COUNTIFS($N$1:$ZZ$1,"*"&amp;CHAR(10)&amp;"Stanine",$N10:$ZZ10,"&gt;=1"))</f>
        <v>6</v>
      </c>
      <c r="L10" s="68">
        <f>IFERROR(AVERAGEIF($N$1:$ZZ$1,"*"&amp;CHAR(10)&amp;"Stanine",$N10:$ZZ10),"")</f>
        <v>6.5</v>
      </c>
      <c r="M10" s="69">
        <f>IF(AND(ISNUMBER(tblY11[[#This Row],[Mean Stanine]]),ISNUMBER(tblY11[[#This Row],[Avg KS2 Band]]),ISNUMBER(SlopeY11)),tblY11[[#This Row],[Mean Stanine]]-(InterceptY11+SlopeY11*tblY11[[#This Row],[Avg KS2 Band]]),"")</f>
        <v>0.798437950937951</v>
      </c>
      <c r="N10" s="66" t="n">
        <v>31</v>
      </c>
      <c r="O10" s="67">
        <f>IF(ISNUMBER(tblY11[[#This Row],[4B05 - Homeostasis
Raw Score]]),IFERROR(VLOOKUP(ROUND(STANDARDIZE(tblY11[[#This Row],[4B05 - Homeostasis
Raw Score]],AVERAGE(tblY11[[4B05 - Homeostasis
Raw Score]]),_xlfn.STDEV.P(tblY11[[4B05 - Homeostasis
Raw Score]])),9),_Stanine,2),5),"")</f>
        <v>7</v>
      </c>
      <c r="P10" s="66" t="n">
        <v>19</v>
      </c>
      <c r="Q10" s="67">
        <f>IF(ISNUMBER(tblY11[[#This Row],[4C09 - Organic Chemistry
Raw Score]]),IFERROR(VLOOKUP(ROUND(STANDARDIZE(tblY11[[#This Row],[4C09 - Organic Chemistry
Raw Score]],AVERAGE(tblY11[[4C09 - Organic Chemistry
Raw Score]]),_xlfn.STDEV.P(tblY11[[4C09 - Organic Chemistry
Raw Score]])),9),_Stanine,2),5),"")</f>
        <v>6</v>
      </c>
      <c r="R10" s="66" t="n">
        <v>28</v>
      </c>
      <c r="S10" s="67">
        <f>IF(ISNUMBER(tblY11[[#This Row],[4P06 - Waves
Raw Score]]),IFERROR(VLOOKUP(ROUND(STANDARDIZE(tblY11[[#This Row],[4P06 - Waves
Raw Score]],AVERAGE(tblY11[[4P06 - Waves
Raw Score]]),_xlfn.STDEV.P(tblY11[[4P06 - Waves
Raw Score]])),9),_Stanine,2),5),"")</f>
        <v>7</v>
      </c>
      <c r="T10" s="66" t="n">
        <v>23</v>
      </c>
      <c r="U10" s="67">
        <f>IF(ISNUMBER(tblY11[[#This Row],[4B06 - Inheritance
Raw Score]]),IFERROR(VLOOKUP(ROUND(STANDARDIZE(tblY11[[#This Row],[4B06 - Inheritance
Raw Score]],AVERAGE(tblY11[[4B06 - Inheritance
Raw Score]]),_xlfn.STDEV.P(tblY11[[4B06 - Inheritance
Raw Score]])),9),_Stanine,2),5),"")</f>
        <v>6</v>
      </c>
      <c r="V10" s="66" t="n">
        <v>22</v>
      </c>
      <c r="W10" s="67">
        <f>IF(ISNUMBER(tblY11[[#This Row],[4C10 - Chemical Analysis
Raw Score]]),IFERROR(VLOOKUP(ROUND(STANDARDIZE(tblY11[[#This Row],[4C10 - Chemical Analysis
Raw Score]],AVERAGE(tblY11[[4C10 - Chemical Analysis
Raw Score]]),_xlfn.STDEV.P(tblY11[[4C10 - Chemical Analysis
Raw Score]])),9),_Stanine,2),5),"")</f>
        <v>7</v>
      </c>
      <c r="X10" s="66" t="n">
        <v>21</v>
      </c>
      <c r="Y10" s="67">
        <f>IF(ISNUMBER(tblY11[[#This Row],[4P07 - Magnetism
Raw Score]]),IFERROR(VLOOKUP(ROUND(STANDARDIZE(tblY11[[#This Row],[4P07 - Magnetism
Raw Score]],AVERAGE(tblY11[[4P07 - Magnetism
Raw Score]]),_xlfn.STDEV.P(tblY11[[4P07 - Magnetism
Raw Score]])),9),_Stanine,2),5),"")</f>
        <v>6</v>
      </c>
    </row>
    <row r="11">
      <c r="A11" s="65" t="inlineStr">
        <is>
          <t>X909635200089</t>
        </is>
      </c>
      <c r="B11" s="65" t="inlineStr">
        <is>
          <t>Hussain</t>
        </is>
      </c>
      <c r="C11" s="65" t="inlineStr">
        <is>
          <t>Freya</t>
        </is>
      </c>
      <c r="D11" s="66" t="inlineStr">
        <is>
          <t>F</t>
        </is>
      </c>
      <c r="E11" s="66" t="inlineStr">
        <is>
          <t>N</t>
        </is>
      </c>
      <c r="F11" s="66" t="inlineStr">
        <is>
          <t>N</t>
        </is>
      </c>
      <c r="G11" s="34" t="n">
        <v>84.40000000000001</v>
      </c>
      <c r="H11" s="34" t="n">
        <v>115.5</v>
      </c>
      <c r="I11" s="67">
        <f>IF(ISNUMBER(tblY11[[#This Row],[Avg KS2]]),IFERROR(VLOOKUP(ROUND(STANDARDIZE(tblY11[[#This Row],[Avg KS2]],AVERAGE(tblY11[[Avg KS2]]),_xlfn.STDEV.P(tblY11[[Avg KS2]])),9),_Stanine,2),5),"")</f>
        <v>8</v>
      </c>
      <c r="J11" s="66" t="inlineStr">
        <is>
          <t>11S/Sc1</t>
        </is>
      </c>
      <c r="K11" s="67">
        <f>IF(tblY11[[#This Row],[Preferred Last name]]="","",COUNTIFS($N$1:$ZZ$1,"*"&amp;CHAR(10)&amp;"Stanine",$N11:$ZZ11,"&gt;=1"))</f>
        <v>6</v>
      </c>
      <c r="L11" s="68">
        <f>IFERROR(AVERAGEIF($N$1:$ZZ$1,"*"&amp;CHAR(10)&amp;"Stanine",$N11:$ZZ11),"")</f>
        <v>7.83333333333333</v>
      </c>
      <c r="M11" s="69">
        <f>IF(AND(ISNUMBER(tblY11[[#This Row],[Mean Stanine]]),ISNUMBER(tblY11[[#This Row],[Avg KS2 Band]]),ISNUMBER(SlopeY11)),tblY11[[#This Row],[Mean Stanine]]-(InterceptY11+SlopeY11*tblY11[[#This Row],[Avg KS2 Band]]),"")</f>
        <v>0.634044011544011</v>
      </c>
      <c r="N11" s="66" t="n">
        <v>34</v>
      </c>
      <c r="O11" s="67">
        <f>IF(ISNUMBER(tblY11[[#This Row],[4B05 - Homeostasis
Raw Score]]),IFERROR(VLOOKUP(ROUND(STANDARDIZE(tblY11[[#This Row],[4B05 - Homeostasis
Raw Score]],AVERAGE(tblY11[[4B05 - Homeostasis
Raw Score]]),_xlfn.STDEV.P(tblY11[[4B05 - Homeostasis
Raw Score]])),9),_Stanine,2),5),"")</f>
        <v>8</v>
      </c>
      <c r="P11" s="66" t="n">
        <v>26</v>
      </c>
      <c r="Q11" s="67">
        <f>IF(ISNUMBER(tblY11[[#This Row],[4C09 - Organic Chemistry
Raw Score]]),IFERROR(VLOOKUP(ROUND(STANDARDIZE(tblY11[[#This Row],[4C09 - Organic Chemistry
Raw Score]],AVERAGE(tblY11[[4C09 - Organic Chemistry
Raw Score]]),_xlfn.STDEV.P(tblY11[[4C09 - Organic Chemistry
Raw Score]])),9),_Stanine,2),5),"")</f>
        <v>8</v>
      </c>
      <c r="R11" s="66" t="n">
        <v>30</v>
      </c>
      <c r="S11" s="67">
        <f>IF(ISNUMBER(tblY11[[#This Row],[4P06 - Waves
Raw Score]]),IFERROR(VLOOKUP(ROUND(STANDARDIZE(tblY11[[#This Row],[4P06 - Waves
Raw Score]],AVERAGE(tblY11[[4P06 - Waves
Raw Score]]),_xlfn.STDEV.P(tblY11[[4P06 - Waves
Raw Score]])),9),_Stanine,2),5),"")</f>
        <v>7</v>
      </c>
      <c r="T11" s="66" t="n">
        <v>34</v>
      </c>
      <c r="U11" s="67">
        <f>IF(ISNUMBER(tblY11[[#This Row],[4B06 - Inheritance
Raw Score]]),IFERROR(VLOOKUP(ROUND(STANDARDIZE(tblY11[[#This Row],[4B06 - Inheritance
Raw Score]],AVERAGE(tblY11[[4B06 - Inheritance
Raw Score]]),_xlfn.STDEV.P(tblY11[[4B06 - Inheritance
Raw Score]])),9),_Stanine,2),5),"")</f>
        <v>8</v>
      </c>
      <c r="V11" s="66" t="n">
        <v>25</v>
      </c>
      <c r="W11" s="67">
        <f>IF(ISNUMBER(tblY11[[#This Row],[4C10 - Chemical Analysis
Raw Score]]),IFERROR(VLOOKUP(ROUND(STANDARDIZE(tblY11[[#This Row],[4C10 - Chemical Analysis
Raw Score]],AVERAGE(tblY11[[4C10 - Chemical Analysis
Raw Score]]),_xlfn.STDEV.P(tblY11[[4C10 - Chemical Analysis
Raw Score]])),9),_Stanine,2),5),"")</f>
        <v>8</v>
      </c>
      <c r="X11" s="66" t="n">
        <v>28</v>
      </c>
      <c r="Y11" s="67">
        <f>IF(ISNUMBER(tblY11[[#This Row],[4P07 - Magnetism
Raw Score]]),IFERROR(VLOOKUP(ROUND(STANDARDIZE(tblY11[[#This Row],[4P07 - Magnetism
Raw Score]],AVERAGE(tblY11[[4P07 - Magnetism
Raw Score]]),_xlfn.STDEV.P(tblY11[[4P07 - Magnetism
Raw Score]])),9),_Stanine,2),5),"")</f>
        <v>8</v>
      </c>
    </row>
    <row r="12">
      <c r="A12" s="65" t="inlineStr">
        <is>
          <t>X909497123663</t>
        </is>
      </c>
      <c r="B12" s="65" t="inlineStr">
        <is>
          <t>Hussain</t>
        </is>
      </c>
      <c r="C12" s="65" t="inlineStr">
        <is>
          <t>Hollie</t>
        </is>
      </c>
      <c r="D12" s="66" t="inlineStr">
        <is>
          <t>M</t>
        </is>
      </c>
      <c r="E12" s="66" t="inlineStr">
        <is>
          <t>K</t>
        </is>
      </c>
      <c r="F12" s="66" t="inlineStr">
        <is>
          <t>N</t>
        </is>
      </c>
      <c r="G12" s="34" t="n">
        <v>92.90000000000001</v>
      </c>
      <c r="H12" s="34" t="inlineStr">
        <is>
          <t>No Data</t>
        </is>
      </c>
      <c r="I12" s="67" t="str">
        <f>IF(ISNUMBER(tblY11[[#This Row],[Avg KS2]]),IFERROR(VLOOKUP(ROUND(STANDARDIZE(tblY11[[#This Row],[Avg KS2]],AVERAGE(tblY11[[Avg KS2]]),_xlfn.STDEV.P(tblY11[[Avg KS2]])),9),_Stanine,2),5),"")</f>
        <v/>
      </c>
      <c r="J12" s="66" t="inlineStr">
        <is>
          <t>11S/Sc1</t>
        </is>
      </c>
      <c r="K12" s="67">
        <f>IF(tblY11[[#This Row],[Preferred Last name]]="","",COUNTIFS($N$1:$ZZ$1,"*"&amp;CHAR(10)&amp;"Stanine",$N12:$ZZ12,"&gt;=1"))</f>
        <v>5</v>
      </c>
      <c r="L12" s="68">
        <f>IFERROR(AVERAGEIF($N$1:$ZZ$1,"*"&amp;CHAR(10)&amp;"Stanine",$N12:$ZZ12),"")</f>
        <v>7</v>
      </c>
      <c r="M12" s="69" t="str">
        <f>IF(AND(ISNUMBER(tblY11[[#This Row],[Mean Stanine]]),ISNUMBER(tblY11[[#This Row],[Avg KS2 Band]]),ISNUMBER(SlopeY11)),tblY11[[#This Row],[Mean Stanine]]-(InterceptY11+SlopeY11*tblY11[[#This Row],[Avg KS2 Band]]),"")</f>
        <v/>
      </c>
      <c r="N12" s="66" t="n">
        <v>28</v>
      </c>
      <c r="O12" s="67">
        <f>IF(ISNUMBER(tblY11[[#This Row],[4B05 - Homeostasis
Raw Score]]),IFERROR(VLOOKUP(ROUND(STANDARDIZE(tblY11[[#This Row],[4B05 - Homeostasis
Raw Score]],AVERAGE(tblY11[[4B05 - Homeostasis
Raw Score]]),_xlfn.STDEV.P(tblY11[[4B05 - Homeostasis
Raw Score]])),9),_Stanine,2),5),"")</f>
        <v>7</v>
      </c>
      <c r="P12" s="66" t="n">
        <v>22</v>
      </c>
      <c r="Q12" s="67">
        <f>IF(ISNUMBER(tblY11[[#This Row],[4C09 - Organic Chemistry
Raw Score]]),IFERROR(VLOOKUP(ROUND(STANDARDIZE(tblY11[[#This Row],[4C09 - Organic Chemistry
Raw Score]],AVERAGE(tblY11[[4C09 - Organic Chemistry
Raw Score]]),_xlfn.STDEV.P(tblY11[[4C09 - Organic Chemistry
Raw Score]])),9),_Stanine,2),5),"")</f>
        <v>7</v>
      </c>
      <c r="R12" s="66" t="n">
        <v>28</v>
      </c>
      <c r="S12" s="67">
        <f>IF(ISNUMBER(tblY11[[#This Row],[4P06 - Waves
Raw Score]]),IFERROR(VLOOKUP(ROUND(STANDARDIZE(tblY11[[#This Row],[4P06 - Waves
Raw Score]],AVERAGE(tblY11[[4P06 - Waves
Raw Score]]),_xlfn.STDEV.P(tblY11[[4P06 - Waves
Raw Score]])),9),_Stanine,2),5),"")</f>
        <v>7</v>
      </c>
      <c r="T12" s="66" t="inlineStr">
        <is>
          <t>A</t>
        </is>
      </c>
      <c r="U12" s="67" t="str">
        <f>IF(ISNUMBER(tblY11[[#This Row],[4B06 - Inheritance
Raw Score]]),IFERROR(VLOOKUP(ROUND(STANDARDIZE(tblY11[[#This Row],[4B06 - Inheritance
Raw Score]],AVERAGE(tblY11[[4B06 - Inheritance
Raw Score]]),_xlfn.STDEV.P(tblY11[[4B06 - Inheritance
Raw Score]])),9),_Stanine,2),5),"")</f>
        <v/>
      </c>
      <c r="V12" s="66" t="n">
        <v>22</v>
      </c>
      <c r="W12" s="67">
        <f>IF(ISNUMBER(tblY11[[#This Row],[4C10 - Chemical Analysis
Raw Score]]),IFERROR(VLOOKUP(ROUND(STANDARDIZE(tblY11[[#This Row],[4C10 - Chemical Analysis
Raw Score]],AVERAGE(tblY11[[4C10 - Chemical Analysis
Raw Score]]),_xlfn.STDEV.P(tblY11[[4C10 - Chemical Analysis
Raw Score]])),9),_Stanine,2),5),"")</f>
        <v>7</v>
      </c>
      <c r="X12" s="66" t="n">
        <v>22</v>
      </c>
      <c r="Y12" s="67">
        <f>IF(ISNUMBER(tblY11[[#This Row],[4P07 - Magnetism
Raw Score]]),IFERROR(VLOOKUP(ROUND(STANDARDIZE(tblY11[[#This Row],[4P07 - Magnetism
Raw Score]],AVERAGE(tblY11[[4P07 - Magnetism
Raw Score]]),_xlfn.STDEV.P(tblY11[[4P07 - Magnetism
Raw Score]])),9),_Stanine,2),5),"")</f>
        <v>7</v>
      </c>
    </row>
    <row r="13">
      <c r="A13" s="65" t="inlineStr">
        <is>
          <t>X907431289912</t>
        </is>
      </c>
      <c r="B13" s="65" t="inlineStr">
        <is>
          <t>Jones</t>
        </is>
      </c>
      <c r="C13" s="65" t="inlineStr">
        <is>
          <t>Nia</t>
        </is>
      </c>
      <c r="D13" s="66" t="inlineStr">
        <is>
          <t>F</t>
        </is>
      </c>
      <c r="E13" s="66" t="n"/>
      <c r="F13" s="66" t="inlineStr">
        <is>
          <t>N</t>
        </is>
      </c>
      <c r="G13" s="34" t="n">
        <v>100</v>
      </c>
      <c r="H13" s="34" t="n">
        <v>111.5</v>
      </c>
      <c r="I13" s="67">
        <f>IF(ISNUMBER(tblY11[[#This Row],[Avg KS2]]),IFERROR(VLOOKUP(ROUND(STANDARDIZE(tblY11[[#This Row],[Avg KS2]],AVERAGE(tblY11[[Avg KS2]]),_xlfn.STDEV.P(tblY11[[Avg KS2]])),9),_Stanine,2),5),"")</f>
        <v>7</v>
      </c>
      <c r="J13" s="66" t="inlineStr">
        <is>
          <t>11S/Sc1</t>
        </is>
      </c>
      <c r="K13" s="67">
        <f>IF(tblY11[[#This Row],[Preferred Last name]]="","",COUNTIFS($N$1:$ZZ$1,"*"&amp;CHAR(10)&amp;"Stanine",$N13:$ZZ13,"&gt;=1"))</f>
        <v>6</v>
      </c>
      <c r="L13" s="68">
        <f>IFERROR(AVERAGEIF($N$1:$ZZ$1,"*"&amp;CHAR(10)&amp;"Stanine",$N13:$ZZ13),"")</f>
        <v>7.33333333333333</v>
      </c>
      <c r="M13" s="69">
        <f>IF(AND(ISNUMBER(tblY11[[#This Row],[Mean Stanine]]),ISNUMBER(tblY11[[#This Row],[Avg KS2 Band]]),ISNUMBER(SlopeY11)),tblY11[[#This Row],[Mean Stanine]]-(InterceptY11+SlopeY11*tblY11[[#This Row],[Avg KS2 Band]]),"")</f>
        <v>0.882907647907648</v>
      </c>
      <c r="N13" s="66" t="n">
        <v>25</v>
      </c>
      <c r="O13" s="67">
        <f>IF(ISNUMBER(tblY11[[#This Row],[4B05 - Homeostasis
Raw Score]]),IFERROR(VLOOKUP(ROUND(STANDARDIZE(tblY11[[#This Row],[4B05 - Homeostasis
Raw Score]],AVERAGE(tblY11[[4B05 - Homeostasis
Raw Score]]),_xlfn.STDEV.P(tblY11[[4B05 - Homeostasis
Raw Score]])),9),_Stanine,2),5),"")</f>
        <v>6</v>
      </c>
      <c r="P13" s="66" t="n">
        <v>22</v>
      </c>
      <c r="Q13" s="67">
        <f>IF(ISNUMBER(tblY11[[#This Row],[4C09 - Organic Chemistry
Raw Score]]),IFERROR(VLOOKUP(ROUND(STANDARDIZE(tblY11[[#This Row],[4C09 - Organic Chemistry
Raw Score]],AVERAGE(tblY11[[4C09 - Organic Chemistry
Raw Score]]),_xlfn.STDEV.P(tblY11[[4C09 - Organic Chemistry
Raw Score]])),9),_Stanine,2),5),"")</f>
        <v>7</v>
      </c>
      <c r="R13" s="66" t="n">
        <v>33</v>
      </c>
      <c r="S13" s="67">
        <f>IF(ISNUMBER(tblY11[[#This Row],[4P06 - Waves
Raw Score]]),IFERROR(VLOOKUP(ROUND(STANDARDIZE(tblY11[[#This Row],[4P06 - Waves
Raw Score]],AVERAGE(tblY11[[4P06 - Waves
Raw Score]]),_xlfn.STDEV.P(tblY11[[4P06 - Waves
Raw Score]])),9),_Stanine,2),5),"")</f>
        <v>8</v>
      </c>
      <c r="T13" s="66" t="n">
        <v>32</v>
      </c>
      <c r="U13" s="67">
        <f>IF(ISNUMBER(tblY11[[#This Row],[4B06 - Inheritance
Raw Score]]),IFERROR(VLOOKUP(ROUND(STANDARDIZE(tblY11[[#This Row],[4B06 - Inheritance
Raw Score]],AVERAGE(tblY11[[4B06 - Inheritance
Raw Score]]),_xlfn.STDEV.P(tblY11[[4B06 - Inheritance
Raw Score]])),9),_Stanine,2),5),"")</f>
        <v>8</v>
      </c>
      <c r="V13" s="66" t="n">
        <v>20</v>
      </c>
      <c r="W13" s="67">
        <f>IF(ISNUMBER(tblY11[[#This Row],[4C10 - Chemical Analysis
Raw Score]]),IFERROR(VLOOKUP(ROUND(STANDARDIZE(tblY11[[#This Row],[4C10 - Chemical Analysis
Raw Score]],AVERAGE(tblY11[[4C10 - Chemical Analysis
Raw Score]]),_xlfn.STDEV.P(tblY11[[4C10 - Chemical Analysis
Raw Score]])),9),_Stanine,2),5),"")</f>
        <v>7</v>
      </c>
      <c r="X13" s="66" t="n">
        <v>25</v>
      </c>
      <c r="Y13" s="67">
        <f>IF(ISNUMBER(tblY11[[#This Row],[4P07 - Magnetism
Raw Score]]),IFERROR(VLOOKUP(ROUND(STANDARDIZE(tblY11[[#This Row],[4P07 - Magnetism
Raw Score]],AVERAGE(tblY11[[4P07 - Magnetism
Raw Score]]),_xlfn.STDEV.P(tblY11[[4P07 - Magnetism
Raw Score]])),9),_Stanine,2),5),"")</f>
        <v>8</v>
      </c>
    </row>
    <row r="14">
      <c r="A14" s="65" t="inlineStr">
        <is>
          <t>X902463891635</t>
        </is>
      </c>
      <c r="B14" s="65" t="inlineStr">
        <is>
          <t>Jones</t>
        </is>
      </c>
      <c r="C14" s="65" t="inlineStr">
        <is>
          <t>Poppy</t>
        </is>
      </c>
      <c r="D14" s="66" t="inlineStr">
        <is>
          <t>M</t>
        </is>
      </c>
      <c r="E14" s="66" t="inlineStr">
        <is>
          <t>N</t>
        </is>
      </c>
      <c r="F14" s="66" t="inlineStr">
        <is>
          <t>N</t>
        </is>
      </c>
      <c r="G14" s="34" t="n">
        <v>94.8</v>
      </c>
      <c r="H14" s="34" t="n">
        <v>116.5</v>
      </c>
      <c r="I14" s="67">
        <f>IF(ISNUMBER(tblY11[[#This Row],[Avg KS2]]),IFERROR(VLOOKUP(ROUND(STANDARDIZE(tblY11[[#This Row],[Avg KS2]],AVERAGE(tblY11[[Avg KS2]]),_xlfn.STDEV.P(tblY11[[Avg KS2]])),9),_Stanine,2),5),"")</f>
        <v>9</v>
      </c>
      <c r="J14" s="66" t="inlineStr">
        <is>
          <t>11S/Sc1</t>
        </is>
      </c>
      <c r="K14" s="67">
        <f>IF(tblY11[[#This Row],[Preferred Last name]]="","",COUNTIFS($N$1:$ZZ$1,"*"&amp;CHAR(10)&amp;"Stanine",$N14:$ZZ14,"&gt;=1"))</f>
        <v>6</v>
      </c>
      <c r="L14" s="68">
        <f>IFERROR(AVERAGEIF($N$1:$ZZ$1,"*"&amp;CHAR(10)&amp;"Stanine",$N14:$ZZ14),"")</f>
        <v>7</v>
      </c>
      <c r="M14" s="69">
        <f>IF(AND(ISNUMBER(tblY11[[#This Row],[Mean Stanine]]),ISNUMBER(tblY11[[#This Row],[Avg KS2 Band]]),ISNUMBER(SlopeY11)),tblY11[[#This Row],[Mean Stanine]]-(InterceptY11+SlopeY11*tblY11[[#This Row],[Avg KS2 Band]]),"")</f>
        <v>-0.948152958152958</v>
      </c>
      <c r="N14" s="66" t="n">
        <v>31</v>
      </c>
      <c r="O14" s="67">
        <f>IF(ISNUMBER(tblY11[[#This Row],[4B05 - Homeostasis
Raw Score]]),IFERROR(VLOOKUP(ROUND(STANDARDIZE(tblY11[[#This Row],[4B05 - Homeostasis
Raw Score]],AVERAGE(tblY11[[4B05 - Homeostasis
Raw Score]]),_xlfn.STDEV.P(tblY11[[4B05 - Homeostasis
Raw Score]])),9),_Stanine,2),5),"")</f>
        <v>7</v>
      </c>
      <c r="P14" s="66" t="n">
        <v>24</v>
      </c>
      <c r="Q14" s="67">
        <f>IF(ISNUMBER(tblY11[[#This Row],[4C09 - Organic Chemistry
Raw Score]]),IFERROR(VLOOKUP(ROUND(STANDARDIZE(tblY11[[#This Row],[4C09 - Organic Chemistry
Raw Score]],AVERAGE(tblY11[[4C09 - Organic Chemistry
Raw Score]]),_xlfn.STDEV.P(tblY11[[4C09 - Organic Chemistry
Raw Score]])),9),_Stanine,2),5),"")</f>
        <v>7</v>
      </c>
      <c r="R14" s="66" t="n">
        <v>28</v>
      </c>
      <c r="S14" s="67">
        <f>IF(ISNUMBER(tblY11[[#This Row],[4P06 - Waves
Raw Score]]),IFERROR(VLOOKUP(ROUND(STANDARDIZE(tblY11[[#This Row],[4P06 - Waves
Raw Score]],AVERAGE(tblY11[[4P06 - Waves
Raw Score]]),_xlfn.STDEV.P(tblY11[[4P06 - Waves
Raw Score]])),9),_Stanine,2),5),"")</f>
        <v>7</v>
      </c>
      <c r="T14" s="66" t="n">
        <v>31</v>
      </c>
      <c r="U14" s="67">
        <f>IF(ISNUMBER(tblY11[[#This Row],[4B06 - Inheritance
Raw Score]]),IFERROR(VLOOKUP(ROUND(STANDARDIZE(tblY11[[#This Row],[4B06 - Inheritance
Raw Score]],AVERAGE(tblY11[[4B06 - Inheritance
Raw Score]]),_xlfn.STDEV.P(tblY11[[4B06 - Inheritance
Raw Score]])),9),_Stanine,2),5),"")</f>
        <v>8</v>
      </c>
      <c r="V14" s="66" t="n">
        <v>22</v>
      </c>
      <c r="W14" s="67">
        <f>IF(ISNUMBER(tblY11[[#This Row],[4C10 - Chemical Analysis
Raw Score]]),IFERROR(VLOOKUP(ROUND(STANDARDIZE(tblY11[[#This Row],[4C10 - Chemical Analysis
Raw Score]],AVERAGE(tblY11[[4C10 - Chemical Analysis
Raw Score]]),_xlfn.STDEV.P(tblY11[[4C10 - Chemical Analysis
Raw Score]])),9),_Stanine,2),5),"")</f>
        <v>7</v>
      </c>
      <c r="X14" s="66" t="n">
        <v>19</v>
      </c>
      <c r="Y14" s="67">
        <f>IF(ISNUMBER(tblY11[[#This Row],[4P07 - Magnetism
Raw Score]]),IFERROR(VLOOKUP(ROUND(STANDARDIZE(tblY11[[#This Row],[4P07 - Magnetism
Raw Score]],AVERAGE(tblY11[[4P07 - Magnetism
Raw Score]]),_xlfn.STDEV.P(tblY11[[4P07 - Magnetism
Raw Score]])),9),_Stanine,2),5),"")</f>
        <v>6</v>
      </c>
    </row>
    <row r="15">
      <c r="A15" s="65" t="inlineStr">
        <is>
          <t>X908668621618</t>
        </is>
      </c>
      <c r="B15" s="65" t="inlineStr">
        <is>
          <t>Lewis</t>
        </is>
      </c>
      <c r="C15" s="65" t="inlineStr">
        <is>
          <t>Jacob</t>
        </is>
      </c>
      <c r="D15" s="66" t="inlineStr">
        <is>
          <t>M</t>
        </is>
      </c>
      <c r="E15" s="66" t="n"/>
      <c r="F15" s="66" t="inlineStr">
        <is>
          <t>Y</t>
        </is>
      </c>
      <c r="G15" s="34" t="n">
        <v>95.40000000000001</v>
      </c>
      <c r="H15" s="34" t="n">
        <v>112</v>
      </c>
      <c r="I15" s="67">
        <f>IF(ISNUMBER(tblY11[[#This Row],[Avg KS2]]),IFERROR(VLOOKUP(ROUND(STANDARDIZE(tblY11[[#This Row],[Avg KS2]],AVERAGE(tblY11[[Avg KS2]]),_xlfn.STDEV.P(tblY11[[Avg KS2]])),9),_Stanine,2),5),"")</f>
        <v>7</v>
      </c>
      <c r="J15" s="66" t="inlineStr">
        <is>
          <t>11S/Sc1</t>
        </is>
      </c>
      <c r="K15" s="67">
        <f>IF(tblY11[[#This Row],[Preferred Last name]]="","",COUNTIFS($N$1:$ZZ$1,"*"&amp;CHAR(10)&amp;"Stanine",$N15:$ZZ15,"&gt;=1"))</f>
        <v>6</v>
      </c>
      <c r="L15" s="68">
        <f>IFERROR(AVERAGEIF($N$1:$ZZ$1,"*"&amp;CHAR(10)&amp;"Stanine",$N15:$ZZ15),"")</f>
        <v>7</v>
      </c>
      <c r="M15" s="69">
        <f>IF(AND(ISNUMBER(tblY11[[#This Row],[Mean Stanine]]),ISNUMBER(tblY11[[#This Row],[Avg KS2 Band]]),ISNUMBER(SlopeY11)),tblY11[[#This Row],[Mean Stanine]]-(InterceptY11+SlopeY11*tblY11[[#This Row],[Avg KS2 Band]]),"")</f>
        <v>0.549574314574315</v>
      </c>
      <c r="N15" s="66" t="n">
        <v>24</v>
      </c>
      <c r="O15" s="67">
        <f>IF(ISNUMBER(tblY11[[#This Row],[4B05 - Homeostasis
Raw Score]]),IFERROR(VLOOKUP(ROUND(STANDARDIZE(tblY11[[#This Row],[4B05 - Homeostasis
Raw Score]],AVERAGE(tblY11[[4B05 - Homeostasis
Raw Score]]),_xlfn.STDEV.P(tblY11[[4B05 - Homeostasis
Raw Score]])),9),_Stanine,2),5),"")</f>
        <v>6</v>
      </c>
      <c r="P15" s="66" t="n">
        <v>22</v>
      </c>
      <c r="Q15" s="67">
        <f>IF(ISNUMBER(tblY11[[#This Row],[4C09 - Organic Chemistry
Raw Score]]),IFERROR(VLOOKUP(ROUND(STANDARDIZE(tblY11[[#This Row],[4C09 - Organic Chemistry
Raw Score]],AVERAGE(tblY11[[4C09 - Organic Chemistry
Raw Score]]),_xlfn.STDEV.P(tblY11[[4C09 - Organic Chemistry
Raw Score]])),9),_Stanine,2),5),"")</f>
        <v>7</v>
      </c>
      <c r="R15" s="66" t="n">
        <v>28</v>
      </c>
      <c r="S15" s="67">
        <f>IF(ISNUMBER(tblY11[[#This Row],[4P06 - Waves
Raw Score]]),IFERROR(VLOOKUP(ROUND(STANDARDIZE(tblY11[[#This Row],[4P06 - Waves
Raw Score]],AVERAGE(tblY11[[4P06 - Waves
Raw Score]]),_xlfn.STDEV.P(tblY11[[4P06 - Waves
Raw Score]])),9),_Stanine,2),5),"")</f>
        <v>7</v>
      </c>
      <c r="T15" s="66" t="n">
        <v>28</v>
      </c>
      <c r="U15" s="67">
        <f>IF(ISNUMBER(tblY11[[#This Row],[4B06 - Inheritance
Raw Score]]),IFERROR(VLOOKUP(ROUND(STANDARDIZE(tblY11[[#This Row],[4B06 - Inheritance
Raw Score]],AVERAGE(tblY11[[4B06 - Inheritance
Raw Score]]),_xlfn.STDEV.P(tblY11[[4B06 - Inheritance
Raw Score]])),9),_Stanine,2),5),"")</f>
        <v>7</v>
      </c>
      <c r="V15" s="66" t="n">
        <v>21</v>
      </c>
      <c r="W15" s="67">
        <f>IF(ISNUMBER(tblY11[[#This Row],[4C10 - Chemical Analysis
Raw Score]]),IFERROR(VLOOKUP(ROUND(STANDARDIZE(tblY11[[#This Row],[4C10 - Chemical Analysis
Raw Score]],AVERAGE(tblY11[[4C10 - Chemical Analysis
Raw Score]]),_xlfn.STDEV.P(tblY11[[4C10 - Chemical Analysis
Raw Score]])),9),_Stanine,2),5),"")</f>
        <v>7</v>
      </c>
      <c r="X15" s="66" t="n">
        <v>26</v>
      </c>
      <c r="Y15" s="67">
        <f>IF(ISNUMBER(tblY11[[#This Row],[4P07 - Magnetism
Raw Score]]),IFERROR(VLOOKUP(ROUND(STANDARDIZE(tblY11[[#This Row],[4P07 - Magnetism
Raw Score]],AVERAGE(tblY11[[4P07 - Magnetism
Raw Score]]),_xlfn.STDEV.P(tblY11[[4P07 - Magnetism
Raw Score]])),9),_Stanine,2),5),"")</f>
        <v>8</v>
      </c>
    </row>
    <row r="16">
      <c r="A16" s="65" t="inlineStr">
        <is>
          <t>X906862625921</t>
        </is>
      </c>
      <c r="B16" s="65" t="inlineStr">
        <is>
          <t>Morgan</t>
        </is>
      </c>
      <c r="C16" s="65" t="inlineStr">
        <is>
          <t>Arthur</t>
        </is>
      </c>
      <c r="D16" s="66" t="inlineStr">
        <is>
          <t>M</t>
        </is>
      </c>
      <c r="E16" s="66" t="n"/>
      <c r="F16" s="66" t="inlineStr">
        <is>
          <t>Y</t>
        </is>
      </c>
      <c r="G16" s="34" t="n">
        <v>100</v>
      </c>
      <c r="H16" s="34" t="n">
        <v>111.5</v>
      </c>
      <c r="I16" s="67">
        <f>IF(ISNUMBER(tblY11[[#This Row],[Avg KS2]]),IFERROR(VLOOKUP(ROUND(STANDARDIZE(tblY11[[#This Row],[Avg KS2]],AVERAGE(tblY11[[Avg KS2]]),_xlfn.STDEV.P(tblY11[[Avg KS2]])),9),_Stanine,2),5),"")</f>
        <v>7</v>
      </c>
      <c r="J16" s="66" t="inlineStr">
        <is>
          <t>11S/Sc1</t>
        </is>
      </c>
      <c r="K16" s="67">
        <f>IF(tblY11[[#This Row],[Preferred Last name]]="","",COUNTIFS($N$1:$ZZ$1,"*"&amp;CHAR(10)&amp;"Stanine",$N16:$ZZ16,"&gt;=1"))</f>
        <v>6</v>
      </c>
      <c r="L16" s="68">
        <f>IFERROR(AVERAGEIF($N$1:$ZZ$1,"*"&amp;CHAR(10)&amp;"Stanine",$N16:$ZZ16),"")</f>
        <v>6</v>
      </c>
      <c r="M16" s="69">
        <f>IF(AND(ISNUMBER(tblY11[[#This Row],[Mean Stanine]]),ISNUMBER(tblY11[[#This Row],[Avg KS2 Band]]),ISNUMBER(SlopeY11)),tblY11[[#This Row],[Mean Stanine]]-(InterceptY11+SlopeY11*tblY11[[#This Row],[Avg KS2 Band]]),"")</f>
        <v>-0.450425685425685</v>
      </c>
      <c r="N16" s="66" t="n">
        <v>26</v>
      </c>
      <c r="O16" s="67">
        <f>IF(ISNUMBER(tblY11[[#This Row],[4B05 - Homeostasis
Raw Score]]),IFERROR(VLOOKUP(ROUND(STANDARDIZE(tblY11[[#This Row],[4B05 - Homeostasis
Raw Score]],AVERAGE(tblY11[[4B05 - Homeostasis
Raw Score]]),_xlfn.STDEV.P(tblY11[[4B05 - Homeostasis
Raw Score]])),9),_Stanine,2),5),"")</f>
        <v>6</v>
      </c>
      <c r="P16" s="66" t="n">
        <v>18</v>
      </c>
      <c r="Q16" s="67">
        <f>IF(ISNUMBER(tblY11[[#This Row],[4C09 - Organic Chemistry
Raw Score]]),IFERROR(VLOOKUP(ROUND(STANDARDIZE(tblY11[[#This Row],[4C09 - Organic Chemistry
Raw Score]],AVERAGE(tblY11[[4C09 - Organic Chemistry
Raw Score]]),_xlfn.STDEV.P(tblY11[[4C09 - Organic Chemistry
Raw Score]])),9),_Stanine,2),5),"")</f>
        <v>5</v>
      </c>
      <c r="R16" s="66" t="n">
        <v>27</v>
      </c>
      <c r="S16" s="67">
        <f>IF(ISNUMBER(tblY11[[#This Row],[4P06 - Waves
Raw Score]]),IFERROR(VLOOKUP(ROUND(STANDARDIZE(tblY11[[#This Row],[4P06 - Waves
Raw Score]],AVERAGE(tblY11[[4P06 - Waves
Raw Score]]),_xlfn.STDEV.P(tblY11[[4P06 - Waves
Raw Score]])),9),_Stanine,2),5),"")</f>
        <v>6</v>
      </c>
      <c r="T16" s="66" t="n">
        <v>27</v>
      </c>
      <c r="U16" s="67">
        <f>IF(ISNUMBER(tblY11[[#This Row],[4B06 - Inheritance
Raw Score]]),IFERROR(VLOOKUP(ROUND(STANDARDIZE(tblY11[[#This Row],[4B06 - Inheritance
Raw Score]],AVERAGE(tblY11[[4B06 - Inheritance
Raw Score]]),_xlfn.STDEV.P(tblY11[[4B06 - Inheritance
Raw Score]])),9),_Stanine,2),5),"")</f>
        <v>7</v>
      </c>
      <c r="V16" s="66" t="n">
        <v>18</v>
      </c>
      <c r="W16" s="67">
        <f>IF(ISNUMBER(tblY11[[#This Row],[4C10 - Chemical Analysis
Raw Score]]),IFERROR(VLOOKUP(ROUND(STANDARDIZE(tblY11[[#This Row],[4C10 - Chemical Analysis
Raw Score]],AVERAGE(tblY11[[4C10 - Chemical Analysis
Raw Score]]),_xlfn.STDEV.P(tblY11[[4C10 - Chemical Analysis
Raw Score]])),9),_Stanine,2),5),"")</f>
        <v>6</v>
      </c>
      <c r="X16" s="66" t="n">
        <v>21</v>
      </c>
      <c r="Y16" s="67">
        <f>IF(ISNUMBER(tblY11[[#This Row],[4P07 - Magnetism
Raw Score]]),IFERROR(VLOOKUP(ROUND(STANDARDIZE(tblY11[[#This Row],[4P07 - Magnetism
Raw Score]],AVERAGE(tblY11[[4P07 - Magnetism
Raw Score]]),_xlfn.STDEV.P(tblY11[[4P07 - Magnetism
Raw Score]])),9),_Stanine,2),5),"")</f>
        <v>6</v>
      </c>
    </row>
    <row r="17">
      <c r="A17" s="65" t="inlineStr">
        <is>
          <t>X903537190065</t>
        </is>
      </c>
      <c r="B17" s="65" t="inlineStr">
        <is>
          <t>Morgan</t>
        </is>
      </c>
      <c r="C17" s="65" t="inlineStr">
        <is>
          <t>Megan</t>
        </is>
      </c>
      <c r="D17" s="66" t="inlineStr">
        <is>
          <t>F</t>
        </is>
      </c>
      <c r="E17" s="66" t="inlineStr">
        <is>
          <t>K</t>
        </is>
      </c>
      <c r="F17" s="66" t="inlineStr">
        <is>
          <t>N</t>
        </is>
      </c>
      <c r="G17" s="34" t="n">
        <v>100</v>
      </c>
      <c r="H17" s="34" t="n">
        <v>114</v>
      </c>
      <c r="I17" s="67">
        <f>IF(ISNUMBER(tblY11[[#This Row],[Avg KS2]]),IFERROR(VLOOKUP(ROUND(STANDARDIZE(tblY11[[#This Row],[Avg KS2]],AVERAGE(tblY11[[Avg KS2]]),_xlfn.STDEV.P(tblY11[[Avg KS2]])),9),_Stanine,2),5),"")</f>
        <v>8</v>
      </c>
      <c r="J17" s="66" t="inlineStr">
        <is>
          <t>11S/Sc1</t>
        </is>
      </c>
      <c r="K17" s="67">
        <f>IF(tblY11[[#This Row],[Preferred Last name]]="","",COUNTIFS($N$1:$ZZ$1,"*"&amp;CHAR(10)&amp;"Stanine",$N17:$ZZ17,"&gt;=1"))</f>
        <v>6</v>
      </c>
      <c r="L17" s="68">
        <f>IFERROR(AVERAGEIF($N$1:$ZZ$1,"*"&amp;CHAR(10)&amp;"Stanine",$N17:$ZZ17),"")</f>
        <v>5.83333333333333</v>
      </c>
      <c r="M17" s="69">
        <f>IF(AND(ISNUMBER(tblY11[[#This Row],[Mean Stanine]]),ISNUMBER(tblY11[[#This Row],[Avg KS2 Band]]),ISNUMBER(SlopeY11)),tblY11[[#This Row],[Mean Stanine]]-(InterceptY11+SlopeY11*tblY11[[#This Row],[Avg KS2 Band]]),"")</f>
        <v>-1.36595598845599</v>
      </c>
      <c r="N17" s="66" t="n">
        <v>26</v>
      </c>
      <c r="O17" s="67">
        <f>IF(ISNUMBER(tblY11[[#This Row],[4B05 - Homeostasis
Raw Score]]),IFERROR(VLOOKUP(ROUND(STANDARDIZE(tblY11[[#This Row],[4B05 - Homeostasis
Raw Score]],AVERAGE(tblY11[[4B05 - Homeostasis
Raw Score]]),_xlfn.STDEV.P(tblY11[[4B05 - Homeostasis
Raw Score]])),9),_Stanine,2),5),"")</f>
        <v>6</v>
      </c>
      <c r="P17" s="66" t="n">
        <v>23</v>
      </c>
      <c r="Q17" s="67">
        <f>IF(ISNUMBER(tblY11[[#This Row],[4C09 - Organic Chemistry
Raw Score]]),IFERROR(VLOOKUP(ROUND(STANDARDIZE(tblY11[[#This Row],[4C09 - Organic Chemistry
Raw Score]],AVERAGE(tblY11[[4C09 - Organic Chemistry
Raw Score]]),_xlfn.STDEV.P(tblY11[[4C09 - Organic Chemistry
Raw Score]])),9),_Stanine,2),5),"")</f>
        <v>7</v>
      </c>
      <c r="R17" s="66" t="n">
        <v>27</v>
      </c>
      <c r="S17" s="67">
        <f>IF(ISNUMBER(tblY11[[#This Row],[4P06 - Waves
Raw Score]]),IFERROR(VLOOKUP(ROUND(STANDARDIZE(tblY11[[#This Row],[4P06 - Waves
Raw Score]],AVERAGE(tblY11[[4P06 - Waves
Raw Score]]),_xlfn.STDEV.P(tblY11[[4P06 - Waves
Raw Score]])),9),_Stanine,2),5),"")</f>
        <v>6</v>
      </c>
      <c r="T17" s="66" t="n">
        <v>24</v>
      </c>
      <c r="U17" s="67">
        <f>IF(ISNUMBER(tblY11[[#This Row],[4B06 - Inheritance
Raw Score]]),IFERROR(VLOOKUP(ROUND(STANDARDIZE(tblY11[[#This Row],[4B06 - Inheritance
Raw Score]],AVERAGE(tblY11[[4B06 - Inheritance
Raw Score]]),_xlfn.STDEV.P(tblY11[[4B06 - Inheritance
Raw Score]])),9),_Stanine,2),5),"")</f>
        <v>6</v>
      </c>
      <c r="V17" s="66" t="n">
        <v>14</v>
      </c>
      <c r="W17" s="67">
        <f>IF(ISNUMBER(tblY11[[#This Row],[4C10 - Chemical Analysis
Raw Score]]),IFERROR(VLOOKUP(ROUND(STANDARDIZE(tblY11[[#This Row],[4C10 - Chemical Analysis
Raw Score]],AVERAGE(tblY11[[4C10 - Chemical Analysis
Raw Score]]),_xlfn.STDEV.P(tblY11[[4C10 - Chemical Analysis
Raw Score]])),9),_Stanine,2),5),"")</f>
        <v>5</v>
      </c>
      <c r="X17" s="66" t="n">
        <v>16</v>
      </c>
      <c r="Y17" s="67">
        <f>IF(ISNUMBER(tblY11[[#This Row],[4P07 - Magnetism
Raw Score]]),IFERROR(VLOOKUP(ROUND(STANDARDIZE(tblY11[[#This Row],[4P07 - Magnetism
Raw Score]],AVERAGE(tblY11[[4P07 - Magnetism
Raw Score]]),_xlfn.STDEV.P(tblY11[[4P07 - Magnetism
Raw Score]])),9),_Stanine,2),5),"")</f>
        <v>5</v>
      </c>
    </row>
    <row r="18">
      <c r="A18" s="65" t="inlineStr">
        <is>
          <t>X909163166491</t>
        </is>
      </c>
      <c r="B18" s="65" t="inlineStr">
        <is>
          <t>Murphy</t>
        </is>
      </c>
      <c r="C18" s="65" t="inlineStr">
        <is>
          <t>Mia</t>
        </is>
      </c>
      <c r="D18" s="66" t="inlineStr">
        <is>
          <t>F</t>
        </is>
      </c>
      <c r="E18" s="66" t="n"/>
      <c r="F18" s="66" t="inlineStr">
        <is>
          <t>N</t>
        </is>
      </c>
      <c r="G18" s="34" t="n">
        <v>91.59999999999999</v>
      </c>
      <c r="H18" s="34" t="n">
        <v>109.5</v>
      </c>
      <c r="I18" s="67">
        <f>IF(ISNUMBER(tblY11[[#This Row],[Avg KS2]]),IFERROR(VLOOKUP(ROUND(STANDARDIZE(tblY11[[#This Row],[Avg KS2]],AVERAGE(tblY11[[Avg KS2]]),_xlfn.STDEV.P(tblY11[[Avg KS2]])),9),_Stanine,2),5),"")</f>
        <v>7</v>
      </c>
      <c r="J18" s="66" t="inlineStr">
        <is>
          <t>11S/Sc1</t>
        </is>
      </c>
      <c r="K18" s="67">
        <f>IF(tblY11[[#This Row],[Preferred Last name]]="","",COUNTIFS($N$1:$ZZ$1,"*"&amp;CHAR(10)&amp;"Stanine",$N18:$ZZ18,"&gt;=1"))</f>
        <v>6</v>
      </c>
      <c r="L18" s="68">
        <f>IFERROR(AVERAGEIF($N$1:$ZZ$1,"*"&amp;CHAR(10)&amp;"Stanine",$N18:$ZZ18),"")</f>
        <v>6.16666666666667</v>
      </c>
      <c r="M18" s="69">
        <f>IF(AND(ISNUMBER(tblY11[[#This Row],[Mean Stanine]]),ISNUMBER(tblY11[[#This Row],[Avg KS2 Band]]),ISNUMBER(SlopeY11)),tblY11[[#This Row],[Mean Stanine]]-(InterceptY11+SlopeY11*tblY11[[#This Row],[Avg KS2 Band]]),"")</f>
        <v>-0.283759018759018</v>
      </c>
      <c r="N18" s="66" t="n">
        <v>22</v>
      </c>
      <c r="O18" s="67">
        <f>IF(ISNUMBER(tblY11[[#This Row],[4B05 - Homeostasis
Raw Score]]),IFERROR(VLOOKUP(ROUND(STANDARDIZE(tblY11[[#This Row],[4B05 - Homeostasis
Raw Score]],AVERAGE(tblY11[[4B05 - Homeostasis
Raw Score]]),_xlfn.STDEV.P(tblY11[[4B05 - Homeostasis
Raw Score]])),9),_Stanine,2),5),"")</f>
        <v>5</v>
      </c>
      <c r="P18" s="66" t="n">
        <v>16</v>
      </c>
      <c r="Q18" s="67">
        <f>IF(ISNUMBER(tblY11[[#This Row],[4C09 - Organic Chemistry
Raw Score]]),IFERROR(VLOOKUP(ROUND(STANDARDIZE(tblY11[[#This Row],[4C09 - Organic Chemistry
Raw Score]],AVERAGE(tblY11[[4C09 - Organic Chemistry
Raw Score]]),_xlfn.STDEV.P(tblY11[[4C09 - Organic Chemistry
Raw Score]])),9),_Stanine,2),5),"")</f>
        <v>5</v>
      </c>
      <c r="R18" s="66" t="n">
        <v>28</v>
      </c>
      <c r="S18" s="67">
        <f>IF(ISNUMBER(tblY11[[#This Row],[4P06 - Waves
Raw Score]]),IFERROR(VLOOKUP(ROUND(STANDARDIZE(tblY11[[#This Row],[4P06 - Waves
Raw Score]],AVERAGE(tblY11[[4P06 - Waves
Raw Score]]),_xlfn.STDEV.P(tblY11[[4P06 - Waves
Raw Score]])),9),_Stanine,2),5),"")</f>
        <v>7</v>
      </c>
      <c r="T18" s="66" t="n">
        <v>29</v>
      </c>
      <c r="U18" s="67">
        <f>IF(ISNUMBER(tblY11[[#This Row],[4B06 - Inheritance
Raw Score]]),IFERROR(VLOOKUP(ROUND(STANDARDIZE(tblY11[[#This Row],[4B06 - Inheritance
Raw Score]],AVERAGE(tblY11[[4B06 - Inheritance
Raw Score]]),_xlfn.STDEV.P(tblY11[[4B06 - Inheritance
Raw Score]])),9),_Stanine,2),5),"")</f>
        <v>7</v>
      </c>
      <c r="V18" s="66" t="n">
        <v>21</v>
      </c>
      <c r="W18" s="67">
        <f>IF(ISNUMBER(tblY11[[#This Row],[4C10 - Chemical Analysis
Raw Score]]),IFERROR(VLOOKUP(ROUND(STANDARDIZE(tblY11[[#This Row],[4C10 - Chemical Analysis
Raw Score]],AVERAGE(tblY11[[4C10 - Chemical Analysis
Raw Score]]),_xlfn.STDEV.P(tblY11[[4C10 - Chemical Analysis
Raw Score]])),9),_Stanine,2),5),"")</f>
        <v>7</v>
      </c>
      <c r="X18" s="66" t="n">
        <v>20</v>
      </c>
      <c r="Y18" s="67">
        <f>IF(ISNUMBER(tblY11[[#This Row],[4P07 - Magnetism
Raw Score]]),IFERROR(VLOOKUP(ROUND(STANDARDIZE(tblY11[[#This Row],[4P07 - Magnetism
Raw Score]],AVERAGE(tblY11[[4P07 - Magnetism
Raw Score]]),_xlfn.STDEV.P(tblY11[[4P07 - Magnetism
Raw Score]])),9),_Stanine,2),5),"")</f>
        <v>6</v>
      </c>
    </row>
    <row r="19">
      <c r="A19" s="65" t="inlineStr">
        <is>
          <t>X901888530749</t>
        </is>
      </c>
      <c r="B19" s="65" t="inlineStr">
        <is>
          <t>Nowak</t>
        </is>
      </c>
      <c r="C19" s="65" t="inlineStr">
        <is>
          <t>Freya</t>
        </is>
      </c>
      <c r="D19" s="66" t="inlineStr">
        <is>
          <t>F</t>
        </is>
      </c>
      <c r="E19" s="66" t="n"/>
      <c r="F19" s="66" t="inlineStr">
        <is>
          <t>N</t>
        </is>
      </c>
      <c r="G19" s="34" t="n">
        <v>88.8</v>
      </c>
      <c r="H19" s="34" t="n">
        <v>107</v>
      </c>
      <c r="I19" s="67">
        <f>IF(ISNUMBER(tblY11[[#This Row],[Avg KS2]]),IFERROR(VLOOKUP(ROUND(STANDARDIZE(tblY11[[#This Row],[Avg KS2]],AVERAGE(tblY11[[Avg KS2]]),_xlfn.STDEV.P(tblY11[[Avg KS2]])),9),_Stanine,2),5),"")</f>
        <v>6</v>
      </c>
      <c r="J19" s="66" t="inlineStr">
        <is>
          <t>11S/Sc1</t>
        </is>
      </c>
      <c r="K19" s="67">
        <f>IF(tblY11[[#This Row],[Preferred Last name]]="","",COUNTIFS($N$1:$ZZ$1,"*"&amp;CHAR(10)&amp;"Stanine",$N19:$ZZ19,"&gt;=1"))</f>
        <v>6</v>
      </c>
      <c r="L19" s="68">
        <f>IFERROR(AVERAGEIF($N$1:$ZZ$1,"*"&amp;CHAR(10)&amp;"Stanine",$N19:$ZZ19),"")</f>
        <v>7.16666666666667</v>
      </c>
      <c r="M19" s="69">
        <f>IF(AND(ISNUMBER(tblY11[[#This Row],[Mean Stanine]]),ISNUMBER(tblY11[[#This Row],[Avg KS2 Band]]),ISNUMBER(SlopeY11)),tblY11[[#This Row],[Mean Stanine]]-(InterceptY11+SlopeY11*tblY11[[#This Row],[Avg KS2 Band]]),"")</f>
        <v>1.46510461760462</v>
      </c>
      <c r="N19" s="66" t="n">
        <v>32</v>
      </c>
      <c r="O19" s="67">
        <f>IF(ISNUMBER(tblY11[[#This Row],[4B05 - Homeostasis
Raw Score]]),IFERROR(VLOOKUP(ROUND(STANDARDIZE(tblY11[[#This Row],[4B05 - Homeostasis
Raw Score]],AVERAGE(tblY11[[4B05 - Homeostasis
Raw Score]]),_xlfn.STDEV.P(tblY11[[4B05 - Homeostasis
Raw Score]])),9),_Stanine,2),5),"")</f>
        <v>8</v>
      </c>
      <c r="P19" s="66" t="n">
        <v>24</v>
      </c>
      <c r="Q19" s="67">
        <f>IF(ISNUMBER(tblY11[[#This Row],[4C09 - Organic Chemistry
Raw Score]]),IFERROR(VLOOKUP(ROUND(STANDARDIZE(tblY11[[#This Row],[4C09 - Organic Chemistry
Raw Score]],AVERAGE(tblY11[[4C09 - Organic Chemistry
Raw Score]]),_xlfn.STDEV.P(tblY11[[4C09 - Organic Chemistry
Raw Score]])),9),_Stanine,2),5),"")</f>
        <v>7</v>
      </c>
      <c r="R19" s="66" t="n">
        <v>29</v>
      </c>
      <c r="S19" s="67">
        <f>IF(ISNUMBER(tblY11[[#This Row],[4P06 - Waves
Raw Score]]),IFERROR(VLOOKUP(ROUND(STANDARDIZE(tblY11[[#This Row],[4P06 - Waves
Raw Score]],AVERAGE(tblY11[[4P06 - Waves
Raw Score]]),_xlfn.STDEV.P(tblY11[[4P06 - Waves
Raw Score]])),9),_Stanine,2),5),"")</f>
        <v>7</v>
      </c>
      <c r="T19" s="66" t="n">
        <v>27</v>
      </c>
      <c r="U19" s="67">
        <f>IF(ISNUMBER(tblY11[[#This Row],[4B06 - Inheritance
Raw Score]]),IFERROR(VLOOKUP(ROUND(STANDARDIZE(tblY11[[#This Row],[4B06 - Inheritance
Raw Score]],AVERAGE(tblY11[[4B06 - Inheritance
Raw Score]]),_xlfn.STDEV.P(tblY11[[4B06 - Inheritance
Raw Score]])),9),_Stanine,2),5),"")</f>
        <v>7</v>
      </c>
      <c r="V19" s="66" t="n">
        <v>19</v>
      </c>
      <c r="W19" s="67">
        <f>IF(ISNUMBER(tblY11[[#This Row],[4C10 - Chemical Analysis
Raw Score]]),IFERROR(VLOOKUP(ROUND(STANDARDIZE(tblY11[[#This Row],[4C10 - Chemical Analysis
Raw Score]],AVERAGE(tblY11[[4C10 - Chemical Analysis
Raw Score]]),_xlfn.STDEV.P(tblY11[[4C10 - Chemical Analysis
Raw Score]])),9),_Stanine,2),5),"")</f>
        <v>6</v>
      </c>
      <c r="X19" s="66" t="n">
        <v>26</v>
      </c>
      <c r="Y19" s="67">
        <f>IF(ISNUMBER(tblY11[[#This Row],[4P07 - Magnetism
Raw Score]]),IFERROR(VLOOKUP(ROUND(STANDARDIZE(tblY11[[#This Row],[4P07 - Magnetism
Raw Score]],AVERAGE(tblY11[[4P07 - Magnetism
Raw Score]]),_xlfn.STDEV.P(tblY11[[4P07 - Magnetism
Raw Score]])),9),_Stanine,2),5),"")</f>
        <v>8</v>
      </c>
    </row>
    <row r="20">
      <c r="A20" s="65" t="inlineStr">
        <is>
          <t>X904693150008</t>
        </is>
      </c>
      <c r="B20" s="65" t="inlineStr">
        <is>
          <t>Okafor</t>
        </is>
      </c>
      <c r="C20" s="65" t="inlineStr">
        <is>
          <t>Zara</t>
        </is>
      </c>
      <c r="D20" s="66" t="inlineStr">
        <is>
          <t>M</t>
        </is>
      </c>
      <c r="E20" s="66" t="inlineStr">
        <is>
          <t>N</t>
        </is>
      </c>
      <c r="F20" s="66" t="inlineStr">
        <is>
          <t>Y</t>
        </is>
      </c>
      <c r="G20" s="34" t="n">
        <v>97.09999999999999</v>
      </c>
      <c r="H20" s="34" t="n">
        <v>119.5</v>
      </c>
      <c r="I20" s="67">
        <f>IF(ISNUMBER(tblY11[[#This Row],[Avg KS2]]),IFERROR(VLOOKUP(ROUND(STANDARDIZE(tblY11[[#This Row],[Avg KS2]],AVERAGE(tblY11[[Avg KS2]]),_xlfn.STDEV.P(tblY11[[Avg KS2]])),9),_Stanine,2),5),"")</f>
        <v>9</v>
      </c>
      <c r="J20" s="66" t="inlineStr">
        <is>
          <t>11S/Sc1</t>
        </is>
      </c>
      <c r="K20" s="67">
        <f>IF(tblY11[[#This Row],[Preferred Last name]]="","",COUNTIFS($N$1:$ZZ$1,"*"&amp;CHAR(10)&amp;"Stanine",$N20:$ZZ20,"&gt;=1"))</f>
        <v>6</v>
      </c>
      <c r="L20" s="68">
        <f>IFERROR(AVERAGEIF($N$1:$ZZ$1,"*"&amp;CHAR(10)&amp;"Stanine",$N20:$ZZ20),"")</f>
        <v>9</v>
      </c>
      <c r="M20" s="69">
        <f>IF(AND(ISNUMBER(tblY11[[#This Row],[Mean Stanine]]),ISNUMBER(tblY11[[#This Row],[Avg KS2 Band]]),ISNUMBER(SlopeY11)),tblY11[[#This Row],[Mean Stanine]]-(InterceptY11+SlopeY11*tblY11[[#This Row],[Avg KS2 Band]]),"")</f>
        <v>1.05184704184704</v>
      </c>
      <c r="N20" s="66" t="n">
        <v>39</v>
      </c>
      <c r="O20" s="67">
        <f>IF(ISNUMBER(tblY11[[#This Row],[4B05 - Homeostasis
Raw Score]]),IFERROR(VLOOKUP(ROUND(STANDARDIZE(tblY11[[#This Row],[4B05 - Homeostasis
Raw Score]],AVERAGE(tblY11[[4B05 - Homeostasis
Raw Score]]),_xlfn.STDEV.P(tblY11[[4B05 - Homeostasis
Raw Score]])),9),_Stanine,2),5),"")</f>
        <v>9</v>
      </c>
      <c r="P20" s="66" t="n">
        <v>31</v>
      </c>
      <c r="Q20" s="67">
        <f>IF(ISNUMBER(tblY11[[#This Row],[4C09 - Organic Chemistry
Raw Score]]),IFERROR(VLOOKUP(ROUND(STANDARDIZE(tblY11[[#This Row],[4C09 - Organic Chemistry
Raw Score]],AVERAGE(tblY11[[4C09 - Organic Chemistry
Raw Score]]),_xlfn.STDEV.P(tblY11[[4C09 - Organic Chemistry
Raw Score]])),9),_Stanine,2),5),"")</f>
        <v>9</v>
      </c>
      <c r="R20" s="66" t="n">
        <v>37</v>
      </c>
      <c r="S20" s="67">
        <f>IF(ISNUMBER(tblY11[[#This Row],[4P06 - Waves
Raw Score]]),IFERROR(VLOOKUP(ROUND(STANDARDIZE(tblY11[[#This Row],[4P06 - Waves
Raw Score]],AVERAGE(tblY11[[4P06 - Waves
Raw Score]]),_xlfn.STDEV.P(tblY11[[4P06 - Waves
Raw Score]])),9),_Stanine,2),5),"")</f>
        <v>9</v>
      </c>
      <c r="T20" s="66" t="n">
        <v>37</v>
      </c>
      <c r="U20" s="67">
        <f>IF(ISNUMBER(tblY11[[#This Row],[4B06 - Inheritance
Raw Score]]),IFERROR(VLOOKUP(ROUND(STANDARDIZE(tblY11[[#This Row],[4B06 - Inheritance
Raw Score]],AVERAGE(tblY11[[4B06 - Inheritance
Raw Score]]),_xlfn.STDEV.P(tblY11[[4B06 - Inheritance
Raw Score]])),9),_Stanine,2),5),"")</f>
        <v>9</v>
      </c>
      <c r="V20" s="66" t="n">
        <v>29</v>
      </c>
      <c r="W20" s="67">
        <f>IF(ISNUMBER(tblY11[[#This Row],[4C10 - Chemical Analysis
Raw Score]]),IFERROR(VLOOKUP(ROUND(STANDARDIZE(tblY11[[#This Row],[4C10 - Chemical Analysis
Raw Score]],AVERAGE(tblY11[[4C10 - Chemical Analysis
Raw Score]]),_xlfn.STDEV.P(tblY11[[4C10 - Chemical Analysis
Raw Score]])),9),_Stanine,2),5),"")</f>
        <v>9</v>
      </c>
      <c r="X20" s="66" t="n">
        <v>31</v>
      </c>
      <c r="Y20" s="67">
        <f>IF(ISNUMBER(tblY11[[#This Row],[4P07 - Magnetism
Raw Score]]),IFERROR(VLOOKUP(ROUND(STANDARDIZE(tblY11[[#This Row],[4P07 - Magnetism
Raw Score]],AVERAGE(tblY11[[4P07 - Magnetism
Raw Score]]),_xlfn.STDEV.P(tblY11[[4P07 - Magnetism
Raw Score]])),9),_Stanine,2),5),"")</f>
        <v>9</v>
      </c>
    </row>
    <row r="21">
      <c r="A21" s="65" t="inlineStr">
        <is>
          <t>X901531381762</t>
        </is>
      </c>
      <c r="B21" s="65" t="inlineStr">
        <is>
          <t>Patel</t>
        </is>
      </c>
      <c r="C21" s="65" t="inlineStr">
        <is>
          <t>Maisie</t>
        </is>
      </c>
      <c r="D21" s="66" t="inlineStr">
        <is>
          <t>F</t>
        </is>
      </c>
      <c r="E21" s="66" t="n"/>
      <c r="F21" s="66" t="inlineStr">
        <is>
          <t>N</t>
        </is>
      </c>
      <c r="G21" s="34" t="n">
        <v>89.59999999999999</v>
      </c>
      <c r="H21" s="34" t="n">
        <v>116</v>
      </c>
      <c r="I21" s="67">
        <f>IF(ISNUMBER(tblY11[[#This Row],[Avg KS2]]),IFERROR(VLOOKUP(ROUND(STANDARDIZE(tblY11[[#This Row],[Avg KS2]],AVERAGE(tblY11[[Avg KS2]]),_xlfn.STDEV.P(tblY11[[Avg KS2]])),9),_Stanine,2),5),"")</f>
        <v>9</v>
      </c>
      <c r="J21" s="66" t="inlineStr">
        <is>
          <t>11S/Sc1</t>
        </is>
      </c>
      <c r="K21" s="67">
        <f>IF(tblY11[[#This Row],[Preferred Last name]]="","",COUNTIFS($N$1:$ZZ$1,"*"&amp;CHAR(10)&amp;"Stanine",$N21:$ZZ21,"&gt;=1"))</f>
        <v>5</v>
      </c>
      <c r="L21" s="68">
        <f>IFERROR(AVERAGEIF($N$1:$ZZ$1,"*"&amp;CHAR(10)&amp;"Stanine",$N21:$ZZ21),"")</f>
        <v>8</v>
      </c>
      <c r="M21" s="69">
        <f>IF(AND(ISNUMBER(tblY11[[#This Row],[Mean Stanine]]),ISNUMBER(tblY11[[#This Row],[Avg KS2 Band]]),ISNUMBER(SlopeY11)),tblY11[[#This Row],[Mean Stanine]]-(InterceptY11+SlopeY11*tblY11[[#This Row],[Avg KS2 Band]]),"")</f>
        <v>0.0518470418470418</v>
      </c>
      <c r="N21" s="66" t="n">
        <v>35</v>
      </c>
      <c r="O21" s="67">
        <f>IF(ISNUMBER(tblY11[[#This Row],[4B05 - Homeostasis
Raw Score]]),IFERROR(VLOOKUP(ROUND(STANDARDIZE(tblY11[[#This Row],[4B05 - Homeostasis
Raw Score]],AVERAGE(tblY11[[4B05 - Homeostasis
Raw Score]]),_xlfn.STDEV.P(tblY11[[4B05 - Homeostasis
Raw Score]])),9),_Stanine,2),5),"")</f>
        <v>8</v>
      </c>
      <c r="P21" s="66" t="inlineStr">
        <is>
          <t>A</t>
        </is>
      </c>
      <c r="Q21" s="67" t="str">
        <f>IF(ISNUMBER(tblY11[[#This Row],[4C09 - Organic Chemistry
Raw Score]]),IFERROR(VLOOKUP(ROUND(STANDARDIZE(tblY11[[#This Row],[4C09 - Organic Chemistry
Raw Score]],AVERAGE(tblY11[[4C09 - Organic Chemistry
Raw Score]]),_xlfn.STDEV.P(tblY11[[4C09 - Organic Chemistry
Raw Score]])),9),_Stanine,2),5),"")</f>
        <v/>
      </c>
      <c r="R21" s="66" t="n">
        <v>34</v>
      </c>
      <c r="S21" s="67">
        <f>IF(ISNUMBER(tblY11[[#This Row],[4P06 - Waves
Raw Score]]),IFERROR(VLOOKUP(ROUND(STANDARDIZE(tblY11[[#This Row],[4P06 - Waves
Raw Score]],AVERAGE(tblY11[[4P06 - Waves
Raw Score]]),_xlfn.STDEV.P(tblY11[[4P06 - Waves
Raw Score]])),9),_Stanine,2),5),"")</f>
        <v>8</v>
      </c>
      <c r="T21" s="66" t="n">
        <v>34</v>
      </c>
      <c r="U21" s="67">
        <f>IF(ISNUMBER(tblY11[[#This Row],[4B06 - Inheritance
Raw Score]]),IFERROR(VLOOKUP(ROUND(STANDARDIZE(tblY11[[#This Row],[4B06 - Inheritance
Raw Score]],AVERAGE(tblY11[[4B06 - Inheritance
Raw Score]]),_xlfn.STDEV.P(tblY11[[4B06 - Inheritance
Raw Score]])),9),_Stanine,2),5),"")</f>
        <v>8</v>
      </c>
      <c r="V21" s="66" t="n">
        <v>25</v>
      </c>
      <c r="W21" s="67">
        <f>IF(ISNUMBER(tblY11[[#This Row],[4C10 - Chemical Analysis
Raw Score]]),IFERROR(VLOOKUP(ROUND(STANDARDIZE(tblY11[[#This Row],[4C10 - Chemical Analysis
Raw Score]],AVERAGE(tblY11[[4C10 - Chemical Analysis
Raw Score]]),_xlfn.STDEV.P(tblY11[[4C10 - Chemical Analysis
Raw Score]])),9),_Stanine,2),5),"")</f>
        <v>8</v>
      </c>
      <c r="X21" s="66" t="n">
        <v>28</v>
      </c>
      <c r="Y21" s="67">
        <f>IF(ISNUMBER(tblY11[[#This Row],[4P07 - Magnetism
Raw Score]]),IFERROR(VLOOKUP(ROUND(STANDARDIZE(tblY11[[#This Row],[4P07 - Magnetism
Raw Score]],AVERAGE(tblY11[[4P07 - Magnetism
Raw Score]]),_xlfn.STDEV.P(tblY11[[4P07 - Magnetism
Raw Score]])),9),_Stanine,2),5),"")</f>
        <v>8</v>
      </c>
    </row>
    <row r="22">
      <c r="A22" s="65" t="inlineStr">
        <is>
          <t>X909292221719</t>
        </is>
      </c>
      <c r="B22" s="65" t="inlineStr">
        <is>
          <t>Robinson</t>
        </is>
      </c>
      <c r="C22" s="65" t="inlineStr">
        <is>
          <t>Jacob</t>
        </is>
      </c>
      <c r="D22" s="66" t="inlineStr">
        <is>
          <t>M</t>
        </is>
      </c>
      <c r="E22" s="66" t="inlineStr">
        <is>
          <t>N</t>
        </is>
      </c>
      <c r="F22" s="66" t="inlineStr">
        <is>
          <t>N</t>
        </is>
      </c>
      <c r="G22" s="34" t="n">
        <v>94.2</v>
      </c>
      <c r="H22" s="34" t="n">
        <v>108.5</v>
      </c>
      <c r="I22" s="67">
        <f>IF(ISNUMBER(tblY11[[#This Row],[Avg KS2]]),IFERROR(VLOOKUP(ROUND(STANDARDIZE(tblY11[[#This Row],[Avg KS2]],AVERAGE(tblY11[[Avg KS2]]),_xlfn.STDEV.P(tblY11[[Avg KS2]])),9),_Stanine,2),5),"")</f>
        <v>6</v>
      </c>
      <c r="J22" s="66" t="inlineStr">
        <is>
          <t>11S/Sc1</t>
        </is>
      </c>
      <c r="K22" s="67">
        <f>IF(tblY11[[#This Row],[Preferred Last name]]="","",COUNTIFS($N$1:$ZZ$1,"*"&amp;CHAR(10)&amp;"Stanine",$N22:$ZZ22,"&gt;=1"))</f>
        <v>6</v>
      </c>
      <c r="L22" s="68">
        <f>IFERROR(AVERAGEIF($N$1:$ZZ$1,"*"&amp;CHAR(10)&amp;"Stanine",$N22:$ZZ22),"")</f>
        <v>5.83333333333333</v>
      </c>
      <c r="M22" s="69">
        <f>IF(AND(ISNUMBER(tblY11[[#This Row],[Mean Stanine]]),ISNUMBER(tblY11[[#This Row],[Avg KS2 Band]]),ISNUMBER(SlopeY11)),tblY11[[#This Row],[Mean Stanine]]-(InterceptY11+SlopeY11*tblY11[[#This Row],[Avg KS2 Band]]),"")</f>
        <v>0.131771284271284</v>
      </c>
      <c r="N22" s="66" t="n">
        <v>29</v>
      </c>
      <c r="O22" s="67">
        <f>IF(ISNUMBER(tblY11[[#This Row],[4B05 - Homeostasis
Raw Score]]),IFERROR(VLOOKUP(ROUND(STANDARDIZE(tblY11[[#This Row],[4B05 - Homeostasis
Raw Score]],AVERAGE(tblY11[[4B05 - Homeostasis
Raw Score]]),_xlfn.STDEV.P(tblY11[[4B05 - Homeostasis
Raw Score]])),9),_Stanine,2),5),"")</f>
        <v>7</v>
      </c>
      <c r="P22" s="66" t="n">
        <v>18</v>
      </c>
      <c r="Q22" s="67">
        <f>IF(ISNUMBER(tblY11[[#This Row],[4C09 - Organic Chemistry
Raw Score]]),IFERROR(VLOOKUP(ROUND(STANDARDIZE(tblY11[[#This Row],[4C09 - Organic Chemistry
Raw Score]],AVERAGE(tblY11[[4C09 - Organic Chemistry
Raw Score]]),_xlfn.STDEV.P(tblY11[[4C09 - Organic Chemistry
Raw Score]])),9),_Stanine,2),5),"")</f>
        <v>5</v>
      </c>
      <c r="R22" s="66" t="n">
        <v>27</v>
      </c>
      <c r="S22" s="67">
        <f>IF(ISNUMBER(tblY11[[#This Row],[4P06 - Waves
Raw Score]]),IFERROR(VLOOKUP(ROUND(STANDARDIZE(tblY11[[#This Row],[4P06 - Waves
Raw Score]],AVERAGE(tblY11[[4P06 - Waves
Raw Score]]),_xlfn.STDEV.P(tblY11[[4P06 - Waves
Raw Score]])),9),_Stanine,2),5),"")</f>
        <v>6</v>
      </c>
      <c r="T22" s="66" t="n">
        <v>26</v>
      </c>
      <c r="U22" s="67">
        <f>IF(ISNUMBER(tblY11[[#This Row],[4B06 - Inheritance
Raw Score]]),IFERROR(VLOOKUP(ROUND(STANDARDIZE(tblY11[[#This Row],[4B06 - Inheritance
Raw Score]],AVERAGE(tblY11[[4B06 - Inheritance
Raw Score]]),_xlfn.STDEV.P(tblY11[[4B06 - Inheritance
Raw Score]])),9),_Stanine,2),5),"")</f>
        <v>7</v>
      </c>
      <c r="V22" s="66" t="n">
        <v>16</v>
      </c>
      <c r="W22" s="67">
        <f>IF(ISNUMBER(tblY11[[#This Row],[4C10 - Chemical Analysis
Raw Score]]),IFERROR(VLOOKUP(ROUND(STANDARDIZE(tblY11[[#This Row],[4C10 - Chemical Analysis
Raw Score]],AVERAGE(tblY11[[4C10 - Chemical Analysis
Raw Score]]),_xlfn.STDEV.P(tblY11[[4C10 - Chemical Analysis
Raw Score]])),9),_Stanine,2),5),"")</f>
        <v>6</v>
      </c>
      <c r="X22" s="66" t="n">
        <v>11</v>
      </c>
      <c r="Y22" s="67">
        <f>IF(ISNUMBER(tblY11[[#This Row],[4P07 - Magnetism
Raw Score]]),IFERROR(VLOOKUP(ROUND(STANDARDIZE(tblY11[[#This Row],[4P07 - Magnetism
Raw Score]],AVERAGE(tblY11[[4P07 - Magnetism
Raw Score]]),_xlfn.STDEV.P(tblY11[[4P07 - Magnetism
Raw Score]])),9),_Stanine,2),5),"")</f>
        <v>4</v>
      </c>
    </row>
    <row r="23">
      <c r="A23" s="65" t="inlineStr">
        <is>
          <t>X904526038918</t>
        </is>
      </c>
      <c r="B23" s="65" t="inlineStr">
        <is>
          <t>Shaw</t>
        </is>
      </c>
      <c r="C23" s="65" t="inlineStr">
        <is>
          <t>Grace</t>
        </is>
      </c>
      <c r="D23" s="66" t="inlineStr">
        <is>
          <t>M</t>
        </is>
      </c>
      <c r="E23" s="66" t="inlineStr">
        <is>
          <t>N</t>
        </is>
      </c>
      <c r="F23" s="66" t="inlineStr">
        <is>
          <t>N</t>
        </is>
      </c>
      <c r="G23" s="34" t="n">
        <v>96.3</v>
      </c>
      <c r="H23" s="34" t="n">
        <v>102</v>
      </c>
      <c r="I23" s="67">
        <f>IF(ISNUMBER(tblY11[[#This Row],[Avg KS2]]),IFERROR(VLOOKUP(ROUND(STANDARDIZE(tblY11[[#This Row],[Avg KS2]],AVERAGE(tblY11[[Avg KS2]]),_xlfn.STDEV.P(tblY11[[Avg KS2]])),9),_Stanine,2),5),"")</f>
        <v>4</v>
      </c>
      <c r="J23" s="66" t="inlineStr">
        <is>
          <t>11S/Sc1</t>
        </is>
      </c>
      <c r="K23" s="67">
        <f>IF(tblY11[[#This Row],[Preferred Last name]]="","",COUNTIFS($N$1:$ZZ$1,"*"&amp;CHAR(10)&amp;"Stanine",$N23:$ZZ23,"&gt;=1"))</f>
        <v>6</v>
      </c>
      <c r="L23" s="68">
        <f>IFERROR(AVERAGEIF($N$1:$ZZ$1,"*"&amp;CHAR(10)&amp;"Stanine",$N23:$ZZ23),"")</f>
        <v>7.33333333333333</v>
      </c>
      <c r="M23" s="69">
        <f>IF(AND(ISNUMBER(tblY11[[#This Row],[Mean Stanine]]),ISNUMBER(tblY11[[#This Row],[Avg KS2 Band]]),ISNUMBER(SlopeY11)),tblY11[[#This Row],[Mean Stanine]]-(InterceptY11+SlopeY11*tblY11[[#This Row],[Avg KS2 Band]]),"")</f>
        <v>3.12949855699856</v>
      </c>
      <c r="N23" s="66" t="n">
        <v>31</v>
      </c>
      <c r="O23" s="67">
        <f>IF(ISNUMBER(tblY11[[#This Row],[4B05 - Homeostasis
Raw Score]]),IFERROR(VLOOKUP(ROUND(STANDARDIZE(tblY11[[#This Row],[4B05 - Homeostasis
Raw Score]],AVERAGE(tblY11[[4B05 - Homeostasis
Raw Score]]),_xlfn.STDEV.P(tblY11[[4B05 - Homeostasis
Raw Score]])),9),_Stanine,2),5),"")</f>
        <v>7</v>
      </c>
      <c r="P23" s="66" t="n">
        <v>28</v>
      </c>
      <c r="Q23" s="67">
        <f>IF(ISNUMBER(tblY11[[#This Row],[4C09 - Organic Chemistry
Raw Score]]),IFERROR(VLOOKUP(ROUND(STANDARDIZE(tblY11[[#This Row],[4C09 - Organic Chemistry
Raw Score]],AVERAGE(tblY11[[4C09 - Organic Chemistry
Raw Score]]),_xlfn.STDEV.P(tblY11[[4C09 - Organic Chemistry
Raw Score]])),9),_Stanine,2),5),"")</f>
        <v>8</v>
      </c>
      <c r="R23" s="66" t="n">
        <v>33</v>
      </c>
      <c r="S23" s="67">
        <f>IF(ISNUMBER(tblY11[[#This Row],[4P06 - Waves
Raw Score]]),IFERROR(VLOOKUP(ROUND(STANDARDIZE(tblY11[[#This Row],[4P06 - Waves
Raw Score]],AVERAGE(tblY11[[4P06 - Waves
Raw Score]]),_xlfn.STDEV.P(tblY11[[4P06 - Waves
Raw Score]])),9),_Stanine,2),5),"")</f>
        <v>8</v>
      </c>
      <c r="T23" s="66" t="n">
        <v>30</v>
      </c>
      <c r="U23" s="67">
        <f>IF(ISNUMBER(tblY11[[#This Row],[4B06 - Inheritance
Raw Score]]),IFERROR(VLOOKUP(ROUND(STANDARDIZE(tblY11[[#This Row],[4B06 - Inheritance
Raw Score]],AVERAGE(tblY11[[4B06 - Inheritance
Raw Score]]),_xlfn.STDEV.P(tblY11[[4B06 - Inheritance
Raw Score]])),9),_Stanine,2),5),"")</f>
        <v>7</v>
      </c>
      <c r="V23" s="66" t="n">
        <v>21</v>
      </c>
      <c r="W23" s="67">
        <f>IF(ISNUMBER(tblY11[[#This Row],[4C10 - Chemical Analysis
Raw Score]]),IFERROR(VLOOKUP(ROUND(STANDARDIZE(tblY11[[#This Row],[4C10 - Chemical Analysis
Raw Score]],AVERAGE(tblY11[[4C10 - Chemical Analysis
Raw Score]]),_xlfn.STDEV.P(tblY11[[4C10 - Chemical Analysis
Raw Score]])),9),_Stanine,2),5),"")</f>
        <v>7</v>
      </c>
      <c r="X23" s="66" t="n">
        <v>22</v>
      </c>
      <c r="Y23" s="67">
        <f>IF(ISNUMBER(tblY11[[#This Row],[4P07 - Magnetism
Raw Score]]),IFERROR(VLOOKUP(ROUND(STANDARDIZE(tblY11[[#This Row],[4P07 - Magnetism
Raw Score]],AVERAGE(tblY11[[4P07 - Magnetism
Raw Score]]),_xlfn.STDEV.P(tblY11[[4P07 - Magnetism
Raw Score]])),9),_Stanine,2),5),"")</f>
        <v>7</v>
      </c>
    </row>
    <row r="24">
      <c r="A24" s="65" t="inlineStr">
        <is>
          <t>X902396198485</t>
        </is>
      </c>
      <c r="B24" s="65" t="inlineStr">
        <is>
          <t>Thompson</t>
        </is>
      </c>
      <c r="C24" s="65" t="inlineStr">
        <is>
          <t>Rosie</t>
        </is>
      </c>
      <c r="D24" s="66" t="inlineStr">
        <is>
          <t>F</t>
        </is>
      </c>
      <c r="E24" s="66" t="n"/>
      <c r="F24" s="66" t="inlineStr">
        <is>
          <t>N</t>
        </is>
      </c>
      <c r="G24" s="34" t="n">
        <v>100</v>
      </c>
      <c r="H24" s="34" t="n">
        <v>105</v>
      </c>
      <c r="I24" s="67">
        <f>IF(ISNUMBER(tblY11[[#This Row],[Avg KS2]]),IFERROR(VLOOKUP(ROUND(STANDARDIZE(tblY11[[#This Row],[Avg KS2]],AVERAGE(tblY11[[Avg KS2]]),_xlfn.STDEV.P(tblY11[[Avg KS2]])),9),_Stanine,2),5),"")</f>
        <v>5</v>
      </c>
      <c r="J24" s="66" t="inlineStr">
        <is>
          <t>11S/Sc1</t>
        </is>
      </c>
      <c r="K24" s="67">
        <f>IF(tblY11[[#This Row],[Preferred Last name]]="","",COUNTIFS($N$1:$ZZ$1,"*"&amp;CHAR(10)&amp;"Stanine",$N24:$ZZ24,"&gt;=1"))</f>
        <v>6</v>
      </c>
      <c r="L24" s="68">
        <f>IFERROR(AVERAGEIF($N$1:$ZZ$1,"*"&amp;CHAR(10)&amp;"Stanine",$N24:$ZZ24),"")</f>
        <v>8.33333333333333</v>
      </c>
      <c r="M24" s="69">
        <f>IF(AND(ISNUMBER(tblY11[[#This Row],[Mean Stanine]]),ISNUMBER(tblY11[[#This Row],[Avg KS2 Band]]),ISNUMBER(SlopeY11)),tblY11[[#This Row],[Mean Stanine]]-(InterceptY11+SlopeY11*tblY11[[#This Row],[Avg KS2 Band]]),"")</f>
        <v>3.38063492063492</v>
      </c>
      <c r="N24" s="66" t="n">
        <v>33</v>
      </c>
      <c r="O24" s="67">
        <f>IF(ISNUMBER(tblY11[[#This Row],[4B05 - Homeostasis
Raw Score]]),IFERROR(VLOOKUP(ROUND(STANDARDIZE(tblY11[[#This Row],[4B05 - Homeostasis
Raw Score]],AVERAGE(tblY11[[4B05 - Homeostasis
Raw Score]]),_xlfn.STDEV.P(tblY11[[4B05 - Homeostasis
Raw Score]])),9),_Stanine,2),5),"")</f>
        <v>8</v>
      </c>
      <c r="P24" s="66" t="n">
        <v>28</v>
      </c>
      <c r="Q24" s="67">
        <f>IF(ISNUMBER(tblY11[[#This Row],[4C09 - Organic Chemistry
Raw Score]]),IFERROR(VLOOKUP(ROUND(STANDARDIZE(tblY11[[#This Row],[4C09 - Organic Chemistry
Raw Score]],AVERAGE(tblY11[[4C09 - Organic Chemistry
Raw Score]]),_xlfn.STDEV.P(tblY11[[4C09 - Organic Chemistry
Raw Score]])),9),_Stanine,2),5),"")</f>
        <v>8</v>
      </c>
      <c r="R24" s="66" t="n">
        <v>34</v>
      </c>
      <c r="S24" s="67">
        <f>IF(ISNUMBER(tblY11[[#This Row],[4P06 - Waves
Raw Score]]),IFERROR(VLOOKUP(ROUND(STANDARDIZE(tblY11[[#This Row],[4P06 - Waves
Raw Score]],AVERAGE(tblY11[[4P06 - Waves
Raw Score]]),_xlfn.STDEV.P(tblY11[[4P06 - Waves
Raw Score]])),9),_Stanine,2),5),"")</f>
        <v>8</v>
      </c>
      <c r="T24" s="66" t="n">
        <v>37</v>
      </c>
      <c r="U24" s="67">
        <f>IF(ISNUMBER(tblY11[[#This Row],[4B06 - Inheritance
Raw Score]]),IFERROR(VLOOKUP(ROUND(STANDARDIZE(tblY11[[#This Row],[4B06 - Inheritance
Raw Score]],AVERAGE(tblY11[[4B06 - Inheritance
Raw Score]]),_xlfn.STDEV.P(tblY11[[4B06 - Inheritance
Raw Score]])),9),_Stanine,2),5),"")</f>
        <v>9</v>
      </c>
      <c r="V24" s="66" t="n">
        <v>24</v>
      </c>
      <c r="W24" s="67">
        <f>IF(ISNUMBER(tblY11[[#This Row],[4C10 - Chemical Analysis
Raw Score]]),IFERROR(VLOOKUP(ROUND(STANDARDIZE(tblY11[[#This Row],[4C10 - Chemical Analysis
Raw Score]],AVERAGE(tblY11[[4C10 - Chemical Analysis
Raw Score]]),_xlfn.STDEV.P(tblY11[[4C10 - Chemical Analysis
Raw Score]])),9),_Stanine,2),5),"")</f>
        <v>8</v>
      </c>
      <c r="X24" s="66" t="n">
        <v>31</v>
      </c>
      <c r="Y24" s="67">
        <f>IF(ISNUMBER(tblY11[[#This Row],[4P07 - Magnetism
Raw Score]]),IFERROR(VLOOKUP(ROUND(STANDARDIZE(tblY11[[#This Row],[4P07 - Magnetism
Raw Score]],AVERAGE(tblY11[[4P07 - Magnetism
Raw Score]]),_xlfn.STDEV.P(tblY11[[4P07 - Magnetism
Raw Score]])),9),_Stanine,2),5),"")</f>
        <v>9</v>
      </c>
    </row>
    <row r="25">
      <c r="A25" s="65" t="inlineStr">
        <is>
          <t>X902506721232</t>
        </is>
      </c>
      <c r="B25" s="65" t="inlineStr">
        <is>
          <t>Turner</t>
        </is>
      </c>
      <c r="C25" s="65" t="inlineStr">
        <is>
          <t>Isla</t>
        </is>
      </c>
      <c r="D25" s="66" t="inlineStr">
        <is>
          <t>M</t>
        </is>
      </c>
      <c r="E25" s="66" t="inlineStr">
        <is>
          <t>K</t>
        </is>
      </c>
      <c r="F25" s="66" t="inlineStr">
        <is>
          <t>N</t>
        </is>
      </c>
      <c r="G25" s="34" t="n">
        <v>100</v>
      </c>
      <c r="H25" s="34" t="n">
        <v>108.5</v>
      </c>
      <c r="I25" s="67">
        <f>IF(ISNUMBER(tblY11[[#This Row],[Avg KS2]]),IFERROR(VLOOKUP(ROUND(STANDARDIZE(tblY11[[#This Row],[Avg KS2]],AVERAGE(tblY11[[Avg KS2]]),_xlfn.STDEV.P(tblY11[[Avg KS2]])),9),_Stanine,2),5),"")</f>
        <v>6</v>
      </c>
      <c r="J25" s="66" t="inlineStr">
        <is>
          <t>11S/Sc1</t>
        </is>
      </c>
      <c r="K25" s="67">
        <f>IF(tblY11[[#This Row],[Preferred Last name]]="","",COUNTIFS($N$1:$ZZ$1,"*"&amp;CHAR(10)&amp;"Stanine",$N25:$ZZ25,"&gt;=1"))</f>
        <v>6</v>
      </c>
      <c r="L25" s="68">
        <f>IFERROR(AVERAGEIF($N$1:$ZZ$1,"*"&amp;CHAR(10)&amp;"Stanine",$N25:$ZZ25),"")</f>
        <v>7.83333333333333</v>
      </c>
      <c r="M25" s="69">
        <f>IF(AND(ISNUMBER(tblY11[[#This Row],[Mean Stanine]]),ISNUMBER(tblY11[[#This Row],[Avg KS2 Band]]),ISNUMBER(SlopeY11)),tblY11[[#This Row],[Mean Stanine]]-(InterceptY11+SlopeY11*tblY11[[#This Row],[Avg KS2 Band]]),"")</f>
        <v>2.13177128427128</v>
      </c>
      <c r="N25" s="66" t="n">
        <v>33</v>
      </c>
      <c r="O25" s="67">
        <f>IF(ISNUMBER(tblY11[[#This Row],[4B05 - Homeostasis
Raw Score]]),IFERROR(VLOOKUP(ROUND(STANDARDIZE(tblY11[[#This Row],[4B05 - Homeostasis
Raw Score]],AVERAGE(tblY11[[4B05 - Homeostasis
Raw Score]]),_xlfn.STDEV.P(tblY11[[4B05 - Homeostasis
Raw Score]])),9),_Stanine,2),5),"")</f>
        <v>8</v>
      </c>
      <c r="P25" s="66" t="n">
        <v>26</v>
      </c>
      <c r="Q25" s="67">
        <f>IF(ISNUMBER(tblY11[[#This Row],[4C09 - Organic Chemistry
Raw Score]]),IFERROR(VLOOKUP(ROUND(STANDARDIZE(tblY11[[#This Row],[4C09 - Organic Chemistry
Raw Score]],AVERAGE(tblY11[[4C09 - Organic Chemistry
Raw Score]]),_xlfn.STDEV.P(tblY11[[4C09 - Organic Chemistry
Raw Score]])),9),_Stanine,2),5),"")</f>
        <v>8</v>
      </c>
      <c r="R25" s="66" t="n">
        <v>33</v>
      </c>
      <c r="S25" s="67">
        <f>IF(ISNUMBER(tblY11[[#This Row],[4P06 - Waves
Raw Score]]),IFERROR(VLOOKUP(ROUND(STANDARDIZE(tblY11[[#This Row],[4P06 - Waves
Raw Score]],AVERAGE(tblY11[[4P06 - Waves
Raw Score]]),_xlfn.STDEV.P(tblY11[[4P06 - Waves
Raw Score]])),9),_Stanine,2),5),"")</f>
        <v>8</v>
      </c>
      <c r="T25" s="66" t="n">
        <v>28</v>
      </c>
      <c r="U25" s="67">
        <f>IF(ISNUMBER(tblY11[[#This Row],[4B06 - Inheritance
Raw Score]]),IFERROR(VLOOKUP(ROUND(STANDARDIZE(tblY11[[#This Row],[4B06 - Inheritance
Raw Score]],AVERAGE(tblY11[[4B06 - Inheritance
Raw Score]]),_xlfn.STDEV.P(tblY11[[4B06 - Inheritance
Raw Score]])),9),_Stanine,2),5),"")</f>
        <v>7</v>
      </c>
      <c r="V25" s="66" t="n">
        <v>23</v>
      </c>
      <c r="W25" s="67">
        <f>IF(ISNUMBER(tblY11[[#This Row],[4C10 - Chemical Analysis
Raw Score]]),IFERROR(VLOOKUP(ROUND(STANDARDIZE(tblY11[[#This Row],[4C10 - Chemical Analysis
Raw Score]],AVERAGE(tblY11[[4C10 - Chemical Analysis
Raw Score]]),_xlfn.STDEV.P(tblY11[[4C10 - Chemical Analysis
Raw Score]])),9),_Stanine,2),5),"")</f>
        <v>8</v>
      </c>
      <c r="X25" s="66" t="n">
        <v>26</v>
      </c>
      <c r="Y25" s="67">
        <f>IF(ISNUMBER(tblY11[[#This Row],[4P07 - Magnetism
Raw Score]]),IFERROR(VLOOKUP(ROUND(STANDARDIZE(tblY11[[#This Row],[4P07 - Magnetism
Raw Score]],AVERAGE(tblY11[[4P07 - Magnetism
Raw Score]]),_xlfn.STDEV.P(tblY11[[4P07 - Magnetism
Raw Score]])),9),_Stanine,2),5),"")</f>
        <v>8</v>
      </c>
    </row>
    <row r="26">
      <c r="A26" s="65" t="inlineStr">
        <is>
          <t>X900367955878</t>
        </is>
      </c>
      <c r="B26" s="65" t="inlineStr">
        <is>
          <t>Walker</t>
        </is>
      </c>
      <c r="C26" s="65" t="inlineStr">
        <is>
          <t>Oscar</t>
        </is>
      </c>
      <c r="D26" s="66" t="inlineStr">
        <is>
          <t>F</t>
        </is>
      </c>
      <c r="E26" s="66" t="n"/>
      <c r="F26" s="66" t="inlineStr">
        <is>
          <t>N</t>
        </is>
      </c>
      <c r="G26" s="34" t="n">
        <v>98.3</v>
      </c>
      <c r="H26" s="34" t="n">
        <v>107</v>
      </c>
      <c r="I26" s="67">
        <f>IF(ISNUMBER(tblY11[[#This Row],[Avg KS2]]),IFERROR(VLOOKUP(ROUND(STANDARDIZE(tblY11[[#This Row],[Avg KS2]],AVERAGE(tblY11[[Avg KS2]]),_xlfn.STDEV.P(tblY11[[Avg KS2]])),9),_Stanine,2),5),"")</f>
        <v>6</v>
      </c>
      <c r="J26" s="66" t="inlineStr">
        <is>
          <t>11S/Sc1</t>
        </is>
      </c>
      <c r="K26" s="67">
        <f>IF(tblY11[[#This Row],[Preferred Last name]]="","",COUNTIFS($N$1:$ZZ$1,"*"&amp;CHAR(10)&amp;"Stanine",$N26:$ZZ26,"&gt;=1"))</f>
        <v>6</v>
      </c>
      <c r="L26" s="68">
        <f>IFERROR(AVERAGEIF($N$1:$ZZ$1,"*"&amp;CHAR(10)&amp;"Stanine",$N26:$ZZ26),"")</f>
        <v>7.5</v>
      </c>
      <c r="M26" s="69">
        <f>IF(AND(ISNUMBER(tblY11[[#This Row],[Mean Stanine]]),ISNUMBER(tblY11[[#This Row],[Avg KS2 Band]]),ISNUMBER(SlopeY11)),tblY11[[#This Row],[Mean Stanine]]-(InterceptY11+SlopeY11*tblY11[[#This Row],[Avg KS2 Band]]),"")</f>
        <v>1.79843795093795</v>
      </c>
      <c r="N26" s="66" t="n">
        <v>35</v>
      </c>
      <c r="O26" s="67">
        <f>IF(ISNUMBER(tblY11[[#This Row],[4B05 - Homeostasis
Raw Score]]),IFERROR(VLOOKUP(ROUND(STANDARDIZE(tblY11[[#This Row],[4B05 - Homeostasis
Raw Score]],AVERAGE(tblY11[[4B05 - Homeostasis
Raw Score]]),_xlfn.STDEV.P(tblY11[[4B05 - Homeostasis
Raw Score]])),9),_Stanine,2),5),"")</f>
        <v>8</v>
      </c>
      <c r="P26" s="66" t="n">
        <v>25</v>
      </c>
      <c r="Q26" s="67">
        <f>IF(ISNUMBER(tblY11[[#This Row],[4C09 - Organic Chemistry
Raw Score]]),IFERROR(VLOOKUP(ROUND(STANDARDIZE(tblY11[[#This Row],[4C09 - Organic Chemistry
Raw Score]],AVERAGE(tblY11[[4C09 - Organic Chemistry
Raw Score]]),_xlfn.STDEV.P(tblY11[[4C09 - Organic Chemistry
Raw Score]])),9),_Stanine,2),5),"")</f>
        <v>7</v>
      </c>
      <c r="R26" s="66" t="n">
        <v>33</v>
      </c>
      <c r="S26" s="67">
        <f>IF(ISNUMBER(tblY11[[#This Row],[4P06 - Waves
Raw Score]]),IFERROR(VLOOKUP(ROUND(STANDARDIZE(tblY11[[#This Row],[4P06 - Waves
Raw Score]],AVERAGE(tblY11[[4P06 - Waves
Raw Score]]),_xlfn.STDEV.P(tblY11[[4P06 - Waves
Raw Score]])),9),_Stanine,2),5),"")</f>
        <v>8</v>
      </c>
      <c r="T26" s="66" t="n">
        <v>29</v>
      </c>
      <c r="U26" s="67">
        <f>IF(ISNUMBER(tblY11[[#This Row],[4B06 - Inheritance
Raw Score]]),IFERROR(VLOOKUP(ROUND(STANDARDIZE(tblY11[[#This Row],[4B06 - Inheritance
Raw Score]],AVERAGE(tblY11[[4B06 - Inheritance
Raw Score]]),_xlfn.STDEV.P(tblY11[[4B06 - Inheritance
Raw Score]])),9),_Stanine,2),5),"")</f>
        <v>7</v>
      </c>
      <c r="V26" s="66" t="n">
        <v>23</v>
      </c>
      <c r="W26" s="67">
        <f>IF(ISNUMBER(tblY11[[#This Row],[4C10 - Chemical Analysis
Raw Score]]),IFERROR(VLOOKUP(ROUND(STANDARDIZE(tblY11[[#This Row],[4C10 - Chemical Analysis
Raw Score]],AVERAGE(tblY11[[4C10 - Chemical Analysis
Raw Score]]),_xlfn.STDEV.P(tblY11[[4C10 - Chemical Analysis
Raw Score]])),9),_Stanine,2),5),"")</f>
        <v>8</v>
      </c>
      <c r="X26" s="66" t="n">
        <v>22</v>
      </c>
      <c r="Y26" s="67">
        <f>IF(ISNUMBER(tblY11[[#This Row],[4P07 - Magnetism
Raw Score]]),IFERROR(VLOOKUP(ROUND(STANDARDIZE(tblY11[[#This Row],[4P07 - Magnetism
Raw Score]],AVERAGE(tblY11[[4P07 - Magnetism
Raw Score]]),_xlfn.STDEV.P(tblY11[[4P07 - Magnetism
Raw Score]])),9),_Stanine,2),5),"")</f>
        <v>7</v>
      </c>
    </row>
    <row r="27">
      <c r="A27" s="65" t="inlineStr">
        <is>
          <t>X905562398261</t>
        </is>
      </c>
      <c r="B27" s="65" t="inlineStr">
        <is>
          <t>Ward</t>
        </is>
      </c>
      <c r="C27" s="65" t="inlineStr">
        <is>
          <t>Aisha</t>
        </is>
      </c>
      <c r="D27" s="66" t="inlineStr">
        <is>
          <t>F</t>
        </is>
      </c>
      <c r="E27" s="66" t="inlineStr">
        <is>
          <t>K</t>
        </is>
      </c>
      <c r="F27" s="66" t="inlineStr">
        <is>
          <t>N</t>
        </is>
      </c>
      <c r="G27" s="34" t="n">
        <v>95.59999999999999</v>
      </c>
      <c r="H27" s="34" t="n">
        <v>109</v>
      </c>
      <c r="I27" s="67">
        <f>IF(ISNUMBER(tblY11[[#This Row],[Avg KS2]]),IFERROR(VLOOKUP(ROUND(STANDARDIZE(tblY11[[#This Row],[Avg KS2]],AVERAGE(tblY11[[Avg KS2]]),_xlfn.STDEV.P(tblY11[[Avg KS2]])),9),_Stanine,2),5),"")</f>
        <v>6</v>
      </c>
      <c r="J27" s="66" t="inlineStr">
        <is>
          <t>11S/Sc1</t>
        </is>
      </c>
      <c r="K27" s="67">
        <f>IF(tblY11[[#This Row],[Preferred Last name]]="","",COUNTIFS($N$1:$ZZ$1,"*"&amp;CHAR(10)&amp;"Stanine",$N27:$ZZ27,"&gt;=1"))</f>
        <v>6</v>
      </c>
      <c r="L27" s="68">
        <f>IFERROR(AVERAGEIF($N$1:$ZZ$1,"*"&amp;CHAR(10)&amp;"Stanine",$N27:$ZZ27),"")</f>
        <v>7</v>
      </c>
      <c r="M27" s="69">
        <f>IF(AND(ISNUMBER(tblY11[[#This Row],[Mean Stanine]]),ISNUMBER(tblY11[[#This Row],[Avg KS2 Band]]),ISNUMBER(SlopeY11)),tblY11[[#This Row],[Mean Stanine]]-(InterceptY11+SlopeY11*tblY11[[#This Row],[Avg KS2 Band]]),"")</f>
        <v>1.29843795093795</v>
      </c>
      <c r="N27" s="66" t="n">
        <v>25</v>
      </c>
      <c r="O27" s="67">
        <f>IF(ISNUMBER(tblY11[[#This Row],[4B05 - Homeostasis
Raw Score]]),IFERROR(VLOOKUP(ROUND(STANDARDIZE(tblY11[[#This Row],[4B05 - Homeostasis
Raw Score]],AVERAGE(tblY11[[4B05 - Homeostasis
Raw Score]]),_xlfn.STDEV.P(tblY11[[4B05 - Homeostasis
Raw Score]])),9),_Stanine,2),5),"")</f>
        <v>6</v>
      </c>
      <c r="P27" s="66" t="n">
        <v>23</v>
      </c>
      <c r="Q27" s="67">
        <f>IF(ISNUMBER(tblY11[[#This Row],[4C09 - Organic Chemistry
Raw Score]]),IFERROR(VLOOKUP(ROUND(STANDARDIZE(tblY11[[#This Row],[4C09 - Organic Chemistry
Raw Score]],AVERAGE(tblY11[[4C09 - Organic Chemistry
Raw Score]]),_xlfn.STDEV.P(tblY11[[4C09 - Organic Chemistry
Raw Score]])),9),_Stanine,2),5),"")</f>
        <v>7</v>
      </c>
      <c r="R27" s="66" t="n">
        <v>29</v>
      </c>
      <c r="S27" s="67">
        <f>IF(ISNUMBER(tblY11[[#This Row],[4P06 - Waves
Raw Score]]),IFERROR(VLOOKUP(ROUND(STANDARDIZE(tblY11[[#This Row],[4P06 - Waves
Raw Score]],AVERAGE(tblY11[[4P06 - Waves
Raw Score]]),_xlfn.STDEV.P(tblY11[[4P06 - Waves
Raw Score]])),9),_Stanine,2),5),"")</f>
        <v>7</v>
      </c>
      <c r="T27" s="66" t="n">
        <v>32</v>
      </c>
      <c r="U27" s="67">
        <f>IF(ISNUMBER(tblY11[[#This Row],[4B06 - Inheritance
Raw Score]]),IFERROR(VLOOKUP(ROUND(STANDARDIZE(tblY11[[#This Row],[4B06 - Inheritance
Raw Score]],AVERAGE(tblY11[[4B06 - Inheritance
Raw Score]]),_xlfn.STDEV.P(tblY11[[4B06 - Inheritance
Raw Score]])),9),_Stanine,2),5),"")</f>
        <v>8</v>
      </c>
      <c r="V27" s="66" t="n">
        <v>17</v>
      </c>
      <c r="W27" s="67">
        <f>IF(ISNUMBER(tblY11[[#This Row],[4C10 - Chemical Analysis
Raw Score]]),IFERROR(VLOOKUP(ROUND(STANDARDIZE(tblY11[[#This Row],[4C10 - Chemical Analysis
Raw Score]],AVERAGE(tblY11[[4C10 - Chemical Analysis
Raw Score]]),_xlfn.STDEV.P(tblY11[[4C10 - Chemical Analysis
Raw Score]])),9),_Stanine,2),5),"")</f>
        <v>6</v>
      </c>
      <c r="X27" s="66" t="n">
        <v>25</v>
      </c>
      <c r="Y27" s="67">
        <f>IF(ISNUMBER(tblY11[[#This Row],[4P07 - Magnetism
Raw Score]]),IFERROR(VLOOKUP(ROUND(STANDARDIZE(tblY11[[#This Row],[4P07 - Magnetism
Raw Score]],AVERAGE(tblY11[[4P07 - Magnetism
Raw Score]]),_xlfn.STDEV.P(tblY11[[4P07 - Magnetism
Raw Score]])),9),_Stanine,2),5),"")</f>
        <v>8</v>
      </c>
    </row>
    <row r="28">
      <c r="A28" s="65" t="inlineStr">
        <is>
          <t>X902928527373</t>
        </is>
      </c>
      <c r="B28" s="65" t="inlineStr">
        <is>
          <t>Wright</t>
        </is>
      </c>
      <c r="C28" s="65" t="inlineStr">
        <is>
          <t>Amara</t>
        </is>
      </c>
      <c r="D28" s="66" t="inlineStr">
        <is>
          <t>M</t>
        </is>
      </c>
      <c r="E28" s="66" t="inlineStr">
        <is>
          <t>N</t>
        </is>
      </c>
      <c r="F28" s="66" t="inlineStr">
        <is>
          <t>N</t>
        </is>
      </c>
      <c r="G28" s="34" t="n">
        <v>96.3</v>
      </c>
      <c r="H28" s="34" t="n">
        <v>113.5</v>
      </c>
      <c r="I28" s="67">
        <f>IF(ISNUMBER(tblY11[[#This Row],[Avg KS2]]),IFERROR(VLOOKUP(ROUND(STANDARDIZE(tblY11[[#This Row],[Avg KS2]],AVERAGE(tblY11[[Avg KS2]]),_xlfn.STDEV.P(tblY11[[Avg KS2]])),9),_Stanine,2),5),"")</f>
        <v>8</v>
      </c>
      <c r="J28" s="66" t="inlineStr">
        <is>
          <t>11S/Sc1</t>
        </is>
      </c>
      <c r="K28" s="67">
        <f>IF(tblY11[[#This Row],[Preferred Last name]]="","",COUNTIFS($N$1:$ZZ$1,"*"&amp;CHAR(10)&amp;"Stanine",$N28:$ZZ28,"&gt;=1"))</f>
        <v>6</v>
      </c>
      <c r="L28" s="68">
        <f>IFERROR(AVERAGEIF($N$1:$ZZ$1,"*"&amp;CHAR(10)&amp;"Stanine",$N28:$ZZ28),"")</f>
        <v>7.83333333333333</v>
      </c>
      <c r="M28" s="69">
        <f>IF(AND(ISNUMBER(tblY11[[#This Row],[Mean Stanine]]),ISNUMBER(tblY11[[#This Row],[Avg KS2 Band]]),ISNUMBER(SlopeY11)),tblY11[[#This Row],[Mean Stanine]]-(InterceptY11+SlopeY11*tblY11[[#This Row],[Avg KS2 Band]]),"")</f>
        <v>0.634044011544011</v>
      </c>
      <c r="N28" s="66" t="n">
        <v>31</v>
      </c>
      <c r="O28" s="67">
        <f>IF(ISNUMBER(tblY11[[#This Row],[4B05 - Homeostasis
Raw Score]]),IFERROR(VLOOKUP(ROUND(STANDARDIZE(tblY11[[#This Row],[4B05 - Homeostasis
Raw Score]],AVERAGE(tblY11[[4B05 - Homeostasis
Raw Score]]),_xlfn.STDEV.P(tblY11[[4B05 - Homeostasis
Raw Score]])),9),_Stanine,2),5),"")</f>
        <v>7</v>
      </c>
      <c r="P28" s="66" t="n">
        <v>28</v>
      </c>
      <c r="Q28" s="67">
        <f>IF(ISNUMBER(tblY11[[#This Row],[4C09 - Organic Chemistry
Raw Score]]),IFERROR(VLOOKUP(ROUND(STANDARDIZE(tblY11[[#This Row],[4C09 - Organic Chemistry
Raw Score]],AVERAGE(tblY11[[4C09 - Organic Chemistry
Raw Score]]),_xlfn.STDEV.P(tblY11[[4C09 - Organic Chemistry
Raw Score]])),9),_Stanine,2),5),"")</f>
        <v>8</v>
      </c>
      <c r="R28" s="66" t="n">
        <v>30</v>
      </c>
      <c r="S28" s="67">
        <f>IF(ISNUMBER(tblY11[[#This Row],[4P06 - Waves
Raw Score]]),IFERROR(VLOOKUP(ROUND(STANDARDIZE(tblY11[[#This Row],[4P06 - Waves
Raw Score]],AVERAGE(tblY11[[4P06 - Waves
Raw Score]]),_xlfn.STDEV.P(tblY11[[4P06 - Waves
Raw Score]])),9),_Stanine,2),5),"")</f>
        <v>7</v>
      </c>
      <c r="T28" s="66" t="n">
        <v>32</v>
      </c>
      <c r="U28" s="67">
        <f>IF(ISNUMBER(tblY11[[#This Row],[4B06 - Inheritance
Raw Score]]),IFERROR(VLOOKUP(ROUND(STANDARDIZE(tblY11[[#This Row],[4B06 - Inheritance
Raw Score]],AVERAGE(tblY11[[4B06 - Inheritance
Raw Score]]),_xlfn.STDEV.P(tblY11[[4B06 - Inheritance
Raw Score]])),9),_Stanine,2),5),"")</f>
        <v>8</v>
      </c>
      <c r="V28" s="66" t="n">
        <v>23</v>
      </c>
      <c r="W28" s="67">
        <f>IF(ISNUMBER(tblY11[[#This Row],[4C10 - Chemical Analysis
Raw Score]]),IFERROR(VLOOKUP(ROUND(STANDARDIZE(tblY11[[#This Row],[4C10 - Chemical Analysis
Raw Score]],AVERAGE(tblY11[[4C10 - Chemical Analysis
Raw Score]]),_xlfn.STDEV.P(tblY11[[4C10 - Chemical Analysis
Raw Score]])),9),_Stanine,2),5),"")</f>
        <v>8</v>
      </c>
      <c r="X28" s="66" t="n">
        <v>30</v>
      </c>
      <c r="Y28" s="67">
        <f>IF(ISNUMBER(tblY11[[#This Row],[4P07 - Magnetism
Raw Score]]),IFERROR(VLOOKUP(ROUND(STANDARDIZE(tblY11[[#This Row],[4P07 - Magnetism
Raw Score]],AVERAGE(tblY11[[4P07 - Magnetism
Raw Score]]),_xlfn.STDEV.P(tblY11[[4P07 - Magnetism
Raw Score]])),9),_Stanine,2),5),"")</f>
        <v>9</v>
      </c>
    </row>
    <row r="29">
      <c r="A29" s="65" t="inlineStr">
        <is>
          <t>X907183905816</t>
        </is>
      </c>
      <c r="B29" s="65" t="inlineStr">
        <is>
          <t>Wright</t>
        </is>
      </c>
      <c r="C29" s="65" t="inlineStr">
        <is>
          <t>Hollie</t>
        </is>
      </c>
      <c r="D29" s="66" t="inlineStr">
        <is>
          <t>F</t>
        </is>
      </c>
      <c r="E29" s="66" t="inlineStr">
        <is>
          <t>N</t>
        </is>
      </c>
      <c r="F29" s="66" t="inlineStr">
        <is>
          <t>N</t>
        </is>
      </c>
      <c r="G29" s="34" t="n">
        <v>90.8</v>
      </c>
      <c r="H29" s="34" t="n">
        <v>112.5</v>
      </c>
      <c r="I29" s="67">
        <f>IF(ISNUMBER(tblY11[[#This Row],[Avg KS2]]),IFERROR(VLOOKUP(ROUND(STANDARDIZE(tblY11[[#This Row],[Avg KS2]],AVERAGE(tblY11[[Avg KS2]]),_xlfn.STDEV.P(tblY11[[Avg KS2]])),9),_Stanine,2),5),"")</f>
        <v>7</v>
      </c>
      <c r="J29" s="66" t="inlineStr">
        <is>
          <t>11S/Sc1</t>
        </is>
      </c>
      <c r="K29" s="67">
        <f>IF(tblY11[[#This Row],[Preferred Last name]]="","",COUNTIFS($N$1:$ZZ$1,"*"&amp;CHAR(10)&amp;"Stanine",$N29:$ZZ29,"&gt;=1"))</f>
        <v>6</v>
      </c>
      <c r="L29" s="68">
        <f>IFERROR(AVERAGEIF($N$1:$ZZ$1,"*"&amp;CHAR(10)&amp;"Stanine",$N29:$ZZ29),"")</f>
        <v>6.33333333333333</v>
      </c>
      <c r="M29" s="69">
        <f>IF(AND(ISNUMBER(tblY11[[#This Row],[Mean Stanine]]),ISNUMBER(tblY11[[#This Row],[Avg KS2 Band]]),ISNUMBER(SlopeY11)),tblY11[[#This Row],[Mean Stanine]]-(InterceptY11+SlopeY11*tblY11[[#This Row],[Avg KS2 Band]]),"")</f>
        <v>-0.117092352092352</v>
      </c>
      <c r="N29" s="66" t="n">
        <v>34</v>
      </c>
      <c r="O29" s="67">
        <f>IF(ISNUMBER(tblY11[[#This Row],[4B05 - Homeostasis
Raw Score]]),IFERROR(VLOOKUP(ROUND(STANDARDIZE(tblY11[[#This Row],[4B05 - Homeostasis
Raw Score]],AVERAGE(tblY11[[4B05 - Homeostasis
Raw Score]]),_xlfn.STDEV.P(tblY11[[4B05 - Homeostasis
Raw Score]])),9),_Stanine,2),5),"")</f>
        <v>8</v>
      </c>
      <c r="P29" s="66" t="n">
        <v>21</v>
      </c>
      <c r="Q29" s="67">
        <f>IF(ISNUMBER(tblY11[[#This Row],[4C09 - Organic Chemistry
Raw Score]]),IFERROR(VLOOKUP(ROUND(STANDARDIZE(tblY11[[#This Row],[4C09 - Organic Chemistry
Raw Score]],AVERAGE(tblY11[[4C09 - Organic Chemistry
Raw Score]]),_xlfn.STDEV.P(tblY11[[4C09 - Organic Chemistry
Raw Score]])),9),_Stanine,2),5),"")</f>
        <v>6</v>
      </c>
      <c r="R29" s="66" t="n">
        <v>25</v>
      </c>
      <c r="S29" s="67">
        <f>IF(ISNUMBER(tblY11[[#This Row],[4P06 - Waves
Raw Score]]),IFERROR(VLOOKUP(ROUND(STANDARDIZE(tblY11[[#This Row],[4P06 - Waves
Raw Score]],AVERAGE(tblY11[[4P06 - Waves
Raw Score]]),_xlfn.STDEV.P(tblY11[[4P06 - Waves
Raw Score]])),9),_Stanine,2),5),"")</f>
        <v>6</v>
      </c>
      <c r="T29" s="66" t="n">
        <v>25</v>
      </c>
      <c r="U29" s="67">
        <f>IF(ISNUMBER(tblY11[[#This Row],[4B06 - Inheritance
Raw Score]]),IFERROR(VLOOKUP(ROUND(STANDARDIZE(tblY11[[#This Row],[4B06 - Inheritance
Raw Score]],AVERAGE(tblY11[[4B06 - Inheritance
Raw Score]]),_xlfn.STDEV.P(tblY11[[4B06 - Inheritance
Raw Score]])),9),_Stanine,2),5),"")</f>
        <v>6</v>
      </c>
      <c r="V29" s="66" t="n">
        <v>17</v>
      </c>
      <c r="W29" s="67">
        <f>IF(ISNUMBER(tblY11[[#This Row],[4C10 - Chemical Analysis
Raw Score]]),IFERROR(VLOOKUP(ROUND(STANDARDIZE(tblY11[[#This Row],[4C10 - Chemical Analysis
Raw Score]],AVERAGE(tblY11[[4C10 - Chemical Analysis
Raw Score]]),_xlfn.STDEV.P(tblY11[[4C10 - Chemical Analysis
Raw Score]])),9),_Stanine,2),5),"")</f>
        <v>6</v>
      </c>
      <c r="X29" s="66" t="n">
        <v>20</v>
      </c>
      <c r="Y29" s="67">
        <f>IF(ISNUMBER(tblY11[[#This Row],[4P07 - Magnetism
Raw Score]]),IFERROR(VLOOKUP(ROUND(STANDARDIZE(tblY11[[#This Row],[4P07 - Magnetism
Raw Score]],AVERAGE(tblY11[[4P07 - Magnetism
Raw Score]]),_xlfn.STDEV.P(tblY11[[4P07 - Magnetism
Raw Score]])),9),_Stanine,2),5),"")</f>
        <v>6</v>
      </c>
    </row>
    <row r="30">
      <c r="A30" s="65" t="inlineStr">
        <is>
          <t>X902000020807</t>
        </is>
      </c>
      <c r="B30" s="65" t="inlineStr">
        <is>
          <t>Cooper</t>
        </is>
      </c>
      <c r="C30" s="65" t="inlineStr">
        <is>
          <t>Dylan</t>
        </is>
      </c>
      <c r="D30" s="66" t="inlineStr">
        <is>
          <t>F</t>
        </is>
      </c>
      <c r="E30" s="66" t="n"/>
      <c r="F30" s="66" t="inlineStr">
        <is>
          <t>N</t>
        </is>
      </c>
      <c r="G30" s="34" t="n">
        <v>98.7</v>
      </c>
      <c r="H30" s="34" t="n">
        <v>104.5</v>
      </c>
      <c r="I30" s="67">
        <f>IF(ISNUMBER(tblY11[[#This Row],[Avg KS2]]),IFERROR(VLOOKUP(ROUND(STANDARDIZE(tblY11[[#This Row],[Avg KS2]],AVERAGE(tblY11[[Avg KS2]]),_xlfn.STDEV.P(tblY11[[Avg KS2]])),9),_Stanine,2),5),"")</f>
        <v>5</v>
      </c>
      <c r="J30" s="66" t="inlineStr">
        <is>
          <t>11S/Sc2</t>
        </is>
      </c>
      <c r="K30" s="67">
        <f>IF(tblY11[[#This Row],[Preferred Last name]]="","",COUNTIFS($N$1:$ZZ$1,"*"&amp;CHAR(10)&amp;"Stanine",$N30:$ZZ30,"&gt;=1"))</f>
        <v>6</v>
      </c>
      <c r="L30" s="68">
        <f>IFERROR(AVERAGEIF($N$1:$ZZ$1,"*"&amp;CHAR(10)&amp;"Stanine",$N30:$ZZ30),"")</f>
        <v>5.33333333333333</v>
      </c>
      <c r="M30" s="69">
        <f>IF(AND(ISNUMBER(tblY11[[#This Row],[Mean Stanine]]),ISNUMBER(tblY11[[#This Row],[Avg KS2 Band]]),ISNUMBER(SlopeY11)),tblY11[[#This Row],[Mean Stanine]]-(InterceptY11+SlopeY11*tblY11[[#This Row],[Avg KS2 Band]]),"")</f>
        <v>0.380634920634921</v>
      </c>
      <c r="N30" s="66" t="n">
        <v>27</v>
      </c>
      <c r="O30" s="67">
        <f>IF(ISNUMBER(tblY11[[#This Row],[4B05 - Homeostasis
Raw Score]]),IFERROR(VLOOKUP(ROUND(STANDARDIZE(tblY11[[#This Row],[4B05 - Homeostasis
Raw Score]],AVERAGE(tblY11[[4B05 - Homeostasis
Raw Score]]),_xlfn.STDEV.P(tblY11[[4B05 - Homeostasis
Raw Score]])),9),_Stanine,2),5),"")</f>
        <v>6</v>
      </c>
      <c r="P30" s="66" t="n">
        <v>14</v>
      </c>
      <c r="Q30" s="67">
        <f>IF(ISNUMBER(tblY11[[#This Row],[4C09 - Organic Chemistry
Raw Score]]),IFERROR(VLOOKUP(ROUND(STANDARDIZE(tblY11[[#This Row],[4C09 - Organic Chemistry
Raw Score]],AVERAGE(tblY11[[4C09 - Organic Chemistry
Raw Score]]),_xlfn.STDEV.P(tblY11[[4C09 - Organic Chemistry
Raw Score]])),9),_Stanine,2),5),"")</f>
        <v>4</v>
      </c>
      <c r="R30" s="66" t="n">
        <v>25</v>
      </c>
      <c r="S30" s="67">
        <f>IF(ISNUMBER(tblY11[[#This Row],[4P06 - Waves
Raw Score]]),IFERROR(VLOOKUP(ROUND(STANDARDIZE(tblY11[[#This Row],[4P06 - Waves
Raw Score]],AVERAGE(tblY11[[4P06 - Waves
Raw Score]]),_xlfn.STDEV.P(tblY11[[4P06 - Waves
Raw Score]])),9),_Stanine,2),5),"")</f>
        <v>6</v>
      </c>
      <c r="T30" s="66" t="n">
        <v>20</v>
      </c>
      <c r="U30" s="67">
        <f>IF(ISNUMBER(tblY11[[#This Row],[4B06 - Inheritance
Raw Score]]),IFERROR(VLOOKUP(ROUND(STANDARDIZE(tblY11[[#This Row],[4B06 - Inheritance
Raw Score]],AVERAGE(tblY11[[4B06 - Inheritance
Raw Score]]),_xlfn.STDEV.P(tblY11[[4B06 - Inheritance
Raw Score]])),9),_Stanine,2),5),"")</f>
        <v>5</v>
      </c>
      <c r="V30" s="66" t="n">
        <v>17</v>
      </c>
      <c r="W30" s="67">
        <f>IF(ISNUMBER(tblY11[[#This Row],[4C10 - Chemical Analysis
Raw Score]]),IFERROR(VLOOKUP(ROUND(STANDARDIZE(tblY11[[#This Row],[4C10 - Chemical Analysis
Raw Score]],AVERAGE(tblY11[[4C10 - Chemical Analysis
Raw Score]]),_xlfn.STDEV.P(tblY11[[4C10 - Chemical Analysis
Raw Score]])),9),_Stanine,2),5),"")</f>
        <v>6</v>
      </c>
      <c r="X30" s="66" t="n">
        <v>17</v>
      </c>
      <c r="Y30" s="67">
        <f>IF(ISNUMBER(tblY11[[#This Row],[4P07 - Magnetism
Raw Score]]),IFERROR(VLOOKUP(ROUND(STANDARDIZE(tblY11[[#This Row],[4P07 - Magnetism
Raw Score]],AVERAGE(tblY11[[4P07 - Magnetism
Raw Score]]),_xlfn.STDEV.P(tblY11[[4P07 - Magnetism
Raw Score]])),9),_Stanine,2),5),"")</f>
        <v>5</v>
      </c>
    </row>
    <row r="31">
      <c r="A31" s="65" t="inlineStr">
        <is>
          <t>X907544749939</t>
        </is>
      </c>
      <c r="B31" s="65" t="inlineStr">
        <is>
          <t>Cooper</t>
        </is>
      </c>
      <c r="C31" s="65" t="inlineStr">
        <is>
          <t>Noah</t>
        </is>
      </c>
      <c r="D31" s="66" t="inlineStr">
        <is>
          <t>F</t>
        </is>
      </c>
      <c r="E31" s="66" t="inlineStr">
        <is>
          <t>N</t>
        </is>
      </c>
      <c r="F31" s="66" t="inlineStr">
        <is>
          <t>Y</t>
        </is>
      </c>
      <c r="G31" s="34" t="n">
        <v>86.59999999999999</v>
      </c>
      <c r="H31" s="34" t="n">
        <v>109</v>
      </c>
      <c r="I31" s="67">
        <f>IF(ISNUMBER(tblY11[[#This Row],[Avg KS2]]),IFERROR(VLOOKUP(ROUND(STANDARDIZE(tblY11[[#This Row],[Avg KS2]],AVERAGE(tblY11[[Avg KS2]]),_xlfn.STDEV.P(tblY11[[Avg KS2]])),9),_Stanine,2),5),"")</f>
        <v>6</v>
      </c>
      <c r="J31" s="66" t="inlineStr">
        <is>
          <t>11S/Sc2</t>
        </is>
      </c>
      <c r="K31" s="67">
        <f>IF(tblY11[[#This Row],[Preferred Last name]]="","",COUNTIFS($N$1:$ZZ$1,"*"&amp;CHAR(10)&amp;"Stanine",$N31:$ZZ31,"&gt;=1"))</f>
        <v>6</v>
      </c>
      <c r="L31" s="68">
        <f>IFERROR(AVERAGEIF($N$1:$ZZ$1,"*"&amp;CHAR(10)&amp;"Stanine",$N31:$ZZ31),"")</f>
        <v>6.16666666666667</v>
      </c>
      <c r="M31" s="69">
        <f>IF(AND(ISNUMBER(tblY11[[#This Row],[Mean Stanine]]),ISNUMBER(tblY11[[#This Row],[Avg KS2 Band]]),ISNUMBER(SlopeY11)),tblY11[[#This Row],[Mean Stanine]]-(InterceptY11+SlopeY11*tblY11[[#This Row],[Avg KS2 Band]]),"")</f>
        <v>0.465104617604618</v>
      </c>
      <c r="N31" s="66" t="n">
        <v>24</v>
      </c>
      <c r="O31" s="67">
        <f>IF(ISNUMBER(tblY11[[#This Row],[4B05 - Homeostasis
Raw Score]]),IFERROR(VLOOKUP(ROUND(STANDARDIZE(tblY11[[#This Row],[4B05 - Homeostasis
Raw Score]],AVERAGE(tblY11[[4B05 - Homeostasis
Raw Score]]),_xlfn.STDEV.P(tblY11[[4B05 - Homeostasis
Raw Score]])),9),_Stanine,2),5),"")</f>
        <v>6</v>
      </c>
      <c r="P31" s="66" t="n">
        <v>24</v>
      </c>
      <c r="Q31" s="67">
        <f>IF(ISNUMBER(tblY11[[#This Row],[4C09 - Organic Chemistry
Raw Score]]),IFERROR(VLOOKUP(ROUND(STANDARDIZE(tblY11[[#This Row],[4C09 - Organic Chemistry
Raw Score]],AVERAGE(tblY11[[4C09 - Organic Chemistry
Raw Score]]),_xlfn.STDEV.P(tblY11[[4C09 - Organic Chemistry
Raw Score]])),9),_Stanine,2),5),"")</f>
        <v>7</v>
      </c>
      <c r="R31" s="66" t="n">
        <v>32</v>
      </c>
      <c r="S31" s="67">
        <f>IF(ISNUMBER(tblY11[[#This Row],[4P06 - Waves
Raw Score]]),IFERROR(VLOOKUP(ROUND(STANDARDIZE(tblY11[[#This Row],[4P06 - Waves
Raw Score]],AVERAGE(tblY11[[4P06 - Waves
Raw Score]]),_xlfn.STDEV.P(tblY11[[4P06 - Waves
Raw Score]])),9),_Stanine,2),5),"")</f>
        <v>8</v>
      </c>
      <c r="T31" s="66" t="n">
        <v>21</v>
      </c>
      <c r="U31" s="67">
        <f>IF(ISNUMBER(tblY11[[#This Row],[4B06 - Inheritance
Raw Score]]),IFERROR(VLOOKUP(ROUND(STANDARDIZE(tblY11[[#This Row],[4B06 - Inheritance
Raw Score]],AVERAGE(tblY11[[4B06 - Inheritance
Raw Score]]),_xlfn.STDEV.P(tblY11[[4B06 - Inheritance
Raw Score]])),9),_Stanine,2),5),"")</f>
        <v>5</v>
      </c>
      <c r="V31" s="66" t="n">
        <v>14</v>
      </c>
      <c r="W31" s="67">
        <f>IF(ISNUMBER(tblY11[[#This Row],[4C10 - Chemical Analysis
Raw Score]]),IFERROR(VLOOKUP(ROUND(STANDARDIZE(tblY11[[#This Row],[4C10 - Chemical Analysis
Raw Score]],AVERAGE(tblY11[[4C10 - Chemical Analysis
Raw Score]]),_xlfn.STDEV.P(tblY11[[4C10 - Chemical Analysis
Raw Score]])),9),_Stanine,2),5),"")</f>
        <v>5</v>
      </c>
      <c r="X31" s="66" t="n">
        <v>20</v>
      </c>
      <c r="Y31" s="67">
        <f>IF(ISNUMBER(tblY11[[#This Row],[4P07 - Magnetism
Raw Score]]),IFERROR(VLOOKUP(ROUND(STANDARDIZE(tblY11[[#This Row],[4P07 - Magnetism
Raw Score]],AVERAGE(tblY11[[4P07 - Magnetism
Raw Score]]),_xlfn.STDEV.P(tblY11[[4P07 - Magnetism
Raw Score]])),9),_Stanine,2),5),"")</f>
        <v>6</v>
      </c>
    </row>
    <row r="32">
      <c r="A32" s="65" t="inlineStr">
        <is>
          <t>X905048833441</t>
        </is>
      </c>
      <c r="B32" s="65" t="inlineStr">
        <is>
          <t>Evans</t>
        </is>
      </c>
      <c r="C32" s="65" t="inlineStr">
        <is>
          <t>Arthur</t>
        </is>
      </c>
      <c r="D32" s="66" t="inlineStr">
        <is>
          <t>M</t>
        </is>
      </c>
      <c r="E32" s="66" t="n"/>
      <c r="F32" s="66" t="inlineStr">
        <is>
          <t>N</t>
        </is>
      </c>
      <c r="G32" s="34" t="n">
        <v>88</v>
      </c>
      <c r="H32" s="34" t="n">
        <v>99</v>
      </c>
      <c r="I32" s="67">
        <f>IF(ISNUMBER(tblY11[[#This Row],[Avg KS2]]),IFERROR(VLOOKUP(ROUND(STANDARDIZE(tblY11[[#This Row],[Avg KS2]],AVERAGE(tblY11[[Avg KS2]]),_xlfn.STDEV.P(tblY11[[Avg KS2]])),9),_Stanine,2),5),"")</f>
        <v>3</v>
      </c>
      <c r="J32" s="66" t="inlineStr">
        <is>
          <t>11S/Sc2</t>
        </is>
      </c>
      <c r="K32" s="67">
        <f>IF(tblY11[[#This Row],[Preferred Last name]]="","",COUNTIFS($N$1:$ZZ$1,"*"&amp;CHAR(10)&amp;"Stanine",$N32:$ZZ32,"&gt;=1"))</f>
        <v>6</v>
      </c>
      <c r="L32" s="68">
        <f>IFERROR(AVERAGEIF($N$1:$ZZ$1,"*"&amp;CHAR(10)&amp;"Stanine",$N32:$ZZ32),"")</f>
        <v>4</v>
      </c>
      <c r="M32" s="69">
        <f>IF(AND(ISNUMBER(tblY11[[#This Row],[Mean Stanine]]),ISNUMBER(tblY11[[#This Row],[Avg KS2 Band]]),ISNUMBER(SlopeY11)),tblY11[[#This Row],[Mean Stanine]]-(InterceptY11+SlopeY11*tblY11[[#This Row],[Avg KS2 Band]]),"")</f>
        <v>0.545028860028861</v>
      </c>
      <c r="N32" s="66" t="n">
        <v>19</v>
      </c>
      <c r="O32" s="67">
        <f>IF(ISNUMBER(tblY11[[#This Row],[4B05 - Homeostasis
Raw Score]]),IFERROR(VLOOKUP(ROUND(STANDARDIZE(tblY11[[#This Row],[4B05 - Homeostasis
Raw Score]],AVERAGE(tblY11[[4B05 - Homeostasis
Raw Score]]),_xlfn.STDEV.P(tblY11[[4B05 - Homeostasis
Raw Score]])),9),_Stanine,2),5),"")</f>
        <v>5</v>
      </c>
      <c r="P32" s="66" t="n">
        <v>10</v>
      </c>
      <c r="Q32" s="67">
        <f>IF(ISNUMBER(tblY11[[#This Row],[4C09 - Organic Chemistry
Raw Score]]),IFERROR(VLOOKUP(ROUND(STANDARDIZE(tblY11[[#This Row],[4C09 - Organic Chemistry
Raw Score]],AVERAGE(tblY11[[4C09 - Organic Chemistry
Raw Score]]),_xlfn.STDEV.P(tblY11[[4C09 - Organic Chemistry
Raw Score]])),9),_Stanine,2),5),"")</f>
        <v>3</v>
      </c>
      <c r="R32" s="66" t="n">
        <v>16</v>
      </c>
      <c r="S32" s="67">
        <f>IF(ISNUMBER(tblY11[[#This Row],[4P06 - Waves
Raw Score]]),IFERROR(VLOOKUP(ROUND(STANDARDIZE(tblY11[[#This Row],[4P06 - Waves
Raw Score]],AVERAGE(tblY11[[4P06 - Waves
Raw Score]]),_xlfn.STDEV.P(tblY11[[4P06 - Waves
Raw Score]])),9),_Stanine,2),5),"")</f>
        <v>4</v>
      </c>
      <c r="T32" s="66" t="n">
        <v>16</v>
      </c>
      <c r="U32" s="67">
        <f>IF(ISNUMBER(tblY11[[#This Row],[4B06 - Inheritance
Raw Score]]),IFERROR(VLOOKUP(ROUND(STANDARDIZE(tblY11[[#This Row],[4B06 - Inheritance
Raw Score]],AVERAGE(tblY11[[4B06 - Inheritance
Raw Score]]),_xlfn.STDEV.P(tblY11[[4B06 - Inheritance
Raw Score]])),9),_Stanine,2),5),"")</f>
        <v>4</v>
      </c>
      <c r="V32" s="66" t="n">
        <v>11</v>
      </c>
      <c r="W32" s="67">
        <f>IF(ISNUMBER(tblY11[[#This Row],[4C10 - Chemical Analysis
Raw Score]]),IFERROR(VLOOKUP(ROUND(STANDARDIZE(tblY11[[#This Row],[4C10 - Chemical Analysis
Raw Score]],AVERAGE(tblY11[[4C10 - Chemical Analysis
Raw Score]]),_xlfn.STDEV.P(tblY11[[4C10 - Chemical Analysis
Raw Score]])),9),_Stanine,2),5),"")</f>
        <v>4</v>
      </c>
      <c r="X32" s="66" t="n">
        <v>11</v>
      </c>
      <c r="Y32" s="67">
        <f>IF(ISNUMBER(tblY11[[#This Row],[4P07 - Magnetism
Raw Score]]),IFERROR(VLOOKUP(ROUND(STANDARDIZE(tblY11[[#This Row],[4P07 - Magnetism
Raw Score]],AVERAGE(tblY11[[4P07 - Magnetism
Raw Score]]),_xlfn.STDEV.P(tblY11[[4P07 - Magnetism
Raw Score]])),9),_Stanine,2),5),"")</f>
        <v>4</v>
      </c>
    </row>
    <row r="33">
      <c r="A33" s="65" t="inlineStr">
        <is>
          <t>X904005331541</t>
        </is>
      </c>
      <c r="B33" s="65" t="inlineStr">
        <is>
          <t>Harrison</t>
        </is>
      </c>
      <c r="C33" s="65" t="inlineStr">
        <is>
          <t>Arjun</t>
        </is>
      </c>
      <c r="D33" s="66" t="inlineStr">
        <is>
          <t>F</t>
        </is>
      </c>
      <c r="E33" s="66" t="n"/>
      <c r="F33" s="66" t="inlineStr">
        <is>
          <t>Y</t>
        </is>
      </c>
      <c r="G33" s="34" t="n">
        <v>82.8</v>
      </c>
      <c r="H33" s="34" t="n">
        <v>106</v>
      </c>
      <c r="I33" s="67">
        <f>IF(ISNUMBER(tblY11[[#This Row],[Avg KS2]]),IFERROR(VLOOKUP(ROUND(STANDARDIZE(tblY11[[#This Row],[Avg KS2]],AVERAGE(tblY11[[Avg KS2]]),_xlfn.STDEV.P(tblY11[[Avg KS2]])),9),_Stanine,2),5),"")</f>
        <v>5</v>
      </c>
      <c r="J33" s="66" t="inlineStr">
        <is>
          <t>11S/Sc2</t>
        </is>
      </c>
      <c r="K33" s="67">
        <f>IF(tblY11[[#This Row],[Preferred Last name]]="","",COUNTIFS($N$1:$ZZ$1,"*"&amp;CHAR(10)&amp;"Stanine",$N33:$ZZ33,"&gt;=1"))</f>
        <v>5</v>
      </c>
      <c r="L33" s="68">
        <f>IFERROR(AVERAGEIF($N$1:$ZZ$1,"*"&amp;CHAR(10)&amp;"Stanine",$N33:$ZZ33),"")</f>
        <v>4.4</v>
      </c>
      <c r="M33" s="69">
        <f>IF(AND(ISNUMBER(tblY11[[#This Row],[Mean Stanine]]),ISNUMBER(tblY11[[#This Row],[Avg KS2 Band]]),ISNUMBER(SlopeY11)),tblY11[[#This Row],[Mean Stanine]]-(InterceptY11+SlopeY11*tblY11[[#This Row],[Avg KS2 Band]]),"")</f>
        <v>-0.552698412698412</v>
      </c>
      <c r="N33" s="66" t="inlineStr">
        <is>
          <t>A</t>
        </is>
      </c>
      <c r="O33" s="67" t="str">
        <f>IF(ISNUMBER(tblY11[[#This Row],[4B05 - Homeostasis
Raw Score]]),IFERROR(VLOOKUP(ROUND(STANDARDIZE(tblY11[[#This Row],[4B05 - Homeostasis
Raw Score]],AVERAGE(tblY11[[4B05 - Homeostasis
Raw Score]]),_xlfn.STDEV.P(tblY11[[4B05 - Homeostasis
Raw Score]])),9),_Stanine,2),5),"")</f>
        <v/>
      </c>
      <c r="P33" s="66" t="n">
        <v>20</v>
      </c>
      <c r="Q33" s="67">
        <f>IF(ISNUMBER(tblY11[[#This Row],[4C09 - Organic Chemistry
Raw Score]]),IFERROR(VLOOKUP(ROUND(STANDARDIZE(tblY11[[#This Row],[4C09 - Organic Chemistry
Raw Score]],AVERAGE(tblY11[[4C09 - Organic Chemistry
Raw Score]]),_xlfn.STDEV.P(tblY11[[4C09 - Organic Chemistry
Raw Score]])),9),_Stanine,2),5),"")</f>
        <v>6</v>
      </c>
      <c r="R33" s="66" t="n">
        <v>16</v>
      </c>
      <c r="S33" s="67">
        <f>IF(ISNUMBER(tblY11[[#This Row],[4P06 - Waves
Raw Score]]),IFERROR(VLOOKUP(ROUND(STANDARDIZE(tblY11[[#This Row],[4P06 - Waves
Raw Score]],AVERAGE(tblY11[[4P06 - Waves
Raw Score]]),_xlfn.STDEV.P(tblY11[[4P06 - Waves
Raw Score]])),9),_Stanine,2),5),"")</f>
        <v>4</v>
      </c>
      <c r="T33" s="66" t="n">
        <v>12</v>
      </c>
      <c r="U33" s="67">
        <f>IF(ISNUMBER(tblY11[[#This Row],[4B06 - Inheritance
Raw Score]]),IFERROR(VLOOKUP(ROUND(STANDARDIZE(tblY11[[#This Row],[4B06 - Inheritance
Raw Score]],AVERAGE(tblY11[[4B06 - Inheritance
Raw Score]]),_xlfn.STDEV.P(tblY11[[4B06 - Inheritance
Raw Score]])),9),_Stanine,2),5),"")</f>
        <v>4</v>
      </c>
      <c r="V33" s="66" t="n">
        <v>11</v>
      </c>
      <c r="W33" s="67">
        <f>IF(ISNUMBER(tblY11[[#This Row],[4C10 - Chemical Analysis
Raw Score]]),IFERROR(VLOOKUP(ROUND(STANDARDIZE(tblY11[[#This Row],[4C10 - Chemical Analysis
Raw Score]],AVERAGE(tblY11[[4C10 - Chemical Analysis
Raw Score]]),_xlfn.STDEV.P(tblY11[[4C10 - Chemical Analysis
Raw Score]])),9),_Stanine,2),5),"")</f>
        <v>4</v>
      </c>
      <c r="X33" s="66" t="n">
        <v>12</v>
      </c>
      <c r="Y33" s="67">
        <f>IF(ISNUMBER(tblY11[[#This Row],[4P07 - Magnetism
Raw Score]]),IFERROR(VLOOKUP(ROUND(STANDARDIZE(tblY11[[#This Row],[4P07 - Magnetism
Raw Score]],AVERAGE(tblY11[[4P07 - Magnetism
Raw Score]]),_xlfn.STDEV.P(tblY11[[4P07 - Magnetism
Raw Score]])),9),_Stanine,2),5),"")</f>
        <v>4</v>
      </c>
    </row>
    <row r="34">
      <c r="A34" s="65" t="inlineStr">
        <is>
          <t>X904619825337</t>
        </is>
      </c>
      <c r="B34" s="65" t="inlineStr">
        <is>
          <t>Harrison</t>
        </is>
      </c>
      <c r="C34" s="65" t="inlineStr">
        <is>
          <t>Poppy</t>
        </is>
      </c>
      <c r="D34" s="66" t="inlineStr">
        <is>
          <t>F</t>
        </is>
      </c>
      <c r="E34" s="66" t="n"/>
      <c r="F34" s="66" t="inlineStr">
        <is>
          <t>N</t>
        </is>
      </c>
      <c r="G34" s="34" t="n">
        <v>99.7</v>
      </c>
      <c r="H34" s="34" t="n">
        <v>106</v>
      </c>
      <c r="I34" s="67">
        <f>IF(ISNUMBER(tblY11[[#This Row],[Avg KS2]]),IFERROR(VLOOKUP(ROUND(STANDARDIZE(tblY11[[#This Row],[Avg KS2]],AVERAGE(tblY11[[Avg KS2]]),_xlfn.STDEV.P(tblY11[[Avg KS2]])),9),_Stanine,2),5),"")</f>
        <v>5</v>
      </c>
      <c r="J34" s="66" t="inlineStr">
        <is>
          <t>11S/Sc2</t>
        </is>
      </c>
      <c r="K34" s="67">
        <f>IF(tblY11[[#This Row],[Preferred Last name]]="","",COUNTIFS($N$1:$ZZ$1,"*"&amp;CHAR(10)&amp;"Stanine",$N34:$ZZ34,"&gt;=1"))</f>
        <v>5</v>
      </c>
      <c r="L34" s="68">
        <f>IFERROR(AVERAGEIF($N$1:$ZZ$1,"*"&amp;CHAR(10)&amp;"Stanine",$N34:$ZZ34),"")</f>
        <v>5.8</v>
      </c>
      <c r="M34" s="69">
        <f>IF(AND(ISNUMBER(tblY11[[#This Row],[Mean Stanine]]),ISNUMBER(tblY11[[#This Row],[Avg KS2 Band]]),ISNUMBER(SlopeY11)),tblY11[[#This Row],[Mean Stanine]]-(InterceptY11+SlopeY11*tblY11[[#This Row],[Avg KS2 Band]]),"")</f>
        <v>0.847301587301588</v>
      </c>
      <c r="N34" s="66" t="n">
        <v>28</v>
      </c>
      <c r="O34" s="67">
        <f>IF(ISNUMBER(tblY11[[#This Row],[4B05 - Homeostasis
Raw Score]]),IFERROR(VLOOKUP(ROUND(STANDARDIZE(tblY11[[#This Row],[4B05 - Homeostasis
Raw Score]],AVERAGE(tblY11[[4B05 - Homeostasis
Raw Score]]),_xlfn.STDEV.P(tblY11[[4B05 - Homeostasis
Raw Score]])),9),_Stanine,2),5),"")</f>
        <v>7</v>
      </c>
      <c r="P34" s="66" t="n">
        <v>17</v>
      </c>
      <c r="Q34" s="67">
        <f>IF(ISNUMBER(tblY11[[#This Row],[4C09 - Organic Chemistry
Raw Score]]),IFERROR(VLOOKUP(ROUND(STANDARDIZE(tblY11[[#This Row],[4C09 - Organic Chemistry
Raw Score]],AVERAGE(tblY11[[4C09 - Organic Chemistry
Raw Score]]),_xlfn.STDEV.P(tblY11[[4C09 - Organic Chemistry
Raw Score]])),9),_Stanine,2),5),"")</f>
        <v>5</v>
      </c>
      <c r="R34" s="66" t="n">
        <v>25</v>
      </c>
      <c r="S34" s="67">
        <f>IF(ISNUMBER(tblY11[[#This Row],[4P06 - Waves
Raw Score]]),IFERROR(VLOOKUP(ROUND(STANDARDIZE(tblY11[[#This Row],[4P06 - Waves
Raw Score]],AVERAGE(tblY11[[4P06 - Waves
Raw Score]]),_xlfn.STDEV.P(tblY11[[4P06 - Waves
Raw Score]])),9),_Stanine,2),5),"")</f>
        <v>6</v>
      </c>
      <c r="T34" s="66" t="n">
        <v>16</v>
      </c>
      <c r="U34" s="67">
        <f>IF(ISNUMBER(tblY11[[#This Row],[4B06 - Inheritance
Raw Score]]),IFERROR(VLOOKUP(ROUND(STANDARDIZE(tblY11[[#This Row],[4B06 - Inheritance
Raw Score]],AVERAGE(tblY11[[4B06 - Inheritance
Raw Score]]),_xlfn.STDEV.P(tblY11[[4B06 - Inheritance
Raw Score]])),9),_Stanine,2),5),"")</f>
        <v>4</v>
      </c>
      <c r="V34" s="66" t="n">
        <v>21</v>
      </c>
      <c r="W34" s="67">
        <f>IF(ISNUMBER(tblY11[[#This Row],[4C10 - Chemical Analysis
Raw Score]]),IFERROR(VLOOKUP(ROUND(STANDARDIZE(tblY11[[#This Row],[4C10 - Chemical Analysis
Raw Score]],AVERAGE(tblY11[[4C10 - Chemical Analysis
Raw Score]]),_xlfn.STDEV.P(tblY11[[4C10 - Chemical Analysis
Raw Score]])),9),_Stanine,2),5),"")</f>
        <v>7</v>
      </c>
      <c r="X34" s="66" t="inlineStr">
        <is>
          <t>A</t>
        </is>
      </c>
      <c r="Y34" s="67" t="str">
        <f>IF(ISNUMBER(tblY11[[#This Row],[4P07 - Magnetism
Raw Score]]),IFERROR(VLOOKUP(ROUND(STANDARDIZE(tblY11[[#This Row],[4P07 - Magnetism
Raw Score]],AVERAGE(tblY11[[4P07 - Magnetism
Raw Score]]),_xlfn.STDEV.P(tblY11[[4P07 - Magnetism
Raw Score]])),9),_Stanine,2),5),"")</f>
        <v/>
      </c>
    </row>
    <row r="35">
      <c r="A35" s="65" t="inlineStr">
        <is>
          <t>X902773588099</t>
        </is>
      </c>
      <c r="B35" s="65" t="inlineStr">
        <is>
          <t>Jackson</t>
        </is>
      </c>
      <c r="C35" s="65" t="inlineStr">
        <is>
          <t>Priya</t>
        </is>
      </c>
      <c r="D35" s="66" t="inlineStr">
        <is>
          <t>M</t>
        </is>
      </c>
      <c r="E35" s="66" t="inlineStr">
        <is>
          <t>K</t>
        </is>
      </c>
      <c r="F35" s="66" t="inlineStr">
        <is>
          <t>N</t>
        </is>
      </c>
      <c r="G35" s="34" t="n">
        <v>87.90000000000001</v>
      </c>
      <c r="H35" s="34" t="n">
        <v>108</v>
      </c>
      <c r="I35" s="67">
        <f>IF(ISNUMBER(tblY11[[#This Row],[Avg KS2]]),IFERROR(VLOOKUP(ROUND(STANDARDIZE(tblY11[[#This Row],[Avg KS2]],AVERAGE(tblY11[[Avg KS2]]),_xlfn.STDEV.P(tblY11[[Avg KS2]])),9),_Stanine,2),5),"")</f>
        <v>6</v>
      </c>
      <c r="J35" s="66" t="inlineStr">
        <is>
          <t>11S/Sc2</t>
        </is>
      </c>
      <c r="K35" s="67">
        <f>IF(tblY11[[#This Row],[Preferred Last name]]="","",COUNTIFS($N$1:$ZZ$1,"*"&amp;CHAR(10)&amp;"Stanine",$N35:$ZZ35,"&gt;=1"))</f>
        <v>6</v>
      </c>
      <c r="L35" s="68">
        <f>IFERROR(AVERAGEIF($N$1:$ZZ$1,"*"&amp;CHAR(10)&amp;"Stanine",$N35:$ZZ35),"")</f>
        <v>5.33333333333333</v>
      </c>
      <c r="M35" s="69">
        <f>IF(AND(ISNUMBER(tblY11[[#This Row],[Mean Stanine]]),ISNUMBER(tblY11[[#This Row],[Avg KS2 Band]]),ISNUMBER(SlopeY11)),tblY11[[#This Row],[Mean Stanine]]-(InterceptY11+SlopeY11*tblY11[[#This Row],[Avg KS2 Band]]),"")</f>
        <v>-0.368228715728716</v>
      </c>
      <c r="N35" s="66" t="n">
        <v>20</v>
      </c>
      <c r="O35" s="67">
        <f>IF(ISNUMBER(tblY11[[#This Row],[4B05 - Homeostasis
Raw Score]]),IFERROR(VLOOKUP(ROUND(STANDARDIZE(tblY11[[#This Row],[4B05 - Homeostasis
Raw Score]],AVERAGE(tblY11[[4B05 - Homeostasis
Raw Score]]),_xlfn.STDEV.P(tblY11[[4B05 - Homeostasis
Raw Score]])),9),_Stanine,2),5),"")</f>
        <v>5</v>
      </c>
      <c r="P35" s="66" t="n">
        <v>17</v>
      </c>
      <c r="Q35" s="67">
        <f>IF(ISNUMBER(tblY11[[#This Row],[4C09 - Organic Chemistry
Raw Score]]),IFERROR(VLOOKUP(ROUND(STANDARDIZE(tblY11[[#This Row],[4C09 - Organic Chemistry
Raw Score]],AVERAGE(tblY11[[4C09 - Organic Chemistry
Raw Score]]),_xlfn.STDEV.P(tblY11[[4C09 - Organic Chemistry
Raw Score]])),9),_Stanine,2),5),"")</f>
        <v>5</v>
      </c>
      <c r="R35" s="66" t="n">
        <v>27</v>
      </c>
      <c r="S35" s="67">
        <f>IF(ISNUMBER(tblY11[[#This Row],[4P06 - Waves
Raw Score]]),IFERROR(VLOOKUP(ROUND(STANDARDIZE(tblY11[[#This Row],[4P06 - Waves
Raw Score]],AVERAGE(tblY11[[4P06 - Waves
Raw Score]]),_xlfn.STDEV.P(tblY11[[4P06 - Waves
Raw Score]])),9),_Stanine,2),5),"")</f>
        <v>6</v>
      </c>
      <c r="T35" s="66" t="n">
        <v>16</v>
      </c>
      <c r="U35" s="67">
        <f>IF(ISNUMBER(tblY11[[#This Row],[4B06 - Inheritance
Raw Score]]),IFERROR(VLOOKUP(ROUND(STANDARDIZE(tblY11[[#This Row],[4B06 - Inheritance
Raw Score]],AVERAGE(tblY11[[4B06 - Inheritance
Raw Score]]),_xlfn.STDEV.P(tblY11[[4B06 - Inheritance
Raw Score]])),9),_Stanine,2),5),"")</f>
        <v>4</v>
      </c>
      <c r="V35" s="66" t="n">
        <v>18</v>
      </c>
      <c r="W35" s="67">
        <f>IF(ISNUMBER(tblY11[[#This Row],[4C10 - Chemical Analysis
Raw Score]]),IFERROR(VLOOKUP(ROUND(STANDARDIZE(tblY11[[#This Row],[4C10 - Chemical Analysis
Raw Score]],AVERAGE(tblY11[[4C10 - Chemical Analysis
Raw Score]]),_xlfn.STDEV.P(tblY11[[4C10 - Chemical Analysis
Raw Score]])),9),_Stanine,2),5),"")</f>
        <v>6</v>
      </c>
      <c r="X35" s="66" t="n">
        <v>19</v>
      </c>
      <c r="Y35" s="67">
        <f>IF(ISNUMBER(tblY11[[#This Row],[4P07 - Magnetism
Raw Score]]),IFERROR(VLOOKUP(ROUND(STANDARDIZE(tblY11[[#This Row],[4P07 - Magnetism
Raw Score]],AVERAGE(tblY11[[4P07 - Magnetism
Raw Score]]),_xlfn.STDEV.P(tblY11[[4P07 - Magnetism
Raw Score]])),9),_Stanine,2),5),"")</f>
        <v>6</v>
      </c>
    </row>
    <row r="36">
      <c r="A36" s="65" t="inlineStr">
        <is>
          <t>X903343935139</t>
        </is>
      </c>
      <c r="B36" s="65" t="inlineStr">
        <is>
          <t>Jones</t>
        </is>
      </c>
      <c r="C36" s="65" t="inlineStr">
        <is>
          <t>Seren</t>
        </is>
      </c>
      <c r="D36" s="66" t="inlineStr">
        <is>
          <t>M</t>
        </is>
      </c>
      <c r="E36" s="66" t="inlineStr">
        <is>
          <t>N</t>
        </is>
      </c>
      <c r="F36" s="66" t="inlineStr">
        <is>
          <t>N</t>
        </is>
      </c>
      <c r="G36" s="34" t="n">
        <v>86.90000000000001</v>
      </c>
      <c r="H36" s="34" t="n">
        <v>108.5</v>
      </c>
      <c r="I36" s="67">
        <f>IF(ISNUMBER(tblY11[[#This Row],[Avg KS2]]),IFERROR(VLOOKUP(ROUND(STANDARDIZE(tblY11[[#This Row],[Avg KS2]],AVERAGE(tblY11[[Avg KS2]]),_xlfn.STDEV.P(tblY11[[Avg KS2]])),9),_Stanine,2),5),"")</f>
        <v>6</v>
      </c>
      <c r="J36" s="66" t="inlineStr">
        <is>
          <t>11S/Sc2</t>
        </is>
      </c>
      <c r="K36" s="67">
        <f>IF(tblY11[[#This Row],[Preferred Last name]]="","",COUNTIFS($N$1:$ZZ$1,"*"&amp;CHAR(10)&amp;"Stanine",$N36:$ZZ36,"&gt;=1"))</f>
        <v>6</v>
      </c>
      <c r="L36" s="68">
        <f>IFERROR(AVERAGEIF($N$1:$ZZ$1,"*"&amp;CHAR(10)&amp;"Stanine",$N36:$ZZ36),"")</f>
        <v>6.66666666666667</v>
      </c>
      <c r="M36" s="69">
        <f>IF(AND(ISNUMBER(tblY11[[#This Row],[Mean Stanine]]),ISNUMBER(tblY11[[#This Row],[Avg KS2 Band]]),ISNUMBER(SlopeY11)),tblY11[[#This Row],[Mean Stanine]]-(InterceptY11+SlopeY11*tblY11[[#This Row],[Avg KS2 Band]]),"")</f>
        <v>0.965104617604618</v>
      </c>
      <c r="N36" s="66" t="n">
        <v>30</v>
      </c>
      <c r="O36" s="67">
        <f>IF(ISNUMBER(tblY11[[#This Row],[4B05 - Homeostasis
Raw Score]]),IFERROR(VLOOKUP(ROUND(STANDARDIZE(tblY11[[#This Row],[4B05 - Homeostasis
Raw Score]],AVERAGE(tblY11[[4B05 - Homeostasis
Raw Score]]),_xlfn.STDEV.P(tblY11[[4B05 - Homeostasis
Raw Score]])),9),_Stanine,2),5),"")</f>
        <v>7</v>
      </c>
      <c r="P36" s="66" t="n">
        <v>22</v>
      </c>
      <c r="Q36" s="67">
        <f>IF(ISNUMBER(tblY11[[#This Row],[4C09 - Organic Chemistry
Raw Score]]),IFERROR(VLOOKUP(ROUND(STANDARDIZE(tblY11[[#This Row],[4C09 - Organic Chemistry
Raw Score]],AVERAGE(tblY11[[4C09 - Organic Chemistry
Raw Score]]),_xlfn.STDEV.P(tblY11[[4C09 - Organic Chemistry
Raw Score]])),9),_Stanine,2),5),"")</f>
        <v>7</v>
      </c>
      <c r="R36" s="66" t="n">
        <v>30</v>
      </c>
      <c r="S36" s="67">
        <f>IF(ISNUMBER(tblY11[[#This Row],[4P06 - Waves
Raw Score]]),IFERROR(VLOOKUP(ROUND(STANDARDIZE(tblY11[[#This Row],[4P06 - Waves
Raw Score]],AVERAGE(tblY11[[4P06 - Waves
Raw Score]]),_xlfn.STDEV.P(tblY11[[4P06 - Waves
Raw Score]])),9),_Stanine,2),5),"")</f>
        <v>7</v>
      </c>
      <c r="T36" s="66" t="n">
        <v>23</v>
      </c>
      <c r="U36" s="67">
        <f>IF(ISNUMBER(tblY11[[#This Row],[4B06 - Inheritance
Raw Score]]),IFERROR(VLOOKUP(ROUND(STANDARDIZE(tblY11[[#This Row],[4B06 - Inheritance
Raw Score]],AVERAGE(tblY11[[4B06 - Inheritance
Raw Score]]),_xlfn.STDEV.P(tblY11[[4B06 - Inheritance
Raw Score]])),9),_Stanine,2),5),"")</f>
        <v>6</v>
      </c>
      <c r="V36" s="66" t="n">
        <v>21</v>
      </c>
      <c r="W36" s="67">
        <f>IF(ISNUMBER(tblY11[[#This Row],[4C10 - Chemical Analysis
Raw Score]]),IFERROR(VLOOKUP(ROUND(STANDARDIZE(tblY11[[#This Row],[4C10 - Chemical Analysis
Raw Score]],AVERAGE(tblY11[[4C10 - Chemical Analysis
Raw Score]]),_xlfn.STDEV.P(tblY11[[4C10 - Chemical Analysis
Raw Score]])),9),_Stanine,2),5),"")</f>
        <v>7</v>
      </c>
      <c r="X36" s="66" t="n">
        <v>18</v>
      </c>
      <c r="Y36" s="67">
        <f>IF(ISNUMBER(tblY11[[#This Row],[4P07 - Magnetism
Raw Score]]),IFERROR(VLOOKUP(ROUND(STANDARDIZE(tblY11[[#This Row],[4P07 - Magnetism
Raw Score]],AVERAGE(tblY11[[4P07 - Magnetism
Raw Score]]),_xlfn.STDEV.P(tblY11[[4P07 - Magnetism
Raw Score]])),9),_Stanine,2),5),"")</f>
        <v>6</v>
      </c>
    </row>
    <row r="37">
      <c r="A37" s="65" t="inlineStr">
        <is>
          <t>X900103700329</t>
        </is>
      </c>
      <c r="B37" s="65" t="inlineStr">
        <is>
          <t>Kelly</t>
        </is>
      </c>
      <c r="C37" s="65" t="inlineStr">
        <is>
          <t>Amara</t>
        </is>
      </c>
      <c r="D37" s="66" t="inlineStr">
        <is>
          <t>F</t>
        </is>
      </c>
      <c r="E37" s="66" t="n"/>
      <c r="F37" s="66" t="inlineStr">
        <is>
          <t>N</t>
        </is>
      </c>
      <c r="G37" s="34" t="n">
        <v>92.7</v>
      </c>
      <c r="H37" s="34" t="n">
        <v>110</v>
      </c>
      <c r="I37" s="67">
        <f>IF(ISNUMBER(tblY11[[#This Row],[Avg KS2]]),IFERROR(VLOOKUP(ROUND(STANDARDIZE(tblY11[[#This Row],[Avg KS2]],AVERAGE(tblY11[[Avg KS2]]),_xlfn.STDEV.P(tblY11[[Avg KS2]])),9),_Stanine,2),5),"")</f>
        <v>7</v>
      </c>
      <c r="J37" s="66" t="inlineStr">
        <is>
          <t>11S/Sc2</t>
        </is>
      </c>
      <c r="K37" s="67">
        <f>IF(tblY11[[#This Row],[Preferred Last name]]="","",COUNTIFS($N$1:$ZZ$1,"*"&amp;CHAR(10)&amp;"Stanine",$N37:$ZZ37,"&gt;=1"))</f>
        <v>6</v>
      </c>
      <c r="L37" s="68">
        <f>IFERROR(AVERAGEIF($N$1:$ZZ$1,"*"&amp;CHAR(10)&amp;"Stanine",$N37:$ZZ37),"")</f>
        <v>7</v>
      </c>
      <c r="M37" s="69">
        <f>IF(AND(ISNUMBER(tblY11[[#This Row],[Mean Stanine]]),ISNUMBER(tblY11[[#This Row],[Avg KS2 Band]]),ISNUMBER(SlopeY11)),tblY11[[#This Row],[Mean Stanine]]-(InterceptY11+SlopeY11*tblY11[[#This Row],[Avg KS2 Band]]),"")</f>
        <v>0.549574314574315</v>
      </c>
      <c r="N37" s="66" t="n">
        <v>31</v>
      </c>
      <c r="O37" s="67">
        <f>IF(ISNUMBER(tblY11[[#This Row],[4B05 - Homeostasis
Raw Score]]),IFERROR(VLOOKUP(ROUND(STANDARDIZE(tblY11[[#This Row],[4B05 - Homeostasis
Raw Score]],AVERAGE(tblY11[[4B05 - Homeostasis
Raw Score]]),_xlfn.STDEV.P(tblY11[[4B05 - Homeostasis
Raw Score]])),9),_Stanine,2),5),"")</f>
        <v>7</v>
      </c>
      <c r="P37" s="66" t="n">
        <v>23</v>
      </c>
      <c r="Q37" s="67">
        <f>IF(ISNUMBER(tblY11[[#This Row],[4C09 - Organic Chemistry
Raw Score]]),IFERROR(VLOOKUP(ROUND(STANDARDIZE(tblY11[[#This Row],[4C09 - Organic Chemistry
Raw Score]],AVERAGE(tblY11[[4C09 - Organic Chemistry
Raw Score]]),_xlfn.STDEV.P(tblY11[[4C09 - Organic Chemistry
Raw Score]])),9),_Stanine,2),5),"")</f>
        <v>7</v>
      </c>
      <c r="R37" s="66" t="n">
        <v>30</v>
      </c>
      <c r="S37" s="67">
        <f>IF(ISNUMBER(tblY11[[#This Row],[4P06 - Waves
Raw Score]]),IFERROR(VLOOKUP(ROUND(STANDARDIZE(tblY11[[#This Row],[4P06 - Waves
Raw Score]],AVERAGE(tblY11[[4P06 - Waves
Raw Score]]),_xlfn.STDEV.P(tblY11[[4P06 - Waves
Raw Score]])),9),_Stanine,2),5),"")</f>
        <v>7</v>
      </c>
      <c r="T37" s="66" t="n">
        <v>30</v>
      </c>
      <c r="U37" s="67">
        <f>IF(ISNUMBER(tblY11[[#This Row],[4B06 - Inheritance
Raw Score]]),IFERROR(VLOOKUP(ROUND(STANDARDIZE(tblY11[[#This Row],[4B06 - Inheritance
Raw Score]],AVERAGE(tblY11[[4B06 - Inheritance
Raw Score]]),_xlfn.STDEV.P(tblY11[[4B06 - Inheritance
Raw Score]])),9),_Stanine,2),5),"")</f>
        <v>7</v>
      </c>
      <c r="V37" s="66" t="n">
        <v>20</v>
      </c>
      <c r="W37" s="67">
        <f>IF(ISNUMBER(tblY11[[#This Row],[4C10 - Chemical Analysis
Raw Score]]),IFERROR(VLOOKUP(ROUND(STANDARDIZE(tblY11[[#This Row],[4C10 - Chemical Analysis
Raw Score]],AVERAGE(tblY11[[4C10 - Chemical Analysis
Raw Score]]),_xlfn.STDEV.P(tblY11[[4C10 - Chemical Analysis
Raw Score]])),9),_Stanine,2),5),"")</f>
        <v>7</v>
      </c>
      <c r="X37" s="66" t="n">
        <v>24</v>
      </c>
      <c r="Y37" s="67">
        <f>IF(ISNUMBER(tblY11[[#This Row],[4P07 - Magnetism
Raw Score]]),IFERROR(VLOOKUP(ROUND(STANDARDIZE(tblY11[[#This Row],[4P07 - Magnetism
Raw Score]],AVERAGE(tblY11[[4P07 - Magnetism
Raw Score]]),_xlfn.STDEV.P(tblY11[[4P07 - Magnetism
Raw Score]])),9),_Stanine,2),5),"")</f>
        <v>7</v>
      </c>
    </row>
    <row r="38">
      <c r="A38" s="65" t="inlineStr">
        <is>
          <t>X903699254773</t>
        </is>
      </c>
      <c r="B38" s="65" t="inlineStr">
        <is>
          <t>Kelly</t>
        </is>
      </c>
      <c r="C38" s="65" t="inlineStr">
        <is>
          <t>Jacob</t>
        </is>
      </c>
      <c r="D38" s="66" t="inlineStr">
        <is>
          <t>M</t>
        </is>
      </c>
      <c r="E38" s="66" t="n"/>
      <c r="F38" s="66" t="inlineStr">
        <is>
          <t>N</t>
        </is>
      </c>
      <c r="G38" s="34" t="n">
        <v>92.7</v>
      </c>
      <c r="H38" s="34" t="n">
        <v>106.5</v>
      </c>
      <c r="I38" s="67">
        <f>IF(ISNUMBER(tblY11[[#This Row],[Avg KS2]]),IFERROR(VLOOKUP(ROUND(STANDARDIZE(tblY11[[#This Row],[Avg KS2]],AVERAGE(tblY11[[Avg KS2]]),_xlfn.STDEV.P(tblY11[[Avg KS2]])),9),_Stanine,2),5),"")</f>
        <v>6</v>
      </c>
      <c r="J38" s="66" t="inlineStr">
        <is>
          <t>11S/Sc2</t>
        </is>
      </c>
      <c r="K38" s="67">
        <f>IF(tblY11[[#This Row],[Preferred Last name]]="","",COUNTIFS($N$1:$ZZ$1,"*"&amp;CHAR(10)&amp;"Stanine",$N38:$ZZ38,"&gt;=1"))</f>
        <v>6</v>
      </c>
      <c r="L38" s="68">
        <f>IFERROR(AVERAGEIF($N$1:$ZZ$1,"*"&amp;CHAR(10)&amp;"Stanine",$N38:$ZZ38),"")</f>
        <v>4.16666666666667</v>
      </c>
      <c r="M38" s="69">
        <f>IF(AND(ISNUMBER(tblY11[[#This Row],[Mean Stanine]]),ISNUMBER(tblY11[[#This Row],[Avg KS2 Band]]),ISNUMBER(SlopeY11)),tblY11[[#This Row],[Mean Stanine]]-(InterceptY11+SlopeY11*tblY11[[#This Row],[Avg KS2 Band]]),"")</f>
        <v>-1.53489538239538</v>
      </c>
      <c r="N38" s="66" t="n">
        <v>16</v>
      </c>
      <c r="O38" s="67">
        <f>IF(ISNUMBER(tblY11[[#This Row],[4B05 - Homeostasis
Raw Score]]),IFERROR(VLOOKUP(ROUND(STANDARDIZE(tblY11[[#This Row],[4B05 - Homeostasis
Raw Score]],AVERAGE(tblY11[[4B05 - Homeostasis
Raw Score]]),_xlfn.STDEV.P(tblY11[[4B05 - Homeostasis
Raw Score]])),9),_Stanine,2),5),"")</f>
        <v>4</v>
      </c>
      <c r="P38" s="66" t="n">
        <v>14</v>
      </c>
      <c r="Q38" s="67">
        <f>IF(ISNUMBER(tblY11[[#This Row],[4C09 - Organic Chemistry
Raw Score]]),IFERROR(VLOOKUP(ROUND(STANDARDIZE(tblY11[[#This Row],[4C09 - Organic Chemistry
Raw Score]],AVERAGE(tblY11[[4C09 - Organic Chemistry
Raw Score]]),_xlfn.STDEV.P(tblY11[[4C09 - Organic Chemistry
Raw Score]])),9),_Stanine,2),5),"")</f>
        <v>4</v>
      </c>
      <c r="R38" s="66" t="n">
        <v>16</v>
      </c>
      <c r="S38" s="67">
        <f>IF(ISNUMBER(tblY11[[#This Row],[4P06 - Waves
Raw Score]]),IFERROR(VLOOKUP(ROUND(STANDARDIZE(tblY11[[#This Row],[4P06 - Waves
Raw Score]],AVERAGE(tblY11[[4P06 - Waves
Raw Score]]),_xlfn.STDEV.P(tblY11[[4P06 - Waves
Raw Score]])),9),_Stanine,2),5),"")</f>
        <v>4</v>
      </c>
      <c r="T38" s="66" t="n">
        <v>15</v>
      </c>
      <c r="U38" s="67">
        <f>IF(ISNUMBER(tblY11[[#This Row],[4B06 - Inheritance
Raw Score]]),IFERROR(VLOOKUP(ROUND(STANDARDIZE(tblY11[[#This Row],[4B06 - Inheritance
Raw Score]],AVERAGE(tblY11[[4B06 - Inheritance
Raw Score]]),_xlfn.STDEV.P(tblY11[[4B06 - Inheritance
Raw Score]])),9),_Stanine,2),5),"")</f>
        <v>4</v>
      </c>
      <c r="V38" s="66" t="n">
        <v>11</v>
      </c>
      <c r="W38" s="67">
        <f>IF(ISNUMBER(tblY11[[#This Row],[4C10 - Chemical Analysis
Raw Score]]),IFERROR(VLOOKUP(ROUND(STANDARDIZE(tblY11[[#This Row],[4C10 - Chemical Analysis
Raw Score]],AVERAGE(tblY11[[4C10 - Chemical Analysis
Raw Score]]),_xlfn.STDEV.P(tblY11[[4C10 - Chemical Analysis
Raw Score]])),9),_Stanine,2),5),"")</f>
        <v>4</v>
      </c>
      <c r="X38" s="66" t="n">
        <v>16</v>
      </c>
      <c r="Y38" s="67">
        <f>IF(ISNUMBER(tblY11[[#This Row],[4P07 - Magnetism
Raw Score]]),IFERROR(VLOOKUP(ROUND(STANDARDIZE(tblY11[[#This Row],[4P07 - Magnetism
Raw Score]],AVERAGE(tblY11[[4P07 - Magnetism
Raw Score]]),_xlfn.STDEV.P(tblY11[[4P07 - Magnetism
Raw Score]])),9),_Stanine,2),5),"")</f>
        <v>5</v>
      </c>
    </row>
    <row r="39">
      <c r="A39" s="65" t="inlineStr">
        <is>
          <t>X906207452548</t>
        </is>
      </c>
      <c r="B39" s="65" t="inlineStr">
        <is>
          <t>Kowalski</t>
        </is>
      </c>
      <c r="C39" s="65" t="inlineStr">
        <is>
          <t>Lewis</t>
        </is>
      </c>
      <c r="D39" s="66" t="inlineStr">
        <is>
          <t>M</t>
        </is>
      </c>
      <c r="E39" s="66" t="inlineStr">
        <is>
          <t>K</t>
        </is>
      </c>
      <c r="F39" s="66" t="inlineStr">
        <is>
          <t>Y</t>
        </is>
      </c>
      <c r="G39" s="34" t="n">
        <v>86.5</v>
      </c>
      <c r="H39" s="34" t="n">
        <v>103</v>
      </c>
      <c r="I39" s="67">
        <f>IF(ISNUMBER(tblY11[[#This Row],[Avg KS2]]),IFERROR(VLOOKUP(ROUND(STANDARDIZE(tblY11[[#This Row],[Avg KS2]],AVERAGE(tblY11[[Avg KS2]]),_xlfn.STDEV.P(tblY11[[Avg KS2]])),9),_Stanine,2),5),"")</f>
        <v>4</v>
      </c>
      <c r="J39" s="66" t="inlineStr">
        <is>
          <t>11S/Sc2</t>
        </is>
      </c>
      <c r="K39" s="67">
        <f>IF(tblY11[[#This Row],[Preferred Last name]]="","",COUNTIFS($N$1:$ZZ$1,"*"&amp;CHAR(10)&amp;"Stanine",$N39:$ZZ39,"&gt;=1"))</f>
        <v>6</v>
      </c>
      <c r="L39" s="68">
        <f>IFERROR(AVERAGEIF($N$1:$ZZ$1,"*"&amp;CHAR(10)&amp;"Stanine",$N39:$ZZ39),"")</f>
        <v>4</v>
      </c>
      <c r="M39" s="69">
        <f>IF(AND(ISNUMBER(tblY11[[#This Row],[Mean Stanine]]),ISNUMBER(tblY11[[#This Row],[Avg KS2 Band]]),ISNUMBER(SlopeY11)),tblY11[[#This Row],[Mean Stanine]]-(InterceptY11+SlopeY11*tblY11[[#This Row],[Avg KS2 Band]]),"")</f>
        <v>-0.203834776334776</v>
      </c>
      <c r="N39" s="66" t="n">
        <v>11</v>
      </c>
      <c r="O39" s="67">
        <f>IF(ISNUMBER(tblY11[[#This Row],[4B05 - Homeostasis
Raw Score]]),IFERROR(VLOOKUP(ROUND(STANDARDIZE(tblY11[[#This Row],[4B05 - Homeostasis
Raw Score]],AVERAGE(tblY11[[4B05 - Homeostasis
Raw Score]]),_xlfn.STDEV.P(tblY11[[4B05 - Homeostasis
Raw Score]])),9),_Stanine,2),5),"")</f>
        <v>3</v>
      </c>
      <c r="P39" s="66" t="n">
        <v>12</v>
      </c>
      <c r="Q39" s="67">
        <f>IF(ISNUMBER(tblY11[[#This Row],[4C09 - Organic Chemistry
Raw Score]]),IFERROR(VLOOKUP(ROUND(STANDARDIZE(tblY11[[#This Row],[4C09 - Organic Chemistry
Raw Score]],AVERAGE(tblY11[[4C09 - Organic Chemistry
Raw Score]]),_xlfn.STDEV.P(tblY11[[4C09 - Organic Chemistry
Raw Score]])),9),_Stanine,2),5),"")</f>
        <v>4</v>
      </c>
      <c r="R39" s="66" t="n">
        <v>18</v>
      </c>
      <c r="S39" s="67">
        <f>IF(ISNUMBER(tblY11[[#This Row],[4P06 - Waves
Raw Score]]),IFERROR(VLOOKUP(ROUND(STANDARDIZE(tblY11[[#This Row],[4P06 - Waves
Raw Score]],AVERAGE(tblY11[[4P06 - Waves
Raw Score]]),_xlfn.STDEV.P(tblY11[[4P06 - Waves
Raw Score]])),9),_Stanine,2),5),"")</f>
        <v>4</v>
      </c>
      <c r="T39" s="66" t="n">
        <v>11</v>
      </c>
      <c r="U39" s="67">
        <f>IF(ISNUMBER(tblY11[[#This Row],[4B06 - Inheritance
Raw Score]]),IFERROR(VLOOKUP(ROUND(STANDARDIZE(tblY11[[#This Row],[4B06 - Inheritance
Raw Score]],AVERAGE(tblY11[[4B06 - Inheritance
Raw Score]]),_xlfn.STDEV.P(tblY11[[4B06 - Inheritance
Raw Score]])),9),_Stanine,2),5),"")</f>
        <v>3</v>
      </c>
      <c r="V39" s="66" t="n">
        <v>13</v>
      </c>
      <c r="W39" s="67">
        <f>IF(ISNUMBER(tblY11[[#This Row],[4C10 - Chemical Analysis
Raw Score]]),IFERROR(VLOOKUP(ROUND(STANDARDIZE(tblY11[[#This Row],[4C10 - Chemical Analysis
Raw Score]],AVERAGE(tblY11[[4C10 - Chemical Analysis
Raw Score]]),_xlfn.STDEV.P(tblY11[[4C10 - Chemical Analysis
Raw Score]])),9),_Stanine,2),5),"")</f>
        <v>5</v>
      </c>
      <c r="X39" s="66" t="n">
        <v>14</v>
      </c>
      <c r="Y39" s="67">
        <f>IF(ISNUMBER(tblY11[[#This Row],[4P07 - Magnetism
Raw Score]]),IFERROR(VLOOKUP(ROUND(STANDARDIZE(tblY11[[#This Row],[4P07 - Magnetism
Raw Score]],AVERAGE(tblY11[[4P07 - Magnetism
Raw Score]]),_xlfn.STDEV.P(tblY11[[4P07 - Magnetism
Raw Score]])),9),_Stanine,2),5),"")</f>
        <v>5</v>
      </c>
    </row>
    <row r="40">
      <c r="A40" s="65" t="inlineStr">
        <is>
          <t>X906652881000</t>
        </is>
      </c>
      <c r="B40" s="65" t="inlineStr">
        <is>
          <t>Morgan</t>
        </is>
      </c>
      <c r="C40" s="65" t="inlineStr">
        <is>
          <t>George</t>
        </is>
      </c>
      <c r="D40" s="66" t="inlineStr">
        <is>
          <t>M</t>
        </is>
      </c>
      <c r="E40" s="66" t="n"/>
      <c r="F40" s="66" t="inlineStr">
        <is>
          <t>Y</t>
        </is>
      </c>
      <c r="G40" s="34" t="n">
        <v>89.09999999999999</v>
      </c>
      <c r="H40" s="34" t="n">
        <v>106.5</v>
      </c>
      <c r="I40" s="67">
        <f>IF(ISNUMBER(tblY11[[#This Row],[Avg KS2]]),IFERROR(VLOOKUP(ROUND(STANDARDIZE(tblY11[[#This Row],[Avg KS2]],AVERAGE(tblY11[[Avg KS2]]),_xlfn.STDEV.P(tblY11[[Avg KS2]])),9),_Stanine,2),5),"")</f>
        <v>6</v>
      </c>
      <c r="J40" s="66" t="inlineStr">
        <is>
          <t>11S/Sc2</t>
        </is>
      </c>
      <c r="K40" s="67">
        <f>IF(tblY11[[#This Row],[Preferred Last name]]="","",COUNTIFS($N$1:$ZZ$1,"*"&amp;CHAR(10)&amp;"Stanine",$N40:$ZZ40,"&gt;=1"))</f>
        <v>6</v>
      </c>
      <c r="L40" s="68">
        <f>IFERROR(AVERAGEIF($N$1:$ZZ$1,"*"&amp;CHAR(10)&amp;"Stanine",$N40:$ZZ40),"")</f>
        <v>5.33333333333333</v>
      </c>
      <c r="M40" s="69">
        <f>IF(AND(ISNUMBER(tblY11[[#This Row],[Mean Stanine]]),ISNUMBER(tblY11[[#This Row],[Avg KS2 Band]]),ISNUMBER(SlopeY11)),tblY11[[#This Row],[Mean Stanine]]-(InterceptY11+SlopeY11*tblY11[[#This Row],[Avg KS2 Band]]),"")</f>
        <v>-0.368228715728716</v>
      </c>
      <c r="N40" s="66" t="n">
        <v>25</v>
      </c>
      <c r="O40" s="67">
        <f>IF(ISNUMBER(tblY11[[#This Row],[4B05 - Homeostasis
Raw Score]]),IFERROR(VLOOKUP(ROUND(STANDARDIZE(tblY11[[#This Row],[4B05 - Homeostasis
Raw Score]],AVERAGE(tblY11[[4B05 - Homeostasis
Raw Score]]),_xlfn.STDEV.P(tblY11[[4B05 - Homeostasis
Raw Score]])),9),_Stanine,2),5),"")</f>
        <v>6</v>
      </c>
      <c r="P40" s="66" t="n">
        <v>17</v>
      </c>
      <c r="Q40" s="67">
        <f>IF(ISNUMBER(tblY11[[#This Row],[4C09 - Organic Chemistry
Raw Score]]),IFERROR(VLOOKUP(ROUND(STANDARDIZE(tblY11[[#This Row],[4C09 - Organic Chemistry
Raw Score]],AVERAGE(tblY11[[4C09 - Organic Chemistry
Raw Score]]),_xlfn.STDEV.P(tblY11[[4C09 - Organic Chemistry
Raw Score]])),9),_Stanine,2),5),"")</f>
        <v>5</v>
      </c>
      <c r="R40" s="66" t="n">
        <v>23</v>
      </c>
      <c r="S40" s="67">
        <f>IF(ISNUMBER(tblY11[[#This Row],[4P06 - Waves
Raw Score]]),IFERROR(VLOOKUP(ROUND(STANDARDIZE(tblY11[[#This Row],[4P06 - Waves
Raw Score]],AVERAGE(tblY11[[4P06 - Waves
Raw Score]]),_xlfn.STDEV.P(tblY11[[4P06 - Waves
Raw Score]])),9),_Stanine,2),5),"")</f>
        <v>5</v>
      </c>
      <c r="T40" s="66" t="n">
        <v>26</v>
      </c>
      <c r="U40" s="67">
        <f>IF(ISNUMBER(tblY11[[#This Row],[4B06 - Inheritance
Raw Score]]),IFERROR(VLOOKUP(ROUND(STANDARDIZE(tblY11[[#This Row],[4B06 - Inheritance
Raw Score]],AVERAGE(tblY11[[4B06 - Inheritance
Raw Score]]),_xlfn.STDEV.P(tblY11[[4B06 - Inheritance
Raw Score]])),9),_Stanine,2),5),"")</f>
        <v>7</v>
      </c>
      <c r="V40" s="66" t="n">
        <v>12</v>
      </c>
      <c r="W40" s="67">
        <f>IF(ISNUMBER(tblY11[[#This Row],[4C10 - Chemical Analysis
Raw Score]]),IFERROR(VLOOKUP(ROUND(STANDARDIZE(tblY11[[#This Row],[4C10 - Chemical Analysis
Raw Score]],AVERAGE(tblY11[[4C10 - Chemical Analysis
Raw Score]]),_xlfn.STDEV.P(tblY11[[4C10 - Chemical Analysis
Raw Score]])),9),_Stanine,2),5),"")</f>
        <v>4</v>
      </c>
      <c r="X40" s="66" t="n">
        <v>16</v>
      </c>
      <c r="Y40" s="67">
        <f>IF(ISNUMBER(tblY11[[#This Row],[4P07 - Magnetism
Raw Score]]),IFERROR(VLOOKUP(ROUND(STANDARDIZE(tblY11[[#This Row],[4P07 - Magnetism
Raw Score]],AVERAGE(tblY11[[4P07 - Magnetism
Raw Score]]),_xlfn.STDEV.P(tblY11[[4P07 - Magnetism
Raw Score]])),9),_Stanine,2),5),"")</f>
        <v>5</v>
      </c>
    </row>
    <row r="41">
      <c r="A41" s="65" t="inlineStr">
        <is>
          <t>X908923094331</t>
        </is>
      </c>
      <c r="B41" s="65" t="inlineStr">
        <is>
          <t>Morgan</t>
        </is>
      </c>
      <c r="C41" s="65" t="inlineStr">
        <is>
          <t>Noah</t>
        </is>
      </c>
      <c r="D41" s="66" t="inlineStr">
        <is>
          <t>M</t>
        </is>
      </c>
      <c r="E41" s="66" t="inlineStr">
        <is>
          <t>N</t>
        </is>
      </c>
      <c r="F41" s="66" t="inlineStr">
        <is>
          <t>Y</t>
        </is>
      </c>
      <c r="G41" s="34" t="n">
        <v>94.8</v>
      </c>
      <c r="H41" s="34" t="n">
        <v>102</v>
      </c>
      <c r="I41" s="67">
        <f>IF(ISNUMBER(tblY11[[#This Row],[Avg KS2]]),IFERROR(VLOOKUP(ROUND(STANDARDIZE(tblY11[[#This Row],[Avg KS2]],AVERAGE(tblY11[[Avg KS2]]),_xlfn.STDEV.P(tblY11[[Avg KS2]])),9),_Stanine,2),5),"")</f>
        <v>4</v>
      </c>
      <c r="J41" s="66" t="inlineStr">
        <is>
          <t>11S/Sc2</t>
        </is>
      </c>
      <c r="K41" s="67">
        <f>IF(tblY11[[#This Row],[Preferred Last name]]="","",COUNTIFS($N$1:$ZZ$1,"*"&amp;CHAR(10)&amp;"Stanine",$N41:$ZZ41,"&gt;=1"))</f>
        <v>6</v>
      </c>
      <c r="L41" s="68">
        <f>IFERROR(AVERAGEIF($N$1:$ZZ$1,"*"&amp;CHAR(10)&amp;"Stanine",$N41:$ZZ41),"")</f>
        <v>4.5</v>
      </c>
      <c r="M41" s="69">
        <f>IF(AND(ISNUMBER(tblY11[[#This Row],[Mean Stanine]]),ISNUMBER(tblY11[[#This Row],[Avg KS2 Band]]),ISNUMBER(SlopeY11)),tblY11[[#This Row],[Mean Stanine]]-(InterceptY11+SlopeY11*tblY11[[#This Row],[Avg KS2 Band]]),"")</f>
        <v>0.296165223665224</v>
      </c>
      <c r="N41" s="66" t="n">
        <v>20</v>
      </c>
      <c r="O41" s="67">
        <f>IF(ISNUMBER(tblY11[[#This Row],[4B05 - Homeostasis
Raw Score]]),IFERROR(VLOOKUP(ROUND(STANDARDIZE(tblY11[[#This Row],[4B05 - Homeostasis
Raw Score]],AVERAGE(tblY11[[4B05 - Homeostasis
Raw Score]]),_xlfn.STDEV.P(tblY11[[4B05 - Homeostasis
Raw Score]])),9),_Stanine,2),5),"")</f>
        <v>5</v>
      </c>
      <c r="P41" s="66" t="n">
        <v>13</v>
      </c>
      <c r="Q41" s="67">
        <f>IF(ISNUMBER(tblY11[[#This Row],[4C09 - Organic Chemistry
Raw Score]]),IFERROR(VLOOKUP(ROUND(STANDARDIZE(tblY11[[#This Row],[4C09 - Organic Chemistry
Raw Score]],AVERAGE(tblY11[[4C09 - Organic Chemistry
Raw Score]]),_xlfn.STDEV.P(tblY11[[4C09 - Organic Chemistry
Raw Score]])),9),_Stanine,2),5),"")</f>
        <v>4</v>
      </c>
      <c r="R41" s="66" t="n">
        <v>22</v>
      </c>
      <c r="S41" s="67">
        <f>IF(ISNUMBER(tblY11[[#This Row],[4P06 - Waves
Raw Score]]),IFERROR(VLOOKUP(ROUND(STANDARDIZE(tblY11[[#This Row],[4P06 - Waves
Raw Score]],AVERAGE(tblY11[[4P06 - Waves
Raw Score]]),_xlfn.STDEV.P(tblY11[[4P06 - Waves
Raw Score]])),9),_Stanine,2),5),"")</f>
        <v>5</v>
      </c>
      <c r="T41" s="66" t="n">
        <v>16</v>
      </c>
      <c r="U41" s="67">
        <f>IF(ISNUMBER(tblY11[[#This Row],[4B06 - Inheritance
Raw Score]]),IFERROR(VLOOKUP(ROUND(STANDARDIZE(tblY11[[#This Row],[4B06 - Inheritance
Raw Score]],AVERAGE(tblY11[[4B06 - Inheritance
Raw Score]]),_xlfn.STDEV.P(tblY11[[4B06 - Inheritance
Raw Score]])),9),_Stanine,2),5),"")</f>
        <v>4</v>
      </c>
      <c r="V41" s="66" t="n">
        <v>16</v>
      </c>
      <c r="W41" s="67">
        <f>IF(ISNUMBER(tblY11[[#This Row],[4C10 - Chemical Analysis
Raw Score]]),IFERROR(VLOOKUP(ROUND(STANDARDIZE(tblY11[[#This Row],[4C10 - Chemical Analysis
Raw Score]],AVERAGE(tblY11[[4C10 - Chemical Analysis
Raw Score]]),_xlfn.STDEV.P(tblY11[[4C10 - Chemical Analysis
Raw Score]])),9),_Stanine,2),5),"")</f>
        <v>6</v>
      </c>
      <c r="X41" s="66" t="n">
        <v>10</v>
      </c>
      <c r="Y41" s="67">
        <f>IF(ISNUMBER(tblY11[[#This Row],[4P07 - Magnetism
Raw Score]]),IFERROR(VLOOKUP(ROUND(STANDARDIZE(tblY11[[#This Row],[4P07 - Magnetism
Raw Score]],AVERAGE(tblY11[[4P07 - Magnetism
Raw Score]]),_xlfn.STDEV.P(tblY11[[4P07 - Magnetism
Raw Score]])),9),_Stanine,2),5),"")</f>
        <v>3</v>
      </c>
    </row>
    <row r="42">
      <c r="A42" s="65" t="inlineStr">
        <is>
          <t>X903099779773</t>
        </is>
      </c>
      <c r="B42" s="65" t="inlineStr">
        <is>
          <t>Murphy</t>
        </is>
      </c>
      <c r="C42" s="65" t="inlineStr">
        <is>
          <t>Ella</t>
        </is>
      </c>
      <c r="D42" s="66" t="inlineStr">
        <is>
          <t>F</t>
        </is>
      </c>
      <c r="E42" s="66" t="n"/>
      <c r="F42" s="66" t="inlineStr">
        <is>
          <t>N</t>
        </is>
      </c>
      <c r="G42" s="34" t="n">
        <v>92.5</v>
      </c>
      <c r="H42" s="34" t="n">
        <v>108</v>
      </c>
      <c r="I42" s="67">
        <f>IF(ISNUMBER(tblY11[[#This Row],[Avg KS2]]),IFERROR(VLOOKUP(ROUND(STANDARDIZE(tblY11[[#This Row],[Avg KS2]],AVERAGE(tblY11[[Avg KS2]]),_xlfn.STDEV.P(tblY11[[Avg KS2]])),9),_Stanine,2),5),"")</f>
        <v>6</v>
      </c>
      <c r="J42" s="66" t="inlineStr">
        <is>
          <t>11S/Sc2</t>
        </is>
      </c>
      <c r="K42" s="67">
        <f>IF(tblY11[[#This Row],[Preferred Last name]]="","",COUNTIFS($N$1:$ZZ$1,"*"&amp;CHAR(10)&amp;"Stanine",$N42:$ZZ42,"&gt;=1"))</f>
        <v>5</v>
      </c>
      <c r="L42" s="68">
        <f>IFERROR(AVERAGEIF($N$1:$ZZ$1,"*"&amp;CHAR(10)&amp;"Stanine",$N42:$ZZ42),"")</f>
        <v>4</v>
      </c>
      <c r="M42" s="69">
        <f>IF(AND(ISNUMBER(tblY11[[#This Row],[Mean Stanine]]),ISNUMBER(tblY11[[#This Row],[Avg KS2 Band]]),ISNUMBER(SlopeY11)),tblY11[[#This Row],[Mean Stanine]]-(InterceptY11+SlopeY11*tblY11[[#This Row],[Avg KS2 Band]]),"")</f>
        <v>-1.70156204906205</v>
      </c>
      <c r="N42" s="66" t="n">
        <v>16</v>
      </c>
      <c r="O42" s="67">
        <f>IF(ISNUMBER(tblY11[[#This Row],[4B05 - Homeostasis
Raw Score]]),IFERROR(VLOOKUP(ROUND(STANDARDIZE(tblY11[[#This Row],[4B05 - Homeostasis
Raw Score]],AVERAGE(tblY11[[4B05 - Homeostasis
Raw Score]]),_xlfn.STDEV.P(tblY11[[4B05 - Homeostasis
Raw Score]])),9),_Stanine,2),5),"")</f>
        <v>4</v>
      </c>
      <c r="P42" s="66" t="n">
        <v>12</v>
      </c>
      <c r="Q42" s="67">
        <f>IF(ISNUMBER(tblY11[[#This Row],[4C09 - Organic Chemistry
Raw Score]]),IFERROR(VLOOKUP(ROUND(STANDARDIZE(tblY11[[#This Row],[4C09 - Organic Chemistry
Raw Score]],AVERAGE(tblY11[[4C09 - Organic Chemistry
Raw Score]]),_xlfn.STDEV.P(tblY11[[4C09 - Organic Chemistry
Raw Score]])),9),_Stanine,2),5),"")</f>
        <v>4</v>
      </c>
      <c r="R42" s="66" t="n">
        <v>18</v>
      </c>
      <c r="S42" s="67">
        <f>IF(ISNUMBER(tblY11[[#This Row],[4P06 - Waves
Raw Score]]),IFERROR(VLOOKUP(ROUND(STANDARDIZE(tblY11[[#This Row],[4P06 - Waves
Raw Score]],AVERAGE(tblY11[[4P06 - Waves
Raw Score]]),_xlfn.STDEV.P(tblY11[[4P06 - Waves
Raw Score]])),9),_Stanine,2),5),"")</f>
        <v>4</v>
      </c>
      <c r="T42" s="66" t="inlineStr">
        <is>
          <t>A</t>
        </is>
      </c>
      <c r="U42" s="67" t="str">
        <f>IF(ISNUMBER(tblY11[[#This Row],[4B06 - Inheritance
Raw Score]]),IFERROR(VLOOKUP(ROUND(STANDARDIZE(tblY11[[#This Row],[4B06 - Inheritance
Raw Score]],AVERAGE(tblY11[[4B06 - Inheritance
Raw Score]]),_xlfn.STDEV.P(tblY11[[4B06 - Inheritance
Raw Score]])),9),_Stanine,2),5),"")</f>
        <v/>
      </c>
      <c r="V42" s="66" t="n">
        <v>12</v>
      </c>
      <c r="W42" s="67">
        <f>IF(ISNUMBER(tblY11[[#This Row],[4C10 - Chemical Analysis
Raw Score]]),IFERROR(VLOOKUP(ROUND(STANDARDIZE(tblY11[[#This Row],[4C10 - Chemical Analysis
Raw Score]],AVERAGE(tblY11[[4C10 - Chemical Analysis
Raw Score]]),_xlfn.STDEV.P(tblY11[[4C10 - Chemical Analysis
Raw Score]])),9),_Stanine,2),5),"")</f>
        <v>4</v>
      </c>
      <c r="X42" s="66" t="n">
        <v>13</v>
      </c>
      <c r="Y42" s="67">
        <f>IF(ISNUMBER(tblY11[[#This Row],[4P07 - Magnetism
Raw Score]]),IFERROR(VLOOKUP(ROUND(STANDARDIZE(tblY11[[#This Row],[4P07 - Magnetism
Raw Score]],AVERAGE(tblY11[[4P07 - Magnetism
Raw Score]]),_xlfn.STDEV.P(tblY11[[4P07 - Magnetism
Raw Score]])),9),_Stanine,2),5),"")</f>
        <v>4</v>
      </c>
    </row>
    <row r="43">
      <c r="A43" s="65" t="inlineStr">
        <is>
          <t>X902465404778</t>
        </is>
      </c>
      <c r="B43" s="65" t="inlineStr">
        <is>
          <t>Nowak</t>
        </is>
      </c>
      <c r="C43" s="65" t="inlineStr">
        <is>
          <t>Megan</t>
        </is>
      </c>
      <c r="D43" s="66" t="inlineStr">
        <is>
          <t>M</t>
        </is>
      </c>
      <c r="E43" s="66" t="inlineStr">
        <is>
          <t>N</t>
        </is>
      </c>
      <c r="F43" s="66" t="inlineStr">
        <is>
          <t>N</t>
        </is>
      </c>
      <c r="G43" s="34" t="n">
        <v>85.5</v>
      </c>
      <c r="H43" s="34" t="n">
        <v>111.5</v>
      </c>
      <c r="I43" s="67">
        <f>IF(ISNUMBER(tblY11[[#This Row],[Avg KS2]]),IFERROR(VLOOKUP(ROUND(STANDARDIZE(tblY11[[#This Row],[Avg KS2]],AVERAGE(tblY11[[Avg KS2]]),_xlfn.STDEV.P(tblY11[[Avg KS2]])),9),_Stanine,2),5),"")</f>
        <v>7</v>
      </c>
      <c r="J43" s="66" t="inlineStr">
        <is>
          <t>11S/Sc2</t>
        </is>
      </c>
      <c r="K43" s="67">
        <f>IF(tblY11[[#This Row],[Preferred Last name]]="","",COUNTIFS($N$1:$ZZ$1,"*"&amp;CHAR(10)&amp;"Stanine",$N43:$ZZ43,"&gt;=1"))</f>
        <v>5</v>
      </c>
      <c r="L43" s="68">
        <f>IFERROR(AVERAGEIF($N$1:$ZZ$1,"*"&amp;CHAR(10)&amp;"Stanine",$N43:$ZZ43),"")</f>
        <v>6.2</v>
      </c>
      <c r="M43" s="69">
        <f>IF(AND(ISNUMBER(tblY11[[#This Row],[Mean Stanine]]),ISNUMBER(tblY11[[#This Row],[Avg KS2 Band]]),ISNUMBER(SlopeY11)),tblY11[[#This Row],[Mean Stanine]]-(InterceptY11+SlopeY11*tblY11[[#This Row],[Avg KS2 Band]]),"")</f>
        <v>-0.250425685425685</v>
      </c>
      <c r="N43" s="66" t="n">
        <v>25</v>
      </c>
      <c r="O43" s="67">
        <f>IF(ISNUMBER(tblY11[[#This Row],[4B05 - Homeostasis
Raw Score]]),IFERROR(VLOOKUP(ROUND(STANDARDIZE(tblY11[[#This Row],[4B05 - Homeostasis
Raw Score]],AVERAGE(tblY11[[4B05 - Homeostasis
Raw Score]]),_xlfn.STDEV.P(tblY11[[4B05 - Homeostasis
Raw Score]])),9),_Stanine,2),5),"")</f>
        <v>6</v>
      </c>
      <c r="P43" s="66" t="n">
        <v>24</v>
      </c>
      <c r="Q43" s="67">
        <f>IF(ISNUMBER(tblY11[[#This Row],[4C09 - Organic Chemistry
Raw Score]]),IFERROR(VLOOKUP(ROUND(STANDARDIZE(tblY11[[#This Row],[4C09 - Organic Chemistry
Raw Score]],AVERAGE(tblY11[[4C09 - Organic Chemistry
Raw Score]]),_xlfn.STDEV.P(tblY11[[4C09 - Organic Chemistry
Raw Score]])),9),_Stanine,2),5),"")</f>
        <v>7</v>
      </c>
      <c r="R43" s="66" t="n">
        <v>27</v>
      </c>
      <c r="S43" s="67">
        <f>IF(ISNUMBER(tblY11[[#This Row],[4P06 - Waves
Raw Score]]),IFERROR(VLOOKUP(ROUND(STANDARDIZE(tblY11[[#This Row],[4P06 - Waves
Raw Score]],AVERAGE(tblY11[[4P06 - Waves
Raw Score]]),_xlfn.STDEV.P(tblY11[[4P06 - Waves
Raw Score]])),9),_Stanine,2),5),"")</f>
        <v>6</v>
      </c>
      <c r="T43" s="66" t="n">
        <v>25</v>
      </c>
      <c r="U43" s="67">
        <f>IF(ISNUMBER(tblY11[[#This Row],[4B06 - Inheritance
Raw Score]]),IFERROR(VLOOKUP(ROUND(STANDARDIZE(tblY11[[#This Row],[4B06 - Inheritance
Raw Score]],AVERAGE(tblY11[[4B06 - Inheritance
Raw Score]]),_xlfn.STDEV.P(tblY11[[4B06 - Inheritance
Raw Score]])),9),_Stanine,2),5),"")</f>
        <v>6</v>
      </c>
      <c r="V43" s="66" t="n">
        <v>18</v>
      </c>
      <c r="W43" s="67">
        <f>IF(ISNUMBER(tblY11[[#This Row],[4C10 - Chemical Analysis
Raw Score]]),IFERROR(VLOOKUP(ROUND(STANDARDIZE(tblY11[[#This Row],[4C10 - Chemical Analysis
Raw Score]],AVERAGE(tblY11[[4C10 - Chemical Analysis
Raw Score]]),_xlfn.STDEV.P(tblY11[[4C10 - Chemical Analysis
Raw Score]])),9),_Stanine,2),5),"")</f>
        <v>6</v>
      </c>
      <c r="X43" s="66" t="inlineStr">
        <is>
          <t>A</t>
        </is>
      </c>
      <c r="Y43" s="67" t="str">
        <f>IF(ISNUMBER(tblY11[[#This Row],[4P07 - Magnetism
Raw Score]]),IFERROR(VLOOKUP(ROUND(STANDARDIZE(tblY11[[#This Row],[4P07 - Magnetism
Raw Score]],AVERAGE(tblY11[[4P07 - Magnetism
Raw Score]]),_xlfn.STDEV.P(tblY11[[4P07 - Magnetism
Raw Score]])),9),_Stanine,2),5),"")</f>
        <v/>
      </c>
    </row>
    <row r="44">
      <c r="A44" s="65" t="inlineStr">
        <is>
          <t>X908598437930</t>
        </is>
      </c>
      <c r="B44" s="65" t="inlineStr">
        <is>
          <t>Parker</t>
        </is>
      </c>
      <c r="C44" s="65" t="inlineStr">
        <is>
          <t>Lily</t>
        </is>
      </c>
      <c r="D44" s="66" t="inlineStr">
        <is>
          <t>F</t>
        </is>
      </c>
      <c r="E44" s="66" t="inlineStr">
        <is>
          <t>N</t>
        </is>
      </c>
      <c r="F44" s="66" t="inlineStr">
        <is>
          <t>N</t>
        </is>
      </c>
      <c r="G44" s="34" t="n">
        <v>100</v>
      </c>
      <c r="H44" s="34" t="n">
        <v>110.5</v>
      </c>
      <c r="I44" s="67">
        <f>IF(ISNUMBER(tblY11[[#This Row],[Avg KS2]]),IFERROR(VLOOKUP(ROUND(STANDARDIZE(tblY11[[#This Row],[Avg KS2]],AVERAGE(tblY11[[Avg KS2]]),_xlfn.STDEV.P(tblY11[[Avg KS2]])),9),_Stanine,2),5),"")</f>
        <v>7</v>
      </c>
      <c r="J44" s="66" t="inlineStr">
        <is>
          <t>11S/Sc2</t>
        </is>
      </c>
      <c r="K44" s="67">
        <f>IF(tblY11[[#This Row],[Preferred Last name]]="","",COUNTIFS($N$1:$ZZ$1,"*"&amp;CHAR(10)&amp;"Stanine",$N44:$ZZ44,"&gt;=1"))</f>
        <v>6</v>
      </c>
      <c r="L44" s="68">
        <f>IFERROR(AVERAGEIF($N$1:$ZZ$1,"*"&amp;CHAR(10)&amp;"Stanine",$N44:$ZZ44),"")</f>
        <v>6.33333333333333</v>
      </c>
      <c r="M44" s="69">
        <f>IF(AND(ISNUMBER(tblY11[[#This Row],[Mean Stanine]]),ISNUMBER(tblY11[[#This Row],[Avg KS2 Band]]),ISNUMBER(SlopeY11)),tblY11[[#This Row],[Mean Stanine]]-(InterceptY11+SlopeY11*tblY11[[#This Row],[Avg KS2 Band]]),"")</f>
        <v>-0.117092352092352</v>
      </c>
      <c r="N44" s="66" t="n">
        <v>24</v>
      </c>
      <c r="O44" s="67">
        <f>IF(ISNUMBER(tblY11[[#This Row],[4B05 - Homeostasis
Raw Score]]),IFERROR(VLOOKUP(ROUND(STANDARDIZE(tblY11[[#This Row],[4B05 - Homeostasis
Raw Score]],AVERAGE(tblY11[[4B05 - Homeostasis
Raw Score]]),_xlfn.STDEV.P(tblY11[[4B05 - Homeostasis
Raw Score]])),9),_Stanine,2),5),"")</f>
        <v>6</v>
      </c>
      <c r="P44" s="66" t="n">
        <v>24</v>
      </c>
      <c r="Q44" s="67">
        <f>IF(ISNUMBER(tblY11[[#This Row],[4C09 - Organic Chemistry
Raw Score]]),IFERROR(VLOOKUP(ROUND(STANDARDIZE(tblY11[[#This Row],[4C09 - Organic Chemistry
Raw Score]],AVERAGE(tblY11[[4C09 - Organic Chemistry
Raw Score]]),_xlfn.STDEV.P(tblY11[[4C09 - Organic Chemistry
Raw Score]])),9),_Stanine,2),5),"")</f>
        <v>7</v>
      </c>
      <c r="R44" s="66" t="n">
        <v>27</v>
      </c>
      <c r="S44" s="67">
        <f>IF(ISNUMBER(tblY11[[#This Row],[4P06 - Waves
Raw Score]]),IFERROR(VLOOKUP(ROUND(STANDARDIZE(tblY11[[#This Row],[4P06 - Waves
Raw Score]],AVERAGE(tblY11[[4P06 - Waves
Raw Score]]),_xlfn.STDEV.P(tblY11[[4P06 - Waves
Raw Score]])),9),_Stanine,2),5),"")</f>
        <v>6</v>
      </c>
      <c r="T44" s="66" t="n">
        <v>29</v>
      </c>
      <c r="U44" s="67">
        <f>IF(ISNUMBER(tblY11[[#This Row],[4B06 - Inheritance
Raw Score]]),IFERROR(VLOOKUP(ROUND(STANDARDIZE(tblY11[[#This Row],[4B06 - Inheritance
Raw Score]],AVERAGE(tblY11[[4B06 - Inheritance
Raw Score]]),_xlfn.STDEV.P(tblY11[[4B06 - Inheritance
Raw Score]])),9),_Stanine,2),5),"")</f>
        <v>7</v>
      </c>
      <c r="V44" s="66" t="n">
        <v>20</v>
      </c>
      <c r="W44" s="67">
        <f>IF(ISNUMBER(tblY11[[#This Row],[4C10 - Chemical Analysis
Raw Score]]),IFERROR(VLOOKUP(ROUND(STANDARDIZE(tblY11[[#This Row],[4C10 - Chemical Analysis
Raw Score]],AVERAGE(tblY11[[4C10 - Chemical Analysis
Raw Score]]),_xlfn.STDEV.P(tblY11[[4C10 - Chemical Analysis
Raw Score]])),9),_Stanine,2),5),"")</f>
        <v>7</v>
      </c>
      <c r="X44" s="66" t="n">
        <v>17</v>
      </c>
      <c r="Y44" s="67">
        <f>IF(ISNUMBER(tblY11[[#This Row],[4P07 - Magnetism
Raw Score]]),IFERROR(VLOOKUP(ROUND(STANDARDIZE(tblY11[[#This Row],[4P07 - Magnetism
Raw Score]],AVERAGE(tblY11[[4P07 - Magnetism
Raw Score]]),_xlfn.STDEV.P(tblY11[[4P07 - Magnetism
Raw Score]])),9),_Stanine,2),5),"")</f>
        <v>5</v>
      </c>
    </row>
    <row r="45">
      <c r="A45" s="65" t="inlineStr">
        <is>
          <t>X902160577297</t>
        </is>
      </c>
      <c r="B45" s="65" t="inlineStr">
        <is>
          <t>Pearson</t>
        </is>
      </c>
      <c r="C45" s="65" t="inlineStr">
        <is>
          <t>Ivy</t>
        </is>
      </c>
      <c r="D45" s="66" t="inlineStr">
        <is>
          <t>F</t>
        </is>
      </c>
      <c r="E45" s="66" t="inlineStr">
        <is>
          <t>N</t>
        </is>
      </c>
      <c r="F45" s="66" t="inlineStr">
        <is>
          <t>Y</t>
        </is>
      </c>
      <c r="G45" s="34" t="n">
        <v>90.59999999999999</v>
      </c>
      <c r="H45" s="34" t="n">
        <v>99</v>
      </c>
      <c r="I45" s="67">
        <f>IF(ISNUMBER(tblY11[[#This Row],[Avg KS2]]),IFERROR(VLOOKUP(ROUND(STANDARDIZE(tblY11[[#This Row],[Avg KS2]],AVERAGE(tblY11[[Avg KS2]]),_xlfn.STDEV.P(tblY11[[Avg KS2]])),9),_Stanine,2),5),"")</f>
        <v>3</v>
      </c>
      <c r="J45" s="66" t="inlineStr">
        <is>
          <t>11S/Sc2</t>
        </is>
      </c>
      <c r="K45" s="67">
        <f>IF(tblY11[[#This Row],[Preferred Last name]]="","",COUNTIFS($N$1:$ZZ$1,"*"&amp;CHAR(10)&amp;"Stanine",$N45:$ZZ45,"&gt;=1"))</f>
        <v>6</v>
      </c>
      <c r="L45" s="68">
        <f>IFERROR(AVERAGEIF($N$1:$ZZ$1,"*"&amp;CHAR(10)&amp;"Stanine",$N45:$ZZ45),"")</f>
        <v>3.16666666666667</v>
      </c>
      <c r="M45" s="69">
        <f>IF(AND(ISNUMBER(tblY11[[#This Row],[Mean Stanine]]),ISNUMBER(tblY11[[#This Row],[Avg KS2 Band]]),ISNUMBER(SlopeY11)),tblY11[[#This Row],[Mean Stanine]]-(InterceptY11+SlopeY11*tblY11[[#This Row],[Avg KS2 Band]]),"")</f>
        <v>-0.288304473304473</v>
      </c>
      <c r="N45" s="66" t="n">
        <v>10</v>
      </c>
      <c r="O45" s="67">
        <f>IF(ISNUMBER(tblY11[[#This Row],[4B05 - Homeostasis
Raw Score]]),IFERROR(VLOOKUP(ROUND(STANDARDIZE(tblY11[[#This Row],[4B05 - Homeostasis
Raw Score]],AVERAGE(tblY11[[4B05 - Homeostasis
Raw Score]]),_xlfn.STDEV.P(tblY11[[4B05 - Homeostasis
Raw Score]])),9),_Stanine,2),5),"")</f>
        <v>2</v>
      </c>
      <c r="P45" s="66" t="n">
        <v>11</v>
      </c>
      <c r="Q45" s="67">
        <f>IF(ISNUMBER(tblY11[[#This Row],[4C09 - Organic Chemistry
Raw Score]]),IFERROR(VLOOKUP(ROUND(STANDARDIZE(tblY11[[#This Row],[4C09 - Organic Chemistry
Raw Score]],AVERAGE(tblY11[[4C09 - Organic Chemistry
Raw Score]]),_xlfn.STDEV.P(tblY11[[4C09 - Organic Chemistry
Raw Score]])),9),_Stanine,2),5),"")</f>
        <v>4</v>
      </c>
      <c r="R45" s="66" t="n">
        <v>12</v>
      </c>
      <c r="S45" s="67">
        <f>IF(ISNUMBER(tblY11[[#This Row],[4P06 - Waves
Raw Score]]),IFERROR(VLOOKUP(ROUND(STANDARDIZE(tblY11[[#This Row],[4P06 - Waves
Raw Score]],AVERAGE(tblY11[[4P06 - Waves
Raw Score]]),_xlfn.STDEV.P(tblY11[[4P06 - Waves
Raw Score]])),9),_Stanine,2),5),"")</f>
        <v>3</v>
      </c>
      <c r="T45" s="66" t="n">
        <v>12</v>
      </c>
      <c r="U45" s="67">
        <f>IF(ISNUMBER(tblY11[[#This Row],[4B06 - Inheritance
Raw Score]]),IFERROR(VLOOKUP(ROUND(STANDARDIZE(tblY11[[#This Row],[4B06 - Inheritance
Raw Score]],AVERAGE(tblY11[[4B06 - Inheritance
Raw Score]]),_xlfn.STDEV.P(tblY11[[4B06 - Inheritance
Raw Score]])),9),_Stanine,2),5),"")</f>
        <v>4</v>
      </c>
      <c r="V45" s="66" t="n">
        <v>7</v>
      </c>
      <c r="W45" s="67">
        <f>IF(ISNUMBER(tblY11[[#This Row],[4C10 - Chemical Analysis
Raw Score]]),IFERROR(VLOOKUP(ROUND(STANDARDIZE(tblY11[[#This Row],[4C10 - Chemical Analysis
Raw Score]],AVERAGE(tblY11[[4C10 - Chemical Analysis
Raw Score]]),_xlfn.STDEV.P(tblY11[[4C10 - Chemical Analysis
Raw Score]])),9),_Stanine,2),5),"")</f>
        <v>3</v>
      </c>
      <c r="X45" s="66" t="n">
        <v>9</v>
      </c>
      <c r="Y45" s="67">
        <f>IF(ISNUMBER(tblY11[[#This Row],[4P07 - Magnetism
Raw Score]]),IFERROR(VLOOKUP(ROUND(STANDARDIZE(tblY11[[#This Row],[4P07 - Magnetism
Raw Score]],AVERAGE(tblY11[[4P07 - Magnetism
Raw Score]]),_xlfn.STDEV.P(tblY11[[4P07 - Magnetism
Raw Score]])),9),_Stanine,2),5),"")</f>
        <v>3</v>
      </c>
    </row>
    <row r="46">
      <c r="A46" s="65" t="inlineStr">
        <is>
          <t>X903191439685</t>
        </is>
      </c>
      <c r="B46" s="65" t="inlineStr">
        <is>
          <t>Price</t>
        </is>
      </c>
      <c r="C46" s="65" t="inlineStr">
        <is>
          <t>Oliver</t>
        </is>
      </c>
      <c r="D46" s="66" t="inlineStr">
        <is>
          <t>M</t>
        </is>
      </c>
      <c r="E46" s="66" t="inlineStr">
        <is>
          <t>N</t>
        </is>
      </c>
      <c r="F46" s="66" t="inlineStr">
        <is>
          <t>Y</t>
        </is>
      </c>
      <c r="G46" s="34" t="n">
        <v>96.59999999999999</v>
      </c>
      <c r="H46" s="34" t="n">
        <v>113.5</v>
      </c>
      <c r="I46" s="67">
        <f>IF(ISNUMBER(tblY11[[#This Row],[Avg KS2]]),IFERROR(VLOOKUP(ROUND(STANDARDIZE(tblY11[[#This Row],[Avg KS2]],AVERAGE(tblY11[[Avg KS2]]),_xlfn.STDEV.P(tblY11[[Avg KS2]])),9),_Stanine,2),5),"")</f>
        <v>8</v>
      </c>
      <c r="J46" s="66" t="inlineStr">
        <is>
          <t>11S/Sc2</t>
        </is>
      </c>
      <c r="K46" s="67">
        <f>IF(tblY11[[#This Row],[Preferred Last name]]="","",COUNTIFS($N$1:$ZZ$1,"*"&amp;CHAR(10)&amp;"Stanine",$N46:$ZZ46,"&gt;=1"))</f>
        <v>6</v>
      </c>
      <c r="L46" s="68">
        <f>IFERROR(AVERAGEIF($N$1:$ZZ$1,"*"&amp;CHAR(10)&amp;"Stanine",$N46:$ZZ46),"")</f>
        <v>4.83333333333333</v>
      </c>
      <c r="M46" s="69">
        <f>IF(AND(ISNUMBER(tblY11[[#This Row],[Mean Stanine]]),ISNUMBER(tblY11[[#This Row],[Avg KS2 Band]]),ISNUMBER(SlopeY11)),tblY11[[#This Row],[Mean Stanine]]-(InterceptY11+SlopeY11*tblY11[[#This Row],[Avg KS2 Band]]),"")</f>
        <v>-2.36595598845599</v>
      </c>
      <c r="N46" s="66" t="n">
        <v>20</v>
      </c>
      <c r="O46" s="67">
        <f>IF(ISNUMBER(tblY11[[#This Row],[4B05 - Homeostasis
Raw Score]]),IFERROR(VLOOKUP(ROUND(STANDARDIZE(tblY11[[#This Row],[4B05 - Homeostasis
Raw Score]],AVERAGE(tblY11[[4B05 - Homeostasis
Raw Score]]),_xlfn.STDEV.P(tblY11[[4B05 - Homeostasis
Raw Score]])),9),_Stanine,2),5),"")</f>
        <v>5</v>
      </c>
      <c r="P46" s="66" t="n">
        <v>14</v>
      </c>
      <c r="Q46" s="67">
        <f>IF(ISNUMBER(tblY11[[#This Row],[4C09 - Organic Chemistry
Raw Score]]),IFERROR(VLOOKUP(ROUND(STANDARDIZE(tblY11[[#This Row],[4C09 - Organic Chemistry
Raw Score]],AVERAGE(tblY11[[4C09 - Organic Chemistry
Raw Score]]),_xlfn.STDEV.P(tblY11[[4C09 - Organic Chemistry
Raw Score]])),9),_Stanine,2),5),"")</f>
        <v>4</v>
      </c>
      <c r="R46" s="66" t="n">
        <v>17</v>
      </c>
      <c r="S46" s="67">
        <f>IF(ISNUMBER(tblY11[[#This Row],[4P06 - Waves
Raw Score]]),IFERROR(VLOOKUP(ROUND(STANDARDIZE(tblY11[[#This Row],[4P06 - Waves
Raw Score]],AVERAGE(tblY11[[4P06 - Waves
Raw Score]]),_xlfn.STDEV.P(tblY11[[4P06 - Waves
Raw Score]])),9),_Stanine,2),5),"")</f>
        <v>4</v>
      </c>
      <c r="T46" s="66" t="n">
        <v>20</v>
      </c>
      <c r="U46" s="67">
        <f>IF(ISNUMBER(tblY11[[#This Row],[4B06 - Inheritance
Raw Score]]),IFERROR(VLOOKUP(ROUND(STANDARDIZE(tblY11[[#This Row],[4B06 - Inheritance
Raw Score]],AVERAGE(tblY11[[4B06 - Inheritance
Raw Score]]),_xlfn.STDEV.P(tblY11[[4B06 - Inheritance
Raw Score]])),9),_Stanine,2),5),"")</f>
        <v>5</v>
      </c>
      <c r="V46" s="66" t="n">
        <v>14</v>
      </c>
      <c r="W46" s="67">
        <f>IF(ISNUMBER(tblY11[[#This Row],[4C10 - Chemical Analysis
Raw Score]]),IFERROR(VLOOKUP(ROUND(STANDARDIZE(tblY11[[#This Row],[4C10 - Chemical Analysis
Raw Score]],AVERAGE(tblY11[[4C10 - Chemical Analysis
Raw Score]]),_xlfn.STDEV.P(tblY11[[4C10 - Chemical Analysis
Raw Score]])),9),_Stanine,2),5),"")</f>
        <v>5</v>
      </c>
      <c r="X46" s="66" t="n">
        <v>18</v>
      </c>
      <c r="Y46" s="67">
        <f>IF(ISNUMBER(tblY11[[#This Row],[4P07 - Magnetism
Raw Score]]),IFERROR(VLOOKUP(ROUND(STANDARDIZE(tblY11[[#This Row],[4P07 - Magnetism
Raw Score]],AVERAGE(tblY11[[4P07 - Magnetism
Raw Score]]),_xlfn.STDEV.P(tblY11[[4P07 - Magnetism
Raw Score]])),9),_Stanine,2),5),"")</f>
        <v>6</v>
      </c>
    </row>
    <row r="47">
      <c r="A47" s="65" t="inlineStr">
        <is>
          <t>X903027915498</t>
        </is>
      </c>
      <c r="B47" s="65" t="inlineStr">
        <is>
          <t>Shaw</t>
        </is>
      </c>
      <c r="C47" s="65" t="inlineStr">
        <is>
          <t>Arjun</t>
        </is>
      </c>
      <c r="D47" s="66" t="inlineStr">
        <is>
          <t>F</t>
        </is>
      </c>
      <c r="E47" s="66" t="n"/>
      <c r="F47" s="66" t="inlineStr">
        <is>
          <t>N</t>
        </is>
      </c>
      <c r="G47" s="34" t="n">
        <v>91.59999999999999</v>
      </c>
      <c r="H47" s="34" t="n">
        <v>109</v>
      </c>
      <c r="I47" s="67">
        <f>IF(ISNUMBER(tblY11[[#This Row],[Avg KS2]]),IFERROR(VLOOKUP(ROUND(STANDARDIZE(tblY11[[#This Row],[Avg KS2]],AVERAGE(tblY11[[Avg KS2]]),_xlfn.STDEV.P(tblY11[[Avg KS2]])),9),_Stanine,2),5),"")</f>
        <v>6</v>
      </c>
      <c r="J47" s="66" t="inlineStr">
        <is>
          <t>11S/Sc2</t>
        </is>
      </c>
      <c r="K47" s="67">
        <f>IF(tblY11[[#This Row],[Preferred Last name]]="","",COUNTIFS($N$1:$ZZ$1,"*"&amp;CHAR(10)&amp;"Stanine",$N47:$ZZ47,"&gt;=1"))</f>
        <v>6</v>
      </c>
      <c r="L47" s="68">
        <f>IFERROR(AVERAGEIF($N$1:$ZZ$1,"*"&amp;CHAR(10)&amp;"Stanine",$N47:$ZZ47),"")</f>
        <v>5.83333333333333</v>
      </c>
      <c r="M47" s="69">
        <f>IF(AND(ISNUMBER(tblY11[[#This Row],[Mean Stanine]]),ISNUMBER(tblY11[[#This Row],[Avg KS2 Band]]),ISNUMBER(SlopeY11)),tblY11[[#This Row],[Mean Stanine]]-(InterceptY11+SlopeY11*tblY11[[#This Row],[Avg KS2 Band]]),"")</f>
        <v>0.131771284271284</v>
      </c>
      <c r="N47" s="66" t="n">
        <v>17</v>
      </c>
      <c r="O47" s="67">
        <f>IF(ISNUMBER(tblY11[[#This Row],[4B05 - Homeostasis
Raw Score]]),IFERROR(VLOOKUP(ROUND(STANDARDIZE(tblY11[[#This Row],[4B05 - Homeostasis
Raw Score]],AVERAGE(tblY11[[4B05 - Homeostasis
Raw Score]]),_xlfn.STDEV.P(tblY11[[4B05 - Homeostasis
Raw Score]])),9),_Stanine,2),5),"")</f>
        <v>4</v>
      </c>
      <c r="P47" s="66" t="n">
        <v>23</v>
      </c>
      <c r="Q47" s="67">
        <f>IF(ISNUMBER(tblY11[[#This Row],[4C09 - Organic Chemistry
Raw Score]]),IFERROR(VLOOKUP(ROUND(STANDARDIZE(tblY11[[#This Row],[4C09 - Organic Chemistry
Raw Score]],AVERAGE(tblY11[[4C09 - Organic Chemistry
Raw Score]]),_xlfn.STDEV.P(tblY11[[4C09 - Organic Chemistry
Raw Score]])),9),_Stanine,2),5),"")</f>
        <v>7</v>
      </c>
      <c r="R47" s="66" t="n">
        <v>20</v>
      </c>
      <c r="S47" s="67">
        <f>IF(ISNUMBER(tblY11[[#This Row],[4P06 - Waves
Raw Score]]),IFERROR(VLOOKUP(ROUND(STANDARDIZE(tblY11[[#This Row],[4P06 - Waves
Raw Score]],AVERAGE(tblY11[[4P06 - Waves
Raw Score]]),_xlfn.STDEV.P(tblY11[[4P06 - Waves
Raw Score]])),9),_Stanine,2),5),"")</f>
        <v>5</v>
      </c>
      <c r="T47" s="66" t="n">
        <v>25</v>
      </c>
      <c r="U47" s="67">
        <f>IF(ISNUMBER(tblY11[[#This Row],[4B06 - Inheritance
Raw Score]]),IFERROR(VLOOKUP(ROUND(STANDARDIZE(tblY11[[#This Row],[4B06 - Inheritance
Raw Score]],AVERAGE(tblY11[[4B06 - Inheritance
Raw Score]]),_xlfn.STDEV.P(tblY11[[4B06 - Inheritance
Raw Score]])),9),_Stanine,2),5),"")</f>
        <v>6</v>
      </c>
      <c r="V47" s="66" t="n">
        <v>23</v>
      </c>
      <c r="W47" s="67">
        <f>IF(ISNUMBER(tblY11[[#This Row],[4C10 - Chemical Analysis
Raw Score]]),IFERROR(VLOOKUP(ROUND(STANDARDIZE(tblY11[[#This Row],[4C10 - Chemical Analysis
Raw Score]],AVERAGE(tblY11[[4C10 - Chemical Analysis
Raw Score]]),_xlfn.STDEV.P(tblY11[[4C10 - Chemical Analysis
Raw Score]])),9),_Stanine,2),5),"")</f>
        <v>8</v>
      </c>
      <c r="X47" s="66" t="n">
        <v>15</v>
      </c>
      <c r="Y47" s="67">
        <f>IF(ISNUMBER(tblY11[[#This Row],[4P07 - Magnetism
Raw Score]]),IFERROR(VLOOKUP(ROUND(STANDARDIZE(tblY11[[#This Row],[4P07 - Magnetism
Raw Score]],AVERAGE(tblY11[[4P07 - Magnetism
Raw Score]]),_xlfn.STDEV.P(tblY11[[4P07 - Magnetism
Raw Score]])),9),_Stanine,2),5),"")</f>
        <v>5</v>
      </c>
    </row>
    <row r="48">
      <c r="A48" s="65" t="inlineStr">
        <is>
          <t>X905105901795</t>
        </is>
      </c>
      <c r="B48" s="65" t="inlineStr">
        <is>
          <t>Taylor</t>
        </is>
      </c>
      <c r="C48" s="65" t="inlineStr">
        <is>
          <t>Maya</t>
        </is>
      </c>
      <c r="D48" s="66" t="inlineStr">
        <is>
          <t>F</t>
        </is>
      </c>
      <c r="E48" s="66" t="n"/>
      <c r="F48" s="66" t="inlineStr">
        <is>
          <t>N</t>
        </is>
      </c>
      <c r="G48" s="34" t="n">
        <v>97.59999999999999</v>
      </c>
      <c r="H48" s="34" t="n">
        <v>113</v>
      </c>
      <c r="I48" s="67">
        <f>IF(ISNUMBER(tblY11[[#This Row],[Avg KS2]]),IFERROR(VLOOKUP(ROUND(STANDARDIZE(tblY11[[#This Row],[Avg KS2]],AVERAGE(tblY11[[Avg KS2]]),_xlfn.STDEV.P(tblY11[[Avg KS2]])),9),_Stanine,2),5),"")</f>
        <v>8</v>
      </c>
      <c r="J48" s="66" t="inlineStr">
        <is>
          <t>11S/Sc2</t>
        </is>
      </c>
      <c r="K48" s="67">
        <f>IF(tblY11[[#This Row],[Preferred Last name]]="","",COUNTIFS($N$1:$ZZ$1,"*"&amp;CHAR(10)&amp;"Stanine",$N48:$ZZ48,"&gt;=1"))</f>
        <v>6</v>
      </c>
      <c r="L48" s="68">
        <f>IFERROR(AVERAGEIF($N$1:$ZZ$1,"*"&amp;CHAR(10)&amp;"Stanine",$N48:$ZZ48),"")</f>
        <v>8.33333333333333</v>
      </c>
      <c r="M48" s="69">
        <f>IF(AND(ISNUMBER(tblY11[[#This Row],[Mean Stanine]]),ISNUMBER(tblY11[[#This Row],[Avg KS2 Band]]),ISNUMBER(SlopeY11)),tblY11[[#This Row],[Mean Stanine]]-(InterceptY11+SlopeY11*tblY11[[#This Row],[Avg KS2 Band]]),"")</f>
        <v>1.13404401154401</v>
      </c>
      <c r="N48" s="66" t="n">
        <v>34</v>
      </c>
      <c r="O48" s="67">
        <f>IF(ISNUMBER(tblY11[[#This Row],[4B05 - Homeostasis
Raw Score]]),IFERROR(VLOOKUP(ROUND(STANDARDIZE(tblY11[[#This Row],[4B05 - Homeostasis
Raw Score]],AVERAGE(tblY11[[4B05 - Homeostasis
Raw Score]]),_xlfn.STDEV.P(tblY11[[4B05 - Homeostasis
Raw Score]])),9),_Stanine,2),5),"")</f>
        <v>8</v>
      </c>
      <c r="P48" s="66" t="n">
        <v>29</v>
      </c>
      <c r="Q48" s="67">
        <f>IF(ISNUMBER(tblY11[[#This Row],[4C09 - Organic Chemistry
Raw Score]]),IFERROR(VLOOKUP(ROUND(STANDARDIZE(tblY11[[#This Row],[4C09 - Organic Chemistry
Raw Score]],AVERAGE(tblY11[[4C09 - Organic Chemistry
Raw Score]]),_xlfn.STDEV.P(tblY11[[4C09 - Organic Chemistry
Raw Score]])),9),_Stanine,2),5),"")</f>
        <v>8</v>
      </c>
      <c r="R48" s="66" t="n">
        <v>32</v>
      </c>
      <c r="S48" s="67">
        <f>IF(ISNUMBER(tblY11[[#This Row],[4P06 - Waves
Raw Score]]),IFERROR(VLOOKUP(ROUND(STANDARDIZE(tblY11[[#This Row],[4P06 - Waves
Raw Score]],AVERAGE(tblY11[[4P06 - Waves
Raw Score]]),_xlfn.STDEV.P(tblY11[[4P06 - Waves
Raw Score]])),9),_Stanine,2),5),"")</f>
        <v>8</v>
      </c>
      <c r="T48" s="66" t="n">
        <v>34</v>
      </c>
      <c r="U48" s="67">
        <f>IF(ISNUMBER(tblY11[[#This Row],[4B06 - Inheritance
Raw Score]]),IFERROR(VLOOKUP(ROUND(STANDARDIZE(tblY11[[#This Row],[4B06 - Inheritance
Raw Score]],AVERAGE(tblY11[[4B06 - Inheritance
Raw Score]]),_xlfn.STDEV.P(tblY11[[4B06 - Inheritance
Raw Score]])),9),_Stanine,2),5),"")</f>
        <v>8</v>
      </c>
      <c r="V48" s="66" t="n">
        <v>26</v>
      </c>
      <c r="W48" s="67">
        <f>IF(ISNUMBER(tblY11[[#This Row],[4C10 - Chemical Analysis
Raw Score]]),IFERROR(VLOOKUP(ROUND(STANDARDIZE(tblY11[[#This Row],[4C10 - Chemical Analysis
Raw Score]],AVERAGE(tblY11[[4C10 - Chemical Analysis
Raw Score]]),_xlfn.STDEV.P(tblY11[[4C10 - Chemical Analysis
Raw Score]])),9),_Stanine,2),5),"")</f>
        <v>9</v>
      </c>
      <c r="X48" s="66" t="n">
        <v>30</v>
      </c>
      <c r="Y48" s="67">
        <f>IF(ISNUMBER(tblY11[[#This Row],[4P07 - Magnetism
Raw Score]]),IFERROR(VLOOKUP(ROUND(STANDARDIZE(tblY11[[#This Row],[4P07 - Magnetism
Raw Score]],AVERAGE(tblY11[[4P07 - Magnetism
Raw Score]]),_xlfn.STDEV.P(tblY11[[4P07 - Magnetism
Raw Score]])),9),_Stanine,2),5),"")</f>
        <v>9</v>
      </c>
    </row>
    <row r="49">
      <c r="A49" s="65" t="inlineStr">
        <is>
          <t>X904342656965</t>
        </is>
      </c>
      <c r="B49" s="65" t="inlineStr">
        <is>
          <t>Thompson</t>
        </is>
      </c>
      <c r="C49" s="65" t="inlineStr">
        <is>
          <t>Kai</t>
        </is>
      </c>
      <c r="D49" s="66" t="inlineStr">
        <is>
          <t>M</t>
        </is>
      </c>
      <c r="E49" s="66" t="n"/>
      <c r="F49" s="66" t="inlineStr">
        <is>
          <t>N</t>
        </is>
      </c>
      <c r="G49" s="34" t="n">
        <v>86.3</v>
      </c>
      <c r="H49" s="34" t="n">
        <v>102</v>
      </c>
      <c r="I49" s="67">
        <f>IF(ISNUMBER(tblY11[[#This Row],[Avg KS2]]),IFERROR(VLOOKUP(ROUND(STANDARDIZE(tblY11[[#This Row],[Avg KS2]],AVERAGE(tblY11[[Avg KS2]]),_xlfn.STDEV.P(tblY11[[Avg KS2]])),9),_Stanine,2),5),"")</f>
        <v>4</v>
      </c>
      <c r="J49" s="66" t="inlineStr">
        <is>
          <t>11S/Sc2</t>
        </is>
      </c>
      <c r="K49" s="67">
        <f>IF(tblY11[[#This Row],[Preferred Last name]]="","",COUNTIFS($N$1:$ZZ$1,"*"&amp;CHAR(10)&amp;"Stanine",$N49:$ZZ49,"&gt;=1"))</f>
        <v>6</v>
      </c>
      <c r="L49" s="68">
        <f>IFERROR(AVERAGEIF($N$1:$ZZ$1,"*"&amp;CHAR(10)&amp;"Stanine",$N49:$ZZ49),"")</f>
        <v>5.66666666666667</v>
      </c>
      <c r="M49" s="69">
        <f>IF(AND(ISNUMBER(tblY11[[#This Row],[Mean Stanine]]),ISNUMBER(tblY11[[#This Row],[Avg KS2 Band]]),ISNUMBER(SlopeY11)),tblY11[[#This Row],[Mean Stanine]]-(InterceptY11+SlopeY11*tblY11[[#This Row],[Avg KS2 Band]]),"")</f>
        <v>1.46283189033189</v>
      </c>
      <c r="N49" s="66" t="n">
        <v>27</v>
      </c>
      <c r="O49" s="67">
        <f>IF(ISNUMBER(tblY11[[#This Row],[4B05 - Homeostasis
Raw Score]]),IFERROR(VLOOKUP(ROUND(STANDARDIZE(tblY11[[#This Row],[4B05 - Homeostasis
Raw Score]],AVERAGE(tblY11[[4B05 - Homeostasis
Raw Score]]),_xlfn.STDEV.P(tblY11[[4B05 - Homeostasis
Raw Score]])),9),_Stanine,2),5),"")</f>
        <v>6</v>
      </c>
      <c r="P49" s="66" t="n">
        <v>16</v>
      </c>
      <c r="Q49" s="67">
        <f>IF(ISNUMBER(tblY11[[#This Row],[4C09 - Organic Chemistry
Raw Score]]),IFERROR(VLOOKUP(ROUND(STANDARDIZE(tblY11[[#This Row],[4C09 - Organic Chemistry
Raw Score]],AVERAGE(tblY11[[4C09 - Organic Chemistry
Raw Score]]),_xlfn.STDEV.P(tblY11[[4C09 - Organic Chemistry
Raw Score]])),9),_Stanine,2),5),"")</f>
        <v>5</v>
      </c>
      <c r="R49" s="66" t="n">
        <v>24</v>
      </c>
      <c r="S49" s="67">
        <f>IF(ISNUMBER(tblY11[[#This Row],[4P06 - Waves
Raw Score]]),IFERROR(VLOOKUP(ROUND(STANDARDIZE(tblY11[[#This Row],[4P06 - Waves
Raw Score]],AVERAGE(tblY11[[4P06 - Waves
Raw Score]]),_xlfn.STDEV.P(tblY11[[4P06 - Waves
Raw Score]])),9),_Stanine,2),5),"")</f>
        <v>6</v>
      </c>
      <c r="T49" s="66" t="n">
        <v>19</v>
      </c>
      <c r="U49" s="67">
        <f>IF(ISNUMBER(tblY11[[#This Row],[4B06 - Inheritance
Raw Score]]),IFERROR(VLOOKUP(ROUND(STANDARDIZE(tblY11[[#This Row],[4B06 - Inheritance
Raw Score]],AVERAGE(tblY11[[4B06 - Inheritance
Raw Score]]),_xlfn.STDEV.P(tblY11[[4B06 - Inheritance
Raw Score]])),9),_Stanine,2),5),"")</f>
        <v>5</v>
      </c>
      <c r="V49" s="66" t="n">
        <v>16</v>
      </c>
      <c r="W49" s="67">
        <f>IF(ISNUMBER(tblY11[[#This Row],[4C10 - Chemical Analysis
Raw Score]]),IFERROR(VLOOKUP(ROUND(STANDARDIZE(tblY11[[#This Row],[4C10 - Chemical Analysis
Raw Score]],AVERAGE(tblY11[[4C10 - Chemical Analysis
Raw Score]]),_xlfn.STDEV.P(tblY11[[4C10 - Chemical Analysis
Raw Score]])),9),_Stanine,2),5),"")</f>
        <v>6</v>
      </c>
      <c r="X49" s="66" t="n">
        <v>19</v>
      </c>
      <c r="Y49" s="67">
        <f>IF(ISNUMBER(tblY11[[#This Row],[4P07 - Magnetism
Raw Score]]),IFERROR(VLOOKUP(ROUND(STANDARDIZE(tblY11[[#This Row],[4P07 - Magnetism
Raw Score]],AVERAGE(tblY11[[4P07 - Magnetism
Raw Score]]),_xlfn.STDEV.P(tblY11[[4P07 - Magnetism
Raw Score]])),9),_Stanine,2),5),"")</f>
        <v>6</v>
      </c>
    </row>
    <row r="50">
      <c r="A50" s="65" t="inlineStr">
        <is>
          <t>X909494582794</t>
        </is>
      </c>
      <c r="B50" s="65" t="inlineStr">
        <is>
          <t>Walker</t>
        </is>
      </c>
      <c r="C50" s="65" t="inlineStr">
        <is>
          <t>Finley</t>
        </is>
      </c>
      <c r="D50" s="66" t="inlineStr">
        <is>
          <t>M</t>
        </is>
      </c>
      <c r="E50" s="66" t="inlineStr">
        <is>
          <t>K</t>
        </is>
      </c>
      <c r="F50" s="66" t="inlineStr">
        <is>
          <t>N</t>
        </is>
      </c>
      <c r="G50" s="34" t="n">
        <v>100</v>
      </c>
      <c r="H50" s="34" t="n">
        <v>101</v>
      </c>
      <c r="I50" s="67">
        <f>IF(ISNUMBER(tblY11[[#This Row],[Avg KS2]]),IFERROR(VLOOKUP(ROUND(STANDARDIZE(tblY11[[#This Row],[Avg KS2]],AVERAGE(tblY11[[Avg KS2]]),_xlfn.STDEV.P(tblY11[[Avg KS2]])),9),_Stanine,2),5),"")</f>
        <v>4</v>
      </c>
      <c r="J50" s="66" t="inlineStr">
        <is>
          <t>11S/Sc2</t>
        </is>
      </c>
      <c r="K50" s="67">
        <f>IF(tblY11[[#This Row],[Preferred Last name]]="","",COUNTIFS($N$1:$ZZ$1,"*"&amp;CHAR(10)&amp;"Stanine",$N50:$ZZ50,"&gt;=1"))</f>
        <v>5</v>
      </c>
      <c r="L50" s="68">
        <f>IFERROR(AVERAGEIF($N$1:$ZZ$1,"*"&amp;CHAR(10)&amp;"Stanine",$N50:$ZZ50),"")</f>
        <v>3.4</v>
      </c>
      <c r="M50" s="69">
        <f>IF(AND(ISNUMBER(tblY11[[#This Row],[Mean Stanine]]),ISNUMBER(tblY11[[#This Row],[Avg KS2 Band]]),ISNUMBER(SlopeY11)),tblY11[[#This Row],[Mean Stanine]]-(InterceptY11+SlopeY11*tblY11[[#This Row],[Avg KS2 Band]]),"")</f>
        <v>-0.803834776334776</v>
      </c>
      <c r="N50" s="66" t="n">
        <v>13</v>
      </c>
      <c r="O50" s="67">
        <f>IF(ISNUMBER(tblY11[[#This Row],[4B05 - Homeostasis
Raw Score]]),IFERROR(VLOOKUP(ROUND(STANDARDIZE(tblY11[[#This Row],[4B05 - Homeostasis
Raw Score]],AVERAGE(tblY11[[4B05 - Homeostasis
Raw Score]]),_xlfn.STDEV.P(tblY11[[4B05 - Homeostasis
Raw Score]])),9),_Stanine,2),5),"")</f>
        <v>3</v>
      </c>
      <c r="P50" s="66" t="n">
        <v>9</v>
      </c>
      <c r="Q50" s="67">
        <f>IF(ISNUMBER(tblY11[[#This Row],[4C09 - Organic Chemistry
Raw Score]]),IFERROR(VLOOKUP(ROUND(STANDARDIZE(tblY11[[#This Row],[4C09 - Organic Chemistry
Raw Score]],AVERAGE(tblY11[[4C09 - Organic Chemistry
Raw Score]]),_xlfn.STDEV.P(tblY11[[4C09 - Organic Chemistry
Raw Score]])),9),_Stanine,2),5),"")</f>
        <v>3</v>
      </c>
      <c r="R50" s="66" t="n">
        <v>18</v>
      </c>
      <c r="S50" s="67">
        <f>IF(ISNUMBER(tblY11[[#This Row],[4P06 - Waves
Raw Score]]),IFERROR(VLOOKUP(ROUND(STANDARDIZE(tblY11[[#This Row],[4P06 - Waves
Raw Score]],AVERAGE(tblY11[[4P06 - Waves
Raw Score]]),_xlfn.STDEV.P(tblY11[[4P06 - Waves
Raw Score]])),9),_Stanine,2),5),"")</f>
        <v>4</v>
      </c>
      <c r="T50" s="66" t="inlineStr">
        <is>
          <t>A</t>
        </is>
      </c>
      <c r="U50" s="67" t="str">
        <f>IF(ISNUMBER(tblY11[[#This Row],[4B06 - Inheritance
Raw Score]]),IFERROR(VLOOKUP(ROUND(STANDARDIZE(tblY11[[#This Row],[4B06 - Inheritance
Raw Score]],AVERAGE(tblY11[[4B06 - Inheritance
Raw Score]]),_xlfn.STDEV.P(tblY11[[4B06 - Inheritance
Raw Score]])),9),_Stanine,2),5),"")</f>
        <v/>
      </c>
      <c r="V50" s="66" t="n">
        <v>9</v>
      </c>
      <c r="W50" s="67">
        <f>IF(ISNUMBER(tblY11[[#This Row],[4C10 - Chemical Analysis
Raw Score]]),IFERROR(VLOOKUP(ROUND(STANDARDIZE(tblY11[[#This Row],[4C10 - Chemical Analysis
Raw Score]],AVERAGE(tblY11[[4C10 - Chemical Analysis
Raw Score]]),_xlfn.STDEV.P(tblY11[[4C10 - Chemical Analysis
Raw Score]])),9),_Stanine,2),5),"")</f>
        <v>3</v>
      </c>
      <c r="X50" s="66" t="n">
        <v>11</v>
      </c>
      <c r="Y50" s="67">
        <f>IF(ISNUMBER(tblY11[[#This Row],[4P07 - Magnetism
Raw Score]]),IFERROR(VLOOKUP(ROUND(STANDARDIZE(tblY11[[#This Row],[4P07 - Magnetism
Raw Score]],AVERAGE(tblY11[[4P07 - Magnetism
Raw Score]]),_xlfn.STDEV.P(tblY11[[4P07 - Magnetism
Raw Score]])),9),_Stanine,2),5),"")</f>
        <v>4</v>
      </c>
    </row>
    <row r="51">
      <c r="A51" s="65" t="inlineStr">
        <is>
          <t>X903562445350</t>
        </is>
      </c>
      <c r="B51" s="65" t="inlineStr">
        <is>
          <t>Walker</t>
        </is>
      </c>
      <c r="C51" s="65" t="inlineStr">
        <is>
          <t>Leo</t>
        </is>
      </c>
      <c r="D51" s="66" t="inlineStr">
        <is>
          <t>F</t>
        </is>
      </c>
      <c r="E51" s="66" t="inlineStr">
        <is>
          <t>N</t>
        </is>
      </c>
      <c r="F51" s="66" t="inlineStr">
        <is>
          <t>N</t>
        </is>
      </c>
      <c r="G51" s="34" t="n">
        <v>95.2</v>
      </c>
      <c r="H51" s="34" t="n">
        <v>106.5</v>
      </c>
      <c r="I51" s="67">
        <f>IF(ISNUMBER(tblY11[[#This Row],[Avg KS2]]),IFERROR(VLOOKUP(ROUND(STANDARDIZE(tblY11[[#This Row],[Avg KS2]],AVERAGE(tblY11[[Avg KS2]]),_xlfn.STDEV.P(tblY11[[Avg KS2]])),9),_Stanine,2),5),"")</f>
        <v>6</v>
      </c>
      <c r="J51" s="66" t="inlineStr">
        <is>
          <t>11S/Sc2</t>
        </is>
      </c>
      <c r="K51" s="67">
        <f>IF(tblY11[[#This Row],[Preferred Last name]]="","",COUNTIFS($N$1:$ZZ$1,"*"&amp;CHAR(10)&amp;"Stanine",$N51:$ZZ51,"&gt;=1"))</f>
        <v>6</v>
      </c>
      <c r="L51" s="68">
        <f>IFERROR(AVERAGEIF($N$1:$ZZ$1,"*"&amp;CHAR(10)&amp;"Stanine",$N51:$ZZ51),"")</f>
        <v>4.83333333333333</v>
      </c>
      <c r="M51" s="69">
        <f>IF(AND(ISNUMBER(tblY11[[#This Row],[Mean Stanine]]),ISNUMBER(tblY11[[#This Row],[Avg KS2 Band]]),ISNUMBER(SlopeY11)),tblY11[[#This Row],[Mean Stanine]]-(InterceptY11+SlopeY11*tblY11[[#This Row],[Avg KS2 Band]]),"")</f>
        <v>-0.868228715728716</v>
      </c>
      <c r="N51" s="66" t="n">
        <v>16</v>
      </c>
      <c r="O51" s="67">
        <f>IF(ISNUMBER(tblY11[[#This Row],[4B05 - Homeostasis
Raw Score]]),IFERROR(VLOOKUP(ROUND(STANDARDIZE(tblY11[[#This Row],[4B05 - Homeostasis
Raw Score]],AVERAGE(tblY11[[4B05 - Homeostasis
Raw Score]]),_xlfn.STDEV.P(tblY11[[4B05 - Homeostasis
Raw Score]])),9),_Stanine,2),5),"")</f>
        <v>4</v>
      </c>
      <c r="P51" s="66" t="n">
        <v>21</v>
      </c>
      <c r="Q51" s="67">
        <f>IF(ISNUMBER(tblY11[[#This Row],[4C09 - Organic Chemistry
Raw Score]]),IFERROR(VLOOKUP(ROUND(STANDARDIZE(tblY11[[#This Row],[4C09 - Organic Chemistry
Raw Score]],AVERAGE(tblY11[[4C09 - Organic Chemistry
Raw Score]]),_xlfn.STDEV.P(tblY11[[4C09 - Organic Chemistry
Raw Score]])),9),_Stanine,2),5),"")</f>
        <v>6</v>
      </c>
      <c r="R51" s="66" t="n">
        <v>23</v>
      </c>
      <c r="S51" s="67">
        <f>IF(ISNUMBER(tblY11[[#This Row],[4P06 - Waves
Raw Score]]),IFERROR(VLOOKUP(ROUND(STANDARDIZE(tblY11[[#This Row],[4P06 - Waves
Raw Score]],AVERAGE(tblY11[[4P06 - Waves
Raw Score]]),_xlfn.STDEV.P(tblY11[[4P06 - Waves
Raw Score]])),9),_Stanine,2),5),"")</f>
        <v>5</v>
      </c>
      <c r="T51" s="66" t="n">
        <v>14</v>
      </c>
      <c r="U51" s="67">
        <f>IF(ISNUMBER(tblY11[[#This Row],[4B06 - Inheritance
Raw Score]]),IFERROR(VLOOKUP(ROUND(STANDARDIZE(tblY11[[#This Row],[4B06 - Inheritance
Raw Score]],AVERAGE(tblY11[[4B06 - Inheritance
Raw Score]]),_xlfn.STDEV.P(tblY11[[4B06 - Inheritance
Raw Score]])),9),_Stanine,2),5),"")</f>
        <v>4</v>
      </c>
      <c r="V51" s="66" t="n">
        <v>13</v>
      </c>
      <c r="W51" s="67">
        <f>IF(ISNUMBER(tblY11[[#This Row],[4C10 - Chemical Analysis
Raw Score]]),IFERROR(VLOOKUP(ROUND(STANDARDIZE(tblY11[[#This Row],[4C10 - Chemical Analysis
Raw Score]],AVERAGE(tblY11[[4C10 - Chemical Analysis
Raw Score]]),_xlfn.STDEV.P(tblY11[[4C10 - Chemical Analysis
Raw Score]])),9),_Stanine,2),5),"")</f>
        <v>5</v>
      </c>
      <c r="X51" s="66" t="n">
        <v>14</v>
      </c>
      <c r="Y51" s="67">
        <f>IF(ISNUMBER(tblY11[[#This Row],[4P07 - Magnetism
Raw Score]]),IFERROR(VLOOKUP(ROUND(STANDARDIZE(tblY11[[#This Row],[4P07 - Magnetism
Raw Score]],AVERAGE(tblY11[[4P07 - Magnetism
Raw Score]]),_xlfn.STDEV.P(tblY11[[4P07 - Magnetism
Raw Score]])),9),_Stanine,2),5),"")</f>
        <v>5</v>
      </c>
    </row>
    <row r="52">
      <c r="A52" s="65" t="inlineStr">
        <is>
          <t>X904917722451</t>
        </is>
      </c>
      <c r="B52" s="65" t="inlineStr">
        <is>
          <t>White</t>
        </is>
      </c>
      <c r="C52" s="65" t="inlineStr">
        <is>
          <t>George</t>
        </is>
      </c>
      <c r="D52" s="66" t="inlineStr">
        <is>
          <t>M</t>
        </is>
      </c>
      <c r="E52" s="66" t="n"/>
      <c r="F52" s="66" t="inlineStr">
        <is>
          <t>N</t>
        </is>
      </c>
      <c r="G52" s="34" t="n">
        <v>94.09999999999999</v>
      </c>
      <c r="H52" s="34" t="n">
        <v>106.5</v>
      </c>
      <c r="I52" s="67">
        <f>IF(ISNUMBER(tblY11[[#This Row],[Avg KS2]]),IFERROR(VLOOKUP(ROUND(STANDARDIZE(tblY11[[#This Row],[Avg KS2]],AVERAGE(tblY11[[Avg KS2]]),_xlfn.STDEV.P(tblY11[[Avg KS2]])),9),_Stanine,2),5),"")</f>
        <v>6</v>
      </c>
      <c r="J52" s="66" t="inlineStr">
        <is>
          <t>11S/Sc2</t>
        </is>
      </c>
      <c r="K52" s="67">
        <f>IF(tblY11[[#This Row],[Preferred Last name]]="","",COUNTIFS($N$1:$ZZ$1,"*"&amp;CHAR(10)&amp;"Stanine",$N52:$ZZ52,"&gt;=1"))</f>
        <v>6</v>
      </c>
      <c r="L52" s="68">
        <f>IFERROR(AVERAGEIF($N$1:$ZZ$1,"*"&amp;CHAR(10)&amp;"Stanine",$N52:$ZZ52),"")</f>
        <v>5.16666666666667</v>
      </c>
      <c r="M52" s="69">
        <f>IF(AND(ISNUMBER(tblY11[[#This Row],[Mean Stanine]]),ISNUMBER(tblY11[[#This Row],[Avg KS2 Band]]),ISNUMBER(SlopeY11)),tblY11[[#This Row],[Mean Stanine]]-(InterceptY11+SlopeY11*tblY11[[#This Row],[Avg KS2 Band]]),"")</f>
        <v>-0.534895382395382</v>
      </c>
      <c r="N52" s="66" t="n">
        <v>25</v>
      </c>
      <c r="O52" s="67">
        <f>IF(ISNUMBER(tblY11[[#This Row],[4B05 - Homeostasis
Raw Score]]),IFERROR(VLOOKUP(ROUND(STANDARDIZE(tblY11[[#This Row],[4B05 - Homeostasis
Raw Score]],AVERAGE(tblY11[[4B05 - Homeostasis
Raw Score]]),_xlfn.STDEV.P(tblY11[[4B05 - Homeostasis
Raw Score]])),9),_Stanine,2),5),"")</f>
        <v>6</v>
      </c>
      <c r="P52" s="66" t="n">
        <v>22</v>
      </c>
      <c r="Q52" s="67">
        <f>IF(ISNUMBER(tblY11[[#This Row],[4C09 - Organic Chemistry
Raw Score]]),IFERROR(VLOOKUP(ROUND(STANDARDIZE(tblY11[[#This Row],[4C09 - Organic Chemistry
Raw Score]],AVERAGE(tblY11[[4C09 - Organic Chemistry
Raw Score]]),_xlfn.STDEV.P(tblY11[[4C09 - Organic Chemistry
Raw Score]])),9),_Stanine,2),5),"")</f>
        <v>7</v>
      </c>
      <c r="R52" s="66" t="n">
        <v>21</v>
      </c>
      <c r="S52" s="67">
        <f>IF(ISNUMBER(tblY11[[#This Row],[4P06 - Waves
Raw Score]]),IFERROR(VLOOKUP(ROUND(STANDARDIZE(tblY11[[#This Row],[4P06 - Waves
Raw Score]],AVERAGE(tblY11[[4P06 - Waves
Raw Score]]),_xlfn.STDEV.P(tblY11[[4P06 - Waves
Raw Score]])),9),_Stanine,2),5),"")</f>
        <v>5</v>
      </c>
      <c r="T52" s="66" t="n">
        <v>16</v>
      </c>
      <c r="U52" s="67">
        <f>IF(ISNUMBER(tblY11[[#This Row],[4B06 - Inheritance
Raw Score]]),IFERROR(VLOOKUP(ROUND(STANDARDIZE(tblY11[[#This Row],[4B06 - Inheritance
Raw Score]],AVERAGE(tblY11[[4B06 - Inheritance
Raw Score]]),_xlfn.STDEV.P(tblY11[[4B06 - Inheritance
Raw Score]])),9),_Stanine,2),5),"")</f>
        <v>4</v>
      </c>
      <c r="V52" s="66" t="n">
        <v>12</v>
      </c>
      <c r="W52" s="67">
        <f>IF(ISNUMBER(tblY11[[#This Row],[4C10 - Chemical Analysis
Raw Score]]),IFERROR(VLOOKUP(ROUND(STANDARDIZE(tblY11[[#This Row],[4C10 - Chemical Analysis
Raw Score]],AVERAGE(tblY11[[4C10 - Chemical Analysis
Raw Score]]),_xlfn.STDEV.P(tblY11[[4C10 - Chemical Analysis
Raw Score]])),9),_Stanine,2),5),"")</f>
        <v>4</v>
      </c>
      <c r="X52" s="66" t="n">
        <v>16</v>
      </c>
      <c r="Y52" s="67">
        <f>IF(ISNUMBER(tblY11[[#This Row],[4P07 - Magnetism
Raw Score]]),IFERROR(VLOOKUP(ROUND(STANDARDIZE(tblY11[[#This Row],[4P07 - Magnetism
Raw Score]],AVERAGE(tblY11[[4P07 - Magnetism
Raw Score]]),_xlfn.STDEV.P(tblY11[[4P07 - Magnetism
Raw Score]])),9),_Stanine,2),5),"")</f>
        <v>5</v>
      </c>
    </row>
    <row r="53">
      <c r="A53" s="65" t="inlineStr">
        <is>
          <t>X900079890749</t>
        </is>
      </c>
      <c r="B53" s="65" t="inlineStr">
        <is>
          <t>White</t>
        </is>
      </c>
      <c r="C53" s="65" t="inlineStr">
        <is>
          <t>Nia</t>
        </is>
      </c>
      <c r="D53" s="66" t="inlineStr">
        <is>
          <t>M</t>
        </is>
      </c>
      <c r="E53" s="66" t="n"/>
      <c r="F53" s="66" t="inlineStr">
        <is>
          <t>N</t>
        </is>
      </c>
      <c r="G53" s="34" t="n">
        <v>95.59999999999999</v>
      </c>
      <c r="H53" s="34" t="n">
        <v>107</v>
      </c>
      <c r="I53" s="67">
        <f>IF(ISNUMBER(tblY11[[#This Row],[Avg KS2]]),IFERROR(VLOOKUP(ROUND(STANDARDIZE(tblY11[[#This Row],[Avg KS2]],AVERAGE(tblY11[[Avg KS2]]),_xlfn.STDEV.P(tblY11[[Avg KS2]])),9),_Stanine,2),5),"")</f>
        <v>6</v>
      </c>
      <c r="J53" s="66" t="inlineStr">
        <is>
          <t>11S/Sc2</t>
        </is>
      </c>
      <c r="K53" s="67">
        <f>IF(tblY11[[#This Row],[Preferred Last name]]="","",COUNTIFS($N$1:$ZZ$1,"*"&amp;CHAR(10)&amp;"Stanine",$N53:$ZZ53,"&gt;=1"))</f>
        <v>5</v>
      </c>
      <c r="L53" s="68">
        <f>IFERROR(AVERAGEIF($N$1:$ZZ$1,"*"&amp;CHAR(10)&amp;"Stanine",$N53:$ZZ53),"")</f>
        <v>5</v>
      </c>
      <c r="M53" s="69">
        <f>IF(AND(ISNUMBER(tblY11[[#This Row],[Mean Stanine]]),ISNUMBER(tblY11[[#This Row],[Avg KS2 Band]]),ISNUMBER(SlopeY11)),tblY11[[#This Row],[Mean Stanine]]-(InterceptY11+SlopeY11*tblY11[[#This Row],[Avg KS2 Band]]),"")</f>
        <v>-0.701562049062049</v>
      </c>
      <c r="N53" s="66" t="n">
        <v>23</v>
      </c>
      <c r="O53" s="67">
        <f>IF(ISNUMBER(tblY11[[#This Row],[4B05 - Homeostasis
Raw Score]]),IFERROR(VLOOKUP(ROUND(STANDARDIZE(tblY11[[#This Row],[4B05 - Homeostasis
Raw Score]],AVERAGE(tblY11[[4B05 - Homeostasis
Raw Score]]),_xlfn.STDEV.P(tblY11[[4B05 - Homeostasis
Raw Score]])),9),_Stanine,2),5),"")</f>
        <v>6</v>
      </c>
      <c r="P53" s="66" t="n">
        <v>11</v>
      </c>
      <c r="Q53" s="67">
        <f>IF(ISNUMBER(tblY11[[#This Row],[4C09 - Organic Chemistry
Raw Score]]),IFERROR(VLOOKUP(ROUND(STANDARDIZE(tblY11[[#This Row],[4C09 - Organic Chemistry
Raw Score]],AVERAGE(tblY11[[4C09 - Organic Chemistry
Raw Score]]),_xlfn.STDEV.P(tblY11[[4C09 - Organic Chemistry
Raw Score]])),9),_Stanine,2),5),"")</f>
        <v>4</v>
      </c>
      <c r="R53" s="66" t="n">
        <v>22</v>
      </c>
      <c r="S53" s="67">
        <f>IF(ISNUMBER(tblY11[[#This Row],[4P06 - Waves
Raw Score]]),IFERROR(VLOOKUP(ROUND(STANDARDIZE(tblY11[[#This Row],[4P06 - Waves
Raw Score]],AVERAGE(tblY11[[4P06 - Waves
Raw Score]]),_xlfn.STDEV.P(tblY11[[4P06 - Waves
Raw Score]])),9),_Stanine,2),5),"")</f>
        <v>5</v>
      </c>
      <c r="T53" s="66" t="inlineStr">
        <is>
          <t>A</t>
        </is>
      </c>
      <c r="U53" s="67" t="str">
        <f>IF(ISNUMBER(tblY11[[#This Row],[4B06 - Inheritance
Raw Score]]),IFERROR(VLOOKUP(ROUND(STANDARDIZE(tblY11[[#This Row],[4B06 - Inheritance
Raw Score]],AVERAGE(tblY11[[4B06 - Inheritance
Raw Score]]),_xlfn.STDEV.P(tblY11[[4B06 - Inheritance
Raw Score]])),9),_Stanine,2),5),"")</f>
        <v/>
      </c>
      <c r="V53" s="66" t="n">
        <v>14</v>
      </c>
      <c r="W53" s="67">
        <f>IF(ISNUMBER(tblY11[[#This Row],[4C10 - Chemical Analysis
Raw Score]]),IFERROR(VLOOKUP(ROUND(STANDARDIZE(tblY11[[#This Row],[4C10 - Chemical Analysis
Raw Score]],AVERAGE(tblY11[[4C10 - Chemical Analysis
Raw Score]]),_xlfn.STDEV.P(tblY11[[4C10 - Chemical Analysis
Raw Score]])),9),_Stanine,2),5),"")</f>
        <v>5</v>
      </c>
      <c r="X53" s="66" t="n">
        <v>14</v>
      </c>
      <c r="Y53" s="67">
        <f>IF(ISNUMBER(tblY11[[#This Row],[4P07 - Magnetism
Raw Score]]),IFERROR(VLOOKUP(ROUND(STANDARDIZE(tblY11[[#This Row],[4P07 - Magnetism
Raw Score]],AVERAGE(tblY11[[4P07 - Magnetism
Raw Score]]),_xlfn.STDEV.P(tblY11[[4P07 - Magnetism
Raw Score]])),9),_Stanine,2),5),"")</f>
        <v>5</v>
      </c>
    </row>
    <row r="54">
      <c r="A54" s="65" t="inlineStr">
        <is>
          <t>X909065304882</t>
        </is>
      </c>
      <c r="B54" s="65" t="inlineStr">
        <is>
          <t>Williams</t>
        </is>
      </c>
      <c r="C54" s="65" t="inlineStr">
        <is>
          <t>Sophie</t>
        </is>
      </c>
      <c r="D54" s="66" t="inlineStr">
        <is>
          <t>M</t>
        </is>
      </c>
      <c r="E54" s="66" t="n"/>
      <c r="F54" s="66" t="inlineStr">
        <is>
          <t>N</t>
        </is>
      </c>
      <c r="G54" s="34" t="n">
        <v>100</v>
      </c>
      <c r="H54" s="34" t="n">
        <v>113.5</v>
      </c>
      <c r="I54" s="67">
        <f>IF(ISNUMBER(tblY11[[#This Row],[Avg KS2]]),IFERROR(VLOOKUP(ROUND(STANDARDIZE(tblY11[[#This Row],[Avg KS2]],AVERAGE(tblY11[[Avg KS2]]),_xlfn.STDEV.P(tblY11[[Avg KS2]])),9),_Stanine,2),5),"")</f>
        <v>8</v>
      </c>
      <c r="J54" s="66" t="inlineStr">
        <is>
          <t>11S/Sc2</t>
        </is>
      </c>
      <c r="K54" s="67">
        <f>IF(tblY11[[#This Row],[Preferred Last name]]="","",COUNTIFS($N$1:$ZZ$1,"*"&amp;CHAR(10)&amp;"Stanine",$N54:$ZZ54,"&gt;=1"))</f>
        <v>6</v>
      </c>
      <c r="L54" s="68">
        <f>IFERROR(AVERAGEIF($N$1:$ZZ$1,"*"&amp;CHAR(10)&amp;"Stanine",$N54:$ZZ54),"")</f>
        <v>5.66666666666667</v>
      </c>
      <c r="M54" s="69">
        <f>IF(AND(ISNUMBER(tblY11[[#This Row],[Mean Stanine]]),ISNUMBER(tblY11[[#This Row],[Avg KS2 Band]]),ISNUMBER(SlopeY11)),tblY11[[#This Row],[Mean Stanine]]-(InterceptY11+SlopeY11*tblY11[[#This Row],[Avg KS2 Band]]),"")</f>
        <v>-1.53262265512265</v>
      </c>
      <c r="N54" s="66" t="n">
        <v>26</v>
      </c>
      <c r="O54" s="67">
        <f>IF(ISNUMBER(tblY11[[#This Row],[4B05 - Homeostasis
Raw Score]]),IFERROR(VLOOKUP(ROUND(STANDARDIZE(tblY11[[#This Row],[4B05 - Homeostasis
Raw Score]],AVERAGE(tblY11[[4B05 - Homeostasis
Raw Score]]),_xlfn.STDEV.P(tblY11[[4B05 - Homeostasis
Raw Score]])),9),_Stanine,2),5),"")</f>
        <v>6</v>
      </c>
      <c r="P54" s="66" t="n">
        <v>22</v>
      </c>
      <c r="Q54" s="67">
        <f>IF(ISNUMBER(tblY11[[#This Row],[4C09 - Organic Chemistry
Raw Score]]),IFERROR(VLOOKUP(ROUND(STANDARDIZE(tblY11[[#This Row],[4C09 - Organic Chemistry
Raw Score]],AVERAGE(tblY11[[4C09 - Organic Chemistry
Raw Score]]),_xlfn.STDEV.P(tblY11[[4C09 - Organic Chemistry
Raw Score]])),9),_Stanine,2),5),"")</f>
        <v>7</v>
      </c>
      <c r="R54" s="66" t="n">
        <v>24</v>
      </c>
      <c r="S54" s="67">
        <f>IF(ISNUMBER(tblY11[[#This Row],[4P06 - Waves
Raw Score]]),IFERROR(VLOOKUP(ROUND(STANDARDIZE(tblY11[[#This Row],[4P06 - Waves
Raw Score]],AVERAGE(tblY11[[4P06 - Waves
Raw Score]]),_xlfn.STDEV.P(tblY11[[4P06 - Waves
Raw Score]])),9),_Stanine,2),5),"")</f>
        <v>6</v>
      </c>
      <c r="T54" s="66" t="n">
        <v>21</v>
      </c>
      <c r="U54" s="67">
        <f>IF(ISNUMBER(tblY11[[#This Row],[4B06 - Inheritance
Raw Score]]),IFERROR(VLOOKUP(ROUND(STANDARDIZE(tblY11[[#This Row],[4B06 - Inheritance
Raw Score]],AVERAGE(tblY11[[4B06 - Inheritance
Raw Score]]),_xlfn.STDEV.P(tblY11[[4B06 - Inheritance
Raw Score]])),9),_Stanine,2),5),"")</f>
        <v>5</v>
      </c>
      <c r="V54" s="66" t="n">
        <v>18</v>
      </c>
      <c r="W54" s="67">
        <f>IF(ISNUMBER(tblY11[[#This Row],[4C10 - Chemical Analysis
Raw Score]]),IFERROR(VLOOKUP(ROUND(STANDARDIZE(tblY11[[#This Row],[4C10 - Chemical Analysis
Raw Score]],AVERAGE(tblY11[[4C10 - Chemical Analysis
Raw Score]]),_xlfn.STDEV.P(tblY11[[4C10 - Chemical Analysis
Raw Score]])),9),_Stanine,2),5),"")</f>
        <v>6</v>
      </c>
      <c r="X54" s="66" t="n">
        <v>13</v>
      </c>
      <c r="Y54" s="67">
        <f>IF(ISNUMBER(tblY11[[#This Row],[4P07 - Magnetism
Raw Score]]),IFERROR(VLOOKUP(ROUND(STANDARDIZE(tblY11[[#This Row],[4P07 - Magnetism
Raw Score]],AVERAGE(tblY11[[4P07 - Magnetism
Raw Score]]),_xlfn.STDEV.P(tblY11[[4P07 - Magnetism
Raw Score]])),9),_Stanine,2),5),"")</f>
        <v>4</v>
      </c>
    </row>
    <row r="55">
      <c r="A55" s="65" t="inlineStr">
        <is>
          <t>X909771516637</t>
        </is>
      </c>
      <c r="B55" s="65" t="inlineStr">
        <is>
          <t>Wright</t>
        </is>
      </c>
      <c r="C55" s="65" t="inlineStr">
        <is>
          <t>Chidi</t>
        </is>
      </c>
      <c r="D55" s="66" t="inlineStr">
        <is>
          <t>M</t>
        </is>
      </c>
      <c r="E55" s="66" t="inlineStr">
        <is>
          <t>N</t>
        </is>
      </c>
      <c r="F55" s="66" t="inlineStr">
        <is>
          <t>N</t>
        </is>
      </c>
      <c r="G55" s="34" t="n">
        <v>100</v>
      </c>
      <c r="H55" s="34" t="n">
        <v>113.5</v>
      </c>
      <c r="I55" s="67">
        <f>IF(ISNUMBER(tblY11[[#This Row],[Avg KS2]]),IFERROR(VLOOKUP(ROUND(STANDARDIZE(tblY11[[#This Row],[Avg KS2]],AVERAGE(tblY11[[Avg KS2]]),_xlfn.STDEV.P(tblY11[[Avg KS2]])),9),_Stanine,2),5),"")</f>
        <v>8</v>
      </c>
      <c r="J55" s="66" t="inlineStr">
        <is>
          <t>11S/Sc2</t>
        </is>
      </c>
      <c r="K55" s="67">
        <f>IF(tblY11[[#This Row],[Preferred Last name]]="","",COUNTIFS($N$1:$ZZ$1,"*"&amp;CHAR(10)&amp;"Stanine",$N55:$ZZ55,"&gt;=1"))</f>
        <v>6</v>
      </c>
      <c r="L55" s="68">
        <f>IFERROR(AVERAGEIF($N$1:$ZZ$1,"*"&amp;CHAR(10)&amp;"Stanine",$N55:$ZZ55),"")</f>
        <v>6.83333333333333</v>
      </c>
      <c r="M55" s="69">
        <f>IF(AND(ISNUMBER(tblY11[[#This Row],[Mean Stanine]]),ISNUMBER(tblY11[[#This Row],[Avg KS2 Band]]),ISNUMBER(SlopeY11)),tblY11[[#This Row],[Mean Stanine]]-(InterceptY11+SlopeY11*tblY11[[#This Row],[Avg KS2 Band]]),"")</f>
        <v>-0.365955988455989</v>
      </c>
      <c r="N55" s="66" t="n">
        <v>27</v>
      </c>
      <c r="O55" s="67">
        <f>IF(ISNUMBER(tblY11[[#This Row],[4B05 - Homeostasis
Raw Score]]),IFERROR(VLOOKUP(ROUND(STANDARDIZE(tblY11[[#This Row],[4B05 - Homeostasis
Raw Score]],AVERAGE(tblY11[[4B05 - Homeostasis
Raw Score]]),_xlfn.STDEV.P(tblY11[[4B05 - Homeostasis
Raw Score]])),9),_Stanine,2),5),"")</f>
        <v>6</v>
      </c>
      <c r="P55" s="66" t="n">
        <v>24</v>
      </c>
      <c r="Q55" s="67">
        <f>IF(ISNUMBER(tblY11[[#This Row],[4C09 - Organic Chemistry
Raw Score]]),IFERROR(VLOOKUP(ROUND(STANDARDIZE(tblY11[[#This Row],[4C09 - Organic Chemistry
Raw Score]],AVERAGE(tblY11[[4C09 - Organic Chemistry
Raw Score]]),_xlfn.STDEV.P(tblY11[[4C09 - Organic Chemistry
Raw Score]])),9),_Stanine,2),5),"")</f>
        <v>7</v>
      </c>
      <c r="R55" s="66" t="n">
        <v>31</v>
      </c>
      <c r="S55" s="67">
        <f>IF(ISNUMBER(tblY11[[#This Row],[4P06 - Waves
Raw Score]]),IFERROR(VLOOKUP(ROUND(STANDARDIZE(tblY11[[#This Row],[4P06 - Waves
Raw Score]],AVERAGE(tblY11[[4P06 - Waves
Raw Score]]),_xlfn.STDEV.P(tblY11[[4P06 - Waves
Raw Score]])),9),_Stanine,2),5),"")</f>
        <v>7</v>
      </c>
      <c r="T55" s="66" t="n">
        <v>29</v>
      </c>
      <c r="U55" s="67">
        <f>IF(ISNUMBER(tblY11[[#This Row],[4B06 - Inheritance
Raw Score]]),IFERROR(VLOOKUP(ROUND(STANDARDIZE(tblY11[[#This Row],[4B06 - Inheritance
Raw Score]],AVERAGE(tblY11[[4B06 - Inheritance
Raw Score]]),_xlfn.STDEV.P(tblY11[[4B06 - Inheritance
Raw Score]])),9),_Stanine,2),5),"")</f>
        <v>7</v>
      </c>
      <c r="V55" s="66" t="n">
        <v>24</v>
      </c>
      <c r="W55" s="67">
        <f>IF(ISNUMBER(tblY11[[#This Row],[4C10 - Chemical Analysis
Raw Score]]),IFERROR(VLOOKUP(ROUND(STANDARDIZE(tblY11[[#This Row],[4C10 - Chemical Analysis
Raw Score]],AVERAGE(tblY11[[4C10 - Chemical Analysis
Raw Score]]),_xlfn.STDEV.P(tblY11[[4C10 - Chemical Analysis
Raw Score]])),9),_Stanine,2),5),"")</f>
        <v>8</v>
      </c>
      <c r="X55" s="66" t="n">
        <v>20</v>
      </c>
      <c r="Y55" s="67">
        <f>IF(ISNUMBER(tblY11[[#This Row],[4P07 - Magnetism
Raw Score]]),IFERROR(VLOOKUP(ROUND(STANDARDIZE(tblY11[[#This Row],[4P07 - Magnetism
Raw Score]],AVERAGE(tblY11[[4P07 - Magnetism
Raw Score]]),_xlfn.STDEV.P(tblY11[[4P07 - Magnetism
Raw Score]])),9),_Stanine,2),5),"")</f>
        <v>6</v>
      </c>
    </row>
    <row r="56">
      <c r="A56" s="65" t="inlineStr">
        <is>
          <t>X900358671002</t>
        </is>
      </c>
      <c r="B56" s="65" t="inlineStr">
        <is>
          <t>Cooper</t>
        </is>
      </c>
      <c r="C56" s="65" t="inlineStr">
        <is>
          <t>Sophie</t>
        </is>
      </c>
      <c r="D56" s="66" t="inlineStr">
        <is>
          <t>F</t>
        </is>
      </c>
      <c r="E56" s="66" t="inlineStr">
        <is>
          <t>N</t>
        </is>
      </c>
      <c r="F56" s="66" t="inlineStr">
        <is>
          <t>N</t>
        </is>
      </c>
      <c r="G56" s="34" t="n">
        <v>95.40000000000001</v>
      </c>
      <c r="H56" s="34" t="n">
        <v>92</v>
      </c>
      <c r="I56" s="67">
        <f>IF(ISNUMBER(tblY11[[#This Row],[Avg KS2]]),IFERROR(VLOOKUP(ROUND(STANDARDIZE(tblY11[[#This Row],[Avg KS2]],AVERAGE(tblY11[[Avg KS2]]),_xlfn.STDEV.P(tblY11[[Avg KS2]])),9),_Stanine,2),5),"")</f>
        <v>1</v>
      </c>
      <c r="J56" s="66" t="inlineStr">
        <is>
          <t>11S/Sc3</t>
        </is>
      </c>
      <c r="K56" s="67">
        <f>IF(tblY11[[#This Row],[Preferred Last name]]="","",COUNTIFS($N$1:$ZZ$1,"*"&amp;CHAR(10)&amp;"Stanine",$N56:$ZZ56,"&gt;=1"))</f>
        <v>5</v>
      </c>
      <c r="L56" s="68">
        <f>IFERROR(AVERAGEIF($N$1:$ZZ$1,"*"&amp;CHAR(10)&amp;"Stanine",$N56:$ZZ56),"")</f>
        <v>1.4</v>
      </c>
      <c r="M56" s="69">
        <f>IF(AND(ISNUMBER(tblY11[[#This Row],[Mean Stanine]]),ISNUMBER(tblY11[[#This Row],[Avg KS2 Band]]),ISNUMBER(SlopeY11)),tblY11[[#This Row],[Mean Stanine]]-(InterceptY11+SlopeY11*tblY11[[#This Row],[Avg KS2 Band]]),"")</f>
        <v>-0.557243867243867</v>
      </c>
      <c r="N56" s="66" t="n">
        <v>6</v>
      </c>
      <c r="O56" s="67">
        <f>IF(ISNUMBER(tblY11[[#This Row],[4B05 - Homeostasis
Raw Score]]),IFERROR(VLOOKUP(ROUND(STANDARDIZE(tblY11[[#This Row],[4B05 - Homeostasis
Raw Score]],AVERAGE(tblY11[[4B05 - Homeostasis
Raw Score]]),_xlfn.STDEV.P(tblY11[[4B05 - Homeostasis
Raw Score]])),9),_Stanine,2),5),"")</f>
        <v>2</v>
      </c>
      <c r="P56" s="66" t="n">
        <v>3</v>
      </c>
      <c r="Q56" s="67">
        <f>IF(ISNUMBER(tblY11[[#This Row],[4C09 - Organic Chemistry
Raw Score]]),IFERROR(VLOOKUP(ROUND(STANDARDIZE(tblY11[[#This Row],[4C09 - Organic Chemistry
Raw Score]],AVERAGE(tblY11[[4C09 - Organic Chemistry
Raw Score]]),_xlfn.STDEV.P(tblY11[[4C09 - Organic Chemistry
Raw Score]])),9),_Stanine,2),5),"")</f>
        <v>1</v>
      </c>
      <c r="R56" s="66" t="n">
        <v>6</v>
      </c>
      <c r="S56" s="67">
        <f>IF(ISNUMBER(tblY11[[#This Row],[4P06 - Waves
Raw Score]]),IFERROR(VLOOKUP(ROUND(STANDARDIZE(tblY11[[#This Row],[4P06 - Waves
Raw Score]],AVERAGE(tblY11[[4P06 - Waves
Raw Score]]),_xlfn.STDEV.P(tblY11[[4P06 - Waves
Raw Score]])),9),_Stanine,2),5),"")</f>
        <v>1</v>
      </c>
      <c r="T56" s="66" t="n">
        <v>5</v>
      </c>
      <c r="U56" s="67">
        <f>IF(ISNUMBER(tblY11[[#This Row],[4B06 - Inheritance
Raw Score]]),IFERROR(VLOOKUP(ROUND(STANDARDIZE(tblY11[[#This Row],[4B06 - Inheritance
Raw Score]],AVERAGE(tblY11[[4B06 - Inheritance
Raw Score]]),_xlfn.STDEV.P(tblY11[[4B06 - Inheritance
Raw Score]])),9),_Stanine,2),5),"")</f>
        <v>2</v>
      </c>
      <c r="V56" s="66" t="inlineStr">
        <is>
          <t>A</t>
        </is>
      </c>
      <c r="W56" s="67" t="str">
        <f>IF(ISNUMBER(tblY11[[#This Row],[4C10 - Chemical Analysis
Raw Score]]),IFERROR(VLOOKUP(ROUND(STANDARDIZE(tblY11[[#This Row],[4C10 - Chemical Analysis
Raw Score]],AVERAGE(tblY11[[4C10 - Chemical Analysis
Raw Score]]),_xlfn.STDEV.P(tblY11[[4C10 - Chemical Analysis
Raw Score]])),9),_Stanine,2),5),"")</f>
        <v/>
      </c>
      <c r="X56" s="66" t="n">
        <v>2</v>
      </c>
      <c r="Y56" s="67">
        <f>IF(ISNUMBER(tblY11[[#This Row],[4P07 - Magnetism
Raw Score]]),IFERROR(VLOOKUP(ROUND(STANDARDIZE(tblY11[[#This Row],[4P07 - Magnetism
Raw Score]],AVERAGE(tblY11[[4P07 - Magnetism
Raw Score]]),_xlfn.STDEV.P(tblY11[[4P07 - Magnetism
Raw Score]])),9),_Stanine,2),5),"")</f>
        <v>1</v>
      </c>
    </row>
    <row r="57">
      <c r="A57" s="65" t="inlineStr">
        <is>
          <t>X900827868774</t>
        </is>
      </c>
      <c r="B57" s="65" t="inlineStr">
        <is>
          <t>Edwards</t>
        </is>
      </c>
      <c r="C57" s="65" t="inlineStr">
        <is>
          <t>Oscar</t>
        </is>
      </c>
      <c r="D57" s="66" t="inlineStr">
        <is>
          <t>M</t>
        </is>
      </c>
      <c r="E57" s="66" t="inlineStr">
        <is>
          <t>N</t>
        </is>
      </c>
      <c r="F57" s="66" t="inlineStr">
        <is>
          <t>N</t>
        </is>
      </c>
      <c r="G57" s="34" t="n">
        <v>91.40000000000001</v>
      </c>
      <c r="H57" s="34" t="n">
        <v>99</v>
      </c>
      <c r="I57" s="67">
        <f>IF(ISNUMBER(tblY11[[#This Row],[Avg KS2]]),IFERROR(VLOOKUP(ROUND(STANDARDIZE(tblY11[[#This Row],[Avg KS2]],AVERAGE(tblY11[[Avg KS2]]),_xlfn.STDEV.P(tblY11[[Avg KS2]])),9),_Stanine,2),5),"")</f>
        <v>3</v>
      </c>
      <c r="J57" s="66" t="inlineStr">
        <is>
          <t>11S/Sc3</t>
        </is>
      </c>
      <c r="K57" s="67">
        <f>IF(tblY11[[#This Row],[Preferred Last name]]="","",COUNTIFS($N$1:$ZZ$1,"*"&amp;CHAR(10)&amp;"Stanine",$N57:$ZZ57,"&gt;=1"))</f>
        <v>6</v>
      </c>
      <c r="L57" s="68">
        <f>IFERROR(AVERAGEIF($N$1:$ZZ$1,"*"&amp;CHAR(10)&amp;"Stanine",$N57:$ZZ57),"")</f>
        <v>2.66666666666667</v>
      </c>
      <c r="M57" s="69">
        <f>IF(AND(ISNUMBER(tblY11[[#This Row],[Mean Stanine]]),ISNUMBER(tblY11[[#This Row],[Avg KS2 Band]]),ISNUMBER(SlopeY11)),tblY11[[#This Row],[Mean Stanine]]-(InterceptY11+SlopeY11*tblY11[[#This Row],[Avg KS2 Band]]),"")</f>
        <v>-0.788304473304473</v>
      </c>
      <c r="N57" s="66" t="n">
        <v>10</v>
      </c>
      <c r="O57" s="67">
        <f>IF(ISNUMBER(tblY11[[#This Row],[4B05 - Homeostasis
Raw Score]]),IFERROR(VLOOKUP(ROUND(STANDARDIZE(tblY11[[#This Row],[4B05 - Homeostasis
Raw Score]],AVERAGE(tblY11[[4B05 - Homeostasis
Raw Score]]),_xlfn.STDEV.P(tblY11[[4B05 - Homeostasis
Raw Score]])),9),_Stanine,2),5),"")</f>
        <v>2</v>
      </c>
      <c r="P57" s="66" t="n">
        <v>7</v>
      </c>
      <c r="Q57" s="67">
        <f>IF(ISNUMBER(tblY11[[#This Row],[4C09 - Organic Chemistry
Raw Score]]),IFERROR(VLOOKUP(ROUND(STANDARDIZE(tblY11[[#This Row],[4C09 - Organic Chemistry
Raw Score]],AVERAGE(tblY11[[4C09 - Organic Chemistry
Raw Score]]),_xlfn.STDEV.P(tblY11[[4C09 - Organic Chemistry
Raw Score]])),9),_Stanine,2),5),"")</f>
        <v>3</v>
      </c>
      <c r="R57" s="66" t="n">
        <v>12</v>
      </c>
      <c r="S57" s="67">
        <f>IF(ISNUMBER(tblY11[[#This Row],[4P06 - Waves
Raw Score]]),IFERROR(VLOOKUP(ROUND(STANDARDIZE(tblY11[[#This Row],[4P06 - Waves
Raw Score]],AVERAGE(tblY11[[4P06 - Waves
Raw Score]]),_xlfn.STDEV.P(tblY11[[4P06 - Waves
Raw Score]])),9),_Stanine,2),5),"")</f>
        <v>3</v>
      </c>
      <c r="T57" s="66" t="n">
        <v>6</v>
      </c>
      <c r="U57" s="67">
        <f>IF(ISNUMBER(tblY11[[#This Row],[4B06 - Inheritance
Raw Score]]),IFERROR(VLOOKUP(ROUND(STANDARDIZE(tblY11[[#This Row],[4B06 - Inheritance
Raw Score]],AVERAGE(tblY11[[4B06 - Inheritance
Raw Score]]),_xlfn.STDEV.P(tblY11[[4B06 - Inheritance
Raw Score]])),9),_Stanine,2),5),"")</f>
        <v>2</v>
      </c>
      <c r="V57" s="66" t="n">
        <v>7</v>
      </c>
      <c r="W57" s="67">
        <f>IF(ISNUMBER(tblY11[[#This Row],[4C10 - Chemical Analysis
Raw Score]]),IFERROR(VLOOKUP(ROUND(STANDARDIZE(tblY11[[#This Row],[4C10 - Chemical Analysis
Raw Score]],AVERAGE(tblY11[[4C10 - Chemical Analysis
Raw Score]]),_xlfn.STDEV.P(tblY11[[4C10 - Chemical Analysis
Raw Score]])),9),_Stanine,2),5),"")</f>
        <v>3</v>
      </c>
      <c r="X57" s="66" t="n">
        <v>7</v>
      </c>
      <c r="Y57" s="67">
        <f>IF(ISNUMBER(tblY11[[#This Row],[4P07 - Magnetism
Raw Score]]),IFERROR(VLOOKUP(ROUND(STANDARDIZE(tblY11[[#This Row],[4P07 - Magnetism
Raw Score]],AVERAGE(tblY11[[4P07 - Magnetism
Raw Score]]),_xlfn.STDEV.P(tblY11[[4P07 - Magnetism
Raw Score]])),9),_Stanine,2),5),"")</f>
        <v>3</v>
      </c>
    </row>
    <row r="58">
      <c r="A58" s="65" t="inlineStr">
        <is>
          <t>X907662594333</t>
        </is>
      </c>
      <c r="B58" s="65" t="inlineStr">
        <is>
          <t>Hall</t>
        </is>
      </c>
      <c r="C58" s="65" t="inlineStr">
        <is>
          <t>Chidi</t>
        </is>
      </c>
      <c r="D58" s="66" t="inlineStr">
        <is>
          <t>F</t>
        </is>
      </c>
      <c r="E58" s="66" t="inlineStr">
        <is>
          <t>N</t>
        </is>
      </c>
      <c r="F58" s="66" t="inlineStr">
        <is>
          <t>N</t>
        </is>
      </c>
      <c r="G58" s="34" t="n">
        <v>93.2</v>
      </c>
      <c r="H58" s="34" t="n">
        <v>107.5</v>
      </c>
      <c r="I58" s="67">
        <f>IF(ISNUMBER(tblY11[[#This Row],[Avg KS2]]),IFERROR(VLOOKUP(ROUND(STANDARDIZE(tblY11[[#This Row],[Avg KS2]],AVERAGE(tblY11[[Avg KS2]]),_xlfn.STDEV.P(tblY11[[Avg KS2]])),9),_Stanine,2),5),"")</f>
        <v>6</v>
      </c>
      <c r="J58" s="66" t="inlineStr">
        <is>
          <t>11S/Sc3</t>
        </is>
      </c>
      <c r="K58" s="67">
        <f>IF(tblY11[[#This Row],[Preferred Last name]]="","",COUNTIFS($N$1:$ZZ$1,"*"&amp;CHAR(10)&amp;"Stanine",$N58:$ZZ58,"&gt;=1"))</f>
        <v>6</v>
      </c>
      <c r="L58" s="68">
        <f>IFERROR(AVERAGEIF($N$1:$ZZ$1,"*"&amp;CHAR(10)&amp;"Stanine",$N58:$ZZ58),"")</f>
        <v>5.16666666666667</v>
      </c>
      <c r="M58" s="69">
        <f>IF(AND(ISNUMBER(tblY11[[#This Row],[Mean Stanine]]),ISNUMBER(tblY11[[#This Row],[Avg KS2 Band]]),ISNUMBER(SlopeY11)),tblY11[[#This Row],[Mean Stanine]]-(InterceptY11+SlopeY11*tblY11[[#This Row],[Avg KS2 Band]]),"")</f>
        <v>-0.534895382395382</v>
      </c>
      <c r="N58" s="66" t="n">
        <v>22</v>
      </c>
      <c r="O58" s="67">
        <f>IF(ISNUMBER(tblY11[[#This Row],[4B05 - Homeostasis
Raw Score]]),IFERROR(VLOOKUP(ROUND(STANDARDIZE(tblY11[[#This Row],[4B05 - Homeostasis
Raw Score]],AVERAGE(tblY11[[4B05 - Homeostasis
Raw Score]]),_xlfn.STDEV.P(tblY11[[4B05 - Homeostasis
Raw Score]])),9),_Stanine,2),5),"")</f>
        <v>5</v>
      </c>
      <c r="P58" s="66" t="n">
        <v>17</v>
      </c>
      <c r="Q58" s="67">
        <f>IF(ISNUMBER(tblY11[[#This Row],[4C09 - Organic Chemistry
Raw Score]]),IFERROR(VLOOKUP(ROUND(STANDARDIZE(tblY11[[#This Row],[4C09 - Organic Chemistry
Raw Score]],AVERAGE(tblY11[[4C09 - Organic Chemistry
Raw Score]]),_xlfn.STDEV.P(tblY11[[4C09 - Organic Chemistry
Raw Score]])),9),_Stanine,2),5),"")</f>
        <v>5</v>
      </c>
      <c r="R58" s="66" t="n">
        <v>23</v>
      </c>
      <c r="S58" s="67">
        <f>IF(ISNUMBER(tblY11[[#This Row],[4P06 - Waves
Raw Score]]),IFERROR(VLOOKUP(ROUND(STANDARDIZE(tblY11[[#This Row],[4P06 - Waves
Raw Score]],AVERAGE(tblY11[[4P06 - Waves
Raw Score]]),_xlfn.STDEV.P(tblY11[[4P06 - Waves
Raw Score]])),9),_Stanine,2),5),"")</f>
        <v>5</v>
      </c>
      <c r="T58" s="66" t="n">
        <v>17</v>
      </c>
      <c r="U58" s="67">
        <f>IF(ISNUMBER(tblY11[[#This Row],[4B06 - Inheritance
Raw Score]]),IFERROR(VLOOKUP(ROUND(STANDARDIZE(tblY11[[#This Row],[4B06 - Inheritance
Raw Score]],AVERAGE(tblY11[[4B06 - Inheritance
Raw Score]]),_xlfn.STDEV.P(tblY11[[4B06 - Inheritance
Raw Score]])),9),_Stanine,2),5),"")</f>
        <v>5</v>
      </c>
      <c r="V58" s="66" t="n">
        <v>19</v>
      </c>
      <c r="W58" s="67">
        <f>IF(ISNUMBER(tblY11[[#This Row],[4C10 - Chemical Analysis
Raw Score]]),IFERROR(VLOOKUP(ROUND(STANDARDIZE(tblY11[[#This Row],[4C10 - Chemical Analysis
Raw Score]],AVERAGE(tblY11[[4C10 - Chemical Analysis
Raw Score]]),_xlfn.STDEV.P(tblY11[[4C10 - Chemical Analysis
Raw Score]])),9),_Stanine,2),5),"")</f>
        <v>6</v>
      </c>
      <c r="X58" s="66" t="n">
        <v>14</v>
      </c>
      <c r="Y58" s="67">
        <f>IF(ISNUMBER(tblY11[[#This Row],[4P07 - Magnetism
Raw Score]]),IFERROR(VLOOKUP(ROUND(STANDARDIZE(tblY11[[#This Row],[4P07 - Magnetism
Raw Score]],AVERAGE(tblY11[[4P07 - Magnetism
Raw Score]]),_xlfn.STDEV.P(tblY11[[4P07 - Magnetism
Raw Score]])),9),_Stanine,2),5),"")</f>
        <v>5</v>
      </c>
    </row>
    <row r="59">
      <c r="A59" s="65" t="inlineStr">
        <is>
          <t>X906923019762</t>
        </is>
      </c>
      <c r="B59" s="65" t="inlineStr">
        <is>
          <t>Hall</t>
        </is>
      </c>
      <c r="C59" s="65" t="inlineStr">
        <is>
          <t>George</t>
        </is>
      </c>
      <c r="D59" s="66" t="inlineStr">
        <is>
          <t>M</t>
        </is>
      </c>
      <c r="E59" s="66" t="n"/>
      <c r="F59" s="66" t="inlineStr">
        <is>
          <t>N</t>
        </is>
      </c>
      <c r="G59" s="34" t="n">
        <v>74.59999999999999</v>
      </c>
      <c r="H59" s="34" t="n">
        <v>110.5</v>
      </c>
      <c r="I59" s="67">
        <f>IF(ISNUMBER(tblY11[[#This Row],[Avg KS2]]),IFERROR(VLOOKUP(ROUND(STANDARDIZE(tblY11[[#This Row],[Avg KS2]],AVERAGE(tblY11[[Avg KS2]]),_xlfn.STDEV.P(tblY11[[Avg KS2]])),9),_Stanine,2),5),"")</f>
        <v>7</v>
      </c>
      <c r="J59" s="66" t="inlineStr">
        <is>
          <t>11S/Sc3</t>
        </is>
      </c>
      <c r="K59" s="67">
        <f>IF(tblY11[[#This Row],[Preferred Last name]]="","",COUNTIFS($N$1:$ZZ$1,"*"&amp;CHAR(10)&amp;"Stanine",$N59:$ZZ59,"&gt;=1"))</f>
        <v>6</v>
      </c>
      <c r="L59" s="68">
        <f>IFERROR(AVERAGEIF($N$1:$ZZ$1,"*"&amp;CHAR(10)&amp;"Stanine",$N59:$ZZ59),"")</f>
        <v>6.16666666666667</v>
      </c>
      <c r="M59" s="69">
        <f>IF(AND(ISNUMBER(tblY11[[#This Row],[Mean Stanine]]),ISNUMBER(tblY11[[#This Row],[Avg KS2 Band]]),ISNUMBER(SlopeY11)),tblY11[[#This Row],[Mean Stanine]]-(InterceptY11+SlopeY11*tblY11[[#This Row],[Avg KS2 Band]]),"")</f>
        <v>-0.283759018759018</v>
      </c>
      <c r="N59" s="66" t="n">
        <v>29</v>
      </c>
      <c r="O59" s="67">
        <f>IF(ISNUMBER(tblY11[[#This Row],[4B05 - Homeostasis
Raw Score]]),IFERROR(VLOOKUP(ROUND(STANDARDIZE(tblY11[[#This Row],[4B05 - Homeostasis
Raw Score]],AVERAGE(tblY11[[4B05 - Homeostasis
Raw Score]]),_xlfn.STDEV.P(tblY11[[4B05 - Homeostasis
Raw Score]])),9),_Stanine,2),5),"")</f>
        <v>7</v>
      </c>
      <c r="P59" s="66" t="n">
        <v>16</v>
      </c>
      <c r="Q59" s="67">
        <f>IF(ISNUMBER(tblY11[[#This Row],[4C09 - Organic Chemistry
Raw Score]]),IFERROR(VLOOKUP(ROUND(STANDARDIZE(tblY11[[#This Row],[4C09 - Organic Chemistry
Raw Score]],AVERAGE(tblY11[[4C09 - Organic Chemistry
Raw Score]]),_xlfn.STDEV.P(tblY11[[4C09 - Organic Chemistry
Raw Score]])),9),_Stanine,2),5),"")</f>
        <v>5</v>
      </c>
      <c r="R59" s="66" t="n">
        <v>29</v>
      </c>
      <c r="S59" s="67">
        <f>IF(ISNUMBER(tblY11[[#This Row],[4P06 - Waves
Raw Score]]),IFERROR(VLOOKUP(ROUND(STANDARDIZE(tblY11[[#This Row],[4P06 - Waves
Raw Score]],AVERAGE(tblY11[[4P06 - Waves
Raw Score]]),_xlfn.STDEV.P(tblY11[[4P06 - Waves
Raw Score]])),9),_Stanine,2),5),"")</f>
        <v>7</v>
      </c>
      <c r="T59" s="66" t="n">
        <v>20</v>
      </c>
      <c r="U59" s="67">
        <f>IF(ISNUMBER(tblY11[[#This Row],[4B06 - Inheritance
Raw Score]]),IFERROR(VLOOKUP(ROUND(STANDARDIZE(tblY11[[#This Row],[4B06 - Inheritance
Raw Score]],AVERAGE(tblY11[[4B06 - Inheritance
Raw Score]]),_xlfn.STDEV.P(tblY11[[4B06 - Inheritance
Raw Score]])),9),_Stanine,2),5),"")</f>
        <v>5</v>
      </c>
      <c r="V59" s="66" t="n">
        <v>17</v>
      </c>
      <c r="W59" s="67">
        <f>IF(ISNUMBER(tblY11[[#This Row],[4C10 - Chemical Analysis
Raw Score]]),IFERROR(VLOOKUP(ROUND(STANDARDIZE(tblY11[[#This Row],[4C10 - Chemical Analysis
Raw Score]],AVERAGE(tblY11[[4C10 - Chemical Analysis
Raw Score]]),_xlfn.STDEV.P(tblY11[[4C10 - Chemical Analysis
Raw Score]])),9),_Stanine,2),5),"")</f>
        <v>6</v>
      </c>
      <c r="X59" s="66" t="n">
        <v>22</v>
      </c>
      <c r="Y59" s="67">
        <f>IF(ISNUMBER(tblY11[[#This Row],[4P07 - Magnetism
Raw Score]]),IFERROR(VLOOKUP(ROUND(STANDARDIZE(tblY11[[#This Row],[4P07 - Magnetism
Raw Score]],AVERAGE(tblY11[[4P07 - Magnetism
Raw Score]]),_xlfn.STDEV.P(tblY11[[4P07 - Magnetism
Raw Score]])),9),_Stanine,2),5),"")</f>
        <v>7</v>
      </c>
    </row>
    <row r="60">
      <c r="A60" s="65" t="inlineStr">
        <is>
          <t>X903457819127</t>
        </is>
      </c>
      <c r="B60" s="65" t="inlineStr">
        <is>
          <t>Jackson</t>
        </is>
      </c>
      <c r="C60" s="65" t="inlineStr">
        <is>
          <t>Ella</t>
        </is>
      </c>
      <c r="D60" s="66" t="inlineStr">
        <is>
          <t>F</t>
        </is>
      </c>
      <c r="E60" s="66" t="inlineStr">
        <is>
          <t>N</t>
        </is>
      </c>
      <c r="F60" s="66" t="inlineStr">
        <is>
          <t>Y</t>
        </is>
      </c>
      <c r="G60" s="34" t="n">
        <v>96.2</v>
      </c>
      <c r="H60" s="34" t="n">
        <v>113</v>
      </c>
      <c r="I60" s="67">
        <f>IF(ISNUMBER(tblY11[[#This Row],[Avg KS2]]),IFERROR(VLOOKUP(ROUND(STANDARDIZE(tblY11[[#This Row],[Avg KS2]],AVERAGE(tblY11[[Avg KS2]]),_xlfn.STDEV.P(tblY11[[Avg KS2]])),9),_Stanine,2),5),"")</f>
        <v>8</v>
      </c>
      <c r="J60" s="66" t="inlineStr">
        <is>
          <t>11S/Sc3</t>
        </is>
      </c>
      <c r="K60" s="67">
        <f>IF(tblY11[[#This Row],[Preferred Last name]]="","",COUNTIFS($N$1:$ZZ$1,"*"&amp;CHAR(10)&amp;"Stanine",$N60:$ZZ60,"&gt;=1"))</f>
        <v>6</v>
      </c>
      <c r="L60" s="68">
        <f>IFERROR(AVERAGEIF($N$1:$ZZ$1,"*"&amp;CHAR(10)&amp;"Stanine",$N60:$ZZ60),"")</f>
        <v>7.33333333333333</v>
      </c>
      <c r="M60" s="69">
        <f>IF(AND(ISNUMBER(tblY11[[#This Row],[Mean Stanine]]),ISNUMBER(tblY11[[#This Row],[Avg KS2 Band]]),ISNUMBER(SlopeY11)),tblY11[[#This Row],[Mean Stanine]]-(InterceptY11+SlopeY11*tblY11[[#This Row],[Avg KS2 Band]]),"")</f>
        <v>0.134044011544011</v>
      </c>
      <c r="N60" s="66" t="n">
        <v>29</v>
      </c>
      <c r="O60" s="67">
        <f>IF(ISNUMBER(tblY11[[#This Row],[4B05 - Homeostasis
Raw Score]]),IFERROR(VLOOKUP(ROUND(STANDARDIZE(tblY11[[#This Row],[4B05 - Homeostasis
Raw Score]],AVERAGE(tblY11[[4B05 - Homeostasis
Raw Score]]),_xlfn.STDEV.P(tblY11[[4B05 - Homeostasis
Raw Score]])),9),_Stanine,2),5),"")</f>
        <v>7</v>
      </c>
      <c r="P60" s="66" t="n">
        <v>25</v>
      </c>
      <c r="Q60" s="67">
        <f>IF(ISNUMBER(tblY11[[#This Row],[4C09 - Organic Chemistry
Raw Score]]),IFERROR(VLOOKUP(ROUND(STANDARDIZE(tblY11[[#This Row],[4C09 - Organic Chemistry
Raw Score]],AVERAGE(tblY11[[4C09 - Organic Chemistry
Raw Score]]),_xlfn.STDEV.P(tblY11[[4C09 - Organic Chemistry
Raw Score]])),9),_Stanine,2),5),"")</f>
        <v>7</v>
      </c>
      <c r="R60" s="66" t="n">
        <v>32</v>
      </c>
      <c r="S60" s="67">
        <f>IF(ISNUMBER(tblY11[[#This Row],[4P06 - Waves
Raw Score]]),IFERROR(VLOOKUP(ROUND(STANDARDIZE(tblY11[[#This Row],[4P06 - Waves
Raw Score]],AVERAGE(tblY11[[4P06 - Waves
Raw Score]]),_xlfn.STDEV.P(tblY11[[4P06 - Waves
Raw Score]])),9),_Stanine,2),5),"")</f>
        <v>8</v>
      </c>
      <c r="T60" s="66" t="n">
        <v>34</v>
      </c>
      <c r="U60" s="67">
        <f>IF(ISNUMBER(tblY11[[#This Row],[4B06 - Inheritance
Raw Score]]),IFERROR(VLOOKUP(ROUND(STANDARDIZE(tblY11[[#This Row],[4B06 - Inheritance
Raw Score]],AVERAGE(tblY11[[4B06 - Inheritance
Raw Score]]),_xlfn.STDEV.P(tblY11[[4B06 - Inheritance
Raw Score]])),9),_Stanine,2),5),"")</f>
        <v>8</v>
      </c>
      <c r="V60" s="66" t="n">
        <v>19</v>
      </c>
      <c r="W60" s="67">
        <f>IF(ISNUMBER(tblY11[[#This Row],[4C10 - Chemical Analysis
Raw Score]]),IFERROR(VLOOKUP(ROUND(STANDARDIZE(tblY11[[#This Row],[4C10 - Chemical Analysis
Raw Score]],AVERAGE(tblY11[[4C10 - Chemical Analysis
Raw Score]]),_xlfn.STDEV.P(tblY11[[4C10 - Chemical Analysis
Raw Score]])),9),_Stanine,2),5),"")</f>
        <v>6</v>
      </c>
      <c r="X60" s="66" t="n">
        <v>26</v>
      </c>
      <c r="Y60" s="67">
        <f>IF(ISNUMBER(tblY11[[#This Row],[4P07 - Magnetism
Raw Score]]),IFERROR(VLOOKUP(ROUND(STANDARDIZE(tblY11[[#This Row],[4P07 - Magnetism
Raw Score]],AVERAGE(tblY11[[4P07 - Magnetism
Raw Score]]),_xlfn.STDEV.P(tblY11[[4P07 - Magnetism
Raw Score]])),9),_Stanine,2),5),"")</f>
        <v>8</v>
      </c>
    </row>
    <row r="61">
      <c r="A61" s="65" t="inlineStr">
        <is>
          <t>X904618064567</t>
        </is>
      </c>
      <c r="B61" s="65" t="inlineStr">
        <is>
          <t>Jackson</t>
        </is>
      </c>
      <c r="C61" s="65" t="inlineStr">
        <is>
          <t>Theo</t>
        </is>
      </c>
      <c r="D61" s="66" t="inlineStr">
        <is>
          <t>M</t>
        </is>
      </c>
      <c r="E61" s="66" t="inlineStr">
        <is>
          <t>N</t>
        </is>
      </c>
      <c r="F61" s="66" t="inlineStr">
        <is>
          <t>Y</t>
        </is>
      </c>
      <c r="G61" s="34" t="n">
        <v>85.90000000000001</v>
      </c>
      <c r="H61" s="34" t="n">
        <v>108.5</v>
      </c>
      <c r="I61" s="67">
        <f>IF(ISNUMBER(tblY11[[#This Row],[Avg KS2]]),IFERROR(VLOOKUP(ROUND(STANDARDIZE(tblY11[[#This Row],[Avg KS2]],AVERAGE(tblY11[[Avg KS2]]),_xlfn.STDEV.P(tblY11[[Avg KS2]])),9),_Stanine,2),5),"")</f>
        <v>6</v>
      </c>
      <c r="J61" s="66" t="inlineStr">
        <is>
          <t>11S/Sc3</t>
        </is>
      </c>
      <c r="K61" s="67">
        <f>IF(tblY11[[#This Row],[Preferred Last name]]="","",COUNTIFS($N$1:$ZZ$1,"*"&amp;CHAR(10)&amp;"Stanine",$N61:$ZZ61,"&gt;=1"))</f>
        <v>6</v>
      </c>
      <c r="L61" s="68">
        <f>IFERROR(AVERAGEIF($N$1:$ZZ$1,"*"&amp;CHAR(10)&amp;"Stanine",$N61:$ZZ61),"")</f>
        <v>5.33333333333333</v>
      </c>
      <c r="M61" s="69">
        <f>IF(AND(ISNUMBER(tblY11[[#This Row],[Mean Stanine]]),ISNUMBER(tblY11[[#This Row],[Avg KS2 Band]]),ISNUMBER(SlopeY11)),tblY11[[#This Row],[Mean Stanine]]-(InterceptY11+SlopeY11*tblY11[[#This Row],[Avg KS2 Band]]),"")</f>
        <v>-0.368228715728716</v>
      </c>
      <c r="N61" s="66" t="n">
        <v>24</v>
      </c>
      <c r="O61" s="67">
        <f>IF(ISNUMBER(tblY11[[#This Row],[4B05 - Homeostasis
Raw Score]]),IFERROR(VLOOKUP(ROUND(STANDARDIZE(tblY11[[#This Row],[4B05 - Homeostasis
Raw Score]],AVERAGE(tblY11[[4B05 - Homeostasis
Raw Score]]),_xlfn.STDEV.P(tblY11[[4B05 - Homeostasis
Raw Score]])),9),_Stanine,2),5),"")</f>
        <v>6</v>
      </c>
      <c r="P61" s="66" t="n">
        <v>17</v>
      </c>
      <c r="Q61" s="67">
        <f>IF(ISNUMBER(tblY11[[#This Row],[4C09 - Organic Chemistry
Raw Score]]),IFERROR(VLOOKUP(ROUND(STANDARDIZE(tblY11[[#This Row],[4C09 - Organic Chemistry
Raw Score]],AVERAGE(tblY11[[4C09 - Organic Chemistry
Raw Score]]),_xlfn.STDEV.P(tblY11[[4C09 - Organic Chemistry
Raw Score]])),9),_Stanine,2),5),"")</f>
        <v>5</v>
      </c>
      <c r="R61" s="66" t="n">
        <v>22</v>
      </c>
      <c r="S61" s="67">
        <f>IF(ISNUMBER(tblY11[[#This Row],[4P06 - Waves
Raw Score]]),IFERROR(VLOOKUP(ROUND(STANDARDIZE(tblY11[[#This Row],[4P06 - Waves
Raw Score]],AVERAGE(tblY11[[4P06 - Waves
Raw Score]]),_xlfn.STDEV.P(tblY11[[4P06 - Waves
Raw Score]])),9),_Stanine,2),5),"")</f>
        <v>5</v>
      </c>
      <c r="T61" s="66" t="n">
        <v>22</v>
      </c>
      <c r="U61" s="67">
        <f>IF(ISNUMBER(tblY11[[#This Row],[4B06 - Inheritance
Raw Score]]),IFERROR(VLOOKUP(ROUND(STANDARDIZE(tblY11[[#This Row],[4B06 - Inheritance
Raw Score]],AVERAGE(tblY11[[4B06 - Inheritance
Raw Score]]),_xlfn.STDEV.P(tblY11[[4B06 - Inheritance
Raw Score]])),9),_Stanine,2),5),"")</f>
        <v>6</v>
      </c>
      <c r="V61" s="66" t="n">
        <v>15</v>
      </c>
      <c r="W61" s="67">
        <f>IF(ISNUMBER(tblY11[[#This Row],[4C10 - Chemical Analysis
Raw Score]]),IFERROR(VLOOKUP(ROUND(STANDARDIZE(tblY11[[#This Row],[4C10 - Chemical Analysis
Raw Score]],AVERAGE(tblY11[[4C10 - Chemical Analysis
Raw Score]]),_xlfn.STDEV.P(tblY11[[4C10 - Chemical Analysis
Raw Score]])),9),_Stanine,2),5),"")</f>
        <v>5</v>
      </c>
      <c r="X61" s="66" t="n">
        <v>14</v>
      </c>
      <c r="Y61" s="67">
        <f>IF(ISNUMBER(tblY11[[#This Row],[4P07 - Magnetism
Raw Score]]),IFERROR(VLOOKUP(ROUND(STANDARDIZE(tblY11[[#This Row],[4P07 - Magnetism
Raw Score]],AVERAGE(tblY11[[4P07 - Magnetism
Raw Score]]),_xlfn.STDEV.P(tblY11[[4P07 - Magnetism
Raw Score]])),9),_Stanine,2),5),"")</f>
        <v>5</v>
      </c>
    </row>
    <row r="62">
      <c r="A62" s="65" t="inlineStr">
        <is>
          <t>X905215869591</t>
        </is>
      </c>
      <c r="B62" s="65" t="inlineStr">
        <is>
          <t>Johnson</t>
        </is>
      </c>
      <c r="C62" s="65" t="inlineStr">
        <is>
          <t>Kai</t>
        </is>
      </c>
      <c r="D62" s="66" t="inlineStr">
        <is>
          <t>M</t>
        </is>
      </c>
      <c r="E62" s="66" t="n"/>
      <c r="F62" s="66" t="inlineStr">
        <is>
          <t>N</t>
        </is>
      </c>
      <c r="G62" s="34" t="n">
        <v>100</v>
      </c>
      <c r="H62" s="34" t="n">
        <v>106</v>
      </c>
      <c r="I62" s="67">
        <f>IF(ISNUMBER(tblY11[[#This Row],[Avg KS2]]),IFERROR(VLOOKUP(ROUND(STANDARDIZE(tblY11[[#This Row],[Avg KS2]],AVERAGE(tblY11[[Avg KS2]]),_xlfn.STDEV.P(tblY11[[Avg KS2]])),9),_Stanine,2),5),"")</f>
        <v>5</v>
      </c>
      <c r="J62" s="66" t="inlineStr">
        <is>
          <t>11S/Sc3</t>
        </is>
      </c>
      <c r="K62" s="67">
        <f>IF(tblY11[[#This Row],[Preferred Last name]]="","",COUNTIFS($N$1:$ZZ$1,"*"&amp;CHAR(10)&amp;"Stanine",$N62:$ZZ62,"&gt;=1"))</f>
        <v>6</v>
      </c>
      <c r="L62" s="68">
        <f>IFERROR(AVERAGEIF($N$1:$ZZ$1,"*"&amp;CHAR(10)&amp;"Stanine",$N62:$ZZ62),"")</f>
        <v>4.5</v>
      </c>
      <c r="M62" s="69">
        <f>IF(AND(ISNUMBER(tblY11[[#This Row],[Mean Stanine]]),ISNUMBER(tblY11[[#This Row],[Avg KS2 Band]]),ISNUMBER(SlopeY11)),tblY11[[#This Row],[Mean Stanine]]-(InterceptY11+SlopeY11*tblY11[[#This Row],[Avg KS2 Band]]),"")</f>
        <v>-0.452698412698412</v>
      </c>
      <c r="N62" s="66" t="n">
        <v>20</v>
      </c>
      <c r="O62" s="67">
        <f>IF(ISNUMBER(tblY11[[#This Row],[4B05 - Homeostasis
Raw Score]]),IFERROR(VLOOKUP(ROUND(STANDARDIZE(tblY11[[#This Row],[4B05 - Homeostasis
Raw Score]],AVERAGE(tblY11[[4B05 - Homeostasis
Raw Score]]),_xlfn.STDEV.P(tblY11[[4B05 - Homeostasis
Raw Score]])),9),_Stanine,2),5),"")</f>
        <v>5</v>
      </c>
      <c r="P62" s="66" t="n">
        <v>17</v>
      </c>
      <c r="Q62" s="67">
        <f>IF(ISNUMBER(tblY11[[#This Row],[4C09 - Organic Chemistry
Raw Score]]),IFERROR(VLOOKUP(ROUND(STANDARDIZE(tblY11[[#This Row],[4C09 - Organic Chemistry
Raw Score]],AVERAGE(tblY11[[4C09 - Organic Chemistry
Raw Score]]),_xlfn.STDEV.P(tblY11[[4C09 - Organic Chemistry
Raw Score]])),9),_Stanine,2),5),"")</f>
        <v>5</v>
      </c>
      <c r="R62" s="66" t="n">
        <v>21</v>
      </c>
      <c r="S62" s="67">
        <f>IF(ISNUMBER(tblY11[[#This Row],[4P06 - Waves
Raw Score]]),IFERROR(VLOOKUP(ROUND(STANDARDIZE(tblY11[[#This Row],[4P06 - Waves
Raw Score]],AVERAGE(tblY11[[4P06 - Waves
Raw Score]]),_xlfn.STDEV.P(tblY11[[4P06 - Waves
Raw Score]])),9),_Stanine,2),5),"")</f>
        <v>5</v>
      </c>
      <c r="T62" s="66" t="n">
        <v>14</v>
      </c>
      <c r="U62" s="67">
        <f>IF(ISNUMBER(tblY11[[#This Row],[4B06 - Inheritance
Raw Score]]),IFERROR(VLOOKUP(ROUND(STANDARDIZE(tblY11[[#This Row],[4B06 - Inheritance
Raw Score]],AVERAGE(tblY11[[4B06 - Inheritance
Raw Score]]),_xlfn.STDEV.P(tblY11[[4B06 - Inheritance
Raw Score]])),9),_Stanine,2),5),"")</f>
        <v>4</v>
      </c>
      <c r="V62" s="66" t="n">
        <v>9</v>
      </c>
      <c r="W62" s="67">
        <f>IF(ISNUMBER(tblY11[[#This Row],[4C10 - Chemical Analysis
Raw Score]]),IFERROR(VLOOKUP(ROUND(STANDARDIZE(tblY11[[#This Row],[4C10 - Chemical Analysis
Raw Score]],AVERAGE(tblY11[[4C10 - Chemical Analysis
Raw Score]]),_xlfn.STDEV.P(tblY11[[4C10 - Chemical Analysis
Raw Score]])),9),_Stanine,2),5),"")</f>
        <v>3</v>
      </c>
      <c r="X62" s="66" t="n">
        <v>16</v>
      </c>
      <c r="Y62" s="67">
        <f>IF(ISNUMBER(tblY11[[#This Row],[4P07 - Magnetism
Raw Score]]),IFERROR(VLOOKUP(ROUND(STANDARDIZE(tblY11[[#This Row],[4P07 - Magnetism
Raw Score]],AVERAGE(tblY11[[4P07 - Magnetism
Raw Score]]),_xlfn.STDEV.P(tblY11[[4P07 - Magnetism
Raw Score]])),9),_Stanine,2),5),"")</f>
        <v>5</v>
      </c>
    </row>
    <row r="63">
      <c r="A63" s="65" t="inlineStr">
        <is>
          <t>X907152404851</t>
        </is>
      </c>
      <c r="B63" s="65" t="inlineStr">
        <is>
          <t>Johnson</t>
        </is>
      </c>
      <c r="C63" s="65" t="inlineStr">
        <is>
          <t>Oscar</t>
        </is>
      </c>
      <c r="D63" s="66" t="inlineStr">
        <is>
          <t>M</t>
        </is>
      </c>
      <c r="E63" s="66" t="inlineStr">
        <is>
          <t>N</t>
        </is>
      </c>
      <c r="F63" s="66" t="inlineStr">
        <is>
          <t>N</t>
        </is>
      </c>
      <c r="G63" s="34" t="n">
        <v>99</v>
      </c>
      <c r="H63" s="34" t="n">
        <v>106</v>
      </c>
      <c r="I63" s="67">
        <f>IF(ISNUMBER(tblY11[[#This Row],[Avg KS2]]),IFERROR(VLOOKUP(ROUND(STANDARDIZE(tblY11[[#This Row],[Avg KS2]],AVERAGE(tblY11[[Avg KS2]]),_xlfn.STDEV.P(tblY11[[Avg KS2]])),9),_Stanine,2),5),"")</f>
        <v>5</v>
      </c>
      <c r="J63" s="66" t="inlineStr">
        <is>
          <t>11S/Sc3</t>
        </is>
      </c>
      <c r="K63" s="67">
        <f>IF(tblY11[[#This Row],[Preferred Last name]]="","",COUNTIFS($N$1:$ZZ$1,"*"&amp;CHAR(10)&amp;"Stanine",$N63:$ZZ63,"&gt;=1"))</f>
        <v>6</v>
      </c>
      <c r="L63" s="68">
        <f>IFERROR(AVERAGEIF($N$1:$ZZ$1,"*"&amp;CHAR(10)&amp;"Stanine",$N63:$ZZ63),"")</f>
        <v>4.66666666666667</v>
      </c>
      <c r="M63" s="69">
        <f>IF(AND(ISNUMBER(tblY11[[#This Row],[Mean Stanine]]),ISNUMBER(tblY11[[#This Row],[Avg KS2 Band]]),ISNUMBER(SlopeY11)),tblY11[[#This Row],[Mean Stanine]]-(InterceptY11+SlopeY11*tblY11[[#This Row],[Avg KS2 Band]]),"")</f>
        <v>-0.286031746031745</v>
      </c>
      <c r="N63" s="66" t="n">
        <v>21</v>
      </c>
      <c r="O63" s="67">
        <f>IF(ISNUMBER(tblY11[[#This Row],[4B05 - Homeostasis
Raw Score]]),IFERROR(VLOOKUP(ROUND(STANDARDIZE(tblY11[[#This Row],[4B05 - Homeostasis
Raw Score]],AVERAGE(tblY11[[4B05 - Homeostasis
Raw Score]]),_xlfn.STDEV.P(tblY11[[4B05 - Homeostasis
Raw Score]])),9),_Stanine,2),5),"")</f>
        <v>5</v>
      </c>
      <c r="P63" s="66" t="n">
        <v>17</v>
      </c>
      <c r="Q63" s="67">
        <f>IF(ISNUMBER(tblY11[[#This Row],[4C09 - Organic Chemistry
Raw Score]]),IFERROR(VLOOKUP(ROUND(STANDARDIZE(tblY11[[#This Row],[4C09 - Organic Chemistry
Raw Score]],AVERAGE(tblY11[[4C09 - Organic Chemistry
Raw Score]]),_xlfn.STDEV.P(tblY11[[4C09 - Organic Chemistry
Raw Score]])),9),_Stanine,2),5),"")</f>
        <v>5</v>
      </c>
      <c r="R63" s="66" t="n">
        <v>22</v>
      </c>
      <c r="S63" s="67">
        <f>IF(ISNUMBER(tblY11[[#This Row],[4P06 - Waves
Raw Score]]),IFERROR(VLOOKUP(ROUND(STANDARDIZE(tblY11[[#This Row],[4P06 - Waves
Raw Score]],AVERAGE(tblY11[[4P06 - Waves
Raw Score]]),_xlfn.STDEV.P(tblY11[[4P06 - Waves
Raw Score]])),9),_Stanine,2),5),"")</f>
        <v>5</v>
      </c>
      <c r="T63" s="66" t="n">
        <v>17</v>
      </c>
      <c r="U63" s="67">
        <f>IF(ISNUMBER(tblY11[[#This Row],[4B06 - Inheritance
Raw Score]]),IFERROR(VLOOKUP(ROUND(STANDARDIZE(tblY11[[#This Row],[4B06 - Inheritance
Raw Score]],AVERAGE(tblY11[[4B06 - Inheritance
Raw Score]]),_xlfn.STDEV.P(tblY11[[4B06 - Inheritance
Raw Score]])),9),_Stanine,2),5),"")</f>
        <v>5</v>
      </c>
      <c r="V63" s="66" t="n">
        <v>13</v>
      </c>
      <c r="W63" s="67">
        <f>IF(ISNUMBER(tblY11[[#This Row],[4C10 - Chemical Analysis
Raw Score]]),IFERROR(VLOOKUP(ROUND(STANDARDIZE(tblY11[[#This Row],[4C10 - Chemical Analysis
Raw Score]],AVERAGE(tblY11[[4C10 - Chemical Analysis
Raw Score]]),_xlfn.STDEV.P(tblY11[[4C10 - Chemical Analysis
Raw Score]])),9),_Stanine,2),5),"")</f>
        <v>5</v>
      </c>
      <c r="X63" s="66" t="n">
        <v>10</v>
      </c>
      <c r="Y63" s="67">
        <f>IF(ISNUMBER(tblY11[[#This Row],[4P07 - Magnetism
Raw Score]]),IFERROR(VLOOKUP(ROUND(STANDARDIZE(tblY11[[#This Row],[4P07 - Magnetism
Raw Score]],AVERAGE(tblY11[[4P07 - Magnetism
Raw Score]]),_xlfn.STDEV.P(tblY11[[4P07 - Magnetism
Raw Score]])),9),_Stanine,2),5),"")</f>
        <v>3</v>
      </c>
    </row>
    <row r="64">
      <c r="A64" s="65" t="inlineStr">
        <is>
          <t>X902311754431</t>
        </is>
      </c>
      <c r="B64" s="65" t="inlineStr">
        <is>
          <t>Kelly</t>
        </is>
      </c>
      <c r="C64" s="65" t="inlineStr">
        <is>
          <t>Niamh</t>
        </is>
      </c>
      <c r="D64" s="66" t="inlineStr">
        <is>
          <t>F</t>
        </is>
      </c>
      <c r="E64" s="66" t="inlineStr">
        <is>
          <t>E</t>
        </is>
      </c>
      <c r="F64" s="66" t="inlineStr">
        <is>
          <t>N</t>
        </is>
      </c>
      <c r="G64" s="34" t="n">
        <v>89.09999999999999</v>
      </c>
      <c r="H64" s="34" t="n">
        <v>113</v>
      </c>
      <c r="I64" s="67">
        <f>IF(ISNUMBER(tblY11[[#This Row],[Avg KS2]]),IFERROR(VLOOKUP(ROUND(STANDARDIZE(tblY11[[#This Row],[Avg KS2]],AVERAGE(tblY11[[Avg KS2]]),_xlfn.STDEV.P(tblY11[[Avg KS2]])),9),_Stanine,2),5),"")</f>
        <v>8</v>
      </c>
      <c r="J64" s="66" t="inlineStr">
        <is>
          <t>11S/Sc3</t>
        </is>
      </c>
      <c r="K64" s="67">
        <f>IF(tblY11[[#This Row],[Preferred Last name]]="","",COUNTIFS($N$1:$ZZ$1,"*"&amp;CHAR(10)&amp;"Stanine",$N64:$ZZ64,"&gt;=1"))</f>
        <v>5</v>
      </c>
      <c r="L64" s="68">
        <f>IFERROR(AVERAGEIF($N$1:$ZZ$1,"*"&amp;CHAR(10)&amp;"Stanine",$N64:$ZZ64),"")</f>
        <v>5.6</v>
      </c>
      <c r="M64" s="69">
        <f>IF(AND(ISNUMBER(tblY11[[#This Row],[Mean Stanine]]),ISNUMBER(tblY11[[#This Row],[Avg KS2 Band]]),ISNUMBER(SlopeY11)),tblY11[[#This Row],[Mean Stanine]]-(InterceptY11+SlopeY11*tblY11[[#This Row],[Avg KS2 Band]]),"")</f>
        <v>-1.59928932178932</v>
      </c>
      <c r="N64" s="66" t="n">
        <v>23</v>
      </c>
      <c r="O64" s="67">
        <f>IF(ISNUMBER(tblY11[[#This Row],[4B05 - Homeostasis
Raw Score]]),IFERROR(VLOOKUP(ROUND(STANDARDIZE(tblY11[[#This Row],[4B05 - Homeostasis
Raw Score]],AVERAGE(tblY11[[4B05 - Homeostasis
Raw Score]]),_xlfn.STDEV.P(tblY11[[4B05 - Homeostasis
Raw Score]])),9),_Stanine,2),5),"")</f>
        <v>6</v>
      </c>
      <c r="P64" s="66" t="n">
        <v>18</v>
      </c>
      <c r="Q64" s="67">
        <f>IF(ISNUMBER(tblY11[[#This Row],[4C09 - Organic Chemistry
Raw Score]]),IFERROR(VLOOKUP(ROUND(STANDARDIZE(tblY11[[#This Row],[4C09 - Organic Chemistry
Raw Score]],AVERAGE(tblY11[[4C09 - Organic Chemistry
Raw Score]]),_xlfn.STDEV.P(tblY11[[4C09 - Organic Chemistry
Raw Score]])),9),_Stanine,2),5),"")</f>
        <v>5</v>
      </c>
      <c r="R64" s="66" t="n">
        <v>23</v>
      </c>
      <c r="S64" s="67">
        <f>IF(ISNUMBER(tblY11[[#This Row],[4P06 - Waves
Raw Score]]),IFERROR(VLOOKUP(ROUND(STANDARDIZE(tblY11[[#This Row],[4P06 - Waves
Raw Score]],AVERAGE(tblY11[[4P06 - Waves
Raw Score]]),_xlfn.STDEV.P(tblY11[[4P06 - Waves
Raw Score]])),9),_Stanine,2),5),"")</f>
        <v>5</v>
      </c>
      <c r="T64" s="66" t="n">
        <v>21</v>
      </c>
      <c r="U64" s="67">
        <f>IF(ISNUMBER(tblY11[[#This Row],[4B06 - Inheritance
Raw Score]]),IFERROR(VLOOKUP(ROUND(STANDARDIZE(tblY11[[#This Row],[4B06 - Inheritance
Raw Score]],AVERAGE(tblY11[[4B06 - Inheritance
Raw Score]]),_xlfn.STDEV.P(tblY11[[4B06 - Inheritance
Raw Score]])),9),_Stanine,2),5),"")</f>
        <v>5</v>
      </c>
      <c r="V64" s="66" t="n">
        <v>20</v>
      </c>
      <c r="W64" s="67">
        <f>IF(ISNUMBER(tblY11[[#This Row],[4C10 - Chemical Analysis
Raw Score]]),IFERROR(VLOOKUP(ROUND(STANDARDIZE(tblY11[[#This Row],[4C10 - Chemical Analysis
Raw Score]],AVERAGE(tblY11[[4C10 - Chemical Analysis
Raw Score]]),_xlfn.STDEV.P(tblY11[[4C10 - Chemical Analysis
Raw Score]])),9),_Stanine,2),5),"")</f>
        <v>7</v>
      </c>
      <c r="X64" s="66" t="inlineStr">
        <is>
          <t>A</t>
        </is>
      </c>
      <c r="Y64" s="67" t="str">
        <f>IF(ISNUMBER(tblY11[[#This Row],[4P07 - Magnetism
Raw Score]]),IFERROR(VLOOKUP(ROUND(STANDARDIZE(tblY11[[#This Row],[4P07 - Magnetism
Raw Score]],AVERAGE(tblY11[[4P07 - Magnetism
Raw Score]]),_xlfn.STDEV.P(tblY11[[4P07 - Magnetism
Raw Score]])),9),_Stanine,2),5),"")</f>
        <v/>
      </c>
    </row>
    <row r="65">
      <c r="A65" s="65" t="inlineStr">
        <is>
          <t>X905004835111</t>
        </is>
      </c>
      <c r="B65" s="65" t="inlineStr">
        <is>
          <t>Khan</t>
        </is>
      </c>
      <c r="C65" s="65" t="inlineStr">
        <is>
          <t>Megan</t>
        </is>
      </c>
      <c r="D65" s="66" t="inlineStr">
        <is>
          <t>F</t>
        </is>
      </c>
      <c r="E65" s="66" t="inlineStr">
        <is>
          <t>N</t>
        </is>
      </c>
      <c r="F65" s="66" t="inlineStr">
        <is>
          <t>Y</t>
        </is>
      </c>
      <c r="G65" s="34" t="n">
        <v>100</v>
      </c>
      <c r="H65" s="34" t="n">
        <v>115</v>
      </c>
      <c r="I65" s="67">
        <f>IF(ISNUMBER(tblY11[[#This Row],[Avg KS2]]),IFERROR(VLOOKUP(ROUND(STANDARDIZE(tblY11[[#This Row],[Avg KS2]],AVERAGE(tblY11[[Avg KS2]]),_xlfn.STDEV.P(tblY11[[Avg KS2]])),9),_Stanine,2),5),"")</f>
        <v>8</v>
      </c>
      <c r="J65" s="66" t="inlineStr">
        <is>
          <t>11S/Sc3</t>
        </is>
      </c>
      <c r="K65" s="67">
        <f>IF(tblY11[[#This Row],[Preferred Last name]]="","",COUNTIFS($N$1:$ZZ$1,"*"&amp;CHAR(10)&amp;"Stanine",$N65:$ZZ65,"&gt;=1"))</f>
        <v>6</v>
      </c>
      <c r="L65" s="68">
        <f>IFERROR(AVERAGEIF($N$1:$ZZ$1,"*"&amp;CHAR(10)&amp;"Stanine",$N65:$ZZ65),"")</f>
        <v>7.83333333333333</v>
      </c>
      <c r="M65" s="69">
        <f>IF(AND(ISNUMBER(tblY11[[#This Row],[Mean Stanine]]),ISNUMBER(tblY11[[#This Row],[Avg KS2 Band]]),ISNUMBER(SlopeY11)),tblY11[[#This Row],[Mean Stanine]]-(InterceptY11+SlopeY11*tblY11[[#This Row],[Avg KS2 Band]]),"")</f>
        <v>0.634044011544011</v>
      </c>
      <c r="N65" s="66" t="n">
        <v>29</v>
      </c>
      <c r="O65" s="67">
        <f>IF(ISNUMBER(tblY11[[#This Row],[4B05 - Homeostasis
Raw Score]]),IFERROR(VLOOKUP(ROUND(STANDARDIZE(tblY11[[#This Row],[4B05 - Homeostasis
Raw Score]],AVERAGE(tblY11[[4B05 - Homeostasis
Raw Score]]),_xlfn.STDEV.P(tblY11[[4B05 - Homeostasis
Raw Score]])),9),_Stanine,2),5),"")</f>
        <v>7</v>
      </c>
      <c r="P65" s="66" t="n">
        <v>29</v>
      </c>
      <c r="Q65" s="67">
        <f>IF(ISNUMBER(tblY11[[#This Row],[4C09 - Organic Chemistry
Raw Score]]),IFERROR(VLOOKUP(ROUND(STANDARDIZE(tblY11[[#This Row],[4C09 - Organic Chemistry
Raw Score]],AVERAGE(tblY11[[4C09 - Organic Chemistry
Raw Score]]),_xlfn.STDEV.P(tblY11[[4C09 - Organic Chemistry
Raw Score]])),9),_Stanine,2),5),"")</f>
        <v>8</v>
      </c>
      <c r="R65" s="66" t="n">
        <v>36</v>
      </c>
      <c r="S65" s="67">
        <f>IF(ISNUMBER(tblY11[[#This Row],[4P06 - Waves
Raw Score]]),IFERROR(VLOOKUP(ROUND(STANDARDIZE(tblY11[[#This Row],[4P06 - Waves
Raw Score]],AVERAGE(tblY11[[4P06 - Waves
Raw Score]]),_xlfn.STDEV.P(tblY11[[4P06 - Waves
Raw Score]])),9),_Stanine,2),5),"")</f>
        <v>9</v>
      </c>
      <c r="T65" s="66" t="n">
        <v>31</v>
      </c>
      <c r="U65" s="67">
        <f>IF(ISNUMBER(tblY11[[#This Row],[4B06 - Inheritance
Raw Score]]),IFERROR(VLOOKUP(ROUND(STANDARDIZE(tblY11[[#This Row],[4B06 - Inheritance
Raw Score]],AVERAGE(tblY11[[4B06 - Inheritance
Raw Score]]),_xlfn.STDEV.P(tblY11[[4B06 - Inheritance
Raw Score]])),9),_Stanine,2),5),"")</f>
        <v>8</v>
      </c>
      <c r="V65" s="66" t="n">
        <v>23</v>
      </c>
      <c r="W65" s="67">
        <f>IF(ISNUMBER(tblY11[[#This Row],[4C10 - Chemical Analysis
Raw Score]]),IFERROR(VLOOKUP(ROUND(STANDARDIZE(tblY11[[#This Row],[4C10 - Chemical Analysis
Raw Score]],AVERAGE(tblY11[[4C10 - Chemical Analysis
Raw Score]]),_xlfn.STDEV.P(tblY11[[4C10 - Chemical Analysis
Raw Score]])),9),_Stanine,2),5),"")</f>
        <v>8</v>
      </c>
      <c r="X65" s="66" t="n">
        <v>24</v>
      </c>
      <c r="Y65" s="67">
        <f>IF(ISNUMBER(tblY11[[#This Row],[4P07 - Magnetism
Raw Score]]),IFERROR(VLOOKUP(ROUND(STANDARDIZE(tblY11[[#This Row],[4P07 - Magnetism
Raw Score]],AVERAGE(tblY11[[4P07 - Magnetism
Raw Score]]),_xlfn.STDEV.P(tblY11[[4P07 - Magnetism
Raw Score]])),9),_Stanine,2),5),"")</f>
        <v>7</v>
      </c>
    </row>
    <row r="66">
      <c r="A66" s="65" t="inlineStr">
        <is>
          <t>X902318940368</t>
        </is>
      </c>
      <c r="B66" s="65" t="inlineStr">
        <is>
          <t>Mistry</t>
        </is>
      </c>
      <c r="C66" s="65" t="inlineStr">
        <is>
          <t>Jacob</t>
        </is>
      </c>
      <c r="D66" s="66" t="inlineStr">
        <is>
          <t>M</t>
        </is>
      </c>
      <c r="E66" s="66" t="inlineStr">
        <is>
          <t>N</t>
        </is>
      </c>
      <c r="F66" s="66" t="inlineStr">
        <is>
          <t>N</t>
        </is>
      </c>
      <c r="G66" s="34" t="n">
        <v>100</v>
      </c>
      <c r="H66" s="34" t="n">
        <v>95</v>
      </c>
      <c r="I66" s="67">
        <f>IF(ISNUMBER(tblY11[[#This Row],[Avg KS2]]),IFERROR(VLOOKUP(ROUND(STANDARDIZE(tblY11[[#This Row],[Avg KS2]],AVERAGE(tblY11[[Avg KS2]]),_xlfn.STDEV.P(tblY11[[Avg KS2]])),9),_Stanine,2),5),"")</f>
        <v>2</v>
      </c>
      <c r="J66" s="66" t="inlineStr">
        <is>
          <t>11S/Sc3</t>
        </is>
      </c>
      <c r="K66" s="67">
        <f>IF(tblY11[[#This Row],[Preferred Last name]]="","",COUNTIFS($N$1:$ZZ$1,"*"&amp;CHAR(10)&amp;"Stanine",$N66:$ZZ66,"&gt;=1"))</f>
        <v>5</v>
      </c>
      <c r="L66" s="68">
        <f>IFERROR(AVERAGEIF($N$1:$ZZ$1,"*"&amp;CHAR(10)&amp;"Stanine",$N66:$ZZ66),"")</f>
        <v>4.2</v>
      </c>
      <c r="M66" s="69">
        <f>IF(AND(ISNUMBER(tblY11[[#This Row],[Mean Stanine]]),ISNUMBER(tblY11[[#This Row],[Avg KS2 Band]]),ISNUMBER(SlopeY11)),tblY11[[#This Row],[Mean Stanine]]-(InterceptY11+SlopeY11*tblY11[[#This Row],[Avg KS2 Band]]),"")</f>
        <v>1.4938924963925</v>
      </c>
      <c r="N66" s="66" t="n">
        <v>16</v>
      </c>
      <c r="O66" s="67">
        <f>IF(ISNUMBER(tblY11[[#This Row],[4B05 - Homeostasis
Raw Score]]),IFERROR(VLOOKUP(ROUND(STANDARDIZE(tblY11[[#This Row],[4B05 - Homeostasis
Raw Score]],AVERAGE(tblY11[[4B05 - Homeostasis
Raw Score]]),_xlfn.STDEV.P(tblY11[[4B05 - Homeostasis
Raw Score]])),9),_Stanine,2),5),"")</f>
        <v>4</v>
      </c>
      <c r="P66" s="66" t="inlineStr">
        <is>
          <t>A</t>
        </is>
      </c>
      <c r="Q66" s="67" t="str">
        <f>IF(ISNUMBER(tblY11[[#This Row],[4C09 - Organic Chemistry
Raw Score]]),IFERROR(VLOOKUP(ROUND(STANDARDIZE(tblY11[[#This Row],[4C09 - Organic Chemistry
Raw Score]],AVERAGE(tblY11[[4C09 - Organic Chemistry
Raw Score]]),_xlfn.STDEV.P(tblY11[[4C09 - Organic Chemistry
Raw Score]])),9),_Stanine,2),5),"")</f>
        <v/>
      </c>
      <c r="R66" s="66" t="n">
        <v>16</v>
      </c>
      <c r="S66" s="67">
        <f>IF(ISNUMBER(tblY11[[#This Row],[4P06 - Waves
Raw Score]]),IFERROR(VLOOKUP(ROUND(STANDARDIZE(tblY11[[#This Row],[4P06 - Waves
Raw Score]],AVERAGE(tblY11[[4P06 - Waves
Raw Score]]),_xlfn.STDEV.P(tblY11[[4P06 - Waves
Raw Score]])),9),_Stanine,2),5),"")</f>
        <v>4</v>
      </c>
      <c r="T66" s="66" t="n">
        <v>15</v>
      </c>
      <c r="U66" s="67">
        <f>IF(ISNUMBER(tblY11[[#This Row],[4B06 - Inheritance
Raw Score]]),IFERROR(VLOOKUP(ROUND(STANDARDIZE(tblY11[[#This Row],[4B06 - Inheritance
Raw Score]],AVERAGE(tblY11[[4B06 - Inheritance
Raw Score]]),_xlfn.STDEV.P(tblY11[[4B06 - Inheritance
Raw Score]])),9),_Stanine,2),5),"")</f>
        <v>4</v>
      </c>
      <c r="V66" s="66" t="n">
        <v>14</v>
      </c>
      <c r="W66" s="67">
        <f>IF(ISNUMBER(tblY11[[#This Row],[4C10 - Chemical Analysis
Raw Score]]),IFERROR(VLOOKUP(ROUND(STANDARDIZE(tblY11[[#This Row],[4C10 - Chemical Analysis
Raw Score]],AVERAGE(tblY11[[4C10 - Chemical Analysis
Raw Score]]),_xlfn.STDEV.P(tblY11[[4C10 - Chemical Analysis
Raw Score]])),9),_Stanine,2),5),"")</f>
        <v>5</v>
      </c>
      <c r="X66" s="66" t="n">
        <v>12</v>
      </c>
      <c r="Y66" s="67">
        <f>IF(ISNUMBER(tblY11[[#This Row],[4P07 - Magnetism
Raw Score]]),IFERROR(VLOOKUP(ROUND(STANDARDIZE(tblY11[[#This Row],[4P07 - Magnetism
Raw Score]],AVERAGE(tblY11[[4P07 - Magnetism
Raw Score]]),_xlfn.STDEV.P(tblY11[[4P07 - Magnetism
Raw Score]])),9),_Stanine,2),5),"")</f>
        <v>4</v>
      </c>
    </row>
    <row r="67">
      <c r="A67" s="65" t="inlineStr">
        <is>
          <t>X900407591009</t>
        </is>
      </c>
      <c r="B67" s="65" t="inlineStr">
        <is>
          <t>Mistry</t>
        </is>
      </c>
      <c r="C67" s="65" t="inlineStr">
        <is>
          <t>Lewis</t>
        </is>
      </c>
      <c r="D67" s="66" t="inlineStr">
        <is>
          <t>M</t>
        </is>
      </c>
      <c r="E67" s="66" t="inlineStr">
        <is>
          <t>K</t>
        </is>
      </c>
      <c r="F67" s="66" t="inlineStr">
        <is>
          <t>N</t>
        </is>
      </c>
      <c r="G67" s="34" t="n">
        <v>93.90000000000001</v>
      </c>
      <c r="H67" s="34" t="n">
        <v>93</v>
      </c>
      <c r="I67" s="67">
        <f>IF(ISNUMBER(tblY11[[#This Row],[Avg KS2]]),IFERROR(VLOOKUP(ROUND(STANDARDIZE(tblY11[[#This Row],[Avg KS2]],AVERAGE(tblY11[[Avg KS2]]),_xlfn.STDEV.P(tblY11[[Avg KS2]])),9),_Stanine,2),5),"")</f>
        <v>1</v>
      </c>
      <c r="J67" s="66" t="inlineStr">
        <is>
          <t>11S/Sc3</t>
        </is>
      </c>
      <c r="K67" s="67">
        <f>IF(tblY11[[#This Row],[Preferred Last name]]="","",COUNTIFS($N$1:$ZZ$1,"*"&amp;CHAR(10)&amp;"Stanine",$N67:$ZZ67,"&gt;=1"))</f>
        <v>6</v>
      </c>
      <c r="L67" s="68">
        <f>IFERROR(AVERAGEIF($N$1:$ZZ$1,"*"&amp;CHAR(10)&amp;"Stanine",$N67:$ZZ67),"")</f>
        <v>1.33333333333333</v>
      </c>
      <c r="M67" s="69">
        <f>IF(AND(ISNUMBER(tblY11[[#This Row],[Mean Stanine]]),ISNUMBER(tblY11[[#This Row],[Avg KS2 Band]]),ISNUMBER(SlopeY11)),tblY11[[#This Row],[Mean Stanine]]-(InterceptY11+SlopeY11*tblY11[[#This Row],[Avg KS2 Band]]),"")</f>
        <v>-0.623910533910533</v>
      </c>
      <c r="N67" s="66" t="n">
        <v>8</v>
      </c>
      <c r="O67" s="67">
        <f>IF(ISNUMBER(tblY11[[#This Row],[4B05 - Homeostasis
Raw Score]]),IFERROR(VLOOKUP(ROUND(STANDARDIZE(tblY11[[#This Row],[4B05 - Homeostasis
Raw Score]],AVERAGE(tblY11[[4B05 - Homeostasis
Raw Score]]),_xlfn.STDEV.P(tblY11[[4B05 - Homeostasis
Raw Score]])),9),_Stanine,2),5),"")</f>
        <v>2</v>
      </c>
      <c r="P67" s="66" t="n">
        <v>3</v>
      </c>
      <c r="Q67" s="67">
        <f>IF(ISNUMBER(tblY11[[#This Row],[4C09 - Organic Chemistry
Raw Score]]),IFERROR(VLOOKUP(ROUND(STANDARDIZE(tblY11[[#This Row],[4C09 - Organic Chemistry
Raw Score]],AVERAGE(tblY11[[4C09 - Organic Chemistry
Raw Score]]),_xlfn.STDEV.P(tblY11[[4C09 - Organic Chemistry
Raw Score]])),9),_Stanine,2),5),"")</f>
        <v>1</v>
      </c>
      <c r="R67" s="66" t="n">
        <v>6</v>
      </c>
      <c r="S67" s="67">
        <f>IF(ISNUMBER(tblY11[[#This Row],[4P06 - Waves
Raw Score]]),IFERROR(VLOOKUP(ROUND(STANDARDIZE(tblY11[[#This Row],[4P06 - Waves
Raw Score]],AVERAGE(tblY11[[4P06 - Waves
Raw Score]]),_xlfn.STDEV.P(tblY11[[4P06 - Waves
Raw Score]])),9),_Stanine,2),5),"")</f>
        <v>1</v>
      </c>
      <c r="T67" s="66" t="n">
        <v>2</v>
      </c>
      <c r="U67" s="67">
        <f>IF(ISNUMBER(tblY11[[#This Row],[4B06 - Inheritance
Raw Score]]),IFERROR(VLOOKUP(ROUND(STANDARDIZE(tblY11[[#This Row],[4B06 - Inheritance
Raw Score]],AVERAGE(tblY11[[4B06 - Inheritance
Raw Score]]),_xlfn.STDEV.P(tblY11[[4B06 - Inheritance
Raw Score]])),9),_Stanine,2),5),"")</f>
        <v>1</v>
      </c>
      <c r="V67" s="66" t="n">
        <v>3</v>
      </c>
      <c r="W67" s="67">
        <f>IF(ISNUMBER(tblY11[[#This Row],[4C10 - Chemical Analysis
Raw Score]]),IFERROR(VLOOKUP(ROUND(STANDARDIZE(tblY11[[#This Row],[4C10 - Chemical Analysis
Raw Score]],AVERAGE(tblY11[[4C10 - Chemical Analysis
Raw Score]]),_xlfn.STDEV.P(tblY11[[4C10 - Chemical Analysis
Raw Score]])),9),_Stanine,2),5),"")</f>
        <v>1</v>
      </c>
      <c r="X67" s="66" t="n">
        <v>5</v>
      </c>
      <c r="Y67" s="67">
        <f>IF(ISNUMBER(tblY11[[#This Row],[4P07 - Magnetism
Raw Score]]),IFERROR(VLOOKUP(ROUND(STANDARDIZE(tblY11[[#This Row],[4P07 - Magnetism
Raw Score]],AVERAGE(tblY11[[4P07 - Magnetism
Raw Score]]),_xlfn.STDEV.P(tblY11[[4P07 - Magnetism
Raw Score]])),9),_Stanine,2),5),"")</f>
        <v>2</v>
      </c>
    </row>
    <row r="68">
      <c r="A68" s="65" t="inlineStr">
        <is>
          <t>X909149640537</t>
        </is>
      </c>
      <c r="B68" s="65" t="inlineStr">
        <is>
          <t>Murphy</t>
        </is>
      </c>
      <c r="C68" s="65" t="inlineStr">
        <is>
          <t>Muhammad</t>
        </is>
      </c>
      <c r="D68" s="66" t="inlineStr">
        <is>
          <t>M</t>
        </is>
      </c>
      <c r="E68" s="66" t="inlineStr">
        <is>
          <t>K</t>
        </is>
      </c>
      <c r="F68" s="66" t="inlineStr">
        <is>
          <t>Y</t>
        </is>
      </c>
      <c r="G68" s="34" t="n">
        <v>88.09999999999999</v>
      </c>
      <c r="H68" s="34" t="n">
        <v>94.5</v>
      </c>
      <c r="I68" s="67">
        <f>IF(ISNUMBER(tblY11[[#This Row],[Avg KS2]]),IFERROR(VLOOKUP(ROUND(STANDARDIZE(tblY11[[#This Row],[Avg KS2]],AVERAGE(tblY11[[Avg KS2]]),_xlfn.STDEV.P(tblY11[[Avg KS2]])),9),_Stanine,2),5),"")</f>
        <v>2</v>
      </c>
      <c r="J68" s="66" t="inlineStr">
        <is>
          <t>11S/Sc3</t>
        </is>
      </c>
      <c r="K68" s="67">
        <f>IF(tblY11[[#This Row],[Preferred Last name]]="","",COUNTIFS($N$1:$ZZ$1,"*"&amp;CHAR(10)&amp;"Stanine",$N68:$ZZ68,"&gt;=1"))</f>
        <v>6</v>
      </c>
      <c r="L68" s="68">
        <f>IFERROR(AVERAGEIF($N$1:$ZZ$1,"*"&amp;CHAR(10)&amp;"Stanine",$N68:$ZZ68),"")</f>
        <v>1.66666666666667</v>
      </c>
      <c r="M68" s="69">
        <f>IF(AND(ISNUMBER(tblY11[[#This Row],[Mean Stanine]]),ISNUMBER(tblY11[[#This Row],[Avg KS2 Band]]),ISNUMBER(SlopeY11)),tblY11[[#This Row],[Mean Stanine]]-(InterceptY11+SlopeY11*tblY11[[#This Row],[Avg KS2 Band]]),"")</f>
        <v>-1.03944083694084</v>
      </c>
      <c r="N68" s="66" t="n">
        <v>8</v>
      </c>
      <c r="O68" s="67">
        <f>IF(ISNUMBER(tblY11[[#This Row],[4B05 - Homeostasis
Raw Score]]),IFERROR(VLOOKUP(ROUND(STANDARDIZE(tblY11[[#This Row],[4B05 - Homeostasis
Raw Score]],AVERAGE(tblY11[[4B05 - Homeostasis
Raw Score]]),_xlfn.STDEV.P(tblY11[[4B05 - Homeostasis
Raw Score]])),9),_Stanine,2),5),"")</f>
        <v>2</v>
      </c>
      <c r="P68" s="66" t="n">
        <v>3</v>
      </c>
      <c r="Q68" s="67">
        <f>IF(ISNUMBER(tblY11[[#This Row],[4C09 - Organic Chemistry
Raw Score]]),IFERROR(VLOOKUP(ROUND(STANDARDIZE(tblY11[[#This Row],[4C09 - Organic Chemistry
Raw Score]],AVERAGE(tblY11[[4C09 - Organic Chemistry
Raw Score]]),_xlfn.STDEV.P(tblY11[[4C09 - Organic Chemistry
Raw Score]])),9),_Stanine,2),5),"")</f>
        <v>1</v>
      </c>
      <c r="R68" s="66" t="n">
        <v>6</v>
      </c>
      <c r="S68" s="67">
        <f>IF(ISNUMBER(tblY11[[#This Row],[4P06 - Waves
Raw Score]]),IFERROR(VLOOKUP(ROUND(STANDARDIZE(tblY11[[#This Row],[4P06 - Waves
Raw Score]],AVERAGE(tblY11[[4P06 - Waves
Raw Score]]),_xlfn.STDEV.P(tblY11[[4P06 - Waves
Raw Score]])),9),_Stanine,2),5),"")</f>
        <v>1</v>
      </c>
      <c r="T68" s="66" t="n">
        <v>5</v>
      </c>
      <c r="U68" s="67">
        <f>IF(ISNUMBER(tblY11[[#This Row],[4B06 - Inheritance
Raw Score]]),IFERROR(VLOOKUP(ROUND(STANDARDIZE(tblY11[[#This Row],[4B06 - Inheritance
Raw Score]],AVERAGE(tblY11[[4B06 - Inheritance
Raw Score]]),_xlfn.STDEV.P(tblY11[[4B06 - Inheritance
Raw Score]])),9),_Stanine,2),5),"")</f>
        <v>2</v>
      </c>
      <c r="V68" s="66" t="n">
        <v>5</v>
      </c>
      <c r="W68" s="67">
        <f>IF(ISNUMBER(tblY11[[#This Row],[4C10 - Chemical Analysis
Raw Score]]),IFERROR(VLOOKUP(ROUND(STANDARDIZE(tblY11[[#This Row],[4C10 - Chemical Analysis
Raw Score]],AVERAGE(tblY11[[4C10 - Chemical Analysis
Raw Score]]),_xlfn.STDEV.P(tblY11[[4C10 - Chemical Analysis
Raw Score]])),9),_Stanine,2),5),"")</f>
        <v>2</v>
      </c>
      <c r="X68" s="66" t="n">
        <v>3</v>
      </c>
      <c r="Y68" s="67">
        <f>IF(ISNUMBER(tblY11[[#This Row],[4P07 - Magnetism
Raw Score]]),IFERROR(VLOOKUP(ROUND(STANDARDIZE(tblY11[[#This Row],[4P07 - Magnetism
Raw Score]],AVERAGE(tblY11[[4P07 - Magnetism
Raw Score]]),_xlfn.STDEV.P(tblY11[[4P07 - Magnetism
Raw Score]])),9),_Stanine,2),5),"")</f>
        <v>2</v>
      </c>
    </row>
    <row r="69">
      <c r="A69" s="65" t="inlineStr">
        <is>
          <t>X906305801551</t>
        </is>
      </c>
      <c r="B69" s="65" t="inlineStr">
        <is>
          <t>Okafor</t>
        </is>
      </c>
      <c r="C69" s="65" t="inlineStr">
        <is>
          <t>Zofia</t>
        </is>
      </c>
      <c r="D69" s="66" t="inlineStr">
        <is>
          <t>F</t>
        </is>
      </c>
      <c r="E69" s="66" t="inlineStr">
        <is>
          <t>K</t>
        </is>
      </c>
      <c r="F69" s="66" t="inlineStr">
        <is>
          <t>N</t>
        </is>
      </c>
      <c r="G69" s="34" t="n">
        <v>100</v>
      </c>
      <c r="H69" s="34" t="n">
        <v>103.5</v>
      </c>
      <c r="I69" s="67">
        <f>IF(ISNUMBER(tblY11[[#This Row],[Avg KS2]]),IFERROR(VLOOKUP(ROUND(STANDARDIZE(tblY11[[#This Row],[Avg KS2]],AVERAGE(tblY11[[Avg KS2]]),_xlfn.STDEV.P(tblY11[[Avg KS2]])),9),_Stanine,2),5),"")</f>
        <v>5</v>
      </c>
      <c r="J69" s="66" t="inlineStr">
        <is>
          <t>11S/Sc3</t>
        </is>
      </c>
      <c r="K69" s="67">
        <f>IF(tblY11[[#This Row],[Preferred Last name]]="","",COUNTIFS($N$1:$ZZ$1,"*"&amp;CHAR(10)&amp;"Stanine",$N69:$ZZ69,"&gt;=1"))</f>
        <v>6</v>
      </c>
      <c r="L69" s="68">
        <f>IFERROR(AVERAGEIF($N$1:$ZZ$1,"*"&amp;CHAR(10)&amp;"Stanine",$N69:$ZZ69),"")</f>
        <v>4.5</v>
      </c>
      <c r="M69" s="69">
        <f>IF(AND(ISNUMBER(tblY11[[#This Row],[Mean Stanine]]),ISNUMBER(tblY11[[#This Row],[Avg KS2 Band]]),ISNUMBER(SlopeY11)),tblY11[[#This Row],[Mean Stanine]]-(InterceptY11+SlopeY11*tblY11[[#This Row],[Avg KS2 Band]]),"")</f>
        <v>-0.452698412698412</v>
      </c>
      <c r="N69" s="66" t="n">
        <v>15</v>
      </c>
      <c r="O69" s="67">
        <f>IF(ISNUMBER(tblY11[[#This Row],[4B05 - Homeostasis
Raw Score]]),IFERROR(VLOOKUP(ROUND(STANDARDIZE(tblY11[[#This Row],[4B05 - Homeostasis
Raw Score]],AVERAGE(tblY11[[4B05 - Homeostasis
Raw Score]]),_xlfn.STDEV.P(tblY11[[4B05 - Homeostasis
Raw Score]])),9),_Stanine,2),5),"")</f>
        <v>4</v>
      </c>
      <c r="P69" s="66" t="n">
        <v>14</v>
      </c>
      <c r="Q69" s="67">
        <f>IF(ISNUMBER(tblY11[[#This Row],[4C09 - Organic Chemistry
Raw Score]]),IFERROR(VLOOKUP(ROUND(STANDARDIZE(tblY11[[#This Row],[4C09 - Organic Chemistry
Raw Score]],AVERAGE(tblY11[[4C09 - Organic Chemistry
Raw Score]]),_xlfn.STDEV.P(tblY11[[4C09 - Organic Chemistry
Raw Score]])),9),_Stanine,2),5),"")</f>
        <v>4</v>
      </c>
      <c r="R69" s="66" t="n">
        <v>15</v>
      </c>
      <c r="S69" s="67">
        <f>IF(ISNUMBER(tblY11[[#This Row],[4P06 - Waves
Raw Score]]),IFERROR(VLOOKUP(ROUND(STANDARDIZE(tblY11[[#This Row],[4P06 - Waves
Raw Score]],AVERAGE(tblY11[[4P06 - Waves
Raw Score]]),_xlfn.STDEV.P(tblY11[[4P06 - Waves
Raw Score]])),9),_Stanine,2),5),"")</f>
        <v>4</v>
      </c>
      <c r="T69" s="66" t="n">
        <v>12</v>
      </c>
      <c r="U69" s="67">
        <f>IF(ISNUMBER(tblY11[[#This Row],[4B06 - Inheritance
Raw Score]]),IFERROR(VLOOKUP(ROUND(STANDARDIZE(tblY11[[#This Row],[4B06 - Inheritance
Raw Score]],AVERAGE(tblY11[[4B06 - Inheritance
Raw Score]]),_xlfn.STDEV.P(tblY11[[4B06 - Inheritance
Raw Score]])),9),_Stanine,2),5),"")</f>
        <v>4</v>
      </c>
      <c r="V69" s="66" t="n">
        <v>13</v>
      </c>
      <c r="W69" s="67">
        <f>IF(ISNUMBER(tblY11[[#This Row],[4C10 - Chemical Analysis
Raw Score]]),IFERROR(VLOOKUP(ROUND(STANDARDIZE(tblY11[[#This Row],[4C10 - Chemical Analysis
Raw Score]],AVERAGE(tblY11[[4C10 - Chemical Analysis
Raw Score]]),_xlfn.STDEV.P(tblY11[[4C10 - Chemical Analysis
Raw Score]])),9),_Stanine,2),5),"")</f>
        <v>5</v>
      </c>
      <c r="X69" s="66" t="n">
        <v>18</v>
      </c>
      <c r="Y69" s="67">
        <f>IF(ISNUMBER(tblY11[[#This Row],[4P07 - Magnetism
Raw Score]]),IFERROR(VLOOKUP(ROUND(STANDARDIZE(tblY11[[#This Row],[4P07 - Magnetism
Raw Score]],AVERAGE(tblY11[[4P07 - Magnetism
Raw Score]]),_xlfn.STDEV.P(tblY11[[4P07 - Magnetism
Raw Score]])),9),_Stanine,2),5),"")</f>
        <v>6</v>
      </c>
    </row>
    <row r="70">
      <c r="A70" s="65" t="inlineStr">
        <is>
          <t>X908060840274</t>
        </is>
      </c>
      <c r="B70" s="65" t="inlineStr">
        <is>
          <t>Patel</t>
        </is>
      </c>
      <c r="C70" s="65" t="inlineStr">
        <is>
          <t>Layla</t>
        </is>
      </c>
      <c r="D70" s="66" t="inlineStr">
        <is>
          <t>M</t>
        </is>
      </c>
      <c r="E70" s="66" t="n"/>
      <c r="F70" s="66" t="inlineStr">
        <is>
          <t>Y</t>
        </is>
      </c>
      <c r="G70" s="34" t="n">
        <v>98.3</v>
      </c>
      <c r="H70" s="34" t="n">
        <v>92</v>
      </c>
      <c r="I70" s="67">
        <f>IF(ISNUMBER(tblY11[[#This Row],[Avg KS2]]),IFERROR(VLOOKUP(ROUND(STANDARDIZE(tblY11[[#This Row],[Avg KS2]],AVERAGE(tblY11[[Avg KS2]]),_xlfn.STDEV.P(tblY11[[Avg KS2]])),9),_Stanine,2),5),"")</f>
        <v>1</v>
      </c>
      <c r="J70" s="66" t="inlineStr">
        <is>
          <t>11S/Sc3</t>
        </is>
      </c>
      <c r="K70" s="67">
        <f>IF(tblY11[[#This Row],[Preferred Last name]]="","",COUNTIFS($N$1:$ZZ$1,"*"&amp;CHAR(10)&amp;"Stanine",$N70:$ZZ70,"&gt;=1"))</f>
        <v>6</v>
      </c>
      <c r="L70" s="68">
        <f>IFERROR(AVERAGEIF($N$1:$ZZ$1,"*"&amp;CHAR(10)&amp;"Stanine",$N70:$ZZ70),"")</f>
        <v>4.5</v>
      </c>
      <c r="M70" s="69">
        <f>IF(AND(ISNUMBER(tblY11[[#This Row],[Mean Stanine]]),ISNUMBER(tblY11[[#This Row],[Avg KS2 Band]]),ISNUMBER(SlopeY11)),tblY11[[#This Row],[Mean Stanine]]-(InterceptY11+SlopeY11*tblY11[[#This Row],[Avg KS2 Band]]),"")</f>
        <v>2.54275613275613</v>
      </c>
      <c r="N70" s="66" t="n">
        <v>23</v>
      </c>
      <c r="O70" s="67">
        <f>IF(ISNUMBER(tblY11[[#This Row],[4B05 - Homeostasis
Raw Score]]),IFERROR(VLOOKUP(ROUND(STANDARDIZE(tblY11[[#This Row],[4B05 - Homeostasis
Raw Score]],AVERAGE(tblY11[[4B05 - Homeostasis
Raw Score]]),_xlfn.STDEV.P(tblY11[[4B05 - Homeostasis
Raw Score]])),9),_Stanine,2),5),"")</f>
        <v>6</v>
      </c>
      <c r="P70" s="66" t="n">
        <v>12</v>
      </c>
      <c r="Q70" s="67">
        <f>IF(ISNUMBER(tblY11[[#This Row],[4C09 - Organic Chemistry
Raw Score]]),IFERROR(VLOOKUP(ROUND(STANDARDIZE(tblY11[[#This Row],[4C09 - Organic Chemistry
Raw Score]],AVERAGE(tblY11[[4C09 - Organic Chemistry
Raw Score]]),_xlfn.STDEV.P(tblY11[[4C09 - Organic Chemistry
Raw Score]])),9),_Stanine,2),5),"")</f>
        <v>4</v>
      </c>
      <c r="R70" s="66" t="n">
        <v>19</v>
      </c>
      <c r="S70" s="67">
        <f>IF(ISNUMBER(tblY11[[#This Row],[4P06 - Waves
Raw Score]]),IFERROR(VLOOKUP(ROUND(STANDARDIZE(tblY11[[#This Row],[4P06 - Waves
Raw Score]],AVERAGE(tblY11[[4P06 - Waves
Raw Score]]),_xlfn.STDEV.P(tblY11[[4P06 - Waves
Raw Score]])),9),_Stanine,2),5),"")</f>
        <v>5</v>
      </c>
      <c r="T70" s="66" t="n">
        <v>18</v>
      </c>
      <c r="U70" s="67">
        <f>IF(ISNUMBER(tblY11[[#This Row],[4B06 - Inheritance
Raw Score]]),IFERROR(VLOOKUP(ROUND(STANDARDIZE(tblY11[[#This Row],[4B06 - Inheritance
Raw Score]],AVERAGE(tblY11[[4B06 - Inheritance
Raw Score]]),_xlfn.STDEV.P(tblY11[[4B06 - Inheritance
Raw Score]])),9),_Stanine,2),5),"")</f>
        <v>5</v>
      </c>
      <c r="V70" s="66" t="n">
        <v>12</v>
      </c>
      <c r="W70" s="67">
        <f>IF(ISNUMBER(tblY11[[#This Row],[4C10 - Chemical Analysis
Raw Score]]),IFERROR(VLOOKUP(ROUND(STANDARDIZE(tblY11[[#This Row],[4C10 - Chemical Analysis
Raw Score]],AVERAGE(tblY11[[4C10 - Chemical Analysis
Raw Score]]),_xlfn.STDEV.P(tblY11[[4C10 - Chemical Analysis
Raw Score]])),9),_Stanine,2),5),"")</f>
        <v>4</v>
      </c>
      <c r="X70" s="66" t="n">
        <v>10</v>
      </c>
      <c r="Y70" s="67">
        <f>IF(ISNUMBER(tblY11[[#This Row],[4P07 - Magnetism
Raw Score]]),IFERROR(VLOOKUP(ROUND(STANDARDIZE(tblY11[[#This Row],[4P07 - Magnetism
Raw Score]],AVERAGE(tblY11[[4P07 - Magnetism
Raw Score]]),_xlfn.STDEV.P(tblY11[[4P07 - Magnetism
Raw Score]])),9),_Stanine,2),5),"")</f>
        <v>3</v>
      </c>
    </row>
    <row r="71">
      <c r="A71" s="65" t="inlineStr">
        <is>
          <t>X901769394551</t>
        </is>
      </c>
      <c r="B71" s="65" t="inlineStr">
        <is>
          <t>Patel</t>
        </is>
      </c>
      <c r="C71" s="65" t="inlineStr">
        <is>
          <t>Priya</t>
        </is>
      </c>
      <c r="D71" s="66" t="inlineStr">
        <is>
          <t>M</t>
        </is>
      </c>
      <c r="E71" s="66" t="inlineStr">
        <is>
          <t>K</t>
        </is>
      </c>
      <c r="F71" s="66" t="inlineStr">
        <is>
          <t>N</t>
        </is>
      </c>
      <c r="G71" s="34" t="n">
        <v>97.7</v>
      </c>
      <c r="H71" s="34" t="n">
        <v>100</v>
      </c>
      <c r="I71" s="67">
        <f>IF(ISNUMBER(tblY11[[#This Row],[Avg KS2]]),IFERROR(VLOOKUP(ROUND(STANDARDIZE(tblY11[[#This Row],[Avg KS2]],AVERAGE(tblY11[[Avg KS2]]),_xlfn.STDEV.P(tblY11[[Avg KS2]])),9),_Stanine,2),5),"")</f>
        <v>4</v>
      </c>
      <c r="J71" s="66" t="inlineStr">
        <is>
          <t>11S/Sc3</t>
        </is>
      </c>
      <c r="K71" s="67">
        <f>IF(tblY11[[#This Row],[Preferred Last name]]="","",COUNTIFS($N$1:$ZZ$1,"*"&amp;CHAR(10)&amp;"Stanine",$N71:$ZZ71,"&gt;=1"))</f>
        <v>6</v>
      </c>
      <c r="L71" s="68">
        <f>IFERROR(AVERAGEIF($N$1:$ZZ$1,"*"&amp;CHAR(10)&amp;"Stanine",$N71:$ZZ71),"")</f>
        <v>4.5</v>
      </c>
      <c r="M71" s="69">
        <f>IF(AND(ISNUMBER(tblY11[[#This Row],[Mean Stanine]]),ISNUMBER(tblY11[[#This Row],[Avg KS2 Band]]),ISNUMBER(SlopeY11)),tblY11[[#This Row],[Mean Stanine]]-(InterceptY11+SlopeY11*tblY11[[#This Row],[Avg KS2 Band]]),"")</f>
        <v>0.296165223665224</v>
      </c>
      <c r="N71" s="66" t="n">
        <v>20</v>
      </c>
      <c r="O71" s="67">
        <f>IF(ISNUMBER(tblY11[[#This Row],[4B05 - Homeostasis
Raw Score]]),IFERROR(VLOOKUP(ROUND(STANDARDIZE(tblY11[[#This Row],[4B05 - Homeostasis
Raw Score]],AVERAGE(tblY11[[4B05 - Homeostasis
Raw Score]]),_xlfn.STDEV.P(tblY11[[4B05 - Homeostasis
Raw Score]])),9),_Stanine,2),5),"")</f>
        <v>5</v>
      </c>
      <c r="P71" s="66" t="n">
        <v>19</v>
      </c>
      <c r="Q71" s="67">
        <f>IF(ISNUMBER(tblY11[[#This Row],[4C09 - Organic Chemistry
Raw Score]]),IFERROR(VLOOKUP(ROUND(STANDARDIZE(tblY11[[#This Row],[4C09 - Organic Chemistry
Raw Score]],AVERAGE(tblY11[[4C09 - Organic Chemistry
Raw Score]]),_xlfn.STDEV.P(tblY11[[4C09 - Organic Chemistry
Raw Score]])),9),_Stanine,2),5),"")</f>
        <v>6</v>
      </c>
      <c r="R71" s="66" t="n">
        <v>13</v>
      </c>
      <c r="S71" s="67">
        <f>IF(ISNUMBER(tblY11[[#This Row],[4P06 - Waves
Raw Score]]),IFERROR(VLOOKUP(ROUND(STANDARDIZE(tblY11[[#This Row],[4P06 - Waves
Raw Score]],AVERAGE(tblY11[[4P06 - Waves
Raw Score]]),_xlfn.STDEV.P(tblY11[[4P06 - Waves
Raw Score]])),9),_Stanine,2),5),"")</f>
        <v>3</v>
      </c>
      <c r="T71" s="66" t="n">
        <v>15</v>
      </c>
      <c r="U71" s="67">
        <f>IF(ISNUMBER(tblY11[[#This Row],[4B06 - Inheritance
Raw Score]]),IFERROR(VLOOKUP(ROUND(STANDARDIZE(tblY11[[#This Row],[4B06 - Inheritance
Raw Score]],AVERAGE(tblY11[[4B06 - Inheritance
Raw Score]]),_xlfn.STDEV.P(tblY11[[4B06 - Inheritance
Raw Score]])),9),_Stanine,2),5),"")</f>
        <v>4</v>
      </c>
      <c r="V71" s="66" t="n">
        <v>11</v>
      </c>
      <c r="W71" s="67">
        <f>IF(ISNUMBER(tblY11[[#This Row],[4C10 - Chemical Analysis
Raw Score]]),IFERROR(VLOOKUP(ROUND(STANDARDIZE(tblY11[[#This Row],[4C10 - Chemical Analysis
Raw Score]],AVERAGE(tblY11[[4C10 - Chemical Analysis
Raw Score]]),_xlfn.STDEV.P(tblY11[[4C10 - Chemical Analysis
Raw Score]])),9),_Stanine,2),5),"")</f>
        <v>4</v>
      </c>
      <c r="X71" s="66" t="n">
        <v>14</v>
      </c>
      <c r="Y71" s="67">
        <f>IF(ISNUMBER(tblY11[[#This Row],[4P07 - Magnetism
Raw Score]]),IFERROR(VLOOKUP(ROUND(STANDARDIZE(tblY11[[#This Row],[4P07 - Magnetism
Raw Score]],AVERAGE(tblY11[[4P07 - Magnetism
Raw Score]]),_xlfn.STDEV.P(tblY11[[4P07 - Magnetism
Raw Score]])),9),_Stanine,2),5),"")</f>
        <v>5</v>
      </c>
    </row>
    <row r="72">
      <c r="A72" s="65" t="inlineStr">
        <is>
          <t>X904826435296</t>
        </is>
      </c>
      <c r="B72" s="65" t="inlineStr">
        <is>
          <t>Patel</t>
        </is>
      </c>
      <c r="C72" s="65" t="inlineStr">
        <is>
          <t>Sami</t>
        </is>
      </c>
      <c r="D72" s="66" t="inlineStr">
        <is>
          <t>F</t>
        </is>
      </c>
      <c r="E72" s="66" t="n"/>
      <c r="F72" s="66" t="inlineStr">
        <is>
          <t>N</t>
        </is>
      </c>
      <c r="G72" s="34" t="n">
        <v>90.40000000000001</v>
      </c>
      <c r="H72" s="34" t="n">
        <v>110</v>
      </c>
      <c r="I72" s="67">
        <f>IF(ISNUMBER(tblY11[[#This Row],[Avg KS2]]),IFERROR(VLOOKUP(ROUND(STANDARDIZE(tblY11[[#This Row],[Avg KS2]],AVERAGE(tblY11[[Avg KS2]]),_xlfn.STDEV.P(tblY11[[Avg KS2]])),9),_Stanine,2),5),"")</f>
        <v>7</v>
      </c>
      <c r="J72" s="66" t="inlineStr">
        <is>
          <t>11S/Sc3</t>
        </is>
      </c>
      <c r="K72" s="67">
        <f>IF(tblY11[[#This Row],[Preferred Last name]]="","",COUNTIFS($N$1:$ZZ$1,"*"&amp;CHAR(10)&amp;"Stanine",$N72:$ZZ72,"&gt;=1"))</f>
        <v>6</v>
      </c>
      <c r="L72" s="68">
        <f>IFERROR(AVERAGEIF($N$1:$ZZ$1,"*"&amp;CHAR(10)&amp;"Stanine",$N72:$ZZ72),"")</f>
        <v>7.33333333333333</v>
      </c>
      <c r="M72" s="69">
        <f>IF(AND(ISNUMBER(tblY11[[#This Row],[Mean Stanine]]),ISNUMBER(tblY11[[#This Row],[Avg KS2 Band]]),ISNUMBER(SlopeY11)),tblY11[[#This Row],[Mean Stanine]]-(InterceptY11+SlopeY11*tblY11[[#This Row],[Avg KS2 Band]]),"")</f>
        <v>0.882907647907648</v>
      </c>
      <c r="N72" s="66" t="n">
        <v>33</v>
      </c>
      <c r="O72" s="67">
        <f>IF(ISNUMBER(tblY11[[#This Row],[4B05 - Homeostasis
Raw Score]]),IFERROR(VLOOKUP(ROUND(STANDARDIZE(tblY11[[#This Row],[4B05 - Homeostasis
Raw Score]],AVERAGE(tblY11[[4B05 - Homeostasis
Raw Score]]),_xlfn.STDEV.P(tblY11[[4B05 - Homeostasis
Raw Score]])),9),_Stanine,2),5),"")</f>
        <v>8</v>
      </c>
      <c r="P72" s="66" t="n">
        <v>25</v>
      </c>
      <c r="Q72" s="67">
        <f>IF(ISNUMBER(tblY11[[#This Row],[4C09 - Organic Chemistry
Raw Score]]),IFERROR(VLOOKUP(ROUND(STANDARDIZE(tblY11[[#This Row],[4C09 - Organic Chemistry
Raw Score]],AVERAGE(tblY11[[4C09 - Organic Chemistry
Raw Score]]),_xlfn.STDEV.P(tblY11[[4C09 - Organic Chemistry
Raw Score]])),9),_Stanine,2),5),"")</f>
        <v>7</v>
      </c>
      <c r="R72" s="66" t="n">
        <v>31</v>
      </c>
      <c r="S72" s="67">
        <f>IF(ISNUMBER(tblY11[[#This Row],[4P06 - Waves
Raw Score]]),IFERROR(VLOOKUP(ROUND(STANDARDIZE(tblY11[[#This Row],[4P06 - Waves
Raw Score]],AVERAGE(tblY11[[4P06 - Waves
Raw Score]]),_xlfn.STDEV.P(tblY11[[4P06 - Waves
Raw Score]])),9),_Stanine,2),5),"")</f>
        <v>7</v>
      </c>
      <c r="T72" s="66" t="n">
        <v>27</v>
      </c>
      <c r="U72" s="67">
        <f>IF(ISNUMBER(tblY11[[#This Row],[4B06 - Inheritance
Raw Score]]),IFERROR(VLOOKUP(ROUND(STANDARDIZE(tblY11[[#This Row],[4B06 - Inheritance
Raw Score]],AVERAGE(tblY11[[4B06 - Inheritance
Raw Score]]),_xlfn.STDEV.P(tblY11[[4B06 - Inheritance
Raw Score]])),9),_Stanine,2),5),"")</f>
        <v>7</v>
      </c>
      <c r="V72" s="66" t="n">
        <v>22</v>
      </c>
      <c r="W72" s="67">
        <f>IF(ISNUMBER(tblY11[[#This Row],[4C10 - Chemical Analysis
Raw Score]]),IFERROR(VLOOKUP(ROUND(STANDARDIZE(tblY11[[#This Row],[4C10 - Chemical Analysis
Raw Score]],AVERAGE(tblY11[[4C10 - Chemical Analysis
Raw Score]]),_xlfn.STDEV.P(tblY11[[4C10 - Chemical Analysis
Raw Score]])),9),_Stanine,2),5),"")</f>
        <v>7</v>
      </c>
      <c r="X72" s="66" t="n">
        <v>26</v>
      </c>
      <c r="Y72" s="67">
        <f>IF(ISNUMBER(tblY11[[#This Row],[4P07 - Magnetism
Raw Score]]),IFERROR(VLOOKUP(ROUND(STANDARDIZE(tblY11[[#This Row],[4P07 - Magnetism
Raw Score]],AVERAGE(tblY11[[4P07 - Magnetism
Raw Score]]),_xlfn.STDEV.P(tblY11[[4P07 - Magnetism
Raw Score]])),9),_Stanine,2),5),"")</f>
        <v>8</v>
      </c>
    </row>
    <row r="73">
      <c r="A73" s="65" t="inlineStr">
        <is>
          <t>X901983215521</t>
        </is>
      </c>
      <c r="B73" s="65" t="inlineStr">
        <is>
          <t>Roberts</t>
        </is>
      </c>
      <c r="C73" s="65" t="inlineStr">
        <is>
          <t>Oscar</t>
        </is>
      </c>
      <c r="D73" s="66" t="inlineStr">
        <is>
          <t>M</t>
        </is>
      </c>
      <c r="E73" s="66" t="n"/>
      <c r="F73" s="66" t="inlineStr">
        <is>
          <t>Y</t>
        </is>
      </c>
      <c r="G73" s="34" t="n">
        <v>97.8</v>
      </c>
      <c r="H73" s="34" t="n">
        <v>101</v>
      </c>
      <c r="I73" s="67">
        <f>IF(ISNUMBER(tblY11[[#This Row],[Avg KS2]]),IFERROR(VLOOKUP(ROUND(STANDARDIZE(tblY11[[#This Row],[Avg KS2]],AVERAGE(tblY11[[Avg KS2]]),_xlfn.STDEV.P(tblY11[[Avg KS2]])),9),_Stanine,2),5),"")</f>
        <v>4</v>
      </c>
      <c r="J73" s="66" t="inlineStr">
        <is>
          <t>11S/Sc3</t>
        </is>
      </c>
      <c r="K73" s="67">
        <f>IF(tblY11[[#This Row],[Preferred Last name]]="","",COUNTIFS($N$1:$ZZ$1,"*"&amp;CHAR(10)&amp;"Stanine",$N73:$ZZ73,"&gt;=1"))</f>
        <v>6</v>
      </c>
      <c r="L73" s="68">
        <f>IFERROR(AVERAGEIF($N$1:$ZZ$1,"*"&amp;CHAR(10)&amp;"Stanine",$N73:$ZZ73),"")</f>
        <v>3.66666666666667</v>
      </c>
      <c r="M73" s="69">
        <f>IF(AND(ISNUMBER(tblY11[[#This Row],[Mean Stanine]]),ISNUMBER(tblY11[[#This Row],[Avg KS2 Band]]),ISNUMBER(SlopeY11)),tblY11[[#This Row],[Mean Stanine]]-(InterceptY11+SlopeY11*tblY11[[#This Row],[Avg KS2 Band]]),"")</f>
        <v>-0.537168109668109</v>
      </c>
      <c r="N73" s="66" t="n">
        <v>10</v>
      </c>
      <c r="O73" s="67">
        <f>IF(ISNUMBER(tblY11[[#This Row],[4B05 - Homeostasis
Raw Score]]),IFERROR(VLOOKUP(ROUND(STANDARDIZE(tblY11[[#This Row],[4B05 - Homeostasis
Raw Score]],AVERAGE(tblY11[[4B05 - Homeostasis
Raw Score]]),_xlfn.STDEV.P(tblY11[[4B05 - Homeostasis
Raw Score]])),9),_Stanine,2),5),"")</f>
        <v>2</v>
      </c>
      <c r="P73" s="66" t="n">
        <v>13</v>
      </c>
      <c r="Q73" s="67">
        <f>IF(ISNUMBER(tblY11[[#This Row],[4C09 - Organic Chemistry
Raw Score]]),IFERROR(VLOOKUP(ROUND(STANDARDIZE(tblY11[[#This Row],[4C09 - Organic Chemistry
Raw Score]],AVERAGE(tblY11[[4C09 - Organic Chemistry
Raw Score]]),_xlfn.STDEV.P(tblY11[[4C09 - Organic Chemistry
Raw Score]])),9),_Stanine,2),5),"")</f>
        <v>4</v>
      </c>
      <c r="R73" s="66" t="n">
        <v>14</v>
      </c>
      <c r="S73" s="67">
        <f>IF(ISNUMBER(tblY11[[#This Row],[4P06 - Waves
Raw Score]]),IFERROR(VLOOKUP(ROUND(STANDARDIZE(tblY11[[#This Row],[4P06 - Waves
Raw Score]],AVERAGE(tblY11[[4P06 - Waves
Raw Score]]),_xlfn.STDEV.P(tblY11[[4P06 - Waves
Raw Score]])),9),_Stanine,2),5),"")</f>
        <v>3</v>
      </c>
      <c r="T73" s="66" t="n">
        <v>14</v>
      </c>
      <c r="U73" s="67">
        <f>IF(ISNUMBER(tblY11[[#This Row],[4B06 - Inheritance
Raw Score]]),IFERROR(VLOOKUP(ROUND(STANDARDIZE(tblY11[[#This Row],[4B06 - Inheritance
Raw Score]],AVERAGE(tblY11[[4B06 - Inheritance
Raw Score]]),_xlfn.STDEV.P(tblY11[[4B06 - Inheritance
Raw Score]])),9),_Stanine,2),5),"")</f>
        <v>4</v>
      </c>
      <c r="V73" s="66" t="n">
        <v>12</v>
      </c>
      <c r="W73" s="67">
        <f>IF(ISNUMBER(tblY11[[#This Row],[4C10 - Chemical Analysis
Raw Score]]),IFERROR(VLOOKUP(ROUND(STANDARDIZE(tblY11[[#This Row],[4C10 - Chemical Analysis
Raw Score]],AVERAGE(tblY11[[4C10 - Chemical Analysis
Raw Score]]),_xlfn.STDEV.P(tblY11[[4C10 - Chemical Analysis
Raw Score]])),9),_Stanine,2),5),"")</f>
        <v>4</v>
      </c>
      <c r="X73" s="66" t="n">
        <v>16</v>
      </c>
      <c r="Y73" s="67">
        <f>IF(ISNUMBER(tblY11[[#This Row],[4P07 - Magnetism
Raw Score]]),IFERROR(VLOOKUP(ROUND(STANDARDIZE(tblY11[[#This Row],[4P07 - Magnetism
Raw Score]],AVERAGE(tblY11[[4P07 - Magnetism
Raw Score]]),_xlfn.STDEV.P(tblY11[[4P07 - Magnetism
Raw Score]])),9),_Stanine,2),5),"")</f>
        <v>5</v>
      </c>
    </row>
    <row r="74">
      <c r="A74" s="65" t="inlineStr">
        <is>
          <t>X900004421283</t>
        </is>
      </c>
      <c r="B74" s="65" t="inlineStr">
        <is>
          <t>Shaw</t>
        </is>
      </c>
      <c r="C74" s="65" t="inlineStr">
        <is>
          <t>Ethan</t>
        </is>
      </c>
      <c r="D74" s="66" t="inlineStr">
        <is>
          <t>F</t>
        </is>
      </c>
      <c r="E74" s="66" t="inlineStr">
        <is>
          <t>N</t>
        </is>
      </c>
      <c r="F74" s="66" t="inlineStr">
        <is>
          <t>N</t>
        </is>
      </c>
      <c r="G74" s="34" t="n">
        <v>97.2</v>
      </c>
      <c r="H74" s="34" t="n">
        <v>102.5</v>
      </c>
      <c r="I74" s="67">
        <f>IF(ISNUMBER(tblY11[[#This Row],[Avg KS2]]),IFERROR(VLOOKUP(ROUND(STANDARDIZE(tblY11[[#This Row],[Avg KS2]],AVERAGE(tblY11[[Avg KS2]]),_xlfn.STDEV.P(tblY11[[Avg KS2]])),9),_Stanine,2),5),"")</f>
        <v>4</v>
      </c>
      <c r="J74" s="66" t="inlineStr">
        <is>
          <t>11S/Sc3</t>
        </is>
      </c>
      <c r="K74" s="67">
        <f>IF(tblY11[[#This Row],[Preferred Last name]]="","",COUNTIFS($N$1:$ZZ$1,"*"&amp;CHAR(10)&amp;"Stanine",$N74:$ZZ74,"&gt;=1"))</f>
        <v>5</v>
      </c>
      <c r="L74" s="68">
        <f>IFERROR(AVERAGEIF($N$1:$ZZ$1,"*"&amp;CHAR(10)&amp;"Stanine",$N74:$ZZ74),"")</f>
        <v>5</v>
      </c>
      <c r="M74" s="69">
        <f>IF(AND(ISNUMBER(tblY11[[#This Row],[Mean Stanine]]),ISNUMBER(tblY11[[#This Row],[Avg KS2 Band]]),ISNUMBER(SlopeY11)),tblY11[[#This Row],[Mean Stanine]]-(InterceptY11+SlopeY11*tblY11[[#This Row],[Avg KS2 Band]]),"")</f>
        <v>0.796165223665224</v>
      </c>
      <c r="N74" s="66" t="n">
        <v>17</v>
      </c>
      <c r="O74" s="67">
        <f>IF(ISNUMBER(tblY11[[#This Row],[4B05 - Homeostasis
Raw Score]]),IFERROR(VLOOKUP(ROUND(STANDARDIZE(tblY11[[#This Row],[4B05 - Homeostasis
Raw Score]],AVERAGE(tblY11[[4B05 - Homeostasis
Raw Score]]),_xlfn.STDEV.P(tblY11[[4B05 - Homeostasis
Raw Score]])),9),_Stanine,2),5),"")</f>
        <v>4</v>
      </c>
      <c r="P74" s="66" t="inlineStr">
        <is>
          <t>A</t>
        </is>
      </c>
      <c r="Q74" s="67" t="str">
        <f>IF(ISNUMBER(tblY11[[#This Row],[4C09 - Organic Chemistry
Raw Score]]),IFERROR(VLOOKUP(ROUND(STANDARDIZE(tblY11[[#This Row],[4C09 - Organic Chemistry
Raw Score]],AVERAGE(tblY11[[4C09 - Organic Chemistry
Raw Score]]),_xlfn.STDEV.P(tblY11[[4C09 - Organic Chemistry
Raw Score]])),9),_Stanine,2),5),"")</f>
        <v/>
      </c>
      <c r="R74" s="66" t="n">
        <v>22</v>
      </c>
      <c r="S74" s="67">
        <f>IF(ISNUMBER(tblY11[[#This Row],[4P06 - Waves
Raw Score]]),IFERROR(VLOOKUP(ROUND(STANDARDIZE(tblY11[[#This Row],[4P06 - Waves
Raw Score]],AVERAGE(tblY11[[4P06 - Waves
Raw Score]]),_xlfn.STDEV.P(tblY11[[4P06 - Waves
Raw Score]])),9),_Stanine,2),5),"")</f>
        <v>5</v>
      </c>
      <c r="T74" s="66" t="n">
        <v>17</v>
      </c>
      <c r="U74" s="67">
        <f>IF(ISNUMBER(tblY11[[#This Row],[4B06 - Inheritance
Raw Score]]),IFERROR(VLOOKUP(ROUND(STANDARDIZE(tblY11[[#This Row],[4B06 - Inheritance
Raw Score]],AVERAGE(tblY11[[4B06 - Inheritance
Raw Score]]),_xlfn.STDEV.P(tblY11[[4B06 - Inheritance
Raw Score]])),9),_Stanine,2),5),"")</f>
        <v>5</v>
      </c>
      <c r="V74" s="66" t="n">
        <v>15</v>
      </c>
      <c r="W74" s="67">
        <f>IF(ISNUMBER(tblY11[[#This Row],[4C10 - Chemical Analysis
Raw Score]]),IFERROR(VLOOKUP(ROUND(STANDARDIZE(tblY11[[#This Row],[4C10 - Chemical Analysis
Raw Score]],AVERAGE(tblY11[[4C10 - Chemical Analysis
Raw Score]]),_xlfn.STDEV.P(tblY11[[4C10 - Chemical Analysis
Raw Score]])),9),_Stanine,2),5),"")</f>
        <v>5</v>
      </c>
      <c r="X74" s="66" t="n">
        <v>19</v>
      </c>
      <c r="Y74" s="67">
        <f>IF(ISNUMBER(tblY11[[#This Row],[4P07 - Magnetism
Raw Score]]),IFERROR(VLOOKUP(ROUND(STANDARDIZE(tblY11[[#This Row],[4P07 - Magnetism
Raw Score]],AVERAGE(tblY11[[4P07 - Magnetism
Raw Score]]),_xlfn.STDEV.P(tblY11[[4P07 - Magnetism
Raw Score]])),9),_Stanine,2),5),"")</f>
        <v>6</v>
      </c>
    </row>
    <row r="75">
      <c r="A75" s="65" t="inlineStr">
        <is>
          <t>X906202768174</t>
        </is>
      </c>
      <c r="B75" s="65" t="inlineStr">
        <is>
          <t>Taylor</t>
        </is>
      </c>
      <c r="C75" s="65" t="inlineStr">
        <is>
          <t>Nia</t>
        </is>
      </c>
      <c r="D75" s="66" t="inlineStr">
        <is>
          <t>F</t>
        </is>
      </c>
      <c r="E75" s="66" t="inlineStr">
        <is>
          <t>N</t>
        </is>
      </c>
      <c r="F75" s="66" t="inlineStr">
        <is>
          <t>Y</t>
        </is>
      </c>
      <c r="G75" s="34" t="n">
        <v>97.59999999999999</v>
      </c>
      <c r="H75" s="34" t="n">
        <v>105</v>
      </c>
      <c r="I75" s="67">
        <f>IF(ISNUMBER(tblY11[[#This Row],[Avg KS2]]),IFERROR(VLOOKUP(ROUND(STANDARDIZE(tblY11[[#This Row],[Avg KS2]],AVERAGE(tblY11[[Avg KS2]]),_xlfn.STDEV.P(tblY11[[Avg KS2]])),9),_Stanine,2),5),"")</f>
        <v>5</v>
      </c>
      <c r="J75" s="66" t="inlineStr">
        <is>
          <t>11S/Sc3</t>
        </is>
      </c>
      <c r="K75" s="67">
        <f>IF(tblY11[[#This Row],[Preferred Last name]]="","",COUNTIFS($N$1:$ZZ$1,"*"&amp;CHAR(10)&amp;"Stanine",$N75:$ZZ75,"&gt;=1"))</f>
        <v>6</v>
      </c>
      <c r="L75" s="68">
        <f>IFERROR(AVERAGEIF($N$1:$ZZ$1,"*"&amp;CHAR(10)&amp;"Stanine",$N75:$ZZ75),"")</f>
        <v>4.66666666666667</v>
      </c>
      <c r="M75" s="69">
        <f>IF(AND(ISNUMBER(tblY11[[#This Row],[Mean Stanine]]),ISNUMBER(tblY11[[#This Row],[Avg KS2 Band]]),ISNUMBER(SlopeY11)),tblY11[[#This Row],[Mean Stanine]]-(InterceptY11+SlopeY11*tblY11[[#This Row],[Avg KS2 Band]]),"")</f>
        <v>-0.286031746031745</v>
      </c>
      <c r="N75" s="66" t="n">
        <v>17</v>
      </c>
      <c r="O75" s="67">
        <f>IF(ISNUMBER(tblY11[[#This Row],[4B05 - Homeostasis
Raw Score]]),IFERROR(VLOOKUP(ROUND(STANDARDIZE(tblY11[[#This Row],[4B05 - Homeostasis
Raw Score]],AVERAGE(tblY11[[4B05 - Homeostasis
Raw Score]]),_xlfn.STDEV.P(tblY11[[4B05 - Homeostasis
Raw Score]])),9),_Stanine,2),5),"")</f>
        <v>4</v>
      </c>
      <c r="P75" s="66" t="n">
        <v>16</v>
      </c>
      <c r="Q75" s="67">
        <f>IF(ISNUMBER(tblY11[[#This Row],[4C09 - Organic Chemistry
Raw Score]]),IFERROR(VLOOKUP(ROUND(STANDARDIZE(tblY11[[#This Row],[4C09 - Organic Chemistry
Raw Score]],AVERAGE(tblY11[[4C09 - Organic Chemistry
Raw Score]]),_xlfn.STDEV.P(tblY11[[4C09 - Organic Chemistry
Raw Score]])),9),_Stanine,2),5),"")</f>
        <v>5</v>
      </c>
      <c r="R75" s="66" t="n">
        <v>21</v>
      </c>
      <c r="S75" s="67">
        <f>IF(ISNUMBER(tblY11[[#This Row],[4P06 - Waves
Raw Score]]),IFERROR(VLOOKUP(ROUND(STANDARDIZE(tblY11[[#This Row],[4P06 - Waves
Raw Score]],AVERAGE(tblY11[[4P06 - Waves
Raw Score]]),_xlfn.STDEV.P(tblY11[[4P06 - Waves
Raw Score]])),9),_Stanine,2),5),"")</f>
        <v>5</v>
      </c>
      <c r="T75" s="66" t="n">
        <v>18</v>
      </c>
      <c r="U75" s="67">
        <f>IF(ISNUMBER(tblY11[[#This Row],[4B06 - Inheritance
Raw Score]]),IFERROR(VLOOKUP(ROUND(STANDARDIZE(tblY11[[#This Row],[4B06 - Inheritance
Raw Score]],AVERAGE(tblY11[[4B06 - Inheritance
Raw Score]]),_xlfn.STDEV.P(tblY11[[4B06 - Inheritance
Raw Score]])),9),_Stanine,2),5),"")</f>
        <v>5</v>
      </c>
      <c r="V75" s="66" t="n">
        <v>11</v>
      </c>
      <c r="W75" s="67">
        <f>IF(ISNUMBER(tblY11[[#This Row],[4C10 - Chemical Analysis
Raw Score]]),IFERROR(VLOOKUP(ROUND(STANDARDIZE(tblY11[[#This Row],[4C10 - Chemical Analysis
Raw Score]],AVERAGE(tblY11[[4C10 - Chemical Analysis
Raw Score]]),_xlfn.STDEV.P(tblY11[[4C10 - Chemical Analysis
Raw Score]])),9),_Stanine,2),5),"")</f>
        <v>4</v>
      </c>
      <c r="X75" s="66" t="n">
        <v>16</v>
      </c>
      <c r="Y75" s="67">
        <f>IF(ISNUMBER(tblY11[[#This Row],[4P07 - Magnetism
Raw Score]]),IFERROR(VLOOKUP(ROUND(STANDARDIZE(tblY11[[#This Row],[4P07 - Magnetism
Raw Score]],AVERAGE(tblY11[[4P07 - Magnetism
Raw Score]]),_xlfn.STDEV.P(tblY11[[4P07 - Magnetism
Raw Score]])),9),_Stanine,2),5),"")</f>
        <v>5</v>
      </c>
    </row>
    <row r="76">
      <c r="A76" s="65" t="inlineStr">
        <is>
          <t>X905700888686</t>
        </is>
      </c>
      <c r="B76" s="65" t="inlineStr">
        <is>
          <t>White</t>
        </is>
      </c>
      <c r="C76" s="65" t="inlineStr">
        <is>
          <t>Lily</t>
        </is>
      </c>
      <c r="D76" s="66" t="inlineStr">
        <is>
          <t>F</t>
        </is>
      </c>
      <c r="E76" s="66" t="n"/>
      <c r="F76" s="66" t="inlineStr">
        <is>
          <t>N</t>
        </is>
      </c>
      <c r="G76" s="34" t="n">
        <v>97</v>
      </c>
      <c r="H76" s="34" t="n">
        <v>110.5</v>
      </c>
      <c r="I76" s="67">
        <f>IF(ISNUMBER(tblY11[[#This Row],[Avg KS2]]),IFERROR(VLOOKUP(ROUND(STANDARDIZE(tblY11[[#This Row],[Avg KS2]],AVERAGE(tblY11[[Avg KS2]]),_xlfn.STDEV.P(tblY11[[Avg KS2]])),9),_Stanine,2),5),"")</f>
        <v>7</v>
      </c>
      <c r="J76" s="66" t="inlineStr">
        <is>
          <t>11S/Sc3</t>
        </is>
      </c>
      <c r="K76" s="67">
        <f>IF(tblY11[[#This Row],[Preferred Last name]]="","",COUNTIFS($N$1:$ZZ$1,"*"&amp;CHAR(10)&amp;"Stanine",$N76:$ZZ76,"&gt;=1"))</f>
        <v>6</v>
      </c>
      <c r="L76" s="68">
        <f>IFERROR(AVERAGEIF($N$1:$ZZ$1,"*"&amp;CHAR(10)&amp;"Stanine",$N76:$ZZ76),"")</f>
        <v>7.16666666666667</v>
      </c>
      <c r="M76" s="69">
        <f>IF(AND(ISNUMBER(tblY11[[#This Row],[Mean Stanine]]),ISNUMBER(tblY11[[#This Row],[Avg KS2 Band]]),ISNUMBER(SlopeY11)),tblY11[[#This Row],[Mean Stanine]]-(InterceptY11+SlopeY11*tblY11[[#This Row],[Avg KS2 Band]]),"")</f>
        <v>0.716240981240982</v>
      </c>
      <c r="N76" s="66" t="n">
        <v>30</v>
      </c>
      <c r="O76" s="67">
        <f>IF(ISNUMBER(tblY11[[#This Row],[4B05 - Homeostasis
Raw Score]]),IFERROR(VLOOKUP(ROUND(STANDARDIZE(tblY11[[#This Row],[4B05 - Homeostasis
Raw Score]],AVERAGE(tblY11[[4B05 - Homeostasis
Raw Score]]),_xlfn.STDEV.P(tblY11[[4B05 - Homeostasis
Raw Score]])),9),_Stanine,2),5),"")</f>
        <v>7</v>
      </c>
      <c r="P76" s="66" t="n">
        <v>26</v>
      </c>
      <c r="Q76" s="67">
        <f>IF(ISNUMBER(tblY11[[#This Row],[4C09 - Organic Chemistry
Raw Score]]),IFERROR(VLOOKUP(ROUND(STANDARDIZE(tblY11[[#This Row],[4C09 - Organic Chemistry
Raw Score]],AVERAGE(tblY11[[4C09 - Organic Chemistry
Raw Score]]),_xlfn.STDEV.P(tblY11[[4C09 - Organic Chemistry
Raw Score]])),9),_Stanine,2),5),"")</f>
        <v>8</v>
      </c>
      <c r="R76" s="66" t="n">
        <v>31</v>
      </c>
      <c r="S76" s="67">
        <f>IF(ISNUMBER(tblY11[[#This Row],[4P06 - Waves
Raw Score]]),IFERROR(VLOOKUP(ROUND(STANDARDIZE(tblY11[[#This Row],[4P06 - Waves
Raw Score]],AVERAGE(tblY11[[4P06 - Waves
Raw Score]]),_xlfn.STDEV.P(tblY11[[4P06 - Waves
Raw Score]])),9),_Stanine,2),5),"")</f>
        <v>7</v>
      </c>
      <c r="T76" s="66" t="n">
        <v>32</v>
      </c>
      <c r="U76" s="67">
        <f>IF(ISNUMBER(tblY11[[#This Row],[4B06 - Inheritance
Raw Score]]),IFERROR(VLOOKUP(ROUND(STANDARDIZE(tblY11[[#This Row],[4B06 - Inheritance
Raw Score]],AVERAGE(tblY11[[4B06 - Inheritance
Raw Score]]),_xlfn.STDEV.P(tblY11[[4B06 - Inheritance
Raw Score]])),9),_Stanine,2),5),"")</f>
        <v>8</v>
      </c>
      <c r="V76" s="66" t="n">
        <v>17</v>
      </c>
      <c r="W76" s="67">
        <f>IF(ISNUMBER(tblY11[[#This Row],[4C10 - Chemical Analysis
Raw Score]]),IFERROR(VLOOKUP(ROUND(STANDARDIZE(tblY11[[#This Row],[4C10 - Chemical Analysis
Raw Score]],AVERAGE(tblY11[[4C10 - Chemical Analysis
Raw Score]]),_xlfn.STDEV.P(tblY11[[4C10 - Chemical Analysis
Raw Score]])),9),_Stanine,2),5),"")</f>
        <v>6</v>
      </c>
      <c r="X76" s="66" t="n">
        <v>23</v>
      </c>
      <c r="Y76" s="67">
        <f>IF(ISNUMBER(tblY11[[#This Row],[4P07 - Magnetism
Raw Score]]),IFERROR(VLOOKUP(ROUND(STANDARDIZE(tblY11[[#This Row],[4P07 - Magnetism
Raw Score]],AVERAGE(tblY11[[4P07 - Magnetism
Raw Score]]),_xlfn.STDEV.P(tblY11[[4P07 - Magnetism
Raw Score]])),9),_Stanine,2),5),"")</f>
        <v>7</v>
      </c>
    </row>
    <row r="77">
      <c r="A77" s="65" t="inlineStr">
        <is>
          <t>X908398747452</t>
        </is>
      </c>
      <c r="B77" s="65" t="inlineStr">
        <is>
          <t>Adeyemi</t>
        </is>
      </c>
      <c r="C77" s="65" t="inlineStr">
        <is>
          <t>Isla</t>
        </is>
      </c>
      <c r="D77" s="66" t="inlineStr">
        <is>
          <t>F</t>
        </is>
      </c>
      <c r="E77" s="66" t="inlineStr">
        <is>
          <t>N</t>
        </is>
      </c>
      <c r="F77" s="66" t="inlineStr">
        <is>
          <t>N</t>
        </is>
      </c>
      <c r="G77" s="34" t="n">
        <v>91.8</v>
      </c>
      <c r="H77" s="34" t="n">
        <v>100</v>
      </c>
      <c r="I77" s="67">
        <f>IF(ISNUMBER(tblY11[[#This Row],[Avg KS2]]),IFERROR(VLOOKUP(ROUND(STANDARDIZE(tblY11[[#This Row],[Avg KS2]],AVERAGE(tblY11[[Avg KS2]]),_xlfn.STDEV.P(tblY11[[Avg KS2]])),9),_Stanine,2),5),"")</f>
        <v>4</v>
      </c>
      <c r="J77" s="66" t="inlineStr">
        <is>
          <t>11S/Sc4</t>
        </is>
      </c>
      <c r="K77" s="67">
        <f>IF(tblY11[[#This Row],[Preferred Last name]]="","",COUNTIFS($N$1:$ZZ$1,"*"&amp;CHAR(10)&amp;"Stanine",$N77:$ZZ77,"&gt;=1"))</f>
        <v>6</v>
      </c>
      <c r="L77" s="68">
        <f>IFERROR(AVERAGEIF($N$1:$ZZ$1,"*"&amp;CHAR(10)&amp;"Stanine",$N77:$ZZ77),"")</f>
        <v>3.66666666666667</v>
      </c>
      <c r="M77" s="69">
        <f>IF(AND(ISNUMBER(tblY11[[#This Row],[Mean Stanine]]),ISNUMBER(tblY11[[#This Row],[Avg KS2 Band]]),ISNUMBER(SlopeY11)),tblY11[[#This Row],[Mean Stanine]]-(InterceptY11+SlopeY11*tblY11[[#This Row],[Avg KS2 Band]]),"")</f>
        <v>-0.537168109668109</v>
      </c>
      <c r="N77" s="66" t="n">
        <v>11</v>
      </c>
      <c r="O77" s="67">
        <f>IF(ISNUMBER(tblY11[[#This Row],[4B05 - Homeostasis
Raw Score]]),IFERROR(VLOOKUP(ROUND(STANDARDIZE(tblY11[[#This Row],[4B05 - Homeostasis
Raw Score]],AVERAGE(tblY11[[4B05 - Homeostasis
Raw Score]]),_xlfn.STDEV.P(tblY11[[4B05 - Homeostasis
Raw Score]])),9),_Stanine,2),5),"")</f>
        <v>3</v>
      </c>
      <c r="P77" s="66" t="n">
        <v>9</v>
      </c>
      <c r="Q77" s="67">
        <f>IF(ISNUMBER(tblY11[[#This Row],[4C09 - Organic Chemistry
Raw Score]]),IFERROR(VLOOKUP(ROUND(STANDARDIZE(tblY11[[#This Row],[4C09 - Organic Chemistry
Raw Score]],AVERAGE(tblY11[[4C09 - Organic Chemistry
Raw Score]]),_xlfn.STDEV.P(tblY11[[4C09 - Organic Chemistry
Raw Score]])),9),_Stanine,2),5),"")</f>
        <v>3</v>
      </c>
      <c r="R77" s="66" t="n">
        <v>13</v>
      </c>
      <c r="S77" s="67">
        <f>IF(ISNUMBER(tblY11[[#This Row],[4P06 - Waves
Raw Score]]),IFERROR(VLOOKUP(ROUND(STANDARDIZE(tblY11[[#This Row],[4P06 - Waves
Raw Score]],AVERAGE(tblY11[[4P06 - Waves
Raw Score]]),_xlfn.STDEV.P(tblY11[[4P06 - Waves
Raw Score]])),9),_Stanine,2),5),"")</f>
        <v>3</v>
      </c>
      <c r="T77" s="66" t="n">
        <v>12</v>
      </c>
      <c r="U77" s="67">
        <f>IF(ISNUMBER(tblY11[[#This Row],[4B06 - Inheritance
Raw Score]]),IFERROR(VLOOKUP(ROUND(STANDARDIZE(tblY11[[#This Row],[4B06 - Inheritance
Raw Score]],AVERAGE(tblY11[[4B06 - Inheritance
Raw Score]]),_xlfn.STDEV.P(tblY11[[4B06 - Inheritance
Raw Score]])),9),_Stanine,2),5),"")</f>
        <v>4</v>
      </c>
      <c r="V77" s="66" t="n">
        <v>11</v>
      </c>
      <c r="W77" s="67">
        <f>IF(ISNUMBER(tblY11[[#This Row],[4C10 - Chemical Analysis
Raw Score]]),IFERROR(VLOOKUP(ROUND(STANDARDIZE(tblY11[[#This Row],[4C10 - Chemical Analysis
Raw Score]],AVERAGE(tblY11[[4C10 - Chemical Analysis
Raw Score]]),_xlfn.STDEV.P(tblY11[[4C10 - Chemical Analysis
Raw Score]])),9),_Stanine,2),5),"")</f>
        <v>4</v>
      </c>
      <c r="X77" s="66" t="n">
        <v>15</v>
      </c>
      <c r="Y77" s="67">
        <f>IF(ISNUMBER(tblY11[[#This Row],[4P07 - Magnetism
Raw Score]]),IFERROR(VLOOKUP(ROUND(STANDARDIZE(tblY11[[#This Row],[4P07 - Magnetism
Raw Score]],AVERAGE(tblY11[[4P07 - Magnetism
Raw Score]]),_xlfn.STDEV.P(tblY11[[4P07 - Magnetism
Raw Score]])),9),_Stanine,2),5),"")</f>
        <v>5</v>
      </c>
    </row>
    <row r="78">
      <c r="A78" s="65" t="inlineStr">
        <is>
          <t>X909045378163</t>
        </is>
      </c>
      <c r="B78" s="65" t="inlineStr">
        <is>
          <t>Ahmed</t>
        </is>
      </c>
      <c r="C78" s="65" t="inlineStr">
        <is>
          <t>Maisie</t>
        </is>
      </c>
      <c r="D78" s="66" t="inlineStr">
        <is>
          <t>F</t>
        </is>
      </c>
      <c r="E78" s="66" t="inlineStr">
        <is>
          <t>K</t>
        </is>
      </c>
      <c r="F78" s="66" t="inlineStr">
        <is>
          <t>Y</t>
        </is>
      </c>
      <c r="G78" s="34" t="n">
        <v>100</v>
      </c>
      <c r="H78" s="34" t="n">
        <v>97</v>
      </c>
      <c r="I78" s="67">
        <f>IF(ISNUMBER(tblY11[[#This Row],[Avg KS2]]),IFERROR(VLOOKUP(ROUND(STANDARDIZE(tblY11[[#This Row],[Avg KS2]],AVERAGE(tblY11[[Avg KS2]]),_xlfn.STDEV.P(tblY11[[Avg KS2]])),9),_Stanine,2),5),"")</f>
        <v>3</v>
      </c>
      <c r="J78" s="66" t="inlineStr">
        <is>
          <t>11S/Sc4</t>
        </is>
      </c>
      <c r="K78" s="67">
        <f>IF(tblY11[[#This Row],[Preferred Last name]]="","",COUNTIFS($N$1:$ZZ$1,"*"&amp;CHAR(10)&amp;"Stanine",$N78:$ZZ78,"&gt;=1"))</f>
        <v>6</v>
      </c>
      <c r="L78" s="68">
        <f>IFERROR(AVERAGEIF($N$1:$ZZ$1,"*"&amp;CHAR(10)&amp;"Stanine",$N78:$ZZ78),"")</f>
        <v>2.16666666666667</v>
      </c>
      <c r="M78" s="69">
        <f>IF(AND(ISNUMBER(tblY11[[#This Row],[Mean Stanine]]),ISNUMBER(tblY11[[#This Row],[Avg KS2 Band]]),ISNUMBER(SlopeY11)),tblY11[[#This Row],[Mean Stanine]]-(InterceptY11+SlopeY11*tblY11[[#This Row],[Avg KS2 Band]]),"")</f>
        <v>-1.28830447330447</v>
      </c>
      <c r="N78" s="66" t="n">
        <v>11</v>
      </c>
      <c r="O78" s="67">
        <f>IF(ISNUMBER(tblY11[[#This Row],[4B05 - Homeostasis
Raw Score]]),IFERROR(VLOOKUP(ROUND(STANDARDIZE(tblY11[[#This Row],[4B05 - Homeostasis
Raw Score]],AVERAGE(tblY11[[4B05 - Homeostasis
Raw Score]]),_xlfn.STDEV.P(tblY11[[4B05 - Homeostasis
Raw Score]])),9),_Stanine,2),5),"")</f>
        <v>3</v>
      </c>
      <c r="P78" s="66" t="n">
        <v>6</v>
      </c>
      <c r="Q78" s="67">
        <f>IF(ISNUMBER(tblY11[[#This Row],[4C09 - Organic Chemistry
Raw Score]]),IFERROR(VLOOKUP(ROUND(STANDARDIZE(tblY11[[#This Row],[4C09 - Organic Chemistry
Raw Score]],AVERAGE(tblY11[[4C09 - Organic Chemistry
Raw Score]]),_xlfn.STDEV.P(tblY11[[4C09 - Organic Chemistry
Raw Score]])),9),_Stanine,2),5),"")</f>
        <v>2</v>
      </c>
      <c r="R78" s="66" t="n">
        <v>7</v>
      </c>
      <c r="S78" s="67">
        <f>IF(ISNUMBER(tblY11[[#This Row],[4P06 - Waves
Raw Score]]),IFERROR(VLOOKUP(ROUND(STANDARDIZE(tblY11[[#This Row],[4P06 - Waves
Raw Score]],AVERAGE(tblY11[[4P06 - Waves
Raw Score]]),_xlfn.STDEV.P(tblY11[[4P06 - Waves
Raw Score]])),9),_Stanine,2),5),"")</f>
        <v>2</v>
      </c>
      <c r="T78" s="66" t="n">
        <v>4</v>
      </c>
      <c r="U78" s="67">
        <f>IF(ISNUMBER(tblY11[[#This Row],[4B06 - Inheritance
Raw Score]]),IFERROR(VLOOKUP(ROUND(STANDARDIZE(tblY11[[#This Row],[4B06 - Inheritance
Raw Score]],AVERAGE(tblY11[[4B06 - Inheritance
Raw Score]]),_xlfn.STDEV.P(tblY11[[4B06 - Inheritance
Raw Score]])),9),_Stanine,2),5),"")</f>
        <v>2</v>
      </c>
      <c r="V78" s="66" t="n">
        <v>4</v>
      </c>
      <c r="W78" s="67">
        <f>IF(ISNUMBER(tblY11[[#This Row],[4C10 - Chemical Analysis
Raw Score]]),IFERROR(VLOOKUP(ROUND(STANDARDIZE(tblY11[[#This Row],[4C10 - Chemical Analysis
Raw Score]],AVERAGE(tblY11[[4C10 - Chemical Analysis
Raw Score]]),_xlfn.STDEV.P(tblY11[[4C10 - Chemical Analysis
Raw Score]])),9),_Stanine,2),5),"")</f>
        <v>2</v>
      </c>
      <c r="X78" s="66" t="n">
        <v>4</v>
      </c>
      <c r="Y78" s="67">
        <f>IF(ISNUMBER(tblY11[[#This Row],[4P07 - Magnetism
Raw Score]]),IFERROR(VLOOKUP(ROUND(STANDARDIZE(tblY11[[#This Row],[4P07 - Magnetism
Raw Score]],AVERAGE(tblY11[[4P07 - Magnetism
Raw Score]]),_xlfn.STDEV.P(tblY11[[4P07 - Magnetism
Raw Score]])),9),_Stanine,2),5),"")</f>
        <v>2</v>
      </c>
    </row>
    <row r="79">
      <c r="A79" s="65" t="inlineStr">
        <is>
          <t>X908334606435</t>
        </is>
      </c>
      <c r="B79" s="65" t="inlineStr">
        <is>
          <t>Cooper</t>
        </is>
      </c>
      <c r="C79" s="65" t="inlineStr">
        <is>
          <t>Amelia</t>
        </is>
      </c>
      <c r="D79" s="66" t="inlineStr">
        <is>
          <t>F</t>
        </is>
      </c>
      <c r="E79" s="66" t="inlineStr">
        <is>
          <t>N</t>
        </is>
      </c>
      <c r="F79" s="66" t="inlineStr">
        <is>
          <t>N</t>
        </is>
      </c>
      <c r="G79" s="34" t="n">
        <v>86.3</v>
      </c>
      <c r="H79" s="34" t="n">
        <v>105.5</v>
      </c>
      <c r="I79" s="67">
        <f>IF(ISNUMBER(tblY11[[#This Row],[Avg KS2]]),IFERROR(VLOOKUP(ROUND(STANDARDIZE(tblY11[[#This Row],[Avg KS2]],AVERAGE(tblY11[[Avg KS2]]),_xlfn.STDEV.P(tblY11[[Avg KS2]])),9),_Stanine,2),5),"")</f>
        <v>5</v>
      </c>
      <c r="J79" s="66" t="inlineStr">
        <is>
          <t>11S/Sc4</t>
        </is>
      </c>
      <c r="K79" s="67">
        <f>IF(tblY11[[#This Row],[Preferred Last name]]="","",COUNTIFS($N$1:$ZZ$1,"*"&amp;CHAR(10)&amp;"Stanine",$N79:$ZZ79,"&gt;=1"))</f>
        <v>6</v>
      </c>
      <c r="L79" s="68">
        <f>IFERROR(AVERAGEIF($N$1:$ZZ$1,"*"&amp;CHAR(10)&amp;"Stanine",$N79:$ZZ79),"")</f>
        <v>4.66666666666667</v>
      </c>
      <c r="M79" s="69">
        <f>IF(AND(ISNUMBER(tblY11[[#This Row],[Mean Stanine]]),ISNUMBER(tblY11[[#This Row],[Avg KS2 Band]]),ISNUMBER(SlopeY11)),tblY11[[#This Row],[Mean Stanine]]-(InterceptY11+SlopeY11*tblY11[[#This Row],[Avg KS2 Band]]),"")</f>
        <v>-0.286031746031745</v>
      </c>
      <c r="N79" s="66" t="n">
        <v>15</v>
      </c>
      <c r="O79" s="67">
        <f>IF(ISNUMBER(tblY11[[#This Row],[4B05 - Homeostasis
Raw Score]]),IFERROR(VLOOKUP(ROUND(STANDARDIZE(tblY11[[#This Row],[4B05 - Homeostasis
Raw Score]],AVERAGE(tblY11[[4B05 - Homeostasis
Raw Score]]),_xlfn.STDEV.P(tblY11[[4B05 - Homeostasis
Raw Score]])),9),_Stanine,2),5),"")</f>
        <v>4</v>
      </c>
      <c r="P79" s="66" t="n">
        <v>12</v>
      </c>
      <c r="Q79" s="67">
        <f>IF(ISNUMBER(tblY11[[#This Row],[4C09 - Organic Chemistry
Raw Score]]),IFERROR(VLOOKUP(ROUND(STANDARDIZE(tblY11[[#This Row],[4C09 - Organic Chemistry
Raw Score]],AVERAGE(tblY11[[4C09 - Organic Chemistry
Raw Score]]),_xlfn.STDEV.P(tblY11[[4C09 - Organic Chemistry
Raw Score]])),9),_Stanine,2),5),"")</f>
        <v>4</v>
      </c>
      <c r="R79" s="66" t="n">
        <v>19</v>
      </c>
      <c r="S79" s="67">
        <f>IF(ISNUMBER(tblY11[[#This Row],[4P06 - Waves
Raw Score]]),IFERROR(VLOOKUP(ROUND(STANDARDIZE(tblY11[[#This Row],[4P06 - Waves
Raw Score]],AVERAGE(tblY11[[4P06 - Waves
Raw Score]]),_xlfn.STDEV.P(tblY11[[4P06 - Waves
Raw Score]])),9),_Stanine,2),5),"")</f>
        <v>5</v>
      </c>
      <c r="T79" s="66" t="n">
        <v>18</v>
      </c>
      <c r="U79" s="67">
        <f>IF(ISNUMBER(tblY11[[#This Row],[4B06 - Inheritance
Raw Score]]),IFERROR(VLOOKUP(ROUND(STANDARDIZE(tblY11[[#This Row],[4B06 - Inheritance
Raw Score]],AVERAGE(tblY11[[4B06 - Inheritance
Raw Score]]),_xlfn.STDEV.P(tblY11[[4B06 - Inheritance
Raw Score]])),9),_Stanine,2),5),"")</f>
        <v>5</v>
      </c>
      <c r="V79" s="66" t="n">
        <v>11</v>
      </c>
      <c r="W79" s="67">
        <f>IF(ISNUMBER(tblY11[[#This Row],[4C10 - Chemical Analysis
Raw Score]]),IFERROR(VLOOKUP(ROUND(STANDARDIZE(tblY11[[#This Row],[4C10 - Chemical Analysis
Raw Score]],AVERAGE(tblY11[[4C10 - Chemical Analysis
Raw Score]]),_xlfn.STDEV.P(tblY11[[4C10 - Chemical Analysis
Raw Score]])),9),_Stanine,2),5),"")</f>
        <v>4</v>
      </c>
      <c r="X79" s="66" t="n">
        <v>18</v>
      </c>
      <c r="Y79" s="67">
        <f>IF(ISNUMBER(tblY11[[#This Row],[4P07 - Magnetism
Raw Score]]),IFERROR(VLOOKUP(ROUND(STANDARDIZE(tblY11[[#This Row],[4P07 - Magnetism
Raw Score]],AVERAGE(tblY11[[4P07 - Magnetism
Raw Score]]),_xlfn.STDEV.P(tblY11[[4P07 - Magnetism
Raw Score]])),9),_Stanine,2),5),"")</f>
        <v>6</v>
      </c>
    </row>
    <row r="80">
      <c r="A80" s="65" t="inlineStr">
        <is>
          <t>X903896864651</t>
        </is>
      </c>
      <c r="B80" s="65" t="inlineStr">
        <is>
          <t>Khan</t>
        </is>
      </c>
      <c r="C80" s="65" t="inlineStr">
        <is>
          <t>Zofia</t>
        </is>
      </c>
      <c r="D80" s="66" t="inlineStr">
        <is>
          <t>F</t>
        </is>
      </c>
      <c r="E80" s="66" t="inlineStr">
        <is>
          <t>N</t>
        </is>
      </c>
      <c r="F80" s="66" t="inlineStr">
        <is>
          <t>Y</t>
        </is>
      </c>
      <c r="G80" s="34" t="n">
        <v>89.3</v>
      </c>
      <c r="H80" s="34" t="n">
        <v>102</v>
      </c>
      <c r="I80" s="67">
        <f>IF(ISNUMBER(tblY11[[#This Row],[Avg KS2]]),IFERROR(VLOOKUP(ROUND(STANDARDIZE(tblY11[[#This Row],[Avg KS2]],AVERAGE(tblY11[[Avg KS2]]),_xlfn.STDEV.P(tblY11[[Avg KS2]])),9),_Stanine,2),5),"")</f>
        <v>4</v>
      </c>
      <c r="J80" s="66" t="inlineStr">
        <is>
          <t>11S/Sc4</t>
        </is>
      </c>
      <c r="K80" s="67">
        <f>IF(tblY11[[#This Row],[Preferred Last name]]="","",COUNTIFS($N$1:$ZZ$1,"*"&amp;CHAR(10)&amp;"Stanine",$N80:$ZZ80,"&gt;=1"))</f>
        <v>6</v>
      </c>
      <c r="L80" s="68">
        <f>IFERROR(AVERAGEIF($N$1:$ZZ$1,"*"&amp;CHAR(10)&amp;"Stanine",$N80:$ZZ80),"")</f>
        <v>3.33333333333333</v>
      </c>
      <c r="M80" s="69">
        <f>IF(AND(ISNUMBER(tblY11[[#This Row],[Mean Stanine]]),ISNUMBER(tblY11[[#This Row],[Avg KS2 Band]]),ISNUMBER(SlopeY11)),tblY11[[#This Row],[Mean Stanine]]-(InterceptY11+SlopeY11*tblY11[[#This Row],[Avg KS2 Band]]),"")</f>
        <v>-0.870501443001442</v>
      </c>
      <c r="N80" s="66" t="n">
        <v>14</v>
      </c>
      <c r="O80" s="67">
        <f>IF(ISNUMBER(tblY11[[#This Row],[4B05 - Homeostasis
Raw Score]]),IFERROR(VLOOKUP(ROUND(STANDARDIZE(tblY11[[#This Row],[4B05 - Homeostasis
Raw Score]],AVERAGE(tblY11[[4B05 - Homeostasis
Raw Score]]),_xlfn.STDEV.P(tblY11[[4B05 - Homeostasis
Raw Score]])),9),_Stanine,2),5),"")</f>
        <v>3</v>
      </c>
      <c r="P80" s="66" t="n">
        <v>9</v>
      </c>
      <c r="Q80" s="67">
        <f>IF(ISNUMBER(tblY11[[#This Row],[4C09 - Organic Chemistry
Raw Score]]),IFERROR(VLOOKUP(ROUND(STANDARDIZE(tblY11[[#This Row],[4C09 - Organic Chemistry
Raw Score]],AVERAGE(tblY11[[4C09 - Organic Chemistry
Raw Score]]),_xlfn.STDEV.P(tblY11[[4C09 - Organic Chemistry
Raw Score]])),9),_Stanine,2),5),"")</f>
        <v>3</v>
      </c>
      <c r="R80" s="66" t="n">
        <v>14</v>
      </c>
      <c r="S80" s="67">
        <f>IF(ISNUMBER(tblY11[[#This Row],[4P06 - Waves
Raw Score]]),IFERROR(VLOOKUP(ROUND(STANDARDIZE(tblY11[[#This Row],[4P06 - Waves
Raw Score]],AVERAGE(tblY11[[4P06 - Waves
Raw Score]]),_xlfn.STDEV.P(tblY11[[4P06 - Waves
Raw Score]])),9),_Stanine,2),5),"")</f>
        <v>3</v>
      </c>
      <c r="T80" s="66" t="n">
        <v>15</v>
      </c>
      <c r="U80" s="67">
        <f>IF(ISNUMBER(tblY11[[#This Row],[4B06 - Inheritance
Raw Score]]),IFERROR(VLOOKUP(ROUND(STANDARDIZE(tblY11[[#This Row],[4B06 - Inheritance
Raw Score]],AVERAGE(tblY11[[4B06 - Inheritance
Raw Score]]),_xlfn.STDEV.P(tblY11[[4B06 - Inheritance
Raw Score]])),9),_Stanine,2),5),"")</f>
        <v>4</v>
      </c>
      <c r="V80" s="66" t="n">
        <v>8</v>
      </c>
      <c r="W80" s="67">
        <f>IF(ISNUMBER(tblY11[[#This Row],[4C10 - Chemical Analysis
Raw Score]]),IFERROR(VLOOKUP(ROUND(STANDARDIZE(tblY11[[#This Row],[4C10 - Chemical Analysis
Raw Score]],AVERAGE(tblY11[[4C10 - Chemical Analysis
Raw Score]]),_xlfn.STDEV.P(tblY11[[4C10 - Chemical Analysis
Raw Score]])),9),_Stanine,2),5),"")</f>
        <v>3</v>
      </c>
      <c r="X80" s="66" t="n">
        <v>13</v>
      </c>
      <c r="Y80" s="67">
        <f>IF(ISNUMBER(tblY11[[#This Row],[4P07 - Magnetism
Raw Score]]),IFERROR(VLOOKUP(ROUND(STANDARDIZE(tblY11[[#This Row],[4P07 - Magnetism
Raw Score]],AVERAGE(tblY11[[4P07 - Magnetism
Raw Score]]),_xlfn.STDEV.P(tblY11[[4P07 - Magnetism
Raw Score]])),9),_Stanine,2),5),"")</f>
        <v>4</v>
      </c>
    </row>
    <row r="81">
      <c r="A81" s="65" t="inlineStr">
        <is>
          <t>X902993474538</t>
        </is>
      </c>
      <c r="B81" s="65" t="inlineStr">
        <is>
          <t>Kowalski</t>
        </is>
      </c>
      <c r="C81" s="65" t="inlineStr">
        <is>
          <t>Layla</t>
        </is>
      </c>
      <c r="D81" s="66" t="inlineStr">
        <is>
          <t>F</t>
        </is>
      </c>
      <c r="E81" s="66" t="n"/>
      <c r="F81" s="66" t="inlineStr">
        <is>
          <t>N</t>
        </is>
      </c>
      <c r="G81" s="34" t="n">
        <v>93</v>
      </c>
      <c r="H81" s="34" t="n">
        <v>96</v>
      </c>
      <c r="I81" s="67">
        <f>IF(ISNUMBER(tblY11[[#This Row],[Avg KS2]]),IFERROR(VLOOKUP(ROUND(STANDARDIZE(tblY11[[#This Row],[Avg KS2]],AVERAGE(tblY11[[Avg KS2]]),_xlfn.STDEV.P(tblY11[[Avg KS2]])),9),_Stanine,2),5),"")</f>
        <v>2</v>
      </c>
      <c r="J81" s="66" t="inlineStr">
        <is>
          <t>11S/Sc4</t>
        </is>
      </c>
      <c r="K81" s="67">
        <f>IF(tblY11[[#This Row],[Preferred Last name]]="","",COUNTIFS($N$1:$ZZ$1,"*"&amp;CHAR(10)&amp;"Stanine",$N81:$ZZ81,"&gt;=1"))</f>
        <v>6</v>
      </c>
      <c r="L81" s="68">
        <f>IFERROR(AVERAGEIF($N$1:$ZZ$1,"*"&amp;CHAR(10)&amp;"Stanine",$N81:$ZZ81),"")</f>
        <v>2.66666666666667</v>
      </c>
      <c r="M81" s="69">
        <f>IF(AND(ISNUMBER(tblY11[[#This Row],[Mean Stanine]]),ISNUMBER(tblY11[[#This Row],[Avg KS2 Band]]),ISNUMBER(SlopeY11)),tblY11[[#This Row],[Mean Stanine]]-(InterceptY11+SlopeY11*tblY11[[#This Row],[Avg KS2 Band]]),"")</f>
        <v>-0.0394408369408366</v>
      </c>
      <c r="N81" s="66" t="n">
        <v>11</v>
      </c>
      <c r="O81" s="67">
        <f>IF(ISNUMBER(tblY11[[#This Row],[4B05 - Homeostasis
Raw Score]]),IFERROR(VLOOKUP(ROUND(STANDARDIZE(tblY11[[#This Row],[4B05 - Homeostasis
Raw Score]],AVERAGE(tblY11[[4B05 - Homeostasis
Raw Score]]),_xlfn.STDEV.P(tblY11[[4B05 - Homeostasis
Raw Score]])),9),_Stanine,2),5),"")</f>
        <v>3</v>
      </c>
      <c r="P81" s="66" t="n">
        <v>5</v>
      </c>
      <c r="Q81" s="67">
        <f>IF(ISNUMBER(tblY11[[#This Row],[4C09 - Organic Chemistry
Raw Score]]),IFERROR(VLOOKUP(ROUND(STANDARDIZE(tblY11[[#This Row],[4C09 - Organic Chemistry
Raw Score]],AVERAGE(tblY11[[4C09 - Organic Chemistry
Raw Score]]),_xlfn.STDEV.P(tblY11[[4C09 - Organic Chemistry
Raw Score]])),9),_Stanine,2),5),"")</f>
        <v>2</v>
      </c>
      <c r="R81" s="66" t="n">
        <v>11</v>
      </c>
      <c r="S81" s="67">
        <f>IF(ISNUMBER(tblY11[[#This Row],[4P06 - Waves
Raw Score]]),IFERROR(VLOOKUP(ROUND(STANDARDIZE(tblY11[[#This Row],[4P06 - Waves
Raw Score]],AVERAGE(tblY11[[4P06 - Waves
Raw Score]]),_xlfn.STDEV.P(tblY11[[4P06 - Waves
Raw Score]])),9),_Stanine,2),5),"")</f>
        <v>3</v>
      </c>
      <c r="T81" s="66" t="n">
        <v>9</v>
      </c>
      <c r="U81" s="67">
        <f>IF(ISNUMBER(tblY11[[#This Row],[4B06 - Inheritance
Raw Score]]),IFERROR(VLOOKUP(ROUND(STANDARDIZE(tblY11[[#This Row],[4B06 - Inheritance
Raw Score]],AVERAGE(tblY11[[4B06 - Inheritance
Raw Score]]),_xlfn.STDEV.P(tblY11[[4B06 - Inheritance
Raw Score]])),9),_Stanine,2),5),"")</f>
        <v>3</v>
      </c>
      <c r="V81" s="66" t="n">
        <v>7</v>
      </c>
      <c r="W81" s="67">
        <f>IF(ISNUMBER(tblY11[[#This Row],[4C10 - Chemical Analysis
Raw Score]]),IFERROR(VLOOKUP(ROUND(STANDARDIZE(tblY11[[#This Row],[4C10 - Chemical Analysis
Raw Score]],AVERAGE(tblY11[[4C10 - Chemical Analysis
Raw Score]]),_xlfn.STDEV.P(tblY11[[4C10 - Chemical Analysis
Raw Score]])),9),_Stanine,2),5),"")</f>
        <v>3</v>
      </c>
      <c r="X81" s="66" t="n">
        <v>6</v>
      </c>
      <c r="Y81" s="67">
        <f>IF(ISNUMBER(tblY11[[#This Row],[4P07 - Magnetism
Raw Score]]),IFERROR(VLOOKUP(ROUND(STANDARDIZE(tblY11[[#This Row],[4P07 - Magnetism
Raw Score]],AVERAGE(tblY11[[4P07 - Magnetism
Raw Score]]),_xlfn.STDEV.P(tblY11[[4P07 - Magnetism
Raw Score]])),9),_Stanine,2),5),"")</f>
        <v>2</v>
      </c>
    </row>
    <row r="82">
      <c r="A82" s="65" t="inlineStr">
        <is>
          <t>X903135016943</t>
        </is>
      </c>
      <c r="B82" s="65" t="inlineStr">
        <is>
          <t>Lewis</t>
        </is>
      </c>
      <c r="C82" s="65" t="inlineStr">
        <is>
          <t>Amara</t>
        </is>
      </c>
      <c r="D82" s="66" t="inlineStr">
        <is>
          <t>F</t>
        </is>
      </c>
      <c r="E82" s="66" t="n"/>
      <c r="F82" s="66" t="inlineStr">
        <is>
          <t>N</t>
        </is>
      </c>
      <c r="G82" s="34" t="n">
        <v>100</v>
      </c>
      <c r="H82" s="34" t="n">
        <v>105</v>
      </c>
      <c r="I82" s="67">
        <f>IF(ISNUMBER(tblY11[[#This Row],[Avg KS2]]),IFERROR(VLOOKUP(ROUND(STANDARDIZE(tblY11[[#This Row],[Avg KS2]],AVERAGE(tblY11[[Avg KS2]]),_xlfn.STDEV.P(tblY11[[Avg KS2]])),9),_Stanine,2),5),"")</f>
        <v>5</v>
      </c>
      <c r="J82" s="66" t="inlineStr">
        <is>
          <t>11S/Sc4</t>
        </is>
      </c>
      <c r="K82" s="67">
        <f>IF(tblY11[[#This Row],[Preferred Last name]]="","",COUNTIFS($N$1:$ZZ$1,"*"&amp;CHAR(10)&amp;"Stanine",$N82:$ZZ82,"&gt;=1"))</f>
        <v>6</v>
      </c>
      <c r="L82" s="68">
        <f>IFERROR(AVERAGEIF($N$1:$ZZ$1,"*"&amp;CHAR(10)&amp;"Stanine",$N82:$ZZ82),"")</f>
        <v>4.5</v>
      </c>
      <c r="M82" s="69">
        <f>IF(AND(ISNUMBER(tblY11[[#This Row],[Mean Stanine]]),ISNUMBER(tblY11[[#This Row],[Avg KS2 Band]]),ISNUMBER(SlopeY11)),tblY11[[#This Row],[Mean Stanine]]-(InterceptY11+SlopeY11*tblY11[[#This Row],[Avg KS2 Band]]),"")</f>
        <v>-0.452698412698412</v>
      </c>
      <c r="N82" s="66" t="n">
        <v>16</v>
      </c>
      <c r="O82" s="67">
        <f>IF(ISNUMBER(tblY11[[#This Row],[4B05 - Homeostasis
Raw Score]]),IFERROR(VLOOKUP(ROUND(STANDARDIZE(tblY11[[#This Row],[4B05 - Homeostasis
Raw Score]],AVERAGE(tblY11[[4B05 - Homeostasis
Raw Score]]),_xlfn.STDEV.P(tblY11[[4B05 - Homeostasis
Raw Score]])),9),_Stanine,2),5),"")</f>
        <v>4</v>
      </c>
      <c r="P82" s="66" t="n">
        <v>24</v>
      </c>
      <c r="Q82" s="67">
        <f>IF(ISNUMBER(tblY11[[#This Row],[4C09 - Organic Chemistry
Raw Score]]),IFERROR(VLOOKUP(ROUND(STANDARDIZE(tblY11[[#This Row],[4C09 - Organic Chemistry
Raw Score]],AVERAGE(tblY11[[4C09 - Organic Chemistry
Raw Score]]),_xlfn.STDEV.P(tblY11[[4C09 - Organic Chemistry
Raw Score]])),9),_Stanine,2),5),"")</f>
        <v>7</v>
      </c>
      <c r="R82" s="66" t="n">
        <v>19</v>
      </c>
      <c r="S82" s="67">
        <f>IF(ISNUMBER(tblY11[[#This Row],[4P06 - Waves
Raw Score]]),IFERROR(VLOOKUP(ROUND(STANDARDIZE(tblY11[[#This Row],[4P06 - Waves
Raw Score]],AVERAGE(tblY11[[4P06 - Waves
Raw Score]]),_xlfn.STDEV.P(tblY11[[4P06 - Waves
Raw Score]])),9),_Stanine,2),5),"")</f>
        <v>5</v>
      </c>
      <c r="T82" s="66" t="n">
        <v>14</v>
      </c>
      <c r="U82" s="67">
        <f>IF(ISNUMBER(tblY11[[#This Row],[4B06 - Inheritance
Raw Score]]),IFERROR(VLOOKUP(ROUND(STANDARDIZE(tblY11[[#This Row],[4B06 - Inheritance
Raw Score]],AVERAGE(tblY11[[4B06 - Inheritance
Raw Score]]),_xlfn.STDEV.P(tblY11[[4B06 - Inheritance
Raw Score]])),9),_Stanine,2),5),"")</f>
        <v>4</v>
      </c>
      <c r="V82" s="66" t="n">
        <v>12</v>
      </c>
      <c r="W82" s="67">
        <f>IF(ISNUMBER(tblY11[[#This Row],[4C10 - Chemical Analysis
Raw Score]]),IFERROR(VLOOKUP(ROUND(STANDARDIZE(tblY11[[#This Row],[4C10 - Chemical Analysis
Raw Score]],AVERAGE(tblY11[[4C10 - Chemical Analysis
Raw Score]]),_xlfn.STDEV.P(tblY11[[4C10 - Chemical Analysis
Raw Score]])),9),_Stanine,2),5),"")</f>
        <v>4</v>
      </c>
      <c r="X82" s="66" t="n">
        <v>10</v>
      </c>
      <c r="Y82" s="67">
        <f>IF(ISNUMBER(tblY11[[#This Row],[4P07 - Magnetism
Raw Score]]),IFERROR(VLOOKUP(ROUND(STANDARDIZE(tblY11[[#This Row],[4P07 - Magnetism
Raw Score]],AVERAGE(tblY11[[4P07 - Magnetism
Raw Score]]),_xlfn.STDEV.P(tblY11[[4P07 - Magnetism
Raw Score]])),9),_Stanine,2),5),"")</f>
        <v>3</v>
      </c>
    </row>
    <row r="83">
      <c r="A83" s="65" t="inlineStr">
        <is>
          <t>X902340787437</t>
        </is>
      </c>
      <c r="B83" s="65" t="inlineStr">
        <is>
          <t>Lewis</t>
        </is>
      </c>
      <c r="C83" s="65" t="inlineStr">
        <is>
          <t>Zara</t>
        </is>
      </c>
      <c r="D83" s="66" t="inlineStr">
        <is>
          <t>M</t>
        </is>
      </c>
      <c r="E83" s="66" t="n"/>
      <c r="F83" s="66" t="inlineStr">
        <is>
          <t>Y</t>
        </is>
      </c>
      <c r="G83" s="34" t="n">
        <v>100</v>
      </c>
      <c r="H83" s="34" t="n">
        <v>98.5</v>
      </c>
      <c r="I83" s="67">
        <f>IF(ISNUMBER(tblY11[[#This Row],[Avg KS2]]),IFERROR(VLOOKUP(ROUND(STANDARDIZE(tblY11[[#This Row],[Avg KS2]],AVERAGE(tblY11[[Avg KS2]]),_xlfn.STDEV.P(tblY11[[Avg KS2]])),9),_Stanine,2),5),"")</f>
        <v>3</v>
      </c>
      <c r="J83" s="66" t="inlineStr">
        <is>
          <t>11S/Sc4</t>
        </is>
      </c>
      <c r="K83" s="67">
        <f>IF(tblY11[[#This Row],[Preferred Last name]]="","",COUNTIFS($N$1:$ZZ$1,"*"&amp;CHAR(10)&amp;"Stanine",$N83:$ZZ83,"&gt;=1"))</f>
        <v>5</v>
      </c>
      <c r="L83" s="68">
        <f>IFERROR(AVERAGEIF($N$1:$ZZ$1,"*"&amp;CHAR(10)&amp;"Stanine",$N83:$ZZ83),"")</f>
        <v>2.6</v>
      </c>
      <c r="M83" s="69">
        <f>IF(AND(ISNUMBER(tblY11[[#This Row],[Mean Stanine]]),ISNUMBER(tblY11[[#This Row],[Avg KS2 Band]]),ISNUMBER(SlopeY11)),tblY11[[#This Row],[Mean Stanine]]-(InterceptY11+SlopeY11*tblY11[[#This Row],[Avg KS2 Band]]),"")</f>
        <v>-0.854971139971139</v>
      </c>
      <c r="N83" s="66" t="n">
        <v>13</v>
      </c>
      <c r="O83" s="67">
        <f>IF(ISNUMBER(tblY11[[#This Row],[4B05 - Homeostasis
Raw Score]]),IFERROR(VLOOKUP(ROUND(STANDARDIZE(tblY11[[#This Row],[4B05 - Homeostasis
Raw Score]],AVERAGE(tblY11[[4B05 - Homeostasis
Raw Score]]),_xlfn.STDEV.P(tblY11[[4B05 - Homeostasis
Raw Score]])),9),_Stanine,2),5),"")</f>
        <v>3</v>
      </c>
      <c r="P83" s="66" t="n">
        <v>6</v>
      </c>
      <c r="Q83" s="67">
        <f>IF(ISNUMBER(tblY11[[#This Row],[4C09 - Organic Chemistry
Raw Score]]),IFERROR(VLOOKUP(ROUND(STANDARDIZE(tblY11[[#This Row],[4C09 - Organic Chemistry
Raw Score]],AVERAGE(tblY11[[4C09 - Organic Chemistry
Raw Score]]),_xlfn.STDEV.P(tblY11[[4C09 - Organic Chemistry
Raw Score]])),9),_Stanine,2),5),"")</f>
        <v>2</v>
      </c>
      <c r="R83" s="66" t="n">
        <v>11</v>
      </c>
      <c r="S83" s="67">
        <f>IF(ISNUMBER(tblY11[[#This Row],[4P06 - Waves
Raw Score]]),IFERROR(VLOOKUP(ROUND(STANDARDIZE(tblY11[[#This Row],[4P06 - Waves
Raw Score]],AVERAGE(tblY11[[4P06 - Waves
Raw Score]]),_xlfn.STDEV.P(tblY11[[4P06 - Waves
Raw Score]])),9),_Stanine,2),5),"")</f>
        <v>3</v>
      </c>
      <c r="T83" s="66" t="n">
        <v>8</v>
      </c>
      <c r="U83" s="67">
        <f>IF(ISNUMBER(tblY11[[#This Row],[4B06 - Inheritance
Raw Score]]),IFERROR(VLOOKUP(ROUND(STANDARDIZE(tblY11[[#This Row],[4B06 - Inheritance
Raw Score]],AVERAGE(tblY11[[4B06 - Inheritance
Raw Score]]),_xlfn.STDEV.P(tblY11[[4B06 - Inheritance
Raw Score]])),9),_Stanine,2),5),"")</f>
        <v>3</v>
      </c>
      <c r="V83" s="66" t="n">
        <v>6</v>
      </c>
      <c r="W83" s="67">
        <f>IF(ISNUMBER(tblY11[[#This Row],[4C10 - Chemical Analysis
Raw Score]]),IFERROR(VLOOKUP(ROUND(STANDARDIZE(tblY11[[#This Row],[4C10 - Chemical Analysis
Raw Score]],AVERAGE(tblY11[[4C10 - Chemical Analysis
Raw Score]]),_xlfn.STDEV.P(tblY11[[4C10 - Chemical Analysis
Raw Score]])),9),_Stanine,2),5),"")</f>
        <v>2</v>
      </c>
      <c r="X83" s="66" t="inlineStr">
        <is>
          <t>A</t>
        </is>
      </c>
      <c r="Y83" s="67" t="str">
        <f>IF(ISNUMBER(tblY11[[#This Row],[4P07 - Magnetism
Raw Score]]),IFERROR(VLOOKUP(ROUND(STANDARDIZE(tblY11[[#This Row],[4P07 - Magnetism
Raw Score]],AVERAGE(tblY11[[4P07 - Magnetism
Raw Score]]),_xlfn.STDEV.P(tblY11[[4P07 - Magnetism
Raw Score]])),9),_Stanine,2),5),"")</f>
        <v/>
      </c>
    </row>
    <row r="84">
      <c r="A84" s="65" t="inlineStr">
        <is>
          <t>X909834452072</t>
        </is>
      </c>
      <c r="B84" s="65" t="inlineStr">
        <is>
          <t>Morgan</t>
        </is>
      </c>
      <c r="C84" s="65" t="inlineStr">
        <is>
          <t>Amara</t>
        </is>
      </c>
      <c r="D84" s="66" t="inlineStr">
        <is>
          <t>F</t>
        </is>
      </c>
      <c r="E84" s="66" t="n"/>
      <c r="F84" s="66" t="inlineStr">
        <is>
          <t>N</t>
        </is>
      </c>
      <c r="G84" s="34" t="n">
        <v>100</v>
      </c>
      <c r="H84" s="34" t="n">
        <v>104</v>
      </c>
      <c r="I84" s="67">
        <f>IF(ISNUMBER(tblY11[[#This Row],[Avg KS2]]),IFERROR(VLOOKUP(ROUND(STANDARDIZE(tblY11[[#This Row],[Avg KS2]],AVERAGE(tblY11[[Avg KS2]]),_xlfn.STDEV.P(tblY11[[Avg KS2]])),9),_Stanine,2),5),"")</f>
        <v>5</v>
      </c>
      <c r="J84" s="66" t="inlineStr">
        <is>
          <t>11S/Sc4</t>
        </is>
      </c>
      <c r="K84" s="67">
        <f>IF(tblY11[[#This Row],[Preferred Last name]]="","",COUNTIFS($N$1:$ZZ$1,"*"&amp;CHAR(10)&amp;"Stanine",$N84:$ZZ84,"&gt;=1"))</f>
        <v>6</v>
      </c>
      <c r="L84" s="68">
        <f>IFERROR(AVERAGEIF($N$1:$ZZ$1,"*"&amp;CHAR(10)&amp;"Stanine",$N84:$ZZ84),"")</f>
        <v>3.33333333333333</v>
      </c>
      <c r="M84" s="69">
        <f>IF(AND(ISNUMBER(tblY11[[#This Row],[Mean Stanine]]),ISNUMBER(tblY11[[#This Row],[Avg KS2 Band]]),ISNUMBER(SlopeY11)),tblY11[[#This Row],[Mean Stanine]]-(InterceptY11+SlopeY11*tblY11[[#This Row],[Avg KS2 Band]]),"")</f>
        <v>-1.61936507936508</v>
      </c>
      <c r="N84" s="66" t="n">
        <v>12</v>
      </c>
      <c r="O84" s="67">
        <f>IF(ISNUMBER(tblY11[[#This Row],[4B05 - Homeostasis
Raw Score]]),IFERROR(VLOOKUP(ROUND(STANDARDIZE(tblY11[[#This Row],[4B05 - Homeostasis
Raw Score]],AVERAGE(tblY11[[4B05 - Homeostasis
Raw Score]]),_xlfn.STDEV.P(tblY11[[4B05 - Homeostasis
Raw Score]])),9),_Stanine,2),5),"")</f>
        <v>3</v>
      </c>
      <c r="P84" s="66" t="n">
        <v>8</v>
      </c>
      <c r="Q84" s="67">
        <f>IF(ISNUMBER(tblY11[[#This Row],[4C09 - Organic Chemistry
Raw Score]]),IFERROR(VLOOKUP(ROUND(STANDARDIZE(tblY11[[#This Row],[4C09 - Organic Chemistry
Raw Score]],AVERAGE(tblY11[[4C09 - Organic Chemistry
Raw Score]]),_xlfn.STDEV.P(tblY11[[4C09 - Organic Chemistry
Raw Score]])),9),_Stanine,2),5),"")</f>
        <v>3</v>
      </c>
      <c r="R84" s="66" t="n">
        <v>16</v>
      </c>
      <c r="S84" s="67">
        <f>IF(ISNUMBER(tblY11[[#This Row],[4P06 - Waves
Raw Score]]),IFERROR(VLOOKUP(ROUND(STANDARDIZE(tblY11[[#This Row],[4P06 - Waves
Raw Score]],AVERAGE(tblY11[[4P06 - Waves
Raw Score]]),_xlfn.STDEV.P(tblY11[[4P06 - Waves
Raw Score]])),9),_Stanine,2),5),"")</f>
        <v>4</v>
      </c>
      <c r="T84" s="66" t="n">
        <v>11</v>
      </c>
      <c r="U84" s="67">
        <f>IF(ISNUMBER(tblY11[[#This Row],[4B06 - Inheritance
Raw Score]]),IFERROR(VLOOKUP(ROUND(STANDARDIZE(tblY11[[#This Row],[4B06 - Inheritance
Raw Score]],AVERAGE(tblY11[[4B06 - Inheritance
Raw Score]]),_xlfn.STDEV.P(tblY11[[4B06 - Inheritance
Raw Score]])),9),_Stanine,2),5),"")</f>
        <v>3</v>
      </c>
      <c r="V84" s="66" t="n">
        <v>8</v>
      </c>
      <c r="W84" s="67">
        <f>IF(ISNUMBER(tblY11[[#This Row],[4C10 - Chemical Analysis
Raw Score]]),IFERROR(VLOOKUP(ROUND(STANDARDIZE(tblY11[[#This Row],[4C10 - Chemical Analysis
Raw Score]],AVERAGE(tblY11[[4C10 - Chemical Analysis
Raw Score]]),_xlfn.STDEV.P(tblY11[[4C10 - Chemical Analysis
Raw Score]])),9),_Stanine,2),5),"")</f>
        <v>3</v>
      </c>
      <c r="X84" s="66" t="n">
        <v>11</v>
      </c>
      <c r="Y84" s="67">
        <f>IF(ISNUMBER(tblY11[[#This Row],[4P07 - Magnetism
Raw Score]]),IFERROR(VLOOKUP(ROUND(STANDARDIZE(tblY11[[#This Row],[4P07 - Magnetism
Raw Score]],AVERAGE(tblY11[[4P07 - Magnetism
Raw Score]]),_xlfn.STDEV.P(tblY11[[4P07 - Magnetism
Raw Score]])),9),_Stanine,2),5),"")</f>
        <v>4</v>
      </c>
    </row>
    <row r="85">
      <c r="A85" s="65" t="inlineStr">
        <is>
          <t>X906134903113</t>
        </is>
      </c>
      <c r="B85" s="65" t="inlineStr">
        <is>
          <t>Morgan</t>
        </is>
      </c>
      <c r="C85" s="65" t="inlineStr">
        <is>
          <t>Hannah</t>
        </is>
      </c>
      <c r="D85" s="66" t="inlineStr">
        <is>
          <t>M</t>
        </is>
      </c>
      <c r="E85" s="66" t="n"/>
      <c r="F85" s="66" t="inlineStr">
        <is>
          <t>Y</t>
        </is>
      </c>
      <c r="G85" s="34" t="n">
        <v>92.8</v>
      </c>
      <c r="H85" s="34" t="n">
        <v>101</v>
      </c>
      <c r="I85" s="67">
        <f>IF(ISNUMBER(tblY11[[#This Row],[Avg KS2]]),IFERROR(VLOOKUP(ROUND(STANDARDIZE(tblY11[[#This Row],[Avg KS2]],AVERAGE(tblY11[[Avg KS2]]),_xlfn.STDEV.P(tblY11[[Avg KS2]])),9),_Stanine,2),5),"")</f>
        <v>4</v>
      </c>
      <c r="J85" s="66" t="inlineStr">
        <is>
          <t>11S/Sc4</t>
        </is>
      </c>
      <c r="K85" s="67">
        <f>IF(tblY11[[#This Row],[Preferred Last name]]="","",COUNTIFS($N$1:$ZZ$1,"*"&amp;CHAR(10)&amp;"Stanine",$N85:$ZZ85,"&gt;=1"))</f>
        <v>6</v>
      </c>
      <c r="L85" s="68">
        <f>IFERROR(AVERAGEIF($N$1:$ZZ$1,"*"&amp;CHAR(10)&amp;"Stanine",$N85:$ZZ85),"")</f>
        <v>4.66666666666667</v>
      </c>
      <c r="M85" s="69">
        <f>IF(AND(ISNUMBER(tblY11[[#This Row],[Mean Stanine]]),ISNUMBER(tblY11[[#This Row],[Avg KS2 Band]]),ISNUMBER(SlopeY11)),tblY11[[#This Row],[Mean Stanine]]-(InterceptY11+SlopeY11*tblY11[[#This Row],[Avg KS2 Band]]),"")</f>
        <v>0.462831890331891</v>
      </c>
      <c r="N85" s="66" t="n">
        <v>22</v>
      </c>
      <c r="O85" s="67">
        <f>IF(ISNUMBER(tblY11[[#This Row],[4B05 - Homeostasis
Raw Score]]),IFERROR(VLOOKUP(ROUND(STANDARDIZE(tblY11[[#This Row],[4B05 - Homeostasis
Raw Score]],AVERAGE(tblY11[[4B05 - Homeostasis
Raw Score]]),_xlfn.STDEV.P(tblY11[[4B05 - Homeostasis
Raw Score]])),9),_Stanine,2),5),"")</f>
        <v>5</v>
      </c>
      <c r="P85" s="66" t="n">
        <v>17</v>
      </c>
      <c r="Q85" s="67">
        <f>IF(ISNUMBER(tblY11[[#This Row],[4C09 - Organic Chemistry
Raw Score]]),IFERROR(VLOOKUP(ROUND(STANDARDIZE(tblY11[[#This Row],[4C09 - Organic Chemistry
Raw Score]],AVERAGE(tblY11[[4C09 - Organic Chemistry
Raw Score]]),_xlfn.STDEV.P(tblY11[[4C09 - Organic Chemistry
Raw Score]])),9),_Stanine,2),5),"")</f>
        <v>5</v>
      </c>
      <c r="R85" s="66" t="n">
        <v>18</v>
      </c>
      <c r="S85" s="67">
        <f>IF(ISNUMBER(tblY11[[#This Row],[4P06 - Waves
Raw Score]]),IFERROR(VLOOKUP(ROUND(STANDARDIZE(tblY11[[#This Row],[4P06 - Waves
Raw Score]],AVERAGE(tblY11[[4P06 - Waves
Raw Score]]),_xlfn.STDEV.P(tblY11[[4P06 - Waves
Raw Score]])),9),_Stanine,2),5),"")</f>
        <v>4</v>
      </c>
      <c r="T85" s="66" t="n">
        <v>14</v>
      </c>
      <c r="U85" s="67">
        <f>IF(ISNUMBER(tblY11[[#This Row],[4B06 - Inheritance
Raw Score]]),IFERROR(VLOOKUP(ROUND(STANDARDIZE(tblY11[[#This Row],[4B06 - Inheritance
Raw Score]],AVERAGE(tblY11[[4B06 - Inheritance
Raw Score]]),_xlfn.STDEV.P(tblY11[[4B06 - Inheritance
Raw Score]])),9),_Stanine,2),5),"")</f>
        <v>4</v>
      </c>
      <c r="V85" s="66" t="n">
        <v>14</v>
      </c>
      <c r="W85" s="67">
        <f>IF(ISNUMBER(tblY11[[#This Row],[4C10 - Chemical Analysis
Raw Score]]),IFERROR(VLOOKUP(ROUND(STANDARDIZE(tblY11[[#This Row],[4C10 - Chemical Analysis
Raw Score]],AVERAGE(tblY11[[4C10 - Chemical Analysis
Raw Score]]),_xlfn.STDEV.P(tblY11[[4C10 - Chemical Analysis
Raw Score]])),9),_Stanine,2),5),"")</f>
        <v>5</v>
      </c>
      <c r="X85" s="66" t="n">
        <v>15</v>
      </c>
      <c r="Y85" s="67">
        <f>IF(ISNUMBER(tblY11[[#This Row],[4P07 - Magnetism
Raw Score]]),IFERROR(VLOOKUP(ROUND(STANDARDIZE(tblY11[[#This Row],[4P07 - Magnetism
Raw Score]],AVERAGE(tblY11[[4P07 - Magnetism
Raw Score]]),_xlfn.STDEV.P(tblY11[[4P07 - Magnetism
Raw Score]])),9),_Stanine,2),5),"")</f>
        <v>5</v>
      </c>
    </row>
    <row r="86">
      <c r="A86" s="65" t="inlineStr">
        <is>
          <t>X901532670324</t>
        </is>
      </c>
      <c r="B86" s="65" t="inlineStr">
        <is>
          <t>Nowak</t>
        </is>
      </c>
      <c r="C86" s="65" t="inlineStr">
        <is>
          <t>Isla</t>
        </is>
      </c>
      <c r="D86" s="66" t="inlineStr">
        <is>
          <t>M</t>
        </is>
      </c>
      <c r="E86" s="66" t="inlineStr">
        <is>
          <t>N</t>
        </is>
      </c>
      <c r="F86" s="66" t="inlineStr">
        <is>
          <t>Y</t>
        </is>
      </c>
      <c r="G86" s="34" t="n">
        <v>99.2</v>
      </c>
      <c r="H86" s="34" t="n">
        <v>105</v>
      </c>
      <c r="I86" s="67">
        <f>IF(ISNUMBER(tblY11[[#This Row],[Avg KS2]]),IFERROR(VLOOKUP(ROUND(STANDARDIZE(tblY11[[#This Row],[Avg KS2]],AVERAGE(tblY11[[Avg KS2]]),_xlfn.STDEV.P(tblY11[[Avg KS2]])),9),_Stanine,2),5),"")</f>
        <v>5</v>
      </c>
      <c r="J86" s="66" t="inlineStr">
        <is>
          <t>11S/Sc4</t>
        </is>
      </c>
      <c r="K86" s="67">
        <f>IF(tblY11[[#This Row],[Preferred Last name]]="","",COUNTIFS($N$1:$ZZ$1,"*"&amp;CHAR(10)&amp;"Stanine",$N86:$ZZ86,"&gt;=1"))</f>
        <v>6</v>
      </c>
      <c r="L86" s="68">
        <f>IFERROR(AVERAGEIF($N$1:$ZZ$1,"*"&amp;CHAR(10)&amp;"Stanine",$N86:$ZZ86),"")</f>
        <v>4.66666666666667</v>
      </c>
      <c r="M86" s="69">
        <f>IF(AND(ISNUMBER(tblY11[[#This Row],[Mean Stanine]]),ISNUMBER(tblY11[[#This Row],[Avg KS2 Band]]),ISNUMBER(SlopeY11)),tblY11[[#This Row],[Mean Stanine]]-(InterceptY11+SlopeY11*tblY11[[#This Row],[Avg KS2 Band]]),"")</f>
        <v>-0.286031746031745</v>
      </c>
      <c r="N86" s="66" t="n">
        <v>20</v>
      </c>
      <c r="O86" s="67">
        <f>IF(ISNUMBER(tblY11[[#This Row],[4B05 - Homeostasis
Raw Score]]),IFERROR(VLOOKUP(ROUND(STANDARDIZE(tblY11[[#This Row],[4B05 - Homeostasis
Raw Score]],AVERAGE(tblY11[[4B05 - Homeostasis
Raw Score]]),_xlfn.STDEV.P(tblY11[[4B05 - Homeostasis
Raw Score]])),9),_Stanine,2),5),"")</f>
        <v>5</v>
      </c>
      <c r="P86" s="66" t="n">
        <v>12</v>
      </c>
      <c r="Q86" s="67">
        <f>IF(ISNUMBER(tblY11[[#This Row],[4C09 - Organic Chemistry
Raw Score]]),IFERROR(VLOOKUP(ROUND(STANDARDIZE(tblY11[[#This Row],[4C09 - Organic Chemistry
Raw Score]],AVERAGE(tblY11[[4C09 - Organic Chemistry
Raw Score]]),_xlfn.STDEV.P(tblY11[[4C09 - Organic Chemistry
Raw Score]])),9),_Stanine,2),5),"")</f>
        <v>4</v>
      </c>
      <c r="R86" s="66" t="n">
        <v>15</v>
      </c>
      <c r="S86" s="67">
        <f>IF(ISNUMBER(tblY11[[#This Row],[4P06 - Waves
Raw Score]]),IFERROR(VLOOKUP(ROUND(STANDARDIZE(tblY11[[#This Row],[4P06 - Waves
Raw Score]],AVERAGE(tblY11[[4P06 - Waves
Raw Score]]),_xlfn.STDEV.P(tblY11[[4P06 - Waves
Raw Score]])),9),_Stanine,2),5),"")</f>
        <v>4</v>
      </c>
      <c r="T86" s="66" t="n">
        <v>17</v>
      </c>
      <c r="U86" s="67">
        <f>IF(ISNUMBER(tblY11[[#This Row],[4B06 - Inheritance
Raw Score]]),IFERROR(VLOOKUP(ROUND(STANDARDIZE(tblY11[[#This Row],[4B06 - Inheritance
Raw Score]],AVERAGE(tblY11[[4B06 - Inheritance
Raw Score]]),_xlfn.STDEV.P(tblY11[[4B06 - Inheritance
Raw Score]])),9),_Stanine,2),5),"")</f>
        <v>5</v>
      </c>
      <c r="V86" s="66" t="n">
        <v>14</v>
      </c>
      <c r="W86" s="67">
        <f>IF(ISNUMBER(tblY11[[#This Row],[4C10 - Chemical Analysis
Raw Score]]),IFERROR(VLOOKUP(ROUND(STANDARDIZE(tblY11[[#This Row],[4C10 - Chemical Analysis
Raw Score]],AVERAGE(tblY11[[4C10 - Chemical Analysis
Raw Score]]),_xlfn.STDEV.P(tblY11[[4C10 - Chemical Analysis
Raw Score]])),9),_Stanine,2),5),"")</f>
        <v>5</v>
      </c>
      <c r="X86" s="66" t="n">
        <v>17</v>
      </c>
      <c r="Y86" s="67">
        <f>IF(ISNUMBER(tblY11[[#This Row],[4P07 - Magnetism
Raw Score]]),IFERROR(VLOOKUP(ROUND(STANDARDIZE(tblY11[[#This Row],[4P07 - Magnetism
Raw Score]],AVERAGE(tblY11[[4P07 - Magnetism
Raw Score]]),_xlfn.STDEV.P(tblY11[[4P07 - Magnetism
Raw Score]])),9),_Stanine,2),5),"")</f>
        <v>5</v>
      </c>
    </row>
    <row r="87">
      <c r="A87" s="65" t="inlineStr">
        <is>
          <t>X901408032434</t>
        </is>
      </c>
      <c r="B87" s="65" t="inlineStr">
        <is>
          <t>Parker</t>
        </is>
      </c>
      <c r="C87" s="65" t="inlineStr">
        <is>
          <t>Rhys</t>
        </is>
      </c>
      <c r="D87" s="66" t="inlineStr">
        <is>
          <t>F</t>
        </is>
      </c>
      <c r="E87" s="66" t="inlineStr">
        <is>
          <t>K</t>
        </is>
      </c>
      <c r="F87" s="66" t="inlineStr">
        <is>
          <t>Y</t>
        </is>
      </c>
      <c r="G87" s="34" t="n">
        <v>86.8</v>
      </c>
      <c r="H87" s="34" t="n">
        <v>105.5</v>
      </c>
      <c r="I87" s="67">
        <f>IF(ISNUMBER(tblY11[[#This Row],[Avg KS2]]),IFERROR(VLOOKUP(ROUND(STANDARDIZE(tblY11[[#This Row],[Avg KS2]],AVERAGE(tblY11[[Avg KS2]]),_xlfn.STDEV.P(tblY11[[Avg KS2]])),9),_Stanine,2),5),"")</f>
        <v>5</v>
      </c>
      <c r="J87" s="66" t="inlineStr">
        <is>
          <t>11S/Sc4</t>
        </is>
      </c>
      <c r="K87" s="67">
        <f>IF(tblY11[[#This Row],[Preferred Last name]]="","",COUNTIFS($N$1:$ZZ$1,"*"&amp;CHAR(10)&amp;"Stanine",$N87:$ZZ87,"&gt;=1"))</f>
        <v>6</v>
      </c>
      <c r="L87" s="68">
        <f>IFERROR(AVERAGEIF($N$1:$ZZ$1,"*"&amp;CHAR(10)&amp;"Stanine",$N87:$ZZ87),"")</f>
        <v>3.83333333333333</v>
      </c>
      <c r="M87" s="69">
        <f>IF(AND(ISNUMBER(tblY11[[#This Row],[Mean Stanine]]),ISNUMBER(tblY11[[#This Row],[Avg KS2 Band]]),ISNUMBER(SlopeY11)),tblY11[[#This Row],[Mean Stanine]]-(InterceptY11+SlopeY11*tblY11[[#This Row],[Avg KS2 Band]]),"")</f>
        <v>-1.11936507936508</v>
      </c>
      <c r="N87" s="66" t="n">
        <v>16</v>
      </c>
      <c r="O87" s="67">
        <f>IF(ISNUMBER(tblY11[[#This Row],[4B05 - Homeostasis
Raw Score]]),IFERROR(VLOOKUP(ROUND(STANDARDIZE(tblY11[[#This Row],[4B05 - Homeostasis
Raw Score]],AVERAGE(tblY11[[4B05 - Homeostasis
Raw Score]]),_xlfn.STDEV.P(tblY11[[4B05 - Homeostasis
Raw Score]])),9),_Stanine,2),5),"")</f>
        <v>4</v>
      </c>
      <c r="P87" s="66" t="n">
        <v>11</v>
      </c>
      <c r="Q87" s="67">
        <f>IF(ISNUMBER(tblY11[[#This Row],[4C09 - Organic Chemistry
Raw Score]]),IFERROR(VLOOKUP(ROUND(STANDARDIZE(tblY11[[#This Row],[4C09 - Organic Chemistry
Raw Score]],AVERAGE(tblY11[[4C09 - Organic Chemistry
Raw Score]]),_xlfn.STDEV.P(tblY11[[4C09 - Organic Chemistry
Raw Score]])),9),_Stanine,2),5),"")</f>
        <v>4</v>
      </c>
      <c r="R87" s="66" t="n">
        <v>13</v>
      </c>
      <c r="S87" s="67">
        <f>IF(ISNUMBER(tblY11[[#This Row],[4P06 - Waves
Raw Score]]),IFERROR(VLOOKUP(ROUND(STANDARDIZE(tblY11[[#This Row],[4P06 - Waves
Raw Score]],AVERAGE(tblY11[[4P06 - Waves
Raw Score]]),_xlfn.STDEV.P(tblY11[[4P06 - Waves
Raw Score]])),9),_Stanine,2),5),"")</f>
        <v>3</v>
      </c>
      <c r="T87" s="66" t="n">
        <v>9</v>
      </c>
      <c r="U87" s="67">
        <f>IF(ISNUMBER(tblY11[[#This Row],[4B06 - Inheritance
Raw Score]]),IFERROR(VLOOKUP(ROUND(STANDARDIZE(tblY11[[#This Row],[4B06 - Inheritance
Raw Score]],AVERAGE(tblY11[[4B06 - Inheritance
Raw Score]]),_xlfn.STDEV.P(tblY11[[4B06 - Inheritance
Raw Score]])),9),_Stanine,2),5),"")</f>
        <v>3</v>
      </c>
      <c r="V87" s="66" t="n">
        <v>15</v>
      </c>
      <c r="W87" s="67">
        <f>IF(ISNUMBER(tblY11[[#This Row],[4C10 - Chemical Analysis
Raw Score]]),IFERROR(VLOOKUP(ROUND(STANDARDIZE(tblY11[[#This Row],[4C10 - Chemical Analysis
Raw Score]],AVERAGE(tblY11[[4C10 - Chemical Analysis
Raw Score]]),_xlfn.STDEV.P(tblY11[[4C10 - Chemical Analysis
Raw Score]])),9),_Stanine,2),5),"")</f>
        <v>5</v>
      </c>
      <c r="X87" s="66" t="n">
        <v>13</v>
      </c>
      <c r="Y87" s="67">
        <f>IF(ISNUMBER(tblY11[[#This Row],[4P07 - Magnetism
Raw Score]]),IFERROR(VLOOKUP(ROUND(STANDARDIZE(tblY11[[#This Row],[4P07 - Magnetism
Raw Score]],AVERAGE(tblY11[[4P07 - Magnetism
Raw Score]]),_xlfn.STDEV.P(tblY11[[4P07 - Magnetism
Raw Score]])),9),_Stanine,2),5),"")</f>
        <v>4</v>
      </c>
    </row>
    <row r="88">
      <c r="A88" s="65" t="inlineStr">
        <is>
          <t>X904144797882</t>
        </is>
      </c>
      <c r="B88" s="65" t="inlineStr">
        <is>
          <t>Shaw</t>
        </is>
      </c>
      <c r="C88" s="65" t="inlineStr">
        <is>
          <t>Jacob</t>
        </is>
      </c>
      <c r="D88" s="66" t="inlineStr">
        <is>
          <t>F</t>
        </is>
      </c>
      <c r="E88" s="66" t="n"/>
      <c r="F88" s="66" t="inlineStr">
        <is>
          <t>N</t>
        </is>
      </c>
      <c r="G88" s="34" t="n">
        <v>100</v>
      </c>
      <c r="H88" s="34" t="n">
        <v>91</v>
      </c>
      <c r="I88" s="67">
        <f>IF(ISNUMBER(tblY11[[#This Row],[Avg KS2]]),IFERROR(VLOOKUP(ROUND(STANDARDIZE(tblY11[[#This Row],[Avg KS2]],AVERAGE(tblY11[[Avg KS2]]),_xlfn.STDEV.P(tblY11[[Avg KS2]])),9),_Stanine,2),5),"")</f>
        <v>1</v>
      </c>
      <c r="J88" s="66" t="inlineStr">
        <is>
          <t>11S/Sc4</t>
        </is>
      </c>
      <c r="K88" s="67">
        <f>IF(tblY11[[#This Row],[Preferred Last name]]="","",COUNTIFS($N$1:$ZZ$1,"*"&amp;CHAR(10)&amp;"Stanine",$N88:$ZZ88,"&gt;=1"))</f>
        <v>6</v>
      </c>
      <c r="L88" s="68">
        <f>IFERROR(AVERAGEIF($N$1:$ZZ$1,"*"&amp;CHAR(10)&amp;"Stanine",$N88:$ZZ88),"")</f>
        <v>2</v>
      </c>
      <c r="M88" s="69">
        <f>IF(AND(ISNUMBER(tblY11[[#This Row],[Mean Stanine]]),ISNUMBER(tblY11[[#This Row],[Avg KS2 Band]]),ISNUMBER(SlopeY11)),tblY11[[#This Row],[Mean Stanine]]-(InterceptY11+SlopeY11*tblY11[[#This Row],[Avg KS2 Band]]),"")</f>
        <v>0.0427561327561334</v>
      </c>
      <c r="N88" s="66" t="n">
        <v>6</v>
      </c>
      <c r="O88" s="67">
        <f>IF(ISNUMBER(tblY11[[#This Row],[4B05 - Homeostasis
Raw Score]]),IFERROR(VLOOKUP(ROUND(STANDARDIZE(tblY11[[#This Row],[4B05 - Homeostasis
Raw Score]],AVERAGE(tblY11[[4B05 - Homeostasis
Raw Score]]),_xlfn.STDEV.P(tblY11[[4B05 - Homeostasis
Raw Score]])),9),_Stanine,2),5),"")</f>
        <v>2</v>
      </c>
      <c r="P88" s="66" t="n">
        <v>5</v>
      </c>
      <c r="Q88" s="67">
        <f>IF(ISNUMBER(tblY11[[#This Row],[4C09 - Organic Chemistry
Raw Score]]),IFERROR(VLOOKUP(ROUND(STANDARDIZE(tblY11[[#This Row],[4C09 - Organic Chemistry
Raw Score]],AVERAGE(tblY11[[4C09 - Organic Chemistry
Raw Score]]),_xlfn.STDEV.P(tblY11[[4C09 - Organic Chemistry
Raw Score]])),9),_Stanine,2),5),"")</f>
        <v>2</v>
      </c>
      <c r="R88" s="66" t="n">
        <v>8</v>
      </c>
      <c r="S88" s="67">
        <f>IF(ISNUMBER(tblY11[[#This Row],[4P06 - Waves
Raw Score]]),IFERROR(VLOOKUP(ROUND(STANDARDIZE(tblY11[[#This Row],[4P06 - Waves
Raw Score]],AVERAGE(tblY11[[4P06 - Waves
Raw Score]]),_xlfn.STDEV.P(tblY11[[4P06 - Waves
Raw Score]])),9),_Stanine,2),5),"")</f>
        <v>2</v>
      </c>
      <c r="T88" s="66" t="n">
        <v>7</v>
      </c>
      <c r="U88" s="67">
        <f>IF(ISNUMBER(tblY11[[#This Row],[4B06 - Inheritance
Raw Score]]),IFERROR(VLOOKUP(ROUND(STANDARDIZE(tblY11[[#This Row],[4B06 - Inheritance
Raw Score]],AVERAGE(tblY11[[4B06 - Inheritance
Raw Score]]),_xlfn.STDEV.P(tblY11[[4B06 - Inheritance
Raw Score]])),9),_Stanine,2),5),"")</f>
        <v>2</v>
      </c>
      <c r="V88" s="66" t="n">
        <v>6</v>
      </c>
      <c r="W88" s="67">
        <f>IF(ISNUMBER(tblY11[[#This Row],[4C10 - Chemical Analysis
Raw Score]]),IFERROR(VLOOKUP(ROUND(STANDARDIZE(tblY11[[#This Row],[4C10 - Chemical Analysis
Raw Score]],AVERAGE(tblY11[[4C10 - Chemical Analysis
Raw Score]]),_xlfn.STDEV.P(tblY11[[4C10 - Chemical Analysis
Raw Score]])),9),_Stanine,2),5),"")</f>
        <v>2</v>
      </c>
      <c r="X88" s="66" t="n">
        <v>4</v>
      </c>
      <c r="Y88" s="67">
        <f>IF(ISNUMBER(tblY11[[#This Row],[4P07 - Magnetism
Raw Score]]),IFERROR(VLOOKUP(ROUND(STANDARDIZE(tblY11[[#This Row],[4P07 - Magnetism
Raw Score]],AVERAGE(tblY11[[4P07 - Magnetism
Raw Score]]),_xlfn.STDEV.P(tblY11[[4P07 - Magnetism
Raw Score]])),9),_Stanine,2),5),"")</f>
        <v>2</v>
      </c>
    </row>
    <row r="89">
      <c r="A89" s="65" t="inlineStr">
        <is>
          <t>X903328717548</t>
        </is>
      </c>
      <c r="B89" s="65" t="inlineStr">
        <is>
          <t>Ward</t>
        </is>
      </c>
      <c r="C89" s="65" t="inlineStr">
        <is>
          <t>Kai</t>
        </is>
      </c>
      <c r="D89" s="66" t="inlineStr">
        <is>
          <t>M</t>
        </is>
      </c>
      <c r="E89" s="66" t="inlineStr">
        <is>
          <t>N</t>
        </is>
      </c>
      <c r="F89" s="66" t="inlineStr">
        <is>
          <t>Y</t>
        </is>
      </c>
      <c r="G89" s="34" t="n">
        <v>93.59999999999999</v>
      </c>
      <c r="H89" s="34" t="n">
        <v>96</v>
      </c>
      <c r="I89" s="67">
        <f>IF(ISNUMBER(tblY11[[#This Row],[Avg KS2]]),IFERROR(VLOOKUP(ROUND(STANDARDIZE(tblY11[[#This Row],[Avg KS2]],AVERAGE(tblY11[[Avg KS2]]),_xlfn.STDEV.P(tblY11[[Avg KS2]])),9),_Stanine,2),5),"")</f>
        <v>2</v>
      </c>
      <c r="J89" s="66" t="inlineStr">
        <is>
          <t>11S/Sc4</t>
        </is>
      </c>
      <c r="K89" s="67">
        <f>IF(tblY11[[#This Row],[Preferred Last name]]="","",COUNTIFS($N$1:$ZZ$1,"*"&amp;CHAR(10)&amp;"Stanine",$N89:$ZZ89,"&gt;=1"))</f>
        <v>5</v>
      </c>
      <c r="L89" s="68">
        <f>IFERROR(AVERAGEIF($N$1:$ZZ$1,"*"&amp;CHAR(10)&amp;"Stanine",$N89:$ZZ89),"")</f>
        <v>4</v>
      </c>
      <c r="M89" s="69">
        <f>IF(AND(ISNUMBER(tblY11[[#This Row],[Mean Stanine]]),ISNUMBER(tblY11[[#This Row],[Avg KS2 Band]]),ISNUMBER(SlopeY11)),tblY11[[#This Row],[Mean Stanine]]-(InterceptY11+SlopeY11*tblY11[[#This Row],[Avg KS2 Band]]),"")</f>
        <v>1.2938924963925</v>
      </c>
      <c r="N89" s="66" t="n">
        <v>18</v>
      </c>
      <c r="O89" s="67">
        <f>IF(ISNUMBER(tblY11[[#This Row],[4B05 - Homeostasis
Raw Score]]),IFERROR(VLOOKUP(ROUND(STANDARDIZE(tblY11[[#This Row],[4B05 - Homeostasis
Raw Score]],AVERAGE(tblY11[[4B05 - Homeostasis
Raw Score]]),_xlfn.STDEV.P(tblY11[[4B05 - Homeostasis
Raw Score]])),9),_Stanine,2),5),"")</f>
        <v>4</v>
      </c>
      <c r="P89" s="66" t="inlineStr">
        <is>
          <t>A</t>
        </is>
      </c>
      <c r="Q89" s="67" t="str">
        <f>IF(ISNUMBER(tblY11[[#This Row],[4C09 - Organic Chemistry
Raw Score]]),IFERROR(VLOOKUP(ROUND(STANDARDIZE(tblY11[[#This Row],[4C09 - Organic Chemistry
Raw Score]],AVERAGE(tblY11[[4C09 - Organic Chemistry
Raw Score]]),_xlfn.STDEV.P(tblY11[[4C09 - Organic Chemistry
Raw Score]])),9),_Stanine,2),5),"")</f>
        <v/>
      </c>
      <c r="R89" s="66" t="n">
        <v>15</v>
      </c>
      <c r="S89" s="67">
        <f>IF(ISNUMBER(tblY11[[#This Row],[4P06 - Waves
Raw Score]]),IFERROR(VLOOKUP(ROUND(STANDARDIZE(tblY11[[#This Row],[4P06 - Waves
Raw Score]],AVERAGE(tblY11[[4P06 - Waves
Raw Score]]),_xlfn.STDEV.P(tblY11[[4P06 - Waves
Raw Score]])),9),_Stanine,2),5),"")</f>
        <v>4</v>
      </c>
      <c r="T89" s="66" t="n">
        <v>13</v>
      </c>
      <c r="U89" s="67">
        <f>IF(ISNUMBER(tblY11[[#This Row],[4B06 - Inheritance
Raw Score]]),IFERROR(VLOOKUP(ROUND(STANDARDIZE(tblY11[[#This Row],[4B06 - Inheritance
Raw Score]],AVERAGE(tblY11[[4B06 - Inheritance
Raw Score]]),_xlfn.STDEV.P(tblY11[[4B06 - Inheritance
Raw Score]])),9),_Stanine,2),5),"")</f>
        <v>4</v>
      </c>
      <c r="V89" s="66" t="n">
        <v>7</v>
      </c>
      <c r="W89" s="67">
        <f>IF(ISNUMBER(tblY11[[#This Row],[4C10 - Chemical Analysis
Raw Score]]),IFERROR(VLOOKUP(ROUND(STANDARDIZE(tblY11[[#This Row],[4C10 - Chemical Analysis
Raw Score]],AVERAGE(tblY11[[4C10 - Chemical Analysis
Raw Score]]),_xlfn.STDEV.P(tblY11[[4C10 - Chemical Analysis
Raw Score]])),9),_Stanine,2),5),"")</f>
        <v>3</v>
      </c>
      <c r="X89" s="66" t="n">
        <v>14</v>
      </c>
      <c r="Y89" s="67">
        <f>IF(ISNUMBER(tblY11[[#This Row],[4P07 - Magnetism
Raw Score]]),IFERROR(VLOOKUP(ROUND(STANDARDIZE(tblY11[[#This Row],[4P07 - Magnetism
Raw Score]],AVERAGE(tblY11[[4P07 - Magnetism
Raw Score]]),_xlfn.STDEV.P(tblY11[[4P07 - Magnetism
Raw Score]])),9),_Stanine,2),5),"")</f>
        <v>5</v>
      </c>
    </row>
    <row r="90">
      <c r="A90" s="65" t="inlineStr">
        <is>
          <t>X907451187677</t>
        </is>
      </c>
      <c r="B90" s="65" t="inlineStr">
        <is>
          <t>Begum</t>
        </is>
      </c>
      <c r="C90" s="65" t="inlineStr">
        <is>
          <t>Freya</t>
        </is>
      </c>
      <c r="D90" s="66" t="inlineStr">
        <is>
          <t>F</t>
        </is>
      </c>
      <c r="E90" s="66" t="inlineStr">
        <is>
          <t>N</t>
        </is>
      </c>
      <c r="F90" s="66" t="inlineStr">
        <is>
          <t>N</t>
        </is>
      </c>
      <c r="G90" s="34" t="n">
        <v>84.2</v>
      </c>
      <c r="H90" s="34" t="n">
        <v>97</v>
      </c>
      <c r="I90" s="67">
        <f>IF(ISNUMBER(tblY11[[#This Row],[Avg KS2]]),IFERROR(VLOOKUP(ROUND(STANDARDIZE(tblY11[[#This Row],[Avg KS2]],AVERAGE(tblY11[[Avg KS2]]),_xlfn.STDEV.P(tblY11[[Avg KS2]])),9),_Stanine,2),5),"")</f>
        <v>3</v>
      </c>
      <c r="J90" s="66" t="inlineStr">
        <is>
          <t>11S/Sc5</t>
        </is>
      </c>
      <c r="K90" s="67">
        <f>IF(tblY11[[#This Row],[Preferred Last name]]="","",COUNTIFS($N$1:$ZZ$1,"*"&amp;CHAR(10)&amp;"Stanine",$N90:$ZZ90,"&gt;=1"))</f>
        <v>6</v>
      </c>
      <c r="L90" s="68">
        <f>IFERROR(AVERAGEIF($N$1:$ZZ$1,"*"&amp;CHAR(10)&amp;"Stanine",$N90:$ZZ90),"")</f>
        <v>1.83333333333333</v>
      </c>
      <c r="M90" s="69">
        <f>IF(AND(ISNUMBER(tblY11[[#This Row],[Mean Stanine]]),ISNUMBER(tblY11[[#This Row],[Avg KS2 Band]]),ISNUMBER(SlopeY11)),tblY11[[#This Row],[Mean Stanine]]-(InterceptY11+SlopeY11*tblY11[[#This Row],[Avg KS2 Band]]),"")</f>
        <v>-1.62163780663781</v>
      </c>
      <c r="N90" s="66" t="n">
        <v>6</v>
      </c>
      <c r="O90" s="67">
        <f>IF(ISNUMBER(tblY11[[#This Row],[4B05 - Homeostasis
Raw Score]]),IFERROR(VLOOKUP(ROUND(STANDARDIZE(tblY11[[#This Row],[4B05 - Homeostasis
Raw Score]],AVERAGE(tblY11[[4B05 - Homeostasis
Raw Score]]),_xlfn.STDEV.P(tblY11[[4B05 - Homeostasis
Raw Score]])),9),_Stanine,2),5),"")</f>
        <v>2</v>
      </c>
      <c r="P90" s="66" t="n">
        <v>3</v>
      </c>
      <c r="Q90" s="67">
        <f>IF(ISNUMBER(tblY11[[#This Row],[4C09 - Organic Chemistry
Raw Score]]),IFERROR(VLOOKUP(ROUND(STANDARDIZE(tblY11[[#This Row],[4C09 - Organic Chemistry
Raw Score]],AVERAGE(tblY11[[4C09 - Organic Chemistry
Raw Score]]),_xlfn.STDEV.P(tblY11[[4C09 - Organic Chemistry
Raw Score]])),9),_Stanine,2),5),"")</f>
        <v>1</v>
      </c>
      <c r="R90" s="66" t="n">
        <v>7</v>
      </c>
      <c r="S90" s="67">
        <f>IF(ISNUMBER(tblY11[[#This Row],[4P06 - Waves
Raw Score]]),IFERROR(VLOOKUP(ROUND(STANDARDIZE(tblY11[[#This Row],[4P06 - Waves
Raw Score]],AVERAGE(tblY11[[4P06 - Waves
Raw Score]]),_xlfn.STDEV.P(tblY11[[4P06 - Waves
Raw Score]])),9),_Stanine,2),5),"")</f>
        <v>2</v>
      </c>
      <c r="T90" s="66" t="n">
        <v>5</v>
      </c>
      <c r="U90" s="67">
        <f>IF(ISNUMBER(tblY11[[#This Row],[4B06 - Inheritance
Raw Score]]),IFERROR(VLOOKUP(ROUND(STANDARDIZE(tblY11[[#This Row],[4B06 - Inheritance
Raw Score]],AVERAGE(tblY11[[4B06 - Inheritance
Raw Score]]),_xlfn.STDEV.P(tblY11[[4B06 - Inheritance
Raw Score]])),9),_Stanine,2),5),"")</f>
        <v>2</v>
      </c>
      <c r="V90" s="66" t="n">
        <v>4</v>
      </c>
      <c r="W90" s="67">
        <f>IF(ISNUMBER(tblY11[[#This Row],[4C10 - Chemical Analysis
Raw Score]]),IFERROR(VLOOKUP(ROUND(STANDARDIZE(tblY11[[#This Row],[4C10 - Chemical Analysis
Raw Score]],AVERAGE(tblY11[[4C10 - Chemical Analysis
Raw Score]]),_xlfn.STDEV.P(tblY11[[4C10 - Chemical Analysis
Raw Score]])),9),_Stanine,2),5),"")</f>
        <v>2</v>
      </c>
      <c r="X90" s="66" t="n">
        <v>4</v>
      </c>
      <c r="Y90" s="67">
        <f>IF(ISNUMBER(tblY11[[#This Row],[4P07 - Magnetism
Raw Score]]),IFERROR(VLOOKUP(ROUND(STANDARDIZE(tblY11[[#This Row],[4P07 - Magnetism
Raw Score]],AVERAGE(tblY11[[4P07 - Magnetism
Raw Score]]),_xlfn.STDEV.P(tblY11[[4P07 - Magnetism
Raw Score]])),9),_Stanine,2),5),"")</f>
        <v>2</v>
      </c>
    </row>
    <row r="91">
      <c r="A91" s="65" t="inlineStr">
        <is>
          <t>X903495053414</t>
        </is>
      </c>
      <c r="B91" s="65" t="inlineStr">
        <is>
          <t>Bennett</t>
        </is>
      </c>
      <c r="C91" s="65" t="inlineStr">
        <is>
          <t>Kai</t>
        </is>
      </c>
      <c r="D91" s="66" t="inlineStr">
        <is>
          <t>F</t>
        </is>
      </c>
      <c r="E91" s="66" t="inlineStr">
        <is>
          <t>K</t>
        </is>
      </c>
      <c r="F91" s="66" t="inlineStr">
        <is>
          <t>N</t>
        </is>
      </c>
      <c r="G91" s="34" t="n">
        <v>100</v>
      </c>
      <c r="H91" s="34" t="n">
        <v>101.5</v>
      </c>
      <c r="I91" s="67">
        <f>IF(ISNUMBER(tblY11[[#This Row],[Avg KS2]]),IFERROR(VLOOKUP(ROUND(STANDARDIZE(tblY11[[#This Row],[Avg KS2]],AVERAGE(tblY11[[Avg KS2]]),_xlfn.STDEV.P(tblY11[[Avg KS2]])),9),_Stanine,2),5),"")</f>
        <v>4</v>
      </c>
      <c r="J91" s="66" t="inlineStr">
        <is>
          <t>11S/Sc5</t>
        </is>
      </c>
      <c r="K91" s="67">
        <f>IF(tblY11[[#This Row],[Preferred Last name]]="","",COUNTIFS($N$1:$ZZ$1,"*"&amp;CHAR(10)&amp;"Stanine",$N91:$ZZ91,"&gt;=1"))</f>
        <v>6</v>
      </c>
      <c r="L91" s="68">
        <f>IFERROR(AVERAGEIF($N$1:$ZZ$1,"*"&amp;CHAR(10)&amp;"Stanine",$N91:$ZZ91),"")</f>
        <v>3.66666666666667</v>
      </c>
      <c r="M91" s="69">
        <f>IF(AND(ISNUMBER(tblY11[[#This Row],[Mean Stanine]]),ISNUMBER(tblY11[[#This Row],[Avg KS2 Band]]),ISNUMBER(SlopeY11)),tblY11[[#This Row],[Mean Stanine]]-(InterceptY11+SlopeY11*tblY11[[#This Row],[Avg KS2 Band]]),"")</f>
        <v>-0.537168109668109</v>
      </c>
      <c r="N91" s="66" t="n">
        <v>13</v>
      </c>
      <c r="O91" s="67">
        <f>IF(ISNUMBER(tblY11[[#This Row],[4B05 - Homeostasis
Raw Score]]),IFERROR(VLOOKUP(ROUND(STANDARDIZE(tblY11[[#This Row],[4B05 - Homeostasis
Raw Score]],AVERAGE(tblY11[[4B05 - Homeostasis
Raw Score]]),_xlfn.STDEV.P(tblY11[[4B05 - Homeostasis
Raw Score]])),9),_Stanine,2),5),"")</f>
        <v>3</v>
      </c>
      <c r="P91" s="66" t="n">
        <v>14</v>
      </c>
      <c r="Q91" s="67">
        <f>IF(ISNUMBER(tblY11[[#This Row],[4C09 - Organic Chemistry
Raw Score]]),IFERROR(VLOOKUP(ROUND(STANDARDIZE(tblY11[[#This Row],[4C09 - Organic Chemistry
Raw Score]],AVERAGE(tblY11[[4C09 - Organic Chemistry
Raw Score]]),_xlfn.STDEV.P(tblY11[[4C09 - Organic Chemistry
Raw Score]])),9),_Stanine,2),5),"")</f>
        <v>4</v>
      </c>
      <c r="R91" s="66" t="n">
        <v>19</v>
      </c>
      <c r="S91" s="67">
        <f>IF(ISNUMBER(tblY11[[#This Row],[4P06 - Waves
Raw Score]]),IFERROR(VLOOKUP(ROUND(STANDARDIZE(tblY11[[#This Row],[4P06 - Waves
Raw Score]],AVERAGE(tblY11[[4P06 - Waves
Raw Score]]),_xlfn.STDEV.P(tblY11[[4P06 - Waves
Raw Score]])),9),_Stanine,2),5),"")</f>
        <v>5</v>
      </c>
      <c r="T91" s="66" t="n">
        <v>13</v>
      </c>
      <c r="U91" s="67">
        <f>IF(ISNUMBER(tblY11[[#This Row],[4B06 - Inheritance
Raw Score]]),IFERROR(VLOOKUP(ROUND(STANDARDIZE(tblY11[[#This Row],[4B06 - Inheritance
Raw Score]],AVERAGE(tblY11[[4B06 - Inheritance
Raw Score]]),_xlfn.STDEV.P(tblY11[[4B06 - Inheritance
Raw Score]])),9),_Stanine,2),5),"")</f>
        <v>4</v>
      </c>
      <c r="V91" s="66" t="n">
        <v>9</v>
      </c>
      <c r="W91" s="67">
        <f>IF(ISNUMBER(tblY11[[#This Row],[4C10 - Chemical Analysis
Raw Score]]),IFERROR(VLOOKUP(ROUND(STANDARDIZE(tblY11[[#This Row],[4C10 - Chemical Analysis
Raw Score]],AVERAGE(tblY11[[4C10 - Chemical Analysis
Raw Score]]),_xlfn.STDEV.P(tblY11[[4C10 - Chemical Analysis
Raw Score]])),9),_Stanine,2),5),"")</f>
        <v>3</v>
      </c>
      <c r="X91" s="66" t="n">
        <v>8</v>
      </c>
      <c r="Y91" s="67">
        <f>IF(ISNUMBER(tblY11[[#This Row],[4P07 - Magnetism
Raw Score]]),IFERROR(VLOOKUP(ROUND(STANDARDIZE(tblY11[[#This Row],[4P07 - Magnetism
Raw Score]],AVERAGE(tblY11[[4P07 - Magnetism
Raw Score]]),_xlfn.STDEV.P(tblY11[[4P07 - Magnetism
Raw Score]])),9),_Stanine,2),5),"")</f>
        <v>3</v>
      </c>
    </row>
    <row r="92">
      <c r="A92" s="65" t="inlineStr">
        <is>
          <t>X902581743139</t>
        </is>
      </c>
      <c r="B92" s="65" t="inlineStr">
        <is>
          <t>Jackson</t>
        </is>
      </c>
      <c r="C92" s="65" t="inlineStr">
        <is>
          <t>Chidi</t>
        </is>
      </c>
      <c r="D92" s="66" t="inlineStr">
        <is>
          <t>F</t>
        </is>
      </c>
      <c r="E92" s="66" t="inlineStr">
        <is>
          <t>N</t>
        </is>
      </c>
      <c r="F92" s="66" t="inlineStr">
        <is>
          <t>N</t>
        </is>
      </c>
      <c r="G92" s="34" t="n">
        <v>95.8</v>
      </c>
      <c r="H92" s="34" t="n">
        <v>99</v>
      </c>
      <c r="I92" s="67">
        <f>IF(ISNUMBER(tblY11[[#This Row],[Avg KS2]]),IFERROR(VLOOKUP(ROUND(STANDARDIZE(tblY11[[#This Row],[Avg KS2]],AVERAGE(tblY11[[Avg KS2]]),_xlfn.STDEV.P(tblY11[[Avg KS2]])),9),_Stanine,2),5),"")</f>
        <v>3</v>
      </c>
      <c r="J92" s="66" t="inlineStr">
        <is>
          <t>11S/Sc5</t>
        </is>
      </c>
      <c r="K92" s="67">
        <f>IF(tblY11[[#This Row],[Preferred Last name]]="","",COUNTIFS($N$1:$ZZ$1,"*"&amp;CHAR(10)&amp;"Stanine",$N92:$ZZ92,"&gt;=1"))</f>
        <v>5</v>
      </c>
      <c r="L92" s="68">
        <f>IFERROR(AVERAGEIF($N$1:$ZZ$1,"*"&amp;CHAR(10)&amp;"Stanine",$N92:$ZZ92),"")</f>
        <v>5</v>
      </c>
      <c r="M92" s="69">
        <f>IF(AND(ISNUMBER(tblY11[[#This Row],[Mean Stanine]]),ISNUMBER(tblY11[[#This Row],[Avg KS2 Band]]),ISNUMBER(SlopeY11)),tblY11[[#This Row],[Mean Stanine]]-(InterceptY11+SlopeY11*tblY11[[#This Row],[Avg KS2 Band]]),"")</f>
        <v>1.54502886002886</v>
      </c>
      <c r="N92" s="66" t="n">
        <v>19</v>
      </c>
      <c r="O92" s="67">
        <f>IF(ISNUMBER(tblY11[[#This Row],[4B05 - Homeostasis
Raw Score]]),IFERROR(VLOOKUP(ROUND(STANDARDIZE(tblY11[[#This Row],[4B05 - Homeostasis
Raw Score]],AVERAGE(tblY11[[4B05 - Homeostasis
Raw Score]]),_xlfn.STDEV.P(tblY11[[4B05 - Homeostasis
Raw Score]])),9),_Stanine,2),5),"")</f>
        <v>5</v>
      </c>
      <c r="P92" s="66" t="inlineStr">
        <is>
          <t>A</t>
        </is>
      </c>
      <c r="Q92" s="67" t="str">
        <f>IF(ISNUMBER(tblY11[[#This Row],[4C09 - Organic Chemistry
Raw Score]]),IFERROR(VLOOKUP(ROUND(STANDARDIZE(tblY11[[#This Row],[4C09 - Organic Chemistry
Raw Score]],AVERAGE(tblY11[[4C09 - Organic Chemistry
Raw Score]]),_xlfn.STDEV.P(tblY11[[4C09 - Organic Chemistry
Raw Score]])),9),_Stanine,2),5),"")</f>
        <v/>
      </c>
      <c r="R92" s="66" t="n">
        <v>22</v>
      </c>
      <c r="S92" s="67">
        <f>IF(ISNUMBER(tblY11[[#This Row],[4P06 - Waves
Raw Score]]),IFERROR(VLOOKUP(ROUND(STANDARDIZE(tblY11[[#This Row],[4P06 - Waves
Raw Score]],AVERAGE(tblY11[[4P06 - Waves
Raw Score]]),_xlfn.STDEV.P(tblY11[[4P06 - Waves
Raw Score]])),9),_Stanine,2),5),"")</f>
        <v>5</v>
      </c>
      <c r="T92" s="66" t="n">
        <v>25</v>
      </c>
      <c r="U92" s="67">
        <f>IF(ISNUMBER(tblY11[[#This Row],[4B06 - Inheritance
Raw Score]]),IFERROR(VLOOKUP(ROUND(STANDARDIZE(tblY11[[#This Row],[4B06 - Inheritance
Raw Score]],AVERAGE(tblY11[[4B06 - Inheritance
Raw Score]]),_xlfn.STDEV.P(tblY11[[4B06 - Inheritance
Raw Score]])),9),_Stanine,2),5),"")</f>
        <v>6</v>
      </c>
      <c r="V92" s="66" t="n">
        <v>14</v>
      </c>
      <c r="W92" s="67">
        <f>IF(ISNUMBER(tblY11[[#This Row],[4C10 - Chemical Analysis
Raw Score]]),IFERROR(VLOOKUP(ROUND(STANDARDIZE(tblY11[[#This Row],[4C10 - Chemical Analysis
Raw Score]],AVERAGE(tblY11[[4C10 - Chemical Analysis
Raw Score]]),_xlfn.STDEV.P(tblY11[[4C10 - Chemical Analysis
Raw Score]])),9),_Stanine,2),5),"")</f>
        <v>5</v>
      </c>
      <c r="X92" s="66" t="n">
        <v>13</v>
      </c>
      <c r="Y92" s="67">
        <f>IF(ISNUMBER(tblY11[[#This Row],[4P07 - Magnetism
Raw Score]]),IFERROR(VLOOKUP(ROUND(STANDARDIZE(tblY11[[#This Row],[4P07 - Magnetism
Raw Score]],AVERAGE(tblY11[[4P07 - Magnetism
Raw Score]]),_xlfn.STDEV.P(tblY11[[4P07 - Magnetism
Raw Score]])),9),_Stanine,2),5),"")</f>
        <v>4</v>
      </c>
    </row>
    <row r="93">
      <c r="A93" s="65" t="inlineStr">
        <is>
          <t>X906007240576</t>
        </is>
      </c>
      <c r="B93" s="65" t="inlineStr">
        <is>
          <t>Johnson</t>
        </is>
      </c>
      <c r="C93" s="65" t="inlineStr">
        <is>
          <t>Chidi</t>
        </is>
      </c>
      <c r="D93" s="66" t="inlineStr">
        <is>
          <t>M</t>
        </is>
      </c>
      <c r="E93" s="66" t="n"/>
      <c r="F93" s="66" t="inlineStr">
        <is>
          <t>N</t>
        </is>
      </c>
      <c r="G93" s="34" t="n">
        <v>91.59999999999999</v>
      </c>
      <c r="H93" s="34" t="n">
        <v>98.5</v>
      </c>
      <c r="I93" s="67">
        <f>IF(ISNUMBER(tblY11[[#This Row],[Avg KS2]]),IFERROR(VLOOKUP(ROUND(STANDARDIZE(tblY11[[#This Row],[Avg KS2]],AVERAGE(tblY11[[Avg KS2]]),_xlfn.STDEV.P(tblY11[[Avg KS2]])),9),_Stanine,2),5),"")</f>
        <v>3</v>
      </c>
      <c r="J93" s="66" t="inlineStr">
        <is>
          <t>11S/Sc5</t>
        </is>
      </c>
      <c r="K93" s="67">
        <f>IF(tblY11[[#This Row],[Preferred Last name]]="","",COUNTIFS($N$1:$ZZ$1,"*"&amp;CHAR(10)&amp;"Stanine",$N93:$ZZ93,"&gt;=1"))</f>
        <v>6</v>
      </c>
      <c r="L93" s="68">
        <f>IFERROR(AVERAGEIF($N$1:$ZZ$1,"*"&amp;CHAR(10)&amp;"Stanine",$N93:$ZZ93),"")</f>
        <v>2.33333333333333</v>
      </c>
      <c r="M93" s="69">
        <f>IF(AND(ISNUMBER(tblY11[[#This Row],[Mean Stanine]]),ISNUMBER(tblY11[[#This Row],[Avg KS2 Band]]),ISNUMBER(SlopeY11)),tblY11[[#This Row],[Mean Stanine]]-(InterceptY11+SlopeY11*tblY11[[#This Row],[Avg KS2 Band]]),"")</f>
        <v>-1.12163780663781</v>
      </c>
      <c r="N93" s="66" t="n">
        <v>9</v>
      </c>
      <c r="O93" s="67">
        <f>IF(ISNUMBER(tblY11[[#This Row],[4B05 - Homeostasis
Raw Score]]),IFERROR(VLOOKUP(ROUND(STANDARDIZE(tblY11[[#This Row],[4B05 - Homeostasis
Raw Score]],AVERAGE(tblY11[[4B05 - Homeostasis
Raw Score]]),_xlfn.STDEV.P(tblY11[[4B05 - Homeostasis
Raw Score]])),9),_Stanine,2),5),"")</f>
        <v>2</v>
      </c>
      <c r="P93" s="66" t="n">
        <v>9</v>
      </c>
      <c r="Q93" s="67">
        <f>IF(ISNUMBER(tblY11[[#This Row],[4C09 - Organic Chemistry
Raw Score]]),IFERROR(VLOOKUP(ROUND(STANDARDIZE(tblY11[[#This Row],[4C09 - Organic Chemistry
Raw Score]],AVERAGE(tblY11[[4C09 - Organic Chemistry
Raw Score]]),_xlfn.STDEV.P(tblY11[[4C09 - Organic Chemistry
Raw Score]])),9),_Stanine,2),5),"")</f>
        <v>3</v>
      </c>
      <c r="R93" s="66" t="n">
        <v>8</v>
      </c>
      <c r="S93" s="67">
        <f>IF(ISNUMBER(tblY11[[#This Row],[4P06 - Waves
Raw Score]]),IFERROR(VLOOKUP(ROUND(STANDARDIZE(tblY11[[#This Row],[4P06 - Waves
Raw Score]],AVERAGE(tblY11[[4P06 - Waves
Raw Score]]),_xlfn.STDEV.P(tblY11[[4P06 - Waves
Raw Score]])),9),_Stanine,2),5),"")</f>
        <v>2</v>
      </c>
      <c r="T93" s="66" t="n">
        <v>10</v>
      </c>
      <c r="U93" s="67">
        <f>IF(ISNUMBER(tblY11[[#This Row],[4B06 - Inheritance
Raw Score]]),IFERROR(VLOOKUP(ROUND(STANDARDIZE(tblY11[[#This Row],[4B06 - Inheritance
Raw Score]],AVERAGE(tblY11[[4B06 - Inheritance
Raw Score]]),_xlfn.STDEV.P(tblY11[[4B06 - Inheritance
Raw Score]])),9),_Stanine,2),5),"")</f>
        <v>3</v>
      </c>
      <c r="V93" s="66" t="n">
        <v>6</v>
      </c>
      <c r="W93" s="67">
        <f>IF(ISNUMBER(tblY11[[#This Row],[4C10 - Chemical Analysis
Raw Score]]),IFERROR(VLOOKUP(ROUND(STANDARDIZE(tblY11[[#This Row],[4C10 - Chemical Analysis
Raw Score]],AVERAGE(tblY11[[4C10 - Chemical Analysis
Raw Score]]),_xlfn.STDEV.P(tblY11[[4C10 - Chemical Analysis
Raw Score]])),9),_Stanine,2),5),"")</f>
        <v>2</v>
      </c>
      <c r="X93" s="66" t="n">
        <v>5</v>
      </c>
      <c r="Y93" s="67">
        <f>IF(ISNUMBER(tblY11[[#This Row],[4P07 - Magnetism
Raw Score]]),IFERROR(VLOOKUP(ROUND(STANDARDIZE(tblY11[[#This Row],[4P07 - Magnetism
Raw Score]],AVERAGE(tblY11[[4P07 - Magnetism
Raw Score]]),_xlfn.STDEV.P(tblY11[[4P07 - Magnetism
Raw Score]])),9),_Stanine,2),5),"")</f>
        <v>2</v>
      </c>
    </row>
    <row r="94">
      <c r="A94" s="65" t="inlineStr">
        <is>
          <t>X901382380987</t>
        </is>
      </c>
      <c r="B94" s="65" t="inlineStr">
        <is>
          <t>Lewis</t>
        </is>
      </c>
      <c r="C94" s="65" t="inlineStr">
        <is>
          <t>Zofia</t>
        </is>
      </c>
      <c r="D94" s="66" t="inlineStr">
        <is>
          <t>M</t>
        </is>
      </c>
      <c r="E94" s="66" t="inlineStr">
        <is>
          <t>N</t>
        </is>
      </c>
      <c r="F94" s="66" t="inlineStr">
        <is>
          <t>N</t>
        </is>
      </c>
      <c r="G94" s="34" t="n">
        <v>87.09999999999999</v>
      </c>
      <c r="H94" s="34" t="n">
        <v>98</v>
      </c>
      <c r="I94" s="67">
        <f>IF(ISNUMBER(tblY11[[#This Row],[Avg KS2]]),IFERROR(VLOOKUP(ROUND(STANDARDIZE(tblY11[[#This Row],[Avg KS2]],AVERAGE(tblY11[[Avg KS2]]),_xlfn.STDEV.P(tblY11[[Avg KS2]])),9),_Stanine,2),5),"")</f>
        <v>3</v>
      </c>
      <c r="J94" s="66" t="inlineStr">
        <is>
          <t>11S/Sc5</t>
        </is>
      </c>
      <c r="K94" s="67">
        <f>IF(tblY11[[#This Row],[Preferred Last name]]="","",COUNTIFS($N$1:$ZZ$1,"*"&amp;CHAR(10)&amp;"Stanine",$N94:$ZZ94,"&gt;=1"))</f>
        <v>6</v>
      </c>
      <c r="L94" s="68">
        <f>IFERROR(AVERAGEIF($N$1:$ZZ$1,"*"&amp;CHAR(10)&amp;"Stanine",$N94:$ZZ94),"")</f>
        <v>2.66666666666667</v>
      </c>
      <c r="M94" s="69">
        <f>IF(AND(ISNUMBER(tblY11[[#This Row],[Mean Stanine]]),ISNUMBER(tblY11[[#This Row],[Avg KS2 Band]]),ISNUMBER(SlopeY11)),tblY11[[#This Row],[Mean Stanine]]-(InterceptY11+SlopeY11*tblY11[[#This Row],[Avg KS2 Band]]),"")</f>
        <v>-0.788304473304473</v>
      </c>
      <c r="N94" s="66" t="n">
        <v>13</v>
      </c>
      <c r="O94" s="67">
        <f>IF(ISNUMBER(tblY11[[#This Row],[4B05 - Homeostasis
Raw Score]]),IFERROR(VLOOKUP(ROUND(STANDARDIZE(tblY11[[#This Row],[4B05 - Homeostasis
Raw Score]],AVERAGE(tblY11[[4B05 - Homeostasis
Raw Score]]),_xlfn.STDEV.P(tblY11[[4B05 - Homeostasis
Raw Score]])),9),_Stanine,2),5),"")</f>
        <v>3</v>
      </c>
      <c r="P94" s="66" t="n">
        <v>6</v>
      </c>
      <c r="Q94" s="67">
        <f>IF(ISNUMBER(tblY11[[#This Row],[4C09 - Organic Chemistry
Raw Score]]),IFERROR(VLOOKUP(ROUND(STANDARDIZE(tblY11[[#This Row],[4C09 - Organic Chemistry
Raw Score]],AVERAGE(tblY11[[4C09 - Organic Chemistry
Raw Score]]),_xlfn.STDEV.P(tblY11[[4C09 - Organic Chemistry
Raw Score]])),9),_Stanine,2),5),"")</f>
        <v>2</v>
      </c>
      <c r="R94" s="66" t="n">
        <v>10</v>
      </c>
      <c r="S94" s="67">
        <f>IF(ISNUMBER(tblY11[[#This Row],[4P06 - Waves
Raw Score]]),IFERROR(VLOOKUP(ROUND(STANDARDIZE(tblY11[[#This Row],[4P06 - Waves
Raw Score]],AVERAGE(tblY11[[4P06 - Waves
Raw Score]]),_xlfn.STDEV.P(tblY11[[4P06 - Waves
Raw Score]])),9),_Stanine,2),5),"")</f>
        <v>2</v>
      </c>
      <c r="T94" s="66" t="n">
        <v>8</v>
      </c>
      <c r="U94" s="67">
        <f>IF(ISNUMBER(tblY11[[#This Row],[4B06 - Inheritance
Raw Score]]),IFERROR(VLOOKUP(ROUND(STANDARDIZE(tblY11[[#This Row],[4B06 - Inheritance
Raw Score]],AVERAGE(tblY11[[4B06 - Inheritance
Raw Score]]),_xlfn.STDEV.P(tblY11[[4B06 - Inheritance
Raw Score]])),9),_Stanine,2),5),"")</f>
        <v>3</v>
      </c>
      <c r="V94" s="66" t="n">
        <v>9</v>
      </c>
      <c r="W94" s="67">
        <f>IF(ISNUMBER(tblY11[[#This Row],[4C10 - Chemical Analysis
Raw Score]]),IFERROR(VLOOKUP(ROUND(STANDARDIZE(tblY11[[#This Row],[4C10 - Chemical Analysis
Raw Score]],AVERAGE(tblY11[[4C10 - Chemical Analysis
Raw Score]]),_xlfn.STDEV.P(tblY11[[4C10 - Chemical Analysis
Raw Score]])),9),_Stanine,2),5),"")</f>
        <v>3</v>
      </c>
      <c r="X94" s="66" t="n">
        <v>7</v>
      </c>
      <c r="Y94" s="67">
        <f>IF(ISNUMBER(tblY11[[#This Row],[4P07 - Magnetism
Raw Score]]),IFERROR(VLOOKUP(ROUND(STANDARDIZE(tblY11[[#This Row],[4P07 - Magnetism
Raw Score]],AVERAGE(tblY11[[4P07 - Magnetism
Raw Score]]),_xlfn.STDEV.P(tblY11[[4P07 - Magnetism
Raw Score]])),9),_Stanine,2),5),"")</f>
        <v>3</v>
      </c>
    </row>
    <row r="95">
      <c r="A95" s="65" t="inlineStr">
        <is>
          <t>X907488946354</t>
        </is>
      </c>
      <c r="B95" s="65" t="inlineStr">
        <is>
          <t>Morgan</t>
        </is>
      </c>
      <c r="C95" s="65" t="inlineStr">
        <is>
          <t>Charlie</t>
        </is>
      </c>
      <c r="D95" s="66" t="inlineStr">
        <is>
          <t>F</t>
        </is>
      </c>
      <c r="E95" s="66" t="inlineStr">
        <is>
          <t>N</t>
        </is>
      </c>
      <c r="F95" s="66" t="inlineStr">
        <is>
          <t>N</t>
        </is>
      </c>
      <c r="G95" s="34" t="n">
        <v>94.90000000000001</v>
      </c>
      <c r="H95" s="34" t="n">
        <v>95.5</v>
      </c>
      <c r="I95" s="67">
        <f>IF(ISNUMBER(tblY11[[#This Row],[Avg KS2]]),IFERROR(VLOOKUP(ROUND(STANDARDIZE(tblY11[[#This Row],[Avg KS2]],AVERAGE(tblY11[[Avg KS2]]),_xlfn.STDEV.P(tblY11[[Avg KS2]])),9),_Stanine,2),5),"")</f>
        <v>2</v>
      </c>
      <c r="J95" s="66" t="inlineStr">
        <is>
          <t>11S/Sc5</t>
        </is>
      </c>
      <c r="K95" s="67">
        <f>IF(tblY11[[#This Row],[Preferred Last name]]="","",COUNTIFS($N$1:$ZZ$1,"*"&amp;CHAR(10)&amp;"Stanine",$N95:$ZZ95,"&gt;=1"))</f>
        <v>6</v>
      </c>
      <c r="L95" s="68">
        <f>IFERROR(AVERAGEIF($N$1:$ZZ$1,"*"&amp;CHAR(10)&amp;"Stanine",$N95:$ZZ95),"")</f>
        <v>3.83333333333333</v>
      </c>
      <c r="M95" s="69">
        <f>IF(AND(ISNUMBER(tblY11[[#This Row],[Mean Stanine]]),ISNUMBER(tblY11[[#This Row],[Avg KS2 Band]]),ISNUMBER(SlopeY11)),tblY11[[#This Row],[Mean Stanine]]-(InterceptY11+SlopeY11*tblY11[[#This Row],[Avg KS2 Band]]),"")</f>
        <v>1.12722582972583</v>
      </c>
      <c r="N95" s="66" t="n">
        <v>12</v>
      </c>
      <c r="O95" s="67">
        <f>IF(ISNUMBER(tblY11[[#This Row],[4B05 - Homeostasis
Raw Score]]),IFERROR(VLOOKUP(ROUND(STANDARDIZE(tblY11[[#This Row],[4B05 - Homeostasis
Raw Score]],AVERAGE(tblY11[[4B05 - Homeostasis
Raw Score]]),_xlfn.STDEV.P(tblY11[[4B05 - Homeostasis
Raw Score]])),9),_Stanine,2),5),"")</f>
        <v>3</v>
      </c>
      <c r="P95" s="66" t="n">
        <v>8</v>
      </c>
      <c r="Q95" s="67">
        <f>IF(ISNUMBER(tblY11[[#This Row],[4C09 - Organic Chemistry
Raw Score]]),IFERROR(VLOOKUP(ROUND(STANDARDIZE(tblY11[[#This Row],[4C09 - Organic Chemistry
Raw Score]],AVERAGE(tblY11[[4C09 - Organic Chemistry
Raw Score]]),_xlfn.STDEV.P(tblY11[[4C09 - Organic Chemistry
Raw Score]])),9),_Stanine,2),5),"")</f>
        <v>3</v>
      </c>
      <c r="R95" s="66" t="n">
        <v>19</v>
      </c>
      <c r="S95" s="67">
        <f>IF(ISNUMBER(tblY11[[#This Row],[4P06 - Waves
Raw Score]]),IFERROR(VLOOKUP(ROUND(STANDARDIZE(tblY11[[#This Row],[4P06 - Waves
Raw Score]],AVERAGE(tblY11[[4P06 - Waves
Raw Score]]),_xlfn.STDEV.P(tblY11[[4P06 - Waves
Raw Score]])),9),_Stanine,2),5),"")</f>
        <v>5</v>
      </c>
      <c r="T95" s="66" t="n">
        <v>16</v>
      </c>
      <c r="U95" s="67">
        <f>IF(ISNUMBER(tblY11[[#This Row],[4B06 - Inheritance
Raw Score]]),IFERROR(VLOOKUP(ROUND(STANDARDIZE(tblY11[[#This Row],[4B06 - Inheritance
Raw Score]],AVERAGE(tblY11[[4B06 - Inheritance
Raw Score]]),_xlfn.STDEV.P(tblY11[[4B06 - Inheritance
Raw Score]])),9),_Stanine,2),5),"")</f>
        <v>4</v>
      </c>
      <c r="V95" s="66" t="n">
        <v>10</v>
      </c>
      <c r="W95" s="67">
        <f>IF(ISNUMBER(tblY11[[#This Row],[4C10 - Chemical Analysis
Raw Score]]),IFERROR(VLOOKUP(ROUND(STANDARDIZE(tblY11[[#This Row],[4C10 - Chemical Analysis
Raw Score]],AVERAGE(tblY11[[4C10 - Chemical Analysis
Raw Score]]),_xlfn.STDEV.P(tblY11[[4C10 - Chemical Analysis
Raw Score]])),9),_Stanine,2),5),"")</f>
        <v>4</v>
      </c>
      <c r="X95" s="66" t="n">
        <v>12</v>
      </c>
      <c r="Y95" s="67">
        <f>IF(ISNUMBER(tblY11[[#This Row],[4P07 - Magnetism
Raw Score]]),IFERROR(VLOOKUP(ROUND(STANDARDIZE(tblY11[[#This Row],[4P07 - Magnetism
Raw Score]],AVERAGE(tblY11[[4P07 - Magnetism
Raw Score]]),_xlfn.STDEV.P(tblY11[[4P07 - Magnetism
Raw Score]])),9),_Stanine,2),5),"")</f>
        <v>4</v>
      </c>
    </row>
    <row r="96">
      <c r="A96" s="65" t="inlineStr">
        <is>
          <t>X909693033799</t>
        </is>
      </c>
      <c r="B96" s="65" t="inlineStr">
        <is>
          <t>Morgan</t>
        </is>
      </c>
      <c r="C96" s="65" t="inlineStr">
        <is>
          <t>Zofia</t>
        </is>
      </c>
      <c r="D96" s="66" t="inlineStr">
        <is>
          <t>F</t>
        </is>
      </c>
      <c r="E96" s="66" t="inlineStr">
        <is>
          <t>E</t>
        </is>
      </c>
      <c r="F96" s="66" t="inlineStr">
        <is>
          <t>N</t>
        </is>
      </c>
      <c r="G96" s="34" t="n">
        <v>94.5</v>
      </c>
      <c r="H96" s="34" t="n">
        <v>97</v>
      </c>
      <c r="I96" s="67">
        <f>IF(ISNUMBER(tblY11[[#This Row],[Avg KS2]]),IFERROR(VLOOKUP(ROUND(STANDARDIZE(tblY11[[#This Row],[Avg KS2]],AVERAGE(tblY11[[Avg KS2]]),_xlfn.STDEV.P(tblY11[[Avg KS2]])),9),_Stanine,2),5),"")</f>
        <v>3</v>
      </c>
      <c r="J96" s="66" t="inlineStr">
        <is>
          <t>11S/Sc5</t>
        </is>
      </c>
      <c r="K96" s="67">
        <f>IF(tblY11[[#This Row],[Preferred Last name]]="","",COUNTIFS($N$1:$ZZ$1,"*"&amp;CHAR(10)&amp;"Stanine",$N96:$ZZ96,"&gt;=1"))</f>
        <v>5</v>
      </c>
      <c r="L96" s="68">
        <f>IFERROR(AVERAGEIF($N$1:$ZZ$1,"*"&amp;CHAR(10)&amp;"Stanine",$N96:$ZZ96),"")</f>
        <v>1.6</v>
      </c>
      <c r="M96" s="69">
        <f>IF(AND(ISNUMBER(tblY11[[#This Row],[Mean Stanine]]),ISNUMBER(tblY11[[#This Row],[Avg KS2 Band]]),ISNUMBER(SlopeY11)),tblY11[[#This Row],[Mean Stanine]]-(InterceptY11+SlopeY11*tblY11[[#This Row],[Avg KS2 Band]]),"")</f>
        <v>-1.85497113997114</v>
      </c>
      <c r="N96" s="66" t="n">
        <v>5</v>
      </c>
      <c r="O96" s="67">
        <f>IF(ISNUMBER(tblY11[[#This Row],[4B05 - Homeostasis
Raw Score]]),IFERROR(VLOOKUP(ROUND(STANDARDIZE(tblY11[[#This Row],[4B05 - Homeostasis
Raw Score]],AVERAGE(tblY11[[4B05 - Homeostasis
Raw Score]]),_xlfn.STDEV.P(tblY11[[4B05 - Homeostasis
Raw Score]])),9),_Stanine,2),5),"")</f>
        <v>1</v>
      </c>
      <c r="P96" s="66" t="inlineStr">
        <is>
          <t>A</t>
        </is>
      </c>
      <c r="Q96" s="67" t="str">
        <f>IF(ISNUMBER(tblY11[[#This Row],[4C09 - Organic Chemistry
Raw Score]]),IFERROR(VLOOKUP(ROUND(STANDARDIZE(tblY11[[#This Row],[4C09 - Organic Chemistry
Raw Score]],AVERAGE(tblY11[[4C09 - Organic Chemistry
Raw Score]]),_xlfn.STDEV.P(tblY11[[4C09 - Organic Chemistry
Raw Score]])),9),_Stanine,2),5),"")</f>
        <v/>
      </c>
      <c r="R96" s="66" t="n">
        <v>8</v>
      </c>
      <c r="S96" s="67">
        <f>IF(ISNUMBER(tblY11[[#This Row],[4P06 - Waves
Raw Score]]),IFERROR(VLOOKUP(ROUND(STANDARDIZE(tblY11[[#This Row],[4P06 - Waves
Raw Score]],AVERAGE(tblY11[[4P06 - Waves
Raw Score]]),_xlfn.STDEV.P(tblY11[[4P06 - Waves
Raw Score]])),9),_Stanine,2),5),"")</f>
        <v>2</v>
      </c>
      <c r="T96" s="66" t="n">
        <v>4</v>
      </c>
      <c r="U96" s="67">
        <f>IF(ISNUMBER(tblY11[[#This Row],[4B06 - Inheritance
Raw Score]]),IFERROR(VLOOKUP(ROUND(STANDARDIZE(tblY11[[#This Row],[4B06 - Inheritance
Raw Score]],AVERAGE(tblY11[[4B06 - Inheritance
Raw Score]]),_xlfn.STDEV.P(tblY11[[4B06 - Inheritance
Raw Score]])),9),_Stanine,2),5),"")</f>
        <v>2</v>
      </c>
      <c r="V96" s="66" t="n">
        <v>5</v>
      </c>
      <c r="W96" s="67">
        <f>IF(ISNUMBER(tblY11[[#This Row],[4C10 - Chemical Analysis
Raw Score]]),IFERROR(VLOOKUP(ROUND(STANDARDIZE(tblY11[[#This Row],[4C10 - Chemical Analysis
Raw Score]],AVERAGE(tblY11[[4C10 - Chemical Analysis
Raw Score]]),_xlfn.STDEV.P(tblY11[[4C10 - Chemical Analysis
Raw Score]])),9),_Stanine,2),5),"")</f>
        <v>2</v>
      </c>
      <c r="X96" s="66" t="n">
        <v>2</v>
      </c>
      <c r="Y96" s="67">
        <f>IF(ISNUMBER(tblY11[[#This Row],[4P07 - Magnetism
Raw Score]]),IFERROR(VLOOKUP(ROUND(STANDARDIZE(tblY11[[#This Row],[4P07 - Magnetism
Raw Score]],AVERAGE(tblY11[[4P07 - Magnetism
Raw Score]]),_xlfn.STDEV.P(tblY11[[4P07 - Magnetism
Raw Score]])),9),_Stanine,2),5),"")</f>
        <v>1</v>
      </c>
    </row>
    <row r="97">
      <c r="A97" s="65" t="inlineStr">
        <is>
          <t>X906665291192</t>
        </is>
      </c>
      <c r="B97" s="65" t="inlineStr">
        <is>
          <t>Murphy</t>
        </is>
      </c>
      <c r="C97" s="65" t="inlineStr">
        <is>
          <t>Freya</t>
        </is>
      </c>
      <c r="D97" s="66" t="inlineStr">
        <is>
          <t>F</t>
        </is>
      </c>
      <c r="E97" s="66" t="n"/>
      <c r="F97" s="66" t="inlineStr">
        <is>
          <t>Y</t>
        </is>
      </c>
      <c r="G97" s="34" t="n">
        <v>85.7</v>
      </c>
      <c r="H97" s="34" t="n">
        <v>99</v>
      </c>
      <c r="I97" s="67">
        <f>IF(ISNUMBER(tblY11[[#This Row],[Avg KS2]]),IFERROR(VLOOKUP(ROUND(STANDARDIZE(tblY11[[#This Row],[Avg KS2]],AVERAGE(tblY11[[Avg KS2]]),_xlfn.STDEV.P(tblY11[[Avg KS2]])),9),_Stanine,2),5),"")</f>
        <v>3</v>
      </c>
      <c r="J97" s="66" t="inlineStr">
        <is>
          <t>11S/Sc5</t>
        </is>
      </c>
      <c r="K97" s="67">
        <f>IF(tblY11[[#This Row],[Preferred Last name]]="","",COUNTIFS($N$1:$ZZ$1,"*"&amp;CHAR(10)&amp;"Stanine",$N97:$ZZ97,"&gt;=1"))</f>
        <v>6</v>
      </c>
      <c r="L97" s="68">
        <f>IFERROR(AVERAGEIF($N$1:$ZZ$1,"*"&amp;CHAR(10)&amp;"Stanine",$N97:$ZZ97),"")</f>
        <v>3.16666666666667</v>
      </c>
      <c r="M97" s="69">
        <f>IF(AND(ISNUMBER(tblY11[[#This Row],[Mean Stanine]]),ISNUMBER(tblY11[[#This Row],[Avg KS2 Band]]),ISNUMBER(SlopeY11)),tblY11[[#This Row],[Mean Stanine]]-(InterceptY11+SlopeY11*tblY11[[#This Row],[Avg KS2 Band]]),"")</f>
        <v>-0.288304473304473</v>
      </c>
      <c r="N97" s="66" t="n">
        <v>18</v>
      </c>
      <c r="O97" s="67">
        <f>IF(ISNUMBER(tblY11[[#This Row],[4B05 - Homeostasis
Raw Score]]),IFERROR(VLOOKUP(ROUND(STANDARDIZE(tblY11[[#This Row],[4B05 - Homeostasis
Raw Score]],AVERAGE(tblY11[[4B05 - Homeostasis
Raw Score]]),_xlfn.STDEV.P(tblY11[[4B05 - Homeostasis
Raw Score]])),9),_Stanine,2),5),"")</f>
        <v>4</v>
      </c>
      <c r="P97" s="66" t="n">
        <v>6</v>
      </c>
      <c r="Q97" s="67">
        <f>IF(ISNUMBER(tblY11[[#This Row],[4C09 - Organic Chemistry
Raw Score]]),IFERROR(VLOOKUP(ROUND(STANDARDIZE(tblY11[[#This Row],[4C09 - Organic Chemistry
Raw Score]],AVERAGE(tblY11[[4C09 - Organic Chemistry
Raw Score]]),_xlfn.STDEV.P(tblY11[[4C09 - Organic Chemistry
Raw Score]])),9),_Stanine,2),5),"")</f>
        <v>2</v>
      </c>
      <c r="R97" s="66" t="n">
        <v>14</v>
      </c>
      <c r="S97" s="67">
        <f>IF(ISNUMBER(tblY11[[#This Row],[4P06 - Waves
Raw Score]]),IFERROR(VLOOKUP(ROUND(STANDARDIZE(tblY11[[#This Row],[4P06 - Waves
Raw Score]],AVERAGE(tblY11[[4P06 - Waves
Raw Score]]),_xlfn.STDEV.P(tblY11[[4P06 - Waves
Raw Score]])),9),_Stanine,2),5),"")</f>
        <v>3</v>
      </c>
      <c r="T97" s="66" t="n">
        <v>9</v>
      </c>
      <c r="U97" s="67">
        <f>IF(ISNUMBER(tblY11[[#This Row],[4B06 - Inheritance
Raw Score]]),IFERROR(VLOOKUP(ROUND(STANDARDIZE(tblY11[[#This Row],[4B06 - Inheritance
Raw Score]],AVERAGE(tblY11[[4B06 - Inheritance
Raw Score]]),_xlfn.STDEV.P(tblY11[[4B06 - Inheritance
Raw Score]])),9),_Stanine,2),5),"")</f>
        <v>3</v>
      </c>
      <c r="V97" s="66" t="n">
        <v>9</v>
      </c>
      <c r="W97" s="67">
        <f>IF(ISNUMBER(tblY11[[#This Row],[4C10 - Chemical Analysis
Raw Score]]),IFERROR(VLOOKUP(ROUND(STANDARDIZE(tblY11[[#This Row],[4C10 - Chemical Analysis
Raw Score]],AVERAGE(tblY11[[4C10 - Chemical Analysis
Raw Score]]),_xlfn.STDEV.P(tblY11[[4C10 - Chemical Analysis
Raw Score]])),9),_Stanine,2),5),"")</f>
        <v>3</v>
      </c>
      <c r="X97" s="66" t="n">
        <v>12</v>
      </c>
      <c r="Y97" s="67">
        <f>IF(ISNUMBER(tblY11[[#This Row],[4P07 - Magnetism
Raw Score]]),IFERROR(VLOOKUP(ROUND(STANDARDIZE(tblY11[[#This Row],[4P07 - Magnetism
Raw Score]],AVERAGE(tblY11[[4P07 - Magnetism
Raw Score]]),_xlfn.STDEV.P(tblY11[[4P07 - Magnetism
Raw Score]])),9),_Stanine,2),5),"")</f>
        <v>4</v>
      </c>
    </row>
    <row r="98">
      <c r="A98" s="65" t="inlineStr">
        <is>
          <t>X901339613250</t>
        </is>
      </c>
      <c r="B98" s="65" t="inlineStr">
        <is>
          <t>Okafor</t>
        </is>
      </c>
      <c r="C98" s="65" t="inlineStr">
        <is>
          <t>Arthur</t>
        </is>
      </c>
      <c r="D98" s="66" t="inlineStr">
        <is>
          <t>M</t>
        </is>
      </c>
      <c r="E98" s="66" t="n"/>
      <c r="F98" s="66" t="inlineStr">
        <is>
          <t>Y</t>
        </is>
      </c>
      <c r="G98" s="34" t="n">
        <v>81.40000000000001</v>
      </c>
      <c r="H98" s="34" t="n">
        <v>97.5</v>
      </c>
      <c r="I98" s="67">
        <f>IF(ISNUMBER(tblY11[[#This Row],[Avg KS2]]),IFERROR(VLOOKUP(ROUND(STANDARDIZE(tblY11[[#This Row],[Avg KS2]],AVERAGE(tblY11[[Avg KS2]]),_xlfn.STDEV.P(tblY11[[Avg KS2]])),9),_Stanine,2),5),"")</f>
        <v>3</v>
      </c>
      <c r="J98" s="66" t="inlineStr">
        <is>
          <t>11S/Sc5</t>
        </is>
      </c>
      <c r="K98" s="67">
        <f>IF(tblY11[[#This Row],[Preferred Last name]]="","",COUNTIFS($N$1:$ZZ$1,"*"&amp;CHAR(10)&amp;"Stanine",$N98:$ZZ98,"&gt;=1"))</f>
        <v>4</v>
      </c>
      <c r="L98" s="68">
        <f>IFERROR(AVERAGEIF($N$1:$ZZ$1,"*"&amp;CHAR(10)&amp;"Stanine",$N98:$ZZ98),"")</f>
        <v>3</v>
      </c>
      <c r="M98" s="69">
        <f>IF(AND(ISNUMBER(tblY11[[#This Row],[Mean Stanine]]),ISNUMBER(tblY11[[#This Row],[Avg KS2 Band]]),ISNUMBER(SlopeY11)),tblY11[[#This Row],[Mean Stanine]]-(InterceptY11+SlopeY11*tblY11[[#This Row],[Avg KS2 Band]]),"")</f>
        <v>-0.454971139971139</v>
      </c>
      <c r="N98" s="66" t="n">
        <v>11</v>
      </c>
      <c r="O98" s="67">
        <f>IF(ISNUMBER(tblY11[[#This Row],[4B05 - Homeostasis
Raw Score]]),IFERROR(VLOOKUP(ROUND(STANDARDIZE(tblY11[[#This Row],[4B05 - Homeostasis
Raw Score]],AVERAGE(tblY11[[4B05 - Homeostasis
Raw Score]]),_xlfn.STDEV.P(tblY11[[4B05 - Homeostasis
Raw Score]])),9),_Stanine,2),5),"")</f>
        <v>3</v>
      </c>
      <c r="P98" s="66" t="inlineStr">
        <is>
          <t>A</t>
        </is>
      </c>
      <c r="Q98" s="67" t="str">
        <f>IF(ISNUMBER(tblY11[[#This Row],[4C09 - Organic Chemistry
Raw Score]]),IFERROR(VLOOKUP(ROUND(STANDARDIZE(tblY11[[#This Row],[4C09 - Organic Chemistry
Raw Score]],AVERAGE(tblY11[[4C09 - Organic Chemistry
Raw Score]]),_xlfn.STDEV.P(tblY11[[4C09 - Organic Chemistry
Raw Score]])),9),_Stanine,2),5),"")</f>
        <v/>
      </c>
      <c r="R98" s="66" t="n">
        <v>11</v>
      </c>
      <c r="S98" s="67">
        <f>IF(ISNUMBER(tblY11[[#This Row],[4P06 - Waves
Raw Score]]),IFERROR(VLOOKUP(ROUND(STANDARDIZE(tblY11[[#This Row],[4P06 - Waves
Raw Score]],AVERAGE(tblY11[[4P06 - Waves
Raw Score]]),_xlfn.STDEV.P(tblY11[[4P06 - Waves
Raw Score]])),9),_Stanine,2),5),"")</f>
        <v>3</v>
      </c>
      <c r="T98" s="66" t="n">
        <v>9</v>
      </c>
      <c r="U98" s="67">
        <f>IF(ISNUMBER(tblY11[[#This Row],[4B06 - Inheritance
Raw Score]]),IFERROR(VLOOKUP(ROUND(STANDARDIZE(tblY11[[#This Row],[4B06 - Inheritance
Raw Score]],AVERAGE(tblY11[[4B06 - Inheritance
Raw Score]]),_xlfn.STDEV.P(tblY11[[4B06 - Inheritance
Raw Score]])),9),_Stanine,2),5),"")</f>
        <v>3</v>
      </c>
      <c r="V98" s="66" t="n">
        <v>9</v>
      </c>
      <c r="W98" s="67">
        <f>IF(ISNUMBER(tblY11[[#This Row],[4C10 - Chemical Analysis
Raw Score]]),IFERROR(VLOOKUP(ROUND(STANDARDIZE(tblY11[[#This Row],[4C10 - Chemical Analysis
Raw Score]],AVERAGE(tblY11[[4C10 - Chemical Analysis
Raw Score]]),_xlfn.STDEV.P(tblY11[[4C10 - Chemical Analysis
Raw Score]])),9),_Stanine,2),5),"")</f>
        <v>3</v>
      </c>
      <c r="X98" s="66" t="inlineStr">
        <is>
          <t>A</t>
        </is>
      </c>
      <c r="Y98" s="67" t="str">
        <f>IF(ISNUMBER(tblY11[[#This Row],[4P07 - Magnetism
Raw Score]]),IFERROR(VLOOKUP(ROUND(STANDARDIZE(tblY11[[#This Row],[4P07 - Magnetism
Raw Score]],AVERAGE(tblY11[[4P07 - Magnetism
Raw Score]]),_xlfn.STDEV.P(tblY11[[4P07 - Magnetism
Raw Score]])),9),_Stanine,2),5),"")</f>
        <v/>
      </c>
    </row>
    <row r="99">
      <c r="A99" s="65" t="inlineStr">
        <is>
          <t>X908615052348</t>
        </is>
      </c>
      <c r="B99" s="65" t="inlineStr">
        <is>
          <t>Patel</t>
        </is>
      </c>
      <c r="C99" s="65" t="inlineStr">
        <is>
          <t>Arthur</t>
        </is>
      </c>
      <c r="D99" s="66" t="inlineStr">
        <is>
          <t>M</t>
        </is>
      </c>
      <c r="E99" s="66" t="n"/>
      <c r="F99" s="66" t="inlineStr">
        <is>
          <t>N</t>
        </is>
      </c>
      <c r="G99" s="34" t="n">
        <v>90.8</v>
      </c>
      <c r="H99" s="34" t="n">
        <v>99</v>
      </c>
      <c r="I99" s="67">
        <f>IF(ISNUMBER(tblY11[[#This Row],[Avg KS2]]),IFERROR(VLOOKUP(ROUND(STANDARDIZE(tblY11[[#This Row],[Avg KS2]],AVERAGE(tblY11[[Avg KS2]]),_xlfn.STDEV.P(tblY11[[Avg KS2]])),9),_Stanine,2),5),"")</f>
        <v>3</v>
      </c>
      <c r="J99" s="66" t="inlineStr">
        <is>
          <t>11S/Sc5</t>
        </is>
      </c>
      <c r="K99" s="67">
        <f>IF(tblY11[[#This Row],[Preferred Last name]]="","",COUNTIFS($N$1:$ZZ$1,"*"&amp;CHAR(10)&amp;"Stanine",$N99:$ZZ99,"&gt;=1"))</f>
        <v>6</v>
      </c>
      <c r="L99" s="68">
        <f>IFERROR(AVERAGEIF($N$1:$ZZ$1,"*"&amp;CHAR(10)&amp;"Stanine",$N99:$ZZ99),"")</f>
        <v>6.16666666666667</v>
      </c>
      <c r="M99" s="69">
        <f>IF(AND(ISNUMBER(tblY11[[#This Row],[Mean Stanine]]),ISNUMBER(tblY11[[#This Row],[Avg KS2 Band]]),ISNUMBER(SlopeY11)),tblY11[[#This Row],[Mean Stanine]]-(InterceptY11+SlopeY11*tblY11[[#This Row],[Avg KS2 Band]]),"")</f>
        <v>2.71169552669553</v>
      </c>
      <c r="N99" s="66" t="n">
        <v>20</v>
      </c>
      <c r="O99" s="67">
        <f>IF(ISNUMBER(tblY11[[#This Row],[4B05 - Homeostasis
Raw Score]]),IFERROR(VLOOKUP(ROUND(STANDARDIZE(tblY11[[#This Row],[4B05 - Homeostasis
Raw Score]],AVERAGE(tblY11[[4B05 - Homeostasis
Raw Score]]),_xlfn.STDEV.P(tblY11[[4B05 - Homeostasis
Raw Score]])),9),_Stanine,2),5),"")</f>
        <v>5</v>
      </c>
      <c r="P99" s="66" t="n">
        <v>18</v>
      </c>
      <c r="Q99" s="67">
        <f>IF(ISNUMBER(tblY11[[#This Row],[4C09 - Organic Chemistry
Raw Score]]),IFERROR(VLOOKUP(ROUND(STANDARDIZE(tblY11[[#This Row],[4C09 - Organic Chemistry
Raw Score]],AVERAGE(tblY11[[4C09 - Organic Chemistry
Raw Score]]),_xlfn.STDEV.P(tblY11[[4C09 - Organic Chemistry
Raw Score]])),9),_Stanine,2),5),"")</f>
        <v>5</v>
      </c>
      <c r="R99" s="66" t="n">
        <v>28</v>
      </c>
      <c r="S99" s="67">
        <f>IF(ISNUMBER(tblY11[[#This Row],[4P06 - Waves
Raw Score]]),IFERROR(VLOOKUP(ROUND(STANDARDIZE(tblY11[[#This Row],[4P06 - Waves
Raw Score]],AVERAGE(tblY11[[4P06 - Waves
Raw Score]]),_xlfn.STDEV.P(tblY11[[4P06 - Waves
Raw Score]])),9),_Stanine,2),5),"")</f>
        <v>7</v>
      </c>
      <c r="T99" s="66" t="n">
        <v>28</v>
      </c>
      <c r="U99" s="67">
        <f>IF(ISNUMBER(tblY11[[#This Row],[4B06 - Inheritance
Raw Score]]),IFERROR(VLOOKUP(ROUND(STANDARDIZE(tblY11[[#This Row],[4B06 - Inheritance
Raw Score]],AVERAGE(tblY11[[4B06 - Inheritance
Raw Score]]),_xlfn.STDEV.P(tblY11[[4B06 - Inheritance
Raw Score]])),9),_Stanine,2),5),"")</f>
        <v>7</v>
      </c>
      <c r="V99" s="66" t="n">
        <v>20</v>
      </c>
      <c r="W99" s="67">
        <f>IF(ISNUMBER(tblY11[[#This Row],[4C10 - Chemical Analysis
Raw Score]]),IFERROR(VLOOKUP(ROUND(STANDARDIZE(tblY11[[#This Row],[4C10 - Chemical Analysis
Raw Score]],AVERAGE(tblY11[[4C10 - Chemical Analysis
Raw Score]]),_xlfn.STDEV.P(tblY11[[4C10 - Chemical Analysis
Raw Score]])),9),_Stanine,2),5),"")</f>
        <v>7</v>
      </c>
      <c r="X99" s="66" t="n">
        <v>21</v>
      </c>
      <c r="Y99" s="67">
        <f>IF(ISNUMBER(tblY11[[#This Row],[4P07 - Magnetism
Raw Score]]),IFERROR(VLOOKUP(ROUND(STANDARDIZE(tblY11[[#This Row],[4P07 - Magnetism
Raw Score]],AVERAGE(tblY11[[4P07 - Magnetism
Raw Score]]),_xlfn.STDEV.P(tblY11[[4P07 - Magnetism
Raw Score]])),9),_Stanine,2),5),"")</f>
        <v>6</v>
      </c>
    </row>
    <row r="100">
      <c r="A100" s="65" t="inlineStr">
        <is>
          <t>X907663176262</t>
        </is>
      </c>
      <c r="B100" s="65" t="inlineStr">
        <is>
          <t>Robinson</t>
        </is>
      </c>
      <c r="C100" s="65" t="inlineStr">
        <is>
          <t>Priya</t>
        </is>
      </c>
      <c r="D100" s="66" t="inlineStr">
        <is>
          <t>F</t>
        </is>
      </c>
      <c r="E100" s="66" t="inlineStr">
        <is>
          <t>N</t>
        </is>
      </c>
      <c r="F100" s="66" t="inlineStr">
        <is>
          <t>N</t>
        </is>
      </c>
      <c r="G100" s="34" t="n">
        <v>83.2</v>
      </c>
      <c r="H100" s="34" t="n">
        <v>97.5</v>
      </c>
      <c r="I100" s="67">
        <f>IF(ISNUMBER(tblY11[[#This Row],[Avg KS2]]),IFERROR(VLOOKUP(ROUND(STANDARDIZE(tblY11[[#This Row],[Avg KS2]],AVERAGE(tblY11[[Avg KS2]]),_xlfn.STDEV.P(tblY11[[Avg KS2]])),9),_Stanine,2),5),"")</f>
        <v>3</v>
      </c>
      <c r="J100" s="66" t="inlineStr">
        <is>
          <t>11S/Sc5</t>
        </is>
      </c>
      <c r="K100" s="67">
        <f>IF(tblY11[[#This Row],[Preferred Last name]]="","",COUNTIFS($N$1:$ZZ$1,"*"&amp;CHAR(10)&amp;"Stanine",$N100:$ZZ100,"&gt;=1"))</f>
        <v>6</v>
      </c>
      <c r="L100" s="68">
        <f>IFERROR(AVERAGEIF($N$1:$ZZ$1,"*"&amp;CHAR(10)&amp;"Stanine",$N100:$ZZ100),"")</f>
        <v>2.16666666666667</v>
      </c>
      <c r="M100" s="69">
        <f>IF(AND(ISNUMBER(tblY11[[#This Row],[Mean Stanine]]),ISNUMBER(tblY11[[#This Row],[Avg KS2 Band]]),ISNUMBER(SlopeY11)),tblY11[[#This Row],[Mean Stanine]]-(InterceptY11+SlopeY11*tblY11[[#This Row],[Avg KS2 Band]]),"")</f>
        <v>-1.28830447330447</v>
      </c>
      <c r="N100" s="66" t="n">
        <v>10</v>
      </c>
      <c r="O100" s="67">
        <f>IF(ISNUMBER(tblY11[[#This Row],[4B05 - Homeostasis
Raw Score]]),IFERROR(VLOOKUP(ROUND(STANDARDIZE(tblY11[[#This Row],[4B05 - Homeostasis
Raw Score]],AVERAGE(tblY11[[4B05 - Homeostasis
Raw Score]]),_xlfn.STDEV.P(tblY11[[4B05 - Homeostasis
Raw Score]])),9),_Stanine,2),5),"")</f>
        <v>2</v>
      </c>
      <c r="P100" s="66" t="n">
        <v>8</v>
      </c>
      <c r="Q100" s="67">
        <f>IF(ISNUMBER(tblY11[[#This Row],[4C09 - Organic Chemistry
Raw Score]]),IFERROR(VLOOKUP(ROUND(STANDARDIZE(tblY11[[#This Row],[4C09 - Organic Chemistry
Raw Score]],AVERAGE(tblY11[[4C09 - Organic Chemistry
Raw Score]]),_xlfn.STDEV.P(tblY11[[4C09 - Organic Chemistry
Raw Score]])),9),_Stanine,2),5),"")</f>
        <v>3</v>
      </c>
      <c r="R100" s="66" t="n">
        <v>9</v>
      </c>
      <c r="S100" s="67">
        <f>IF(ISNUMBER(tblY11[[#This Row],[4P06 - Waves
Raw Score]]),IFERROR(VLOOKUP(ROUND(STANDARDIZE(tblY11[[#This Row],[4P06 - Waves
Raw Score]],AVERAGE(tblY11[[4P06 - Waves
Raw Score]]),_xlfn.STDEV.P(tblY11[[4P06 - Waves
Raw Score]])),9),_Stanine,2),5),"")</f>
        <v>2</v>
      </c>
      <c r="T100" s="66" t="n">
        <v>7</v>
      </c>
      <c r="U100" s="67">
        <f>IF(ISNUMBER(tblY11[[#This Row],[4B06 - Inheritance
Raw Score]]),IFERROR(VLOOKUP(ROUND(STANDARDIZE(tblY11[[#This Row],[4B06 - Inheritance
Raw Score]],AVERAGE(tblY11[[4B06 - Inheritance
Raw Score]]),_xlfn.STDEV.P(tblY11[[4B06 - Inheritance
Raw Score]])),9),_Stanine,2),5),"")</f>
        <v>2</v>
      </c>
      <c r="V100" s="66" t="n">
        <v>5</v>
      </c>
      <c r="W100" s="67">
        <f>IF(ISNUMBER(tblY11[[#This Row],[4C10 - Chemical Analysis
Raw Score]]),IFERROR(VLOOKUP(ROUND(STANDARDIZE(tblY11[[#This Row],[4C10 - Chemical Analysis
Raw Score]],AVERAGE(tblY11[[4C10 - Chemical Analysis
Raw Score]]),_xlfn.STDEV.P(tblY11[[4C10 - Chemical Analysis
Raw Score]])),9),_Stanine,2),5),"")</f>
        <v>2</v>
      </c>
      <c r="X100" s="66" t="n">
        <v>4</v>
      </c>
      <c r="Y100" s="67">
        <f>IF(ISNUMBER(tblY11[[#This Row],[4P07 - Magnetism
Raw Score]]),IFERROR(VLOOKUP(ROUND(STANDARDIZE(tblY11[[#This Row],[4P07 - Magnetism
Raw Score]],AVERAGE(tblY11[[4P07 - Magnetism
Raw Score]]),_xlfn.STDEV.P(tblY11[[4P07 - Magnetism
Raw Score]])),9),_Stanine,2),5),"")</f>
        <v>2</v>
      </c>
    </row>
    <row r="101">
      <c r="A101" s="65" t="inlineStr">
        <is>
          <t>X900146502907</t>
        </is>
      </c>
      <c r="B101" s="65" t="inlineStr">
        <is>
          <t>Smith</t>
        </is>
      </c>
      <c r="C101" s="65" t="inlineStr">
        <is>
          <t>Zofia</t>
        </is>
      </c>
      <c r="D101" s="66" t="inlineStr">
        <is>
          <t>M</t>
        </is>
      </c>
      <c r="E101" s="66" t="inlineStr">
        <is>
          <t>N</t>
        </is>
      </c>
      <c r="F101" s="66" t="inlineStr">
        <is>
          <t>N</t>
        </is>
      </c>
      <c r="G101" s="34" t="n">
        <v>92.7</v>
      </c>
      <c r="H101" s="34" t="n">
        <v>95.5</v>
      </c>
      <c r="I101" s="67">
        <f>IF(ISNUMBER(tblY11[[#This Row],[Avg KS2]]),IFERROR(VLOOKUP(ROUND(STANDARDIZE(tblY11[[#This Row],[Avg KS2]],AVERAGE(tblY11[[Avg KS2]]),_xlfn.STDEV.P(tblY11[[Avg KS2]])),9),_Stanine,2),5),"")</f>
        <v>2</v>
      </c>
      <c r="J101" s="66" t="inlineStr">
        <is>
          <t>11S/Sc5</t>
        </is>
      </c>
      <c r="K101" s="67">
        <f>IF(tblY11[[#This Row],[Preferred Last name]]="","",COUNTIFS($N$1:$ZZ$1,"*"&amp;CHAR(10)&amp;"Stanine",$N101:$ZZ101,"&gt;=1"))</f>
        <v>6</v>
      </c>
      <c r="L101" s="68">
        <f>IFERROR(AVERAGEIF($N$1:$ZZ$1,"*"&amp;CHAR(10)&amp;"Stanine",$N101:$ZZ101),"")</f>
        <v>4.33333333333333</v>
      </c>
      <c r="M101" s="69">
        <f>IF(AND(ISNUMBER(tblY11[[#This Row],[Mean Stanine]]),ISNUMBER(tblY11[[#This Row],[Avg KS2 Band]]),ISNUMBER(SlopeY11)),tblY11[[#This Row],[Mean Stanine]]-(InterceptY11+SlopeY11*tblY11[[#This Row],[Avg KS2 Band]]),"")</f>
        <v>1.62722582972583</v>
      </c>
      <c r="N101" s="66" t="n">
        <v>22</v>
      </c>
      <c r="O101" s="67">
        <f>IF(ISNUMBER(tblY11[[#This Row],[4B05 - Homeostasis
Raw Score]]),IFERROR(VLOOKUP(ROUND(STANDARDIZE(tblY11[[#This Row],[4B05 - Homeostasis
Raw Score]],AVERAGE(tblY11[[4B05 - Homeostasis
Raw Score]]),_xlfn.STDEV.P(tblY11[[4B05 - Homeostasis
Raw Score]])),9),_Stanine,2),5),"")</f>
        <v>5</v>
      </c>
      <c r="P101" s="66" t="n">
        <v>13</v>
      </c>
      <c r="Q101" s="67">
        <f>IF(ISNUMBER(tblY11[[#This Row],[4C09 - Organic Chemistry
Raw Score]]),IFERROR(VLOOKUP(ROUND(STANDARDIZE(tblY11[[#This Row],[4C09 - Organic Chemistry
Raw Score]],AVERAGE(tblY11[[4C09 - Organic Chemistry
Raw Score]]),_xlfn.STDEV.P(tblY11[[4C09 - Organic Chemistry
Raw Score]])),9),_Stanine,2),5),"")</f>
        <v>4</v>
      </c>
      <c r="R101" s="66" t="n">
        <v>12</v>
      </c>
      <c r="S101" s="67">
        <f>IF(ISNUMBER(tblY11[[#This Row],[4P06 - Waves
Raw Score]]),IFERROR(VLOOKUP(ROUND(STANDARDIZE(tblY11[[#This Row],[4P06 - Waves
Raw Score]],AVERAGE(tblY11[[4P06 - Waves
Raw Score]]),_xlfn.STDEV.P(tblY11[[4P06 - Waves
Raw Score]])),9),_Stanine,2),5),"")</f>
        <v>3</v>
      </c>
      <c r="T101" s="66" t="n">
        <v>12</v>
      </c>
      <c r="U101" s="67">
        <f>IF(ISNUMBER(tblY11[[#This Row],[4B06 - Inheritance
Raw Score]]),IFERROR(VLOOKUP(ROUND(STANDARDIZE(tblY11[[#This Row],[4B06 - Inheritance
Raw Score]],AVERAGE(tblY11[[4B06 - Inheritance
Raw Score]]),_xlfn.STDEV.P(tblY11[[4B06 - Inheritance
Raw Score]])),9),_Stanine,2),5),"")</f>
        <v>4</v>
      </c>
      <c r="V101" s="66" t="n">
        <v>13</v>
      </c>
      <c r="W101" s="67">
        <f>IF(ISNUMBER(tblY11[[#This Row],[4C10 - Chemical Analysis
Raw Score]]),IFERROR(VLOOKUP(ROUND(STANDARDIZE(tblY11[[#This Row],[4C10 - Chemical Analysis
Raw Score]],AVERAGE(tblY11[[4C10 - Chemical Analysis
Raw Score]]),_xlfn.STDEV.P(tblY11[[4C10 - Chemical Analysis
Raw Score]])),9),_Stanine,2),5),"")</f>
        <v>5</v>
      </c>
      <c r="X101" s="66" t="n">
        <v>16</v>
      </c>
      <c r="Y101" s="67">
        <f>IF(ISNUMBER(tblY11[[#This Row],[4P07 - Magnetism
Raw Score]]),IFERROR(VLOOKUP(ROUND(STANDARDIZE(tblY11[[#This Row],[4P07 - Magnetism
Raw Score]],AVERAGE(tblY11[[4P07 - Magnetism
Raw Score]]),_xlfn.STDEV.P(tblY11[[4P07 - Magnetism
Raw Score]])),9),_Stanine,2),5),"")</f>
        <v>5</v>
      </c>
    </row>
    <row r="102">
      <c r="A102" s="65" t="inlineStr">
        <is>
          <t>X900093242766</t>
        </is>
      </c>
      <c r="B102" s="65" t="inlineStr">
        <is>
          <t>Williams</t>
        </is>
      </c>
      <c r="C102" s="65" t="inlineStr">
        <is>
          <t>Amelia</t>
        </is>
      </c>
      <c r="D102" s="66" t="inlineStr">
        <is>
          <t>F</t>
        </is>
      </c>
      <c r="E102" s="66" t="n"/>
      <c r="F102" s="66" t="inlineStr">
        <is>
          <t>Y</t>
        </is>
      </c>
      <c r="G102" s="34" t="n">
        <v>85.8</v>
      </c>
      <c r="H102" s="34" t="n">
        <v>101.5</v>
      </c>
      <c r="I102" s="67">
        <f>IF(ISNUMBER(tblY11[[#This Row],[Avg KS2]]),IFERROR(VLOOKUP(ROUND(STANDARDIZE(tblY11[[#This Row],[Avg KS2]],AVERAGE(tblY11[[Avg KS2]]),_xlfn.STDEV.P(tblY11[[Avg KS2]])),9),_Stanine,2),5),"")</f>
        <v>4</v>
      </c>
      <c r="J102" s="66" t="inlineStr">
        <is>
          <t>11S/Sc5</t>
        </is>
      </c>
      <c r="K102" s="67">
        <f>IF(tblY11[[#This Row],[Preferred Last name]]="","",COUNTIFS($N$1:$ZZ$1,"*"&amp;CHAR(10)&amp;"Stanine",$N102:$ZZ102,"&gt;=1"))</f>
        <v>6</v>
      </c>
      <c r="L102" s="68">
        <f>IFERROR(AVERAGEIF($N$1:$ZZ$1,"*"&amp;CHAR(10)&amp;"Stanine",$N102:$ZZ102),"")</f>
        <v>2.66666666666667</v>
      </c>
      <c r="M102" s="69">
        <f>IF(AND(ISNUMBER(tblY11[[#This Row],[Mean Stanine]]),ISNUMBER(tblY11[[#This Row],[Avg KS2 Band]]),ISNUMBER(SlopeY11)),tblY11[[#This Row],[Mean Stanine]]-(InterceptY11+SlopeY11*tblY11[[#This Row],[Avg KS2 Band]]),"")</f>
        <v>-1.53716810966811</v>
      </c>
      <c r="N102" s="66" t="n">
        <v>10</v>
      </c>
      <c r="O102" s="67">
        <f>IF(ISNUMBER(tblY11[[#This Row],[4B05 - Homeostasis
Raw Score]]),IFERROR(VLOOKUP(ROUND(STANDARDIZE(tblY11[[#This Row],[4B05 - Homeostasis
Raw Score]],AVERAGE(tblY11[[4B05 - Homeostasis
Raw Score]]),_xlfn.STDEV.P(tblY11[[4B05 - Homeostasis
Raw Score]])),9),_Stanine,2),5),"")</f>
        <v>2</v>
      </c>
      <c r="P102" s="66" t="n">
        <v>7</v>
      </c>
      <c r="Q102" s="67">
        <f>IF(ISNUMBER(tblY11[[#This Row],[4C09 - Organic Chemistry
Raw Score]]),IFERROR(VLOOKUP(ROUND(STANDARDIZE(tblY11[[#This Row],[4C09 - Organic Chemistry
Raw Score]],AVERAGE(tblY11[[4C09 - Organic Chemistry
Raw Score]]),_xlfn.STDEV.P(tblY11[[4C09 - Organic Chemistry
Raw Score]])),9),_Stanine,2),5),"")</f>
        <v>3</v>
      </c>
      <c r="R102" s="66" t="n">
        <v>10</v>
      </c>
      <c r="S102" s="67">
        <f>IF(ISNUMBER(tblY11[[#This Row],[4P06 - Waves
Raw Score]]),IFERROR(VLOOKUP(ROUND(STANDARDIZE(tblY11[[#This Row],[4P06 - Waves
Raw Score]],AVERAGE(tblY11[[4P06 - Waves
Raw Score]]),_xlfn.STDEV.P(tblY11[[4P06 - Waves
Raw Score]])),9),_Stanine,2),5),"")</f>
        <v>2</v>
      </c>
      <c r="T102" s="66" t="n">
        <v>8</v>
      </c>
      <c r="U102" s="67">
        <f>IF(ISNUMBER(tblY11[[#This Row],[4B06 - Inheritance
Raw Score]]),IFERROR(VLOOKUP(ROUND(STANDARDIZE(tblY11[[#This Row],[4B06 - Inheritance
Raw Score]],AVERAGE(tblY11[[4B06 - Inheritance
Raw Score]]),_xlfn.STDEV.P(tblY11[[4B06 - Inheritance
Raw Score]])),9),_Stanine,2),5),"")</f>
        <v>3</v>
      </c>
      <c r="V102" s="66" t="n">
        <v>8</v>
      </c>
      <c r="W102" s="67">
        <f>IF(ISNUMBER(tblY11[[#This Row],[4C10 - Chemical Analysis
Raw Score]]),IFERROR(VLOOKUP(ROUND(STANDARDIZE(tblY11[[#This Row],[4C10 - Chemical Analysis
Raw Score]],AVERAGE(tblY11[[4C10 - Chemical Analysis
Raw Score]]),_xlfn.STDEV.P(tblY11[[4C10 - Chemical Analysis
Raw Score]])),9),_Stanine,2),5),"")</f>
        <v>3</v>
      </c>
      <c r="X102" s="66" t="n">
        <v>9</v>
      </c>
      <c r="Y102" s="67">
        <f>IF(ISNUMBER(tblY11[[#This Row],[4P07 - Magnetism
Raw Score]]),IFERROR(VLOOKUP(ROUND(STANDARDIZE(tblY11[[#This Row],[4P07 - Magnetism
Raw Score]],AVERAGE(tblY11[[4P07 - Magnetism
Raw Score]]),_xlfn.STDEV.P(tblY11[[4P07 - Magnetism
Raw Score]])),9),_Stanine,2),5),"")</f>
        <v>3</v>
      </c>
    </row>
    <row r="103">
      <c r="A103" s="65" t="inlineStr">
        <is>
          <t>X907201782614</t>
        </is>
      </c>
      <c r="B103" s="65" t="inlineStr">
        <is>
          <t>Cooper</t>
        </is>
      </c>
      <c r="C103" s="65" t="inlineStr">
        <is>
          <t>Rosie</t>
        </is>
      </c>
      <c r="D103" s="66" t="inlineStr">
        <is>
          <t>M</t>
        </is>
      </c>
      <c r="E103" s="66" t="n"/>
      <c r="F103" s="66" t="inlineStr">
        <is>
          <t>N</t>
        </is>
      </c>
      <c r="G103" s="34" t="n">
        <v>90.40000000000001</v>
      </c>
      <c r="H103" s="34" t="n">
        <v>92</v>
      </c>
      <c r="I103" s="67">
        <f>IF(ISNUMBER(tblY11[[#This Row],[Avg KS2]]),IFERROR(VLOOKUP(ROUND(STANDARDIZE(tblY11[[#This Row],[Avg KS2]],AVERAGE(tblY11[[Avg KS2]]),_xlfn.STDEV.P(tblY11[[Avg KS2]])),9),_Stanine,2),5),"")</f>
        <v>1</v>
      </c>
      <c r="J103" s="66" t="inlineStr">
        <is>
          <t>Science Support</t>
        </is>
      </c>
      <c r="K103" s="67">
        <f>IF(tblY11[[#This Row],[Preferred Last name]]="","",COUNTIFS($N$1:$ZZ$1,"*"&amp;CHAR(10)&amp;"Stanine",$N103:$ZZ103,"&gt;=1"))</f>
        <v>6</v>
      </c>
      <c r="L103" s="68">
        <f>IFERROR(AVERAGEIF($N$1:$ZZ$1,"*"&amp;CHAR(10)&amp;"Stanine",$N103:$ZZ103),"")</f>
        <v>1.66666666666667</v>
      </c>
      <c r="M103" s="69">
        <f>IF(AND(ISNUMBER(tblY11[[#This Row],[Mean Stanine]]),ISNUMBER(tblY11[[#This Row],[Avg KS2 Band]]),ISNUMBER(SlopeY11)),tblY11[[#This Row],[Mean Stanine]]-(InterceptY11+SlopeY11*tblY11[[#This Row],[Avg KS2 Band]]),"")</f>
        <v>-0.2905772005772</v>
      </c>
      <c r="N103" s="66" t="n">
        <v>5</v>
      </c>
      <c r="O103" s="67">
        <f>IF(ISNUMBER(tblY11[[#This Row],[4B05 - Homeostasis
Raw Score]]),IFERROR(VLOOKUP(ROUND(STANDARDIZE(tblY11[[#This Row],[4B05 - Homeostasis
Raw Score]],AVERAGE(tblY11[[4B05 - Homeostasis
Raw Score]]),_xlfn.STDEV.P(tblY11[[4B05 - Homeostasis
Raw Score]])),9),_Stanine,2),5),"")</f>
        <v>1</v>
      </c>
      <c r="P103" s="66" t="n">
        <v>5</v>
      </c>
      <c r="Q103" s="67">
        <f>IF(ISNUMBER(tblY11[[#This Row],[4C09 - Organic Chemistry
Raw Score]]),IFERROR(VLOOKUP(ROUND(STANDARDIZE(tblY11[[#This Row],[4C09 - Organic Chemistry
Raw Score]],AVERAGE(tblY11[[4C09 - Organic Chemistry
Raw Score]]),_xlfn.STDEV.P(tblY11[[4C09 - Organic Chemistry
Raw Score]])),9),_Stanine,2),5),"")</f>
        <v>2</v>
      </c>
      <c r="R103" s="66" t="n">
        <v>8</v>
      </c>
      <c r="S103" s="67">
        <f>IF(ISNUMBER(tblY11[[#This Row],[4P06 - Waves
Raw Score]]),IFERROR(VLOOKUP(ROUND(STANDARDIZE(tblY11[[#This Row],[4P06 - Waves
Raw Score]],AVERAGE(tblY11[[4P06 - Waves
Raw Score]]),_xlfn.STDEV.P(tblY11[[4P06 - Waves
Raw Score]])),9),_Stanine,2),5),"")</f>
        <v>2</v>
      </c>
      <c r="T103" s="66" t="n">
        <v>4</v>
      </c>
      <c r="U103" s="67">
        <f>IF(ISNUMBER(tblY11[[#This Row],[4B06 - Inheritance
Raw Score]]),IFERROR(VLOOKUP(ROUND(STANDARDIZE(tblY11[[#This Row],[4B06 - Inheritance
Raw Score]],AVERAGE(tblY11[[4B06 - Inheritance
Raw Score]]),_xlfn.STDEV.P(tblY11[[4B06 - Inheritance
Raw Score]])),9),_Stanine,2),5),"")</f>
        <v>2</v>
      </c>
      <c r="V103" s="66" t="n">
        <v>3</v>
      </c>
      <c r="W103" s="67">
        <f>IF(ISNUMBER(tblY11[[#This Row],[4C10 - Chemical Analysis
Raw Score]]),IFERROR(VLOOKUP(ROUND(STANDARDIZE(tblY11[[#This Row],[4C10 - Chemical Analysis
Raw Score]],AVERAGE(tblY11[[4C10 - Chemical Analysis
Raw Score]]),_xlfn.STDEV.P(tblY11[[4C10 - Chemical Analysis
Raw Score]])),9),_Stanine,2),5),"")</f>
        <v>1</v>
      </c>
      <c r="X103" s="66" t="n">
        <v>6</v>
      </c>
      <c r="Y103" s="67">
        <f>IF(ISNUMBER(tblY11[[#This Row],[4P07 - Magnetism
Raw Score]]),IFERROR(VLOOKUP(ROUND(STANDARDIZE(tblY11[[#This Row],[4P07 - Magnetism
Raw Score]],AVERAGE(tblY11[[4P07 - Magnetism
Raw Score]]),_xlfn.STDEV.P(tblY11[[4P07 - Magnetism
Raw Score]])),9),_Stanine,2),5),"")</f>
        <v>2</v>
      </c>
    </row>
    <row r="104">
      <c r="A104" s="65" t="inlineStr">
        <is>
          <t>X904816579034</t>
        </is>
      </c>
      <c r="B104" s="65" t="inlineStr">
        <is>
          <t>Kelly</t>
        </is>
      </c>
      <c r="C104" s="65" t="inlineStr">
        <is>
          <t>Hannah</t>
        </is>
      </c>
      <c r="D104" s="66" t="inlineStr">
        <is>
          <t>M</t>
        </is>
      </c>
      <c r="E104" s="66" t="inlineStr">
        <is>
          <t>K</t>
        </is>
      </c>
      <c r="F104" s="66" t="inlineStr">
        <is>
          <t>Y</t>
        </is>
      </c>
      <c r="G104" s="34" t="n">
        <v>85</v>
      </c>
      <c r="H104" s="34" t="n">
        <v>97</v>
      </c>
      <c r="I104" s="67">
        <f>IF(ISNUMBER(tblY11[[#This Row],[Avg KS2]]),IFERROR(VLOOKUP(ROUND(STANDARDIZE(tblY11[[#This Row],[Avg KS2]],AVERAGE(tblY11[[Avg KS2]]),_xlfn.STDEV.P(tblY11[[Avg KS2]])),9),_Stanine,2),5),"")</f>
        <v>3</v>
      </c>
      <c r="J104" s="66" t="inlineStr">
        <is>
          <t>Science Support</t>
        </is>
      </c>
      <c r="K104" s="67">
        <f>IF(tblY11[[#This Row],[Preferred Last name]]="","",COUNTIFS($N$1:$ZZ$1,"*"&amp;CHAR(10)&amp;"Stanine",$N104:$ZZ104,"&gt;=1"))</f>
        <v>6</v>
      </c>
      <c r="L104" s="68">
        <f>IFERROR(AVERAGEIF($N$1:$ZZ$1,"*"&amp;CHAR(10)&amp;"Stanine",$N104:$ZZ104),"")</f>
        <v>2</v>
      </c>
      <c r="M104" s="69">
        <f>IF(AND(ISNUMBER(tblY11[[#This Row],[Mean Stanine]]),ISNUMBER(tblY11[[#This Row],[Avg KS2 Band]]),ISNUMBER(SlopeY11)),tblY11[[#This Row],[Mean Stanine]]-(InterceptY11+SlopeY11*tblY11[[#This Row],[Avg KS2 Band]]),"")</f>
        <v>-1.45497113997114</v>
      </c>
      <c r="N104" s="66" t="n">
        <v>8</v>
      </c>
      <c r="O104" s="67">
        <f>IF(ISNUMBER(tblY11[[#This Row],[4B05 - Homeostasis
Raw Score]]),IFERROR(VLOOKUP(ROUND(STANDARDIZE(tblY11[[#This Row],[4B05 - Homeostasis
Raw Score]],AVERAGE(tblY11[[4B05 - Homeostasis
Raw Score]]),_xlfn.STDEV.P(tblY11[[4B05 - Homeostasis
Raw Score]])),9),_Stanine,2),5),"")</f>
        <v>2</v>
      </c>
      <c r="P104" s="66" t="n">
        <v>4</v>
      </c>
      <c r="Q104" s="67">
        <f>IF(ISNUMBER(tblY11[[#This Row],[4C09 - Organic Chemistry
Raw Score]]),IFERROR(VLOOKUP(ROUND(STANDARDIZE(tblY11[[#This Row],[4C09 - Organic Chemistry
Raw Score]],AVERAGE(tblY11[[4C09 - Organic Chemistry
Raw Score]]),_xlfn.STDEV.P(tblY11[[4C09 - Organic Chemistry
Raw Score]])),9),_Stanine,2),5),"")</f>
        <v>2</v>
      </c>
      <c r="R104" s="66" t="n">
        <v>7</v>
      </c>
      <c r="S104" s="67">
        <f>IF(ISNUMBER(tblY11[[#This Row],[4P06 - Waves
Raw Score]]),IFERROR(VLOOKUP(ROUND(STANDARDIZE(tblY11[[#This Row],[4P06 - Waves
Raw Score]],AVERAGE(tblY11[[4P06 - Waves
Raw Score]]),_xlfn.STDEV.P(tblY11[[4P06 - Waves
Raw Score]])),9),_Stanine,2),5),"")</f>
        <v>2</v>
      </c>
      <c r="T104" s="66" t="n">
        <v>7</v>
      </c>
      <c r="U104" s="67">
        <f>IF(ISNUMBER(tblY11[[#This Row],[4B06 - Inheritance
Raw Score]]),IFERROR(VLOOKUP(ROUND(STANDARDIZE(tblY11[[#This Row],[4B06 - Inheritance
Raw Score]],AVERAGE(tblY11[[4B06 - Inheritance
Raw Score]]),_xlfn.STDEV.P(tblY11[[4B06 - Inheritance
Raw Score]])),9),_Stanine,2),5),"")</f>
        <v>2</v>
      </c>
      <c r="V104" s="66" t="n">
        <v>4</v>
      </c>
      <c r="W104" s="67">
        <f>IF(ISNUMBER(tblY11[[#This Row],[4C10 - Chemical Analysis
Raw Score]]),IFERROR(VLOOKUP(ROUND(STANDARDIZE(tblY11[[#This Row],[4C10 - Chemical Analysis
Raw Score]],AVERAGE(tblY11[[4C10 - Chemical Analysis
Raw Score]]),_xlfn.STDEV.P(tblY11[[4C10 - Chemical Analysis
Raw Score]])),9),_Stanine,2),5),"")</f>
        <v>2</v>
      </c>
      <c r="X104" s="66" t="n">
        <v>4</v>
      </c>
      <c r="Y104" s="67">
        <f>IF(ISNUMBER(tblY11[[#This Row],[4P07 - Magnetism
Raw Score]]),IFERROR(VLOOKUP(ROUND(STANDARDIZE(tblY11[[#This Row],[4P07 - Magnetism
Raw Score]],AVERAGE(tblY11[[4P07 - Magnetism
Raw Score]]),_xlfn.STDEV.P(tblY11[[4P07 - Magnetism
Raw Score]])),9),_Stanine,2),5),"")</f>
        <v>2</v>
      </c>
    </row>
    <row r="105">
      <c r="A105" s="65" t="inlineStr">
        <is>
          <t>X904941758800</t>
        </is>
      </c>
      <c r="B105" s="65" t="inlineStr">
        <is>
          <t>Lloyd</t>
        </is>
      </c>
      <c r="C105" s="65" t="inlineStr">
        <is>
          <t>Oliver</t>
        </is>
      </c>
      <c r="D105" s="66" t="inlineStr">
        <is>
          <t>F</t>
        </is>
      </c>
      <c r="E105" s="66" t="n"/>
      <c r="F105" s="66" t="inlineStr">
        <is>
          <t>N</t>
        </is>
      </c>
      <c r="G105" s="34" t="n">
        <v>88</v>
      </c>
      <c r="H105" s="34" t="n">
        <v>94</v>
      </c>
      <c r="I105" s="67">
        <f>IF(ISNUMBER(tblY11[[#This Row],[Avg KS2]]),IFERROR(VLOOKUP(ROUND(STANDARDIZE(tblY11[[#This Row],[Avg KS2]],AVERAGE(tblY11[[Avg KS2]]),_xlfn.STDEV.P(tblY11[[Avg KS2]])),9),_Stanine,2),5),"")</f>
        <v>2</v>
      </c>
      <c r="J105" s="66" t="inlineStr">
        <is>
          <t>Science Support</t>
        </is>
      </c>
      <c r="K105" s="67">
        <f>IF(tblY11[[#This Row],[Preferred Last name]]="","",COUNTIFS($N$1:$ZZ$1,"*"&amp;CHAR(10)&amp;"Stanine",$N105:$ZZ105,"&gt;=1"))</f>
        <v>5</v>
      </c>
      <c r="L105" s="68">
        <f>IFERROR(AVERAGEIF($N$1:$ZZ$1,"*"&amp;CHAR(10)&amp;"Stanine",$N105:$ZZ105),"")</f>
        <v>2.2</v>
      </c>
      <c r="M105" s="69">
        <f>IF(AND(ISNUMBER(tblY11[[#This Row],[Mean Stanine]]),ISNUMBER(tblY11[[#This Row],[Avg KS2 Band]]),ISNUMBER(SlopeY11)),tblY11[[#This Row],[Mean Stanine]]-(InterceptY11+SlopeY11*tblY11[[#This Row],[Avg KS2 Band]]),"")</f>
        <v>-0.506107503607503</v>
      </c>
      <c r="N105" s="66" t="n">
        <v>10</v>
      </c>
      <c r="O105" s="67">
        <f>IF(ISNUMBER(tblY11[[#This Row],[4B05 - Homeostasis
Raw Score]]),IFERROR(VLOOKUP(ROUND(STANDARDIZE(tblY11[[#This Row],[4B05 - Homeostasis
Raw Score]],AVERAGE(tblY11[[4B05 - Homeostasis
Raw Score]]),_xlfn.STDEV.P(tblY11[[4B05 - Homeostasis
Raw Score]])),9),_Stanine,2),5),"")</f>
        <v>2</v>
      </c>
      <c r="P105" s="66" t="inlineStr">
        <is>
          <t>A</t>
        </is>
      </c>
      <c r="Q105" s="67" t="str">
        <f>IF(ISNUMBER(tblY11[[#This Row],[4C09 - Organic Chemistry
Raw Score]]),IFERROR(VLOOKUP(ROUND(STANDARDIZE(tblY11[[#This Row],[4C09 - Organic Chemistry
Raw Score]],AVERAGE(tblY11[[4C09 - Organic Chemistry
Raw Score]]),_xlfn.STDEV.P(tblY11[[4C09 - Organic Chemistry
Raw Score]])),9),_Stanine,2),5),"")</f>
        <v/>
      </c>
      <c r="R105" s="66" t="n">
        <v>12</v>
      </c>
      <c r="S105" s="67">
        <f>IF(ISNUMBER(tblY11[[#This Row],[4P06 - Waves
Raw Score]]),IFERROR(VLOOKUP(ROUND(STANDARDIZE(tblY11[[#This Row],[4P06 - Waves
Raw Score]],AVERAGE(tblY11[[4P06 - Waves
Raw Score]]),_xlfn.STDEV.P(tblY11[[4P06 - Waves
Raw Score]])),9),_Stanine,2),5),"")</f>
        <v>3</v>
      </c>
      <c r="T105" s="66" t="n">
        <v>6</v>
      </c>
      <c r="U105" s="67">
        <f>IF(ISNUMBER(tblY11[[#This Row],[4B06 - Inheritance
Raw Score]]),IFERROR(VLOOKUP(ROUND(STANDARDIZE(tblY11[[#This Row],[4B06 - Inheritance
Raw Score]],AVERAGE(tblY11[[4B06 - Inheritance
Raw Score]]),_xlfn.STDEV.P(tblY11[[4B06 - Inheritance
Raw Score]])),9),_Stanine,2),5),"")</f>
        <v>2</v>
      </c>
      <c r="V105" s="66" t="n">
        <v>5</v>
      </c>
      <c r="W105" s="67">
        <f>IF(ISNUMBER(tblY11[[#This Row],[4C10 - Chemical Analysis
Raw Score]]),IFERROR(VLOOKUP(ROUND(STANDARDIZE(tblY11[[#This Row],[4C10 - Chemical Analysis
Raw Score]],AVERAGE(tblY11[[4C10 - Chemical Analysis
Raw Score]]),_xlfn.STDEV.P(tblY11[[4C10 - Chemical Analysis
Raw Score]])),9),_Stanine,2),5),"")</f>
        <v>2</v>
      </c>
      <c r="X105" s="66" t="n">
        <v>6</v>
      </c>
      <c r="Y105" s="67">
        <f>IF(ISNUMBER(tblY11[[#This Row],[4P07 - Magnetism
Raw Score]]),IFERROR(VLOOKUP(ROUND(STANDARDIZE(tblY11[[#This Row],[4P07 - Magnetism
Raw Score]],AVERAGE(tblY11[[4P07 - Magnetism
Raw Score]]),_xlfn.STDEV.P(tblY11[[4P07 - Magnetism
Raw Score]])),9),_Stanine,2),5),"")</f>
        <v>2</v>
      </c>
    </row>
    <row r="106">
      <c r="A106" s="65" t="inlineStr">
        <is>
          <t>X906717914466</t>
        </is>
      </c>
      <c r="B106" s="65" t="inlineStr">
        <is>
          <t>Okafor</t>
        </is>
      </c>
      <c r="C106" s="65" t="inlineStr">
        <is>
          <t>Lewis</t>
        </is>
      </c>
      <c r="D106" s="66" t="inlineStr">
        <is>
          <t>F</t>
        </is>
      </c>
      <c r="E106" s="66" t="inlineStr">
        <is>
          <t>K</t>
        </is>
      </c>
      <c r="F106" s="66" t="inlineStr">
        <is>
          <t>N</t>
        </is>
      </c>
      <c r="G106" s="34" t="n">
        <v>85.90000000000001</v>
      </c>
      <c r="H106" s="34" t="n">
        <v>97</v>
      </c>
      <c r="I106" s="67">
        <f>IF(ISNUMBER(tblY11[[#This Row],[Avg KS2]]),IFERROR(VLOOKUP(ROUND(STANDARDIZE(tblY11[[#This Row],[Avg KS2]],AVERAGE(tblY11[[Avg KS2]]),_xlfn.STDEV.P(tblY11[[Avg KS2]])),9),_Stanine,2),5),"")</f>
        <v>3</v>
      </c>
      <c r="J106" s="66" t="inlineStr">
        <is>
          <t>Science Support</t>
        </is>
      </c>
      <c r="K106" s="67">
        <f>IF(tblY11[[#This Row],[Preferred Last name]]="","",COUNTIFS($N$1:$ZZ$1,"*"&amp;CHAR(10)&amp;"Stanine",$N106:$ZZ106,"&gt;=1"))</f>
        <v>6</v>
      </c>
      <c r="L106" s="68">
        <f>IFERROR(AVERAGEIF($N$1:$ZZ$1,"*"&amp;CHAR(10)&amp;"Stanine",$N106:$ZZ106),"")</f>
        <v>2.16666666666667</v>
      </c>
      <c r="M106" s="69">
        <f>IF(AND(ISNUMBER(tblY11[[#This Row],[Mean Stanine]]),ISNUMBER(tblY11[[#This Row],[Avg KS2 Band]]),ISNUMBER(SlopeY11)),tblY11[[#This Row],[Mean Stanine]]-(InterceptY11+SlopeY11*tblY11[[#This Row],[Avg KS2 Band]]),"")</f>
        <v>-1.28830447330447</v>
      </c>
      <c r="N106" s="66" t="n">
        <v>11</v>
      </c>
      <c r="O106" s="67">
        <f>IF(ISNUMBER(tblY11[[#This Row],[4B05 - Homeostasis
Raw Score]]),IFERROR(VLOOKUP(ROUND(STANDARDIZE(tblY11[[#This Row],[4B05 - Homeostasis
Raw Score]],AVERAGE(tblY11[[4B05 - Homeostasis
Raw Score]]),_xlfn.STDEV.P(tblY11[[4B05 - Homeostasis
Raw Score]])),9),_Stanine,2),5),"")</f>
        <v>3</v>
      </c>
      <c r="P106" s="66" t="n">
        <v>6</v>
      </c>
      <c r="Q106" s="67">
        <f>IF(ISNUMBER(tblY11[[#This Row],[4C09 - Organic Chemistry
Raw Score]]),IFERROR(VLOOKUP(ROUND(STANDARDIZE(tblY11[[#This Row],[4C09 - Organic Chemistry
Raw Score]],AVERAGE(tblY11[[4C09 - Organic Chemistry
Raw Score]]),_xlfn.STDEV.P(tblY11[[4C09 - Organic Chemistry
Raw Score]])),9),_Stanine,2),5),"")</f>
        <v>2</v>
      </c>
      <c r="R106" s="66" t="n">
        <v>7</v>
      </c>
      <c r="S106" s="67">
        <f>IF(ISNUMBER(tblY11[[#This Row],[4P06 - Waves
Raw Score]]),IFERROR(VLOOKUP(ROUND(STANDARDIZE(tblY11[[#This Row],[4P06 - Waves
Raw Score]],AVERAGE(tblY11[[4P06 - Waves
Raw Score]]),_xlfn.STDEV.P(tblY11[[4P06 - Waves
Raw Score]])),9),_Stanine,2),5),"")</f>
        <v>2</v>
      </c>
      <c r="T106" s="66" t="n">
        <v>5</v>
      </c>
      <c r="U106" s="67">
        <f>IF(ISNUMBER(tblY11[[#This Row],[4B06 - Inheritance
Raw Score]]),IFERROR(VLOOKUP(ROUND(STANDARDIZE(tblY11[[#This Row],[4B06 - Inheritance
Raw Score]],AVERAGE(tblY11[[4B06 - Inheritance
Raw Score]]),_xlfn.STDEV.P(tblY11[[4B06 - Inheritance
Raw Score]])),9),_Stanine,2),5),"")</f>
        <v>2</v>
      </c>
      <c r="V106" s="66" t="n">
        <v>5</v>
      </c>
      <c r="W106" s="67">
        <f>IF(ISNUMBER(tblY11[[#This Row],[4C10 - Chemical Analysis
Raw Score]]),IFERROR(VLOOKUP(ROUND(STANDARDIZE(tblY11[[#This Row],[4C10 - Chemical Analysis
Raw Score]],AVERAGE(tblY11[[4C10 - Chemical Analysis
Raw Score]]),_xlfn.STDEV.P(tblY11[[4C10 - Chemical Analysis
Raw Score]])),9),_Stanine,2),5),"")</f>
        <v>2</v>
      </c>
      <c r="X106" s="66" t="n">
        <v>4</v>
      </c>
      <c r="Y106" s="67">
        <f>IF(ISNUMBER(tblY11[[#This Row],[4P07 - Magnetism
Raw Score]]),IFERROR(VLOOKUP(ROUND(STANDARDIZE(tblY11[[#This Row],[4P07 - Magnetism
Raw Score]],AVERAGE(tblY11[[4P07 - Magnetism
Raw Score]]),_xlfn.STDEV.P(tblY11[[4P07 - Magnetism
Raw Score]])),9),_Stanine,2),5),"")</f>
        <v>2</v>
      </c>
    </row>
    <row r="107">
      <c r="A107" s="65" t="inlineStr">
        <is>
          <t>X906453085377</t>
        </is>
      </c>
      <c r="B107" s="65" t="inlineStr">
        <is>
          <t>Okafor</t>
        </is>
      </c>
      <c r="C107" s="65" t="inlineStr">
        <is>
          <t>Rosie</t>
        </is>
      </c>
      <c r="D107" s="66" t="inlineStr">
        <is>
          <t>F</t>
        </is>
      </c>
      <c r="E107" s="66" t="inlineStr">
        <is>
          <t>N</t>
        </is>
      </c>
      <c r="F107" s="66" t="inlineStr">
        <is>
          <t>N</t>
        </is>
      </c>
      <c r="G107" s="34" t="n">
        <v>96.59999999999999</v>
      </c>
      <c r="H107" s="34" t="n">
        <v>98</v>
      </c>
      <c r="I107" s="67">
        <f>IF(ISNUMBER(tblY11[[#This Row],[Avg KS2]]),IFERROR(VLOOKUP(ROUND(STANDARDIZE(tblY11[[#This Row],[Avg KS2]],AVERAGE(tblY11[[Avg KS2]]),_xlfn.STDEV.P(tblY11[[Avg KS2]])),9),_Stanine,2),5),"")</f>
        <v>3</v>
      </c>
      <c r="J107" s="66" t="inlineStr">
        <is>
          <t>Science Support</t>
        </is>
      </c>
      <c r="K107" s="67">
        <f>IF(tblY11[[#This Row],[Preferred Last name]]="","",COUNTIFS($N$1:$ZZ$1,"*"&amp;CHAR(10)&amp;"Stanine",$N107:$ZZ107,"&gt;=1"))</f>
        <v>5</v>
      </c>
      <c r="L107" s="68">
        <f>IFERROR(AVERAGEIF($N$1:$ZZ$1,"*"&amp;CHAR(10)&amp;"Stanine",$N107:$ZZ107),"")</f>
        <v>3.2</v>
      </c>
      <c r="M107" s="69">
        <f>IF(AND(ISNUMBER(tblY11[[#This Row],[Mean Stanine]]),ISNUMBER(tblY11[[#This Row],[Avg KS2 Band]]),ISNUMBER(SlopeY11)),tblY11[[#This Row],[Mean Stanine]]-(InterceptY11+SlopeY11*tblY11[[#This Row],[Avg KS2 Band]]),"")</f>
        <v>-0.254971139971139</v>
      </c>
      <c r="N107" s="66" t="inlineStr">
        <is>
          <t>A</t>
        </is>
      </c>
      <c r="O107" s="67" t="str">
        <f>IF(ISNUMBER(tblY11[[#This Row],[4B05 - Homeostasis
Raw Score]]),IFERROR(VLOOKUP(ROUND(STANDARDIZE(tblY11[[#This Row],[4B05 - Homeostasis
Raw Score]],AVERAGE(tblY11[[4B05 - Homeostasis
Raw Score]]),_xlfn.STDEV.P(tblY11[[4B05 - Homeostasis
Raw Score]])),9),_Stanine,2),5),"")</f>
        <v/>
      </c>
      <c r="P107" s="66" t="n">
        <v>6</v>
      </c>
      <c r="Q107" s="67">
        <f>IF(ISNUMBER(tblY11[[#This Row],[4C09 - Organic Chemistry
Raw Score]]),IFERROR(VLOOKUP(ROUND(STANDARDIZE(tblY11[[#This Row],[4C09 - Organic Chemistry
Raw Score]],AVERAGE(tblY11[[4C09 - Organic Chemistry
Raw Score]]),_xlfn.STDEV.P(tblY11[[4C09 - Organic Chemistry
Raw Score]])),9),_Stanine,2),5),"")</f>
        <v>2</v>
      </c>
      <c r="R107" s="66" t="n">
        <v>14</v>
      </c>
      <c r="S107" s="67">
        <f>IF(ISNUMBER(tblY11[[#This Row],[4P06 - Waves
Raw Score]]),IFERROR(VLOOKUP(ROUND(STANDARDIZE(tblY11[[#This Row],[4P06 - Waves
Raw Score]],AVERAGE(tblY11[[4P06 - Waves
Raw Score]]),_xlfn.STDEV.P(tblY11[[4P06 - Waves
Raw Score]])),9),_Stanine,2),5),"")</f>
        <v>3</v>
      </c>
      <c r="T107" s="66" t="n">
        <v>13</v>
      </c>
      <c r="U107" s="67">
        <f>IF(ISNUMBER(tblY11[[#This Row],[4B06 - Inheritance
Raw Score]]),IFERROR(VLOOKUP(ROUND(STANDARDIZE(tblY11[[#This Row],[4B06 - Inheritance
Raw Score]],AVERAGE(tblY11[[4B06 - Inheritance
Raw Score]]),_xlfn.STDEV.P(tblY11[[4B06 - Inheritance
Raw Score]])),9),_Stanine,2),5),"")</f>
        <v>4</v>
      </c>
      <c r="V107" s="66" t="n">
        <v>7</v>
      </c>
      <c r="W107" s="67">
        <f>IF(ISNUMBER(tblY11[[#This Row],[4C10 - Chemical Analysis
Raw Score]]),IFERROR(VLOOKUP(ROUND(STANDARDIZE(tblY11[[#This Row],[4C10 - Chemical Analysis
Raw Score]],AVERAGE(tblY11[[4C10 - Chemical Analysis
Raw Score]]),_xlfn.STDEV.P(tblY11[[4C10 - Chemical Analysis
Raw Score]])),9),_Stanine,2),5),"")</f>
        <v>3</v>
      </c>
      <c r="X107" s="66" t="n">
        <v>12</v>
      </c>
      <c r="Y107" s="67">
        <f>IF(ISNUMBER(tblY11[[#This Row],[4P07 - Magnetism
Raw Score]]),IFERROR(VLOOKUP(ROUND(STANDARDIZE(tblY11[[#This Row],[4P07 - Magnetism
Raw Score]],AVERAGE(tblY11[[4P07 - Magnetism
Raw Score]]),_xlfn.STDEV.P(tblY11[[4P07 - Magnetism
Raw Score]])),9),_Stanine,2),5),"")</f>
        <v>4</v>
      </c>
    </row>
  </sheetData>
  <conditionalFormatting sqref="I2:I107">
    <cfRule type="iconSet" priority="1">
      <iconSet iconSet="3TrafficLights1">
        <cfvo type="percent" val="0"/>
        <cfvo type="num" val="4"/>
        <cfvo type="num" val="7"/>
      </iconSet>
    </cfRule>
  </conditionalFormatting>
  <conditionalFormatting sqref="L2:L107">
    <cfRule type="iconSet" priority="2">
      <iconSet iconSet="3TrafficLights1">
        <cfvo type="percent" val="0"/>
        <cfvo type="num" val="3.5"/>
        <cfvo type="num" val="6.5"/>
      </iconSet>
    </cfRule>
  </conditionalFormatting>
  <conditionalFormatting sqref="M2:M107">
    <cfRule type="iconSet" priority="3">
      <iconSet iconSet="3Arrows">
        <cfvo type="percent" val="0"/>
        <cfvo type="num" val="-0.99"/>
        <cfvo type="num" val="1"/>
      </iconSet>
    </cfRule>
  </conditionalFormatting>
  <conditionalFormatting sqref="O2:O107">
    <cfRule type="iconSet" priority="4">
      <iconSet iconSet="3TrafficLights1">
        <cfvo type="percent" val="0"/>
        <cfvo type="num" val="4"/>
        <cfvo type="num" val="7"/>
      </iconSet>
    </cfRule>
  </conditionalFormatting>
  <conditionalFormatting sqref="Q2:Q107">
    <cfRule type="iconSet" priority="5">
      <iconSet iconSet="3TrafficLights1">
        <cfvo type="percent" val="0"/>
        <cfvo type="num" val="4"/>
        <cfvo type="num" val="7"/>
      </iconSet>
    </cfRule>
  </conditionalFormatting>
  <conditionalFormatting sqref="S2:S107">
    <cfRule type="iconSet" priority="6">
      <iconSet iconSet="3TrafficLights1">
        <cfvo type="percent" val="0"/>
        <cfvo type="num" val="4"/>
        <cfvo type="num" val="7"/>
      </iconSet>
    </cfRule>
  </conditionalFormatting>
  <conditionalFormatting sqref="U2:U107">
    <cfRule type="iconSet" priority="7">
      <iconSet iconSet="3TrafficLights1">
        <cfvo type="percent" val="0"/>
        <cfvo type="num" val="4"/>
        <cfvo type="num" val="7"/>
      </iconSet>
    </cfRule>
  </conditionalFormatting>
  <conditionalFormatting sqref="W2:W107">
    <cfRule type="iconSet" priority="8">
      <iconSet iconSet="3TrafficLights1">
        <cfvo type="percent" val="0"/>
        <cfvo type="num" val="4"/>
        <cfvo type="num" val="7"/>
      </iconSet>
    </cfRule>
  </conditionalFormatting>
  <conditionalFormatting sqref="Y2:Y107">
    <cfRule type="iconSet" priority="9">
      <iconSet iconSet="3TrafficLights1">
        <cfvo type="percent" val="0"/>
        <cfvo type="num" val="4"/>
        <cfvo type="num" val="7"/>
      </iconSet>
    </cfRule>
  </conditionalFormatting>
  <dataValidations count="6">
    <dataValidation sqref="N2:N107"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07" showDropDown="0" showInputMessage="0" showErrorMessage="1" allowBlank="1" errorTitle="Score out of range" error="Type a mark from 0 to 35, or A for absent. Leave the cell blank if the student has not sat the test yet." type="custom">
      <formula1>OR(UPPER(P2)="A",AND(ISNUMBER(P2),P2&gt;=0,P2&lt;=35))</formula1>
    </dataValidation>
    <dataValidation sqref="R2:R107" showDropDown="0" showInputMessage="0" showErrorMessage="1" allowBlank="1" errorTitle="Score out of range" error="Type a mark from 0 to 38, or A for absent. Leave the cell blank if the student has not sat the test yet." type="custom">
      <formula1>OR(UPPER(R2)="A",AND(ISNUMBER(R2),R2&gt;=0,R2&lt;=38))</formula1>
    </dataValidation>
    <dataValidation sqref="T2:T107" showDropDown="0" showInputMessage="0" showErrorMessage="1" allowBlank="1" errorTitle="Score out of range" error="Type a mark from 0 to 42, or A for absent. Leave the cell blank if the student has not sat the test yet." type="custom">
      <formula1>OR(UPPER(T2)="A",AND(ISNUMBER(T2),T2&gt;=0,T2&lt;=42))</formula1>
    </dataValidation>
    <dataValidation sqref="V2:V107" showDropDown="0" showInputMessage="0" showErrorMessage="1" allowBlank="1" errorTitle="Score out of range" error="Type a mark from 0 to 30, or A for absent. Leave the cell blank if the student has not sat the test yet." type="custom">
      <formula1>OR(UPPER(V2)="A",AND(ISNUMBER(V2),V2&gt;=0,V2&lt;=30))</formula1>
    </dataValidation>
    <dataValidation sqref="X2:X107" showDropDown="0" showInputMessage="0" showErrorMessage="1" allowBlank="1" errorTitle="Score out of range" error="Type a mark from 0 to 34, or A for absent. Leave the cell blank if the student has not sat the test yet." type="custom">
      <formula1>OR(UPPER(X2)="A",AND(ISNUMBER(X2),X2&gt;=0,X2&lt;=34))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10.xml><?xml version="1.0" encoding="utf-8"?>
<worksheet xmlns="http://schemas.openxmlformats.org/spreadsheetml/2006/main">
  <sheetPr codeName="shInfo">
    <tabColor rgb="00898781"/>
    <outlinePr summaryBelow="1" summaryRight="1"/>
    <pageSetUpPr fitToPage="1"/>
  </sheetPr>
  <dimension ref="A1:X28"/>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7</t>
        </is>
      </c>
      <c r="B5" s="10" t="inlineStr">
        <is>
          <t>7B01</t>
        </is>
      </c>
      <c r="C5" s="70" t="inlineStr">
        <is>
          <t>Cells</t>
        </is>
      </c>
      <c r="D5" s="70" t="inlineStr">
        <is>
          <t>7B01 - Cells</t>
        </is>
      </c>
      <c r="E5" s="9" t="n">
        <v>30</v>
      </c>
      <c r="F5" s="71" t="n">
        <v>46287</v>
      </c>
      <c r="G5" s="72">
        <f>IF(tblAssessments[[#This Row],[Year Index]]=0,"",COUNTA(CHOOSE(tblAssessments[[#This Row],[Year Index]],tblY7[Preferred Last name],tblY8[Preferred Last name],tblY9[Preferred Last name],tblY10[Preferred Last name],tblY11[Preferred Last name])))</f>
        <v>131</v>
      </c>
      <c r="H5" s="72">
        <f>IF(tblAssessments[[#This Row],[Raw Col]]=0,"",COUNT(INDEX(CHOOSE(tblAssessments[[#This Row],[Year Index]],tblY7[#Data],tblY8[#Data],tblY9[#Data],tblY10[#Data],tblY11[#Data]),0,tblAssessments[[#This Row],[Raw Col]])))</f>
        <v>127</v>
      </c>
      <c r="I5" s="72">
        <f>IF(tblAssessments[[#This Row],[Raw Col]]=0,"",COUNTIF(INDEX(CHOOSE(tblAssessments[[#This Row],[Year Index]],tblY7[#Data],tblY8[#Data],tblY9[#Data],tblY10[#Data],tblY11[#Data]),0,tblAssessments[[#This Row],[Raw Col]]),"A"))</f>
        <v>4</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Index]],tblY7[#Data],tblY8[#Data],tblY9[#Data],tblY10[#Data],tblY11[#Data]),0,tblAssessments[[#This Row],[Raw Col]])))</f>
        <v>17.488188976378</v>
      </c>
      <c r="M5" s="73">
        <f>IF(OR(tblAssessments[[#This Row],[Year Mean]]="",N(tblAssessments[[#This Row],[Max Marks]])=0),"",tblAssessments[[#This Row],[Year Mean]]/tblAssessments[[#This Row],[Max Marks]])</f>
        <v>0.582939632545932</v>
      </c>
      <c r="N5" s="74">
        <f>IF(N(tblAssessments[[#This Row],[Sat]])=0,"",_xlfn.STDEV.P(INDEX(CHOOSE(tblAssessments[[#This Row],[Year Index]],tblY7[#Data],tblY8[#Data],tblY9[#Data],tblY10[#Data],tblY11[#Data]),0,tblAssessments[[#This Row],[Raw Col]])))</f>
        <v>6.17317812931527</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Index]],tblY7[#Headers],tblY8[#Headers],tblY9[#Headers],tblY10[#Headers],tblY11[#Headers]),0),0))</f>
        <v>14</v>
      </c>
      <c r="R5" s="72" t="str">
        <f>tblAssessments[[#This Row],[Year Group]]&amp;"|"&amp;COUNTIF(INDEX(tblAssessments[Year Group],1):tblAssessments[[#This Row],[Year Group]],tblAssessments[[#This Row],[Year Group]])</f>
        <v>Year 7|1</v>
      </c>
      <c r="S5" s="72" t="str">
        <f>tblAssessments[[#This Row],[Year Group]]&amp;"|"&amp;tblAssessments[[#This Row],[Test Name]]</f>
        <v>Year 7|7B01 - Cells</v>
      </c>
      <c r="T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5" s="76" t="n">
        <v>-99</v>
      </c>
      <c r="W5" s="16" t="n">
        <v>1</v>
      </c>
      <c r="X5" s="70" t="inlineStr">
        <is>
          <t>Very low</t>
        </is>
      </c>
    </row>
    <row r="6">
      <c r="A6" s="10" t="inlineStr">
        <is>
          <t>Year 7</t>
        </is>
      </c>
      <c r="B6" s="10" t="inlineStr">
        <is>
          <t>7C01</t>
        </is>
      </c>
      <c r="C6" s="70" t="inlineStr">
        <is>
          <t>Particles</t>
        </is>
      </c>
      <c r="D6" s="70" t="inlineStr">
        <is>
          <t>7C01 - Particles</t>
        </is>
      </c>
      <c r="E6" s="9" t="n">
        <v>25</v>
      </c>
      <c r="F6" s="71" t="n">
        <v>46301</v>
      </c>
      <c r="G6" s="72">
        <f>IF(tblAssessments[[#This Row],[Year Index]]=0,"",COUNTA(CHOOSE(tblAssessments[[#This Row],[Year Index]],tblY7[Preferred Last name],tblY8[Preferred Last name],tblY9[Preferred Last name],tblY10[Preferred Last name],tblY11[Preferred Last name])))</f>
        <v>131</v>
      </c>
      <c r="H6" s="72">
        <f>IF(tblAssessments[[#This Row],[Raw Col]]=0,"",COUNT(INDEX(CHOOSE(tblAssessments[[#This Row],[Year Index]],tblY7[#Data],tblY8[#Data],tblY9[#Data],tblY10[#Data],tblY11[#Data]),0,tblAssessments[[#This Row],[Raw Col]])))</f>
        <v>119</v>
      </c>
      <c r="I6" s="72">
        <f>IF(tblAssessments[[#This Row],[Raw Col]]=0,"",COUNTIF(INDEX(CHOOSE(tblAssessments[[#This Row],[Year Index]],tblY7[#Data],tblY8[#Data],tblY9[#Data],tblY10[#Data],tblY11[#Data]),0,tblAssessments[[#This Row],[Raw Col]]),"A"))</f>
        <v>12</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Index]],tblY7[#Data],tblY8[#Data],tblY9[#Data],tblY10[#Data],tblY11[#Data]),0,tblAssessments[[#This Row],[Raw Col]])))</f>
        <v>18.4453781512605</v>
      </c>
      <c r="M6" s="73">
        <f>IF(OR(tblAssessments[[#This Row],[Year Mean]]="",N(tblAssessments[[#This Row],[Max Marks]])=0),"",tblAssessments[[#This Row],[Year Mean]]/tblAssessments[[#This Row],[Max Marks]])</f>
        <v>0.73781512605042</v>
      </c>
      <c r="N6" s="74">
        <f>IF(N(tblAssessments[[#This Row],[Sat]])=0,"",_xlfn.STDEV.P(INDEX(CHOOSE(tblAssessments[[#This Row],[Year Index]],tblY7[#Data],tblY8[#Data],tblY9[#Data],tblY10[#Data],tblY11[#Data]),0,tblAssessments[[#This Row],[Raw Col]])))</f>
        <v>4.18018028438282</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Index]],tblY7[#Headers],tblY8[#Headers],tblY9[#Headers],tblY10[#Headers],tblY11[#Headers]),0),0))</f>
        <v>16</v>
      </c>
      <c r="R6" s="72" t="str">
        <f>tblAssessments[[#This Row],[Year Group]]&amp;"|"&amp;COUNTIF(INDEX(tblAssessments[Year Group],1):tblAssessments[[#This Row],[Year Group]],tblAssessments[[#This Row],[Year Group]])</f>
        <v>Year 7|2</v>
      </c>
      <c r="S6" s="72" t="str">
        <f>tblAssessments[[#This Row],[Year Group]]&amp;"|"&amp;tblAssessments[[#This Row],[Test Name]]</f>
        <v>Year 7|7C01 - Particles</v>
      </c>
      <c r="T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6" s="76" t="n">
        <v>-1.75</v>
      </c>
      <c r="W6" s="16" t="n">
        <v>2</v>
      </c>
      <c r="X6" s="70" t="inlineStr">
        <is>
          <t>Low</t>
        </is>
      </c>
    </row>
    <row r="7">
      <c r="A7" s="10" t="inlineStr">
        <is>
          <t>Year 7</t>
        </is>
      </c>
      <c r="B7" s="10" t="inlineStr">
        <is>
          <t>7P01</t>
        </is>
      </c>
      <c r="C7" s="70" t="inlineStr">
        <is>
          <t>Forces</t>
        </is>
      </c>
      <c r="D7" s="70" t="inlineStr">
        <is>
          <t>7P01 - Forces</t>
        </is>
      </c>
      <c r="E7" s="9" t="n">
        <v>30</v>
      </c>
      <c r="F7" s="71" t="n">
        <v>46315</v>
      </c>
      <c r="G7" s="72">
        <f>IF(tblAssessments[[#This Row],[Year Index]]=0,"",COUNTA(CHOOSE(tblAssessments[[#This Row],[Year Index]],tblY7[Preferred Last name],tblY8[Preferred Last name],tblY9[Preferred Last name],tblY10[Preferred Last name],tblY11[Preferred Last name])))</f>
        <v>131</v>
      </c>
      <c r="H7" s="72">
        <f>IF(tblAssessments[[#This Row],[Raw Col]]=0,"",COUNT(INDEX(CHOOSE(tblAssessments[[#This Row],[Year Index]],tblY7[#Data],tblY8[#Data],tblY9[#Data],tblY10[#Data],tblY11[#Data]),0,tblAssessments[[#This Row],[Raw Col]])))</f>
        <v>127</v>
      </c>
      <c r="I7" s="72">
        <f>IF(tblAssessments[[#This Row],[Raw Col]]=0,"",COUNTIF(INDEX(CHOOSE(tblAssessments[[#This Row],[Year Index]],tblY7[#Data],tblY8[#Data],tblY9[#Data],tblY10[#Data],tblY11[#Data]),0,tblAssessments[[#This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Index]],tblY7[#Data],tblY8[#Data],tblY9[#Data],tblY10[#Data],tblY11[#Data]),0,tblAssessments[[#This Row],[Raw Col]])))</f>
        <v>21.6141732283465</v>
      </c>
      <c r="M7" s="73">
        <f>IF(OR(tblAssessments[[#This Row],[Year Mean]]="",N(tblAssessments[[#This Row],[Max Marks]])=0),"",tblAssessments[[#This Row],[Year Mean]]/tblAssessments[[#This Row],[Max Marks]])</f>
        <v>0.720472440944882</v>
      </c>
      <c r="N7" s="74">
        <f>IF(N(tblAssessments[[#This Row],[Sat]])=0,"",_xlfn.STDEV.P(INDEX(CHOOSE(tblAssessments[[#This Row],[Year Index]],tblY7[#Data],tblY8[#Data],tblY9[#Data],tblY10[#Data],tblY11[#Data]),0,tblAssessments[[#This Row],[Raw Col]])))</f>
        <v>5.08052828193439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Index]],tblY7[#Headers],tblY8[#Headers],tblY9[#Headers],tblY10[#Headers],tblY11[#Headers]),0),0))</f>
        <v>18</v>
      </c>
      <c r="R7" s="72" t="str">
        <f>tblAssessments[[#This Row],[Year Group]]&amp;"|"&amp;COUNTIF(INDEX(tblAssessments[Year Group],1):tblAssessments[[#This Row],[Year Group]],tblAssessments[[#This Row],[Year Group]])</f>
        <v>Year 7|3</v>
      </c>
      <c r="S7" s="72" t="str">
        <f>tblAssessments[[#This Row],[Year Group]]&amp;"|"&amp;tblAssessments[[#This Row],[Test Name]]</f>
        <v>Year 7|7P01 - Forces</v>
      </c>
      <c r="T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7" s="76" t="n">
        <v>-1.25</v>
      </c>
      <c r="W7" s="16" t="n">
        <v>3</v>
      </c>
      <c r="X7" s="70" t="inlineStr">
        <is>
          <t>Below average</t>
        </is>
      </c>
    </row>
    <row r="8">
      <c r="A8" s="10" t="inlineStr">
        <is>
          <t>Year 7</t>
        </is>
      </c>
      <c r="B8" s="10" t="inlineStr">
        <is>
          <t>7B02</t>
        </is>
      </c>
      <c r="C8" s="70" t="inlineStr">
        <is>
          <t>Organ Systems</t>
        </is>
      </c>
      <c r="D8" s="70" t="inlineStr">
        <is>
          <t>7B02 - Organ Systems</t>
        </is>
      </c>
      <c r="E8" s="9" t="n">
        <v>28</v>
      </c>
      <c r="F8" s="71" t="n">
        <v>46329</v>
      </c>
      <c r="G8" s="72">
        <f>IF(tblAssessments[[#This Row],[Year Index]]=0,"",COUNTA(CHOOSE(tblAssessments[[#This Row],[Year Index]],tblY7[Preferred Last name],tblY8[Preferred Last name],tblY9[Preferred Last name],tblY10[Preferred Last name],tblY11[Preferred Last name])))</f>
        <v>131</v>
      </c>
      <c r="H8" s="72">
        <f>IF(tblAssessments[[#This Row],[Raw Col]]=0,"",COUNT(INDEX(CHOOSE(tblAssessments[[#This Row],[Year Index]],tblY7[#Data],tblY8[#Data],tblY9[#Data],tblY10[#Data],tblY11[#Data]),0,tblAssessments[[#This Row],[Raw Col]])))</f>
        <v>124</v>
      </c>
      <c r="I8" s="72">
        <f>IF(tblAssessments[[#This Row],[Raw Col]]=0,"",COUNTIF(INDEX(CHOOSE(tblAssessments[[#This Row],[Year Index]],tblY7[#Data],tblY8[#Data],tblY9[#Data],tblY10[#Data],tblY11[#Data]),0,tblAssessments[[#This Row],[Raw Col]]),"A"))</f>
        <v>7</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Index]],tblY7[#Data],tblY8[#Data],tblY9[#Data],tblY10[#Data],tblY11[#Data]),0,tblAssessments[[#This Row],[Raw Col]])))</f>
        <v>17.741935483871</v>
      </c>
      <c r="M8" s="73">
        <f>IF(OR(tblAssessments[[#This Row],[Year Mean]]="",N(tblAssessments[[#This Row],[Max Marks]])=0),"",tblAssessments[[#This Row],[Year Mean]]/tblAssessments[[#This Row],[Max Marks]])</f>
        <v>0.633640552995392</v>
      </c>
      <c r="N8" s="74">
        <f>IF(N(tblAssessments[[#This Row],[Sat]])=0,"",_xlfn.STDEV.P(INDEX(CHOOSE(tblAssessments[[#This Row],[Year Index]],tblY7[#Data],tblY8[#Data],tblY9[#Data],tblY10[#Data],tblY11[#Data]),0,tblAssessments[[#This Row],[Raw Col]])))</f>
        <v>5.52687126060681</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Index]],tblY7[#Headers],tblY8[#Headers],tblY9[#Headers],tblY10[#Headers],tblY11[#Headers]),0),0))</f>
        <v>20</v>
      </c>
      <c r="R8" s="72" t="str">
        <f>tblAssessments[[#This Row],[Year Group]]&amp;"|"&amp;COUNTIF(INDEX(tblAssessments[Year Group],1):tblAssessments[[#This Row],[Year Group]],tblAssessments[[#This Row],[Year Group]])</f>
        <v>Year 7|4</v>
      </c>
      <c r="S8" s="72" t="str">
        <f>tblAssessments[[#This Row],[Year Group]]&amp;"|"&amp;tblAssessments[[#This Row],[Test Name]]</f>
        <v>Year 7|7B02 - Organ Systems</v>
      </c>
      <c r="T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8" s="76" t="n">
        <v>-0.75</v>
      </c>
      <c r="W8" s="16" t="n">
        <v>4</v>
      </c>
      <c r="X8" s="70" t="inlineStr">
        <is>
          <t>Slightly below average</t>
        </is>
      </c>
    </row>
    <row r="9">
      <c r="A9" s="10" t="inlineStr">
        <is>
          <t>Year 8</t>
        </is>
      </c>
      <c r="B9" s="10" t="inlineStr">
        <is>
          <t>8C01</t>
        </is>
      </c>
      <c r="C9" s="70" t="inlineStr">
        <is>
          <t>Periodic Table</t>
        </is>
      </c>
      <c r="D9" s="70" t="inlineStr">
        <is>
          <t>8C01 - Periodic Table</t>
        </is>
      </c>
      <c r="E9" s="9" t="n">
        <v>30</v>
      </c>
      <c r="F9" s="71" t="n">
        <v>46288</v>
      </c>
      <c r="G9" s="72">
        <f>IF(tblAssessments[[#This Row],[Year Index]]=0,"",COUNTA(CHOOSE(tblAssessments[[#This Row],[Year Index]],tblY7[Preferred Last name],tblY8[Preferred Last name],tblY9[Preferred Last name],tblY10[Preferred Last name],tblY11[Preferred Last name])))</f>
        <v>93</v>
      </c>
      <c r="H9" s="72">
        <f>IF(tblAssessments[[#This Row],[Raw Col]]=0,"",COUNT(INDEX(CHOOSE(tblAssessments[[#This Row],[Year Index]],tblY7[#Data],tblY8[#Data],tblY9[#Data],tblY10[#Data],tblY11[#Data]),0,tblAssessments[[#This Row],[Raw Col]])))</f>
        <v>85</v>
      </c>
      <c r="I9" s="72">
        <f>IF(tblAssessments[[#This Row],[Raw Col]]=0,"",COUNTIF(INDEX(CHOOSE(tblAssessments[[#This Row],[Year Index]],tblY7[#Data],tblY8[#Data],tblY9[#Data],tblY10[#Data],tblY11[#Data]),0,tblAssessments[[#This Row],[Raw Col]]),"A"))</f>
        <v>8</v>
      </c>
      <c r="J9" s="72">
        <f>IF(tblAssessments[[#This Row],[Raw Col]]=0,"",tblAssessments[[#This Row],[Students]]-tblAssessments[[#This Row],[Sat]]-tblAssessments[[#This Row],[Absent]])</f>
        <v>0</v>
      </c>
      <c r="K9" s="73">
        <f>IF(OR(tblAssessments[[#This Row],[Raw Col]]=0,N(tblAssessments[[#This Row],[Students]])=0),"",(tblAssessments[[#This Row],[Sat]]+tblAssessments[[#This Row],[Absent]])/tblAssessments[[#This Row],[Students]])</f>
        <v>1</v>
      </c>
      <c r="L9" s="74">
        <f>IF(N(tblAssessments[[#This Row],[Sat]])=0,"",AVERAGE(INDEX(CHOOSE(tblAssessments[[#This Row],[Year Index]],tblY7[#Data],tblY8[#Data],tblY9[#Data],tblY10[#Data],tblY11[#Data]),0,tblAssessments[[#This Row],[Raw Col]])))</f>
        <v>17.7058823529412</v>
      </c>
      <c r="M9" s="73">
        <f>IF(OR(tblAssessments[[#This Row],[Year Mean]]="",N(tblAssessments[[#This Row],[Max Marks]])=0),"",tblAssessments[[#This Row],[Year Mean]]/tblAssessments[[#This Row],[Max Marks]])</f>
        <v>0.590196078431373</v>
      </c>
      <c r="N9" s="74">
        <f>IF(N(tblAssessments[[#This Row],[Sat]])=0,"",_xlfn.STDEV.P(INDEX(CHOOSE(tblAssessments[[#This Row],[Year Index]],tblY7[#Data],tblY8[#Data],tblY9[#Data],tblY10[#Data],tblY11[#Data]),0,tblAssessments[[#This Row],[Raw Col]])))</f>
        <v>6.10076857146948</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2</v>
      </c>
      <c r="Q9" s="72">
        <f>IF(tblAssessments[[#This Row],[Year Index]]=0,0,IFERROR(MATCH(tblAssessments[[#This Row],[Test Name]]&amp;CHAR(10)&amp;"Raw Score",CHOOSE(tblAssessments[[#This Row],[Year Index]],tblY7[#Headers],tblY8[#Headers],tblY9[#Headers],tblY10[#Headers],tblY11[#Headers]),0),0))</f>
        <v>14</v>
      </c>
      <c r="R9" s="72" t="str">
        <f>tblAssessments[[#This Row],[Year Group]]&amp;"|"&amp;COUNTIF(INDEX(tblAssessments[Year Group],1):tblAssessments[[#This Row],[Year Group]],tblAssessments[[#This Row],[Year Group]])</f>
        <v>Year 8|1</v>
      </c>
      <c r="S9" s="72" t="str">
        <f>tblAssessments[[#This Row],[Year Group]]&amp;"|"&amp;tblAssessments[[#This Row],[Test Name]]</f>
        <v>Year 8|8C01 - Periodic Table</v>
      </c>
      <c r="T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9" s="76" t="n">
        <v>-0.25</v>
      </c>
      <c r="W9" s="16" t="n">
        <v>5</v>
      </c>
      <c r="X9" s="70" t="inlineStr">
        <is>
          <t>Average</t>
        </is>
      </c>
    </row>
    <row r="10">
      <c r="A10" s="10" t="inlineStr">
        <is>
          <t>Year 8</t>
        </is>
      </c>
      <c r="B10" s="10" t="inlineStr">
        <is>
          <t>8P01</t>
        </is>
      </c>
      <c r="C10" s="70" t="inlineStr">
        <is>
          <t>Energy</t>
        </is>
      </c>
      <c r="D10" s="70" t="inlineStr">
        <is>
          <t>8P01 - Energy</t>
        </is>
      </c>
      <c r="E10" s="9" t="n">
        <v>25</v>
      </c>
      <c r="F10" s="71" t="n">
        <v>46302</v>
      </c>
      <c r="G10" s="72">
        <f>IF(tblAssessments[[#This Row],[Year Index]]=0,"",COUNTA(CHOOSE(tblAssessments[[#This Row],[Year Index]],tblY7[Preferred Last name],tblY8[Preferred Last name],tblY9[Preferred Last name],tblY10[Preferred Last name],tblY11[Preferred Last name])))</f>
        <v>93</v>
      </c>
      <c r="H10" s="72">
        <f>IF(tblAssessments[[#This Row],[Raw Col]]=0,"",COUNT(INDEX(CHOOSE(tblAssessments[[#This Row],[Year Index]],tblY7[#Data],tblY8[#Data],tblY9[#Data],tblY10[#Data],tblY11[#Data]),0,tblAssessments[[#This Row],[Raw Col]])))</f>
        <v>89</v>
      </c>
      <c r="I10" s="72">
        <f>IF(tblAssessments[[#This Row],[Raw Col]]=0,"",COUNTIF(INDEX(CHOOSE(tblAssessments[[#This Row],[Year Index]],tblY7[#Data],tblY8[#Data],tblY9[#Data],tblY10[#Data],tblY11[#Data]),0,tblAssessments[[#This Row],[Raw Col]]),"A"))</f>
        <v>4</v>
      </c>
      <c r="J10" s="72">
        <f>IF(tblAssessments[[#This Row],[Raw Col]]=0,"",tblAssessments[[#This Row],[Students]]-tblAssessments[[#This Row],[Sat]]-tblAssessments[[#This Row],[Absent]])</f>
        <v>0</v>
      </c>
      <c r="K10" s="73">
        <f>IF(OR(tblAssessments[[#This Row],[Raw Col]]=0,N(tblAssessments[[#This Row],[Students]])=0),"",(tblAssessments[[#This Row],[Sat]]+tblAssessments[[#This Row],[Absent]])/tblAssessments[[#This Row],[Students]])</f>
        <v>1</v>
      </c>
      <c r="L10" s="74">
        <f>IF(N(tblAssessments[[#This Row],[Sat]])=0,"",AVERAGE(INDEX(CHOOSE(tblAssessments[[#This Row],[Year Index]],tblY7[#Data],tblY8[#Data],tblY9[#Data],tblY10[#Data],tblY11[#Data]),0,tblAssessments[[#This Row],[Raw Col]])))</f>
        <v>10.4269662921348</v>
      </c>
      <c r="M10" s="73">
        <f>IF(OR(tblAssessments[[#This Row],[Year Mean]]="",N(tblAssessments[[#This Row],[Max Marks]])=0),"",tblAssessments[[#This Row],[Year Mean]]/tblAssessments[[#This Row],[Max Marks]])</f>
        <v>0.417078651685393</v>
      </c>
      <c r="N10" s="74">
        <f>IF(N(tblAssessments[[#This Row],[Sat]])=0,"",_xlfn.STDEV.P(INDEX(CHOOSE(tblAssessments[[#This Row],[Year Index]],tblY7[#Data],tblY8[#Data],tblY9[#Data],tblY10[#Data],tblY11[#Data]),0,tblAssessments[[#This Row],[Raw Col]])))</f>
        <v>5.22932019224498</v>
      </c>
      <c r="O1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0" s="72">
        <f>IFERROR(MATCH(tblAssessments[[#This Row],[Year Group]],YearNames,0),0)</f>
        <v>2</v>
      </c>
      <c r="Q10" s="72">
        <f>IF(tblAssessments[[#This Row],[Year Index]]=0,0,IFERROR(MATCH(tblAssessments[[#This Row],[Test Name]]&amp;CHAR(10)&amp;"Raw Score",CHOOSE(tblAssessments[[#This Row],[Year Index]],tblY7[#Headers],tblY8[#Headers],tblY9[#Headers],tblY10[#Headers],tblY11[#Headers]),0),0))</f>
        <v>16</v>
      </c>
      <c r="R10" s="72" t="str">
        <f>tblAssessments[[#This Row],[Year Group]]&amp;"|"&amp;COUNTIF(INDEX(tblAssessments[Year Group],1):tblAssessments[[#This Row],[Year Group]],tblAssessments[[#This Row],[Year Group]])</f>
        <v>Year 8|2</v>
      </c>
      <c r="S10" s="72" t="str">
        <f>tblAssessments[[#This Row],[Year Group]]&amp;"|"&amp;tblAssessments[[#This Row],[Test Name]]</f>
        <v>Year 8|8P01 - Energy</v>
      </c>
      <c r="T1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0" s="76" t="n">
        <v>0.25</v>
      </c>
      <c r="W10" s="16" t="n">
        <v>6</v>
      </c>
      <c r="X10" s="70" t="inlineStr">
        <is>
          <t>Slightly above average</t>
        </is>
      </c>
    </row>
    <row r="11">
      <c r="A11" s="10" t="inlineStr">
        <is>
          <t>Year 8</t>
        </is>
      </c>
      <c r="B11" s="10" t="inlineStr">
        <is>
          <t>8B01</t>
        </is>
      </c>
      <c r="C11" s="70" t="inlineStr">
        <is>
          <t>Digestion</t>
        </is>
      </c>
      <c r="D11" s="70" t="inlineStr">
        <is>
          <t>8B01 - Digestion</t>
        </is>
      </c>
      <c r="E11" s="9" t="n">
        <v>30</v>
      </c>
      <c r="F11" s="71" t="n">
        <v>46316</v>
      </c>
      <c r="G11" s="72">
        <f>IF(tblAssessments[[#This Row],[Year Index]]=0,"",COUNTA(CHOOSE(tblAssessments[[#This Row],[Year Index]],tblY7[Preferred Last name],tblY8[Preferred Last name],tblY9[Preferred Last name],tblY10[Preferred Last name],tblY11[Preferred Last name])))</f>
        <v>93</v>
      </c>
      <c r="H11" s="72">
        <f>IF(tblAssessments[[#This Row],[Raw Col]]=0,"",COUNT(INDEX(CHOOSE(tblAssessments[[#This Row],[Year Index]],tblY7[#Data],tblY8[#Data],tblY9[#Data],tblY10[#Data],tblY11[#Data]),0,tblAssessments[[#This Row],[Raw Col]])))</f>
        <v>92</v>
      </c>
      <c r="I11" s="72">
        <f>IF(tblAssessments[[#This Row],[Raw Col]]=0,"",COUNTIF(INDEX(CHOOSE(tblAssessments[[#This Row],[Year Index]],tblY7[#Data],tblY8[#Data],tblY9[#Data],tblY10[#Data],tblY11[#Data]),0,tblAssessments[[#This Row],[Raw Col]]),"A"))</f>
        <v>1</v>
      </c>
      <c r="J11" s="72">
        <f>IF(tblAssessments[[#This Row],[Raw Col]]=0,"",tblAssessments[[#This Row],[Students]]-tblAssessments[[#This Row],[Sat]]-tblAssessments[[#This Row],[Absent]])</f>
        <v>0</v>
      </c>
      <c r="K11" s="73">
        <f>IF(OR(tblAssessments[[#This Row],[Raw Col]]=0,N(tblAssessments[[#This Row],[Students]])=0),"",(tblAssessments[[#This Row],[Sat]]+tblAssessments[[#This Row],[Absent]])/tblAssessments[[#This Row],[Students]])</f>
        <v>1</v>
      </c>
      <c r="L11" s="74">
        <f>IF(N(tblAssessments[[#This Row],[Sat]])=0,"",AVERAGE(INDEX(CHOOSE(tblAssessments[[#This Row],[Year Index]],tblY7[#Data],tblY8[#Data],tblY9[#Data],tblY10[#Data],tblY11[#Data]),0,tblAssessments[[#This Row],[Raw Col]])))</f>
        <v>13.8804347826087</v>
      </c>
      <c r="M11" s="73">
        <f>IF(OR(tblAssessments[[#This Row],[Year Mean]]="",N(tblAssessments[[#This Row],[Max Marks]])=0),"",tblAssessments[[#This Row],[Year Mean]]/tblAssessments[[#This Row],[Max Marks]])</f>
        <v>0.46268115942029</v>
      </c>
      <c r="N11" s="74">
        <f>IF(N(tblAssessments[[#This Row],[Sat]])=0,"",_xlfn.STDEV.P(INDEX(CHOOSE(tblAssessments[[#This Row],[Year Index]],tblY7[#Data],tblY8[#Data],tblY9[#Data],tblY10[#Data],tblY11[#Data]),0,tblAssessments[[#This Row],[Raw Col]])))</f>
        <v>6.28808810250597</v>
      </c>
      <c r="O1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1" s="72">
        <f>IFERROR(MATCH(tblAssessments[[#This Row],[Year Group]],YearNames,0),0)</f>
        <v>2</v>
      </c>
      <c r="Q11" s="72">
        <f>IF(tblAssessments[[#This Row],[Year Index]]=0,0,IFERROR(MATCH(tblAssessments[[#This Row],[Test Name]]&amp;CHAR(10)&amp;"Raw Score",CHOOSE(tblAssessments[[#This Row],[Year Index]],tblY7[#Headers],tblY8[#Headers],tblY9[#Headers],tblY10[#Headers],tblY11[#Headers]),0),0))</f>
        <v>18</v>
      </c>
      <c r="R11" s="72" t="str">
        <f>tblAssessments[[#This Row],[Year Group]]&amp;"|"&amp;COUNTIF(INDEX(tblAssessments[Year Group],1):tblAssessments[[#This Row],[Year Group]],tblAssessments[[#This Row],[Year Group]])</f>
        <v>Year 8|3</v>
      </c>
      <c r="S11" s="72" t="str">
        <f>tblAssessments[[#This Row],[Year Group]]&amp;"|"&amp;tblAssessments[[#This Row],[Test Name]]</f>
        <v>Year 8|8B01 - Digestion</v>
      </c>
      <c r="T1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1" s="76" t="n">
        <v>0.75</v>
      </c>
      <c r="W11" s="16" t="n">
        <v>7</v>
      </c>
      <c r="X11" s="70" t="inlineStr">
        <is>
          <t>Above average</t>
        </is>
      </c>
    </row>
    <row r="12">
      <c r="A12" s="10" t="inlineStr">
        <is>
          <t>Year 8</t>
        </is>
      </c>
      <c r="B12" s="10" t="inlineStr">
        <is>
          <t>8C02</t>
        </is>
      </c>
      <c r="C12" s="70" t="inlineStr">
        <is>
          <t>Metals and Acids</t>
        </is>
      </c>
      <c r="D12" s="70" t="inlineStr">
        <is>
          <t>8C02 - Metals and Acids</t>
        </is>
      </c>
      <c r="E12" s="9" t="n">
        <v>26</v>
      </c>
      <c r="F12" s="71" t="n">
        <v>46330</v>
      </c>
      <c r="G12" s="72">
        <f>IF(tblAssessments[[#This Row],[Year Index]]=0,"",COUNTA(CHOOSE(tblAssessments[[#This Row],[Year Index]],tblY7[Preferred Last name],tblY8[Preferred Last name],tblY9[Preferred Last name],tblY10[Preferred Last name],tblY11[Preferred Last name])))</f>
        <v>93</v>
      </c>
      <c r="H12" s="72">
        <f>IF(tblAssessments[[#This Row],[Raw Col]]=0,"",COUNT(INDEX(CHOOSE(tblAssessments[[#This Row],[Year Index]],tblY7[#Data],tblY8[#Data],tblY9[#Data],tblY10[#Data],tblY11[#Data]),0,tblAssessments[[#This Row],[Raw Col]])))</f>
        <v>91</v>
      </c>
      <c r="I12" s="72">
        <f>IF(tblAssessments[[#This Row],[Raw Col]]=0,"",COUNTIF(INDEX(CHOOSE(tblAssessments[[#This Row],[Year Index]],tblY7[#Data],tblY8[#Data],tblY9[#Data],tblY10[#Data],tblY11[#Data]),0,tblAssessments[[#This Row],[Raw Col]]),"A"))</f>
        <v>2</v>
      </c>
      <c r="J12" s="72">
        <f>IF(tblAssessments[[#This Row],[Raw Col]]=0,"",tblAssessments[[#This Row],[Students]]-tblAssessments[[#This Row],[Sat]]-tblAssessments[[#This Row],[Absent]])</f>
        <v>0</v>
      </c>
      <c r="K12" s="73">
        <f>IF(OR(tblAssessments[[#This Row],[Raw Col]]=0,N(tblAssessments[[#This Row],[Students]])=0),"",(tblAssessments[[#This Row],[Sat]]+tblAssessments[[#This Row],[Absent]])/tblAssessments[[#This Row],[Students]])</f>
        <v>1</v>
      </c>
      <c r="L12" s="74">
        <f>IF(N(tblAssessments[[#This Row],[Sat]])=0,"",AVERAGE(INDEX(CHOOSE(tblAssessments[[#This Row],[Year Index]],tblY7[#Data],tblY8[#Data],tblY9[#Data],tblY10[#Data],tblY11[#Data]),0,tblAssessments[[#This Row],[Raw Col]])))</f>
        <v>11.4285714285714</v>
      </c>
      <c r="M12" s="73">
        <f>IF(OR(tblAssessments[[#This Row],[Year Mean]]="",N(tblAssessments[[#This Row],[Max Marks]])=0),"",tblAssessments[[#This Row],[Year Mean]]/tblAssessments[[#This Row],[Max Marks]])</f>
        <v>0.43956043956044</v>
      </c>
      <c r="N12" s="74">
        <f>IF(N(tblAssessments[[#This Row],[Sat]])=0,"",_xlfn.STDEV.P(INDEX(CHOOSE(tblAssessments[[#This Row],[Year Index]],tblY7[#Data],tblY8[#Data],tblY9[#Data],tblY10[#Data],tblY11[#Data]),0,tblAssessments[[#This Row],[Raw Col]])))</f>
        <v>5.33934773384539</v>
      </c>
      <c r="O1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2" s="72">
        <f>IFERROR(MATCH(tblAssessments[[#This Row],[Year Group]],YearNames,0),0)</f>
        <v>2</v>
      </c>
      <c r="Q12" s="72">
        <f>IF(tblAssessments[[#This Row],[Year Index]]=0,0,IFERROR(MATCH(tblAssessments[[#This Row],[Test Name]]&amp;CHAR(10)&amp;"Raw Score",CHOOSE(tblAssessments[[#This Row],[Year Index]],tblY7[#Headers],tblY8[#Headers],tblY9[#Headers],tblY10[#Headers],tblY11[#Headers]),0),0))</f>
        <v>20</v>
      </c>
      <c r="R12" s="72" t="str">
        <f>tblAssessments[[#This Row],[Year Group]]&amp;"|"&amp;COUNTIF(INDEX(tblAssessments[Year Group],1):tblAssessments[[#This Row],[Year Group]],tblAssessments[[#This Row],[Year Group]])</f>
        <v>Year 8|4</v>
      </c>
      <c r="S12" s="72" t="str">
        <f>tblAssessments[[#This Row],[Year Group]]&amp;"|"&amp;tblAssessments[[#This Row],[Test Name]]</f>
        <v>Year 8|8C02 - Metals and Acids</v>
      </c>
      <c r="T1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2" s="76" t="n">
        <v>1.25</v>
      </c>
      <c r="W12" s="16" t="n">
        <v>8</v>
      </c>
      <c r="X12" s="70" t="inlineStr">
        <is>
          <t>High</t>
        </is>
      </c>
    </row>
    <row r="13">
      <c r="A13" s="10" t="inlineStr">
        <is>
          <t>Year 8</t>
        </is>
      </c>
      <c r="B13" s="10" t="inlineStr">
        <is>
          <t>8P02</t>
        </is>
      </c>
      <c r="C13" s="70" t="inlineStr">
        <is>
          <t>Light</t>
        </is>
      </c>
      <c r="D13" s="70" t="inlineStr">
        <is>
          <t>8P02 - Light</t>
        </is>
      </c>
      <c r="E13" s="9" t="n">
        <v>24</v>
      </c>
      <c r="F13" s="71" t="n">
        <v>46344</v>
      </c>
      <c r="G13" s="72">
        <f>IF(tblAssessments[[#This Row],[Year Index]]=0,"",COUNTA(CHOOSE(tblAssessments[[#This Row],[Year Index]],tblY7[Preferred Last name],tblY8[Preferred Last name],tblY9[Preferred Last name],tblY10[Preferred Last name],tblY11[Preferred Last name])))</f>
        <v>93</v>
      </c>
      <c r="H13" s="72">
        <f>IF(tblAssessments[[#This Row],[Raw Col]]=0,"",COUNT(INDEX(CHOOSE(tblAssessments[[#This Row],[Year Index]],tblY7[#Data],tblY8[#Data],tblY9[#Data],tblY10[#Data],tblY11[#Data]),0,tblAssessments[[#This Row],[Raw Col]])))</f>
        <v>71</v>
      </c>
      <c r="I13" s="72">
        <f>IF(tblAssessments[[#This Row],[Raw Col]]=0,"",COUNTIF(INDEX(CHOOSE(tblAssessments[[#This Row],[Year Index]],tblY7[#Data],tblY8[#Data],tblY9[#Data],tblY10[#Data],tblY11[#Data]),0,tblAssessments[[#This Row],[Raw Col]]),"A"))</f>
        <v>4</v>
      </c>
      <c r="J13" s="72">
        <f>IF(tblAssessments[[#This Row],[Raw Col]]=0,"",tblAssessments[[#This Row],[Students]]-tblAssessments[[#This Row],[Sat]]-tblAssessments[[#This Row],[Absent]])</f>
        <v>18</v>
      </c>
      <c r="K13" s="73">
        <f>IF(OR(tblAssessments[[#This Row],[Raw Col]]=0,N(tblAssessments[[#This Row],[Students]])=0),"",(tblAssessments[[#This Row],[Sat]]+tblAssessments[[#This Row],[Absent]])/tblAssessments[[#This Row],[Students]])</f>
        <v>0.806451612903226</v>
      </c>
      <c r="L13" s="74">
        <f>IF(N(tblAssessments[[#This Row],[Sat]])=0,"",AVERAGE(INDEX(CHOOSE(tblAssessments[[#This Row],[Year Index]],tblY7[#Data],tblY8[#Data],tblY9[#Data],tblY10[#Data],tblY11[#Data]),0,tblAssessments[[#This Row],[Raw Col]])))</f>
        <v>15.5774647887324</v>
      </c>
      <c r="M13" s="73">
        <f>IF(OR(tblAssessments[[#This Row],[Year Mean]]="",N(tblAssessments[[#This Row],[Max Marks]])=0),"",tblAssessments[[#This Row],[Year Mean]]/tblAssessments[[#This Row],[Max Marks]])</f>
        <v>0.64906103286385</v>
      </c>
      <c r="N13" s="74">
        <f>IF(N(tblAssessments[[#This Row],[Sat]])=0,"",_xlfn.STDEV.P(INDEX(CHOOSE(tblAssessments[[#This Row],[Year Index]],tblY7[#Data],tblY8[#Data],tblY9[#Data],tblY10[#Data],tblY11[#Data]),0,tblAssessments[[#This Row],[Raw Col]])))</f>
        <v>4.21486962634315</v>
      </c>
      <c r="O1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3" s="72">
        <f>IFERROR(MATCH(tblAssessments[[#This Row],[Year Group]],YearNames,0),0)</f>
        <v>2</v>
      </c>
      <c r="Q13" s="72">
        <f>IF(tblAssessments[[#This Row],[Year Index]]=0,0,IFERROR(MATCH(tblAssessments[[#This Row],[Test Name]]&amp;CHAR(10)&amp;"Raw Score",CHOOSE(tblAssessments[[#This Row],[Year Index]],tblY7[#Headers],tblY8[#Headers],tblY9[#Headers],tblY10[#Headers],tblY11[#Headers]),0),0))</f>
        <v>22</v>
      </c>
      <c r="R13" s="72" t="str">
        <f>tblAssessments[[#This Row],[Year Group]]&amp;"|"&amp;COUNTIF(INDEX(tblAssessments[Year Group],1):tblAssessments[[#This Row],[Year Group]],tblAssessments[[#This Row],[Year Group]])</f>
        <v>Year 8|5</v>
      </c>
      <c r="S13" s="72" t="str">
        <f>tblAssessments[[#This Row],[Year Group]]&amp;"|"&amp;tblAssessments[[#This Row],[Test Name]]</f>
        <v>Year 8|8P02 - Light</v>
      </c>
      <c r="T1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3" s="76" t="n">
        <v>1.75</v>
      </c>
      <c r="W13" s="16" t="n">
        <v>9</v>
      </c>
      <c r="X13" s="70" t="inlineStr">
        <is>
          <t>Very high</t>
        </is>
      </c>
    </row>
    <row r="14">
      <c r="A14" s="10" t="inlineStr">
        <is>
          <t>Year 9</t>
        </is>
      </c>
      <c r="B14" s="10" t="inlineStr">
        <is>
          <t>9B01</t>
        </is>
      </c>
      <c r="C14" s="70" t="inlineStr">
        <is>
          <t>Genetics</t>
        </is>
      </c>
      <c r="D14" s="70" t="inlineStr">
        <is>
          <t>9B01 - Genetics</t>
        </is>
      </c>
      <c r="E14" s="9" t="n">
        <v>30</v>
      </c>
      <c r="F14" s="71" t="n">
        <v>46289</v>
      </c>
      <c r="G14" s="72">
        <f>IF(tblAssessments[[#This Row],[Year Index]]=0,"",COUNTA(CHOOSE(tblAssessments[[#This Row],[Year Index]],tblY7[Preferred Last name],tblY8[Preferred Last name],tblY9[Preferred Last name],tblY10[Preferred Last name],tblY11[Preferred Last name])))</f>
        <v>125</v>
      </c>
      <c r="H14" s="72">
        <f>IF(tblAssessments[[#This Row],[Raw Col]]=0,"",COUNT(INDEX(CHOOSE(tblAssessments[[#This Row],[Year Index]],tblY7[#Data],tblY8[#Data],tblY9[#Data],tblY10[#Data],tblY11[#Data]),0,tblAssessments[[#This Row],[Raw Col]])))</f>
        <v>120</v>
      </c>
      <c r="I14" s="72">
        <f>IF(tblAssessments[[#This Row],[Raw Col]]=0,"",COUNTIF(INDEX(CHOOSE(tblAssessments[[#This Row],[Year Index]],tblY7[#Data],tblY8[#Data],tblY9[#Data],tblY10[#Data],tblY11[#Data]),0,tblAssessments[[#This Row],[Raw Col]]),"A"))</f>
        <v>5</v>
      </c>
      <c r="J14" s="72">
        <f>IF(tblAssessments[[#This Row],[Raw Col]]=0,"",tblAssessments[[#This Row],[Students]]-tblAssessments[[#This Row],[Sat]]-tblAssessments[[#This Row],[Absent]])</f>
        <v>0</v>
      </c>
      <c r="K14" s="73">
        <f>IF(OR(tblAssessments[[#This Row],[Raw Col]]=0,N(tblAssessments[[#This Row],[Students]])=0),"",(tblAssessments[[#This Row],[Sat]]+tblAssessments[[#This Row],[Absent]])/tblAssessments[[#This Row],[Students]])</f>
        <v>1</v>
      </c>
      <c r="L14" s="74">
        <f>IF(N(tblAssessments[[#This Row],[Sat]])=0,"",AVERAGE(INDEX(CHOOSE(tblAssessments[[#This Row],[Year Index]],tblY7[#Data],tblY8[#Data],tblY9[#Data],tblY10[#Data],tblY11[#Data]),0,tblAssessments[[#This Row],[Raw Col]])))</f>
        <v>20.25</v>
      </c>
      <c r="M14" s="73">
        <f>IF(OR(tblAssessments[[#This Row],[Year Mean]]="",N(tblAssessments[[#This Row],[Max Marks]])=0),"",tblAssessments[[#This Row],[Year Mean]]/tblAssessments[[#This Row],[Max Marks]])</f>
        <v>0.675</v>
      </c>
      <c r="N14" s="74">
        <f>IF(N(tblAssessments[[#This Row],[Sat]])=0,"",_xlfn.STDEV.P(INDEX(CHOOSE(tblAssessments[[#This Row],[Year Index]],tblY7[#Data],tblY8[#Data],tblY9[#Data],tblY10[#Data],tblY11[#Data]),0,tblAssessments[[#This Row],[Raw Col]])))</f>
        <v>5.73185542967255</v>
      </c>
      <c r="O1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4" s="72">
        <f>IFERROR(MATCH(tblAssessments[[#This Row],[Year Group]],YearNames,0),0)</f>
        <v>3</v>
      </c>
      <c r="Q14" s="72">
        <f>IF(tblAssessments[[#This Row],[Year Index]]=0,0,IFERROR(MATCH(tblAssessments[[#This Row],[Test Name]]&amp;CHAR(10)&amp;"Raw Score",CHOOSE(tblAssessments[[#This Row],[Year Index]],tblY7[#Headers],tblY8[#Headers],tblY9[#Headers],tblY10[#Headers],tblY11[#Headers]),0),0))</f>
        <v>14</v>
      </c>
      <c r="R14" s="72" t="str">
        <f>tblAssessments[[#This Row],[Year Group]]&amp;"|"&amp;COUNTIF(INDEX(tblAssessments[Year Group],1):tblAssessments[[#This Row],[Year Group]],tblAssessments[[#This Row],[Year Group]])</f>
        <v>Year 9|1</v>
      </c>
      <c r="S14" s="72" t="str">
        <f>tblAssessments[[#This Row],[Year Group]]&amp;"|"&amp;tblAssessments[[#This Row],[Test Name]]</f>
        <v>Year 9|9B01 - Genetics</v>
      </c>
      <c r="T1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5">
      <c r="A15" s="10" t="inlineStr">
        <is>
          <t>Year 9</t>
        </is>
      </c>
      <c r="B15" s="10" t="inlineStr">
        <is>
          <t>9C01</t>
        </is>
      </c>
      <c r="C15" s="70" t="inlineStr">
        <is>
          <t>Chemical Reactions</t>
        </is>
      </c>
      <c r="D15" s="70" t="inlineStr">
        <is>
          <t>9C01 - Chemical Reactions</t>
        </is>
      </c>
      <c r="E15" s="9" t="n">
        <v>32</v>
      </c>
      <c r="F15" s="71" t="n">
        <v>46303</v>
      </c>
      <c r="G15" s="72">
        <f>IF(tblAssessments[[#This Row],[Year Index]]=0,"",COUNTA(CHOOSE(tblAssessments[[#This Row],[Year Index]],tblY7[Preferred Last name],tblY8[Preferred Last name],tblY9[Preferred Last name],tblY10[Preferred Last name],tblY11[Preferred Last name])))</f>
        <v>125</v>
      </c>
      <c r="H15" s="72">
        <f>IF(tblAssessments[[#This Row],[Raw Col]]=0,"",COUNT(INDEX(CHOOSE(tblAssessments[[#This Row],[Year Index]],tblY7[#Data],tblY8[#Data],tblY9[#Data],tblY10[#Data],tblY11[#Data]),0,tblAssessments[[#This Row],[Raw Col]])))</f>
        <v>122</v>
      </c>
      <c r="I15" s="72">
        <f>IF(tblAssessments[[#This Row],[Raw Col]]=0,"",COUNTIF(INDEX(CHOOSE(tblAssessments[[#This Row],[Year Index]],tblY7[#Data],tblY8[#Data],tblY9[#Data],tblY10[#Data],tblY11[#Data]),0,tblAssessments[[#This Row],[Raw Col]]),"A"))</f>
        <v>3</v>
      </c>
      <c r="J15" s="72">
        <f>IF(tblAssessments[[#This Row],[Raw Col]]=0,"",tblAssessments[[#This Row],[Students]]-tblAssessments[[#This Row],[Sat]]-tblAssessments[[#This Row],[Absent]])</f>
        <v>0</v>
      </c>
      <c r="K15" s="73">
        <f>IF(OR(tblAssessments[[#This Row],[Raw Col]]=0,N(tblAssessments[[#This Row],[Students]])=0),"",(tblAssessments[[#This Row],[Sat]]+tblAssessments[[#This Row],[Absent]])/tblAssessments[[#This Row],[Students]])</f>
        <v>1</v>
      </c>
      <c r="L15" s="74">
        <f>IF(N(tblAssessments[[#This Row],[Sat]])=0,"",AVERAGE(INDEX(CHOOSE(tblAssessments[[#This Row],[Year Index]],tblY7[#Data],tblY8[#Data],tblY9[#Data],tblY10[#Data],tblY11[#Data]),0,tblAssessments[[#This Row],[Raw Col]])))</f>
        <v>21.3524590163934</v>
      </c>
      <c r="M15" s="73">
        <f>IF(OR(tblAssessments[[#This Row],[Year Mean]]="",N(tblAssessments[[#This Row],[Max Marks]])=0),"",tblAssessments[[#This Row],[Year Mean]]/tblAssessments[[#This Row],[Max Marks]])</f>
        <v>0.667264344262295</v>
      </c>
      <c r="N15" s="74">
        <f>IF(N(tblAssessments[[#This Row],[Sat]])=0,"",_xlfn.STDEV.P(INDEX(CHOOSE(tblAssessments[[#This Row],[Year Index]],tblY7[#Data],tblY8[#Data],tblY9[#Data],tblY10[#Data],tblY11[#Data]),0,tblAssessments[[#This Row],[Raw Col]])))</f>
        <v>6.02307330073487</v>
      </c>
      <c r="O1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5" s="72">
        <f>IFERROR(MATCH(tblAssessments[[#This Row],[Year Group]],YearNames,0),0)</f>
        <v>3</v>
      </c>
      <c r="Q15" s="72">
        <f>IF(tblAssessments[[#This Row],[Year Index]]=0,0,IFERROR(MATCH(tblAssessments[[#This Row],[Test Name]]&amp;CHAR(10)&amp;"Raw Score",CHOOSE(tblAssessments[[#This Row],[Year Index]],tblY7[#Headers],tblY8[#Headers],tblY9[#Headers],tblY10[#Headers],tblY11[#Headers]),0),0))</f>
        <v>16</v>
      </c>
      <c r="R15" s="72" t="str">
        <f>tblAssessments[[#This Row],[Year Group]]&amp;"|"&amp;COUNTIF(INDEX(tblAssessments[Year Group],1):tblAssessments[[#This Row],[Year Group]],tblAssessments[[#This Row],[Year Group]])</f>
        <v>Year 9|2</v>
      </c>
      <c r="S15" s="72" t="str">
        <f>tblAssessments[[#This Row],[Year Group]]&amp;"|"&amp;tblAssessments[[#This Row],[Test Name]]</f>
        <v>Year 9|9C01 - Chemical Reactions</v>
      </c>
      <c r="T1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c r="A16" s="10" t="inlineStr">
        <is>
          <t>Year 9</t>
        </is>
      </c>
      <c r="B16" s="10" t="inlineStr">
        <is>
          <t>9P01</t>
        </is>
      </c>
      <c r="C16" s="70" t="inlineStr">
        <is>
          <t>Electricity</t>
        </is>
      </c>
      <c r="D16" s="70" t="inlineStr">
        <is>
          <t>9P01 - Electricity</t>
        </is>
      </c>
      <c r="E16" s="9" t="n">
        <v>30</v>
      </c>
      <c r="F16" s="71" t="n">
        <v>46317</v>
      </c>
      <c r="G16" s="72">
        <f>IF(tblAssessments[[#This Row],[Year Index]]=0,"",COUNTA(CHOOSE(tblAssessments[[#This Row],[Year Index]],tblY7[Preferred Last name],tblY8[Preferred Last name],tblY9[Preferred Last name],tblY10[Preferred Last name],tblY11[Preferred Last name])))</f>
        <v>125</v>
      </c>
      <c r="H16" s="72">
        <f>IF(tblAssessments[[#This Row],[Raw Col]]=0,"",COUNT(INDEX(CHOOSE(tblAssessments[[#This Row],[Year Index]],tblY7[#Data],tblY8[#Data],tblY9[#Data],tblY10[#Data],tblY11[#Data]),0,tblAssessments[[#This Row],[Raw Col]])))</f>
        <v>121</v>
      </c>
      <c r="I16" s="72">
        <f>IF(tblAssessments[[#This Row],[Raw Col]]=0,"",COUNTIF(INDEX(CHOOSE(tblAssessments[[#This Row],[Year Index]],tblY7[#Data],tblY8[#Data],tblY9[#Data],tblY10[#Data],tblY11[#Data]),0,tblAssessments[[#This Row],[Raw Col]]),"A"))</f>
        <v>4</v>
      </c>
      <c r="J16" s="72">
        <f>IF(tblAssessments[[#This Row],[Raw Col]]=0,"",tblAssessments[[#This Row],[Students]]-tblAssessments[[#This Row],[Sat]]-tblAssessments[[#This Row],[Absent]])</f>
        <v>0</v>
      </c>
      <c r="K16" s="73">
        <f>IF(OR(tblAssessments[[#This Row],[Raw Col]]=0,N(tblAssessments[[#This Row],[Students]])=0),"",(tblAssessments[[#This Row],[Sat]]+tblAssessments[[#This Row],[Absent]])/tblAssessments[[#This Row],[Students]])</f>
        <v>1</v>
      </c>
      <c r="L16" s="74">
        <f>IF(N(tblAssessments[[#This Row],[Sat]])=0,"",AVERAGE(INDEX(CHOOSE(tblAssessments[[#This Row],[Year Index]],tblY7[#Data],tblY8[#Data],tblY9[#Data],tblY10[#Data],tblY11[#Data]),0,tblAssessments[[#This Row],[Raw Col]])))</f>
        <v>20.4545454545455</v>
      </c>
      <c r="M16" s="73">
        <f>IF(OR(tblAssessments[[#This Row],[Year Mean]]="",N(tblAssessments[[#This Row],[Max Marks]])=0),"",tblAssessments[[#This Row],[Year Mean]]/tblAssessments[[#This Row],[Max Marks]])</f>
        <v>0.681818181818182</v>
      </c>
      <c r="N16" s="74">
        <f>IF(N(tblAssessments[[#This Row],[Sat]])=0,"",_xlfn.STDEV.P(INDEX(CHOOSE(tblAssessments[[#This Row],[Year Index]],tblY7[#Data],tblY8[#Data],tblY9[#Data],tblY10[#Data],tblY11[#Data]),0,tblAssessments[[#This Row],[Raw Col]])))</f>
        <v>5.04197259049529</v>
      </c>
      <c r="O1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6" s="72">
        <f>IFERROR(MATCH(tblAssessments[[#This Row],[Year Group]],YearNames,0),0)</f>
        <v>3</v>
      </c>
      <c r="Q16" s="72">
        <f>IF(tblAssessments[[#This Row],[Year Index]]=0,0,IFERROR(MATCH(tblAssessments[[#This Row],[Test Name]]&amp;CHAR(10)&amp;"Raw Score",CHOOSE(tblAssessments[[#This Row],[Year Index]],tblY7[#Headers],tblY8[#Headers],tblY9[#Headers],tblY10[#Headers],tblY11[#Headers]),0),0))</f>
        <v>18</v>
      </c>
      <c r="R16" s="72" t="str">
        <f>tblAssessments[[#This Row],[Year Group]]&amp;"|"&amp;COUNTIF(INDEX(tblAssessments[Year Group],1):tblAssessments[[#This Row],[Year Group]],tblAssessments[[#This Row],[Year Group]])</f>
        <v>Year 9|3</v>
      </c>
      <c r="S16" s="72" t="str">
        <f>tblAssessments[[#This Row],[Year Group]]&amp;"|"&amp;tblAssessments[[#This Row],[Test Name]]</f>
        <v>Year 9|9P01 - Electricity</v>
      </c>
      <c r="T1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7">
      <c r="A17" s="10" t="inlineStr">
        <is>
          <t>Year 9</t>
        </is>
      </c>
      <c r="B17" s="10" t="inlineStr">
        <is>
          <t>9B02</t>
        </is>
      </c>
      <c r="C17" s="70" t="inlineStr">
        <is>
          <t>Ecology</t>
        </is>
      </c>
      <c r="D17" s="70" t="inlineStr">
        <is>
          <t>9B02 - Ecology</t>
        </is>
      </c>
      <c r="E17" s="9" t="n">
        <v>25</v>
      </c>
      <c r="F17" s="71" t="n">
        <v>46331</v>
      </c>
      <c r="G17" s="72">
        <f>IF(tblAssessments[[#This Row],[Year Index]]=0,"",COUNTA(CHOOSE(tblAssessments[[#This Row],[Year Index]],tblY7[Preferred Last name],tblY8[Preferred Last name],tblY9[Preferred Last name],tblY10[Preferred Last name],tblY11[Preferred Last name])))</f>
        <v>125</v>
      </c>
      <c r="H17" s="72">
        <f>IF(tblAssessments[[#This Row],[Raw Col]]=0,"",COUNT(INDEX(CHOOSE(tblAssessments[[#This Row],[Year Index]],tblY7[#Data],tblY8[#Data],tblY9[#Data],tblY10[#Data],tblY11[#Data]),0,tblAssessments[[#This Row],[Raw Col]])))</f>
        <v>119</v>
      </c>
      <c r="I17" s="72">
        <f>IF(tblAssessments[[#This Row],[Raw Col]]=0,"",COUNTIF(INDEX(CHOOSE(tblAssessments[[#This Row],[Year Index]],tblY7[#Data],tblY8[#Data],tblY9[#Data],tblY10[#Data],tblY11[#Data]),0,tblAssessments[[#This Row],[Raw Col]]),"A"))</f>
        <v>6</v>
      </c>
      <c r="J17" s="72">
        <f>IF(tblAssessments[[#This Row],[Raw Col]]=0,"",tblAssessments[[#This Row],[Students]]-tblAssessments[[#This Row],[Sat]]-tblAssessments[[#This Row],[Absent]])</f>
        <v>0</v>
      </c>
      <c r="K17" s="73">
        <f>IF(OR(tblAssessments[[#This Row],[Raw Col]]=0,N(tblAssessments[[#This Row],[Students]])=0),"",(tblAssessments[[#This Row],[Sat]]+tblAssessments[[#This Row],[Absent]])/tblAssessments[[#This Row],[Students]])</f>
        <v>1</v>
      </c>
      <c r="L17" s="74">
        <f>IF(N(tblAssessments[[#This Row],[Sat]])=0,"",AVERAGE(INDEX(CHOOSE(tblAssessments[[#This Row],[Year Index]],tblY7[#Data],tblY8[#Data],tblY9[#Data],tblY10[#Data],tblY11[#Data]),0,tblAssessments[[#This Row],[Raw Col]])))</f>
        <v>17.6470588235294</v>
      </c>
      <c r="M17" s="73">
        <f>IF(OR(tblAssessments[[#This Row],[Year Mean]]="",N(tblAssessments[[#This Row],[Max Marks]])=0),"",tblAssessments[[#This Row],[Year Mean]]/tblAssessments[[#This Row],[Max Marks]])</f>
        <v>0.705882352941177</v>
      </c>
      <c r="N17" s="74">
        <f>IF(N(tblAssessments[[#This Row],[Sat]])=0,"",_xlfn.STDEV.P(INDEX(CHOOSE(tblAssessments[[#This Row],[Year Index]],tblY7[#Data],tblY8[#Data],tblY9[#Data],tblY10[#Data],tblY11[#Data]),0,tblAssessments[[#This Row],[Raw Col]])))</f>
        <v>4.4392978385169</v>
      </c>
      <c r="O1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7" s="72">
        <f>IFERROR(MATCH(tblAssessments[[#This Row],[Year Group]],YearNames,0),0)</f>
        <v>3</v>
      </c>
      <c r="Q17" s="72">
        <f>IF(tblAssessments[[#This Row],[Year Index]]=0,0,IFERROR(MATCH(tblAssessments[[#This Row],[Test Name]]&amp;CHAR(10)&amp;"Raw Score",CHOOSE(tblAssessments[[#This Row],[Year Index]],tblY7[#Headers],tblY8[#Headers],tblY9[#Headers],tblY10[#Headers],tblY11[#Headers]),0),0))</f>
        <v>20</v>
      </c>
      <c r="R17" s="72" t="str">
        <f>tblAssessments[[#This Row],[Year Group]]&amp;"|"&amp;COUNTIF(INDEX(tblAssessments[Year Group],1):tblAssessments[[#This Row],[Year Group]],tblAssessments[[#This Row],[Year Group]])</f>
        <v>Year 9|4</v>
      </c>
      <c r="S17" s="72" t="str">
        <f>tblAssessments[[#This Row],[Year Group]]&amp;"|"&amp;tblAssessments[[#This Row],[Test Name]]</f>
        <v>Year 9|9B02 - Ecology</v>
      </c>
      <c r="T1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8">
      <c r="A18" s="10" t="inlineStr">
        <is>
          <t>Year 10</t>
        </is>
      </c>
      <c r="B18" s="10" t="inlineStr">
        <is>
          <t>4B01</t>
        </is>
      </c>
      <c r="C18" s="70" t="inlineStr">
        <is>
          <t>Cell Biology</t>
        </is>
      </c>
      <c r="D18" s="70" t="inlineStr">
        <is>
          <t>4B01 - Cell Biology</t>
        </is>
      </c>
      <c r="E18" s="9" t="n">
        <v>40</v>
      </c>
      <c r="F18" s="71" t="n">
        <v>46290</v>
      </c>
      <c r="G18" s="72">
        <f>IF(tblAssessments[[#This Row],[Year Index]]=0,"",COUNTA(CHOOSE(tblAssessments[[#This Row],[Year Index]],tblY7[Preferred Last name],tblY8[Preferred Last name],tblY9[Preferred Last name],tblY10[Preferred Last name],tblY11[Preferred Last name])))</f>
        <v>117</v>
      </c>
      <c r="H18" s="72">
        <f>IF(tblAssessments[[#This Row],[Raw Col]]=0,"",COUNT(INDEX(CHOOSE(tblAssessments[[#This Row],[Year Index]],tblY7[#Data],tblY8[#Data],tblY9[#Data],tblY10[#Data],tblY11[#Data]),0,tblAssessments[[#This Row],[Raw Col]])))</f>
        <v>111</v>
      </c>
      <c r="I18" s="72">
        <f>IF(tblAssessments[[#This Row],[Raw Col]]=0,"",COUNTIF(INDEX(CHOOSE(tblAssessments[[#This Row],[Year Index]],tblY7[#Data],tblY8[#Data],tblY9[#Data],tblY10[#Data],tblY11[#Data]),0,tblAssessments[[#This Row],[Raw Col]]),"A"))</f>
        <v>6</v>
      </c>
      <c r="J18" s="72">
        <f>IF(tblAssessments[[#This Row],[Raw Col]]=0,"",tblAssessments[[#This Row],[Students]]-tblAssessments[[#This Row],[Sat]]-tblAssessments[[#This Row],[Absent]])</f>
        <v>0</v>
      </c>
      <c r="K18" s="73">
        <f>IF(OR(tblAssessments[[#This Row],[Raw Col]]=0,N(tblAssessments[[#This Row],[Students]])=0),"",(tblAssessments[[#This Row],[Sat]]+tblAssessments[[#This Row],[Absent]])/tblAssessments[[#This Row],[Students]])</f>
        <v>1</v>
      </c>
      <c r="L18" s="74">
        <f>IF(N(tblAssessments[[#This Row],[Sat]])=0,"",AVERAGE(INDEX(CHOOSE(tblAssessments[[#This Row],[Year Index]],tblY7[#Data],tblY8[#Data],tblY9[#Data],tblY10[#Data],tblY11[#Data]),0,tblAssessments[[#This Row],[Raw Col]])))</f>
        <v>19.7297297297297</v>
      </c>
      <c r="M18" s="73">
        <f>IF(OR(tblAssessments[[#This Row],[Year Mean]]="",N(tblAssessments[[#This Row],[Max Marks]])=0),"",tblAssessments[[#This Row],[Year Mean]]/tblAssessments[[#This Row],[Max Marks]])</f>
        <v>0.493243243243243</v>
      </c>
      <c r="N18" s="74">
        <f>IF(N(tblAssessments[[#This Row],[Sat]])=0,"",_xlfn.STDEV.P(INDEX(CHOOSE(tblAssessments[[#This Row],[Year Index]],tblY7[#Data],tblY8[#Data],tblY9[#Data],tblY10[#Data],tblY11[#Data]),0,tblAssessments[[#This Row],[Raw Col]])))</f>
        <v>9.06726211539604</v>
      </c>
      <c r="O1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8" s="72">
        <f>IFERROR(MATCH(tblAssessments[[#This Row],[Year Group]],YearNames,0),0)</f>
        <v>4</v>
      </c>
      <c r="Q18" s="72">
        <f>IF(tblAssessments[[#This Row],[Year Index]]=0,0,IFERROR(MATCH(tblAssessments[[#This Row],[Test Name]]&amp;CHAR(10)&amp;"Raw Score",CHOOSE(tblAssessments[[#This Row],[Year Index]],tblY7[#Headers],tblY8[#Headers],tblY9[#Headers],tblY10[#Headers],tblY11[#Headers]),0),0))</f>
        <v>14</v>
      </c>
      <c r="R18" s="72" t="str">
        <f>tblAssessments[[#This Row],[Year Group]]&amp;"|"&amp;COUNTIF(INDEX(tblAssessments[Year Group],1):tblAssessments[[#This Row],[Year Group]],tblAssessments[[#This Row],[Year Group]])</f>
        <v>Year 10|1</v>
      </c>
      <c r="S18" s="72" t="str">
        <f>tblAssessments[[#This Row],[Year Group]]&amp;"|"&amp;tblAssessments[[#This Row],[Test Name]]</f>
        <v>Year 10|4B01 - Cell Biology</v>
      </c>
      <c r="T1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9">
      <c r="A19" s="10" t="inlineStr">
        <is>
          <t>Year 10</t>
        </is>
      </c>
      <c r="B19" s="10" t="inlineStr">
        <is>
          <t>4C01</t>
        </is>
      </c>
      <c r="C19" s="70" t="inlineStr">
        <is>
          <t>Atomic Structure</t>
        </is>
      </c>
      <c r="D19" s="70" t="inlineStr">
        <is>
          <t>4C01 - Atomic Structure</t>
        </is>
      </c>
      <c r="E19" s="9" t="n">
        <v>36</v>
      </c>
      <c r="F19" s="71" t="n">
        <v>46304</v>
      </c>
      <c r="G19" s="72">
        <f>IF(tblAssessments[[#This Row],[Year Index]]=0,"",COUNTA(CHOOSE(tblAssessments[[#This Row],[Year Index]],tblY7[Preferred Last name],tblY8[Preferred Last name],tblY9[Preferred Last name],tblY10[Preferred Last name],tblY11[Preferred Last name])))</f>
        <v>117</v>
      </c>
      <c r="H19" s="72">
        <f>IF(tblAssessments[[#This Row],[Raw Col]]=0,"",COUNT(INDEX(CHOOSE(tblAssessments[[#This Row],[Year Index]],tblY7[#Data],tblY8[#Data],tblY9[#Data],tblY10[#Data],tblY11[#Data]),0,tblAssessments[[#This Row],[Raw Col]])))</f>
        <v>110</v>
      </c>
      <c r="I19" s="72">
        <f>IF(tblAssessments[[#This Row],[Raw Col]]=0,"",COUNTIF(INDEX(CHOOSE(tblAssessments[[#This Row],[Year Index]],tblY7[#Data],tblY8[#Data],tblY9[#Data],tblY10[#Data],tblY11[#Data]),0,tblAssessments[[#This Row],[Raw Col]]),"A"))</f>
        <v>7</v>
      </c>
      <c r="J19" s="72">
        <f>IF(tblAssessments[[#This Row],[Raw Col]]=0,"",tblAssessments[[#This Row],[Students]]-tblAssessments[[#This Row],[Sat]]-tblAssessments[[#This Row],[Absent]])</f>
        <v>0</v>
      </c>
      <c r="K19" s="73">
        <f>IF(OR(tblAssessments[[#This Row],[Raw Col]]=0,N(tblAssessments[[#This Row],[Students]])=0),"",(tblAssessments[[#This Row],[Sat]]+tblAssessments[[#This Row],[Absent]])/tblAssessments[[#This Row],[Students]])</f>
        <v>1</v>
      </c>
      <c r="L19" s="74">
        <f>IF(N(tblAssessments[[#This Row],[Sat]])=0,"",AVERAGE(INDEX(CHOOSE(tblAssessments[[#This Row],[Year Index]],tblY7[#Data],tblY8[#Data],tblY9[#Data],tblY10[#Data],tblY11[#Data]),0,tblAssessments[[#This Row],[Raw Col]])))</f>
        <v>17.5272727272727</v>
      </c>
      <c r="M19" s="73">
        <f>IF(OR(tblAssessments[[#This Row],[Year Mean]]="",N(tblAssessments[[#This Row],[Max Marks]])=0),"",tblAssessments[[#This Row],[Year Mean]]/tblAssessments[[#This Row],[Max Marks]])</f>
        <v>0.486868686868687</v>
      </c>
      <c r="N19" s="74">
        <f>IF(N(tblAssessments[[#This Row],[Sat]])=0,"",_xlfn.STDEV.P(INDEX(CHOOSE(tblAssessments[[#This Row],[Year Index]],tblY7[#Data],tblY8[#Data],tblY9[#Data],tblY10[#Data],tblY11[#Data]),0,tblAssessments[[#This Row],[Raw Col]])))</f>
        <v>8.33144000530421</v>
      </c>
      <c r="O1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9" s="72">
        <f>IFERROR(MATCH(tblAssessments[[#This Row],[Year Group]],YearNames,0),0)</f>
        <v>4</v>
      </c>
      <c r="Q19" s="72">
        <f>IF(tblAssessments[[#This Row],[Year Index]]=0,0,IFERROR(MATCH(tblAssessments[[#This Row],[Test Name]]&amp;CHAR(10)&amp;"Raw Score",CHOOSE(tblAssessments[[#This Row],[Year Index]],tblY7[#Headers],tblY8[#Headers],tblY9[#Headers],tblY10[#Headers],tblY11[#Headers]),0),0))</f>
        <v>16</v>
      </c>
      <c r="R19" s="72" t="str">
        <f>tblAssessments[[#This Row],[Year Group]]&amp;"|"&amp;COUNTIF(INDEX(tblAssessments[Year Group],1):tblAssessments[[#This Row],[Year Group]],tblAssessments[[#This Row],[Year Group]])</f>
        <v>Year 10|2</v>
      </c>
      <c r="S19" s="72" t="str">
        <f>tblAssessments[[#This Row],[Year Group]]&amp;"|"&amp;tblAssessments[[#This Row],[Test Name]]</f>
        <v>Year 10|4C01 - Atomic Structure</v>
      </c>
      <c r="T1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0">
      <c r="A20" s="10" t="inlineStr">
        <is>
          <t>Year 10</t>
        </is>
      </c>
      <c r="B20" s="10" t="inlineStr">
        <is>
          <t>4P01</t>
        </is>
      </c>
      <c r="C20" s="70" t="inlineStr">
        <is>
          <t>Energy</t>
        </is>
      </c>
      <c r="D20" s="70" t="inlineStr">
        <is>
          <t>4P01 - Energy</t>
        </is>
      </c>
      <c r="E20" s="9" t="n">
        <v>35</v>
      </c>
      <c r="F20" s="71" t="n">
        <v>46318</v>
      </c>
      <c r="G20" s="72">
        <f>IF(tblAssessments[[#This Row],[Year Index]]=0,"",COUNTA(CHOOSE(tblAssessments[[#This Row],[Year Index]],tblY7[Preferred Last name],tblY8[Preferred Last name],tblY9[Preferred Last name],tblY10[Preferred Last name],tblY11[Preferred Last name])))</f>
        <v>117</v>
      </c>
      <c r="H20" s="72">
        <f>IF(tblAssessments[[#This Row],[Raw Col]]=0,"",COUNT(INDEX(CHOOSE(tblAssessments[[#This Row],[Year Index]],tblY7[#Data],tblY8[#Data],tblY9[#Data],tblY10[#Data],tblY11[#Data]),0,tblAssessments[[#This Row],[Raw Col]])))</f>
        <v>116</v>
      </c>
      <c r="I20" s="72">
        <f>IF(tblAssessments[[#This Row],[Raw Col]]=0,"",COUNTIF(INDEX(CHOOSE(tblAssessments[[#This Row],[Year Index]],tblY7[#Data],tblY8[#Data],tblY9[#Data],tblY10[#Data],tblY11[#Data]),0,tblAssessments[[#This Row],[Raw Col]]),"A"))</f>
        <v>1</v>
      </c>
      <c r="J20" s="72">
        <f>IF(tblAssessments[[#This Row],[Raw Col]]=0,"",tblAssessments[[#This Row],[Students]]-tblAssessments[[#This Row],[Sat]]-tblAssessments[[#This Row],[Absent]])</f>
        <v>0</v>
      </c>
      <c r="K20" s="73">
        <f>IF(OR(tblAssessments[[#This Row],[Raw Col]]=0,N(tblAssessments[[#This Row],[Students]])=0),"",(tblAssessments[[#This Row],[Sat]]+tblAssessments[[#This Row],[Absent]])/tblAssessments[[#This Row],[Students]])</f>
        <v>1</v>
      </c>
      <c r="L20" s="74">
        <f>IF(N(tblAssessments[[#This Row],[Sat]])=0,"",AVERAGE(INDEX(CHOOSE(tblAssessments[[#This Row],[Year Index]],tblY7[#Data],tblY8[#Data],tblY9[#Data],tblY10[#Data],tblY11[#Data]),0,tblAssessments[[#This Row],[Raw Col]])))</f>
        <v>15.2844827586207</v>
      </c>
      <c r="M20" s="73">
        <f>IF(OR(tblAssessments[[#This Row],[Year Mean]]="",N(tblAssessments[[#This Row],[Max Marks]])=0),"",tblAssessments[[#This Row],[Year Mean]]/tblAssessments[[#This Row],[Max Marks]])</f>
        <v>0.436699507389163</v>
      </c>
      <c r="N20" s="74">
        <f>IF(N(tblAssessments[[#This Row],[Sat]])=0,"",_xlfn.STDEV.P(INDEX(CHOOSE(tblAssessments[[#This Row],[Year Index]],tblY7[#Data],tblY8[#Data],tblY9[#Data],tblY10[#Data],tblY11[#Data]),0,tblAssessments[[#This Row],[Raw Col]])))</f>
        <v>7.91311224627305</v>
      </c>
      <c r="O2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0" s="72">
        <f>IFERROR(MATCH(tblAssessments[[#This Row],[Year Group]],YearNames,0),0)</f>
        <v>4</v>
      </c>
      <c r="Q20" s="72">
        <f>IF(tblAssessments[[#This Row],[Year Index]]=0,0,IFERROR(MATCH(tblAssessments[[#This Row],[Test Name]]&amp;CHAR(10)&amp;"Raw Score",CHOOSE(tblAssessments[[#This Row],[Year Index]],tblY7[#Headers],tblY8[#Headers],tblY9[#Headers],tblY10[#Headers],tblY11[#Headers]),0),0))</f>
        <v>18</v>
      </c>
      <c r="R20" s="72" t="str">
        <f>tblAssessments[[#This Row],[Year Group]]&amp;"|"&amp;COUNTIF(INDEX(tblAssessments[Year Group],1):tblAssessments[[#This Row],[Year Group]],tblAssessments[[#This Row],[Year Group]])</f>
        <v>Year 10|3</v>
      </c>
      <c r="S20" s="72" t="str">
        <f>tblAssessments[[#This Row],[Year Group]]&amp;"|"&amp;tblAssessments[[#This Row],[Test Name]]</f>
        <v>Year 10|4P01 - Energy</v>
      </c>
      <c r="T2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1">
      <c r="A21" s="10" t="inlineStr">
        <is>
          <t>Year 10</t>
        </is>
      </c>
      <c r="B21" s="10" t="inlineStr">
        <is>
          <t>4B02</t>
        </is>
      </c>
      <c r="C21" s="70" t="inlineStr">
        <is>
          <t>Organisation</t>
        </is>
      </c>
      <c r="D21" s="70" t="inlineStr">
        <is>
          <t>4B02 - Organisation</t>
        </is>
      </c>
      <c r="E21" s="9" t="n">
        <v>40</v>
      </c>
      <c r="F21" s="71" t="n">
        <v>46332</v>
      </c>
      <c r="G21" s="72">
        <f>IF(tblAssessments[[#This Row],[Year Index]]=0,"",COUNTA(CHOOSE(tblAssessments[[#This Row],[Year Index]],tblY7[Preferred Last name],tblY8[Preferred Last name],tblY9[Preferred Last name],tblY10[Preferred Last name],tblY11[Preferred Last name])))</f>
        <v>117</v>
      </c>
      <c r="H21" s="72">
        <f>IF(tblAssessments[[#This Row],[Raw Col]]=0,"",COUNT(INDEX(CHOOSE(tblAssessments[[#This Row],[Year Index]],tblY7[#Data],tblY8[#Data],tblY9[#Data],tblY10[#Data],tblY11[#Data]),0,tblAssessments[[#This Row],[Raw Col]])))</f>
        <v>109</v>
      </c>
      <c r="I21" s="72">
        <f>IF(tblAssessments[[#This Row],[Raw Col]]=0,"",COUNTIF(INDEX(CHOOSE(tblAssessments[[#This Row],[Year Index]],tblY7[#Data],tblY8[#Data],tblY9[#Data],tblY10[#Data],tblY11[#Data]),0,tblAssessments[[#This Row],[Raw Col]]),"A"))</f>
        <v>8</v>
      </c>
      <c r="J21" s="72">
        <f>IF(tblAssessments[[#This Row],[Raw Col]]=0,"",tblAssessments[[#This Row],[Students]]-tblAssessments[[#This Row],[Sat]]-tblAssessments[[#This Row],[Absent]])</f>
        <v>0</v>
      </c>
      <c r="K21" s="73">
        <f>IF(OR(tblAssessments[[#This Row],[Raw Col]]=0,N(tblAssessments[[#This Row],[Students]])=0),"",(tblAssessments[[#This Row],[Sat]]+tblAssessments[[#This Row],[Absent]])/tblAssessments[[#This Row],[Students]])</f>
        <v>1</v>
      </c>
      <c r="L21" s="74">
        <f>IF(N(tblAssessments[[#This Row],[Sat]])=0,"",AVERAGE(INDEX(CHOOSE(tblAssessments[[#This Row],[Year Index]],tblY7[#Data],tblY8[#Data],tblY9[#Data],tblY10[#Data],tblY11[#Data]),0,tblAssessments[[#This Row],[Raw Col]])))</f>
        <v>22.5963302752294</v>
      </c>
      <c r="M21" s="73">
        <f>IF(OR(tblAssessments[[#This Row],[Year Mean]]="",N(tblAssessments[[#This Row],[Max Marks]])=0),"",tblAssessments[[#This Row],[Year Mean]]/tblAssessments[[#This Row],[Max Marks]])</f>
        <v>0.564908256880734</v>
      </c>
      <c r="N21" s="74">
        <f>IF(N(tblAssessments[[#This Row],[Sat]])=0,"",_xlfn.STDEV.P(INDEX(CHOOSE(tblAssessments[[#This Row],[Year Index]],tblY7[#Data],tblY8[#Data],tblY9[#Data],tblY10[#Data],tblY11[#Data]),0,tblAssessments[[#This Row],[Raw Col]])))</f>
        <v>8.51562973806825</v>
      </c>
      <c r="O2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1" s="72">
        <f>IFERROR(MATCH(tblAssessments[[#This Row],[Year Group]],YearNames,0),0)</f>
        <v>4</v>
      </c>
      <c r="Q21" s="72">
        <f>IF(tblAssessments[[#This Row],[Year Index]]=0,0,IFERROR(MATCH(tblAssessments[[#This Row],[Test Name]]&amp;CHAR(10)&amp;"Raw Score",CHOOSE(tblAssessments[[#This Row],[Year Index]],tblY7[#Headers],tblY8[#Headers],tblY9[#Headers],tblY10[#Headers],tblY11[#Headers]),0),0))</f>
        <v>20</v>
      </c>
      <c r="R21" s="72" t="str">
        <f>tblAssessments[[#This Row],[Year Group]]&amp;"|"&amp;COUNTIF(INDEX(tblAssessments[Year Group],1):tblAssessments[[#This Row],[Year Group]],tblAssessments[[#This Row],[Year Group]])</f>
        <v>Year 10|4</v>
      </c>
      <c r="S21" s="72" t="str">
        <f>tblAssessments[[#This Row],[Year Group]]&amp;"|"&amp;tblAssessments[[#This Row],[Test Name]]</f>
        <v>Year 10|4B02 - Organisation</v>
      </c>
      <c r="T2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2">
      <c r="A22" s="10" t="inlineStr">
        <is>
          <t>Year 10</t>
        </is>
      </c>
      <c r="B22" s="10" t="inlineStr">
        <is>
          <t>4C02</t>
        </is>
      </c>
      <c r="C22" s="70" t="inlineStr">
        <is>
          <t>Bonding</t>
        </is>
      </c>
      <c r="D22" s="70" t="inlineStr">
        <is>
          <t>4C02 - Bonding</t>
        </is>
      </c>
      <c r="E22" s="9" t="n">
        <v>38</v>
      </c>
      <c r="F22" s="71" t="n">
        <v>46346</v>
      </c>
      <c r="G22" s="72">
        <f>IF(tblAssessments[[#This Row],[Year Index]]=0,"",COUNTA(CHOOSE(tblAssessments[[#This Row],[Year Index]],tblY7[Preferred Last name],tblY8[Preferred Last name],tblY9[Preferred Last name],tblY10[Preferred Last name],tblY11[Preferred Last name])))</f>
        <v>117</v>
      </c>
      <c r="H22" s="72">
        <f>IF(tblAssessments[[#This Row],[Raw Col]]=0,"",COUNT(INDEX(CHOOSE(tblAssessments[[#This Row],[Year Index]],tblY7[#Data],tblY8[#Data],tblY9[#Data],tblY10[#Data],tblY11[#Data]),0,tblAssessments[[#This Row],[Raw Col]])))</f>
        <v>74</v>
      </c>
      <c r="I22" s="72">
        <f>IF(tblAssessments[[#This Row],[Raw Col]]=0,"",COUNTIF(INDEX(CHOOSE(tblAssessments[[#This Row],[Year Index]],tblY7[#Data],tblY8[#Data],tblY9[#Data],tblY10[#Data],tblY11[#Data]),0,tblAssessments[[#This Row],[Raw Col]]),"A"))</f>
        <v>3</v>
      </c>
      <c r="J22" s="72">
        <f>IF(tblAssessments[[#This Row],[Raw Col]]=0,"",tblAssessments[[#This Row],[Students]]-tblAssessments[[#This Row],[Sat]]-tblAssessments[[#This Row],[Absent]])</f>
        <v>40</v>
      </c>
      <c r="K22" s="73">
        <f>IF(OR(tblAssessments[[#This Row],[Raw Col]]=0,N(tblAssessments[[#This Row],[Students]])=0),"",(tblAssessments[[#This Row],[Sat]]+tblAssessments[[#This Row],[Absent]])/tblAssessments[[#This Row],[Students]])</f>
        <v>0.658119658119658</v>
      </c>
      <c r="L22" s="74">
        <f>IF(N(tblAssessments[[#This Row],[Sat]])=0,"",AVERAGE(INDEX(CHOOSE(tblAssessments[[#This Row],[Year Index]],tblY7[#Data],tblY8[#Data],tblY9[#Data],tblY10[#Data],tblY11[#Data]),0,tblAssessments[[#This Row],[Raw Col]])))</f>
        <v>21.2702702702703</v>
      </c>
      <c r="M22" s="73">
        <f>IF(OR(tblAssessments[[#This Row],[Year Mean]]="",N(tblAssessments[[#This Row],[Max Marks]])=0),"",tblAssessments[[#This Row],[Year Mean]]/tblAssessments[[#This Row],[Max Marks]])</f>
        <v>0.559743954480797</v>
      </c>
      <c r="N22" s="74">
        <f>IF(N(tblAssessments[[#This Row],[Sat]])=0,"",_xlfn.STDEV.P(INDEX(CHOOSE(tblAssessments[[#This Row],[Year Index]],tblY7[#Data],tblY8[#Data],tblY9[#Data],tblY10[#Data],tblY11[#Data]),0,tblAssessments[[#This Row],[Raw Col]])))</f>
        <v>8.87038391152067</v>
      </c>
      <c r="O2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2" s="72">
        <f>IFERROR(MATCH(tblAssessments[[#This Row],[Year Group]],YearNames,0),0)</f>
        <v>4</v>
      </c>
      <c r="Q22" s="72">
        <f>IF(tblAssessments[[#This Row],[Year Index]]=0,0,IFERROR(MATCH(tblAssessments[[#This Row],[Test Name]]&amp;CHAR(10)&amp;"Raw Score",CHOOSE(tblAssessments[[#This Row],[Year Index]],tblY7[#Headers],tblY8[#Headers],tblY9[#Headers],tblY10[#Headers],tblY11[#Headers]),0),0))</f>
        <v>22</v>
      </c>
      <c r="R22" s="72" t="str">
        <f>tblAssessments[[#This Row],[Year Group]]&amp;"|"&amp;COUNTIF(INDEX(tblAssessments[Year Group],1):tblAssessments[[#This Row],[Year Group]],tblAssessments[[#This Row],[Year Group]])</f>
        <v>Year 10|5</v>
      </c>
      <c r="S22" s="72" t="str">
        <f>tblAssessments[[#This Row],[Year Group]]&amp;"|"&amp;tblAssessments[[#This Row],[Test Name]]</f>
        <v>Year 10|4C02 - Bonding</v>
      </c>
      <c r="T2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3">
      <c r="A23" s="10" t="inlineStr">
        <is>
          <t>Year 11</t>
        </is>
      </c>
      <c r="B23" s="10" t="inlineStr">
        <is>
          <t>4B05</t>
        </is>
      </c>
      <c r="C23" s="70" t="inlineStr">
        <is>
          <t>Homeostasis</t>
        </is>
      </c>
      <c r="D23" s="70" t="inlineStr">
        <is>
          <t>4B05 - Homeostasis</t>
        </is>
      </c>
      <c r="E23" s="9" t="n">
        <v>40</v>
      </c>
      <c r="F23" s="71" t="n">
        <v>46291</v>
      </c>
      <c r="G23" s="72">
        <f>IF(tblAssessments[[#This Row],[Year Index]]=0,"",COUNTA(CHOOSE(tblAssessments[[#This Row],[Year Index]],tblY7[Preferred Last name],tblY8[Preferred Last name],tblY9[Preferred Last name],tblY10[Preferred Last name],tblY11[Preferred Last name])))</f>
        <v>106</v>
      </c>
      <c r="H23" s="72">
        <f>IF(tblAssessments[[#This Row],[Raw Col]]=0,"",COUNT(INDEX(CHOOSE(tblAssessments[[#This Row],[Year Index]],tblY7[#Data],tblY8[#Data],tblY9[#Data],tblY10[#Data],tblY11[#Data]),0,tblAssessments[[#This Row],[Raw Col]])))</f>
        <v>103</v>
      </c>
      <c r="I23" s="72">
        <f>IF(tblAssessments[[#This Row],[Raw Col]]=0,"",COUNTIF(INDEX(CHOOSE(tblAssessments[[#This Row],[Year Index]],tblY7[#Data],tblY8[#Data],tblY9[#Data],tblY10[#Data],tblY11[#Data]),0,tblAssessments[[#This Row],[Raw Col]]),"A"))</f>
        <v>3</v>
      </c>
      <c r="J23" s="72">
        <f>IF(tblAssessments[[#This Row],[Raw Col]]=0,"",tblAssessments[[#This Row],[Students]]-tblAssessments[[#This Row],[Sat]]-tblAssessments[[#This Row],[Absent]])</f>
        <v>0</v>
      </c>
      <c r="K23" s="73">
        <f>IF(OR(tblAssessments[[#This Row],[Raw Col]]=0,N(tblAssessments[[#This Row],[Students]])=0),"",(tblAssessments[[#This Row],[Sat]]+tblAssessments[[#This Row],[Absent]])/tblAssessments[[#This Row],[Students]])</f>
        <v>1</v>
      </c>
      <c r="L23" s="74">
        <f>IF(N(tblAssessments[[#This Row],[Sat]])=0,"",AVERAGE(INDEX(CHOOSE(tblAssessments[[#This Row],[Year Index]],tblY7[#Data],tblY8[#Data],tblY9[#Data],tblY10[#Data],tblY11[#Data]),0,tblAssessments[[#This Row],[Raw Col]])))</f>
        <v>20.7572815533981</v>
      </c>
      <c r="M23" s="73">
        <f>IF(OR(tblAssessments[[#This Row],[Year Mean]]="",N(tblAssessments[[#This Row],[Max Marks]])=0),"",tblAssessments[[#This Row],[Year Mean]]/tblAssessments[[#This Row],[Max Marks]])</f>
        <v>0.518932038834951</v>
      </c>
      <c r="N23" s="74">
        <f>IF(N(tblAssessments[[#This Row],[Sat]])=0,"",_xlfn.STDEV.P(INDEX(CHOOSE(tblAssessments[[#This Row],[Year Index]],tblY7[#Data],tblY8[#Data],tblY9[#Data],tblY10[#Data],tblY11[#Data]),0,tblAssessments[[#This Row],[Raw Col]])))</f>
        <v>8.49610535494241</v>
      </c>
      <c r="O2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3" s="72">
        <f>IFERROR(MATCH(tblAssessments[[#This Row],[Year Group]],YearNames,0),0)</f>
        <v>5</v>
      </c>
      <c r="Q23" s="72">
        <f>IF(tblAssessments[[#This Row],[Year Index]]=0,0,IFERROR(MATCH(tblAssessments[[#This Row],[Test Name]]&amp;CHAR(10)&amp;"Raw Score",CHOOSE(tblAssessments[[#This Row],[Year Index]],tblY7[#Headers],tblY8[#Headers],tblY9[#Headers],tblY10[#Headers],tblY11[#Headers]),0),0))</f>
        <v>14</v>
      </c>
      <c r="R23" s="72" t="str">
        <f>tblAssessments[[#This Row],[Year Group]]&amp;"|"&amp;COUNTIF(INDEX(tblAssessments[Year Group],1):tblAssessments[[#This Row],[Year Group]],tblAssessments[[#This Row],[Year Group]])</f>
        <v>Year 11|1</v>
      </c>
      <c r="S23" s="72" t="str">
        <f>tblAssessments[[#This Row],[Year Group]]&amp;"|"&amp;tblAssessments[[#This Row],[Test Name]]</f>
        <v>Year 11|4B05 - Homeostasis</v>
      </c>
      <c r="T2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4">
      <c r="A24" s="10" t="inlineStr">
        <is>
          <t>Year 11</t>
        </is>
      </c>
      <c r="B24" s="10" t="inlineStr">
        <is>
          <t>4C09</t>
        </is>
      </c>
      <c r="C24" s="70" t="inlineStr">
        <is>
          <t>Organic Chemistry</t>
        </is>
      </c>
      <c r="D24" s="70" t="inlineStr">
        <is>
          <t>4C09 - Organic Chemistry</t>
        </is>
      </c>
      <c r="E24" s="9" t="n">
        <v>35</v>
      </c>
      <c r="F24" s="71" t="n">
        <v>46305</v>
      </c>
      <c r="G24" s="72">
        <f>IF(tblAssessments[[#This Row],[Year Index]]=0,"",COUNTA(CHOOSE(tblAssessments[[#This Row],[Year Index]],tblY7[Preferred Last name],tblY8[Preferred Last name],tblY9[Preferred Last name],tblY10[Preferred Last name],tblY11[Preferred Last name])))</f>
        <v>106</v>
      </c>
      <c r="H24" s="72">
        <f>IF(tblAssessments[[#This Row],[Raw Col]]=0,"",COUNT(INDEX(CHOOSE(tblAssessments[[#This Row],[Year Index]],tblY7[#Data],tblY8[#Data],tblY9[#Data],tblY10[#Data],tblY11[#Data]),0,tblAssessments[[#This Row],[Raw Col]])))</f>
        <v>97</v>
      </c>
      <c r="I24" s="72">
        <f>IF(tblAssessments[[#This Row],[Raw Col]]=0,"",COUNTIF(INDEX(CHOOSE(tblAssessments[[#This Row],[Year Index]],tblY7[#Data],tblY8[#Data],tblY9[#Data],tblY10[#Data],tblY11[#Data]),0,tblAssessments[[#This Row],[Raw Col]]),"A"))</f>
        <v>9</v>
      </c>
      <c r="J24" s="72">
        <f>IF(tblAssessments[[#This Row],[Raw Col]]=0,"",tblAssessments[[#This Row],[Students]]-tblAssessments[[#This Row],[Sat]]-tblAssessments[[#This Row],[Absent]])</f>
        <v>0</v>
      </c>
      <c r="K24" s="73">
        <f>IF(OR(tblAssessments[[#This Row],[Raw Col]]=0,N(tblAssessments[[#This Row],[Students]])=0),"",(tblAssessments[[#This Row],[Sat]]+tblAssessments[[#This Row],[Absent]])/tblAssessments[[#This Row],[Students]])</f>
        <v>1</v>
      </c>
      <c r="L24" s="74">
        <f>IF(N(tblAssessments[[#This Row],[Sat]])=0,"",AVERAGE(INDEX(CHOOSE(tblAssessments[[#This Row],[Year Index]],tblY7[#Data],tblY8[#Data],tblY9[#Data],tblY10[#Data],tblY11[#Data]),0,tblAssessments[[#This Row],[Raw Col]])))</f>
        <v>16.1752577319588</v>
      </c>
      <c r="M24" s="73">
        <f>IF(OR(tblAssessments[[#This Row],[Year Mean]]="",N(tblAssessments[[#This Row],[Max Marks]])=0),"",tblAssessments[[#This Row],[Year Mean]]/tblAssessments[[#This Row],[Max Marks]])</f>
        <v>0.462150220913108</v>
      </c>
      <c r="N24" s="74">
        <f>IF(N(tblAssessments[[#This Row],[Sat]])=0,"",_xlfn.STDEV.P(INDEX(CHOOSE(tblAssessments[[#This Row],[Year Index]],tblY7[#Data],tblY8[#Data],tblY9[#Data],tblY10[#Data],tblY11[#Data]),0,tblAssessments[[#This Row],[Raw Col]])))</f>
        <v>7.40160237496445</v>
      </c>
      <c r="O2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4" s="72">
        <f>IFERROR(MATCH(tblAssessments[[#This Row],[Year Group]],YearNames,0),0)</f>
        <v>5</v>
      </c>
      <c r="Q24" s="72">
        <f>IF(tblAssessments[[#This Row],[Year Index]]=0,0,IFERROR(MATCH(tblAssessments[[#This Row],[Test Name]]&amp;CHAR(10)&amp;"Raw Score",CHOOSE(tblAssessments[[#This Row],[Year Index]],tblY7[#Headers],tblY8[#Headers],tblY9[#Headers],tblY10[#Headers],tblY11[#Headers]),0),0))</f>
        <v>16</v>
      </c>
      <c r="R24" s="72" t="str">
        <f>tblAssessments[[#This Row],[Year Group]]&amp;"|"&amp;COUNTIF(INDEX(tblAssessments[Year Group],1):tblAssessments[[#This Row],[Year Group]],tblAssessments[[#This Row],[Year Group]])</f>
        <v>Year 11|2</v>
      </c>
      <c r="S24" s="72" t="str">
        <f>tblAssessments[[#This Row],[Year Group]]&amp;"|"&amp;tblAssessments[[#This Row],[Test Name]]</f>
        <v>Year 11|4C09 - Organic Chemistry</v>
      </c>
      <c r="T2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5">
      <c r="A25" s="10" t="inlineStr">
        <is>
          <t>Year 11</t>
        </is>
      </c>
      <c r="B25" s="10" t="inlineStr">
        <is>
          <t>4P06</t>
        </is>
      </c>
      <c r="C25" s="70" t="inlineStr">
        <is>
          <t>Waves</t>
        </is>
      </c>
      <c r="D25" s="70" t="inlineStr">
        <is>
          <t>4P06 - Waves</t>
        </is>
      </c>
      <c r="E25" s="9" t="n">
        <v>38</v>
      </c>
      <c r="F25" s="71" t="n">
        <v>46319</v>
      </c>
      <c r="G25" s="72">
        <f>IF(tblAssessments[[#This Row],[Year Index]]=0,"",COUNTA(CHOOSE(tblAssessments[[#This Row],[Year Index]],tblY7[Preferred Last name],tblY8[Preferred Last name],tblY9[Preferred Last name],tblY10[Preferred Last name],tblY11[Preferred Last name])))</f>
        <v>106</v>
      </c>
      <c r="H25" s="72">
        <f>IF(tblAssessments[[#This Row],[Raw Col]]=0,"",COUNT(INDEX(CHOOSE(tblAssessments[[#This Row],[Year Index]],tblY7[#Data],tblY8[#Data],tblY9[#Data],tblY10[#Data],tblY11[#Data]),0,tblAssessments[[#This Row],[Raw Col]])))</f>
        <v>106</v>
      </c>
      <c r="I25" s="72">
        <f>IF(tblAssessments[[#This Row],[Raw Col]]=0,"",COUNTIF(INDEX(CHOOSE(tblAssessments[[#This Row],[Year Index]],tblY7[#Data],tblY8[#Data],tblY9[#Data],tblY10[#Data],tblY11[#Data]),0,tblAssessments[[#This Row],[Raw Col]]),"A"))</f>
        <v>0</v>
      </c>
      <c r="J25" s="72">
        <f>IF(tblAssessments[[#This Row],[Raw Col]]=0,"",tblAssessments[[#This Row],[Students]]-tblAssessments[[#This Row],[Sat]]-tblAssessments[[#This Row],[Absent]])</f>
        <v>0</v>
      </c>
      <c r="K25" s="73">
        <f>IF(OR(tblAssessments[[#This Row],[Raw Col]]=0,N(tblAssessments[[#This Row],[Students]])=0),"",(tblAssessments[[#This Row],[Sat]]+tblAssessments[[#This Row],[Absent]])/tblAssessments[[#This Row],[Students]])</f>
        <v>1</v>
      </c>
      <c r="L25" s="74">
        <f>IF(N(tblAssessments[[#This Row],[Sat]])=0,"",AVERAGE(INDEX(CHOOSE(tblAssessments[[#This Row],[Year Index]],tblY7[#Data],tblY8[#Data],tblY9[#Data],tblY10[#Data],tblY11[#Data]),0,tblAssessments[[#This Row],[Raw Col]])))</f>
        <v>21.0188679245283</v>
      </c>
      <c r="M25" s="73">
        <f>IF(OR(tblAssessments[[#This Row],[Year Mean]]="",N(tblAssessments[[#This Row],[Max Marks]])=0),"",tblAssessments[[#This Row],[Year Mean]]/tblAssessments[[#This Row],[Max Marks]])</f>
        <v>0.553128103277061</v>
      </c>
      <c r="N25" s="74">
        <f>IF(N(tblAssessments[[#This Row],[Sat]])=0,"",_xlfn.STDEV.P(INDEX(CHOOSE(tblAssessments[[#This Row],[Year Index]],tblY7[#Data],tblY8[#Data],tblY9[#Data],tblY10[#Data],tblY11[#Data]),0,tblAssessments[[#This Row],[Raw Col]])))</f>
        <v>8.4070737646605</v>
      </c>
      <c r="O2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5" s="72">
        <f>IFERROR(MATCH(tblAssessments[[#This Row],[Year Group]],YearNames,0),0)</f>
        <v>5</v>
      </c>
      <c r="Q25" s="72">
        <f>IF(tblAssessments[[#This Row],[Year Index]]=0,0,IFERROR(MATCH(tblAssessments[[#This Row],[Test Name]]&amp;CHAR(10)&amp;"Raw Score",CHOOSE(tblAssessments[[#This Row],[Year Index]],tblY7[#Headers],tblY8[#Headers],tblY9[#Headers],tblY10[#Headers],tblY11[#Headers]),0),0))</f>
        <v>18</v>
      </c>
      <c r="R25" s="72" t="str">
        <f>tblAssessments[[#This Row],[Year Group]]&amp;"|"&amp;COUNTIF(INDEX(tblAssessments[Year Group],1):tblAssessments[[#This Row],[Year Group]],tblAssessments[[#This Row],[Year Group]])</f>
        <v>Year 11|3</v>
      </c>
      <c r="S25" s="72" t="str">
        <f>tblAssessments[[#This Row],[Year Group]]&amp;"|"&amp;tblAssessments[[#This Row],[Test Name]]</f>
        <v>Year 11|4P06 - Waves</v>
      </c>
      <c r="T2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6">
      <c r="A26" s="10" t="inlineStr">
        <is>
          <t>Year 11</t>
        </is>
      </c>
      <c r="B26" s="10" t="inlineStr">
        <is>
          <t>4B06</t>
        </is>
      </c>
      <c r="C26" s="70" t="inlineStr">
        <is>
          <t>Inheritance</t>
        </is>
      </c>
      <c r="D26" s="70" t="inlineStr">
        <is>
          <t>4B06 - Inheritance</t>
        </is>
      </c>
      <c r="E26" s="9" t="n">
        <v>42</v>
      </c>
      <c r="F26" s="71" t="n">
        <v>46333</v>
      </c>
      <c r="G26" s="72">
        <f>IF(tblAssessments[[#This Row],[Year Index]]=0,"",COUNTA(CHOOSE(tblAssessments[[#This Row],[Year Index]],tblY7[Preferred Last name],tblY8[Preferred Last name],tblY9[Preferred Last name],tblY10[Preferred Last name],tblY11[Preferred Last name])))</f>
        <v>106</v>
      </c>
      <c r="H26" s="72">
        <f>IF(tblAssessments[[#This Row],[Raw Col]]=0,"",COUNT(INDEX(CHOOSE(tblAssessments[[#This Row],[Year Index]],tblY7[#Data],tblY8[#Data],tblY9[#Data],tblY10[#Data],tblY11[#Data]),0,tblAssessments[[#This Row],[Raw Col]])))</f>
        <v>102</v>
      </c>
      <c r="I26" s="72">
        <f>IF(tblAssessments[[#This Row],[Raw Col]]=0,"",COUNTIF(INDEX(CHOOSE(tblAssessments[[#This Row],[Year Index]],tblY7[#Data],tblY8[#Data],tblY9[#Data],tblY10[#Data],tblY11[#Data]),0,tblAssessments[[#This Row],[Raw Col]]),"A"))</f>
        <v>4</v>
      </c>
      <c r="J26" s="72">
        <f>IF(tblAssessments[[#This Row],[Raw Col]]=0,"",tblAssessments[[#This Row],[Students]]-tblAssessments[[#This Row],[Sat]]-tblAssessments[[#This Row],[Absent]])</f>
        <v>0</v>
      </c>
      <c r="K26" s="73">
        <f>IF(OR(tblAssessments[[#This Row],[Raw Col]]=0,N(tblAssessments[[#This Row],[Students]])=0),"",(tblAssessments[[#This Row],[Sat]]+tblAssessments[[#This Row],[Absent]])/tblAssessments[[#This Row],[Students]])</f>
        <v>1</v>
      </c>
      <c r="L26" s="74">
        <f>IF(N(tblAssessments[[#This Row],[Sat]])=0,"",AVERAGE(INDEX(CHOOSE(tblAssessments[[#This Row],[Year Index]],tblY7[#Data],tblY8[#Data],tblY9[#Data],tblY10[#Data],tblY11[#Data]),0,tblAssessments[[#This Row],[Raw Col]])))</f>
        <v>18.8529411764706</v>
      </c>
      <c r="M26" s="73">
        <f>IF(OR(tblAssessments[[#This Row],[Year Mean]]="",N(tblAssessments[[#This Row],[Max Marks]])=0),"",tblAssessments[[#This Row],[Year Mean]]/tblAssessments[[#This Row],[Max Marks]])</f>
        <v>0.448879551820728</v>
      </c>
      <c r="N26" s="74">
        <f>IF(N(tblAssessments[[#This Row],[Sat]])=0,"",_xlfn.STDEV.P(INDEX(CHOOSE(tblAssessments[[#This Row],[Year Index]],tblY7[#Data],tblY8[#Data],tblY9[#Data],tblY10[#Data],tblY11[#Data]),0,tblAssessments[[#This Row],[Raw Col]])))</f>
        <v>9.14415816816304</v>
      </c>
      <c r="O2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6" s="72">
        <f>IFERROR(MATCH(tblAssessments[[#This Row],[Year Group]],YearNames,0),0)</f>
        <v>5</v>
      </c>
      <c r="Q26" s="72">
        <f>IF(tblAssessments[[#This Row],[Year Index]]=0,0,IFERROR(MATCH(tblAssessments[[#This Row],[Test Name]]&amp;CHAR(10)&amp;"Raw Score",CHOOSE(tblAssessments[[#This Row],[Year Index]],tblY7[#Headers],tblY8[#Headers],tblY9[#Headers],tblY10[#Headers],tblY11[#Headers]),0),0))</f>
        <v>20</v>
      </c>
      <c r="R26" s="72" t="str">
        <f>tblAssessments[[#This Row],[Year Group]]&amp;"|"&amp;COUNTIF(INDEX(tblAssessments[Year Group],1):tblAssessments[[#This Row],[Year Group]],tblAssessments[[#This Row],[Year Group]])</f>
        <v>Year 11|4</v>
      </c>
      <c r="S26" s="72" t="str">
        <f>tblAssessments[[#This Row],[Year Group]]&amp;"|"&amp;tblAssessments[[#This Row],[Test Name]]</f>
        <v>Year 11|4B06 - Inheritance</v>
      </c>
      <c r="T2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7">
      <c r="A27" s="10" t="inlineStr">
        <is>
          <t>Year 11</t>
        </is>
      </c>
      <c r="B27" s="10" t="inlineStr">
        <is>
          <t>4C10</t>
        </is>
      </c>
      <c r="C27" s="70" t="inlineStr">
        <is>
          <t>Chemical Analysis</t>
        </is>
      </c>
      <c r="D27" s="70" t="inlineStr">
        <is>
          <t>4C10 - Chemical Analysis</t>
        </is>
      </c>
      <c r="E27" s="9" t="n">
        <v>30</v>
      </c>
      <c r="F27" s="71" t="n">
        <v>46347</v>
      </c>
      <c r="G27" s="72">
        <f>IF(tblAssessments[[#This Row],[Year Index]]=0,"",COUNTA(CHOOSE(tblAssessments[[#This Row],[Year Index]],tblY7[Preferred Last name],tblY8[Preferred Last name],tblY9[Preferred Last name],tblY10[Preferred Last name],tblY11[Preferred Last name])))</f>
        <v>106</v>
      </c>
      <c r="H27" s="72">
        <f>IF(tblAssessments[[#This Row],[Raw Col]]=0,"",COUNT(INDEX(CHOOSE(tblAssessments[[#This Row],[Year Index]],tblY7[#Data],tblY8[#Data],tblY9[#Data],tblY10[#Data],tblY11[#Data]),0,tblAssessments[[#This Row],[Raw Col]])))</f>
        <v>105</v>
      </c>
      <c r="I27" s="72">
        <f>IF(tblAssessments[[#This Row],[Raw Col]]=0,"",COUNTIF(INDEX(CHOOSE(tblAssessments[[#This Row],[Year Index]],tblY7[#Data],tblY8[#Data],tblY9[#Data],tblY10[#Data],tblY11[#Data]),0,tblAssessments[[#This Row],[Raw Col]]),"A"))</f>
        <v>1</v>
      </c>
      <c r="J27" s="72">
        <f>IF(tblAssessments[[#This Row],[Raw Col]]=0,"",tblAssessments[[#This Row],[Students]]-tblAssessments[[#This Row],[Sat]]-tblAssessments[[#This Row],[Absent]])</f>
        <v>0</v>
      </c>
      <c r="K27" s="73">
        <f>IF(OR(tblAssessments[[#This Row],[Raw Col]]=0,N(tblAssessments[[#This Row],[Students]])=0),"",(tblAssessments[[#This Row],[Sat]]+tblAssessments[[#This Row],[Absent]])/tblAssessments[[#This Row],[Students]])</f>
        <v>1</v>
      </c>
      <c r="L27" s="74">
        <f>IF(N(tblAssessments[[#This Row],[Sat]])=0,"",AVERAGE(INDEX(CHOOSE(tblAssessments[[#This Row],[Year Index]],tblY7[#Data],tblY8[#Data],tblY9[#Data],tblY10[#Data],tblY11[#Data]),0,tblAssessments[[#This Row],[Raw Col]])))</f>
        <v>14.4190476190476</v>
      </c>
      <c r="M27" s="73">
        <f>IF(OR(tblAssessments[[#This Row],[Year Mean]]="",N(tblAssessments[[#This Row],[Max Marks]])=0),"",tblAssessments[[#This Row],[Year Mean]]/tblAssessments[[#This Row],[Max Marks]])</f>
        <v>0.480634920634921</v>
      </c>
      <c r="N27" s="74">
        <f>IF(N(tblAssessments[[#This Row],[Sat]])=0,"",_xlfn.STDEV.P(INDEX(CHOOSE(tblAssessments[[#This Row],[Year Index]],tblY7[#Data],tblY8[#Data],tblY9[#Data],tblY10[#Data],tblY11[#Data]),0,tblAssessments[[#This Row],[Raw Col]])))</f>
        <v>6.23474282874519</v>
      </c>
      <c r="O2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7" s="72">
        <f>IFERROR(MATCH(tblAssessments[[#This Row],[Year Group]],YearNames,0),0)</f>
        <v>5</v>
      </c>
      <c r="Q27" s="72">
        <f>IF(tblAssessments[[#This Row],[Year Index]]=0,0,IFERROR(MATCH(tblAssessments[[#This Row],[Test Name]]&amp;CHAR(10)&amp;"Raw Score",CHOOSE(tblAssessments[[#This Row],[Year Index]],tblY7[#Headers],tblY8[#Headers],tblY9[#Headers],tblY10[#Headers],tblY11[#Headers]),0),0))</f>
        <v>22</v>
      </c>
      <c r="R27" s="72" t="str">
        <f>tblAssessments[[#This Row],[Year Group]]&amp;"|"&amp;COUNTIF(INDEX(tblAssessments[Year Group],1):tblAssessments[[#This Row],[Year Group]],tblAssessments[[#This Row],[Year Group]])</f>
        <v>Year 11|5</v>
      </c>
      <c r="S27" s="72" t="str">
        <f>tblAssessments[[#This Row],[Year Group]]&amp;"|"&amp;tblAssessments[[#This Row],[Test Name]]</f>
        <v>Year 11|4C10 - Chemical Analysis</v>
      </c>
      <c r="T2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8">
      <c r="A28" s="10" t="inlineStr">
        <is>
          <t>Year 11</t>
        </is>
      </c>
      <c r="B28" s="10" t="inlineStr">
        <is>
          <t>4P07</t>
        </is>
      </c>
      <c r="C28" s="70" t="inlineStr">
        <is>
          <t>Magnetism</t>
        </is>
      </c>
      <c r="D28" s="70" t="inlineStr">
        <is>
          <t>4P07 - Magnetism</t>
        </is>
      </c>
      <c r="E28" s="9" t="n">
        <v>34</v>
      </c>
      <c r="F28" s="71" t="n">
        <v>46361</v>
      </c>
      <c r="G28" s="72">
        <f>IF(tblAssessments[[#This Row],[Year Index]]=0,"",COUNTA(CHOOSE(tblAssessments[[#This Row],[Year Index]],tblY7[Preferred Last name],tblY8[Preferred Last name],tblY9[Preferred Last name],tblY10[Preferred Last name],tblY11[Preferred Last name])))</f>
        <v>106</v>
      </c>
      <c r="H28" s="72">
        <f>IF(tblAssessments[[#This Row],[Raw Col]]=0,"",COUNT(INDEX(CHOOSE(tblAssessments[[#This Row],[Year Index]],tblY7[#Data],tblY8[#Data],tblY9[#Data],tblY10[#Data],tblY11[#Data]),0,tblAssessments[[#This Row],[Raw Col]])))</f>
        <v>100</v>
      </c>
      <c r="I28" s="72">
        <f>IF(tblAssessments[[#This Row],[Raw Col]]=0,"",COUNTIF(INDEX(CHOOSE(tblAssessments[[#This Row],[Year Index]],tblY7[#Data],tblY8[#Data],tblY9[#Data],tblY10[#Data],tblY11[#Data]),0,tblAssessments[[#This Row],[Raw Col]]),"A"))</f>
        <v>6</v>
      </c>
      <c r="J28" s="72">
        <f>IF(tblAssessments[[#This Row],[Raw Col]]=0,"",tblAssessments[[#This Row],[Students]]-tblAssessments[[#This Row],[Sat]]-tblAssessments[[#This Row],[Absent]])</f>
        <v>0</v>
      </c>
      <c r="K28" s="73">
        <f>IF(OR(tblAssessments[[#This Row],[Raw Col]]=0,N(tblAssessments[[#This Row],[Students]])=0),"",(tblAssessments[[#This Row],[Sat]]+tblAssessments[[#This Row],[Absent]])/tblAssessments[[#This Row],[Students]])</f>
        <v>1</v>
      </c>
      <c r="L28" s="74">
        <f>IF(N(tblAssessments[[#This Row],[Sat]])=0,"",AVERAGE(INDEX(CHOOSE(tblAssessments[[#This Row],[Year Index]],tblY7[#Data],tblY8[#Data],tblY9[#Data],tblY10[#Data],tblY11[#Data]),0,tblAssessments[[#This Row],[Raw Col]])))</f>
        <v>15.69</v>
      </c>
      <c r="M28" s="73">
        <f>IF(OR(tblAssessments[[#This Row],[Year Mean]]="",N(tblAssessments[[#This Row],[Max Marks]])=0),"",tblAssessments[[#This Row],[Year Mean]]/tblAssessments[[#This Row],[Max Marks]])</f>
        <v>0.461470588235294</v>
      </c>
      <c r="N28" s="74">
        <f>IF(N(tblAssessments[[#This Row],[Sat]])=0,"",_xlfn.STDEV.P(INDEX(CHOOSE(tblAssessments[[#This Row],[Year Index]],tblY7[#Data],tblY8[#Data],tblY9[#Data],tblY10[#Data],tblY11[#Data]),0,tblAssessments[[#This Row],[Raw Col]])))</f>
        <v>7.27006877546561</v>
      </c>
      <c r="O2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8" s="72">
        <f>IFERROR(MATCH(tblAssessments[[#This Row],[Year Group]],YearNames,0),0)</f>
        <v>5</v>
      </c>
      <c r="Q28" s="72">
        <f>IF(tblAssessments[[#This Row],[Year Index]]=0,0,IFERROR(MATCH(tblAssessments[[#This Row],[Test Name]]&amp;CHAR(10)&amp;"Raw Score",CHOOSE(tblAssessments[[#This Row],[Year Index]],tblY7[#Headers],tblY8[#Headers],tblY9[#Headers],tblY10[#Headers],tblY11[#Headers]),0),0))</f>
        <v>24</v>
      </c>
      <c r="R28" s="72" t="str">
        <f>tblAssessments[[#This Row],[Year Group]]&amp;"|"&amp;COUNTIF(INDEX(tblAssessments[Year Group],1):tblAssessments[[#This Row],[Year Group]],tblAssessments[[#This Row],[Year Group]])</f>
        <v>Year 11|6</v>
      </c>
      <c r="S28" s="72" t="str">
        <f>tblAssessments[[#This Row],[Year Group]]&amp;"|"&amp;tblAssessments[[#This Row],[Test Name]]</f>
        <v>Year 11|4P07 - Magnetism</v>
      </c>
      <c r="T2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1.xml><?xml version="1.0" encoding="utf-8"?>
<worksheet xmlns="http://schemas.openxmlformats.org/spreadsheetml/2006/main">
  <sheetPr codeName="shSettings">
    <tabColor rgb="00898781"/>
    <outlinePr summaryBelow="1" summaryRight="1"/>
    <pageSetUpPr fitToPage="1"/>
  </sheetPr>
  <dimension ref="A1:H52"/>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7</t>
        </is>
      </c>
      <c r="C15" s="9" t="n">
        <v>2031</v>
      </c>
      <c r="D15" s="12" t="inlineStr">
        <is>
          <t>Year 7</t>
        </is>
      </c>
      <c r="E15" s="79">
        <f>IF(ISNUMBER(SlopeY7),SlopeY7,"too few results")</f>
        <v>0.694282945736434</v>
      </c>
    </row>
    <row r="16">
      <c r="B16" s="12" t="inlineStr">
        <is>
          <t>Year 8</t>
        </is>
      </c>
      <c r="C16" s="9" t="n">
        <v>2030</v>
      </c>
      <c r="D16" s="12" t="inlineStr">
        <is>
          <t>Year 8</t>
        </is>
      </c>
      <c r="E16" s="79">
        <f>IF(ISNUMBER(SlopeY8),SlopeY8,"too few results")</f>
        <v>0.778911319394376</v>
      </c>
    </row>
    <row r="17">
      <c r="B17" s="12" t="inlineStr">
        <is>
          <t>Year 9</t>
        </is>
      </c>
      <c r="C17" s="9" t="n">
        <v>2029</v>
      </c>
      <c r="D17" s="12" t="inlineStr">
        <is>
          <t>Year 9</t>
        </is>
      </c>
      <c r="E17" s="79">
        <f>IF(ISNUMBER(SlopeY9),SlopeY9,"too few results")</f>
        <v>0.763413776944705</v>
      </c>
    </row>
    <row r="18">
      <c r="B18" s="12" t="inlineStr">
        <is>
          <t>Year 10</t>
        </is>
      </c>
      <c r="C18" s="9" t="n">
        <v>2028</v>
      </c>
      <c r="D18" s="12" t="inlineStr">
        <is>
          <t>Year 10</t>
        </is>
      </c>
      <c r="E18" s="79">
        <f>IF(ISNUMBER(SlopeY10),SlopeY10,"too few results")</f>
        <v>0.814002284282662</v>
      </c>
    </row>
    <row r="19">
      <c r="B19" s="12" t="inlineStr">
        <is>
          <t>Year 11</t>
        </is>
      </c>
      <c r="C19" s="9" t="n">
        <v>2027</v>
      </c>
      <c r="D19" s="12" t="inlineStr">
        <is>
          <t>Year 11</t>
        </is>
      </c>
      <c r="E19" s="79">
        <f>IF(ISNUMBER(SlopeY11),SlopeY11,"too few results")</f>
        <v>0.748863636363636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7</t>
        </is>
      </c>
      <c r="C25" s="12" t="inlineStr">
        <is>
          <t>7A/Sc1</t>
        </is>
      </c>
      <c r="D25" s="80" t="inlineStr">
        <is>
          <t>Ms Adeyemi</t>
        </is>
      </c>
      <c r="E25" s="81" t="str">
        <f>tblTeachers[[#This Row],[Year Group]]&amp;"|"&amp;tblTeachers[[#This Row],[Class]]</f>
        <v>Year 7|7A/Sc1</v>
      </c>
    </row>
    <row r="26">
      <c r="B26" s="12" t="inlineStr">
        <is>
          <t>Year 7</t>
        </is>
      </c>
      <c r="C26" s="12" t="inlineStr">
        <is>
          <t>7A/Sc2</t>
        </is>
      </c>
      <c r="D26" s="80" t="inlineStr">
        <is>
          <t>Dr Clarke</t>
        </is>
      </c>
      <c r="E26" s="81" t="str">
        <f>tblTeachers[[#This Row],[Year Group]]&amp;"|"&amp;tblTeachers[[#This Row],[Class]]</f>
        <v>Year 7|7A/Sc2</v>
      </c>
    </row>
    <row r="27">
      <c r="B27" s="12" t="inlineStr">
        <is>
          <t>Year 7</t>
        </is>
      </c>
      <c r="C27" s="12" t="inlineStr">
        <is>
          <t>7B/Sc1</t>
        </is>
      </c>
      <c r="D27" s="80" t="inlineStr">
        <is>
          <t>Mr Walsh</t>
        </is>
      </c>
      <c r="E27" s="81" t="str">
        <f>tblTeachers[[#This Row],[Year Group]]&amp;"|"&amp;tblTeachers[[#This Row],[Class]]</f>
        <v>Year 7|7B/Sc1</v>
      </c>
    </row>
    <row r="28">
      <c r="B28" s="12" t="inlineStr">
        <is>
          <t>Year 7</t>
        </is>
      </c>
      <c r="C28" s="12" t="inlineStr">
        <is>
          <t>7B/Sc2</t>
        </is>
      </c>
      <c r="D28" s="80" t="inlineStr">
        <is>
          <t>Ms Novak</t>
        </is>
      </c>
      <c r="E28" s="81" t="str">
        <f>tblTeachers[[#This Row],[Year Group]]&amp;"|"&amp;tblTeachers[[#This Row],[Class]]</f>
        <v>Year 7|7B/Sc2</v>
      </c>
    </row>
    <row r="29">
      <c r="B29" s="12" t="inlineStr">
        <is>
          <t>Year 7</t>
        </is>
      </c>
      <c r="C29" s="12" t="inlineStr">
        <is>
          <t>7B/Sc3</t>
        </is>
      </c>
      <c r="D29" s="80" t="inlineStr">
        <is>
          <t>Ms Rahman</t>
        </is>
      </c>
      <c r="E29" s="81" t="str">
        <f>tblTeachers[[#This Row],[Year Group]]&amp;"|"&amp;tblTeachers[[#This Row],[Class]]</f>
        <v>Year 7|7B/Sc3</v>
      </c>
    </row>
    <row r="30">
      <c r="B30" s="12" t="inlineStr">
        <is>
          <t>Year 8</t>
        </is>
      </c>
      <c r="C30" s="12" t="inlineStr">
        <is>
          <t>8A/Sc1</t>
        </is>
      </c>
      <c r="D30" s="80" t="inlineStr">
        <is>
          <t>Mr Owen</t>
        </is>
      </c>
      <c r="E30" s="81" t="str">
        <f>tblTeachers[[#This Row],[Year Group]]&amp;"|"&amp;tblTeachers[[#This Row],[Class]]</f>
        <v>Year 8|8A/Sc1</v>
      </c>
    </row>
    <row r="31">
      <c r="B31" s="12" t="inlineStr">
        <is>
          <t>Year 8</t>
        </is>
      </c>
      <c r="C31" s="12" t="inlineStr">
        <is>
          <t>8A/Sc2</t>
        </is>
      </c>
      <c r="D31" s="80" t="inlineStr">
        <is>
          <t>Mr Hughes</t>
        </is>
      </c>
      <c r="E31" s="81" t="str">
        <f>tblTeachers[[#This Row],[Year Group]]&amp;"|"&amp;tblTeachers[[#This Row],[Class]]</f>
        <v>Year 8|8A/Sc2</v>
      </c>
    </row>
    <row r="32">
      <c r="B32" s="12" t="inlineStr">
        <is>
          <t>Year 8</t>
        </is>
      </c>
      <c r="C32" s="12" t="inlineStr">
        <is>
          <t>8A/Sc3</t>
        </is>
      </c>
      <c r="D32" s="80" t="inlineStr">
        <is>
          <t>Mr Owen</t>
        </is>
      </c>
      <c r="E32" s="81" t="str">
        <f>tblTeachers[[#This Row],[Year Group]]&amp;"|"&amp;tblTeachers[[#This Row],[Class]]</f>
        <v>Year 8|8A/Sc3</v>
      </c>
    </row>
    <row r="33">
      <c r="B33" s="12" t="inlineStr">
        <is>
          <t>Year 8</t>
        </is>
      </c>
      <c r="C33" s="12" t="inlineStr">
        <is>
          <t>8A/Sc4</t>
        </is>
      </c>
      <c r="D33" s="80" t="inlineStr">
        <is>
          <t>Ms Adeyemi</t>
        </is>
      </c>
      <c r="E33" s="81" t="str">
        <f>tblTeachers[[#This Row],[Year Group]]&amp;"|"&amp;tblTeachers[[#This Row],[Class]]</f>
        <v>Year 8|8A/Sc4</v>
      </c>
    </row>
    <row r="34">
      <c r="B34" s="12" t="inlineStr">
        <is>
          <t>Year 8</t>
        </is>
      </c>
      <c r="C34" s="12" t="inlineStr">
        <is>
          <t>Science Support</t>
        </is>
      </c>
      <c r="D34" s="80" t="inlineStr">
        <is>
          <t>Mrs Evans</t>
        </is>
      </c>
      <c r="E34" s="81" t="str">
        <f>tblTeachers[[#This Row],[Year Group]]&amp;"|"&amp;tblTeachers[[#This Row],[Class]]</f>
        <v>Year 8|Science Support</v>
      </c>
    </row>
    <row r="35">
      <c r="B35" s="12" t="inlineStr">
        <is>
          <t>Year 9</t>
        </is>
      </c>
      <c r="C35" s="12" t="inlineStr">
        <is>
          <t>9A/Sc1</t>
        </is>
      </c>
      <c r="D35" s="80" t="inlineStr">
        <is>
          <t>Ms Rahman</t>
        </is>
      </c>
      <c r="E35" s="81" t="str">
        <f>tblTeachers[[#This Row],[Year Group]]&amp;"|"&amp;tblTeachers[[#This Row],[Class]]</f>
        <v>Year 9|9A/Sc1</v>
      </c>
    </row>
    <row r="36">
      <c r="B36" s="12" t="inlineStr">
        <is>
          <t>Year 9</t>
        </is>
      </c>
      <c r="C36" s="12" t="inlineStr">
        <is>
          <t>9A/Sc2</t>
        </is>
      </c>
      <c r="D36" s="80" t="inlineStr">
        <is>
          <t>Mr Hughes</t>
        </is>
      </c>
      <c r="E36" s="81" t="str">
        <f>tblTeachers[[#This Row],[Year Group]]&amp;"|"&amp;tblTeachers[[#This Row],[Class]]</f>
        <v>Year 9|9A/Sc2</v>
      </c>
    </row>
    <row r="37">
      <c r="B37" s="12" t="inlineStr">
        <is>
          <t>Year 9</t>
        </is>
      </c>
      <c r="C37" s="12" t="inlineStr">
        <is>
          <t>9A/Sc3</t>
        </is>
      </c>
      <c r="D37" s="80" t="inlineStr">
        <is>
          <t>Mrs Singh</t>
        </is>
      </c>
      <c r="E37" s="81" t="str">
        <f>tblTeachers[[#This Row],[Year Group]]&amp;"|"&amp;tblTeachers[[#This Row],[Class]]</f>
        <v>Year 9|9A/Sc3</v>
      </c>
    </row>
    <row r="38">
      <c r="B38" s="12" t="inlineStr">
        <is>
          <t>Year 9</t>
        </is>
      </c>
      <c r="C38" s="12" t="inlineStr">
        <is>
          <t>9B/Sc1</t>
        </is>
      </c>
      <c r="D38" s="80" t="inlineStr">
        <is>
          <t>Ms Rahman</t>
        </is>
      </c>
      <c r="E38" s="81" t="str">
        <f>tblTeachers[[#This Row],[Year Group]]&amp;"|"&amp;tblTeachers[[#This Row],[Class]]</f>
        <v>Year 9|9B/Sc1</v>
      </c>
    </row>
    <row r="39">
      <c r="B39" s="12" t="inlineStr">
        <is>
          <t>Year 9</t>
        </is>
      </c>
      <c r="C39" s="12" t="inlineStr">
        <is>
          <t>9B/Sc2</t>
        </is>
      </c>
      <c r="D39" s="80" t="inlineStr">
        <is>
          <t>Mr Owen</t>
        </is>
      </c>
      <c r="E39" s="81" t="str">
        <f>tblTeachers[[#This Row],[Year Group]]&amp;"|"&amp;tblTeachers[[#This Row],[Class]]</f>
        <v>Year 9|9B/Sc2</v>
      </c>
    </row>
    <row r="40">
      <c r="B40" s="12" t="inlineStr">
        <is>
          <t>Year 9</t>
        </is>
      </c>
      <c r="C40" s="12" t="inlineStr">
        <is>
          <t>Science Support</t>
        </is>
      </c>
      <c r="D40" s="80" t="inlineStr">
        <is>
          <t>Mr Walsh</t>
        </is>
      </c>
      <c r="E40" s="81" t="str">
        <f>tblTeachers[[#This Row],[Year Group]]&amp;"|"&amp;tblTeachers[[#This Row],[Class]]</f>
        <v>Year 9|Science Support</v>
      </c>
    </row>
    <row r="41">
      <c r="B41" s="12" t="inlineStr">
        <is>
          <t>Year 10</t>
        </is>
      </c>
      <c r="C41" s="12" t="inlineStr">
        <is>
          <t>10S/Sc1</t>
        </is>
      </c>
      <c r="D41" s="80" t="inlineStr">
        <is>
          <t>Mr Walsh</t>
        </is>
      </c>
      <c r="E41" s="81" t="str">
        <f>tblTeachers[[#This Row],[Year Group]]&amp;"|"&amp;tblTeachers[[#This Row],[Class]]</f>
        <v>Year 10|10S/Sc1</v>
      </c>
    </row>
    <row r="42">
      <c r="B42" s="12" t="inlineStr">
        <is>
          <t>Year 10</t>
        </is>
      </c>
      <c r="C42" s="12" t="inlineStr">
        <is>
          <t>10S/Sc2</t>
        </is>
      </c>
      <c r="D42" s="80" t="inlineStr">
        <is>
          <t>Mr Owen</t>
        </is>
      </c>
      <c r="E42" s="81" t="str">
        <f>tblTeachers[[#This Row],[Year Group]]&amp;"|"&amp;tblTeachers[[#This Row],[Class]]</f>
        <v>Year 10|10S/Sc2</v>
      </c>
    </row>
    <row r="43">
      <c r="B43" s="12" t="inlineStr">
        <is>
          <t>Year 10</t>
        </is>
      </c>
      <c r="C43" s="12" t="inlineStr">
        <is>
          <t>10S/Sc3</t>
        </is>
      </c>
      <c r="D43" s="80" t="inlineStr">
        <is>
          <t>Mrs Singh</t>
        </is>
      </c>
      <c r="E43" s="81" t="str">
        <f>tblTeachers[[#This Row],[Year Group]]&amp;"|"&amp;tblTeachers[[#This Row],[Class]]</f>
        <v>Year 10|10S/Sc3</v>
      </c>
    </row>
    <row r="44">
      <c r="B44" s="12" t="inlineStr">
        <is>
          <t>Year 10</t>
        </is>
      </c>
      <c r="C44" s="12" t="inlineStr">
        <is>
          <t>10S/Sc4</t>
        </is>
      </c>
      <c r="D44" s="80" t="inlineStr">
        <is>
          <t>Mr Owen</t>
        </is>
      </c>
      <c r="E44" s="81" t="str">
        <f>tblTeachers[[#This Row],[Year Group]]&amp;"|"&amp;tblTeachers[[#This Row],[Class]]</f>
        <v>Year 10|10S/Sc4</v>
      </c>
    </row>
    <row r="45">
      <c r="B45" s="12" t="inlineStr">
        <is>
          <t>Year 10</t>
        </is>
      </c>
      <c r="C45" s="12" t="inlineStr">
        <is>
          <t>10S/Sc5</t>
        </is>
      </c>
      <c r="D45" s="80" t="inlineStr">
        <is>
          <t>Mr Hughes</t>
        </is>
      </c>
      <c r="E45" s="81" t="str">
        <f>tblTeachers[[#This Row],[Year Group]]&amp;"|"&amp;tblTeachers[[#This Row],[Class]]</f>
        <v>Year 10|10S/Sc5</v>
      </c>
    </row>
    <row r="46">
      <c r="B46" s="12" t="inlineStr">
        <is>
          <t>Year 10</t>
        </is>
      </c>
      <c r="C46" s="12" t="inlineStr">
        <is>
          <t>Science Support</t>
        </is>
      </c>
      <c r="D46" s="80" t="inlineStr">
        <is>
          <t>Mr Walsh</t>
        </is>
      </c>
      <c r="E46" s="81" t="str">
        <f>tblTeachers[[#This Row],[Year Group]]&amp;"|"&amp;tblTeachers[[#This Row],[Class]]</f>
        <v>Year 10|Science Support</v>
      </c>
    </row>
    <row r="47">
      <c r="B47" s="12" t="inlineStr">
        <is>
          <t>Year 11</t>
        </is>
      </c>
      <c r="C47" s="12" t="inlineStr">
        <is>
          <t>11S/Sc1</t>
        </is>
      </c>
      <c r="D47" s="80" t="inlineStr">
        <is>
          <t>Ms Rahman</t>
        </is>
      </c>
      <c r="E47" s="81" t="str">
        <f>tblTeachers[[#This Row],[Year Group]]&amp;"|"&amp;tblTeachers[[#This Row],[Class]]</f>
        <v>Year 11|11S/Sc1</v>
      </c>
    </row>
    <row r="48">
      <c r="B48" s="12" t="inlineStr">
        <is>
          <t>Year 11</t>
        </is>
      </c>
      <c r="C48" s="12" t="inlineStr">
        <is>
          <t>11S/Sc2</t>
        </is>
      </c>
      <c r="D48" s="80" t="inlineStr">
        <is>
          <t>Mrs Evans</t>
        </is>
      </c>
      <c r="E48" s="81" t="str">
        <f>tblTeachers[[#This Row],[Year Group]]&amp;"|"&amp;tblTeachers[[#This Row],[Class]]</f>
        <v>Year 11|11S/Sc2</v>
      </c>
    </row>
    <row r="49">
      <c r="B49" s="12" t="inlineStr">
        <is>
          <t>Year 11</t>
        </is>
      </c>
      <c r="C49" s="12" t="inlineStr">
        <is>
          <t>11S/Sc3</t>
        </is>
      </c>
      <c r="D49" s="80" t="inlineStr">
        <is>
          <t>Mr Owen</t>
        </is>
      </c>
      <c r="E49" s="81" t="str">
        <f>tblTeachers[[#This Row],[Year Group]]&amp;"|"&amp;tblTeachers[[#This Row],[Class]]</f>
        <v>Year 11|11S/Sc3</v>
      </c>
    </row>
    <row r="50">
      <c r="B50" s="12" t="inlineStr">
        <is>
          <t>Year 11</t>
        </is>
      </c>
      <c r="C50" s="12" t="inlineStr">
        <is>
          <t>11S/Sc4</t>
        </is>
      </c>
      <c r="D50" s="80" t="inlineStr">
        <is>
          <t>Mrs Singh</t>
        </is>
      </c>
      <c r="E50" s="81" t="str">
        <f>tblTeachers[[#This Row],[Year Group]]&amp;"|"&amp;tblTeachers[[#This Row],[Class]]</f>
        <v>Year 11|11S/Sc4</v>
      </c>
    </row>
    <row r="51">
      <c r="B51" s="12" t="inlineStr">
        <is>
          <t>Year 11</t>
        </is>
      </c>
      <c r="C51" s="12" t="inlineStr">
        <is>
          <t>11S/Sc5</t>
        </is>
      </c>
      <c r="D51" s="80" t="inlineStr">
        <is>
          <t>Ms Novak</t>
        </is>
      </c>
      <c r="E51" s="81" t="str">
        <f>tblTeachers[[#This Row],[Year Group]]&amp;"|"&amp;tblTeachers[[#This Row],[Class]]</f>
        <v>Year 11|11S/Sc5</v>
      </c>
    </row>
    <row r="52">
      <c r="B52" s="12" t="inlineStr">
        <is>
          <t>Year 11</t>
        </is>
      </c>
      <c r="C52" s="12" t="inlineStr">
        <is>
          <t>Science Support</t>
        </is>
      </c>
      <c r="D52" s="80" t="inlineStr">
        <is>
          <t>Ms Novak</t>
        </is>
      </c>
      <c r="E52" s="81" t="str">
        <f>tblTeachers[[#This Row],[Year Group]]&amp;"|"&amp;tblTeachers[[#This Row],[Class]]</f>
        <v>Year 11|Science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2.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7</t>
        </is>
      </c>
      <c r="T2" s="83" t="inlineStr">
        <is>
          <t>Year 8</t>
        </is>
      </c>
      <c r="U2" s="83" t="inlineStr">
        <is>
          <t>Year 9</t>
        </is>
      </c>
      <c r="V2" s="83" t="inlineStr">
        <is>
          <t>Year 10</t>
        </is>
      </c>
      <c r="W2" s="83" t="inlineStr">
        <is>
          <t>Year 11</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7</t>
        </is>
      </c>
      <c r="C3" s="31" t="inlineStr">
        <is>
          <t>tblY7</t>
        </is>
      </c>
      <c r="E3" s="31" t="inlineStr">
        <is>
          <t>Mean %</t>
        </is>
      </c>
      <c r="S3" t="str">
        <f>IFERROR(INDEX(H$10:H$609,MATCH(SMALL(I$10:I$609,1),I$10:I$609,0)),"")</f>
        <v>7A/Sc1</v>
      </c>
      <c r="T3" t="str">
        <f>IFERROR(INDEX(J$10:J$609,MATCH(SMALL(K$10:K$609,1),K$10:K$609,0)),"")</f>
        <v>8A/Sc1</v>
      </c>
      <c r="U3" t="str">
        <f>IFERROR(INDEX(L$10:L$609,MATCH(SMALL(M$10:M$609,1),M$10:M$609,0)),"")</f>
        <v>9A/Sc1</v>
      </c>
      <c r="V3" t="str">
        <f>IFERROR(INDEX(N$10:N$609,MATCH(SMALL(O$10:O$609,1),O$10:O$609,0)),"")</f>
        <v>10S/Sc1</v>
      </c>
      <c r="W3" t="str">
        <f>IFERROR(INDEX(P$10:P$609,MATCH(SMALL(Q$10:Q$609,1),Q$10:Q$609,0)),"")</f>
        <v>11S/Sc1</v>
      </c>
      <c r="Y3" t="str">
        <f>IFERROR(INDEX($S3:$W3,dYear),"")</f>
        <v>11S/Sc1</v>
      </c>
      <c r="AA3" t="str">
        <f>IFERROR(INDEX(tblAssessments[Test Name],MATCH(SelYear&amp;"|"&amp;1,tblAssessments[Seq Key],0))&amp;"","")</f>
        <v>4B05 - Homeostasis</v>
      </c>
      <c r="AB3">
        <f>IF(AA3="","",IFERROR(INDEX(tblAssessments[Max Marks],MATCH(SelYear&amp;"|"&amp;1,tblAssessments[Seq Key],0)),""))</f>
        <v>40</v>
      </c>
      <c r="AC3" s="84">
        <f>IF(AA3="","",IFERROR(IF(INDEX(tblAssessments[Date],MATCH(SelYear&amp;"|"&amp;1,tblAssessments[Seq Key],0))="","",INDEX(tblAssessments[Date],MATCH(SelYear&amp;"|"&amp;1,tblAssessments[Seq Key],0))),""))</f>
        <v>46291.0</v>
      </c>
      <c r="AD3" t="str">
        <f>IF(AA3="","",IFERROR(INDEX(tblAssessments[Code],MATCH(SelYear&amp;"|"&amp;1,tblAssessments[Seq Key],0))&amp;"",""))</f>
        <v>4B05</v>
      </c>
      <c r="AF3" t="str">
        <f>IF(COUNTIF(tblAssessments[Year Group],"Year 7")=0,"",IFERROR(INDEX(tblAssessments[Test Name],MATCH("Year 7|"&amp;COUNTIF(tblAssessments[Year Group],"Year 7"),tblAssessments[Seq Key],0)),""))</f>
        <v>7B02 - Organ Systems</v>
      </c>
      <c r="AG3">
        <f>IF(AF3="","",IFERROR(INDEX(tblAssessments[Max Marks],MATCH("Year 7|"&amp;COUNTIF(tblAssessments[Year Group],"Year 7"),tblAssessments[Seq Key],0)),""))</f>
        <v>28</v>
      </c>
      <c r="AH3" s="84">
        <f>IF(AF3="","",IFERROR(IF(INDEX(tblAssessments[Date],MATCH("Year 7|"&amp;COUNTIF(tblAssessments[Year Group],"Year 7"),tblAssessments[Seq Key],0))="","",INDEX(tblAssessments[Date],MATCH("Year 7|"&amp;COUNTIF(tblAssessments[Year Group],"Year 7"),tblAssessments[Seq Key],0))),""))</f>
        <v>46329.0</v>
      </c>
      <c r="AI3">
        <f>COUNTIF(tblAssessments[Year Group],"Year 7")</f>
        <v>4</v>
      </c>
      <c r="AK3" t="str">
        <f>IF(AA3="","",IF(AD3&lt;&gt;"",AD3,LEFT(AA3,14)))</f>
        <v>4B05</v>
      </c>
      <c r="AL3">
        <f>IF(AA3="",NA(),IFERROR(AVERAGE(INDEX(dData,0,MATCH(AA3&amp;CHAR(10)&amp;"Stanine",dHdr,0))),NA()))</f>
        <v>4.99029126213592</v>
      </c>
      <c r="AM3">
        <f>IF(OR(AA3="",SelClass=""),NA(),IFERROR(SUMPRODUCT(((dClass)&amp;""=(SelClass)&amp;"")*ISNUMBER(INDEX(dData,0,MATCH(AA3&amp;CHAR(10)&amp;"Stanine",dHdr,0))),INDEX(dData,0,MATCH(AA3&amp;CHAR(10)&amp;"Stanine",dHdr,0)))/SUMPRODUCT(((dClass)&amp;""=(SelClass)&amp;"")*ISNUMBER(INDEX(dData,0,MATCH(AA3&amp;CHAR(10)&amp;"Stanine",dHdr,0)))),NA()))</f>
        <v>6.92592592592593</v>
      </c>
      <c r="AO3" t="inlineStr">
        <is>
          <t>Whole year</t>
        </is>
      </c>
      <c r="AP3" s="85">
        <f>IFERROR(AVERAGE(dRaw)/dMax,NA())</f>
        <v>0.461470588235294</v>
      </c>
      <c r="AR3" t="n">
        <v>1</v>
      </c>
      <c r="AS3" s="85">
        <f>IFERROR(COUNTIF(dStn,AR3)/COUNT(dStn),0)</f>
        <v>0.02</v>
      </c>
      <c r="AT3" s="85" t="n">
        <v>0.04</v>
      </c>
      <c r="BL3">
        <f>IFERROR(MATCH(SMALL($BJ$70:$BJ$669,1),$BJ$70:$BJ$669,0),"")</f>
        <v>45</v>
      </c>
      <c r="BN3" s="31" t="inlineStr">
        <is>
          <t>Year 7</t>
        </is>
      </c>
      <c r="BO3">
        <f>SUMPRODUCT(ISNUMBER(tblY7[[Avg KS2 Band]])*ISNUMBER(tblY7[[Mean Stanine]]))</f>
        <v>130</v>
      </c>
      <c r="BP3">
        <f>SUMPRODUCT(ISNUMBER(tblY7[[Avg KS2 Band]])*ISNUMBER(tblY7[[Mean Stanine]]),tblY7[[Avg KS2 Band]])</f>
        <v>650</v>
      </c>
      <c r="BQ3">
        <f>SUMPRODUCT(ISNUMBER(tblY7[[Avg KS2 Band]])*ISNUMBER(tblY7[[Mean Stanine]]),tblY7[[Mean Stanine]])</f>
        <v>651</v>
      </c>
      <c r="BR3">
        <f>SUMPRODUCT(ISNUMBER(tblY7[[Avg KS2 Band]])*ISNUMBER(tblY7[[Mean Stanine]]),tblY7[[Avg KS2 Band]],tblY7[[Avg KS2 Band]])</f>
        <v>3766</v>
      </c>
      <c r="BS3">
        <f>SUMPRODUCT(ISNUMBER(tblY7[[Avg KS2 Band]])*ISNUMBER(tblY7[[Mean Stanine]]),tblY7[[Avg KS2 Band]],tblY7[[Mean Stanine]])</f>
        <v>3613.25</v>
      </c>
      <c r="BT3">
        <f>IF(BO3&lt;10,"",IFERROR(MAX(0,MIN(1,(BO3*BS3-BP3*BQ3)/(BO3*BR3-BP3^2))),""))</f>
        <v>0.694282945736434</v>
      </c>
      <c r="BU3">
        <f>IF(BT3="","",(BQ3-BT3*BP3)/BO3)</f>
        <v>1.53627757901014</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B4" s="31" t="inlineStr">
        <is>
          <t>Year 8</t>
        </is>
      </c>
      <c r="C4" s="31" t="inlineStr">
        <is>
          <t>tblY8</t>
        </is>
      </c>
      <c r="E4" s="31" t="inlineStr">
        <is>
          <t>Mean stanine</t>
        </is>
      </c>
      <c r="S4" t="str">
        <f>IFERROR(INDEX(H$10:H$609,MATCH(SMALL(I$10:I$609,2),I$10:I$609,0)),"")</f>
        <v>7A/Sc2</v>
      </c>
      <c r="T4" t="str">
        <f>IFERROR(INDEX(J$10:J$609,MATCH(SMALL(K$10:K$609,2),K$10:K$609,0)),"")</f>
        <v>8A/Sc2</v>
      </c>
      <c r="U4" t="str">
        <f>IFERROR(INDEX(L$10:L$609,MATCH(SMALL(M$10:M$609,2),M$10:M$609,0)),"")</f>
        <v>9A/Sc2</v>
      </c>
      <c r="V4" t="str">
        <f>IFERROR(INDEX(N$10:N$609,MATCH(SMALL(O$10:O$609,2),O$10:O$609,0)),"")</f>
        <v>10S/Sc2</v>
      </c>
      <c r="W4" t="str">
        <f>IFERROR(INDEX(P$10:P$609,MATCH(SMALL(Q$10:Q$609,2),Q$10:Q$609,0)),"")</f>
        <v>11S/Sc2</v>
      </c>
      <c r="Y4" t="str">
        <f>IFERROR(INDEX($S4:$W4,dYear),"")</f>
        <v>11S/Sc2</v>
      </c>
      <c r="AA4" t="str">
        <f>IFERROR(INDEX(tblAssessments[Test Name],MATCH(SelYear&amp;"|"&amp;2,tblAssessments[Seq Key],0))&amp;"","")</f>
        <v>4C09 - Organic Chemistry</v>
      </c>
      <c r="AB4">
        <f>IF(AA4="","",IFERROR(INDEX(tblAssessments[Max Marks],MATCH(SelYear&amp;"|"&amp;2,tblAssessments[Seq Key],0)),""))</f>
        <v>35</v>
      </c>
      <c r="AC4" s="84">
        <f>IF(AA4="","",IFERROR(IF(INDEX(tblAssessments[Date],MATCH(SelYear&amp;"|"&amp;2,tblAssessments[Seq Key],0))="","",INDEX(tblAssessments[Date],MATCH(SelYear&amp;"|"&amp;2,tblAssessments[Seq Key],0))),""))</f>
        <v>46305.0</v>
      </c>
      <c r="AD4" t="str">
        <f>IF(AA4="","",IFERROR(INDEX(tblAssessments[Code],MATCH(SelYear&amp;"|"&amp;2,tblAssessments[Seq Key],0))&amp;"",""))</f>
        <v>4C09</v>
      </c>
      <c r="AF4" t="str">
        <f>IF(COUNTIF(tblAssessments[Year Group],"Year 8")=0,"",IFERROR(INDEX(tblAssessments[Test Name],MATCH("Year 8|"&amp;COUNTIF(tblAssessments[Year Group],"Year 8"),tblAssessments[Seq Key],0)),""))</f>
        <v>8P02 - Light</v>
      </c>
      <c r="AG4">
        <f>IF(AF4="","",IFERROR(INDEX(tblAssessments[Max Marks],MATCH("Year 8|"&amp;COUNTIF(tblAssessments[Year Group],"Year 8"),tblAssessments[Seq Key],0)),""))</f>
        <v>24</v>
      </c>
      <c r="AH4" s="84">
        <f>IF(AF4="","",IFERROR(IF(INDEX(tblAssessments[Date],MATCH("Year 8|"&amp;COUNTIF(tblAssessments[Year Group],"Year 8"),tblAssessments[Seq Key],0))="","",INDEX(tblAssessments[Date],MATCH("Year 8|"&amp;COUNTIF(tblAssessments[Year Group],"Year 8"),tblAssessments[Seq Key],0))),""))</f>
        <v>46344.0</v>
      </c>
      <c r="AI4">
        <f>COUNTIF(tblAssessments[Year Group],"Year 8")</f>
        <v>5</v>
      </c>
      <c r="AK4" t="str">
        <f>IF(AA4="","",IF(AD4&lt;&gt;"",AD4,LEFT(AA4,14)))</f>
        <v>4C09</v>
      </c>
      <c r="AL4">
        <f>IF(AA4="",NA(),IFERROR(AVERAGE(INDEX(dData,0,MATCH(AA4&amp;CHAR(10)&amp;"Stanine",dHdr,0))),NA()))</f>
        <v>4.93814432989691</v>
      </c>
      <c r="AM4">
        <f>IF(OR(AA4="",SelClass=""),NA(),IFERROR(SUMPRODUCT(((dClass)&amp;""=(SelClass)&amp;"")*ISNUMBER(INDEX(dData,0,MATCH(AA4&amp;CHAR(10)&amp;"Stanine",dHdr,0))),INDEX(dData,0,MATCH(AA4&amp;CHAR(10)&amp;"Stanine",dHdr,0)))/SUMPRODUCT(((dClass)&amp;""=(SelClass)&amp;"")*ISNUMBER(INDEX(dData,0,MATCH(AA4&amp;CHAR(10)&amp;"Stanine",dHdr,0)))),NA()))</f>
        <v>6.53846153846154</v>
      </c>
      <c r="AO4" t="str">
        <f>Y3</f>
        <v>11S/Sc1</v>
      </c>
      <c r="AP4" s="85">
        <f>IF(AO4="",NA(),IFERROR(SUMPRODUCT(((dClass)&amp;""=(AO4)&amp;"")*ISNUMBER(dRaw),dRaw)/SUMPRODUCT(((dClass)&amp;""=(AO4)&amp;"")*ISNUMBER(dRaw))/dMax,NA()))</f>
        <v>0.654684095860566</v>
      </c>
      <c r="AR4" t="n">
        <v>2</v>
      </c>
      <c r="AS4" s="85">
        <f>IFERROR(COUNTIF(dStn,AR4)/COUNT(dStn),0)</f>
        <v>0.12</v>
      </c>
      <c r="AT4" s="85" t="n">
        <v>0.07000000000000001</v>
      </c>
      <c r="BL4">
        <f>IFERROR(MATCH(SMALL($BJ$70:$BJ$669,2),$BJ$70:$BJ$669,0),"")</f>
        <v>95</v>
      </c>
      <c r="BN4" s="31" t="inlineStr">
        <is>
          <t>Year 8</t>
        </is>
      </c>
      <c r="BO4">
        <f>SUMPRODUCT(ISNUMBER(tblY8[[Avg KS2 Band]])*ISNUMBER(tblY8[[Mean Stanine]]))</f>
        <v>92</v>
      </c>
      <c r="BP4">
        <f>SUMPRODUCT(ISNUMBER(tblY8[[Avg KS2 Band]])*ISNUMBER(tblY8[[Mean Stanine]]),tblY8[[Avg KS2 Band]])</f>
        <v>464</v>
      </c>
      <c r="BQ4">
        <f>SUMPRODUCT(ISNUMBER(tblY8[[Avg KS2 Band]])*ISNUMBER(tblY8[[Mean Stanine]]),tblY8[[Mean Stanine]])</f>
        <v>457.766666666667</v>
      </c>
      <c r="BR4">
        <f>SUMPRODUCT(ISNUMBER(tblY8[[Avg KS2 Band]])*ISNUMBER(tblY8[[Mean Stanine]]),tblY8[[Avg KS2 Band]],tblY8[[Avg KS2 Band]])</f>
        <v>2702</v>
      </c>
      <c r="BS4">
        <f>SUMPRODUCT(ISNUMBER(tblY8[[Avg KS2 Band]])*ISNUMBER(tblY8[[Mean Stanine]]),tblY8[[Avg KS2 Band]],tblY8[[Mean Stanine]])</f>
        <v>2590.56666666667</v>
      </c>
      <c r="BT4">
        <f>IF(BO4&lt;10,"",IFERROR(MAX(0,MIN(1,(BO4*BS4-BP4*BQ4)/(BO4*BR4-BP4^2))),""))</f>
        <v>0.778911319394376</v>
      </c>
      <c r="BU4">
        <f>IF(BT4="","",(BQ4-BT4*BP4)/BO4)</f>
        <v>1.04730233117039</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B5" s="31" t="inlineStr">
        <is>
          <t>Year 9</t>
        </is>
      </c>
      <c r="C5" s="31" t="inlineStr">
        <is>
          <t>tblY9</t>
        </is>
      </c>
      <c r="E5" s="31" t="inlineStr">
        <is>
          <t>Completion %</t>
        </is>
      </c>
      <c r="S5" t="str">
        <f>IFERROR(INDEX(H$10:H$609,MATCH(SMALL(I$10:I$609,3),I$10:I$609,0)),"")</f>
        <v>7B/Sc1</v>
      </c>
      <c r="T5" t="str">
        <f>IFERROR(INDEX(J$10:J$609,MATCH(SMALL(K$10:K$609,3),K$10:K$609,0)),"")</f>
        <v>8A/Sc3</v>
      </c>
      <c r="U5" t="str">
        <f>IFERROR(INDEX(L$10:L$609,MATCH(SMALL(M$10:M$609,3),M$10:M$609,0)),"")</f>
        <v>9A/Sc3</v>
      </c>
      <c r="V5" t="str">
        <f>IFERROR(INDEX(N$10:N$609,MATCH(SMALL(O$10:O$609,3),O$10:O$609,0)),"")</f>
        <v>10S/Sc3</v>
      </c>
      <c r="W5" t="str">
        <f>IFERROR(INDEX(P$10:P$609,MATCH(SMALL(Q$10:Q$609,3),Q$10:Q$609,0)),"")</f>
        <v>11S/Sc3</v>
      </c>
      <c r="Y5" t="str">
        <f>IFERROR(INDEX($S5:$W5,dYear),"")</f>
        <v>11S/Sc3</v>
      </c>
      <c r="AA5" t="str">
        <f>IFERROR(INDEX(tblAssessments[Test Name],MATCH(SelYear&amp;"|"&amp;3,tblAssessments[Seq Key],0))&amp;"","")</f>
        <v>4P06 - Waves</v>
      </c>
      <c r="AB5">
        <f>IF(AA5="","",IFERROR(INDEX(tblAssessments[Max Marks],MATCH(SelYear&amp;"|"&amp;3,tblAssessments[Seq Key],0)),""))</f>
        <v>38</v>
      </c>
      <c r="AC5" s="84">
        <f>IF(AA5="","",IFERROR(IF(INDEX(tblAssessments[Date],MATCH(SelYear&amp;"|"&amp;3,tblAssessments[Seq Key],0))="","",INDEX(tblAssessments[Date],MATCH(SelYear&amp;"|"&amp;3,tblAssessments[Seq Key],0))),""))</f>
        <v>46319.0</v>
      </c>
      <c r="AD5" t="str">
        <f>IF(AA5="","",IFERROR(INDEX(tblAssessments[Code],MATCH(SelYear&amp;"|"&amp;3,tblAssessments[Seq Key],0))&amp;"",""))</f>
        <v>4P06</v>
      </c>
      <c r="AF5" t="str">
        <f>IF(COUNTIF(tblAssessments[Year Group],"Year 9")=0,"",IFERROR(INDEX(tblAssessments[Test Name],MATCH("Year 9|"&amp;COUNTIF(tblAssessments[Year Group],"Year 9"),tblAssessments[Seq Key],0)),""))</f>
        <v>9B02 - Ecology</v>
      </c>
      <c r="AG5">
        <f>IF(AF5="","",IFERROR(INDEX(tblAssessments[Max Marks],MATCH("Year 9|"&amp;COUNTIF(tblAssessments[Year Group],"Year 9"),tblAssessments[Seq Key],0)),""))</f>
        <v>25</v>
      </c>
      <c r="AH5" s="84">
        <f>IF(AF5="","",IFERROR(IF(INDEX(tblAssessments[Date],MATCH("Year 9|"&amp;COUNTIF(tblAssessments[Year Group],"Year 9"),tblAssessments[Seq Key],0))="","",INDEX(tblAssessments[Date],MATCH("Year 9|"&amp;COUNTIF(tblAssessments[Year Group],"Year 9"),tblAssessments[Seq Key],0))),""))</f>
        <v>46331.0</v>
      </c>
      <c r="AI5">
        <f>COUNTIF(tblAssessments[Year Group],"Year 9")</f>
        <v>4</v>
      </c>
      <c r="AK5" t="str">
        <f>IF(AA5="","",IF(AD5&lt;&gt;"",AD5,LEFT(AA5,14)))</f>
        <v>4P06</v>
      </c>
      <c r="AL5">
        <f>IF(AA5="",NA(),IFERROR(AVERAGE(INDEX(dData,0,MATCH(AA5&amp;CHAR(10)&amp;"Stanine",dHdr,0))),NA()))</f>
        <v>5.0188679245283</v>
      </c>
      <c r="AM5">
        <f>IF(OR(AA5="",SelClass=""),NA(),IFERROR(SUMPRODUCT(((dClass)&amp;""=(SelClass)&amp;"")*ISNUMBER(INDEX(dData,0,MATCH(AA5&amp;CHAR(10)&amp;"Stanine",dHdr,0))),INDEX(dData,0,MATCH(AA5&amp;CHAR(10)&amp;"Stanine",dHdr,0)))/SUMPRODUCT(((dClass)&amp;""=(SelClass)&amp;"")*ISNUMBER(INDEX(dData,0,MATCH(AA5&amp;CHAR(10)&amp;"Stanine",dHdr,0)))),NA()))</f>
        <v>6.92857142857143</v>
      </c>
      <c r="AO5" t="str">
        <f>Y4</f>
        <v>11S/Sc2</v>
      </c>
      <c r="AP5" s="85">
        <f>IF(AO5="",NA(),IFERROR(SUMPRODUCT(((dClass)&amp;""=(AO5)&amp;"")*ISNUMBER(dRaw),dRaw)/SUMPRODUCT(((dClass)&amp;""=(AO5)&amp;"")*ISNUMBER(dRaw))/dMax,NA()))</f>
        <v>0.473039215686275</v>
      </c>
      <c r="AR5" t="n">
        <v>3</v>
      </c>
      <c r="AS5" s="85">
        <f>IFERROR(COUNTIF(dStn,AR5)/COUNT(dStn),0)</f>
        <v>0.09</v>
      </c>
      <c r="AT5" s="85" t="n">
        <v>0.12</v>
      </c>
      <c r="BL5">
        <f>IFERROR(MATCH(SMALL($BJ$70:$BJ$669,3),$BJ$70:$BJ$669,0),"")</f>
        <v>41</v>
      </c>
      <c r="BN5" s="31" t="inlineStr">
        <is>
          <t>Year 9</t>
        </is>
      </c>
      <c r="BO5">
        <f>SUMPRODUCT(ISNUMBER(tblY9[[Avg KS2 Band]])*ISNUMBER(tblY9[[Mean Stanine]]))</f>
        <v>125</v>
      </c>
      <c r="BP5">
        <f>SUMPRODUCT(ISNUMBER(tblY9[[Avg KS2 Band]])*ISNUMBER(tblY9[[Mean Stanine]]),tblY9[[Avg KS2 Band]])</f>
        <v>629</v>
      </c>
      <c r="BQ5">
        <f>SUMPRODUCT(ISNUMBER(tblY9[[Avg KS2 Band]])*ISNUMBER(tblY9[[Mean Stanine]]),tblY9[[Mean Stanine]])</f>
        <v>637.25</v>
      </c>
      <c r="BR5">
        <f>SUMPRODUCT(ISNUMBER(tblY9[[Avg KS2 Band]])*ISNUMBER(tblY9[[Mean Stanine]]),tblY9[[Avg KS2 Band]],tblY9[[Avg KS2 Band]])</f>
        <v>3609</v>
      </c>
      <c r="BS5">
        <f>SUMPRODUCT(ISNUMBER(tblY9[[Avg KS2 Band]])*ISNUMBER(tblY9[[Mean Stanine]]),tblY9[[Avg KS2 Band]],tblY9[[Mean Stanine]])</f>
        <v>3545.5</v>
      </c>
      <c r="BT5">
        <f>IF(BO5&lt;10,"",IFERROR(MAX(0,MIN(1,(BO5*BS5-BP5*BQ5)/(BO5*BR5-BP5^2))),""))</f>
        <v>0.763413776944705</v>
      </c>
      <c r="BU5">
        <f>IF(BT5="","",(BQ5-BT5*BP5)/BO5)</f>
        <v>1.25650187441425</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B6" s="31" t="inlineStr">
        <is>
          <t>Year 10</t>
        </is>
      </c>
      <c r="C6" s="31" t="inlineStr">
        <is>
          <t>tblY10</t>
        </is>
      </c>
      <c r="S6" t="str">
        <f>IFERROR(INDEX(H$10:H$609,MATCH(SMALL(I$10:I$609,4),I$10:I$609,0)),"")</f>
        <v>7B/Sc2</v>
      </c>
      <c r="T6" t="str">
        <f>IFERROR(INDEX(J$10:J$609,MATCH(SMALL(K$10:K$609,4),K$10:K$609,0)),"")</f>
        <v>8A/Sc4</v>
      </c>
      <c r="U6" t="str">
        <f>IFERROR(INDEX(L$10:L$609,MATCH(SMALL(M$10:M$609,4),M$10:M$609,0)),"")</f>
        <v>9B/Sc1</v>
      </c>
      <c r="V6" t="str">
        <f>IFERROR(INDEX(N$10:N$609,MATCH(SMALL(O$10:O$609,4),O$10:O$609,0)),"")</f>
        <v>10S/Sc4</v>
      </c>
      <c r="W6" t="str">
        <f>IFERROR(INDEX(P$10:P$609,MATCH(SMALL(Q$10:Q$609,4),Q$10:Q$609,0)),"")</f>
        <v>11S/Sc4</v>
      </c>
      <c r="Y6" t="str">
        <f>IFERROR(INDEX($S6:$W6,dYear),"")</f>
        <v>11S/Sc4</v>
      </c>
      <c r="AA6" t="str">
        <f>IFERROR(INDEX(tblAssessments[Test Name],MATCH(SelYear&amp;"|"&amp;4,tblAssessments[Seq Key],0))&amp;"","")</f>
        <v>4B06 - Inheritance</v>
      </c>
      <c r="AB6">
        <f>IF(AA6="","",IFERROR(INDEX(tblAssessments[Max Marks],MATCH(SelYear&amp;"|"&amp;4,tblAssessments[Seq Key],0)),""))</f>
        <v>42</v>
      </c>
      <c r="AC6" s="84">
        <f>IF(AA6="","",IFERROR(IF(INDEX(tblAssessments[Date],MATCH(SelYear&amp;"|"&amp;4,tblAssessments[Seq Key],0))="","",INDEX(tblAssessments[Date],MATCH(SelYear&amp;"|"&amp;4,tblAssessments[Seq Key],0))),""))</f>
        <v>46333.0</v>
      </c>
      <c r="AD6" t="str">
        <f>IF(AA6="","",IFERROR(INDEX(tblAssessments[Code],MATCH(SelYear&amp;"|"&amp;4,tblAssessments[Seq Key],0))&amp;"",""))</f>
        <v>4B06</v>
      </c>
      <c r="AF6" t="str">
        <f>IF(COUNTIF(tblAssessments[Year Group],"Year 10")=0,"",IFERROR(INDEX(tblAssessments[Test Name],MATCH("Year 10|"&amp;COUNTIF(tblAssessments[Year Group],"Year 10"),tblAssessments[Seq Key],0)),""))</f>
        <v>4C02 - Bonding</v>
      </c>
      <c r="AG6">
        <f>IF(AF6="","",IFERROR(INDEX(tblAssessments[Max Marks],MATCH("Year 10|"&amp;COUNTIF(tblAssessments[Year Group],"Year 10"),tblAssessments[Seq Key],0)),""))</f>
        <v>38</v>
      </c>
      <c r="AH6" s="84">
        <f>IF(AF6="","",IFERROR(IF(INDEX(tblAssessments[Date],MATCH("Year 10|"&amp;COUNTIF(tblAssessments[Year Group],"Year 10"),tblAssessments[Seq Key],0))="","",INDEX(tblAssessments[Date],MATCH("Year 10|"&amp;COUNTIF(tblAssessments[Year Group],"Year 10"),tblAssessments[Seq Key],0))),""))</f>
        <v>46346.0</v>
      </c>
      <c r="AI6">
        <f>COUNTIF(tblAssessments[Year Group],"Year 10")</f>
        <v>5</v>
      </c>
      <c r="AK6" t="str">
        <f>IF(AA6="","",IF(AD6&lt;&gt;"",AD6,LEFT(AA6,14)))</f>
        <v>4B06</v>
      </c>
      <c r="AL6">
        <f>IF(AA6="",NA(),IFERROR(AVERAGE(INDEX(dData,0,MATCH(AA6&amp;CHAR(10)&amp;"Stanine",dHdr,0))),NA()))</f>
        <v>4.98039215686275</v>
      </c>
      <c r="AM6">
        <f>IF(OR(AA6="",SelClass=""),NA(),IFERROR(SUMPRODUCT(((dClass)&amp;""=(SelClass)&amp;"")*ISNUMBER(INDEX(dData,0,MATCH(AA6&amp;CHAR(10)&amp;"Stanine",dHdr,0))),INDEX(dData,0,MATCH(AA6&amp;CHAR(10)&amp;"Stanine",dHdr,0)))/SUMPRODUCT(((dClass)&amp;""=(SelClass)&amp;"")*ISNUMBER(INDEX(dData,0,MATCH(AA6&amp;CHAR(10)&amp;"Stanine",dHdr,0)))),NA()))</f>
        <v>6.92592592592593</v>
      </c>
      <c r="AO6" t="str">
        <f>Y5</f>
        <v>11S/Sc3</v>
      </c>
      <c r="AP6" s="85">
        <f>IF(AO6="",NA(),IFERROR(SUMPRODUCT(((dClass)&amp;""=(AO6)&amp;"")*ISNUMBER(dRaw),dRaw)/SUMPRODUCT(((dClass)&amp;""=(AO6)&amp;"")*ISNUMBER(dRaw))/dMax,NA()))</f>
        <v>0.436764705882353</v>
      </c>
      <c r="AR6" t="n">
        <v>4</v>
      </c>
      <c r="AS6" s="85">
        <f>IFERROR(COUNTIF(dStn,AR6)/COUNT(dStn),0)</f>
        <v>0.16</v>
      </c>
      <c r="AT6" s="85" t="n">
        <v>0.17</v>
      </c>
      <c r="BL6">
        <f>IFERROR(MATCH(SMALL($BJ$70:$BJ$669,4),$BJ$70:$BJ$669,0),"")</f>
        <v>89</v>
      </c>
      <c r="BN6" s="31" t="inlineStr">
        <is>
          <t>Year 10</t>
        </is>
      </c>
      <c r="BO6">
        <f>SUMPRODUCT(ISNUMBER(tblY10[[Avg KS2 Band]])*ISNUMBER(tblY10[[Mean Stanine]]))</f>
        <v>116</v>
      </c>
      <c r="BP6">
        <f>SUMPRODUCT(ISNUMBER(tblY10[[Avg KS2 Band]])*ISNUMBER(tblY10[[Mean Stanine]]),tblY10[[Avg KS2 Band]])</f>
        <v>582</v>
      </c>
      <c r="BQ6">
        <f>SUMPRODUCT(ISNUMBER(tblY10[[Avg KS2 Band]])*ISNUMBER(tblY10[[Mean Stanine]]),tblY10[[Mean Stanine]])</f>
        <v>574.683333333333</v>
      </c>
      <c r="BR6">
        <f>SUMPRODUCT(ISNUMBER(tblY10[[Avg KS2 Band]])*ISNUMBER(tblY10[[Mean Stanine]]),tblY10[[Avg KS2 Band]],tblY10[[Avg KS2 Band]])</f>
        <v>3388</v>
      </c>
      <c r="BS6">
        <f>SUMPRODUCT(ISNUMBER(tblY10[[Avg KS2 Band]])*ISNUMBER(tblY10[[Mean Stanine]]),tblY10[[Avg KS2 Band]],tblY10[[Mean Stanine]])</f>
        <v>3264.25</v>
      </c>
      <c r="BT6">
        <f>IF(BO6&lt;10,"",IFERROR(MAX(0,MIN(1,(BO6*BS6-BP6*BQ6)/(BO6*BR6-BP6^2))),""))</f>
        <v>0.814002284282662</v>
      </c>
      <c r="BU6">
        <f>IF(BT6="","",(BQ6-BT6*BP6)/BO6)</f>
        <v>0.87012072311055</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B7" s="31" t="inlineStr">
        <is>
          <t>Year 11</t>
        </is>
      </c>
      <c r="C7" s="31" t="inlineStr">
        <is>
          <t>tblY11</t>
        </is>
      </c>
      <c r="S7" t="str">
        <f>IFERROR(INDEX(H$10:H$609,MATCH(SMALL(I$10:I$609,5),I$10:I$609,0)),"")</f>
        <v>7B/Sc3</v>
      </c>
      <c r="T7" t="str">
        <f>IFERROR(INDEX(J$10:J$609,MATCH(SMALL(K$10:K$609,5),K$10:K$609,0)),"")</f>
        <v>Science Support</v>
      </c>
      <c r="U7" t="str">
        <f>IFERROR(INDEX(L$10:L$609,MATCH(SMALL(M$10:M$609,5),M$10:M$609,0)),"")</f>
        <v>9B/Sc2</v>
      </c>
      <c r="V7" t="str">
        <f>IFERROR(INDEX(N$10:N$609,MATCH(SMALL(O$10:O$609,5),O$10:O$609,0)),"")</f>
        <v>10S/Sc5</v>
      </c>
      <c r="W7" t="str">
        <f>IFERROR(INDEX(P$10:P$609,MATCH(SMALL(Q$10:Q$609,5),Q$10:Q$609,0)),"")</f>
        <v>11S/Sc5</v>
      </c>
      <c r="Y7" t="str">
        <f>IFERROR(INDEX($S7:$W7,dYear),"")</f>
        <v>11S/Sc5</v>
      </c>
      <c r="AA7" t="str">
        <f>IFERROR(INDEX(tblAssessments[Test Name],MATCH(SelYear&amp;"|"&amp;5,tblAssessments[Seq Key],0))&amp;"","")</f>
        <v>4C10 - Chemical Analysis</v>
      </c>
      <c r="AB7">
        <f>IF(AA7="","",IFERROR(INDEX(tblAssessments[Max Marks],MATCH(SelYear&amp;"|"&amp;5,tblAssessments[Seq Key],0)),""))</f>
        <v>30</v>
      </c>
      <c r="AC7" s="84">
        <f>IF(AA7="","",IFERROR(IF(INDEX(tblAssessments[Date],MATCH(SelYear&amp;"|"&amp;5,tblAssessments[Seq Key],0))="","",INDEX(tblAssessments[Date],MATCH(SelYear&amp;"|"&amp;5,tblAssessments[Seq Key],0))),""))</f>
        <v>46347.0</v>
      </c>
      <c r="AD7" t="str">
        <f>IF(AA7="","",IFERROR(INDEX(tblAssessments[Code],MATCH(SelYear&amp;"|"&amp;5,tblAssessments[Seq Key],0))&amp;"",""))</f>
        <v>4C10</v>
      </c>
      <c r="AF7" t="str">
        <f>IF(COUNTIF(tblAssessments[Year Group],"Year 11")=0,"",IFERROR(INDEX(tblAssessments[Test Name],MATCH("Year 11|"&amp;COUNTIF(tblAssessments[Year Group],"Year 11"),tblAssessments[Seq Key],0)),""))</f>
        <v>4P07 - Magnetism</v>
      </c>
      <c r="AG7">
        <f>IF(AF7="","",IFERROR(INDEX(tblAssessments[Max Marks],MATCH("Year 11|"&amp;COUNTIF(tblAssessments[Year Group],"Year 11"),tblAssessments[Seq Key],0)),""))</f>
        <v>34</v>
      </c>
      <c r="AH7" s="84">
        <f>IF(AF7="","",IFERROR(IF(INDEX(tblAssessments[Date],MATCH("Year 11|"&amp;COUNTIF(tblAssessments[Year Group],"Year 11"),tblAssessments[Seq Key],0))="","",INDEX(tblAssessments[Date],MATCH("Year 11|"&amp;COUNTIF(tblAssessments[Year Group],"Year 11"),tblAssessments[Seq Key],0))),""))</f>
        <v>46361.0</v>
      </c>
      <c r="AI7">
        <f>COUNTIF(tblAssessments[Year Group],"Year 11")</f>
        <v>6</v>
      </c>
      <c r="AK7" t="str">
        <f>IF(AA7="","",IF(AD7&lt;&gt;"",AD7,LEFT(AA7,14)))</f>
        <v>4C10</v>
      </c>
      <c r="AL7">
        <f>IF(AA7="",NA(),IFERROR(AVERAGE(INDEX(dData,0,MATCH(AA7&amp;CHAR(10)&amp;"Stanine",dHdr,0))),NA()))</f>
        <v>5.01904761904762</v>
      </c>
      <c r="AM7">
        <f>IF(OR(AA7="",SelClass=""),NA(),IFERROR(SUMPRODUCT(((dClass)&amp;""=(SelClass)&amp;"")*ISNUMBER(INDEX(dData,0,MATCH(AA7&amp;CHAR(10)&amp;"Stanine",dHdr,0))),INDEX(dData,0,MATCH(AA7&amp;CHAR(10)&amp;"Stanine",dHdr,0)))/SUMPRODUCT(((dClass)&amp;""=(SelClass)&amp;"")*ISNUMBER(INDEX(dData,0,MATCH(AA7&amp;CHAR(10)&amp;"Stanine",dHdr,0)))),NA()))</f>
        <v>6.71428571428571</v>
      </c>
      <c r="AO7" t="str">
        <f>Y6</f>
        <v>11S/Sc4</v>
      </c>
      <c r="AP7" s="85">
        <f>IF(AO7="",NA(),IFERROR(SUMPRODUCT(((dClass)&amp;""=(AO7)&amp;"")*ISNUMBER(dRaw),dRaw)/SUMPRODUCT(((dClass)&amp;""=(AO7)&amp;"")*ISNUMBER(dRaw))/dMax,NA()))</f>
        <v>0.343137254901961</v>
      </c>
      <c r="AR7" t="n">
        <v>5</v>
      </c>
      <c r="AS7" s="85">
        <f>IFERROR(COUNTIF(dStn,AR7)/COUNT(dStn),0)</f>
        <v>0.23</v>
      </c>
      <c r="AT7" s="85" t="n">
        <v>0.2</v>
      </c>
      <c r="BL7">
        <f>IFERROR(MATCH(SMALL($BJ$70:$BJ$669,5),$BJ$70:$BJ$669,0),"")</f>
        <v>83</v>
      </c>
      <c r="BN7" s="31" t="inlineStr">
        <is>
          <t>Year 11</t>
        </is>
      </c>
      <c r="BO7">
        <f>SUMPRODUCT(ISNUMBER(tblY11[[Avg KS2 Band]])*ISNUMBER(tblY11[[Mean Stanine]]))</f>
        <v>105</v>
      </c>
      <c r="BP7">
        <f>SUMPRODUCT(ISNUMBER(tblY11[[Avg KS2 Band]])*ISNUMBER(tblY11[[Mean Stanine]]),tblY11[[Avg KS2 Band]])</f>
        <v>525</v>
      </c>
      <c r="BQ7">
        <f>SUMPRODUCT(ISNUMBER(tblY11[[Avg KS2 Band]])*ISNUMBER(tblY11[[Mean Stanine]]),tblY11[[Mean Stanine]])</f>
        <v>520.033333333333</v>
      </c>
      <c r="BR7">
        <f>SUMPRODUCT(ISNUMBER(tblY11[[Avg KS2 Band]])*ISNUMBER(tblY11[[Mean Stanine]]),tblY11[[Avg KS2 Band]],tblY11[[Avg KS2 Band]])</f>
        <v>3065</v>
      </c>
      <c r="BS7">
        <f>SUMPRODUCT(ISNUMBER(tblY11[[Avg KS2 Band]])*ISNUMBER(tblY11[[Mean Stanine]]),tblY11[[Avg KS2 Band]],tblY11[[Mean Stanine]])</f>
        <v>2929.66666666667</v>
      </c>
      <c r="BT7">
        <f>IF(BO7&lt;10,"",IFERROR(MAX(0,MIN(1,(BO7*BS7-BP7*BQ7)/(BO7*BR7-BP7^2))),""))</f>
        <v>0.748863636363636</v>
      </c>
      <c r="BU7">
        <f>IF(BT7="","",(BQ7-BT7*BP7)/BO7)</f>
        <v>1.20838023088023</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1</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T8" t="str">
        <f>IFERROR(INDEX(J$10:J$609,MATCH(SMALL(K$10:K$609,6),K$10:K$609,0)),"")</f>
        <v/>
      </c>
      <c r="U8" t="str">
        <f>IFERROR(INDEX(L$10:L$609,MATCH(SMALL(M$10:M$609,6),M$10:M$609,0)),"")</f>
        <v>Science Support</v>
      </c>
      <c r="V8" t="str">
        <f>IFERROR(INDEX(N$10:N$609,MATCH(SMALL(O$10:O$609,6),O$10:O$609,0)),"")</f>
        <v>Science Support</v>
      </c>
      <c r="W8" t="str">
        <f>IFERROR(INDEX(P$10:P$609,MATCH(SMALL(Q$10:Q$609,6),Q$10:Q$609,0)),"")</f>
        <v>Science Support</v>
      </c>
      <c r="Y8" t="str">
        <f>IFERROR(INDEX($S8:$W8,dYear),"")</f>
        <v>Science Support</v>
      </c>
      <c r="AA8" t="str">
        <f>IFERROR(INDEX(tblAssessments[Test Name],MATCH(SelYear&amp;"|"&amp;6,tblAssessments[Seq Key],0))&amp;"","")</f>
        <v>4P07 - Magnetism</v>
      </c>
      <c r="AB8">
        <f>IF(AA8="","",IFERROR(INDEX(tblAssessments[Max Marks],MATCH(SelYear&amp;"|"&amp;6,tblAssessments[Seq Key],0)),""))</f>
        <v>34</v>
      </c>
      <c r="AC8" s="84">
        <f>IF(AA8="","",IFERROR(IF(INDEX(tblAssessments[Date],MATCH(SelYear&amp;"|"&amp;6,tblAssessments[Seq Key],0))="","",INDEX(tblAssessments[Date],MATCH(SelYear&amp;"|"&amp;6,tblAssessments[Seq Key],0))),""))</f>
        <v>46361.0</v>
      </c>
      <c r="AD8" t="str">
        <f>IF(AA8="","",IFERROR(INDEX(tblAssessments[Code],MATCH(SelYear&amp;"|"&amp;6,tblAssessments[Seq Key],0))&amp;"",""))</f>
        <v>4P07</v>
      </c>
      <c r="AK8" t="str">
        <f>IF(AA8="","",IF(AD8&lt;&gt;"",AD8,LEFT(AA8,14)))</f>
        <v>4P07</v>
      </c>
      <c r="AL8">
        <f>IF(AA8="",NA(),IFERROR(AVERAGE(INDEX(dData,0,MATCH(AA8&amp;CHAR(10)&amp;"Stanine",dHdr,0))),NA()))</f>
        <v>5.01</v>
      </c>
      <c r="AM8">
        <f>IF(OR(AA8="",SelClass=""),NA(),IFERROR(SUMPRODUCT(((dClass)&amp;""=(SelClass)&amp;"")*ISNUMBER(INDEX(dData,0,MATCH(AA8&amp;CHAR(10)&amp;"Stanine",dHdr,0))),INDEX(dData,0,MATCH(AA8&amp;CHAR(10)&amp;"Stanine",dHdr,0)))/SUMPRODUCT(((dClass)&amp;""=(SelClass)&amp;"")*ISNUMBER(INDEX(dData,0,MATCH(AA8&amp;CHAR(10)&amp;"Stanine",dHdr,0)))),NA()))</f>
        <v>6.77777777777778</v>
      </c>
      <c r="AO8" t="str">
        <f>Y7</f>
        <v>11S/Sc5</v>
      </c>
      <c r="AP8" s="85">
        <f>IF(AO8="",NA(),IFERROR(SUMPRODUCT(((dClass)&amp;""=(AO8)&amp;"")*ISNUMBER(dRaw),dRaw)/SUMPRODUCT(((dClass)&amp;""=(AO8)&amp;"")*ISNUMBER(dRaw))/dMax,NA()))</f>
        <v>0.276960784313725</v>
      </c>
      <c r="AR8" t="n">
        <v>6</v>
      </c>
      <c r="AS8" s="85">
        <f>IFERROR(COUNTIF(dStn,AR8)/COUNT(dStn),0)</f>
        <v>0.16</v>
      </c>
      <c r="AT8" s="85" t="n">
        <v>0.17</v>
      </c>
      <c r="BL8">
        <f>IFERROR(MATCH(SMALL($BJ$70:$BJ$669,6),$BJ$70:$BJ$669,0),"")</f>
        <v>63</v>
      </c>
      <c r="BW8">
        <f>IF(OR($AA8="",$Y$3=""),"",IFERROR((SUMPRODUCT(((dClass)&amp;""=($Y$3)&amp;"")*ISNUMBER(INDEX(dData,0,MATCH($AA8&amp;CHAR(10)&amp;"Raw Score",dHdr,0)))*((INDEX(dData,0,MATCH($AA8&amp;CHAR(10)&amp;"Raw Score",dHdr,0)))&gt;=0))+SUMPRODUCT(((dClass)&amp;""=($Y$3)&amp;"")*((INDEX(dData,0,MATCH($AA8&amp;CHAR(10)&amp;"Raw Score",dHdr,0)))&amp;""="A")))/SUMPRODUCT(--((dClass)&amp;""=($Y$3)&amp;"")),""))</f>
        <v>1</v>
      </c>
      <c r="BX8">
        <f>IF(OR($AA8="",$Y$4=""),"",IFERROR((SUMPRODUCT(((dClass)&amp;""=($Y$4)&amp;"")*ISNUMBER(INDEX(dData,0,MATCH($AA8&amp;CHAR(10)&amp;"Raw Score",dHdr,0)))*((INDEX(dData,0,MATCH($AA8&amp;CHAR(10)&amp;"Raw Score",dHdr,0)))&gt;=0))+SUMPRODUCT(((dClass)&amp;""=($Y$4)&amp;"")*((INDEX(dData,0,MATCH($AA8&amp;CHAR(10)&amp;"Raw Score",dHdr,0)))&amp;""="A")))/SUMPRODUCT(--((dClass)&amp;""=($Y$4)&amp;"")),""))</f>
        <v>1</v>
      </c>
      <c r="BY8">
        <f>IF(OR($AA8="",$Y$5=""),"",IFERROR((SUMPRODUCT(((dClass)&amp;""=($Y$5)&amp;"")*ISNUMBER(INDEX(dData,0,MATCH($AA8&amp;CHAR(10)&amp;"Raw Score",dHdr,0)))*((INDEX(dData,0,MATCH($AA8&amp;CHAR(10)&amp;"Raw Score",dHdr,0)))&gt;=0))+SUMPRODUCT(((dClass)&amp;""=($Y$5)&amp;"")*((INDEX(dData,0,MATCH($AA8&amp;CHAR(10)&amp;"Raw Score",dHdr,0)))&amp;""="A")))/SUMPRODUCT(--((dClass)&amp;""=($Y$5)&amp;"")),""))</f>
        <v>1</v>
      </c>
      <c r="BZ8">
        <f>IF(OR($AA8="",$Y$6=""),"",IFERROR((SUMPRODUCT(((dClass)&amp;""=($Y$6)&amp;"")*ISNUMBER(INDEX(dData,0,MATCH($AA8&amp;CHAR(10)&amp;"Raw Score",dHdr,0)))*((INDEX(dData,0,MATCH($AA8&amp;CHAR(10)&amp;"Raw Score",dHdr,0)))&gt;=0))+SUMPRODUCT(((dClass)&amp;""=($Y$6)&amp;"")*((INDEX(dData,0,MATCH($AA8&amp;CHAR(10)&amp;"Raw Score",dHdr,0)))&amp;""="A")))/SUMPRODUCT(--((dClass)&amp;""=($Y$6)&amp;"")),""))</f>
        <v>1</v>
      </c>
      <c r="CA8">
        <f>IF(OR($AA8="",$Y$7=""),"",IFERROR((SUMPRODUCT(((dClass)&amp;""=($Y$7)&amp;"")*ISNUMBER(INDEX(dData,0,MATCH($AA8&amp;CHAR(10)&amp;"Raw Score",dHdr,0)))*((INDEX(dData,0,MATCH($AA8&amp;CHAR(10)&amp;"Raw Score",dHdr,0)))&gt;=0))+SUMPRODUCT(((dClass)&amp;""=($Y$7)&amp;"")*((INDEX(dData,0,MATCH($AA8&amp;CHAR(10)&amp;"Raw Score",dHdr,0)))&amp;""="A")))/SUMPRODUCT(--((dClass)&amp;""=($Y$7)&amp;"")),""))</f>
        <v>1</v>
      </c>
      <c r="CB8">
        <f>IF(OR($AA8="",$Y$8=""),"",IFERROR((SUMPRODUCT(((dClass)&amp;""=($Y$8)&amp;"")*ISNUMBER(INDEX(dData,0,MATCH($AA8&amp;CHAR(10)&amp;"Raw Score",dHdr,0)))*((INDEX(dData,0,MATCH($AA8&amp;CHAR(10)&amp;"Raw Score",dHdr,0)))&gt;=0))+SUMPRODUCT(((dClass)&amp;""=($Y$8)&amp;"")*((INDEX(dData,0,MATCH($AA8&amp;CHAR(10)&amp;"Raw Score",dHdr,0)))&amp;""="A")))/SUMPRODUCT(--((dClass)&amp;""=($Y$8)&amp;"")),""))</f>
        <v>1</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7 class</t>
        </is>
      </c>
      <c r="J9" s="83" t="inlineStr">
        <is>
          <t>Year 8 class</t>
        </is>
      </c>
      <c r="L9" s="83" t="inlineStr">
        <is>
          <t>Year 9 class</t>
        </is>
      </c>
      <c r="N9" s="83" t="inlineStr">
        <is>
          <t>Year 10 class</t>
        </is>
      </c>
      <c r="P9" s="83" t="inlineStr">
        <is>
          <t>Year 11 class</t>
        </is>
      </c>
      <c r="S9" t="str">
        <f>IFERROR(INDEX(H$10:H$609,MATCH(SMALL(I$10:I$609,7),I$10:I$609,0)),"")</f>
        <v/>
      </c>
      <c r="T9" t="str">
        <f>IFERROR(INDEX(J$10:J$609,MATCH(SMALL(K$10:K$609,7),K$10:K$609,0)),"")</f>
        <v/>
      </c>
      <c r="U9" t="str">
        <f>IFERROR(INDEX(L$10:L$609,MATCH(SMALL(M$10:M$609,7),M$10:M$609,0)),"")</f>
        <v/>
      </c>
      <c r="V9" t="str">
        <f>IFERROR(INDEX(N$10:N$609,MATCH(SMALL(O$10:O$609,7),O$10:O$609,0)),"")</f>
        <v/>
      </c>
      <c r="W9" t="str">
        <f>IFERROR(INDEX(P$10:P$609,MATCH(SMALL(Q$10:Q$609,7),Q$10:Q$609,0)),"")</f>
        <v/>
      </c>
      <c r="Y9" t="str">
        <f>IFERROR(INDEX($S9:$W9,dYear),"")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0.188235294117647</v>
      </c>
      <c r="AR9" t="n">
        <v>7</v>
      </c>
      <c r="AS9" s="85">
        <f>IFERROR(COUNTIF(dStn,AR9)/COUNT(dStn),0)</f>
        <v>0.08</v>
      </c>
      <c r="AT9" s="85" t="n">
        <v>0.12</v>
      </c>
      <c r="BL9">
        <f>IFERROR(MATCH(SMALL($BJ$70:$BJ$669,7),$BJ$70:$BJ$669,0),"")</f>
        <v>101</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IFERROR(INDEX(tblY7[Class],ROWS(H$10:H10))&amp;"","")</f>
        <v>7A/Sc1</v>
      </c>
      <c r="I10">
        <f>IF(H10="","",IF(SUMPRODUCT(--(H$10:H10=H10))=1,SUMPRODUCT(--(H$10:H$609&lt;H10))+1,""))</f>
        <v>470</v>
      </c>
      <c r="J10" t="str">
        <f>IFERROR(INDEX(tblY8[Class],ROWS(J$10:J10))&amp;"","")</f>
        <v>8A/Sc1</v>
      </c>
      <c r="K10">
        <f>IF(J10="","",IF(SUMPRODUCT(--(J$10:J10=J10))=1,SUMPRODUCT(--(J$10:J$609&lt;J10))+1,""))</f>
        <v>508</v>
      </c>
      <c r="L10" t="str">
        <f>IFERROR(INDEX(tblY9[Class],ROWS(L$10:L10))&amp;"","")</f>
        <v>9A/Sc1</v>
      </c>
      <c r="M10">
        <f>IF(L10="","",IF(SUMPRODUCT(--(L$10:L10=L10))=1,SUMPRODUCT(--(L$10:L$609&lt;L10))+1,""))</f>
        <v>476</v>
      </c>
      <c r="N10" t="str">
        <f>IFERROR(INDEX(tblY10[Class],ROWS(N$10:N10))&amp;"","")</f>
        <v>10S/Sc1</v>
      </c>
      <c r="O10">
        <f>IF(N10="","",IF(SUMPRODUCT(--(N$10:N10=N10))=1,SUMPRODUCT(--(N$10:N$609&lt;N10))+1,""))</f>
        <v>484</v>
      </c>
      <c r="P10" t="str">
        <f>IFERROR(INDEX(tblY11[Class],ROWS(P$10:P10))&amp;"","")</f>
        <v>11S/Sc1</v>
      </c>
      <c r="Q10">
        <f>IF(P10="","",IF(SUMPRODUCT(--(P$10:P10=P10))=1,SUMPRODUCT(--(P$10:P$609&lt;P10))+1,""))</f>
        <v>495</v>
      </c>
      <c r="S10" t="str">
        <f>IFERROR(INDEX(H$10:H$609,MATCH(SMALL(I$10:I$609,8),I$10:I$609,0)),"")</f>
        <v/>
      </c>
      <c r="T10" t="str">
        <f>IFERROR(INDEX(J$10:J$609,MATCH(SMALL(K$10:K$609,8),K$10:K$609,0)),"")</f>
        <v/>
      </c>
      <c r="U10" t="str">
        <f>IFERROR(INDEX(L$10:L$609,MATCH(SMALL(M$10:M$609,8),M$10:M$609,0)),"")</f>
        <v/>
      </c>
      <c r="V10" t="str">
        <f>IFERROR(INDEX(N$10:N$609,MATCH(SMALL(O$10:O$609,8),O$10:O$609,0)),"")</f>
        <v/>
      </c>
      <c r="W10" t="str">
        <f>IFERROR(INDEX(P$10:P$609,MATCH(SMALL(Q$10:Q$609,8),Q$10:Q$609,0)),"")</f>
        <v/>
      </c>
      <c r="Y10" t="str">
        <f>IFERROR(INDEX($S10:$W10,dYear),"")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v>
      </c>
      <c r="AT10" s="85" t="n">
        <v>0.07000000000000001</v>
      </c>
      <c r="BL10">
        <f>IFERROR(MATCH(SMALL($BJ$70:$BJ$669,8),$BJ$70:$BJ$669,0),"")</f>
        <v>37</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IFERROR(INDEX(tblY7[Class],ROWS(H$10:H11))&amp;"","")</f>
        <v>7A/Sc1</v>
      </c>
      <c r="I11" t="str">
        <f>IF(H11="","",IF(SUMPRODUCT(--(H$10:H11=H11))=1,SUMPRODUCT(--(H$10:H$609&lt;H11))+1,""))</f>
        <v/>
      </c>
      <c r="J11" t="str">
        <f>IFERROR(INDEX(tblY8[Class],ROWS(J$10:J11))&amp;"","")</f>
        <v>8A/Sc1</v>
      </c>
      <c r="K11" t="str">
        <f>IF(J11="","",IF(SUMPRODUCT(--(J$10:J11=J11))=1,SUMPRODUCT(--(J$10:J$609&lt;J11))+1,""))</f>
        <v/>
      </c>
      <c r="L11" t="str">
        <f>IFERROR(INDEX(tblY9[Class],ROWS(L$10:L11))&amp;"","")</f>
        <v>9A/Sc1</v>
      </c>
      <c r="M11" t="str">
        <f>IF(L11="","",IF(SUMPRODUCT(--(L$10:L11=L11))=1,SUMPRODUCT(--(L$10:L$609&lt;L11))+1,""))</f>
        <v/>
      </c>
      <c r="N11" t="str">
        <f>IFERROR(INDEX(tblY10[Class],ROWS(N$10:N11))&amp;"","")</f>
        <v>10S/Sc1</v>
      </c>
      <c r="O11" t="str">
        <f>IF(N11="","",IF(SUMPRODUCT(--(N$10:N11=N11))=1,SUMPRODUCT(--(N$10:N$609&lt;N11))+1,""))</f>
        <v/>
      </c>
      <c r="P11" t="str">
        <f>IFERROR(INDEX(tblY11[Class],ROWS(P$10:P11))&amp;"","")</f>
        <v>11S/Sc1</v>
      </c>
      <c r="Q11" t="str">
        <f>IF(P11="","",IF(SUMPRODUCT(--(P$10:P11=P11))=1,SUMPRODUCT(--(P$10:P$609&lt;P11))+1,""))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0.05</v>
      </c>
      <c r="AT11" s="85" t="n">
        <v>0.04</v>
      </c>
      <c r="BL11">
        <f>IFERROR(MATCH(SMALL($BJ$70:$BJ$669,9),$BJ$70:$BJ$669,0),"")</f>
        <v>53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IFERROR(INDEX(tblY7[Class],ROWS(H$10:H12))&amp;"","")</f>
        <v>7A/Sc1</v>
      </c>
      <c r="I12" t="str">
        <f>IF(H12="","",IF(SUMPRODUCT(--(H$10:H12=H12))=1,SUMPRODUCT(--(H$10:H$609&lt;H12))+1,""))</f>
        <v/>
      </c>
      <c r="J12" t="str">
        <f>IFERROR(INDEX(tblY8[Class],ROWS(J$10:J12))&amp;"","")</f>
        <v>8A/Sc1</v>
      </c>
      <c r="K12" t="str">
        <f>IF(J12="","",IF(SUMPRODUCT(--(J$10:J12=J12))=1,SUMPRODUCT(--(J$10:J$609&lt;J12))+1,""))</f>
        <v/>
      </c>
      <c r="L12" t="str">
        <f>IFERROR(INDEX(tblY9[Class],ROWS(L$10:L12))&amp;"","")</f>
        <v>9A/Sc1</v>
      </c>
      <c r="M12" t="str">
        <f>IF(L12="","",IF(SUMPRODUCT(--(L$10:L12=L12))=1,SUMPRODUCT(--(L$10:L$609&lt;L12))+1,""))</f>
        <v/>
      </c>
      <c r="N12" t="str">
        <f>IFERROR(INDEX(tblY10[Class],ROWS(N$10:N12))&amp;"","")</f>
        <v>10S/Sc1</v>
      </c>
      <c r="O12" t="str">
        <f>IF(N12="","",IF(SUMPRODUCT(--(N$10:N12=N12))=1,SUMPRODUCT(--(N$10:N$609&lt;N12))+1,""))</f>
        <v/>
      </c>
      <c r="P12" t="str">
        <f>IFERROR(INDEX(tblY11[Class],ROWS(P$10:P12))&amp;"","")</f>
        <v>11S/Sc1</v>
      </c>
      <c r="Q12" t="str">
        <f>IF(P12="","",IF(SUMPRODUCT(--(P$10:P12=P12))=1,SUMPRODUCT(--(P$10:P$609&lt;P12))+1,""))</f>
        <v/>
      </c>
      <c r="S12">
        <f>COUNT(I$10:I$609)</f>
        <v>5</v>
      </c>
      <c r="T12">
        <f>COUNT(K$10:K$609)</f>
        <v>5</v>
      </c>
      <c r="U12">
        <f>COUNT(M$10:M$609)</f>
        <v>6</v>
      </c>
      <c r="V12">
        <f>COUNT(O$10:O$609)</f>
        <v>6</v>
      </c>
      <c r="W12">
        <f>COUNT(Q$10:Q$609)</f>
        <v>6</v>
      </c>
      <c r="Y12">
        <f>IFERROR(INDEX($S$12:$W$12,dYear),0)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IFERROR(INDEX(tblY7[Class],ROWS(H$10:H13))&amp;"","")</f>
        <v>7A/Sc1</v>
      </c>
      <c r="I13" t="str">
        <f>IF(H13="","",IF(SUMPRODUCT(--(H$10:H13=H13))=1,SUMPRODUCT(--(H$10:H$609&lt;H13))+1,""))</f>
        <v/>
      </c>
      <c r="J13" t="str">
        <f>IFERROR(INDEX(tblY8[Class],ROWS(J$10:J13))&amp;"","")</f>
        <v>8A/Sc1</v>
      </c>
      <c r="K13" t="str">
        <f>IF(J13="","",IF(SUMPRODUCT(--(J$10:J13=J13))=1,SUMPRODUCT(--(J$10:J$609&lt;J13))+1,""))</f>
        <v/>
      </c>
      <c r="L13" t="str">
        <f>IFERROR(INDEX(tblY9[Class],ROWS(L$10:L13))&amp;"","")</f>
        <v>9A/Sc1</v>
      </c>
      <c r="M13" t="str">
        <f>IF(L13="","",IF(SUMPRODUCT(--(L$10:L13=L13))=1,SUMPRODUCT(--(L$10:L$609&lt;L13))+1,""))</f>
        <v/>
      </c>
      <c r="N13" t="str">
        <f>IFERROR(INDEX(tblY10[Class],ROWS(N$10:N13))&amp;"","")</f>
        <v>10S/Sc1</v>
      </c>
      <c r="O13" t="str">
        <f>IF(N13="","",IF(SUMPRODUCT(--(N$10:N13=N13))=1,SUMPRODUCT(--(N$10:N$609&lt;N13))+1,""))</f>
        <v/>
      </c>
      <c r="P13" t="str">
        <f>IFERROR(INDEX(tblY11[Class],ROWS(P$10:P13))&amp;"","")</f>
        <v>11S/Sc1</v>
      </c>
      <c r="Q13" t="str">
        <f>IF(P13="","",IF(SUMPRODUCT(--(P$10:P13=P13))=1,SUMPRODUCT(--(P$10:P$609&lt;P13))+1,""))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IFERROR(INDEX(tblY7[Class],ROWS(H$10:H14))&amp;"","")</f>
        <v>7A/Sc1</v>
      </c>
      <c r="I14" t="str">
        <f>IF(H14="","",IF(SUMPRODUCT(--(H$10:H14=H14))=1,SUMPRODUCT(--(H$10:H$609&lt;H14))+1,""))</f>
        <v/>
      </c>
      <c r="J14" t="str">
        <f>IFERROR(INDEX(tblY8[Class],ROWS(J$10:J14))&amp;"","")</f>
        <v>8A/Sc1</v>
      </c>
      <c r="K14" t="str">
        <f>IF(J14="","",IF(SUMPRODUCT(--(J$10:J14=J14))=1,SUMPRODUCT(--(J$10:J$609&lt;J14))+1,""))</f>
        <v/>
      </c>
      <c r="L14" t="str">
        <f>IFERROR(INDEX(tblY9[Class],ROWS(L$10:L14))&amp;"","")</f>
        <v>9A/Sc1</v>
      </c>
      <c r="M14" t="str">
        <f>IF(L14="","",IF(SUMPRODUCT(--(L$10:L14=L14))=1,SUMPRODUCT(--(L$10:L$609&lt;L14))+1,""))</f>
        <v/>
      </c>
      <c r="N14" t="str">
        <f>IFERROR(INDEX(tblY10[Class],ROWS(N$10:N14))&amp;"","")</f>
        <v>10S/Sc1</v>
      </c>
      <c r="O14" t="str">
        <f>IF(N14="","",IF(SUMPRODUCT(--(N$10:N14=N14))=1,SUMPRODUCT(--(N$10:N$609&lt;N14))+1,""))</f>
        <v/>
      </c>
      <c r="P14" t="str">
        <f>IFERROR(INDEX(tblY11[Class],ROWS(P$10:P14))&amp;"","")</f>
        <v>11S/Sc1</v>
      </c>
      <c r="Q14" t="str">
        <f>IF(P14="","",IF(SUMPRODUCT(--(P$10:P14=P14))=1,SUMPRODUCT(--(P$10:P$609&lt;P14))+1,""))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IFERROR(INDEX(tblY7[Class],ROWS(H$10:H15))&amp;"","")</f>
        <v>7A/Sc1</v>
      </c>
      <c r="I15" t="str">
        <f>IF(H15="","",IF(SUMPRODUCT(--(H$10:H15=H15))=1,SUMPRODUCT(--(H$10:H$609&lt;H15))+1,""))</f>
        <v/>
      </c>
      <c r="J15" t="str">
        <f>IFERROR(INDEX(tblY8[Class],ROWS(J$10:J15))&amp;"","")</f>
        <v>8A/Sc1</v>
      </c>
      <c r="K15" t="str">
        <f>IF(J15="","",IF(SUMPRODUCT(--(J$10:J15=J15))=1,SUMPRODUCT(--(J$10:J$609&lt;J15))+1,""))</f>
        <v/>
      </c>
      <c r="L15" t="str">
        <f>IFERROR(INDEX(tblY9[Class],ROWS(L$10:L15))&amp;"","")</f>
        <v>9A/Sc1</v>
      </c>
      <c r="M15" t="str">
        <f>IF(L15="","",IF(SUMPRODUCT(--(L$10:L15=L15))=1,SUMPRODUCT(--(L$10:L$609&lt;L15))+1,""))</f>
        <v/>
      </c>
      <c r="N15" t="str">
        <f>IFERROR(INDEX(tblY10[Class],ROWS(N$10:N15))&amp;"","")</f>
        <v>10S/Sc1</v>
      </c>
      <c r="O15" t="str">
        <f>IF(N15="","",IF(SUMPRODUCT(--(N$10:N15=N15))=1,SUMPRODUCT(--(N$10:N$609&lt;N15))+1,""))</f>
        <v/>
      </c>
      <c r="P15" t="str">
        <f>IFERROR(INDEX(tblY11[Class],ROWS(P$10:P15))&amp;"","")</f>
        <v>11S/Sc1</v>
      </c>
      <c r="Q15" t="str">
        <f>IF(P15="","",IF(SUMPRODUCT(--(P$10:P15=P15))=1,SUMPRODUCT(--(P$10:P$609&lt;P15))+1,""))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IFERROR(INDEX(tblY7[Class],ROWS(H$10:H16))&amp;"","")</f>
        <v>7A/Sc1</v>
      </c>
      <c r="I16" t="str">
        <f>IF(H16="","",IF(SUMPRODUCT(--(H$10:H16=H16))=1,SUMPRODUCT(--(H$10:H$609&lt;H16))+1,""))</f>
        <v/>
      </c>
      <c r="J16" t="str">
        <f>IFERROR(INDEX(tblY8[Class],ROWS(J$10:J16))&amp;"","")</f>
        <v>8A/Sc1</v>
      </c>
      <c r="K16" t="str">
        <f>IF(J16="","",IF(SUMPRODUCT(--(J$10:J16=J16))=1,SUMPRODUCT(--(J$10:J$609&lt;J16))+1,""))</f>
        <v/>
      </c>
      <c r="L16" t="str">
        <f>IFERROR(INDEX(tblY9[Class],ROWS(L$10:L16))&amp;"","")</f>
        <v>9A/Sc1</v>
      </c>
      <c r="M16" t="str">
        <f>IF(L16="","",IF(SUMPRODUCT(--(L$10:L16=L16))=1,SUMPRODUCT(--(L$10:L$609&lt;L16))+1,""))</f>
        <v/>
      </c>
      <c r="N16" t="str">
        <f>IFERROR(INDEX(tblY10[Class],ROWS(N$10:N16))&amp;"","")</f>
        <v>10S/Sc1</v>
      </c>
      <c r="O16" t="str">
        <f>IF(N16="","",IF(SUMPRODUCT(--(N$10:N16=N16))=1,SUMPRODUCT(--(N$10:N$609&lt;N16))+1,""))</f>
        <v/>
      </c>
      <c r="P16" t="str">
        <f>IFERROR(INDEX(tblY11[Class],ROWS(P$10:P16))&amp;"","")</f>
        <v>11S/Sc1</v>
      </c>
      <c r="Q16" t="str">
        <f>IF(P16="","",IF(SUMPRODUCT(--(P$10:P16=P16))=1,SUMPRODUCT(--(P$10:P$609&lt;P16))+1,""))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IFERROR(INDEX(tblY7[Class],ROWS(H$10:H17))&amp;"","")</f>
        <v>7A/Sc1</v>
      </c>
      <c r="I17" t="str">
        <f>IF(H17="","",IF(SUMPRODUCT(--(H$10:H17=H17))=1,SUMPRODUCT(--(H$10:H$609&lt;H17))+1,""))</f>
        <v/>
      </c>
      <c r="J17" t="str">
        <f>IFERROR(INDEX(tblY8[Class],ROWS(J$10:J17))&amp;"","")</f>
        <v>8A/Sc1</v>
      </c>
      <c r="K17" t="str">
        <f>IF(J17="","",IF(SUMPRODUCT(--(J$10:J17=J17))=1,SUMPRODUCT(--(J$10:J$609&lt;J17))+1,""))</f>
        <v/>
      </c>
      <c r="L17" t="str">
        <f>IFERROR(INDEX(tblY9[Class],ROWS(L$10:L17))&amp;"","")</f>
        <v>9A/Sc1</v>
      </c>
      <c r="M17" t="str">
        <f>IF(L17="","",IF(SUMPRODUCT(--(L$10:L17=L17))=1,SUMPRODUCT(--(L$10:L$609&lt;L17))+1,""))</f>
        <v/>
      </c>
      <c r="N17" t="str">
        <f>IFERROR(INDEX(tblY10[Class],ROWS(N$10:N17))&amp;"","")</f>
        <v>10S/Sc1</v>
      </c>
      <c r="O17" t="str">
        <f>IF(N17="","",IF(SUMPRODUCT(--(N$10:N17=N17))=1,SUMPRODUCT(--(N$10:N$609&lt;N17))+1,""))</f>
        <v/>
      </c>
      <c r="P17" t="str">
        <f>IFERROR(INDEX(tblY11[Class],ROWS(P$10:P17))&amp;"","")</f>
        <v>11S/Sc1</v>
      </c>
      <c r="Q17" t="str">
        <f>IF(P17="","",IF(SUMPRODUCT(--(P$10:P17=P17))=1,SUMPRODUCT(--(P$10:P$609&lt;P17))+1,""))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IFERROR(INDEX(tblY7[Class],ROWS(H$10:H18))&amp;"","")</f>
        <v>7A/Sc1</v>
      </c>
      <c r="I18" t="str">
        <f>IF(H18="","",IF(SUMPRODUCT(--(H$10:H18=H18))=1,SUMPRODUCT(--(H$10:H$609&lt;H18))+1,""))</f>
        <v/>
      </c>
      <c r="J18" t="str">
        <f>IFERROR(INDEX(tblY8[Class],ROWS(J$10:J18))&amp;"","")</f>
        <v>8A/Sc1</v>
      </c>
      <c r="K18" t="str">
        <f>IF(J18="","",IF(SUMPRODUCT(--(J$10:J18=J18))=1,SUMPRODUCT(--(J$10:J$609&lt;J18))+1,""))</f>
        <v/>
      </c>
      <c r="L18" t="str">
        <f>IFERROR(INDEX(tblY9[Class],ROWS(L$10:L18))&amp;"","")</f>
        <v>9A/Sc1</v>
      </c>
      <c r="M18" t="str">
        <f>IF(L18="","",IF(SUMPRODUCT(--(L$10:L18=L18))=1,SUMPRODUCT(--(L$10:L$609&lt;L18))+1,""))</f>
        <v/>
      </c>
      <c r="N18" t="str">
        <f>IFERROR(INDEX(tblY10[Class],ROWS(N$10:N18))&amp;"","")</f>
        <v>10S/Sc1</v>
      </c>
      <c r="O18" t="str">
        <f>IF(N18="","",IF(SUMPRODUCT(--(N$10:N18=N18))=1,SUMPRODUCT(--(N$10:N$609&lt;N18))+1,""))</f>
        <v/>
      </c>
      <c r="P18" t="str">
        <f>IFERROR(INDEX(tblY11[Class],ROWS(P$10:P18))&amp;"","")</f>
        <v>11S/Sc1</v>
      </c>
      <c r="Q18" t="str">
        <f>IF(P18="","",IF(SUMPRODUCT(--(P$10:P18=P18))=1,SUMPRODUCT(--(P$10:P$609&lt;P18))+1,""))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IFERROR(INDEX(tblY7[Class],ROWS(H$10:H19))&amp;"","")</f>
        <v>7A/Sc1</v>
      </c>
      <c r="I19" t="str">
        <f>IF(H19="","",IF(SUMPRODUCT(--(H$10:H19=H19))=1,SUMPRODUCT(--(H$10:H$609&lt;H19))+1,""))</f>
        <v/>
      </c>
      <c r="J19" t="str">
        <f>IFERROR(INDEX(tblY8[Class],ROWS(J$10:J19))&amp;"","")</f>
        <v>8A/Sc1</v>
      </c>
      <c r="K19" t="str">
        <f>IF(J19="","",IF(SUMPRODUCT(--(J$10:J19=J19))=1,SUMPRODUCT(--(J$10:J$609&lt;J19))+1,""))</f>
        <v/>
      </c>
      <c r="L19" t="str">
        <f>IFERROR(INDEX(tblY9[Class],ROWS(L$10:L19))&amp;"","")</f>
        <v>9A/Sc1</v>
      </c>
      <c r="M19" t="str">
        <f>IF(L19="","",IF(SUMPRODUCT(--(L$10:L19=L19))=1,SUMPRODUCT(--(L$10:L$609&lt;L19))+1,""))</f>
        <v/>
      </c>
      <c r="N19" t="str">
        <f>IFERROR(INDEX(tblY10[Class],ROWS(N$10:N19))&amp;"","")</f>
        <v>10S/Sc1</v>
      </c>
      <c r="O19" t="str">
        <f>IF(N19="","",IF(SUMPRODUCT(--(N$10:N19=N19))=1,SUMPRODUCT(--(N$10:N$609&lt;N19))+1,""))</f>
        <v/>
      </c>
      <c r="P19" t="str">
        <f>IFERROR(INDEX(tblY11[Class],ROWS(P$10:P19))&amp;"","")</f>
        <v>11S/Sc1</v>
      </c>
      <c r="Q19" t="str">
        <f>IF(P19="","",IF(SUMPRODUCT(--(P$10:P19=P19))=1,SUMPRODUCT(--(P$10:P$609&lt;P19))+1,""))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IFERROR(INDEX(tblY7[Class],ROWS(H$10:H20))&amp;"","")</f>
        <v>7A/Sc1</v>
      </c>
      <c r="I20" t="str">
        <f>IF(H20="","",IF(SUMPRODUCT(--(H$10:H20=H20))=1,SUMPRODUCT(--(H$10:H$609&lt;H20))+1,""))</f>
        <v/>
      </c>
      <c r="J20" t="str">
        <f>IFERROR(INDEX(tblY8[Class],ROWS(J$10:J20))&amp;"","")</f>
        <v>8A/Sc1</v>
      </c>
      <c r="K20" t="str">
        <f>IF(J20="","",IF(SUMPRODUCT(--(J$10:J20=J20))=1,SUMPRODUCT(--(J$10:J$609&lt;J20))+1,""))</f>
        <v/>
      </c>
      <c r="L20" t="str">
        <f>IFERROR(INDEX(tblY9[Class],ROWS(L$10:L20))&amp;"","")</f>
        <v>9A/Sc1</v>
      </c>
      <c r="M20" t="str">
        <f>IF(L20="","",IF(SUMPRODUCT(--(L$10:L20=L20))=1,SUMPRODUCT(--(L$10:L$609&lt;L20))+1,""))</f>
        <v/>
      </c>
      <c r="N20" t="str">
        <f>IFERROR(INDEX(tblY10[Class],ROWS(N$10:N20))&amp;"","")</f>
        <v>10S/Sc1</v>
      </c>
      <c r="O20" t="str">
        <f>IF(N20="","",IF(SUMPRODUCT(--(N$10:N20=N20))=1,SUMPRODUCT(--(N$10:N$609&lt;N20))+1,""))</f>
        <v/>
      </c>
      <c r="P20" t="str">
        <f>IFERROR(INDEX(tblY11[Class],ROWS(P$10:P20))&amp;"","")</f>
        <v>11S/Sc1</v>
      </c>
      <c r="Q20" t="str">
        <f>IF(P20="","",IF(SUMPRODUCT(--(P$10:P20=P20))=1,SUMPRODUCT(--(P$10:P$609&lt;P20))+1,""))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IFERROR(INDEX(tblY7[Class],ROWS(H$10:H21))&amp;"","")</f>
        <v>7A/Sc1</v>
      </c>
      <c r="I21" t="str">
        <f>IF(H21="","",IF(SUMPRODUCT(--(H$10:H21=H21))=1,SUMPRODUCT(--(H$10:H$609&lt;H21))+1,""))</f>
        <v/>
      </c>
      <c r="J21" t="str">
        <f>IFERROR(INDEX(tblY8[Class],ROWS(J$10:J21))&amp;"","")</f>
        <v>8A/Sc1</v>
      </c>
      <c r="K21" t="str">
        <f>IF(J21="","",IF(SUMPRODUCT(--(J$10:J21=J21))=1,SUMPRODUCT(--(J$10:J$609&lt;J21))+1,""))</f>
        <v/>
      </c>
      <c r="L21" t="str">
        <f>IFERROR(INDEX(tblY9[Class],ROWS(L$10:L21))&amp;"","")</f>
        <v>9A/Sc1</v>
      </c>
      <c r="M21" t="str">
        <f>IF(L21="","",IF(SUMPRODUCT(--(L$10:L21=L21))=1,SUMPRODUCT(--(L$10:L$609&lt;L21))+1,""))</f>
        <v/>
      </c>
      <c r="N21" t="str">
        <f>IFERROR(INDEX(tblY10[Class],ROWS(N$10:N21))&amp;"","")</f>
        <v>10S/Sc1</v>
      </c>
      <c r="O21" t="str">
        <f>IF(N21="","",IF(SUMPRODUCT(--(N$10:N21=N21))=1,SUMPRODUCT(--(N$10:N$609&lt;N21))+1,""))</f>
        <v/>
      </c>
      <c r="P21" t="str">
        <f>IFERROR(INDEX(tblY11[Class],ROWS(P$10:P21))&amp;"","")</f>
        <v>11S/Sc1</v>
      </c>
      <c r="Q21" t="str">
        <f>IF(P21="","",IF(SUMPRODUCT(--(P$10:P21=P21))=1,SUMPRODUCT(--(P$10:P$609&lt;P21))+1,""))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IFERROR(INDEX(tblY7[Class],ROWS(H$10:H22))&amp;"","")</f>
        <v>7A/Sc1</v>
      </c>
      <c r="I22" t="str">
        <f>IF(H22="","",IF(SUMPRODUCT(--(H$10:H22=H22))=1,SUMPRODUCT(--(H$10:H$609&lt;H22))+1,""))</f>
        <v/>
      </c>
      <c r="J22" t="str">
        <f>IFERROR(INDEX(tblY8[Class],ROWS(J$10:J22))&amp;"","")</f>
        <v>8A/Sc1</v>
      </c>
      <c r="K22" t="str">
        <f>IF(J22="","",IF(SUMPRODUCT(--(J$10:J22=J22))=1,SUMPRODUCT(--(J$10:J$609&lt;J22))+1,""))</f>
        <v/>
      </c>
      <c r="L22" t="str">
        <f>IFERROR(INDEX(tblY9[Class],ROWS(L$10:L22))&amp;"","")</f>
        <v>9A/Sc1</v>
      </c>
      <c r="M22" t="str">
        <f>IF(L22="","",IF(SUMPRODUCT(--(L$10:L22=L22))=1,SUMPRODUCT(--(L$10:L$609&lt;L22))+1,""))</f>
        <v/>
      </c>
      <c r="N22" t="str">
        <f>IFERROR(INDEX(tblY10[Class],ROWS(N$10:N22))&amp;"","")</f>
        <v>10S/Sc1</v>
      </c>
      <c r="O22" t="str">
        <f>IF(N22="","",IF(SUMPRODUCT(--(N$10:N22=N22))=1,SUMPRODUCT(--(N$10:N$609&lt;N22))+1,""))</f>
        <v/>
      </c>
      <c r="P22" t="str">
        <f>IFERROR(INDEX(tblY11[Class],ROWS(P$10:P22))&amp;"","")</f>
        <v>11S/Sc1</v>
      </c>
      <c r="Q22" t="str">
        <f>IF(P22="","",IF(SUMPRODUCT(--(P$10:P22=P22))=1,SUMPRODUCT(--(P$10:P$609&lt;P22))+1,""))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IFERROR(INDEX(tblY7[Class],ROWS(H$10:H23))&amp;"","")</f>
        <v>7A/Sc1</v>
      </c>
      <c r="I23" t="str">
        <f>IF(H23="","",IF(SUMPRODUCT(--(H$10:H23=H23))=1,SUMPRODUCT(--(H$10:H$609&lt;H23))+1,""))</f>
        <v/>
      </c>
      <c r="J23" t="str">
        <f>IFERROR(INDEX(tblY8[Class],ROWS(J$10:J23))&amp;"","")</f>
        <v>8A/Sc1</v>
      </c>
      <c r="K23" t="str">
        <f>IF(J23="","",IF(SUMPRODUCT(--(J$10:J23=J23))=1,SUMPRODUCT(--(J$10:J$609&lt;J23))+1,""))</f>
        <v/>
      </c>
      <c r="L23" t="str">
        <f>IFERROR(INDEX(tblY9[Class],ROWS(L$10:L23))&amp;"","")</f>
        <v>9A/Sc1</v>
      </c>
      <c r="M23" t="str">
        <f>IF(L23="","",IF(SUMPRODUCT(--(L$10:L23=L23))=1,SUMPRODUCT(--(L$10:L$609&lt;L23))+1,""))</f>
        <v/>
      </c>
      <c r="N23" t="str">
        <f>IFERROR(INDEX(tblY10[Class],ROWS(N$10:N23))&amp;"","")</f>
        <v>10S/Sc1</v>
      </c>
      <c r="O23" t="str">
        <f>IF(N23="","",IF(SUMPRODUCT(--(N$10:N23=N23))=1,SUMPRODUCT(--(N$10:N$609&lt;N23))+1,""))</f>
        <v/>
      </c>
      <c r="P23" t="str">
        <f>IFERROR(INDEX(tblY11[Class],ROWS(P$10:P23))&amp;"","")</f>
        <v>11S/Sc1</v>
      </c>
      <c r="Q23" t="str">
        <f>IF(P23="","",IF(SUMPRODUCT(--(P$10:P23=P23))=1,SUMPRODUCT(--(P$10:P$609&lt;P23))+1,""))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IFERROR(INDEX(tblY7[Class],ROWS(H$10:H24))&amp;"","")</f>
        <v>7A/Sc1</v>
      </c>
      <c r="I24" t="str">
        <f>IF(H24="","",IF(SUMPRODUCT(--(H$10:H24=H24))=1,SUMPRODUCT(--(H$10:H$609&lt;H24))+1,""))</f>
        <v/>
      </c>
      <c r="J24" t="str">
        <f>IFERROR(INDEX(tblY8[Class],ROWS(J$10:J24))&amp;"","")</f>
        <v>8A/Sc1</v>
      </c>
      <c r="K24" t="str">
        <f>IF(J24="","",IF(SUMPRODUCT(--(J$10:J24=J24))=1,SUMPRODUCT(--(J$10:J$609&lt;J24))+1,""))</f>
        <v/>
      </c>
      <c r="L24" t="str">
        <f>IFERROR(INDEX(tblY9[Class],ROWS(L$10:L24))&amp;"","")</f>
        <v>9A/Sc1</v>
      </c>
      <c r="M24" t="str">
        <f>IF(L24="","",IF(SUMPRODUCT(--(L$10:L24=L24))=1,SUMPRODUCT(--(L$10:L$609&lt;L24))+1,""))</f>
        <v/>
      </c>
      <c r="N24" t="str">
        <f>IFERROR(INDEX(tblY10[Class],ROWS(N$10:N24))&amp;"","")</f>
        <v>10S/Sc1</v>
      </c>
      <c r="O24" t="str">
        <f>IF(N24="","",IF(SUMPRODUCT(--(N$10:N24=N24))=1,SUMPRODUCT(--(N$10:N$609&lt;N24))+1,""))</f>
        <v/>
      </c>
      <c r="P24" t="str">
        <f>IFERROR(INDEX(tblY11[Class],ROWS(P$10:P24))&amp;"","")</f>
        <v>11S/Sc1</v>
      </c>
      <c r="Q24" t="str">
        <f>IF(P24="","",IF(SUMPRODUCT(--(P$10:P24=P24))=1,SUMPRODUCT(--(P$10:P$609&lt;P24))+1,""))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IFERROR(INDEX(tblY7[Class],ROWS(H$10:H25))&amp;"","")</f>
        <v>7A/Sc1</v>
      </c>
      <c r="I25" t="str">
        <f>IF(H25="","",IF(SUMPRODUCT(--(H$10:H25=H25))=1,SUMPRODUCT(--(H$10:H$609&lt;H25))+1,""))</f>
        <v/>
      </c>
      <c r="J25" t="str">
        <f>IFERROR(INDEX(tblY8[Class],ROWS(J$10:J25))&amp;"","")</f>
        <v>8A/Sc1</v>
      </c>
      <c r="K25" t="str">
        <f>IF(J25="","",IF(SUMPRODUCT(--(J$10:J25=J25))=1,SUMPRODUCT(--(J$10:J$609&lt;J25))+1,""))</f>
        <v/>
      </c>
      <c r="L25" t="str">
        <f>IFERROR(INDEX(tblY9[Class],ROWS(L$10:L25))&amp;"","")</f>
        <v>9A/Sc1</v>
      </c>
      <c r="M25" t="str">
        <f>IF(L25="","",IF(SUMPRODUCT(--(L$10:L25=L25))=1,SUMPRODUCT(--(L$10:L$609&lt;L25))+1,""))</f>
        <v/>
      </c>
      <c r="N25" t="str">
        <f>IFERROR(INDEX(tblY10[Class],ROWS(N$10:N25))&amp;"","")</f>
        <v>10S/Sc1</v>
      </c>
      <c r="O25" t="str">
        <f>IF(N25="","",IF(SUMPRODUCT(--(N$10:N25=N25))=1,SUMPRODUCT(--(N$10:N$609&lt;N25))+1,""))</f>
        <v/>
      </c>
      <c r="P25" t="str">
        <f>IFERROR(INDEX(tblY11[Class],ROWS(P$10:P25))&amp;"","")</f>
        <v>11S/Sc1</v>
      </c>
      <c r="Q25" t="str">
        <f>IF(P25="","",IF(SUMPRODUCT(--(P$10:P25=P25))=1,SUMPRODUCT(--(P$10:P$609&lt;P25))+1,""))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IFERROR(INDEX(tblY7[Class],ROWS(H$10:H26))&amp;"","")</f>
        <v>7A/Sc1</v>
      </c>
      <c r="I26" t="str">
        <f>IF(H26="","",IF(SUMPRODUCT(--(H$10:H26=H26))=1,SUMPRODUCT(--(H$10:H$609&lt;H26))+1,""))</f>
        <v/>
      </c>
      <c r="J26" t="str">
        <f>IFERROR(INDEX(tblY8[Class],ROWS(J$10:J26))&amp;"","")</f>
        <v>8A/Sc1</v>
      </c>
      <c r="K26" t="str">
        <f>IF(J26="","",IF(SUMPRODUCT(--(J$10:J26=J26))=1,SUMPRODUCT(--(J$10:J$609&lt;J26))+1,""))</f>
        <v/>
      </c>
      <c r="L26" t="str">
        <f>IFERROR(INDEX(tblY9[Class],ROWS(L$10:L26))&amp;"","")</f>
        <v>9A/Sc1</v>
      </c>
      <c r="M26" t="str">
        <f>IF(L26="","",IF(SUMPRODUCT(--(L$10:L26=L26))=1,SUMPRODUCT(--(L$10:L$609&lt;L26))+1,""))</f>
        <v/>
      </c>
      <c r="N26" t="str">
        <f>IFERROR(INDEX(tblY10[Class],ROWS(N$10:N26))&amp;"","")</f>
        <v>10S/Sc1</v>
      </c>
      <c r="O26" t="str">
        <f>IF(N26="","",IF(SUMPRODUCT(--(N$10:N26=N26))=1,SUMPRODUCT(--(N$10:N$609&lt;N26))+1,""))</f>
        <v/>
      </c>
      <c r="P26" t="str">
        <f>IFERROR(INDEX(tblY11[Class],ROWS(P$10:P26))&amp;"","")</f>
        <v>11S/Sc1</v>
      </c>
      <c r="Q26" t="str">
        <f>IF(P26="","",IF(SUMPRODUCT(--(P$10:P26=P26))=1,SUMPRODUCT(--(P$10:P$609&lt;P26))+1,""))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IFERROR(INDEX(tblY7[Class],ROWS(H$10:H27))&amp;"","")</f>
        <v>7A/Sc1</v>
      </c>
      <c r="I27" t="str">
        <f>IF(H27="","",IF(SUMPRODUCT(--(H$10:H27=H27))=1,SUMPRODUCT(--(H$10:H$609&lt;H27))+1,""))</f>
        <v/>
      </c>
      <c r="J27" t="str">
        <f>IFERROR(INDEX(tblY8[Class],ROWS(J$10:J27))&amp;"","")</f>
        <v>8A/Sc1</v>
      </c>
      <c r="K27" t="str">
        <f>IF(J27="","",IF(SUMPRODUCT(--(J$10:J27=J27))=1,SUMPRODUCT(--(J$10:J$609&lt;J27))+1,""))</f>
        <v/>
      </c>
      <c r="L27" t="str">
        <f>IFERROR(INDEX(tblY9[Class],ROWS(L$10:L27))&amp;"","")</f>
        <v>9A/Sc1</v>
      </c>
      <c r="M27" t="str">
        <f>IF(L27="","",IF(SUMPRODUCT(--(L$10:L27=L27))=1,SUMPRODUCT(--(L$10:L$609&lt;L27))+1,""))</f>
        <v/>
      </c>
      <c r="N27" t="str">
        <f>IFERROR(INDEX(tblY10[Class],ROWS(N$10:N27))&amp;"","")</f>
        <v>10S/Sc1</v>
      </c>
      <c r="O27" t="str">
        <f>IF(N27="","",IF(SUMPRODUCT(--(N$10:N27=N27))=1,SUMPRODUCT(--(N$10:N$609&lt;N27))+1,""))</f>
        <v/>
      </c>
      <c r="P27" t="str">
        <f>IFERROR(INDEX(tblY11[Class],ROWS(P$10:P27))&amp;"","")</f>
        <v>11S/Sc1</v>
      </c>
      <c r="Q27" t="str">
        <f>IF(P27="","",IF(SUMPRODUCT(--(P$10:P27=P27))=1,SUMPRODUCT(--(P$10:P$609&lt;P27))+1,""))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IFERROR(INDEX(tblY7[Class],ROWS(H$10:H28))&amp;"","")</f>
        <v>7A/Sc1</v>
      </c>
      <c r="I28" t="str">
        <f>IF(H28="","",IF(SUMPRODUCT(--(H$10:H28=H28))=1,SUMPRODUCT(--(H$10:H$609&lt;H28))+1,""))</f>
        <v/>
      </c>
      <c r="J28" t="str">
        <f>IFERROR(INDEX(tblY8[Class],ROWS(J$10:J28))&amp;"","")</f>
        <v>8A/Sc1</v>
      </c>
      <c r="K28" t="str">
        <f>IF(J28="","",IF(SUMPRODUCT(--(J$10:J28=J28))=1,SUMPRODUCT(--(J$10:J$609&lt;J28))+1,""))</f>
        <v/>
      </c>
      <c r="L28" t="str">
        <f>IFERROR(INDEX(tblY9[Class],ROWS(L$10:L28))&amp;"","")</f>
        <v>9A/Sc1</v>
      </c>
      <c r="M28" t="str">
        <f>IF(L28="","",IF(SUMPRODUCT(--(L$10:L28=L28))=1,SUMPRODUCT(--(L$10:L$609&lt;L28))+1,""))</f>
        <v/>
      </c>
      <c r="N28" t="str">
        <f>IFERROR(INDEX(tblY10[Class],ROWS(N$10:N28))&amp;"","")</f>
        <v>10S/Sc1</v>
      </c>
      <c r="O28" t="str">
        <f>IF(N28="","",IF(SUMPRODUCT(--(N$10:N28=N28))=1,SUMPRODUCT(--(N$10:N$609&lt;N28))+1,""))</f>
        <v/>
      </c>
      <c r="P28" t="str">
        <f>IFERROR(INDEX(tblY11[Class],ROWS(P$10:P28))&amp;"","")</f>
        <v>11S/Sc1</v>
      </c>
      <c r="Q28" t="str">
        <f>IF(P28="","",IF(SUMPRODUCT(--(P$10:P28=P28))=1,SUMPRODUCT(--(P$10:P$609&lt;P28))+1,""))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IFERROR(INDEX(tblY7[Class],ROWS(H$10:H29))&amp;"","")</f>
        <v>7A/Sc1</v>
      </c>
      <c r="I29" t="str">
        <f>IF(H29="","",IF(SUMPRODUCT(--(H$10:H29=H29))=1,SUMPRODUCT(--(H$10:H$609&lt;H29))+1,""))</f>
        <v/>
      </c>
      <c r="J29" t="str">
        <f>IFERROR(INDEX(tblY8[Class],ROWS(J$10:J29))&amp;"","")</f>
        <v>8A/Sc1</v>
      </c>
      <c r="K29" t="str">
        <f>IF(J29="","",IF(SUMPRODUCT(--(J$10:J29=J29))=1,SUMPRODUCT(--(J$10:J$609&lt;J29))+1,""))</f>
        <v/>
      </c>
      <c r="L29" t="str">
        <f>IFERROR(INDEX(tblY9[Class],ROWS(L$10:L29))&amp;"","")</f>
        <v>9A/Sc1</v>
      </c>
      <c r="M29" t="str">
        <f>IF(L29="","",IF(SUMPRODUCT(--(L$10:L29=L29))=1,SUMPRODUCT(--(L$10:L$609&lt;L29))+1,""))</f>
        <v/>
      </c>
      <c r="N29" t="str">
        <f>IFERROR(INDEX(tblY10[Class],ROWS(N$10:N29))&amp;"","")</f>
        <v>10S/Sc1</v>
      </c>
      <c r="O29" t="str">
        <f>IF(N29="","",IF(SUMPRODUCT(--(N$10:N29=N29))=1,SUMPRODUCT(--(N$10:N$609&lt;N29))+1,""))</f>
        <v/>
      </c>
      <c r="P29" t="str">
        <f>IFERROR(INDEX(tblY11[Class],ROWS(P$10:P29))&amp;"","")</f>
        <v>11S/Sc1</v>
      </c>
      <c r="Q29" t="str">
        <f>IF(P29="","",IF(SUMPRODUCT(--(P$10:P29=P29))=1,SUMPRODUCT(--(P$10:P$609&lt;P29))+1,""))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IFERROR(INDEX(tblY7[Class],ROWS(H$10:H30))&amp;"","")</f>
        <v>7A/Sc1</v>
      </c>
      <c r="I30" t="str">
        <f>IF(H30="","",IF(SUMPRODUCT(--(H$10:H30=H30))=1,SUMPRODUCT(--(H$10:H$609&lt;H30))+1,""))</f>
        <v/>
      </c>
      <c r="J30" t="str">
        <f>IFERROR(INDEX(tblY8[Class],ROWS(J$10:J30))&amp;"","")</f>
        <v>8A/Sc1</v>
      </c>
      <c r="K30" t="str">
        <f>IF(J30="","",IF(SUMPRODUCT(--(J$10:J30=J30))=1,SUMPRODUCT(--(J$10:J$609&lt;J30))+1,""))</f>
        <v/>
      </c>
      <c r="L30" t="str">
        <f>IFERROR(INDEX(tblY9[Class],ROWS(L$10:L30))&amp;"","")</f>
        <v>9A/Sc1</v>
      </c>
      <c r="M30" t="str">
        <f>IF(L30="","",IF(SUMPRODUCT(--(L$10:L30=L30))=1,SUMPRODUCT(--(L$10:L$609&lt;L30))+1,""))</f>
        <v/>
      </c>
      <c r="N30" t="str">
        <f>IFERROR(INDEX(tblY10[Class],ROWS(N$10:N30))&amp;"","")</f>
        <v>10S/Sc1</v>
      </c>
      <c r="O30" t="str">
        <f>IF(N30="","",IF(SUMPRODUCT(--(N$10:N30=N30))=1,SUMPRODUCT(--(N$10:N$609&lt;N30))+1,""))</f>
        <v/>
      </c>
      <c r="P30" t="str">
        <f>IFERROR(INDEX(tblY11[Class],ROWS(P$10:P30))&amp;"","")</f>
        <v>11S/Sc1</v>
      </c>
      <c r="Q30" t="str">
        <f>IF(P30="","",IF(SUMPRODUCT(--(P$10:P30=P30))=1,SUMPRODUCT(--(P$10:P$609&lt;P30))+1,""))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IFERROR(INDEX(tblY7[Class],ROWS(H$10:H31))&amp;"","")</f>
        <v>7A/Sc1</v>
      </c>
      <c r="I31" t="str">
        <f>IF(H31="","",IF(SUMPRODUCT(--(H$10:H31=H31))=1,SUMPRODUCT(--(H$10:H$609&lt;H31))+1,""))</f>
        <v/>
      </c>
      <c r="J31" t="str">
        <f>IFERROR(INDEX(tblY8[Class],ROWS(J$10:J31))&amp;"","")</f>
        <v>8A/Sc1</v>
      </c>
      <c r="K31" t="str">
        <f>IF(J31="","",IF(SUMPRODUCT(--(J$10:J31=J31))=1,SUMPRODUCT(--(J$10:J$609&lt;J31))+1,""))</f>
        <v/>
      </c>
      <c r="L31" t="str">
        <f>IFERROR(INDEX(tblY9[Class],ROWS(L$10:L31))&amp;"","")</f>
        <v>9A/Sc1</v>
      </c>
      <c r="M31" t="str">
        <f>IF(L31="","",IF(SUMPRODUCT(--(L$10:L31=L31))=1,SUMPRODUCT(--(L$10:L$609&lt;L31))+1,""))</f>
        <v/>
      </c>
      <c r="N31" t="str">
        <f>IFERROR(INDEX(tblY10[Class],ROWS(N$10:N31))&amp;"","")</f>
        <v>10S/Sc1</v>
      </c>
      <c r="O31" t="str">
        <f>IF(N31="","",IF(SUMPRODUCT(--(N$10:N31=N31))=1,SUMPRODUCT(--(N$10:N$609&lt;N31))+1,""))</f>
        <v/>
      </c>
      <c r="P31" t="str">
        <f>IFERROR(INDEX(tblY11[Class],ROWS(P$10:P31))&amp;"","")</f>
        <v>11S/Sc1</v>
      </c>
      <c r="Q31" t="str">
        <f>IF(P31="","",IF(SUMPRODUCT(--(P$10:P31=P31))=1,SUMPRODUCT(--(P$10:P$609&lt;P31))+1,""))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IFERROR(INDEX(tblY7[Class],ROWS(H$10:H32))&amp;"","")</f>
        <v>7A/Sc1</v>
      </c>
      <c r="I32" t="str">
        <f>IF(H32="","",IF(SUMPRODUCT(--(H$10:H32=H32))=1,SUMPRODUCT(--(H$10:H$609&lt;H32))+1,""))</f>
        <v/>
      </c>
      <c r="J32" t="str">
        <f>IFERROR(INDEX(tblY8[Class],ROWS(J$10:J32))&amp;"","")</f>
        <v>8A/Sc1</v>
      </c>
      <c r="K32" t="str">
        <f>IF(J32="","",IF(SUMPRODUCT(--(J$10:J32=J32))=1,SUMPRODUCT(--(J$10:J$609&lt;J32))+1,""))</f>
        <v/>
      </c>
      <c r="L32" t="str">
        <f>IFERROR(INDEX(tblY9[Class],ROWS(L$10:L32))&amp;"","")</f>
        <v>9A/Sc2</v>
      </c>
      <c r="M32">
        <f>IF(L32="","",IF(SUMPRODUCT(--(L$10:L32=L32))=1,SUMPRODUCT(--(L$10:L$609&lt;L32))+1,""))</f>
        <v>498</v>
      </c>
      <c r="N32" t="str">
        <f>IFERROR(INDEX(tblY10[Class],ROWS(N$10:N32))&amp;"","")</f>
        <v>10S/Sc1</v>
      </c>
      <c r="O32" t="str">
        <f>IF(N32="","",IF(SUMPRODUCT(--(N$10:N32=N32))=1,SUMPRODUCT(--(N$10:N$609&lt;N32))+1,""))</f>
        <v/>
      </c>
      <c r="P32" t="str">
        <f>IFERROR(INDEX(tblY11[Class],ROWS(P$10:P32))&amp;"","")</f>
        <v>11S/Sc1</v>
      </c>
      <c r="Q32" t="str">
        <f>IF(P32="","",IF(SUMPRODUCT(--(P$10:P32=P32))=1,SUMPRODUCT(--(P$10:P$609&lt;P32))+1,""))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IFERROR(INDEX(tblY7[Class],ROWS(H$10:H33))&amp;"","")</f>
        <v>7A/Sc1</v>
      </c>
      <c r="I33" t="str">
        <f>IF(H33="","",IF(SUMPRODUCT(--(H$10:H33=H33))=1,SUMPRODUCT(--(H$10:H$609&lt;H33))+1,""))</f>
        <v/>
      </c>
      <c r="J33" t="str">
        <f>IFERROR(INDEX(tblY8[Class],ROWS(J$10:J33))&amp;"","")</f>
        <v>8A/Sc1</v>
      </c>
      <c r="K33" t="str">
        <f>IF(J33="","",IF(SUMPRODUCT(--(J$10:J33=J33))=1,SUMPRODUCT(--(J$10:J$609&lt;J33))+1,""))</f>
        <v/>
      </c>
      <c r="L33" t="str">
        <f>IFERROR(INDEX(tblY9[Class],ROWS(L$10:L33))&amp;"","")</f>
        <v>9A/Sc2</v>
      </c>
      <c r="M33" t="str">
        <f>IF(L33="","",IF(SUMPRODUCT(--(L$10:L33=L33))=1,SUMPRODUCT(--(L$10:L$609&lt;L33))+1,""))</f>
        <v/>
      </c>
      <c r="N33" t="str">
        <f>IFERROR(INDEX(tblY10[Class],ROWS(N$10:N33))&amp;"","")</f>
        <v>10S/Sc1</v>
      </c>
      <c r="O33" t="str">
        <f>IF(N33="","",IF(SUMPRODUCT(--(N$10:N33=N33))=1,SUMPRODUCT(--(N$10:N$609&lt;N33))+1,""))</f>
        <v/>
      </c>
      <c r="P33" t="str">
        <f>IFERROR(INDEX(tblY11[Class],ROWS(P$10:P33))&amp;"","")</f>
        <v>11S/Sc1</v>
      </c>
      <c r="Q33" t="str">
        <f>IF(P33="","",IF(SUMPRODUCT(--(P$10:P33=P33))=1,SUMPRODUCT(--(P$10:P$609&lt;P33))+1,""))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IFERROR(INDEX(tblY7[Class],ROWS(H$10:H34))&amp;"","")</f>
        <v>7A/Sc1</v>
      </c>
      <c r="I34" t="str">
        <f>IF(H34="","",IF(SUMPRODUCT(--(H$10:H34=H34))=1,SUMPRODUCT(--(H$10:H$609&lt;H34))+1,""))</f>
        <v/>
      </c>
      <c r="J34" t="str">
        <f>IFERROR(INDEX(tblY8[Class],ROWS(J$10:J34))&amp;"","")</f>
        <v>8A/Sc1</v>
      </c>
      <c r="K34" t="str">
        <f>IF(J34="","",IF(SUMPRODUCT(--(J$10:J34=J34))=1,SUMPRODUCT(--(J$10:J$609&lt;J34))+1,""))</f>
        <v/>
      </c>
      <c r="L34" t="str">
        <f>IFERROR(INDEX(tblY9[Class],ROWS(L$10:L34))&amp;"","")</f>
        <v>9A/Sc2</v>
      </c>
      <c r="M34" t="str">
        <f>IF(L34="","",IF(SUMPRODUCT(--(L$10:L34=L34))=1,SUMPRODUCT(--(L$10:L$609&lt;L34))+1,""))</f>
        <v/>
      </c>
      <c r="N34" t="str">
        <f>IFERROR(INDEX(tblY10[Class],ROWS(N$10:N34))&amp;"","")</f>
        <v>10S/Sc1</v>
      </c>
      <c r="O34" t="str">
        <f>IF(N34="","",IF(SUMPRODUCT(--(N$10:N34=N34))=1,SUMPRODUCT(--(N$10:N$609&lt;N34))+1,""))</f>
        <v/>
      </c>
      <c r="P34" t="str">
        <f>IFERROR(INDEX(tblY11[Class],ROWS(P$10:P34))&amp;"","")</f>
        <v>11S/Sc1</v>
      </c>
      <c r="Q34" t="str">
        <f>IF(P34="","",IF(SUMPRODUCT(--(P$10:P34=P34))=1,SUMPRODUCT(--(P$10:P$609&lt;P34))+1,""))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IFERROR(INDEX(tblY7[Class],ROWS(H$10:H35))&amp;"","")</f>
        <v>7A/Sc1</v>
      </c>
      <c r="I35" t="str">
        <f>IF(H35="","",IF(SUMPRODUCT(--(H$10:H35=H35))=1,SUMPRODUCT(--(H$10:H$609&lt;H35))+1,""))</f>
        <v/>
      </c>
      <c r="J35" t="str">
        <f>IFERROR(INDEX(tblY8[Class],ROWS(J$10:J35))&amp;"","")</f>
        <v>8A/Sc1</v>
      </c>
      <c r="K35" t="str">
        <f>IF(J35="","",IF(SUMPRODUCT(--(J$10:J35=J35))=1,SUMPRODUCT(--(J$10:J$609&lt;J35))+1,""))</f>
        <v/>
      </c>
      <c r="L35" t="str">
        <f>IFERROR(INDEX(tblY9[Class],ROWS(L$10:L35))&amp;"","")</f>
        <v>9A/Sc2</v>
      </c>
      <c r="M35" t="str">
        <f>IF(L35="","",IF(SUMPRODUCT(--(L$10:L35=L35))=1,SUMPRODUCT(--(L$10:L$609&lt;L35))+1,""))</f>
        <v/>
      </c>
      <c r="N35" t="str">
        <f>IFERROR(INDEX(tblY10[Class],ROWS(N$10:N35))&amp;"","")</f>
        <v>10S/Sc1</v>
      </c>
      <c r="O35" t="str">
        <f>IF(N35="","",IF(SUMPRODUCT(--(N$10:N35=N35))=1,SUMPRODUCT(--(N$10:N$609&lt;N35))+1,""))</f>
        <v/>
      </c>
      <c r="P35" t="str">
        <f>IFERROR(INDEX(tblY11[Class],ROWS(P$10:P35))&amp;"","")</f>
        <v>11S/Sc1</v>
      </c>
      <c r="Q35" t="str">
        <f>IF(P35="","",IF(SUMPRODUCT(--(P$10:P35=P35))=1,SUMPRODUCT(--(P$10:P$609&lt;P35))+1,""))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IFERROR(INDEX(tblY7[Class],ROWS(H$10:H36))&amp;"","")</f>
        <v>7A/Sc1</v>
      </c>
      <c r="I36" t="str">
        <f>IF(H36="","",IF(SUMPRODUCT(--(H$10:H36=H36))=1,SUMPRODUCT(--(H$10:H$609&lt;H36))+1,""))</f>
        <v/>
      </c>
      <c r="J36" t="str">
        <f>IFERROR(INDEX(tblY8[Class],ROWS(J$10:J36))&amp;"","")</f>
        <v>8A/Sc1</v>
      </c>
      <c r="K36" t="str">
        <f>IF(J36="","",IF(SUMPRODUCT(--(J$10:J36=J36))=1,SUMPRODUCT(--(J$10:J$609&lt;J36))+1,""))</f>
        <v/>
      </c>
      <c r="L36" t="str">
        <f>IFERROR(INDEX(tblY9[Class],ROWS(L$10:L36))&amp;"","")</f>
        <v>9A/Sc2</v>
      </c>
      <c r="M36" t="str">
        <f>IF(L36="","",IF(SUMPRODUCT(--(L$10:L36=L36))=1,SUMPRODUCT(--(L$10:L$609&lt;L36))+1,""))</f>
        <v/>
      </c>
      <c r="N36" t="str">
        <f>IFERROR(INDEX(tblY10[Class],ROWS(N$10:N36))&amp;"","")</f>
        <v>10S/Sc1</v>
      </c>
      <c r="O36" t="str">
        <f>IF(N36="","",IF(SUMPRODUCT(--(N$10:N36=N36))=1,SUMPRODUCT(--(N$10:N$609&lt;N36))+1,""))</f>
        <v/>
      </c>
      <c r="P36" t="str">
        <f>IFERROR(INDEX(tblY11[Class],ROWS(P$10:P36))&amp;"","")</f>
        <v>11S/Sc1</v>
      </c>
      <c r="Q36" t="str">
        <f>IF(P36="","",IF(SUMPRODUCT(--(P$10:P36=P36))=1,SUMPRODUCT(--(P$10:P$609&lt;P36))+1,""))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IFERROR(INDEX(tblY7[Class],ROWS(H$10:H37))&amp;"","")</f>
        <v>7A/Sc1</v>
      </c>
      <c r="I37" t="str">
        <f>IF(H37="","",IF(SUMPRODUCT(--(H$10:H37=H37))=1,SUMPRODUCT(--(H$10:H$609&lt;H37))+1,""))</f>
        <v/>
      </c>
      <c r="J37" t="str">
        <f>IFERROR(INDEX(tblY8[Class],ROWS(J$10:J37))&amp;"","")</f>
        <v>8A/Sc1</v>
      </c>
      <c r="K37" t="str">
        <f>IF(J37="","",IF(SUMPRODUCT(--(J$10:J37=J37))=1,SUMPRODUCT(--(J$10:J$609&lt;J37))+1,""))</f>
        <v/>
      </c>
      <c r="L37" t="str">
        <f>IFERROR(INDEX(tblY9[Class],ROWS(L$10:L37))&amp;"","")</f>
        <v>9A/Sc2</v>
      </c>
      <c r="M37" t="str">
        <f>IF(L37="","",IF(SUMPRODUCT(--(L$10:L37=L37))=1,SUMPRODUCT(--(L$10:L$609&lt;L37))+1,""))</f>
        <v/>
      </c>
      <c r="N37" t="str">
        <f>IFERROR(INDEX(tblY10[Class],ROWS(N$10:N37))&amp;"","")</f>
        <v>10S/Sc1</v>
      </c>
      <c r="O37" t="str">
        <f>IF(N37="","",IF(SUMPRODUCT(--(N$10:N37=N37))=1,SUMPRODUCT(--(N$10:N$609&lt;N37))+1,""))</f>
        <v/>
      </c>
      <c r="P37" t="str">
        <f>IFERROR(INDEX(tblY11[Class],ROWS(P$10:P37))&amp;"","")</f>
        <v>11S/Sc1</v>
      </c>
      <c r="Q37" t="str">
        <f>IF(P37="","",IF(SUMPRODUCT(--(P$10:P37=P37))=1,SUMPRODUCT(--(P$10:P$609&lt;P37))+1,""))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IFERROR(INDEX(tblY7[Class],ROWS(H$10:H38))&amp;"","")</f>
        <v>7A/Sc1</v>
      </c>
      <c r="I38" t="str">
        <f>IF(H38="","",IF(SUMPRODUCT(--(H$10:H38=H38))=1,SUMPRODUCT(--(H$10:H$609&lt;H38))+1,""))</f>
        <v/>
      </c>
      <c r="J38" t="str">
        <f>IFERROR(INDEX(tblY8[Class],ROWS(J$10:J38))&amp;"","")</f>
        <v>8A/Sc2</v>
      </c>
      <c r="K38">
        <f>IF(J38="","",IF(SUMPRODUCT(--(J$10:J38=J38))=1,SUMPRODUCT(--(J$10:J$609&lt;J38))+1,""))</f>
        <v>536</v>
      </c>
      <c r="L38" t="str">
        <f>IFERROR(INDEX(tblY9[Class],ROWS(L$10:L38))&amp;"","")</f>
        <v>9A/Sc2</v>
      </c>
      <c r="M38" t="str">
        <f>IF(L38="","",IF(SUMPRODUCT(--(L$10:L38=L38))=1,SUMPRODUCT(--(L$10:L$609&lt;L38))+1,""))</f>
        <v/>
      </c>
      <c r="N38" t="str">
        <f>IFERROR(INDEX(tblY10[Class],ROWS(N$10:N38))&amp;"","")</f>
        <v>10S/Sc1</v>
      </c>
      <c r="O38" t="str">
        <f>IF(N38="","",IF(SUMPRODUCT(--(N$10:N38=N38))=1,SUMPRODUCT(--(N$10:N$609&lt;N38))+1,""))</f>
        <v/>
      </c>
      <c r="P38" t="str">
        <f>IFERROR(INDEX(tblY11[Class],ROWS(P$10:P38))&amp;"","")</f>
        <v>11S/Sc2</v>
      </c>
      <c r="Q38">
        <f>IF(P38="","",IF(SUMPRODUCT(--(P$10:P38=P38))=1,SUMPRODUCT(--(P$10:P$609&lt;P38))+1,""))</f>
        <v>523</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IFERROR(INDEX(tblY7[Class],ROWS(H$10:H39))&amp;"","")</f>
        <v>7A/Sc1</v>
      </c>
      <c r="I39" t="str">
        <f>IF(H39="","",IF(SUMPRODUCT(--(H$10:H39=H39))=1,SUMPRODUCT(--(H$10:H$609&lt;H39))+1,""))</f>
        <v/>
      </c>
      <c r="J39" t="str">
        <f>IFERROR(INDEX(tblY8[Class],ROWS(J$10:J39))&amp;"","")</f>
        <v>8A/Sc2</v>
      </c>
      <c r="K39" t="str">
        <f>IF(J39="","",IF(SUMPRODUCT(--(J$10:J39=J39))=1,SUMPRODUCT(--(J$10:J$609&lt;J39))+1,""))</f>
        <v/>
      </c>
      <c r="L39" t="str">
        <f>IFERROR(INDEX(tblY9[Class],ROWS(L$10:L39))&amp;"","")</f>
        <v>9A/Sc2</v>
      </c>
      <c r="M39" t="str">
        <f>IF(L39="","",IF(SUMPRODUCT(--(L$10:L39=L39))=1,SUMPRODUCT(--(L$10:L$609&lt;L39))+1,""))</f>
        <v/>
      </c>
      <c r="N39" t="str">
        <f>IFERROR(INDEX(tblY10[Class],ROWS(N$10:N39))&amp;"","")</f>
        <v>10S/Sc2</v>
      </c>
      <c r="O39">
        <f>IF(N39="","",IF(SUMPRODUCT(--(N$10:N39=N39))=1,SUMPRODUCT(--(N$10:N$609&lt;N39))+1,""))</f>
        <v>513</v>
      </c>
      <c r="P39" t="str">
        <f>IFERROR(INDEX(tblY11[Class],ROWS(P$10:P39))&amp;"","")</f>
        <v>11S/Sc2</v>
      </c>
      <c r="Q39" t="str">
        <f>IF(P39="","",IF(SUMPRODUCT(--(P$10:P39=P39))=1,SUMPRODUCT(--(P$10:P$609&lt;P39))+1,""))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IFERROR(INDEX(tblY7[Class],ROWS(H$10:H40))&amp;"","")</f>
        <v>7A/Sc2</v>
      </c>
      <c r="I40">
        <f>IF(H40="","",IF(SUMPRODUCT(--(H$10:H40=H40))=1,SUMPRODUCT(--(H$10:H$609&lt;H40))+1,""))</f>
        <v>500</v>
      </c>
      <c r="J40" t="str">
        <f>IFERROR(INDEX(tblY8[Class],ROWS(J$10:J40))&amp;"","")</f>
        <v>8A/Sc2</v>
      </c>
      <c r="K40" t="str">
        <f>IF(J40="","",IF(SUMPRODUCT(--(J$10:J40=J40))=1,SUMPRODUCT(--(J$10:J$609&lt;J40))+1,""))</f>
        <v/>
      </c>
      <c r="L40" t="str">
        <f>IFERROR(INDEX(tblY9[Class],ROWS(L$10:L40))&amp;"","")</f>
        <v>9A/Sc2</v>
      </c>
      <c r="M40" t="str">
        <f>IF(L40="","",IF(SUMPRODUCT(--(L$10:L40=L40))=1,SUMPRODUCT(--(L$10:L$609&lt;L40))+1,""))</f>
        <v/>
      </c>
      <c r="N40" t="str">
        <f>IFERROR(INDEX(tblY10[Class],ROWS(N$10:N40))&amp;"","")</f>
        <v>10S/Sc2</v>
      </c>
      <c r="O40" t="str">
        <f>IF(N40="","",IF(SUMPRODUCT(--(N$10:N40=N40))=1,SUMPRODUCT(--(N$10:N$609&lt;N40))+1,""))</f>
        <v/>
      </c>
      <c r="P40" t="str">
        <f>IFERROR(INDEX(tblY11[Class],ROWS(P$10:P40))&amp;"","")</f>
        <v>11S/Sc2</v>
      </c>
      <c r="Q40" t="str">
        <f>IF(P40="","",IF(SUMPRODUCT(--(P$10:P40=P40))=1,SUMPRODUCT(--(P$10:P$609&lt;P40))+1,""))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IFERROR(INDEX(tblY7[Class],ROWS(H$10:H41))&amp;"","")</f>
        <v>7A/Sc2</v>
      </c>
      <c r="I41" t="str">
        <f>IF(H41="","",IF(SUMPRODUCT(--(H$10:H41=H41))=1,SUMPRODUCT(--(H$10:H$609&lt;H41))+1,""))</f>
        <v/>
      </c>
      <c r="J41" t="str">
        <f>IFERROR(INDEX(tblY8[Class],ROWS(J$10:J41))&amp;"","")</f>
        <v>8A/Sc2</v>
      </c>
      <c r="K41" t="str">
        <f>IF(J41="","",IF(SUMPRODUCT(--(J$10:J41=J41))=1,SUMPRODUCT(--(J$10:J$609&lt;J41))+1,""))</f>
        <v/>
      </c>
      <c r="L41" t="str">
        <f>IFERROR(INDEX(tblY9[Class],ROWS(L$10:L41))&amp;"","")</f>
        <v>9A/Sc2</v>
      </c>
      <c r="M41" t="str">
        <f>IF(L41="","",IF(SUMPRODUCT(--(L$10:L41=L41))=1,SUMPRODUCT(--(L$10:L$609&lt;L41))+1,""))</f>
        <v/>
      </c>
      <c r="N41" t="str">
        <f>IFERROR(INDEX(tblY10[Class],ROWS(N$10:N41))&amp;"","")</f>
        <v>10S/Sc2</v>
      </c>
      <c r="O41" t="str">
        <f>IF(N41="","",IF(SUMPRODUCT(--(N$10:N41=N41))=1,SUMPRODUCT(--(N$10:N$609&lt;N41))+1,""))</f>
        <v/>
      </c>
      <c r="P41" t="str">
        <f>IFERROR(INDEX(tblY11[Class],ROWS(P$10:P41))&amp;"","")</f>
        <v>11S/Sc2</v>
      </c>
      <c r="Q41" t="str">
        <f>IF(P41="","",IF(SUMPRODUCT(--(P$10:P41=P41))=1,SUMPRODUCT(--(P$10:P$609&lt;P41))+1,""))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IFERROR(INDEX(tblY7[Class],ROWS(H$10:H42))&amp;"","")</f>
        <v>7A/Sc2</v>
      </c>
      <c r="I42" t="str">
        <f>IF(H42="","",IF(SUMPRODUCT(--(H$10:H42=H42))=1,SUMPRODUCT(--(H$10:H$609&lt;H42))+1,""))</f>
        <v/>
      </c>
      <c r="J42" t="str">
        <f>IFERROR(INDEX(tblY8[Class],ROWS(J$10:J42))&amp;"","")</f>
        <v>8A/Sc2</v>
      </c>
      <c r="K42" t="str">
        <f>IF(J42="","",IF(SUMPRODUCT(--(J$10:J42=J42))=1,SUMPRODUCT(--(J$10:J$609&lt;J42))+1,""))</f>
        <v/>
      </c>
      <c r="L42" t="str">
        <f>IFERROR(INDEX(tblY9[Class],ROWS(L$10:L42))&amp;"","")</f>
        <v>9A/Sc2</v>
      </c>
      <c r="M42" t="str">
        <f>IF(L42="","",IF(SUMPRODUCT(--(L$10:L42=L42))=1,SUMPRODUCT(--(L$10:L$609&lt;L42))+1,""))</f>
        <v/>
      </c>
      <c r="N42" t="str">
        <f>IFERROR(INDEX(tblY10[Class],ROWS(N$10:N42))&amp;"","")</f>
        <v>10S/Sc2</v>
      </c>
      <c r="O42" t="str">
        <f>IF(N42="","",IF(SUMPRODUCT(--(N$10:N42=N42))=1,SUMPRODUCT(--(N$10:N$609&lt;N42))+1,""))</f>
        <v/>
      </c>
      <c r="P42" t="str">
        <f>IFERROR(INDEX(tblY11[Class],ROWS(P$10:P42))&amp;"","")</f>
        <v>11S/Sc2</v>
      </c>
      <c r="Q42" t="str">
        <f>IF(P42="","",IF(SUMPRODUCT(--(P$10:P42=P42))=1,SUMPRODUCT(--(P$10:P$609&lt;P42))+1,""))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IFERROR(INDEX(tblY7[Class],ROWS(H$10:H43))&amp;"","")</f>
        <v>7A/Sc2</v>
      </c>
      <c r="I43" t="str">
        <f>IF(H43="","",IF(SUMPRODUCT(--(H$10:H43=H43))=1,SUMPRODUCT(--(H$10:H$609&lt;H43))+1,""))</f>
        <v/>
      </c>
      <c r="J43" t="str">
        <f>IFERROR(INDEX(tblY8[Class],ROWS(J$10:J43))&amp;"","")</f>
        <v>8A/Sc2</v>
      </c>
      <c r="K43" t="str">
        <f>IF(J43="","",IF(SUMPRODUCT(--(J$10:J43=J43))=1,SUMPRODUCT(--(J$10:J$609&lt;J43))+1,""))</f>
        <v/>
      </c>
      <c r="L43" t="str">
        <f>IFERROR(INDEX(tblY9[Class],ROWS(L$10:L43))&amp;"","")</f>
        <v>9A/Sc2</v>
      </c>
      <c r="M43" t="str">
        <f>IF(L43="","",IF(SUMPRODUCT(--(L$10:L43=L43))=1,SUMPRODUCT(--(L$10:L$609&lt;L43))+1,""))</f>
        <v/>
      </c>
      <c r="N43" t="str">
        <f>IFERROR(INDEX(tblY10[Class],ROWS(N$10:N43))&amp;"","")</f>
        <v>10S/Sc2</v>
      </c>
      <c r="O43" t="str">
        <f>IF(N43="","",IF(SUMPRODUCT(--(N$10:N43=N43))=1,SUMPRODUCT(--(N$10:N$609&lt;N43))+1,""))</f>
        <v/>
      </c>
      <c r="P43" t="str">
        <f>IFERROR(INDEX(tblY11[Class],ROWS(P$10:P43))&amp;"","")</f>
        <v>11S/Sc2</v>
      </c>
      <c r="Q43" t="str">
        <f>IF(P43="","",IF(SUMPRODUCT(--(P$10:P43=P43))=1,SUMPRODUCT(--(P$10:P$609&lt;P43))+1,""))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IFERROR(INDEX(tblY7[Class],ROWS(H$10:H44))&amp;"","")</f>
        <v>7A/Sc2</v>
      </c>
      <c r="I44" t="str">
        <f>IF(H44="","",IF(SUMPRODUCT(--(H$10:H44=H44))=1,SUMPRODUCT(--(H$10:H$609&lt;H44))+1,""))</f>
        <v/>
      </c>
      <c r="J44" t="str">
        <f>IFERROR(INDEX(tblY8[Class],ROWS(J$10:J44))&amp;"","")</f>
        <v>8A/Sc2</v>
      </c>
      <c r="K44" t="str">
        <f>IF(J44="","",IF(SUMPRODUCT(--(J$10:J44=J44))=1,SUMPRODUCT(--(J$10:J$609&lt;J44))+1,""))</f>
        <v/>
      </c>
      <c r="L44" t="str">
        <f>IFERROR(INDEX(tblY9[Class],ROWS(L$10:L44))&amp;"","")</f>
        <v>9A/Sc2</v>
      </c>
      <c r="M44" t="str">
        <f>IF(L44="","",IF(SUMPRODUCT(--(L$10:L44=L44))=1,SUMPRODUCT(--(L$10:L$609&lt;L44))+1,""))</f>
        <v/>
      </c>
      <c r="N44" t="str">
        <f>IFERROR(INDEX(tblY10[Class],ROWS(N$10:N44))&amp;"","")</f>
        <v>10S/Sc2</v>
      </c>
      <c r="O44" t="str">
        <f>IF(N44="","",IF(SUMPRODUCT(--(N$10:N44=N44))=1,SUMPRODUCT(--(N$10:N$609&lt;N44))+1,""))</f>
        <v/>
      </c>
      <c r="P44" t="str">
        <f>IFERROR(INDEX(tblY11[Class],ROWS(P$10:P44))&amp;"","")</f>
        <v>11S/Sc2</v>
      </c>
      <c r="Q44" t="str">
        <f>IF(P44="","",IF(SUMPRODUCT(--(P$10:P44=P44))=1,SUMPRODUCT(--(P$10:P$609&lt;P44))+1,""))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IFERROR(INDEX(tblY7[Class],ROWS(H$10:H45))&amp;"","")</f>
        <v>7A/Sc2</v>
      </c>
      <c r="I45" t="str">
        <f>IF(H45="","",IF(SUMPRODUCT(--(H$10:H45=H45))=1,SUMPRODUCT(--(H$10:H$609&lt;H45))+1,""))</f>
        <v/>
      </c>
      <c r="J45" t="str">
        <f>IFERROR(INDEX(tblY8[Class],ROWS(J$10:J45))&amp;"","")</f>
        <v>8A/Sc2</v>
      </c>
      <c r="K45" t="str">
        <f>IF(J45="","",IF(SUMPRODUCT(--(J$10:J45=J45))=1,SUMPRODUCT(--(J$10:J$609&lt;J45))+1,""))</f>
        <v/>
      </c>
      <c r="L45" t="str">
        <f>IFERROR(INDEX(tblY9[Class],ROWS(L$10:L45))&amp;"","")</f>
        <v>9A/Sc2</v>
      </c>
      <c r="M45" t="str">
        <f>IF(L45="","",IF(SUMPRODUCT(--(L$10:L45=L45))=1,SUMPRODUCT(--(L$10:L$609&lt;L45))+1,""))</f>
        <v/>
      </c>
      <c r="N45" t="str">
        <f>IFERROR(INDEX(tblY10[Class],ROWS(N$10:N45))&amp;"","")</f>
        <v>10S/Sc2</v>
      </c>
      <c r="O45" t="str">
        <f>IF(N45="","",IF(SUMPRODUCT(--(N$10:N45=N45))=1,SUMPRODUCT(--(N$10:N$609&lt;N45))+1,""))</f>
        <v/>
      </c>
      <c r="P45" t="str">
        <f>IFERROR(INDEX(tblY11[Class],ROWS(P$10:P45))&amp;"","")</f>
        <v>11S/Sc2</v>
      </c>
      <c r="Q45" t="str">
        <f>IF(P45="","",IF(SUMPRODUCT(--(P$10:P45=P45))=1,SUMPRODUCT(--(P$10:P$609&lt;P45))+1,""))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IFERROR(INDEX(tblY7[Class],ROWS(H$10:H46))&amp;"","")</f>
        <v>7A/Sc2</v>
      </c>
      <c r="I46" t="str">
        <f>IF(H46="","",IF(SUMPRODUCT(--(H$10:H46=H46))=1,SUMPRODUCT(--(H$10:H$609&lt;H46))+1,""))</f>
        <v/>
      </c>
      <c r="J46" t="str">
        <f>IFERROR(INDEX(tblY8[Class],ROWS(J$10:J46))&amp;"","")</f>
        <v>8A/Sc2</v>
      </c>
      <c r="K46" t="str">
        <f>IF(J46="","",IF(SUMPRODUCT(--(J$10:J46=J46))=1,SUMPRODUCT(--(J$10:J$609&lt;J46))+1,""))</f>
        <v/>
      </c>
      <c r="L46" t="str">
        <f>IFERROR(INDEX(tblY9[Class],ROWS(L$10:L46))&amp;"","")</f>
        <v>9A/Sc2</v>
      </c>
      <c r="M46" t="str">
        <f>IF(L46="","",IF(SUMPRODUCT(--(L$10:L46=L46))=1,SUMPRODUCT(--(L$10:L$609&lt;L46))+1,""))</f>
        <v/>
      </c>
      <c r="N46" t="str">
        <f>IFERROR(INDEX(tblY10[Class],ROWS(N$10:N46))&amp;"","")</f>
        <v>10S/Sc2</v>
      </c>
      <c r="O46" t="str">
        <f>IF(N46="","",IF(SUMPRODUCT(--(N$10:N46=N46))=1,SUMPRODUCT(--(N$10:N$609&lt;N46))+1,""))</f>
        <v/>
      </c>
      <c r="P46" t="str">
        <f>IFERROR(INDEX(tblY11[Class],ROWS(P$10:P46))&amp;"","")</f>
        <v>11S/Sc2</v>
      </c>
      <c r="Q46" t="str">
        <f>IF(P46="","",IF(SUMPRODUCT(--(P$10:P46=P46))=1,SUMPRODUCT(--(P$10:P$609&lt;P46))+1,""))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IFERROR(INDEX(tblY7[Class],ROWS(H$10:H47))&amp;"","")</f>
        <v>7A/Sc2</v>
      </c>
      <c r="I47" t="str">
        <f>IF(H47="","",IF(SUMPRODUCT(--(H$10:H47=H47))=1,SUMPRODUCT(--(H$10:H$609&lt;H47))+1,""))</f>
        <v/>
      </c>
      <c r="J47" t="str">
        <f>IFERROR(INDEX(tblY8[Class],ROWS(J$10:J47))&amp;"","")</f>
        <v>8A/Sc2</v>
      </c>
      <c r="K47" t="str">
        <f>IF(J47="","",IF(SUMPRODUCT(--(J$10:J47=J47))=1,SUMPRODUCT(--(J$10:J$609&lt;J47))+1,""))</f>
        <v/>
      </c>
      <c r="L47" t="str">
        <f>IFERROR(INDEX(tblY9[Class],ROWS(L$10:L47))&amp;"","")</f>
        <v>9A/Sc2</v>
      </c>
      <c r="M47" t="str">
        <f>IF(L47="","",IF(SUMPRODUCT(--(L$10:L47=L47))=1,SUMPRODUCT(--(L$10:L$609&lt;L47))+1,""))</f>
        <v/>
      </c>
      <c r="N47" t="str">
        <f>IFERROR(INDEX(tblY10[Class],ROWS(N$10:N47))&amp;"","")</f>
        <v>10S/Sc2</v>
      </c>
      <c r="O47" t="str">
        <f>IF(N47="","",IF(SUMPRODUCT(--(N$10:N47=N47))=1,SUMPRODUCT(--(N$10:N$609&lt;N47))+1,""))</f>
        <v/>
      </c>
      <c r="P47" t="str">
        <f>IFERROR(INDEX(tblY11[Class],ROWS(P$10:P47))&amp;"","")</f>
        <v>11S/Sc2</v>
      </c>
      <c r="Q47" t="str">
        <f>IF(P47="","",IF(SUMPRODUCT(--(P$10:P47=P47))=1,SUMPRODUCT(--(P$10:P$609&lt;P47))+1,""))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IFERROR(INDEX(tblY7[Class],ROWS(H$10:H48))&amp;"","")</f>
        <v>7A/Sc2</v>
      </c>
      <c r="I48" t="str">
        <f>IF(H48="","",IF(SUMPRODUCT(--(H$10:H48=H48))=1,SUMPRODUCT(--(H$10:H$609&lt;H48))+1,""))</f>
        <v/>
      </c>
      <c r="J48" t="str">
        <f>IFERROR(INDEX(tblY8[Class],ROWS(J$10:J48))&amp;"","")</f>
        <v>8A/Sc2</v>
      </c>
      <c r="K48" t="str">
        <f>IF(J48="","",IF(SUMPRODUCT(--(J$10:J48=J48))=1,SUMPRODUCT(--(J$10:J$609&lt;J48))+1,""))</f>
        <v/>
      </c>
      <c r="L48" t="str">
        <f>IFERROR(INDEX(tblY9[Class],ROWS(L$10:L48))&amp;"","")</f>
        <v>9A/Sc2</v>
      </c>
      <c r="M48" t="str">
        <f>IF(L48="","",IF(SUMPRODUCT(--(L$10:L48=L48))=1,SUMPRODUCT(--(L$10:L$609&lt;L48))+1,""))</f>
        <v/>
      </c>
      <c r="N48" t="str">
        <f>IFERROR(INDEX(tblY10[Class],ROWS(N$10:N48))&amp;"","")</f>
        <v>10S/Sc2</v>
      </c>
      <c r="O48" t="str">
        <f>IF(N48="","",IF(SUMPRODUCT(--(N$10:N48=N48))=1,SUMPRODUCT(--(N$10:N$609&lt;N48))+1,""))</f>
        <v/>
      </c>
      <c r="P48" t="str">
        <f>IFERROR(INDEX(tblY11[Class],ROWS(P$10:P48))&amp;"","")</f>
        <v>11S/Sc2</v>
      </c>
      <c r="Q48" t="str">
        <f>IF(P48="","",IF(SUMPRODUCT(--(P$10:P48=P48))=1,SUMPRODUCT(--(P$10:P$609&lt;P48))+1,""))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IFERROR(INDEX(tblY7[Class],ROWS(H$10:H49))&amp;"","")</f>
        <v>7A/Sc2</v>
      </c>
      <c r="I49" t="str">
        <f>IF(H49="","",IF(SUMPRODUCT(--(H$10:H49=H49))=1,SUMPRODUCT(--(H$10:H$609&lt;H49))+1,""))</f>
        <v/>
      </c>
      <c r="J49" t="str">
        <f>IFERROR(INDEX(tblY8[Class],ROWS(J$10:J49))&amp;"","")</f>
        <v>8A/Sc2</v>
      </c>
      <c r="K49" t="str">
        <f>IF(J49="","",IF(SUMPRODUCT(--(J$10:J49=J49))=1,SUMPRODUCT(--(J$10:J$609&lt;J49))+1,""))</f>
        <v/>
      </c>
      <c r="L49" t="str">
        <f>IFERROR(INDEX(tblY9[Class],ROWS(L$10:L49))&amp;"","")</f>
        <v>9A/Sc2</v>
      </c>
      <c r="M49" t="str">
        <f>IF(L49="","",IF(SUMPRODUCT(--(L$10:L49=L49))=1,SUMPRODUCT(--(L$10:L$609&lt;L49))+1,""))</f>
        <v/>
      </c>
      <c r="N49" t="str">
        <f>IFERROR(INDEX(tblY10[Class],ROWS(N$10:N49))&amp;"","")</f>
        <v>10S/Sc2</v>
      </c>
      <c r="O49" t="str">
        <f>IF(N49="","",IF(SUMPRODUCT(--(N$10:N49=N49))=1,SUMPRODUCT(--(N$10:N$609&lt;N49))+1,""))</f>
        <v/>
      </c>
      <c r="P49" t="str">
        <f>IFERROR(INDEX(tblY11[Class],ROWS(P$10:P49))&amp;"","")</f>
        <v>11S/Sc2</v>
      </c>
      <c r="Q49" t="str">
        <f>IF(P49="","",IF(SUMPRODUCT(--(P$10:P49=P49))=1,SUMPRODUCT(--(P$10:P$609&lt;P49))+1,""))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IFERROR(INDEX(tblY7[Class],ROWS(H$10:H50))&amp;"","")</f>
        <v>7A/Sc2</v>
      </c>
      <c r="I50" t="str">
        <f>IF(H50="","",IF(SUMPRODUCT(--(H$10:H50=H50))=1,SUMPRODUCT(--(H$10:H$609&lt;H50))+1,""))</f>
        <v/>
      </c>
      <c r="J50" t="str">
        <f>IFERROR(INDEX(tblY8[Class],ROWS(J$10:J50))&amp;"","")</f>
        <v>8A/Sc2</v>
      </c>
      <c r="K50" t="str">
        <f>IF(J50="","",IF(SUMPRODUCT(--(J$10:J50=J50))=1,SUMPRODUCT(--(J$10:J$609&lt;J50))+1,""))</f>
        <v/>
      </c>
      <c r="L50" t="str">
        <f>IFERROR(INDEX(tblY9[Class],ROWS(L$10:L50))&amp;"","")</f>
        <v>9A/Sc2</v>
      </c>
      <c r="M50" t="str">
        <f>IF(L50="","",IF(SUMPRODUCT(--(L$10:L50=L50))=1,SUMPRODUCT(--(L$10:L$609&lt;L50))+1,""))</f>
        <v/>
      </c>
      <c r="N50" t="str">
        <f>IFERROR(INDEX(tblY10[Class],ROWS(N$10:N50))&amp;"","")</f>
        <v>10S/Sc2</v>
      </c>
      <c r="O50" t="str">
        <f>IF(N50="","",IF(SUMPRODUCT(--(N$10:N50=N50))=1,SUMPRODUCT(--(N$10:N$609&lt;N50))+1,""))</f>
        <v/>
      </c>
      <c r="P50" t="str">
        <f>IFERROR(INDEX(tblY11[Class],ROWS(P$10:P50))&amp;"","")</f>
        <v>11S/Sc2</v>
      </c>
      <c r="Q50" t="str">
        <f>IF(P50="","",IF(SUMPRODUCT(--(P$10:P50=P50))=1,SUMPRODUCT(--(P$10:P$609&lt;P50))+1,""))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IFERROR(INDEX(tblY7[Class],ROWS(H$10:H51))&amp;"","")</f>
        <v>7A/Sc2</v>
      </c>
      <c r="I51" t="str">
        <f>IF(H51="","",IF(SUMPRODUCT(--(H$10:H51=H51))=1,SUMPRODUCT(--(H$10:H$609&lt;H51))+1,""))</f>
        <v/>
      </c>
      <c r="J51" t="str">
        <f>IFERROR(INDEX(tblY8[Class],ROWS(J$10:J51))&amp;"","")</f>
        <v>8A/Sc2</v>
      </c>
      <c r="K51" t="str">
        <f>IF(J51="","",IF(SUMPRODUCT(--(J$10:J51=J51))=1,SUMPRODUCT(--(J$10:J$609&lt;J51))+1,""))</f>
        <v/>
      </c>
      <c r="L51" t="str">
        <f>IFERROR(INDEX(tblY9[Class],ROWS(L$10:L51))&amp;"","")</f>
        <v>9A/Sc2</v>
      </c>
      <c r="M51" t="str">
        <f>IF(L51="","",IF(SUMPRODUCT(--(L$10:L51=L51))=1,SUMPRODUCT(--(L$10:L$609&lt;L51))+1,""))</f>
        <v/>
      </c>
      <c r="N51" t="str">
        <f>IFERROR(INDEX(tblY10[Class],ROWS(N$10:N51))&amp;"","")</f>
        <v>10S/Sc2</v>
      </c>
      <c r="O51" t="str">
        <f>IF(N51="","",IF(SUMPRODUCT(--(N$10:N51=N51))=1,SUMPRODUCT(--(N$10:N$609&lt;N51))+1,""))</f>
        <v/>
      </c>
      <c r="P51" t="str">
        <f>IFERROR(INDEX(tblY11[Class],ROWS(P$10:P51))&amp;"","")</f>
        <v>11S/Sc2</v>
      </c>
      <c r="Q51" t="str">
        <f>IF(P51="","",IF(SUMPRODUCT(--(P$10:P51=P51))=1,SUMPRODUCT(--(P$10:P$609&lt;P51))+1,""))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IFERROR(INDEX(tblY7[Class],ROWS(H$10:H52))&amp;"","")</f>
        <v>7A/Sc2</v>
      </c>
      <c r="I52" t="str">
        <f>IF(H52="","",IF(SUMPRODUCT(--(H$10:H52=H52))=1,SUMPRODUCT(--(H$10:H$609&lt;H52))+1,""))</f>
        <v/>
      </c>
      <c r="J52" t="str">
        <f>IFERROR(INDEX(tblY8[Class],ROWS(J$10:J52))&amp;"","")</f>
        <v>8A/Sc2</v>
      </c>
      <c r="K52" t="str">
        <f>IF(J52="","",IF(SUMPRODUCT(--(J$10:J52=J52))=1,SUMPRODUCT(--(J$10:J$609&lt;J52))+1,""))</f>
        <v/>
      </c>
      <c r="L52" t="str">
        <f>IFERROR(INDEX(tblY9[Class],ROWS(L$10:L52))&amp;"","")</f>
        <v>9A/Sc2</v>
      </c>
      <c r="M52" t="str">
        <f>IF(L52="","",IF(SUMPRODUCT(--(L$10:L52=L52))=1,SUMPRODUCT(--(L$10:L$609&lt;L52))+1,""))</f>
        <v/>
      </c>
      <c r="N52" t="str">
        <f>IFERROR(INDEX(tblY10[Class],ROWS(N$10:N52))&amp;"","")</f>
        <v>10S/Sc2</v>
      </c>
      <c r="O52" t="str">
        <f>IF(N52="","",IF(SUMPRODUCT(--(N$10:N52=N52))=1,SUMPRODUCT(--(N$10:N$609&lt;N52))+1,""))</f>
        <v/>
      </c>
      <c r="P52" t="str">
        <f>IFERROR(INDEX(tblY11[Class],ROWS(P$10:P52))&amp;"","")</f>
        <v>11S/Sc2</v>
      </c>
      <c r="Q52" t="str">
        <f>IF(P52="","",IF(SUMPRODUCT(--(P$10:P52=P52))=1,SUMPRODUCT(--(P$10:P$609&lt;P52))+1,""))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IFERROR(INDEX(tblY7[Class],ROWS(H$10:H53))&amp;"","")</f>
        <v>7A/Sc2</v>
      </c>
      <c r="I53" t="str">
        <f>IF(H53="","",IF(SUMPRODUCT(--(H$10:H53=H53))=1,SUMPRODUCT(--(H$10:H$609&lt;H53))+1,""))</f>
        <v/>
      </c>
      <c r="J53" t="str">
        <f>IFERROR(INDEX(tblY8[Class],ROWS(J$10:J53))&amp;"","")</f>
        <v>8A/Sc2</v>
      </c>
      <c r="K53" t="str">
        <f>IF(J53="","",IF(SUMPRODUCT(--(J$10:J53=J53))=1,SUMPRODUCT(--(J$10:J$609&lt;J53))+1,""))</f>
        <v/>
      </c>
      <c r="L53" t="str">
        <f>IFERROR(INDEX(tblY9[Class],ROWS(L$10:L53))&amp;"","")</f>
        <v>9A/Sc2</v>
      </c>
      <c r="M53" t="str">
        <f>IF(L53="","",IF(SUMPRODUCT(--(L$10:L53=L53))=1,SUMPRODUCT(--(L$10:L$609&lt;L53))+1,""))</f>
        <v/>
      </c>
      <c r="N53" t="str">
        <f>IFERROR(INDEX(tblY10[Class],ROWS(N$10:N53))&amp;"","")</f>
        <v>10S/Sc2</v>
      </c>
      <c r="O53" t="str">
        <f>IF(N53="","",IF(SUMPRODUCT(--(N$10:N53=N53))=1,SUMPRODUCT(--(N$10:N$609&lt;N53))+1,""))</f>
        <v/>
      </c>
      <c r="P53" t="str">
        <f>IFERROR(INDEX(tblY11[Class],ROWS(P$10:P53))&amp;"","")</f>
        <v>11S/Sc2</v>
      </c>
      <c r="Q53" t="str">
        <f>IF(P53="","",IF(SUMPRODUCT(--(P$10:P53=P53))=1,SUMPRODUCT(--(P$10:P$609&lt;P53))+1,""))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IFERROR(INDEX(tblY7[Class],ROWS(H$10:H54))&amp;"","")</f>
        <v>7A/Sc2</v>
      </c>
      <c r="I54" t="str">
        <f>IF(H54="","",IF(SUMPRODUCT(--(H$10:H54=H54))=1,SUMPRODUCT(--(H$10:H$609&lt;H54))+1,""))</f>
        <v/>
      </c>
      <c r="J54" t="str">
        <f>IFERROR(INDEX(tblY8[Class],ROWS(J$10:J54))&amp;"","")</f>
        <v>8A/Sc2</v>
      </c>
      <c r="K54" t="str">
        <f>IF(J54="","",IF(SUMPRODUCT(--(J$10:J54=J54))=1,SUMPRODUCT(--(J$10:J$609&lt;J54))+1,""))</f>
        <v/>
      </c>
      <c r="L54" t="str">
        <f>IFERROR(INDEX(tblY9[Class],ROWS(L$10:L54))&amp;"","")</f>
        <v>9A/Sc2</v>
      </c>
      <c r="M54" t="str">
        <f>IF(L54="","",IF(SUMPRODUCT(--(L$10:L54=L54))=1,SUMPRODUCT(--(L$10:L$609&lt;L54))+1,""))</f>
        <v/>
      </c>
      <c r="N54" t="str">
        <f>IFERROR(INDEX(tblY10[Class],ROWS(N$10:N54))&amp;"","")</f>
        <v>10S/Sc2</v>
      </c>
      <c r="O54" t="str">
        <f>IF(N54="","",IF(SUMPRODUCT(--(N$10:N54=N54))=1,SUMPRODUCT(--(N$10:N$609&lt;N54))+1,""))</f>
        <v/>
      </c>
      <c r="P54" t="str">
        <f>IFERROR(INDEX(tblY11[Class],ROWS(P$10:P54))&amp;"","")</f>
        <v>11S/Sc2</v>
      </c>
      <c r="Q54" t="str">
        <f>IF(P54="","",IF(SUMPRODUCT(--(P$10:P54=P54))=1,SUMPRODUCT(--(P$10:P$609&lt;P54))+1,""))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IFERROR(INDEX(tblY7[Class],ROWS(H$10:H55))&amp;"","")</f>
        <v>7A/Sc2</v>
      </c>
      <c r="I55" t="str">
        <f>IF(H55="","",IF(SUMPRODUCT(--(H$10:H55=H55))=1,SUMPRODUCT(--(H$10:H$609&lt;H55))+1,""))</f>
        <v/>
      </c>
      <c r="J55" t="str">
        <f>IFERROR(INDEX(tblY8[Class],ROWS(J$10:J55))&amp;"","")</f>
        <v>8A/Sc2</v>
      </c>
      <c r="K55" t="str">
        <f>IF(J55="","",IF(SUMPRODUCT(--(J$10:J55=J55))=1,SUMPRODUCT(--(J$10:J$609&lt;J55))+1,""))</f>
        <v/>
      </c>
      <c r="L55" t="str">
        <f>IFERROR(INDEX(tblY9[Class],ROWS(L$10:L55))&amp;"","")</f>
        <v>9A/Sc2</v>
      </c>
      <c r="M55" t="str">
        <f>IF(L55="","",IF(SUMPRODUCT(--(L$10:L55=L55))=1,SUMPRODUCT(--(L$10:L$609&lt;L55))+1,""))</f>
        <v/>
      </c>
      <c r="N55" t="str">
        <f>IFERROR(INDEX(tblY10[Class],ROWS(N$10:N55))&amp;"","")</f>
        <v>10S/Sc2</v>
      </c>
      <c r="O55" t="str">
        <f>IF(N55="","",IF(SUMPRODUCT(--(N$10:N55=N55))=1,SUMPRODUCT(--(N$10:N$609&lt;N55))+1,""))</f>
        <v/>
      </c>
      <c r="P55" t="str">
        <f>IFERROR(INDEX(tblY11[Class],ROWS(P$10:P55))&amp;"","")</f>
        <v>11S/Sc2</v>
      </c>
      <c r="Q55" t="str">
        <f>IF(P55="","",IF(SUMPRODUCT(--(P$10:P55=P55))=1,SUMPRODUCT(--(P$10:P$609&lt;P55))+1,""))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IFERROR(INDEX(tblY7[Class],ROWS(H$10:H56))&amp;"","")</f>
        <v>7A/Sc2</v>
      </c>
      <c r="I56" t="str">
        <f>IF(H56="","",IF(SUMPRODUCT(--(H$10:H56=H56))=1,SUMPRODUCT(--(H$10:H$609&lt;H56))+1,""))</f>
        <v/>
      </c>
      <c r="J56" t="str">
        <f>IFERROR(INDEX(tblY8[Class],ROWS(J$10:J56))&amp;"","")</f>
        <v>8A/Sc2</v>
      </c>
      <c r="K56" t="str">
        <f>IF(J56="","",IF(SUMPRODUCT(--(J$10:J56=J56))=1,SUMPRODUCT(--(J$10:J$609&lt;J56))+1,""))</f>
        <v/>
      </c>
      <c r="L56" t="str">
        <f>IFERROR(INDEX(tblY9[Class],ROWS(L$10:L56))&amp;"","")</f>
        <v>9A/Sc2</v>
      </c>
      <c r="M56" t="str">
        <f>IF(L56="","",IF(SUMPRODUCT(--(L$10:L56=L56))=1,SUMPRODUCT(--(L$10:L$609&lt;L56))+1,""))</f>
        <v/>
      </c>
      <c r="N56" t="str">
        <f>IFERROR(INDEX(tblY10[Class],ROWS(N$10:N56))&amp;"","")</f>
        <v>10S/Sc2</v>
      </c>
      <c r="O56" t="str">
        <f>IF(N56="","",IF(SUMPRODUCT(--(N$10:N56=N56))=1,SUMPRODUCT(--(N$10:N$609&lt;N56))+1,""))</f>
        <v/>
      </c>
      <c r="P56" t="str">
        <f>IFERROR(INDEX(tblY11[Class],ROWS(P$10:P56))&amp;"","")</f>
        <v>11S/Sc2</v>
      </c>
      <c r="Q56" t="str">
        <f>IF(P56="","",IF(SUMPRODUCT(--(P$10:P56=P56))=1,SUMPRODUCT(--(P$10:P$609&lt;P56))+1,""))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IFERROR(INDEX(tblY7[Class],ROWS(H$10:H57))&amp;"","")</f>
        <v>7A/Sc2</v>
      </c>
      <c r="I57" t="str">
        <f>IF(H57="","",IF(SUMPRODUCT(--(H$10:H57=H57))=1,SUMPRODUCT(--(H$10:H$609&lt;H57))+1,""))</f>
        <v/>
      </c>
      <c r="J57" t="str">
        <f>IFERROR(INDEX(tblY8[Class],ROWS(J$10:J57))&amp;"","")</f>
        <v>8A/Sc2</v>
      </c>
      <c r="K57" t="str">
        <f>IF(J57="","",IF(SUMPRODUCT(--(J$10:J57=J57))=1,SUMPRODUCT(--(J$10:J$609&lt;J57))+1,""))</f>
        <v/>
      </c>
      <c r="L57" t="str">
        <f>IFERROR(INDEX(tblY9[Class],ROWS(L$10:L57))&amp;"","")</f>
        <v>9A/Sc3</v>
      </c>
      <c r="M57">
        <f>IF(L57="","",IF(SUMPRODUCT(--(L$10:L57=L57))=1,SUMPRODUCT(--(L$10:L$609&lt;L57))+1,""))</f>
        <v>523</v>
      </c>
      <c r="N57" t="str">
        <f>IFERROR(INDEX(tblY10[Class],ROWS(N$10:N57))&amp;"","")</f>
        <v>10S/Sc2</v>
      </c>
      <c r="O57" t="str">
        <f>IF(N57="","",IF(SUMPRODUCT(--(N$10:N57=N57))=1,SUMPRODUCT(--(N$10:N$609&lt;N57))+1,""))</f>
        <v/>
      </c>
      <c r="P57" t="str">
        <f>IFERROR(INDEX(tblY11[Class],ROWS(P$10:P57))&amp;"","")</f>
        <v>11S/Sc2</v>
      </c>
      <c r="Q57" t="str">
        <f>IF(P57="","",IF(SUMPRODUCT(--(P$10:P57=P57))=1,SUMPRODUCT(--(P$10:P$609&lt;P57))+1,""))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IFERROR(INDEX(tblY7[Class],ROWS(H$10:H58))&amp;"","")</f>
        <v>7A/Sc2</v>
      </c>
      <c r="I58" t="str">
        <f>IF(H58="","",IF(SUMPRODUCT(--(H$10:H58=H58))=1,SUMPRODUCT(--(H$10:H$609&lt;H58))+1,""))</f>
        <v/>
      </c>
      <c r="J58" t="str">
        <f>IFERROR(INDEX(tblY8[Class],ROWS(J$10:J58))&amp;"","")</f>
        <v>8A/Sc2</v>
      </c>
      <c r="K58" t="str">
        <f>IF(J58="","",IF(SUMPRODUCT(--(J$10:J58=J58))=1,SUMPRODUCT(--(J$10:J$609&lt;J58))+1,""))</f>
        <v/>
      </c>
      <c r="L58" t="str">
        <f>IFERROR(INDEX(tblY9[Class],ROWS(L$10:L58))&amp;"","")</f>
        <v>9A/Sc3</v>
      </c>
      <c r="M58" t="str">
        <f>IF(L58="","",IF(SUMPRODUCT(--(L$10:L58=L58))=1,SUMPRODUCT(--(L$10:L$609&lt;L58))+1,""))</f>
        <v/>
      </c>
      <c r="N58" t="str">
        <f>IFERROR(INDEX(tblY10[Class],ROWS(N$10:N58))&amp;"","")</f>
        <v>10S/Sc2</v>
      </c>
      <c r="O58" t="str">
        <f>IF(N58="","",IF(SUMPRODUCT(--(N$10:N58=N58))=1,SUMPRODUCT(--(N$10:N$609&lt;N58))+1,""))</f>
        <v/>
      </c>
      <c r="P58" t="str">
        <f>IFERROR(INDEX(tblY11[Class],ROWS(P$10:P58))&amp;"","")</f>
        <v>11S/Sc2</v>
      </c>
      <c r="Q58" t="str">
        <f>IF(P58="","",IF(SUMPRODUCT(--(P$10:P58=P58))=1,SUMPRODUCT(--(P$10:P$609&lt;P58))+1,""))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IFERROR(INDEX(tblY7[Class],ROWS(H$10:H59))&amp;"","")</f>
        <v>7A/Sc2</v>
      </c>
      <c r="I59" t="str">
        <f>IF(H59="","",IF(SUMPRODUCT(--(H$10:H59=H59))=1,SUMPRODUCT(--(H$10:H$609&lt;H59))+1,""))</f>
        <v/>
      </c>
      <c r="J59" t="str">
        <f>IFERROR(INDEX(tblY8[Class],ROWS(J$10:J59))&amp;"","")</f>
        <v>8A/Sc2</v>
      </c>
      <c r="K59" t="str">
        <f>IF(J59="","",IF(SUMPRODUCT(--(J$10:J59=J59))=1,SUMPRODUCT(--(J$10:J$609&lt;J59))+1,""))</f>
        <v/>
      </c>
      <c r="L59" t="str">
        <f>IFERROR(INDEX(tblY9[Class],ROWS(L$10:L59))&amp;"","")</f>
        <v>9A/Sc3</v>
      </c>
      <c r="M59" t="str">
        <f>IF(L59="","",IF(SUMPRODUCT(--(L$10:L59=L59))=1,SUMPRODUCT(--(L$10:L$609&lt;L59))+1,""))</f>
        <v/>
      </c>
      <c r="N59" t="str">
        <f>IFERROR(INDEX(tblY10[Class],ROWS(N$10:N59))&amp;"","")</f>
        <v>10S/Sc2</v>
      </c>
      <c r="O59" t="str">
        <f>IF(N59="","",IF(SUMPRODUCT(--(N$10:N59=N59))=1,SUMPRODUCT(--(N$10:N$609&lt;N59))+1,""))</f>
        <v/>
      </c>
      <c r="P59" t="str">
        <f>IFERROR(INDEX(tblY11[Class],ROWS(P$10:P59))&amp;"","")</f>
        <v>11S/Sc2</v>
      </c>
      <c r="Q59" t="str">
        <f>IF(P59="","",IF(SUMPRODUCT(--(P$10:P59=P59))=1,SUMPRODUCT(--(P$10:P$609&lt;P59))+1,""))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IFERROR(INDEX(tblY7[Class],ROWS(H$10:H60))&amp;"","")</f>
        <v>7A/Sc2</v>
      </c>
      <c r="I60" t="str">
        <f>IF(H60="","",IF(SUMPRODUCT(--(H$10:H60=H60))=1,SUMPRODUCT(--(H$10:H$609&lt;H60))+1,""))</f>
        <v/>
      </c>
      <c r="J60" t="str">
        <f>IFERROR(INDEX(tblY8[Class],ROWS(J$10:J60))&amp;"","")</f>
        <v>8A/Sc2</v>
      </c>
      <c r="K60" t="str">
        <f>IF(J60="","",IF(SUMPRODUCT(--(J$10:J60=J60))=1,SUMPRODUCT(--(J$10:J$609&lt;J60))+1,""))</f>
        <v/>
      </c>
      <c r="L60" t="str">
        <f>IFERROR(INDEX(tblY9[Class],ROWS(L$10:L60))&amp;"","")</f>
        <v>9A/Sc3</v>
      </c>
      <c r="M60" t="str">
        <f>IF(L60="","",IF(SUMPRODUCT(--(L$10:L60=L60))=1,SUMPRODUCT(--(L$10:L$609&lt;L60))+1,""))</f>
        <v/>
      </c>
      <c r="N60" t="str">
        <f>IFERROR(INDEX(tblY10[Class],ROWS(N$10:N60))&amp;"","")</f>
        <v>10S/Sc2</v>
      </c>
      <c r="O60" t="str">
        <f>IF(N60="","",IF(SUMPRODUCT(--(N$10:N60=N60))=1,SUMPRODUCT(--(N$10:N$609&lt;N60))+1,""))</f>
        <v/>
      </c>
      <c r="P60" t="str">
        <f>IFERROR(INDEX(tblY11[Class],ROWS(P$10:P60))&amp;"","")</f>
        <v>11S/Sc2</v>
      </c>
      <c r="Q60" t="str">
        <f>IF(P60="","",IF(SUMPRODUCT(--(P$10:P60=P60))=1,SUMPRODUCT(--(P$10:P$609&lt;P60))+1,""))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IFERROR(INDEX(tblY7[Class],ROWS(H$10:H61))&amp;"","")</f>
        <v>7A/Sc2</v>
      </c>
      <c r="I61" t="str">
        <f>IF(H61="","",IF(SUMPRODUCT(--(H$10:H61=H61))=1,SUMPRODUCT(--(H$10:H$609&lt;H61))+1,""))</f>
        <v/>
      </c>
      <c r="J61" t="str">
        <f>IFERROR(INDEX(tblY8[Class],ROWS(J$10:J61))&amp;"","")</f>
        <v>8A/Sc2</v>
      </c>
      <c r="K61" t="str">
        <f>IF(J61="","",IF(SUMPRODUCT(--(J$10:J61=J61))=1,SUMPRODUCT(--(J$10:J$609&lt;J61))+1,""))</f>
        <v/>
      </c>
      <c r="L61" t="str">
        <f>IFERROR(INDEX(tblY9[Class],ROWS(L$10:L61))&amp;"","")</f>
        <v>9A/Sc3</v>
      </c>
      <c r="M61" t="str">
        <f>IF(L61="","",IF(SUMPRODUCT(--(L$10:L61=L61))=1,SUMPRODUCT(--(L$10:L$609&lt;L61))+1,""))</f>
        <v/>
      </c>
      <c r="N61" t="str">
        <f>IFERROR(INDEX(tblY10[Class],ROWS(N$10:N61))&amp;"","")</f>
        <v>10S/Sc2</v>
      </c>
      <c r="O61" t="str">
        <f>IF(N61="","",IF(SUMPRODUCT(--(N$10:N61=N61))=1,SUMPRODUCT(--(N$10:N$609&lt;N61))+1,""))</f>
        <v/>
      </c>
      <c r="P61" t="str">
        <f>IFERROR(INDEX(tblY11[Class],ROWS(P$10:P61))&amp;"","")</f>
        <v>11S/Sc2</v>
      </c>
      <c r="Q61" t="str">
        <f>IF(P61="","",IF(SUMPRODUCT(--(P$10:P61=P61))=1,SUMPRODUCT(--(P$10:P$609&lt;P61))+1,""))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IFERROR(INDEX(tblY7[Class],ROWS(H$10:H62))&amp;"","")</f>
        <v>7A/Sc2</v>
      </c>
      <c r="I62" t="str">
        <f>IF(H62="","",IF(SUMPRODUCT(--(H$10:H62=H62))=1,SUMPRODUCT(--(H$10:H$609&lt;H62))+1,""))</f>
        <v/>
      </c>
      <c r="J62" t="str">
        <f>IFERROR(INDEX(tblY8[Class],ROWS(J$10:J62))&amp;"","")</f>
        <v>8A/Sc2</v>
      </c>
      <c r="K62" t="str">
        <f>IF(J62="","",IF(SUMPRODUCT(--(J$10:J62=J62))=1,SUMPRODUCT(--(J$10:J$609&lt;J62))+1,""))</f>
        <v/>
      </c>
      <c r="L62" t="str">
        <f>IFERROR(INDEX(tblY9[Class],ROWS(L$10:L62))&amp;"","")</f>
        <v>9A/Sc3</v>
      </c>
      <c r="M62" t="str">
        <f>IF(L62="","",IF(SUMPRODUCT(--(L$10:L62=L62))=1,SUMPRODUCT(--(L$10:L$609&lt;L62))+1,""))</f>
        <v/>
      </c>
      <c r="N62" t="str">
        <f>IFERROR(INDEX(tblY10[Class],ROWS(N$10:N62))&amp;"","")</f>
        <v>10S/Sc2</v>
      </c>
      <c r="O62" t="str">
        <f>IF(N62="","",IF(SUMPRODUCT(--(N$10:N62=N62))=1,SUMPRODUCT(--(N$10:N$609&lt;N62))+1,""))</f>
        <v/>
      </c>
      <c r="P62" t="str">
        <f>IFERROR(INDEX(tblY11[Class],ROWS(P$10:P62))&amp;"","")</f>
        <v>11S/Sc2</v>
      </c>
      <c r="Q62" t="str">
        <f>IF(P62="","",IF(SUMPRODUCT(--(P$10:P62=P62))=1,SUMPRODUCT(--(P$10:P$609&lt;P62))+1,""))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IFERROR(INDEX(tblY7[Class],ROWS(H$10:H63))&amp;"","")</f>
        <v>7A/Sc2</v>
      </c>
      <c r="I63" t="str">
        <f>IF(H63="","",IF(SUMPRODUCT(--(H$10:H63=H63))=1,SUMPRODUCT(--(H$10:H$609&lt;H63))+1,""))</f>
        <v/>
      </c>
      <c r="J63" t="str">
        <f>IFERROR(INDEX(tblY8[Class],ROWS(J$10:J63))&amp;"","")</f>
        <v>8A/Sc3</v>
      </c>
      <c r="K63">
        <f>IF(J63="","",IF(SUMPRODUCT(--(J$10:J63=J63))=1,SUMPRODUCT(--(J$10:J$609&lt;J63))+1,""))</f>
        <v>561</v>
      </c>
      <c r="L63" t="str">
        <f>IFERROR(INDEX(tblY9[Class],ROWS(L$10:L63))&amp;"","")</f>
        <v>9A/Sc3</v>
      </c>
      <c r="M63" t="str">
        <f>IF(L63="","",IF(SUMPRODUCT(--(L$10:L63=L63))=1,SUMPRODUCT(--(L$10:L$609&lt;L63))+1,""))</f>
        <v/>
      </c>
      <c r="N63" t="str">
        <f>IFERROR(INDEX(tblY10[Class],ROWS(N$10:N63))&amp;"","")</f>
        <v>10S/Sc2</v>
      </c>
      <c r="O63" t="str">
        <f>IF(N63="","",IF(SUMPRODUCT(--(N$10:N63=N63))=1,SUMPRODUCT(--(N$10:N$609&lt;N63))+1,""))</f>
        <v/>
      </c>
      <c r="P63" t="str">
        <f>IFERROR(INDEX(tblY11[Class],ROWS(P$10:P63))&amp;"","")</f>
        <v>11S/Sc2</v>
      </c>
      <c r="Q63" t="str">
        <f>IF(P63="","",IF(SUMPRODUCT(--(P$10:P63=P63))=1,SUMPRODUCT(--(P$10:P$609&lt;P63))+1,""))</f>
        <v/>
      </c>
    </row>
    <row r="64">
      <c r="H64" t="str">
        <f>IFERROR(INDEX(tblY7[Class],ROWS(H$10:H64))&amp;"","")</f>
        <v>7A/Sc2</v>
      </c>
      <c r="I64" t="str">
        <f>IF(H64="","",IF(SUMPRODUCT(--(H$10:H64=H64))=1,SUMPRODUCT(--(H$10:H$609&lt;H64))+1,""))</f>
        <v/>
      </c>
      <c r="J64" t="str">
        <f>IFERROR(INDEX(tblY8[Class],ROWS(J$10:J64))&amp;"","")</f>
        <v>8A/Sc3</v>
      </c>
      <c r="K64" t="str">
        <f>IF(J64="","",IF(SUMPRODUCT(--(J$10:J64=J64))=1,SUMPRODUCT(--(J$10:J$609&lt;J64))+1,""))</f>
        <v/>
      </c>
      <c r="L64" t="str">
        <f>IFERROR(INDEX(tblY9[Class],ROWS(L$10:L64))&amp;"","")</f>
        <v>9A/Sc3</v>
      </c>
      <c r="M64" t="str">
        <f>IF(L64="","",IF(SUMPRODUCT(--(L$10:L64=L64))=1,SUMPRODUCT(--(L$10:L$609&lt;L64))+1,""))</f>
        <v/>
      </c>
      <c r="N64" t="str">
        <f>IFERROR(INDEX(tblY10[Class],ROWS(N$10:N64))&amp;"","")</f>
        <v>10S/Sc2</v>
      </c>
      <c r="O64" t="str">
        <f>IF(N64="","",IF(SUMPRODUCT(--(N$10:N64=N64))=1,SUMPRODUCT(--(N$10:N$609&lt;N64))+1,""))</f>
        <v/>
      </c>
      <c r="P64" t="str">
        <f>IFERROR(INDEX(tblY11[Class],ROWS(P$10:P64))&amp;"","")</f>
        <v>11S/Sc3</v>
      </c>
      <c r="Q64">
        <f>IF(P64="","",IF(SUMPRODUCT(--(P$10:P64=P64))=1,SUMPRODUCT(--(P$10:P$609&lt;P64))+1,""))</f>
        <v>549</v>
      </c>
      <c r="AA64">
        <f>COUNTIF(tblAssessments[Year Group],SelYear)</f>
        <v>6</v>
      </c>
    </row>
    <row r="65">
      <c r="H65" t="str">
        <f>IFERROR(INDEX(tblY7[Class],ROWS(H$10:H65))&amp;"","")</f>
        <v>7A/Sc2</v>
      </c>
      <c r="I65" t="str">
        <f>IF(H65="","",IF(SUMPRODUCT(--(H$10:H65=H65))=1,SUMPRODUCT(--(H$10:H$609&lt;H65))+1,""))</f>
        <v/>
      </c>
      <c r="J65" t="str">
        <f>IFERROR(INDEX(tblY8[Class],ROWS(J$10:J65))&amp;"","")</f>
        <v>8A/Sc3</v>
      </c>
      <c r="K65" t="str">
        <f>IF(J65="","",IF(SUMPRODUCT(--(J$10:J65=J65))=1,SUMPRODUCT(--(J$10:J$609&lt;J65))+1,""))</f>
        <v/>
      </c>
      <c r="L65" t="str">
        <f>IFERROR(INDEX(tblY9[Class],ROWS(L$10:L65))&amp;"","")</f>
        <v>9A/Sc3</v>
      </c>
      <c r="M65" t="str">
        <f>IF(L65="","",IF(SUMPRODUCT(--(L$10:L65=L65))=1,SUMPRODUCT(--(L$10:L$609&lt;L65))+1,""))</f>
        <v/>
      </c>
      <c r="N65" t="str">
        <f>IFERROR(INDEX(tblY10[Class],ROWS(N$10:N65))&amp;"","")</f>
        <v>10S/Sc2</v>
      </c>
      <c r="O65" t="str">
        <f>IF(N65="","",IF(SUMPRODUCT(--(N$10:N65=N65))=1,SUMPRODUCT(--(N$10:N$609&lt;N65))+1,""))</f>
        <v/>
      </c>
      <c r="P65" t="str">
        <f>IFERROR(INDEX(tblY11[Class],ROWS(P$10:P65))&amp;"","")</f>
        <v>11S/Sc3</v>
      </c>
      <c r="Q65" t="str">
        <f>IF(P65="","",IF(SUMPRODUCT(--(P$10:P65=P65))=1,SUMPRODUCT(--(P$10:P$609&lt;P65))+1,""))</f>
        <v/>
      </c>
    </row>
    <row r="66">
      <c r="H66" t="str">
        <f>IFERROR(INDEX(tblY7[Class],ROWS(H$10:H66))&amp;"","")</f>
        <v>7A/Sc2</v>
      </c>
      <c r="I66" t="str">
        <f>IF(H66="","",IF(SUMPRODUCT(--(H$10:H66=H66))=1,SUMPRODUCT(--(H$10:H$609&lt;H66))+1,""))</f>
        <v/>
      </c>
      <c r="J66" t="str">
        <f>IFERROR(INDEX(tblY8[Class],ROWS(J$10:J66))&amp;"","")</f>
        <v>8A/Sc3</v>
      </c>
      <c r="K66" t="str">
        <f>IF(J66="","",IF(SUMPRODUCT(--(J$10:J66=J66))=1,SUMPRODUCT(--(J$10:J$609&lt;J66))+1,""))</f>
        <v/>
      </c>
      <c r="L66" t="str">
        <f>IFERROR(INDEX(tblY9[Class],ROWS(L$10:L66))&amp;"","")</f>
        <v>9A/Sc3</v>
      </c>
      <c r="M66" t="str">
        <f>IF(L66="","",IF(SUMPRODUCT(--(L$10:L66=L66))=1,SUMPRODUCT(--(L$10:L$609&lt;L66))+1,""))</f>
        <v/>
      </c>
      <c r="N66" t="str">
        <f>IFERROR(INDEX(tblY10[Class],ROWS(N$10:N66))&amp;"","")</f>
        <v>10S/Sc2</v>
      </c>
      <c r="O66" t="str">
        <f>IF(N66="","",IF(SUMPRODUCT(--(N$10:N66=N66))=1,SUMPRODUCT(--(N$10:N$609&lt;N66))+1,""))</f>
        <v/>
      </c>
      <c r="P66" t="str">
        <f>IFERROR(INDEX(tblY11[Class],ROWS(P$10:P66))&amp;"","")</f>
        <v>11S/Sc3</v>
      </c>
      <c r="Q66" t="str">
        <f>IF(P66="","",IF(SUMPRODUCT(--(P$10:P66=P66))=1,SUMPRODUCT(--(P$10:P$609&lt;P66))+1,""))</f>
        <v/>
      </c>
    </row>
    <row r="67">
      <c r="H67" t="str">
        <f>IFERROR(INDEX(tblY7[Class],ROWS(H$10:H67))&amp;"","")</f>
        <v>7A/Sc2</v>
      </c>
      <c r="I67" t="str">
        <f>IF(H67="","",IF(SUMPRODUCT(--(H$10:H67=H67))=1,SUMPRODUCT(--(H$10:H$609&lt;H67))+1,""))</f>
        <v/>
      </c>
      <c r="J67" t="str">
        <f>IFERROR(INDEX(tblY8[Class],ROWS(J$10:J67))&amp;"","")</f>
        <v>8A/Sc3</v>
      </c>
      <c r="K67" t="str">
        <f>IF(J67="","",IF(SUMPRODUCT(--(J$10:J67=J67))=1,SUMPRODUCT(--(J$10:J$609&lt;J67))+1,""))</f>
        <v/>
      </c>
      <c r="L67" t="str">
        <f>IFERROR(INDEX(tblY9[Class],ROWS(L$10:L67))&amp;"","")</f>
        <v>9A/Sc3</v>
      </c>
      <c r="M67" t="str">
        <f>IF(L67="","",IF(SUMPRODUCT(--(L$10:L67=L67))=1,SUMPRODUCT(--(L$10:L$609&lt;L67))+1,""))</f>
        <v/>
      </c>
      <c r="N67" t="str">
        <f>IFERROR(INDEX(tblY10[Class],ROWS(N$10:N67))&amp;"","")</f>
        <v>10S/Sc3</v>
      </c>
      <c r="O67">
        <f>IF(N67="","",IF(SUMPRODUCT(--(N$10:N67=N67))=1,SUMPRODUCT(--(N$10:N$609&lt;N67))+1,""))</f>
        <v>541</v>
      </c>
      <c r="P67" t="str">
        <f>IFERROR(INDEX(tblY11[Class],ROWS(P$10:P67))&amp;"","")</f>
        <v>11S/Sc3</v>
      </c>
      <c r="Q67" t="str">
        <f>IF(P67="","",IF(SUMPRODUCT(--(P$10:P67=P67))=1,SUMPRODUCT(--(P$10:P$609&lt;P67))+1,""))</f>
        <v/>
      </c>
      <c r="BA67">
        <f>COUNT(BJ70:BJ669)</f>
        <v>9</v>
      </c>
    </row>
    <row r="68">
      <c r="H68" t="str">
        <f>IFERROR(INDEX(tblY7[Class],ROWS(H$10:H68))&amp;"","")</f>
        <v>7A/Sc2</v>
      </c>
      <c r="I68" t="str">
        <f>IF(H68="","",IF(SUMPRODUCT(--(H$10:H68=H68))=1,SUMPRODUCT(--(H$10:H$609&lt;H68))+1,""))</f>
        <v/>
      </c>
      <c r="J68" t="str">
        <f>IFERROR(INDEX(tblY8[Class],ROWS(J$10:J68))&amp;"","")</f>
        <v>8A/Sc3</v>
      </c>
      <c r="K68" t="str">
        <f>IF(J68="","",IF(SUMPRODUCT(--(J$10:J68=J68))=1,SUMPRODUCT(--(J$10:J$609&lt;J68))+1,""))</f>
        <v/>
      </c>
      <c r="L68" t="str">
        <f>IFERROR(INDEX(tblY9[Class],ROWS(L$10:L68))&amp;"","")</f>
        <v>9A/Sc3</v>
      </c>
      <c r="M68" t="str">
        <f>IF(L68="","",IF(SUMPRODUCT(--(L$10:L68=L68))=1,SUMPRODUCT(--(L$10:L$609&lt;L68))+1,""))</f>
        <v/>
      </c>
      <c r="N68" t="str">
        <f>IFERROR(INDEX(tblY10[Class],ROWS(N$10:N68))&amp;"","")</f>
        <v>10S/Sc3</v>
      </c>
      <c r="O68" t="str">
        <f>IF(N68="","",IF(SUMPRODUCT(--(N$10:N68=N68))=1,SUMPRODUCT(--(N$10:N$609&lt;N68))+1,""))</f>
        <v/>
      </c>
      <c r="P68" t="str">
        <f>IFERROR(INDEX(tblY11[Class],ROWS(P$10:P68))&amp;"","")</f>
        <v>11S/Sc3</v>
      </c>
      <c r="Q68" t="str">
        <f>IF(P68="","",IF(SUMPRODUCT(--(P$10:P68=P68))=1,SUMPRODUCT(--(P$10:P$609&lt;P68))+1,""))</f>
        <v/>
      </c>
    </row>
    <row r="69">
      <c r="H69" t="str">
        <f>IFERROR(INDEX(tblY7[Class],ROWS(H$10:H69))&amp;"","")</f>
        <v>7A/Sc2</v>
      </c>
      <c r="I69" t="str">
        <f>IF(H69="","",IF(SUMPRODUCT(--(H$10:H69=H69))=1,SUMPRODUCT(--(H$10:H$609&lt;H69))+1,""))</f>
        <v/>
      </c>
      <c r="J69" t="str">
        <f>IFERROR(INDEX(tblY8[Class],ROWS(J$10:J69))&amp;"","")</f>
        <v>8A/Sc3</v>
      </c>
      <c r="K69" t="str">
        <f>IF(J69="","",IF(SUMPRODUCT(--(J$10:J69=J69))=1,SUMPRODUCT(--(J$10:J$609&lt;J69))+1,""))</f>
        <v/>
      </c>
      <c r="L69" t="str">
        <f>IFERROR(INDEX(tblY9[Class],ROWS(L$10:L69))&amp;"","")</f>
        <v>9A/Sc3</v>
      </c>
      <c r="M69" t="str">
        <f>IF(L69="","",IF(SUMPRODUCT(--(L$10:L69=L69))=1,SUMPRODUCT(--(L$10:L$609&lt;L69))+1,""))</f>
        <v/>
      </c>
      <c r="N69" t="str">
        <f>IFERROR(INDEX(tblY10[Class],ROWS(N$10:N69))&amp;"","")</f>
        <v>10S/Sc3</v>
      </c>
      <c r="O69" t="str">
        <f>IF(N69="","",IF(SUMPRODUCT(--(N$10:N69=N69))=1,SUMPRODUCT(--(N$10:N$609&lt;N69))+1,""))</f>
        <v/>
      </c>
      <c r="P69" t="str">
        <f>IFERROR(INDEX(tblY11[Class],ROWS(P$10:P69))&amp;"","")</f>
        <v>11S/Sc3</v>
      </c>
      <c r="Q69" t="str">
        <f>IF(P69="","",IF(SUMPRODUCT(--(P$10:P69=P69))=1,SUMPRODUCT(--(P$10:P$609&lt;P69))+1,""))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IFERROR(INDEX(tblY7[Class],ROWS(H$10:H70))&amp;"","")</f>
        <v>7B/Sc1</v>
      </c>
      <c r="I70">
        <f>IF(H70="","",IF(SUMPRODUCT(--(H$10:H70=H70))=1,SUMPRODUCT(--(H$10:H$609&lt;H70))+1,""))</f>
        <v>530</v>
      </c>
      <c r="J70" t="str">
        <f>IFERROR(INDEX(tblY8[Class],ROWS(J$10:J70))&amp;"","")</f>
        <v>8A/Sc3</v>
      </c>
      <c r="K70" t="str">
        <f>IF(J70="","",IF(SUMPRODUCT(--(J$10:J70=J70))=1,SUMPRODUCT(--(J$10:J$609&lt;J70))+1,""))</f>
        <v/>
      </c>
      <c r="L70" t="str">
        <f>IFERROR(INDEX(tblY9[Class],ROWS(L$10:L70))&amp;"","")</f>
        <v>9A/Sc3</v>
      </c>
      <c r="M70" t="str">
        <f>IF(L70="","",IF(SUMPRODUCT(--(L$10:L70=L70))=1,SUMPRODUCT(--(L$10:L$609&lt;L70))+1,""))</f>
        <v/>
      </c>
      <c r="N70" t="str">
        <f>IFERROR(INDEX(tblY10[Class],ROWS(N$10:N70))&amp;"","")</f>
        <v>10S/Sc3</v>
      </c>
      <c r="O70" t="str">
        <f>IF(N70="","",IF(SUMPRODUCT(--(N$10:N70=N70))=1,SUMPRODUCT(--(N$10:N$609&lt;N70))+1,""))</f>
        <v/>
      </c>
      <c r="P70" t="str">
        <f>IFERROR(INDEX(tblY11[Class],ROWS(P$10:P70))&amp;"","")</f>
        <v>11S/Sc3</v>
      </c>
      <c r="Q70" t="str">
        <f>IF(P70="","",IF(SUMPRODUCT(--(P$10:P70=P70))=1,SUMPRODUCT(--(P$10:P$609&lt;P70))+1,""))</f>
        <v/>
      </c>
      <c r="BA70" t="str">
        <f>IFERROR(INDEX(wLast,1)&amp;"","")</f>
        <v>Begum</v>
      </c>
      <c r="BB70" t="str">
        <f>IF(BA70="","",IFERROR(INDEX(wFirst,1)&amp;"",""))</f>
        <v>Maisie</v>
      </c>
      <c r="BC70" t="str">
        <f>IF(BA70="","",IFERROR(INDEX(wClass,1)&amp;"",""))</f>
        <v>11S/Sc1</v>
      </c>
      <c r="BD70">
        <f>IF(BA70="","",IFERROR(INDEX(wKsBand,1)+0,""))</f>
        <v>4</v>
      </c>
      <c r="BE70">
        <f>IF(BA70="","",IFERROR(INDEX(wTests,1)+0,0))</f>
        <v>6</v>
      </c>
      <c r="BF70">
        <f>IF(BA70="","",IFERROR(INDEX(wMean,1)+0,""))</f>
        <v>4.66666666666667</v>
      </c>
      <c r="BG70">
        <f>IF(BA70="","",IFERROR(INDEX(wVs,1)+0,""))</f>
        <v>0.462831890331891</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IFERROR(INDEX(tblY7[Class],ROWS(H$10:H71))&amp;"","")</f>
        <v>7B/Sc1</v>
      </c>
      <c r="I71" t="str">
        <f>IF(H71="","",IF(SUMPRODUCT(--(H$10:H71=H71))=1,SUMPRODUCT(--(H$10:H$609&lt;H71))+1,""))</f>
        <v/>
      </c>
      <c r="J71" t="str">
        <f>IFERROR(INDEX(tblY8[Class],ROWS(J$10:J71))&amp;"","")</f>
        <v>8A/Sc3</v>
      </c>
      <c r="K71" t="str">
        <f>IF(J71="","",IF(SUMPRODUCT(--(J$10:J71=J71))=1,SUMPRODUCT(--(J$10:J$609&lt;J71))+1,""))</f>
        <v/>
      </c>
      <c r="L71" t="str">
        <f>IFERROR(INDEX(tblY9[Class],ROWS(L$10:L71))&amp;"","")</f>
        <v>9A/Sc3</v>
      </c>
      <c r="M71" t="str">
        <f>IF(L71="","",IF(SUMPRODUCT(--(L$10:L71=L71))=1,SUMPRODUCT(--(L$10:L$609&lt;L71))+1,""))</f>
        <v/>
      </c>
      <c r="N71" t="str">
        <f>IFERROR(INDEX(tblY10[Class],ROWS(N$10:N71))&amp;"","")</f>
        <v>10S/Sc3</v>
      </c>
      <c r="O71" t="str">
        <f>IF(N71="","",IF(SUMPRODUCT(--(N$10:N71=N71))=1,SUMPRODUCT(--(N$10:N$609&lt;N71))+1,""))</f>
        <v/>
      </c>
      <c r="P71" t="str">
        <f>IFERROR(INDEX(tblY11[Class],ROWS(P$10:P71))&amp;"","")</f>
        <v>11S/Sc3</v>
      </c>
      <c r="Q71" t="str">
        <f>IF(P71="","",IF(SUMPRODUCT(--(P$10:P71=P71))=1,SUMPRODUCT(--(P$10:P$609&lt;P71))+1,""))</f>
        <v/>
      </c>
      <c r="BA71" t="str">
        <f>IFERROR(INDEX(wLast,2)&amp;"","")</f>
        <v>Begum</v>
      </c>
      <c r="BB71" t="str">
        <f>IF(BA71="","",IFERROR(INDEX(wFirst,2)&amp;"",""))</f>
        <v>Rosie</v>
      </c>
      <c r="BC71" t="str">
        <f>IF(BA71="","",IFERROR(INDEX(wClass,2)&amp;"",""))</f>
        <v>11S/Sc1</v>
      </c>
      <c r="BD71">
        <f>IF(BA71="","",IFERROR(INDEX(wKsBand,2)+0,""))</f>
        <v>5</v>
      </c>
      <c r="BE71">
        <f>IF(BA71="","",IFERROR(INDEX(wTests,2)+0,0))</f>
        <v>6</v>
      </c>
      <c r="BF71">
        <f>IF(BA71="","",IFERROR(INDEX(wMean,2)+0,""))</f>
        <v>4.5</v>
      </c>
      <c r="BG71">
        <f>IF(BA71="","",IFERROR(INDEX(wVs,2)+0,""))</f>
        <v>-0.452698412698412</v>
      </c>
      <c r="BH71">
        <f>IF(OR(BA71="",wLatest=""),"",IFERROR(INDEX(wData,2,MATCH(wLatest&amp;CHAR(10)&amp;"Stanine",wHdr,0))+0,""))</f>
        <v>4</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IFERROR(INDEX(tblY7[Class],ROWS(H$10:H72))&amp;"","")</f>
        <v>7B/Sc1</v>
      </c>
      <c r="I72" t="str">
        <f>IF(H72="","",IF(SUMPRODUCT(--(H$10:H72=H72))=1,SUMPRODUCT(--(H$10:H$609&lt;H72))+1,""))</f>
        <v/>
      </c>
      <c r="J72" t="str">
        <f>IFERROR(INDEX(tblY8[Class],ROWS(J$10:J72))&amp;"","")</f>
        <v>8A/Sc3</v>
      </c>
      <c r="K72" t="str">
        <f>IF(J72="","",IF(SUMPRODUCT(--(J$10:J72=J72))=1,SUMPRODUCT(--(J$10:J$609&lt;J72))+1,""))</f>
        <v/>
      </c>
      <c r="L72" t="str">
        <f>IFERROR(INDEX(tblY9[Class],ROWS(L$10:L72))&amp;"","")</f>
        <v>9A/Sc3</v>
      </c>
      <c r="M72" t="str">
        <f>IF(L72="","",IF(SUMPRODUCT(--(L$10:L72=L72))=1,SUMPRODUCT(--(L$10:L$609&lt;L72))+1,""))</f>
        <v/>
      </c>
      <c r="N72" t="str">
        <f>IFERROR(INDEX(tblY10[Class],ROWS(N$10:N72))&amp;"","")</f>
        <v>10S/Sc3</v>
      </c>
      <c r="O72" t="str">
        <f>IF(N72="","",IF(SUMPRODUCT(--(N$10:N72=N72))=1,SUMPRODUCT(--(N$10:N$609&lt;N72))+1,""))</f>
        <v/>
      </c>
      <c r="P72" t="str">
        <f>IFERROR(INDEX(tblY11[Class],ROWS(P$10:P72))&amp;"","")</f>
        <v>11S/Sc3</v>
      </c>
      <c r="Q72" t="str">
        <f>IF(P72="","",IF(SUMPRODUCT(--(P$10:P72=P72))=1,SUMPRODUCT(--(P$10:P$609&lt;P72))+1,""))</f>
        <v/>
      </c>
      <c r="BA72" t="str">
        <f>IFERROR(INDEX(wLast,3)&amp;"","")</f>
        <v>Bennett</v>
      </c>
      <c r="BB72" t="str">
        <f>IF(BA72="","",IFERROR(INDEX(wFirst,3)&amp;"",""))</f>
        <v>George</v>
      </c>
      <c r="BC72" t="str">
        <f>IF(BA72="","",IFERROR(INDEX(wClass,3)&amp;"",""))</f>
        <v>11S/Sc1</v>
      </c>
      <c r="BD72">
        <f>IF(BA72="","",IFERROR(INDEX(wKsBand,3)+0,""))</f>
        <v>7</v>
      </c>
      <c r="BE72">
        <f>IF(BA72="","",IFERROR(INDEX(wTests,3)+0,0))</f>
        <v>6</v>
      </c>
      <c r="BF72">
        <f>IF(BA72="","",IFERROR(INDEX(wMean,3)+0,""))</f>
        <v>6.33333333333333</v>
      </c>
      <c r="BG72">
        <f>IF(BA72="","",IFERROR(INDEX(wVs,3)+0,""))</f>
        <v>-0.117092352092352</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IFERROR(INDEX(tblY7[Class],ROWS(H$10:H73))&amp;"","")</f>
        <v>7B/Sc1</v>
      </c>
      <c r="I73" t="str">
        <f>IF(H73="","",IF(SUMPRODUCT(--(H$10:H73=H73))=1,SUMPRODUCT(--(H$10:H$609&lt;H73))+1,""))</f>
        <v/>
      </c>
      <c r="J73" t="str">
        <f>IFERROR(INDEX(tblY8[Class],ROWS(J$10:J73))&amp;"","")</f>
        <v>8A/Sc3</v>
      </c>
      <c r="K73" t="str">
        <f>IF(J73="","",IF(SUMPRODUCT(--(J$10:J73=J73))=1,SUMPRODUCT(--(J$10:J$609&lt;J73))+1,""))</f>
        <v/>
      </c>
      <c r="L73" t="str">
        <f>IFERROR(INDEX(tblY9[Class],ROWS(L$10:L73))&amp;"","")</f>
        <v>9A/Sc3</v>
      </c>
      <c r="M73" t="str">
        <f>IF(L73="","",IF(SUMPRODUCT(--(L$10:L73=L73))=1,SUMPRODUCT(--(L$10:L$609&lt;L73))+1,""))</f>
        <v/>
      </c>
      <c r="N73" t="str">
        <f>IFERROR(INDEX(tblY10[Class],ROWS(N$10:N73))&amp;"","")</f>
        <v>10S/Sc3</v>
      </c>
      <c r="O73" t="str">
        <f>IF(N73="","",IF(SUMPRODUCT(--(N$10:N73=N73))=1,SUMPRODUCT(--(N$10:N$609&lt;N73))+1,""))</f>
        <v/>
      </c>
      <c r="P73" t="str">
        <f>IFERROR(INDEX(tblY11[Class],ROWS(P$10:P73))&amp;"","")</f>
        <v>11S/Sc3</v>
      </c>
      <c r="Q73" t="str">
        <f>IF(P73="","",IF(SUMPRODUCT(--(P$10:P73=P73))=1,SUMPRODUCT(--(P$10:P$609&lt;P73))+1,""))</f>
        <v/>
      </c>
      <c r="BA73" t="str">
        <f>IFERROR(INDEX(wLast,4)&amp;"","")</f>
        <v>Clarke</v>
      </c>
      <c r="BB73" t="str">
        <f>IF(BA73="","",IFERROR(INDEX(wFirst,4)&amp;"",""))</f>
        <v>Niamh</v>
      </c>
      <c r="BC73" t="str">
        <f>IF(BA73="","",IFERROR(INDEX(wClass,4)&amp;"",""))</f>
        <v>11S/Sc1</v>
      </c>
      <c r="BD73">
        <f>IF(BA73="","",IFERROR(INDEX(wKsBand,4)+0,""))</f>
        <v>8</v>
      </c>
      <c r="BE73">
        <f>IF(BA73="","",IFERROR(INDEX(wTests,4)+0,0))</f>
        <v>6</v>
      </c>
      <c r="BF73">
        <f>IF(BA73="","",IFERROR(INDEX(wMean,4)+0,""))</f>
        <v>9</v>
      </c>
      <c r="BG73">
        <f>IF(BA73="","",IFERROR(INDEX(wVs,4)+0,""))</f>
        <v>1.80071067821068</v>
      </c>
      <c r="BH73">
        <f>IF(OR(BA73="",wLatest=""),"",IFERROR(INDEX(wData,4,MATCH(wLatest&amp;CHAR(10)&amp;"Stanine",wHdr,0))+0,""))</f>
        <v>9</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IFERROR(INDEX(tblY7[Class],ROWS(H$10:H74))&amp;"","")</f>
        <v>7B/Sc1</v>
      </c>
      <c r="I74" t="str">
        <f>IF(H74="","",IF(SUMPRODUCT(--(H$10:H74=H74))=1,SUMPRODUCT(--(H$10:H$609&lt;H74))+1,""))</f>
        <v/>
      </c>
      <c r="J74" t="str">
        <f>IFERROR(INDEX(tblY8[Class],ROWS(J$10:J74))&amp;"","")</f>
        <v>8A/Sc3</v>
      </c>
      <c r="K74" t="str">
        <f>IF(J74="","",IF(SUMPRODUCT(--(J$10:J74=J74))=1,SUMPRODUCT(--(J$10:J$609&lt;J74))+1,""))</f>
        <v/>
      </c>
      <c r="L74" t="str">
        <f>IFERROR(INDEX(tblY9[Class],ROWS(L$10:L74))&amp;"","")</f>
        <v>9A/Sc3</v>
      </c>
      <c r="M74" t="str">
        <f>IF(L74="","",IF(SUMPRODUCT(--(L$10:L74=L74))=1,SUMPRODUCT(--(L$10:L$609&lt;L74))+1,""))</f>
        <v/>
      </c>
      <c r="N74" t="str">
        <f>IFERROR(INDEX(tblY10[Class],ROWS(N$10:N74))&amp;"","")</f>
        <v>10S/Sc3</v>
      </c>
      <c r="O74" t="str">
        <f>IF(N74="","",IF(SUMPRODUCT(--(N$10:N74=N74))=1,SUMPRODUCT(--(N$10:N$609&lt;N74))+1,""))</f>
        <v/>
      </c>
      <c r="P74" t="str">
        <f>IFERROR(INDEX(tblY11[Class],ROWS(P$10:P74))&amp;"","")</f>
        <v>11S/Sc3</v>
      </c>
      <c r="Q74" t="str">
        <f>IF(P74="","",IF(SUMPRODUCT(--(P$10:P74=P74))=1,SUMPRODUCT(--(P$10:P$609&lt;P74))+1,""))</f>
        <v/>
      </c>
      <c r="BA74" t="str">
        <f>IFERROR(INDEX(wLast,5)&amp;"","")</f>
        <v>Cooper</v>
      </c>
      <c r="BB74" t="str">
        <f>IF(BA74="","",IFERROR(INDEX(wFirst,5)&amp;"",""))</f>
        <v>Ava</v>
      </c>
      <c r="BC74" t="str">
        <f>IF(BA74="","",IFERROR(INDEX(wClass,5)&amp;"",""))</f>
        <v>11S/Sc1</v>
      </c>
      <c r="BD74">
        <f>IF(BA74="","",IFERROR(INDEX(wKsBand,5)+0,""))</f>
        <v>5</v>
      </c>
      <c r="BE74">
        <f>IF(BA74="","",IFERROR(INDEX(wTests,5)+0,0))</f>
        <v>5</v>
      </c>
      <c r="BF74">
        <f>IF(BA74="","",IFERROR(INDEX(wMean,5)+0,""))</f>
        <v>6</v>
      </c>
      <c r="BG74">
        <f>IF(BA74="","",IFERROR(INDEX(wVs,5)+0,""))</f>
        <v>1.04730158730159</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IFERROR(INDEX(tblY7[Class],ROWS(H$10:H75))&amp;"","")</f>
        <v>7B/Sc1</v>
      </c>
      <c r="I75" t="str">
        <f>IF(H75="","",IF(SUMPRODUCT(--(H$10:H75=H75))=1,SUMPRODUCT(--(H$10:H$609&lt;H75))+1,""))</f>
        <v/>
      </c>
      <c r="J75" t="str">
        <f>IFERROR(INDEX(tblY8[Class],ROWS(J$10:J75))&amp;"","")</f>
        <v>8A/Sc3</v>
      </c>
      <c r="K75" t="str">
        <f>IF(J75="","",IF(SUMPRODUCT(--(J$10:J75=J75))=1,SUMPRODUCT(--(J$10:J$609&lt;J75))+1,""))</f>
        <v/>
      </c>
      <c r="L75" t="str">
        <f>IFERROR(INDEX(tblY9[Class],ROWS(L$10:L75))&amp;"","")</f>
        <v>9A/Sc3</v>
      </c>
      <c r="M75" t="str">
        <f>IF(L75="","",IF(SUMPRODUCT(--(L$10:L75=L75))=1,SUMPRODUCT(--(L$10:L$609&lt;L75))+1,""))</f>
        <v/>
      </c>
      <c r="N75" t="str">
        <f>IFERROR(INDEX(tblY10[Class],ROWS(N$10:N75))&amp;"","")</f>
        <v>10S/Sc3</v>
      </c>
      <c r="O75" t="str">
        <f>IF(N75="","",IF(SUMPRODUCT(--(N$10:N75=N75))=1,SUMPRODUCT(--(N$10:N$609&lt;N75))+1,""))</f>
        <v/>
      </c>
      <c r="P75" t="str">
        <f>IFERROR(INDEX(tblY11[Class],ROWS(P$10:P75))&amp;"","")</f>
        <v>11S/Sc3</v>
      </c>
      <c r="Q75" t="str">
        <f>IF(P75="","",IF(SUMPRODUCT(--(P$10:P75=P75))=1,SUMPRODUCT(--(P$10:P$609&lt;P75))+1,""))</f>
        <v/>
      </c>
      <c r="BA75" t="str">
        <f>IFERROR(INDEX(wLast,6)&amp;"","")</f>
        <v>Cooper</v>
      </c>
      <c r="BB75" t="str">
        <f>IF(BA75="","",IFERROR(INDEX(wFirst,6)&amp;"",""))</f>
        <v>Lewis</v>
      </c>
      <c r="BC75" t="str">
        <f>IF(BA75="","",IFERROR(INDEX(wClass,6)&amp;"",""))</f>
        <v>11S/Sc1</v>
      </c>
      <c r="BD75">
        <f>IF(BA75="","",IFERROR(INDEX(wKsBand,6)+0,""))</f>
        <v>5</v>
      </c>
      <c r="BE75">
        <f>IF(BA75="","",IFERROR(INDEX(wTests,6)+0,0))</f>
        <v>5</v>
      </c>
      <c r="BF75">
        <f>IF(BA75="","",IFERROR(INDEX(wMean,6)+0,""))</f>
        <v>4.8</v>
      </c>
      <c r="BG75">
        <f>IF(BA75="","",IFERROR(INDEX(wVs,6)+0,""))</f>
        <v>-0.152698412698412</v>
      </c>
      <c r="BH75">
        <f>IF(OR(BA75="",wLatest=""),"",IFERROR(INDEX(wData,6,MATCH(wLatest&amp;CHAR(10)&amp;"Stanine",wHdr,0))+0,""))</f>
        <v>4</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IFERROR(INDEX(tblY7[Class],ROWS(H$10:H76))&amp;"","")</f>
        <v>7B/Sc1</v>
      </c>
      <c r="I76" t="str">
        <f>IF(H76="","",IF(SUMPRODUCT(--(H$10:H76=H76))=1,SUMPRODUCT(--(H$10:H$609&lt;H76))+1,""))</f>
        <v/>
      </c>
      <c r="J76" t="str">
        <f>IFERROR(INDEX(tblY8[Class],ROWS(J$10:J76))&amp;"","")</f>
        <v>8A/Sc3</v>
      </c>
      <c r="K76" t="str">
        <f>IF(J76="","",IF(SUMPRODUCT(--(J$10:J76=J76))=1,SUMPRODUCT(--(J$10:J$609&lt;J76))+1,""))</f>
        <v/>
      </c>
      <c r="L76" t="str">
        <f>IFERROR(INDEX(tblY9[Class],ROWS(L$10:L76))&amp;"","")</f>
        <v>9B/Sc1</v>
      </c>
      <c r="M76">
        <f>IF(L76="","",IF(SUMPRODUCT(--(L$10:L76=L76))=1,SUMPRODUCT(--(L$10:L$609&lt;L76))+1,""))</f>
        <v>542</v>
      </c>
      <c r="N76" t="str">
        <f>IFERROR(INDEX(tblY10[Class],ROWS(N$10:N76))&amp;"","")</f>
        <v>10S/Sc3</v>
      </c>
      <c r="O76" t="str">
        <f>IF(N76="","",IF(SUMPRODUCT(--(N$10:N76=N76))=1,SUMPRODUCT(--(N$10:N$609&lt;N76))+1,""))</f>
        <v/>
      </c>
      <c r="P76" t="str">
        <f>IFERROR(INDEX(tblY11[Class],ROWS(P$10:P76))&amp;"","")</f>
        <v>11S/Sc3</v>
      </c>
      <c r="Q76" t="str">
        <f>IF(P76="","",IF(SUMPRODUCT(--(P$10:P76=P76))=1,SUMPRODUCT(--(P$10:P$609&lt;P76))+1,""))</f>
        <v/>
      </c>
      <c r="BA76" t="str">
        <f>IFERROR(INDEX(wLast,7)&amp;"","")</f>
        <v>Evans</v>
      </c>
      <c r="BB76" t="str">
        <f>IF(BA76="","",IFERROR(INDEX(wFirst,7)&amp;"",""))</f>
        <v>Hannah</v>
      </c>
      <c r="BC76" t="str">
        <f>IF(BA76="","",IFERROR(INDEX(wClass,7)&amp;"",""))</f>
        <v>11S/Sc1</v>
      </c>
      <c r="BD76">
        <f>IF(BA76="","",IFERROR(INDEX(wKsBand,7)+0,""))</f>
        <v>6</v>
      </c>
      <c r="BE76">
        <f>IF(BA76="","",IFERROR(INDEX(wTests,7)+0,0))</f>
        <v>6</v>
      </c>
      <c r="BF76">
        <f>IF(BA76="","",IFERROR(INDEX(wMean,7)+0,""))</f>
        <v>6.16666666666667</v>
      </c>
      <c r="BG76">
        <f>IF(BA76="","",IFERROR(INDEX(wVs,7)+0,""))</f>
        <v>0.465104617604618</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IFERROR(INDEX(tblY7[Class],ROWS(H$10:H77))&amp;"","")</f>
        <v>7B/Sc1</v>
      </c>
      <c r="I77" t="str">
        <f>IF(H77="","",IF(SUMPRODUCT(--(H$10:H77=H77))=1,SUMPRODUCT(--(H$10:H$609&lt;H77))+1,""))</f>
        <v/>
      </c>
      <c r="J77" t="str">
        <f>IFERROR(INDEX(tblY8[Class],ROWS(J$10:J77))&amp;"","")</f>
        <v>8A/Sc3</v>
      </c>
      <c r="K77" t="str">
        <f>IF(J77="","",IF(SUMPRODUCT(--(J$10:J77=J77))=1,SUMPRODUCT(--(J$10:J$609&lt;J77))+1,""))</f>
        <v/>
      </c>
      <c r="L77" t="str">
        <f>IFERROR(INDEX(tblY9[Class],ROWS(L$10:L77))&amp;"","")</f>
        <v>9B/Sc1</v>
      </c>
      <c r="M77" t="str">
        <f>IF(L77="","",IF(SUMPRODUCT(--(L$10:L77=L77))=1,SUMPRODUCT(--(L$10:L$609&lt;L77))+1,""))</f>
        <v/>
      </c>
      <c r="N77" t="str">
        <f>IFERROR(INDEX(tblY10[Class],ROWS(N$10:N77))&amp;"","")</f>
        <v>10S/Sc3</v>
      </c>
      <c r="O77" t="str">
        <f>IF(N77="","",IF(SUMPRODUCT(--(N$10:N77=N77))=1,SUMPRODUCT(--(N$10:N$609&lt;N77))+1,""))</f>
        <v/>
      </c>
      <c r="P77" t="str">
        <f>IFERROR(INDEX(tblY11[Class],ROWS(P$10:P77))&amp;"","")</f>
        <v>11S/Sc3</v>
      </c>
      <c r="Q77" t="str">
        <f>IF(P77="","",IF(SUMPRODUCT(--(P$10:P77=P77))=1,SUMPRODUCT(--(P$10:P$609&lt;P77))+1,""))</f>
        <v/>
      </c>
      <c r="BA77" t="str">
        <f>IFERROR(INDEX(wLast,8)&amp;"","")</f>
        <v>Hall</v>
      </c>
      <c r="BB77" t="str">
        <f>IF(BA77="","",IFERROR(INDEX(wFirst,8)&amp;"",""))</f>
        <v>Amara</v>
      </c>
      <c r="BC77" t="str">
        <f>IF(BA77="","",IFERROR(INDEX(wClass,8)&amp;"",""))</f>
        <v>11S/Sc1</v>
      </c>
      <c r="BD77">
        <f>IF(BA77="","",IFERROR(INDEX(wKsBand,8)+0,""))</f>
        <v>6</v>
      </c>
      <c r="BE77">
        <f>IF(BA77="","",IFERROR(INDEX(wTests,8)+0,0))</f>
        <v>5</v>
      </c>
      <c r="BF77">
        <f>IF(BA77="","",IFERROR(INDEX(wMean,8)+0,""))</f>
        <v>5.8</v>
      </c>
      <c r="BG77">
        <f>IF(BA77="","",IFERROR(INDEX(wVs,8)+0,""))</f>
        <v>0.0984379509379512</v>
      </c>
      <c r="BH77" t="str">
        <f>IF(OR(BA77="",wLatest=""),"",IFERROR(INDEX(wData,8,MATCH(wLatest&amp;CHAR(10)&amp;"Stanine",wHdr,0))+0,""))</f>
        <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IFERROR(INDEX(tblY7[Class],ROWS(H$10:H78))&amp;"","")</f>
        <v>7B/Sc1</v>
      </c>
      <c r="I78" t="str">
        <f>IF(H78="","",IF(SUMPRODUCT(--(H$10:H78=H78))=1,SUMPRODUCT(--(H$10:H$609&lt;H78))+1,""))</f>
        <v/>
      </c>
      <c r="J78" t="str">
        <f>IFERROR(INDEX(tblY8[Class],ROWS(J$10:J78))&amp;"","")</f>
        <v>8A/Sc3</v>
      </c>
      <c r="K78" t="str">
        <f>IF(J78="","",IF(SUMPRODUCT(--(J$10:J78=J78))=1,SUMPRODUCT(--(J$10:J$609&lt;J78))+1,""))</f>
        <v/>
      </c>
      <c r="L78" t="str">
        <f>IFERROR(INDEX(tblY9[Class],ROWS(L$10:L78))&amp;"","")</f>
        <v>9B/Sc1</v>
      </c>
      <c r="M78" t="str">
        <f>IF(L78="","",IF(SUMPRODUCT(--(L$10:L78=L78))=1,SUMPRODUCT(--(L$10:L$609&lt;L78))+1,""))</f>
        <v/>
      </c>
      <c r="N78" t="str">
        <f>IFERROR(INDEX(tblY10[Class],ROWS(N$10:N78))&amp;"","")</f>
        <v>10S/Sc3</v>
      </c>
      <c r="O78" t="str">
        <f>IF(N78="","",IF(SUMPRODUCT(--(N$10:N78=N78))=1,SUMPRODUCT(--(N$10:N$609&lt;N78))+1,""))</f>
        <v/>
      </c>
      <c r="P78" t="str">
        <f>IFERROR(INDEX(tblY11[Class],ROWS(P$10:P78))&amp;"","")</f>
        <v>11S/Sc3</v>
      </c>
      <c r="Q78" t="str">
        <f>IF(P78="","",IF(SUMPRODUCT(--(P$10:P78=P78))=1,SUMPRODUCT(--(P$10:P$609&lt;P78))+1,""))</f>
        <v/>
      </c>
      <c r="BA78" t="str">
        <f>IFERROR(INDEX(wLast,9)&amp;"","")</f>
        <v>Harrison</v>
      </c>
      <c r="BB78" t="str">
        <f>IF(BA78="","",IFERROR(INDEX(wFirst,9)&amp;"",""))</f>
        <v>Ella</v>
      </c>
      <c r="BC78" t="str">
        <f>IF(BA78="","",IFERROR(INDEX(wClass,9)&amp;"",""))</f>
        <v>11S/Sc1</v>
      </c>
      <c r="BD78">
        <f>IF(BA78="","",IFERROR(INDEX(wKsBand,9)+0,""))</f>
        <v>6</v>
      </c>
      <c r="BE78">
        <f>IF(BA78="","",IFERROR(INDEX(wTests,9)+0,0))</f>
        <v>6</v>
      </c>
      <c r="BF78">
        <f>IF(BA78="","",IFERROR(INDEX(wMean,9)+0,""))</f>
        <v>6.5</v>
      </c>
      <c r="BG78">
        <f>IF(BA78="","",IFERROR(INDEX(wVs,9)+0,""))</f>
        <v>0.798437950937951</v>
      </c>
      <c r="BH78">
        <f>IF(OR(BA78="",wLatest=""),"",IFERROR(INDEX(wData,9,MATCH(wLatest&amp;CHAR(10)&amp;"Stanine",wHdr,0))+0,""))</f>
        <v>6</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IFERROR(INDEX(tblY7[Class],ROWS(H$10:H79))&amp;"","")</f>
        <v>7B/Sc1</v>
      </c>
      <c r="I79" t="str">
        <f>IF(H79="","",IF(SUMPRODUCT(--(H$10:H79=H79))=1,SUMPRODUCT(--(H$10:H$609&lt;H79))+1,""))</f>
        <v/>
      </c>
      <c r="J79" t="str">
        <f>IFERROR(INDEX(tblY8[Class],ROWS(J$10:J79))&amp;"","")</f>
        <v>8A/Sc3</v>
      </c>
      <c r="K79" t="str">
        <f>IF(J79="","",IF(SUMPRODUCT(--(J$10:J79=J79))=1,SUMPRODUCT(--(J$10:J$609&lt;J79))+1,""))</f>
        <v/>
      </c>
      <c r="L79" t="str">
        <f>IFERROR(INDEX(tblY9[Class],ROWS(L$10:L79))&amp;"","")</f>
        <v>9B/Sc1</v>
      </c>
      <c r="M79" t="str">
        <f>IF(L79="","",IF(SUMPRODUCT(--(L$10:L79=L79))=1,SUMPRODUCT(--(L$10:L$609&lt;L79))+1,""))</f>
        <v/>
      </c>
      <c r="N79" t="str">
        <f>IFERROR(INDEX(tblY10[Class],ROWS(N$10:N79))&amp;"","")</f>
        <v>10S/Sc3</v>
      </c>
      <c r="O79" t="str">
        <f>IF(N79="","",IF(SUMPRODUCT(--(N$10:N79=N79))=1,SUMPRODUCT(--(N$10:N$609&lt;N79))+1,""))</f>
        <v/>
      </c>
      <c r="P79" t="str">
        <f>IFERROR(INDEX(tblY11[Class],ROWS(P$10:P79))&amp;"","")</f>
        <v>11S/Sc3</v>
      </c>
      <c r="Q79" t="str">
        <f>IF(P79="","",IF(SUMPRODUCT(--(P$10:P79=P79))=1,SUMPRODUCT(--(P$10:P$609&lt;P79))+1,""))</f>
        <v/>
      </c>
      <c r="BA79" t="str">
        <f>IFERROR(INDEX(wLast,10)&amp;"","")</f>
        <v>Hussain</v>
      </c>
      <c r="BB79" t="str">
        <f>IF(BA79="","",IFERROR(INDEX(wFirst,10)&amp;"",""))</f>
        <v>Freya</v>
      </c>
      <c r="BC79" t="str">
        <f>IF(BA79="","",IFERROR(INDEX(wClass,10)&amp;"",""))</f>
        <v>11S/Sc1</v>
      </c>
      <c r="BD79">
        <f>IF(BA79="","",IFERROR(INDEX(wKsBand,10)+0,""))</f>
        <v>8</v>
      </c>
      <c r="BE79">
        <f>IF(BA79="","",IFERROR(INDEX(wTests,10)+0,0))</f>
        <v>6</v>
      </c>
      <c r="BF79">
        <f>IF(BA79="","",IFERROR(INDEX(wMean,10)+0,""))</f>
        <v>7.83333333333333</v>
      </c>
      <c r="BG79">
        <f>IF(BA79="","",IFERROR(INDEX(wVs,10)+0,""))</f>
        <v>0.634044011544011</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IFERROR(INDEX(tblY7[Class],ROWS(H$10:H80))&amp;"","")</f>
        <v>7B/Sc1</v>
      </c>
      <c r="I80" t="str">
        <f>IF(H80="","",IF(SUMPRODUCT(--(H$10:H80=H80))=1,SUMPRODUCT(--(H$10:H$609&lt;H80))+1,""))</f>
        <v/>
      </c>
      <c r="J80" t="str">
        <f>IFERROR(INDEX(tblY8[Class],ROWS(J$10:J80))&amp;"","")</f>
        <v>8A/Sc3</v>
      </c>
      <c r="K80" t="str">
        <f>IF(J80="","",IF(SUMPRODUCT(--(J$10:J80=J80))=1,SUMPRODUCT(--(J$10:J$609&lt;J80))+1,""))</f>
        <v/>
      </c>
      <c r="L80" t="str">
        <f>IFERROR(INDEX(tblY9[Class],ROWS(L$10:L80))&amp;"","")</f>
        <v>9B/Sc1</v>
      </c>
      <c r="M80" t="str">
        <f>IF(L80="","",IF(SUMPRODUCT(--(L$10:L80=L80))=1,SUMPRODUCT(--(L$10:L$609&lt;L80))+1,""))</f>
        <v/>
      </c>
      <c r="N80" t="str">
        <f>IFERROR(INDEX(tblY10[Class],ROWS(N$10:N80))&amp;"","")</f>
        <v>10S/Sc3</v>
      </c>
      <c r="O80" t="str">
        <f>IF(N80="","",IF(SUMPRODUCT(--(N$10:N80=N80))=1,SUMPRODUCT(--(N$10:N$609&lt;N80))+1,""))</f>
        <v/>
      </c>
      <c r="P80" t="str">
        <f>IFERROR(INDEX(tblY11[Class],ROWS(P$10:P80))&amp;"","")</f>
        <v>11S/Sc3</v>
      </c>
      <c r="Q80" t="str">
        <f>IF(P80="","",IF(SUMPRODUCT(--(P$10:P80=P80))=1,SUMPRODUCT(--(P$10:P$609&lt;P80))+1,""))</f>
        <v/>
      </c>
      <c r="BA80" t="str">
        <f>IFERROR(INDEX(wLast,11)&amp;"","")</f>
        <v>Hussain</v>
      </c>
      <c r="BB80" t="str">
        <f>IF(BA80="","",IFERROR(INDEX(wFirst,11)&amp;"",""))</f>
        <v>Hollie</v>
      </c>
      <c r="BC80" t="str">
        <f>IF(BA80="","",IFERROR(INDEX(wClass,11)&amp;"",""))</f>
        <v>11S/Sc1</v>
      </c>
      <c r="BD80" t="str">
        <f>IF(BA80="","",IFERROR(INDEX(wKsBand,11)+0,""))</f>
        <v/>
      </c>
      <c r="BE80">
        <f>IF(BA80="","",IFERROR(INDEX(wTests,11)+0,0))</f>
        <v>5</v>
      </c>
      <c r="BF80">
        <f>IF(BA80="","",IFERROR(INDEX(wMean,11)+0,""))</f>
        <v>7</v>
      </c>
      <c r="BG80" t="str">
        <f>IF(BA80="","",IFERROR(INDEX(wVs,11)+0,""))</f>
        <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IFERROR(INDEX(tblY7[Class],ROWS(H$10:H81))&amp;"","")</f>
        <v>7B/Sc1</v>
      </c>
      <c r="I81" t="str">
        <f>IF(H81="","",IF(SUMPRODUCT(--(H$10:H81=H81))=1,SUMPRODUCT(--(H$10:H$609&lt;H81))+1,""))</f>
        <v/>
      </c>
      <c r="J81" t="str">
        <f>IFERROR(INDEX(tblY8[Class],ROWS(J$10:J81))&amp;"","")</f>
        <v>8A/Sc3</v>
      </c>
      <c r="K81" t="str">
        <f>IF(J81="","",IF(SUMPRODUCT(--(J$10:J81=J81))=1,SUMPRODUCT(--(J$10:J$609&lt;J81))+1,""))</f>
        <v/>
      </c>
      <c r="L81" t="str">
        <f>IFERROR(INDEX(tblY9[Class],ROWS(L$10:L81))&amp;"","")</f>
        <v>9B/Sc1</v>
      </c>
      <c r="M81" t="str">
        <f>IF(L81="","",IF(SUMPRODUCT(--(L$10:L81=L81))=1,SUMPRODUCT(--(L$10:L$609&lt;L81))+1,""))</f>
        <v/>
      </c>
      <c r="N81" t="str">
        <f>IFERROR(INDEX(tblY10[Class],ROWS(N$10:N81))&amp;"","")</f>
        <v>10S/Sc3</v>
      </c>
      <c r="O81" t="str">
        <f>IF(N81="","",IF(SUMPRODUCT(--(N$10:N81=N81))=1,SUMPRODUCT(--(N$10:N$609&lt;N81))+1,""))</f>
        <v/>
      </c>
      <c r="P81" t="str">
        <f>IFERROR(INDEX(tblY11[Class],ROWS(P$10:P81))&amp;"","")</f>
        <v>11S/Sc3</v>
      </c>
      <c r="Q81" t="str">
        <f>IF(P81="","",IF(SUMPRODUCT(--(P$10:P81=P81))=1,SUMPRODUCT(--(P$10:P$609&lt;P81))+1,""))</f>
        <v/>
      </c>
      <c r="BA81" t="str">
        <f>IFERROR(INDEX(wLast,12)&amp;"","")</f>
        <v>Jones</v>
      </c>
      <c r="BB81" t="str">
        <f>IF(BA81="","",IFERROR(INDEX(wFirst,12)&amp;"",""))</f>
        <v>Nia</v>
      </c>
      <c r="BC81" t="str">
        <f>IF(BA81="","",IFERROR(INDEX(wClass,12)&amp;"",""))</f>
        <v>11S/Sc1</v>
      </c>
      <c r="BD81">
        <f>IF(BA81="","",IFERROR(INDEX(wKsBand,12)+0,""))</f>
        <v>7</v>
      </c>
      <c r="BE81">
        <f>IF(BA81="","",IFERROR(INDEX(wTests,12)+0,0))</f>
        <v>6</v>
      </c>
      <c r="BF81">
        <f>IF(BA81="","",IFERROR(INDEX(wMean,12)+0,""))</f>
        <v>7.33333333333333</v>
      </c>
      <c r="BG81">
        <f>IF(BA81="","",IFERROR(INDEX(wVs,12)+0,""))</f>
        <v>0.882907647907648</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IFERROR(INDEX(tblY7[Class],ROWS(H$10:H82))&amp;"","")</f>
        <v>7B/Sc1</v>
      </c>
      <c r="I82" t="str">
        <f>IF(H82="","",IF(SUMPRODUCT(--(H$10:H82=H82))=1,SUMPRODUCT(--(H$10:H$609&lt;H82))+1,""))</f>
        <v/>
      </c>
      <c r="J82" t="str">
        <f>IFERROR(INDEX(tblY8[Class],ROWS(J$10:J82))&amp;"","")</f>
        <v>8A/Sc3</v>
      </c>
      <c r="K82" t="str">
        <f>IF(J82="","",IF(SUMPRODUCT(--(J$10:J82=J82))=1,SUMPRODUCT(--(J$10:J$609&lt;J82))+1,""))</f>
        <v/>
      </c>
      <c r="L82" t="str">
        <f>IFERROR(INDEX(tblY9[Class],ROWS(L$10:L82))&amp;"","")</f>
        <v>9B/Sc1</v>
      </c>
      <c r="M82" t="str">
        <f>IF(L82="","",IF(SUMPRODUCT(--(L$10:L82=L82))=1,SUMPRODUCT(--(L$10:L$609&lt;L82))+1,""))</f>
        <v/>
      </c>
      <c r="N82" t="str">
        <f>IFERROR(INDEX(tblY10[Class],ROWS(N$10:N82))&amp;"","")</f>
        <v>10S/Sc3</v>
      </c>
      <c r="O82" t="str">
        <f>IF(N82="","",IF(SUMPRODUCT(--(N$10:N82=N82))=1,SUMPRODUCT(--(N$10:N$609&lt;N82))+1,""))</f>
        <v/>
      </c>
      <c r="P82" t="str">
        <f>IFERROR(INDEX(tblY11[Class],ROWS(P$10:P82))&amp;"","")</f>
        <v>11S/Sc3</v>
      </c>
      <c r="Q82" t="str">
        <f>IF(P82="","",IF(SUMPRODUCT(--(P$10:P82=P82))=1,SUMPRODUCT(--(P$10:P$609&lt;P82))+1,""))</f>
        <v/>
      </c>
      <c r="BA82" t="str">
        <f>IFERROR(INDEX(wLast,13)&amp;"","")</f>
        <v>Jones</v>
      </c>
      <c r="BB82" t="str">
        <f>IF(BA82="","",IFERROR(INDEX(wFirst,13)&amp;"",""))</f>
        <v>Poppy</v>
      </c>
      <c r="BC82" t="str">
        <f>IF(BA82="","",IFERROR(INDEX(wClass,13)&amp;"",""))</f>
        <v>11S/Sc1</v>
      </c>
      <c r="BD82">
        <f>IF(BA82="","",IFERROR(INDEX(wKsBand,13)+0,""))</f>
        <v>9</v>
      </c>
      <c r="BE82">
        <f>IF(BA82="","",IFERROR(INDEX(wTests,13)+0,0))</f>
        <v>6</v>
      </c>
      <c r="BF82">
        <f>IF(BA82="","",IFERROR(INDEX(wMean,13)+0,""))</f>
        <v>7</v>
      </c>
      <c r="BG82">
        <f>IF(BA82="","",IFERROR(INDEX(wVs,13)+0,""))</f>
        <v>-0.948152958152958</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IFERROR(INDEX(tblY7[Class],ROWS(H$10:H83))&amp;"","")</f>
        <v>7B/Sc1</v>
      </c>
      <c r="I83" t="str">
        <f>IF(H83="","",IF(SUMPRODUCT(--(H$10:H83=H83))=1,SUMPRODUCT(--(H$10:H$609&lt;H83))+1,""))</f>
        <v/>
      </c>
      <c r="J83" t="str">
        <f>IFERROR(INDEX(tblY8[Class],ROWS(J$10:J83))&amp;"","")</f>
        <v>8A/Sc3</v>
      </c>
      <c r="K83" t="str">
        <f>IF(J83="","",IF(SUMPRODUCT(--(J$10:J83=J83))=1,SUMPRODUCT(--(J$10:J$609&lt;J83))+1,""))</f>
        <v/>
      </c>
      <c r="L83" t="str">
        <f>IFERROR(INDEX(tblY9[Class],ROWS(L$10:L83))&amp;"","")</f>
        <v>9B/Sc1</v>
      </c>
      <c r="M83" t="str">
        <f>IF(L83="","",IF(SUMPRODUCT(--(L$10:L83=L83))=1,SUMPRODUCT(--(L$10:L$609&lt;L83))+1,""))</f>
        <v/>
      </c>
      <c r="N83" t="str">
        <f>IFERROR(INDEX(tblY10[Class],ROWS(N$10:N83))&amp;"","")</f>
        <v>10S/Sc3</v>
      </c>
      <c r="O83" t="str">
        <f>IF(N83="","",IF(SUMPRODUCT(--(N$10:N83=N83))=1,SUMPRODUCT(--(N$10:N$609&lt;N83))+1,""))</f>
        <v/>
      </c>
      <c r="P83" t="str">
        <f>IFERROR(INDEX(tblY11[Class],ROWS(P$10:P83))&amp;"","")</f>
        <v>11S/Sc3</v>
      </c>
      <c r="Q83" t="str">
        <f>IF(P83="","",IF(SUMPRODUCT(--(P$10:P83=P83))=1,SUMPRODUCT(--(P$10:P$609&lt;P83))+1,""))</f>
        <v/>
      </c>
      <c r="BA83" t="str">
        <f>IFERROR(INDEX(wLast,14)&amp;"","")</f>
        <v>Lewis</v>
      </c>
      <c r="BB83" t="str">
        <f>IF(BA83="","",IFERROR(INDEX(wFirst,14)&amp;"",""))</f>
        <v>Jacob</v>
      </c>
      <c r="BC83" t="str">
        <f>IF(BA83="","",IFERROR(INDEX(wClass,14)&amp;"",""))</f>
        <v>11S/Sc1</v>
      </c>
      <c r="BD83">
        <f>IF(BA83="","",IFERROR(INDEX(wKsBand,14)+0,""))</f>
        <v>7</v>
      </c>
      <c r="BE83">
        <f>IF(BA83="","",IFERROR(INDEX(wTests,14)+0,0))</f>
        <v>6</v>
      </c>
      <c r="BF83">
        <f>IF(BA83="","",IFERROR(INDEX(wMean,14)+0,""))</f>
        <v>7</v>
      </c>
      <c r="BG83">
        <f>IF(BA83="","",IFERROR(INDEX(wVs,14)+0,""))</f>
        <v>0.549574314574315</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IFERROR(INDEX(tblY7[Class],ROWS(H$10:H84))&amp;"","")</f>
        <v>7B/Sc1</v>
      </c>
      <c r="I84" t="str">
        <f>IF(H84="","",IF(SUMPRODUCT(--(H$10:H84=H84))=1,SUMPRODUCT(--(H$10:H$609&lt;H84))+1,""))</f>
        <v/>
      </c>
      <c r="J84" t="str">
        <f>IFERROR(INDEX(tblY8[Class],ROWS(J$10:J84))&amp;"","")</f>
        <v>8A/Sc3</v>
      </c>
      <c r="K84" t="str">
        <f>IF(J84="","",IF(SUMPRODUCT(--(J$10:J84=J84))=1,SUMPRODUCT(--(J$10:J$609&lt;J84))+1,""))</f>
        <v/>
      </c>
      <c r="L84" t="str">
        <f>IFERROR(INDEX(tblY9[Class],ROWS(L$10:L84))&amp;"","")</f>
        <v>9B/Sc1</v>
      </c>
      <c r="M84" t="str">
        <f>IF(L84="","",IF(SUMPRODUCT(--(L$10:L84=L84))=1,SUMPRODUCT(--(L$10:L$609&lt;L84))+1,""))</f>
        <v/>
      </c>
      <c r="N84" t="str">
        <f>IFERROR(INDEX(tblY10[Class],ROWS(N$10:N84))&amp;"","")</f>
        <v>10S/Sc3</v>
      </c>
      <c r="O84" t="str">
        <f>IF(N84="","",IF(SUMPRODUCT(--(N$10:N84=N84))=1,SUMPRODUCT(--(N$10:N$609&lt;N84))+1,""))</f>
        <v/>
      </c>
      <c r="P84" t="str">
        <f>IFERROR(INDEX(tblY11[Class],ROWS(P$10:P84))&amp;"","")</f>
        <v>11S/Sc3</v>
      </c>
      <c r="Q84" t="str">
        <f>IF(P84="","",IF(SUMPRODUCT(--(P$10:P84=P84))=1,SUMPRODUCT(--(P$10:P$609&lt;P84))+1,""))</f>
        <v/>
      </c>
      <c r="BA84" t="str">
        <f>IFERROR(INDEX(wLast,15)&amp;"","")</f>
        <v>Morgan</v>
      </c>
      <c r="BB84" t="str">
        <f>IF(BA84="","",IFERROR(INDEX(wFirst,15)&amp;"",""))</f>
        <v>Arthur</v>
      </c>
      <c r="BC84" t="str">
        <f>IF(BA84="","",IFERROR(INDEX(wClass,15)&amp;"",""))</f>
        <v>11S/Sc1</v>
      </c>
      <c r="BD84">
        <f>IF(BA84="","",IFERROR(INDEX(wKsBand,15)+0,""))</f>
        <v>7</v>
      </c>
      <c r="BE84">
        <f>IF(BA84="","",IFERROR(INDEX(wTests,15)+0,0))</f>
        <v>6</v>
      </c>
      <c r="BF84">
        <f>IF(BA84="","",IFERROR(INDEX(wMean,15)+0,""))</f>
        <v>6</v>
      </c>
      <c r="BG84">
        <f>IF(BA84="","",IFERROR(INDEX(wVs,15)+0,""))</f>
        <v>-0.450425685425685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IFERROR(INDEX(tblY7[Class],ROWS(H$10:H85))&amp;"","")</f>
        <v>7B/Sc1</v>
      </c>
      <c r="I85" t="str">
        <f>IF(H85="","",IF(SUMPRODUCT(--(H$10:H85=H85))=1,SUMPRODUCT(--(H$10:H$609&lt;H85))+1,""))</f>
        <v/>
      </c>
      <c r="J85" t="str">
        <f>IFERROR(INDEX(tblY8[Class],ROWS(J$10:J85))&amp;"","")</f>
        <v>8A/Sc4</v>
      </c>
      <c r="K85">
        <f>IF(J85="","",IF(SUMPRODUCT(--(J$10:J85=J85))=1,SUMPRODUCT(--(J$10:J$609&lt;J85))+1,""))</f>
        <v>583</v>
      </c>
      <c r="L85" t="str">
        <f>IFERROR(INDEX(tblY9[Class],ROWS(L$10:L85))&amp;"","")</f>
        <v>9B/Sc1</v>
      </c>
      <c r="M85" t="str">
        <f>IF(L85="","",IF(SUMPRODUCT(--(L$10:L85=L85))=1,SUMPRODUCT(--(L$10:L$609&lt;L85))+1,""))</f>
        <v/>
      </c>
      <c r="N85" t="str">
        <f>IFERROR(INDEX(tblY10[Class],ROWS(N$10:N85))&amp;"","")</f>
        <v>10S/Sc3</v>
      </c>
      <c r="O85" t="str">
        <f>IF(N85="","",IF(SUMPRODUCT(--(N$10:N85=N85))=1,SUMPRODUCT(--(N$10:N$609&lt;N85))+1,""))</f>
        <v/>
      </c>
      <c r="P85" t="str">
        <f>IFERROR(INDEX(tblY11[Class],ROWS(P$10:P85))&amp;"","")</f>
        <v>11S/Sc4</v>
      </c>
      <c r="Q85">
        <f>IF(P85="","",IF(SUMPRODUCT(--(P$10:P85=P85))=1,SUMPRODUCT(--(P$10:P$609&lt;P85))+1,""))</f>
        <v>570</v>
      </c>
      <c r="BA85" t="str">
        <f>IFERROR(INDEX(wLast,16)&amp;"","")</f>
        <v>Morgan</v>
      </c>
      <c r="BB85" t="str">
        <f>IF(BA85="","",IFERROR(INDEX(wFirst,16)&amp;"",""))</f>
        <v>Megan</v>
      </c>
      <c r="BC85" t="str">
        <f>IF(BA85="","",IFERROR(INDEX(wClass,16)&amp;"",""))</f>
        <v>11S/Sc1</v>
      </c>
      <c r="BD85">
        <f>IF(BA85="","",IFERROR(INDEX(wKsBand,16)+0,""))</f>
        <v>8</v>
      </c>
      <c r="BE85">
        <f>IF(BA85="","",IFERROR(INDEX(wTests,16)+0,0))</f>
        <v>6</v>
      </c>
      <c r="BF85">
        <f>IF(BA85="","",IFERROR(INDEX(wMean,16)+0,""))</f>
        <v>5.83333333333333</v>
      </c>
      <c r="BG85">
        <f>IF(BA85="","",IFERROR(INDEX(wVs,16)+0,""))</f>
        <v>-1.36595598845599</v>
      </c>
      <c r="BH85">
        <f>IF(OR(BA85="",wLatest=""),"",IFERROR(INDEX(wData,16,MATCH(wLatest&amp;CHAR(10)&amp;"Stanine",wHdr,0))+0,""))</f>
        <v>5</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IFERROR(INDEX(tblY7[Class],ROWS(H$10:H86))&amp;"","")</f>
        <v>7B/Sc1</v>
      </c>
      <c r="I86" t="str">
        <f>IF(H86="","",IF(SUMPRODUCT(--(H$10:H86=H86))=1,SUMPRODUCT(--(H$10:H$609&lt;H86))+1,""))</f>
        <v/>
      </c>
      <c r="J86" t="str">
        <f>IFERROR(INDEX(tblY8[Class],ROWS(J$10:J86))&amp;"","")</f>
        <v>8A/Sc4</v>
      </c>
      <c r="K86" t="str">
        <f>IF(J86="","",IF(SUMPRODUCT(--(J$10:J86=J86))=1,SUMPRODUCT(--(J$10:J$609&lt;J86))+1,""))</f>
        <v/>
      </c>
      <c r="L86" t="str">
        <f>IFERROR(INDEX(tblY9[Class],ROWS(L$10:L86))&amp;"","")</f>
        <v>9B/Sc1</v>
      </c>
      <c r="M86" t="str">
        <f>IF(L86="","",IF(SUMPRODUCT(--(L$10:L86=L86))=1,SUMPRODUCT(--(L$10:L$609&lt;L86))+1,""))</f>
        <v/>
      </c>
      <c r="N86" t="str">
        <f>IFERROR(INDEX(tblY10[Class],ROWS(N$10:N86))&amp;"","")</f>
        <v>10S/Sc3</v>
      </c>
      <c r="O86" t="str">
        <f>IF(N86="","",IF(SUMPRODUCT(--(N$10:N86=N86))=1,SUMPRODUCT(--(N$10:N$609&lt;N86))+1,""))</f>
        <v/>
      </c>
      <c r="P86" t="str">
        <f>IFERROR(INDEX(tblY11[Class],ROWS(P$10:P86))&amp;"","")</f>
        <v>11S/Sc4</v>
      </c>
      <c r="Q86" t="str">
        <f>IF(P86="","",IF(SUMPRODUCT(--(P$10:P86=P86))=1,SUMPRODUCT(--(P$10:P$609&lt;P86))+1,""))</f>
        <v/>
      </c>
      <c r="BA86" t="str">
        <f>IFERROR(INDEX(wLast,17)&amp;"","")</f>
        <v>Murphy</v>
      </c>
      <c r="BB86" t="str">
        <f>IF(BA86="","",IFERROR(INDEX(wFirst,17)&amp;"",""))</f>
        <v>Mia</v>
      </c>
      <c r="BC86" t="str">
        <f>IF(BA86="","",IFERROR(INDEX(wClass,17)&amp;"",""))</f>
        <v>11S/Sc1</v>
      </c>
      <c r="BD86">
        <f>IF(BA86="","",IFERROR(INDEX(wKsBand,17)+0,""))</f>
        <v>7</v>
      </c>
      <c r="BE86">
        <f>IF(BA86="","",IFERROR(INDEX(wTests,17)+0,0))</f>
        <v>6</v>
      </c>
      <c r="BF86">
        <f>IF(BA86="","",IFERROR(INDEX(wMean,17)+0,""))</f>
        <v>6.16666666666667</v>
      </c>
      <c r="BG86">
        <f>IF(BA86="","",IFERROR(INDEX(wVs,17)+0,""))</f>
        <v>-0.283759018759018</v>
      </c>
      <c r="BH86">
        <f>IF(OR(BA86="",wLatest=""),"",IFERROR(INDEX(wData,17,MATCH(wLatest&amp;CHAR(10)&amp;"Stanine",wHdr,0))+0,""))</f>
        <v>6</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IFERROR(INDEX(tblY7[Class],ROWS(H$10:H87))&amp;"","")</f>
        <v>7B/Sc1</v>
      </c>
      <c r="I87" t="str">
        <f>IF(H87="","",IF(SUMPRODUCT(--(H$10:H87=H87))=1,SUMPRODUCT(--(H$10:H$609&lt;H87))+1,""))</f>
        <v/>
      </c>
      <c r="J87" t="str">
        <f>IFERROR(INDEX(tblY8[Class],ROWS(J$10:J87))&amp;"","")</f>
        <v>8A/Sc4</v>
      </c>
      <c r="K87" t="str">
        <f>IF(J87="","",IF(SUMPRODUCT(--(J$10:J87=J87))=1,SUMPRODUCT(--(J$10:J$609&lt;J87))+1,""))</f>
        <v/>
      </c>
      <c r="L87" t="str">
        <f>IFERROR(INDEX(tblY9[Class],ROWS(L$10:L87))&amp;"","")</f>
        <v>9B/Sc1</v>
      </c>
      <c r="M87" t="str">
        <f>IF(L87="","",IF(SUMPRODUCT(--(L$10:L87=L87))=1,SUMPRODUCT(--(L$10:L$609&lt;L87))+1,""))</f>
        <v/>
      </c>
      <c r="N87" t="str">
        <f>IFERROR(INDEX(tblY10[Class],ROWS(N$10:N87))&amp;"","")</f>
        <v>10S/Sc3</v>
      </c>
      <c r="O87" t="str">
        <f>IF(N87="","",IF(SUMPRODUCT(--(N$10:N87=N87))=1,SUMPRODUCT(--(N$10:N$609&lt;N87))+1,""))</f>
        <v/>
      </c>
      <c r="P87" t="str">
        <f>IFERROR(INDEX(tblY11[Class],ROWS(P$10:P87))&amp;"","")</f>
        <v>11S/Sc4</v>
      </c>
      <c r="Q87" t="str">
        <f>IF(P87="","",IF(SUMPRODUCT(--(P$10:P87=P87))=1,SUMPRODUCT(--(P$10:P$609&lt;P87))+1,""))</f>
        <v/>
      </c>
      <c r="BA87" t="str">
        <f>IFERROR(INDEX(wLast,18)&amp;"","")</f>
        <v>Nowak</v>
      </c>
      <c r="BB87" t="str">
        <f>IF(BA87="","",IFERROR(INDEX(wFirst,18)&amp;"",""))</f>
        <v>Freya</v>
      </c>
      <c r="BC87" t="str">
        <f>IF(BA87="","",IFERROR(INDEX(wClass,18)&amp;"",""))</f>
        <v>11S/Sc1</v>
      </c>
      <c r="BD87">
        <f>IF(BA87="","",IFERROR(INDEX(wKsBand,18)+0,""))</f>
        <v>6</v>
      </c>
      <c r="BE87">
        <f>IF(BA87="","",IFERROR(INDEX(wTests,18)+0,0))</f>
        <v>6</v>
      </c>
      <c r="BF87">
        <f>IF(BA87="","",IFERROR(INDEX(wMean,18)+0,""))</f>
        <v>7.16666666666667</v>
      </c>
      <c r="BG87">
        <f>IF(BA87="","",IFERROR(INDEX(wVs,18)+0,""))</f>
        <v>1.46510461760462</v>
      </c>
      <c r="BH87">
        <f>IF(OR(BA87="",wLatest=""),"",IFERROR(INDEX(wData,18,MATCH(wLatest&amp;CHAR(10)&amp;"Stanine",wHdr,0))+0,""))</f>
        <v>8</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IFERROR(INDEX(tblY7[Class],ROWS(H$10:H88))&amp;"","")</f>
        <v>7B/Sc1</v>
      </c>
      <c r="I88" t="str">
        <f>IF(H88="","",IF(SUMPRODUCT(--(H$10:H88=H88))=1,SUMPRODUCT(--(H$10:H$609&lt;H88))+1,""))</f>
        <v/>
      </c>
      <c r="J88" t="str">
        <f>IFERROR(INDEX(tblY8[Class],ROWS(J$10:J88))&amp;"","")</f>
        <v>8A/Sc4</v>
      </c>
      <c r="K88" t="str">
        <f>IF(J88="","",IF(SUMPRODUCT(--(J$10:J88=J88))=1,SUMPRODUCT(--(J$10:J$609&lt;J88))+1,""))</f>
        <v/>
      </c>
      <c r="L88" t="str">
        <f>IFERROR(INDEX(tblY9[Class],ROWS(L$10:L88))&amp;"","")</f>
        <v>9B/Sc1</v>
      </c>
      <c r="M88" t="str">
        <f>IF(L88="","",IF(SUMPRODUCT(--(L$10:L88=L88))=1,SUMPRODUCT(--(L$10:L$609&lt;L88))+1,""))</f>
        <v/>
      </c>
      <c r="N88" t="str">
        <f>IFERROR(INDEX(tblY10[Class],ROWS(N$10:N88))&amp;"","")</f>
        <v>10S/Sc3</v>
      </c>
      <c r="O88" t="str">
        <f>IF(N88="","",IF(SUMPRODUCT(--(N$10:N88=N88))=1,SUMPRODUCT(--(N$10:N$609&lt;N88))+1,""))</f>
        <v/>
      </c>
      <c r="P88" t="str">
        <f>IFERROR(INDEX(tblY11[Class],ROWS(P$10:P88))&amp;"","")</f>
        <v>11S/Sc4</v>
      </c>
      <c r="Q88" t="str">
        <f>IF(P88="","",IF(SUMPRODUCT(--(P$10:P88=P88))=1,SUMPRODUCT(--(P$10:P$609&lt;P88))+1,""))</f>
        <v/>
      </c>
      <c r="BA88" t="str">
        <f>IFERROR(INDEX(wLast,19)&amp;"","")</f>
        <v>Okafor</v>
      </c>
      <c r="BB88" t="str">
        <f>IF(BA88="","",IFERROR(INDEX(wFirst,19)&amp;"",""))</f>
        <v>Zara</v>
      </c>
      <c r="BC88" t="str">
        <f>IF(BA88="","",IFERROR(INDEX(wClass,19)&amp;"",""))</f>
        <v>11S/Sc1</v>
      </c>
      <c r="BD88">
        <f>IF(BA88="","",IFERROR(INDEX(wKsBand,19)+0,""))</f>
        <v>9</v>
      </c>
      <c r="BE88">
        <f>IF(BA88="","",IFERROR(INDEX(wTests,19)+0,0))</f>
        <v>6</v>
      </c>
      <c r="BF88">
        <f>IF(BA88="","",IFERROR(INDEX(wMean,19)+0,""))</f>
        <v>9</v>
      </c>
      <c r="BG88">
        <f>IF(BA88="","",IFERROR(INDEX(wVs,19)+0,""))</f>
        <v>1.05184704184704</v>
      </c>
      <c r="BH88">
        <f>IF(OR(BA88="",wLatest=""),"",IFERROR(INDEX(wData,19,MATCH(wLatest&amp;CHAR(10)&amp;"Stanine",wHdr,0))+0,""))</f>
        <v>9</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IFERROR(INDEX(tblY7[Class],ROWS(H$10:H89))&amp;"","")</f>
        <v>7B/Sc1</v>
      </c>
      <c r="I89" t="str">
        <f>IF(H89="","",IF(SUMPRODUCT(--(H$10:H89=H89))=1,SUMPRODUCT(--(H$10:H$609&lt;H89))+1,""))</f>
        <v/>
      </c>
      <c r="J89" t="str">
        <f>IFERROR(INDEX(tblY8[Class],ROWS(J$10:J89))&amp;"","")</f>
        <v>8A/Sc4</v>
      </c>
      <c r="K89" t="str">
        <f>IF(J89="","",IF(SUMPRODUCT(--(J$10:J89=J89))=1,SUMPRODUCT(--(J$10:J$609&lt;J89))+1,""))</f>
        <v/>
      </c>
      <c r="L89" t="str">
        <f>IFERROR(INDEX(tblY9[Class],ROWS(L$10:L89))&amp;"","")</f>
        <v>9B/Sc1</v>
      </c>
      <c r="M89" t="str">
        <f>IF(L89="","",IF(SUMPRODUCT(--(L$10:L89=L89))=1,SUMPRODUCT(--(L$10:L$609&lt;L89))+1,""))</f>
        <v/>
      </c>
      <c r="N89" t="str">
        <f>IFERROR(INDEX(tblY10[Class],ROWS(N$10:N89))&amp;"","")</f>
        <v>10S/Sc3</v>
      </c>
      <c r="O89" t="str">
        <f>IF(N89="","",IF(SUMPRODUCT(--(N$10:N89=N89))=1,SUMPRODUCT(--(N$10:N$609&lt;N89))+1,""))</f>
        <v/>
      </c>
      <c r="P89" t="str">
        <f>IFERROR(INDEX(tblY11[Class],ROWS(P$10:P89))&amp;"","")</f>
        <v>11S/Sc4</v>
      </c>
      <c r="Q89" t="str">
        <f>IF(P89="","",IF(SUMPRODUCT(--(P$10:P89=P89))=1,SUMPRODUCT(--(P$10:P$609&lt;P89))+1,""))</f>
        <v/>
      </c>
      <c r="BA89" t="str">
        <f>IFERROR(INDEX(wLast,20)&amp;"","")</f>
        <v>Patel</v>
      </c>
      <c r="BB89" t="str">
        <f>IF(BA89="","",IFERROR(INDEX(wFirst,20)&amp;"",""))</f>
        <v>Maisie</v>
      </c>
      <c r="BC89" t="str">
        <f>IF(BA89="","",IFERROR(INDEX(wClass,20)&amp;"",""))</f>
        <v>11S/Sc1</v>
      </c>
      <c r="BD89">
        <f>IF(BA89="","",IFERROR(INDEX(wKsBand,20)+0,""))</f>
        <v>9</v>
      </c>
      <c r="BE89">
        <f>IF(BA89="","",IFERROR(INDEX(wTests,20)+0,0))</f>
        <v>5</v>
      </c>
      <c r="BF89">
        <f>IF(BA89="","",IFERROR(INDEX(wMean,20)+0,""))</f>
        <v>8</v>
      </c>
      <c r="BG89">
        <f>IF(BA89="","",IFERROR(INDEX(wVs,20)+0,""))</f>
        <v>0.0518470418470418</v>
      </c>
      <c r="BH89">
        <f>IF(OR(BA89="",wLatest=""),"",IFERROR(INDEX(wData,20,MATCH(wLatest&amp;CHAR(10)&amp;"Stanine",wHdr,0))+0,""))</f>
        <v>8</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IFERROR(INDEX(tblY7[Class],ROWS(H$10:H90))&amp;"","")</f>
        <v>7B/Sc1</v>
      </c>
      <c r="I90" t="str">
        <f>IF(H90="","",IF(SUMPRODUCT(--(H$10:H90=H90))=1,SUMPRODUCT(--(H$10:H$609&lt;H90))+1,""))</f>
        <v/>
      </c>
      <c r="J90" t="str">
        <f>IFERROR(INDEX(tblY8[Class],ROWS(J$10:J90))&amp;"","")</f>
        <v>8A/Sc4</v>
      </c>
      <c r="K90" t="str">
        <f>IF(J90="","",IF(SUMPRODUCT(--(J$10:J90=J90))=1,SUMPRODUCT(--(J$10:J$609&lt;J90))+1,""))</f>
        <v/>
      </c>
      <c r="L90" t="str">
        <f>IFERROR(INDEX(tblY9[Class],ROWS(L$10:L90))&amp;"","")</f>
        <v>9B/Sc1</v>
      </c>
      <c r="M90" t="str">
        <f>IF(L90="","",IF(SUMPRODUCT(--(L$10:L90=L90))=1,SUMPRODUCT(--(L$10:L$609&lt;L90))+1,""))</f>
        <v/>
      </c>
      <c r="N90" t="str">
        <f>IFERROR(INDEX(tblY10[Class],ROWS(N$10:N90))&amp;"","")</f>
        <v>10S/Sc4</v>
      </c>
      <c r="O90">
        <f>IF(N90="","",IF(SUMPRODUCT(--(N$10:N90=N90))=1,SUMPRODUCT(--(N$10:N$609&lt;N90))+1,""))</f>
        <v>564</v>
      </c>
      <c r="P90" t="str">
        <f>IFERROR(INDEX(tblY11[Class],ROWS(P$10:P90))&amp;"","")</f>
        <v>11S/Sc4</v>
      </c>
      <c r="Q90" t="str">
        <f>IF(P90="","",IF(SUMPRODUCT(--(P$10:P90=P90))=1,SUMPRODUCT(--(P$10:P$609&lt;P90))+1,""))</f>
        <v/>
      </c>
      <c r="BA90" t="str">
        <f>IFERROR(INDEX(wLast,21)&amp;"","")</f>
        <v>Robinson</v>
      </c>
      <c r="BB90" t="str">
        <f>IF(BA90="","",IFERROR(INDEX(wFirst,21)&amp;"",""))</f>
        <v>Jacob</v>
      </c>
      <c r="BC90" t="str">
        <f>IF(BA90="","",IFERROR(INDEX(wClass,21)&amp;"",""))</f>
        <v>11S/Sc1</v>
      </c>
      <c r="BD90">
        <f>IF(BA90="","",IFERROR(INDEX(wKsBand,21)+0,""))</f>
        <v>6</v>
      </c>
      <c r="BE90">
        <f>IF(BA90="","",IFERROR(INDEX(wTests,21)+0,0))</f>
        <v>6</v>
      </c>
      <c r="BF90">
        <f>IF(BA90="","",IFERROR(INDEX(wMean,21)+0,""))</f>
        <v>5.83333333333333</v>
      </c>
      <c r="BG90">
        <f>IF(BA90="","",IFERROR(INDEX(wVs,21)+0,""))</f>
        <v>0.131771284271284</v>
      </c>
      <c r="BH90">
        <f>IF(OR(BA90="",wLatest=""),"",IFERROR(INDEX(wData,21,MATCH(wLatest&amp;CHAR(10)&amp;"Stanine",wHdr,0))+0,""))</f>
        <v>4</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IFERROR(INDEX(tblY7[Class],ROWS(H$10:H91))&amp;"","")</f>
        <v>7B/Sc1</v>
      </c>
      <c r="I91" t="str">
        <f>IF(H91="","",IF(SUMPRODUCT(--(H$10:H91=H91))=1,SUMPRODUCT(--(H$10:H$609&lt;H91))+1,""))</f>
        <v/>
      </c>
      <c r="J91" t="str">
        <f>IFERROR(INDEX(tblY8[Class],ROWS(J$10:J91))&amp;"","")</f>
        <v>8A/Sc4</v>
      </c>
      <c r="K91" t="str">
        <f>IF(J91="","",IF(SUMPRODUCT(--(J$10:J91=J91))=1,SUMPRODUCT(--(J$10:J$609&lt;J91))+1,""))</f>
        <v/>
      </c>
      <c r="L91" t="str">
        <f>IFERROR(INDEX(tblY9[Class],ROWS(L$10:L91))&amp;"","")</f>
        <v>9B/Sc1</v>
      </c>
      <c r="M91" t="str">
        <f>IF(L91="","",IF(SUMPRODUCT(--(L$10:L91=L91))=1,SUMPRODUCT(--(L$10:L$609&lt;L91))+1,""))</f>
        <v/>
      </c>
      <c r="N91" t="str">
        <f>IFERROR(INDEX(tblY10[Class],ROWS(N$10:N91))&amp;"","")</f>
        <v>10S/Sc4</v>
      </c>
      <c r="O91" t="str">
        <f>IF(N91="","",IF(SUMPRODUCT(--(N$10:N91=N91))=1,SUMPRODUCT(--(N$10:N$609&lt;N91))+1,""))</f>
        <v/>
      </c>
      <c r="P91" t="str">
        <f>IFERROR(INDEX(tblY11[Class],ROWS(P$10:P91))&amp;"","")</f>
        <v>11S/Sc4</v>
      </c>
      <c r="Q91" t="str">
        <f>IF(P91="","",IF(SUMPRODUCT(--(P$10:P91=P91))=1,SUMPRODUCT(--(P$10:P$609&lt;P91))+1,""))</f>
        <v/>
      </c>
      <c r="BA91" t="str">
        <f>IFERROR(INDEX(wLast,22)&amp;"","")</f>
        <v>Shaw</v>
      </c>
      <c r="BB91" t="str">
        <f>IF(BA91="","",IFERROR(INDEX(wFirst,22)&amp;"",""))</f>
        <v>Grace</v>
      </c>
      <c r="BC91" t="str">
        <f>IF(BA91="","",IFERROR(INDEX(wClass,22)&amp;"",""))</f>
        <v>11S/Sc1</v>
      </c>
      <c r="BD91">
        <f>IF(BA91="","",IFERROR(INDEX(wKsBand,22)+0,""))</f>
        <v>4</v>
      </c>
      <c r="BE91">
        <f>IF(BA91="","",IFERROR(INDEX(wTests,22)+0,0))</f>
        <v>6</v>
      </c>
      <c r="BF91">
        <f>IF(BA91="","",IFERROR(INDEX(wMean,22)+0,""))</f>
        <v>7.33333333333333</v>
      </c>
      <c r="BG91">
        <f>IF(BA91="","",IFERROR(INDEX(wVs,22)+0,""))</f>
        <v>3.12949855699856</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IFERROR(INDEX(tblY7[Class],ROWS(H$10:H92))&amp;"","")</f>
        <v>7B/Sc1</v>
      </c>
      <c r="I92" t="str">
        <f>IF(H92="","",IF(SUMPRODUCT(--(H$10:H92=H92))=1,SUMPRODUCT(--(H$10:H$609&lt;H92))+1,""))</f>
        <v/>
      </c>
      <c r="J92" t="str">
        <f>IFERROR(INDEX(tblY8[Class],ROWS(J$10:J92))&amp;"","")</f>
        <v>8A/Sc4</v>
      </c>
      <c r="K92" t="str">
        <f>IF(J92="","",IF(SUMPRODUCT(--(J$10:J92=J92))=1,SUMPRODUCT(--(J$10:J$609&lt;J92))+1,""))</f>
        <v/>
      </c>
      <c r="L92" t="str">
        <f>IFERROR(INDEX(tblY9[Class],ROWS(L$10:L92))&amp;"","")</f>
        <v>9B/Sc1</v>
      </c>
      <c r="M92" t="str">
        <f>IF(L92="","",IF(SUMPRODUCT(--(L$10:L92=L92))=1,SUMPRODUCT(--(L$10:L$609&lt;L92))+1,""))</f>
        <v/>
      </c>
      <c r="N92" t="str">
        <f>IFERROR(INDEX(tblY10[Class],ROWS(N$10:N92))&amp;"","")</f>
        <v>10S/Sc4</v>
      </c>
      <c r="O92" t="str">
        <f>IF(N92="","",IF(SUMPRODUCT(--(N$10:N92=N92))=1,SUMPRODUCT(--(N$10:N$609&lt;N92))+1,""))</f>
        <v/>
      </c>
      <c r="P92" t="str">
        <f>IFERROR(INDEX(tblY11[Class],ROWS(P$10:P92))&amp;"","")</f>
        <v>11S/Sc4</v>
      </c>
      <c r="Q92" t="str">
        <f>IF(P92="","",IF(SUMPRODUCT(--(P$10:P92=P92))=1,SUMPRODUCT(--(P$10:P$609&lt;P92))+1,""))</f>
        <v/>
      </c>
      <c r="BA92" t="str">
        <f>IFERROR(INDEX(wLast,23)&amp;"","")</f>
        <v>Thompson</v>
      </c>
      <c r="BB92" t="str">
        <f>IF(BA92="","",IFERROR(INDEX(wFirst,23)&amp;"",""))</f>
        <v>Rosie</v>
      </c>
      <c r="BC92" t="str">
        <f>IF(BA92="","",IFERROR(INDEX(wClass,23)&amp;"",""))</f>
        <v>11S/Sc1</v>
      </c>
      <c r="BD92">
        <f>IF(BA92="","",IFERROR(INDEX(wKsBand,23)+0,""))</f>
        <v>5</v>
      </c>
      <c r="BE92">
        <f>IF(BA92="","",IFERROR(INDEX(wTests,23)+0,0))</f>
        <v>6</v>
      </c>
      <c r="BF92">
        <f>IF(BA92="","",IFERROR(INDEX(wMean,23)+0,""))</f>
        <v>8.33333333333333</v>
      </c>
      <c r="BG92">
        <f>IF(BA92="","",IFERROR(INDEX(wVs,23)+0,""))</f>
        <v>3.38063492063492</v>
      </c>
      <c r="BH92">
        <f>IF(OR(BA92="",wLatest=""),"",IFERROR(INDEX(wData,23,MATCH(wLatest&amp;CHAR(10)&amp;"Stanine",wHdr,0))+0,""))</f>
        <v>9</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IFERROR(INDEX(tblY7[Class],ROWS(H$10:H93))&amp;"","")</f>
        <v>7B/Sc1</v>
      </c>
      <c r="I93" t="str">
        <f>IF(H93="","",IF(SUMPRODUCT(--(H$10:H93=H93))=1,SUMPRODUCT(--(H$10:H$609&lt;H93))+1,""))</f>
        <v/>
      </c>
      <c r="J93" t="str">
        <f>IFERROR(INDEX(tblY8[Class],ROWS(J$10:J93))&amp;"","")</f>
        <v>8A/Sc4</v>
      </c>
      <c r="K93" t="str">
        <f>IF(J93="","",IF(SUMPRODUCT(--(J$10:J93=J93))=1,SUMPRODUCT(--(J$10:J$609&lt;J93))+1,""))</f>
        <v/>
      </c>
      <c r="L93" t="str">
        <f>IFERROR(INDEX(tblY9[Class],ROWS(L$10:L93))&amp;"","")</f>
        <v>9B/Sc1</v>
      </c>
      <c r="M93" t="str">
        <f>IF(L93="","",IF(SUMPRODUCT(--(L$10:L93=L93))=1,SUMPRODUCT(--(L$10:L$609&lt;L93))+1,""))</f>
        <v/>
      </c>
      <c r="N93" t="str">
        <f>IFERROR(INDEX(tblY10[Class],ROWS(N$10:N93))&amp;"","")</f>
        <v>10S/Sc4</v>
      </c>
      <c r="O93" t="str">
        <f>IF(N93="","",IF(SUMPRODUCT(--(N$10:N93=N93))=1,SUMPRODUCT(--(N$10:N$609&lt;N93))+1,""))</f>
        <v/>
      </c>
      <c r="P93" t="str">
        <f>IFERROR(INDEX(tblY11[Class],ROWS(P$10:P93))&amp;"","")</f>
        <v>11S/Sc4</v>
      </c>
      <c r="Q93" t="str">
        <f>IF(P93="","",IF(SUMPRODUCT(--(P$10:P93=P93))=1,SUMPRODUCT(--(P$10:P$609&lt;P93))+1,""))</f>
        <v/>
      </c>
      <c r="BA93" t="str">
        <f>IFERROR(INDEX(wLast,24)&amp;"","")</f>
        <v>Turner</v>
      </c>
      <c r="BB93" t="str">
        <f>IF(BA93="","",IFERROR(INDEX(wFirst,24)&amp;"",""))</f>
        <v>Isla</v>
      </c>
      <c r="BC93" t="str">
        <f>IF(BA93="","",IFERROR(INDEX(wClass,24)&amp;"",""))</f>
        <v>11S/Sc1</v>
      </c>
      <c r="BD93">
        <f>IF(BA93="","",IFERROR(INDEX(wKsBand,24)+0,""))</f>
        <v>6</v>
      </c>
      <c r="BE93">
        <f>IF(BA93="","",IFERROR(INDEX(wTests,24)+0,0))</f>
        <v>6</v>
      </c>
      <c r="BF93">
        <f>IF(BA93="","",IFERROR(INDEX(wMean,24)+0,""))</f>
        <v>7.83333333333333</v>
      </c>
      <c r="BG93">
        <f>IF(BA93="","",IFERROR(INDEX(wVs,24)+0,""))</f>
        <v>2.13177128427128</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IFERROR(INDEX(tblY7[Class],ROWS(H$10:H94))&amp;"","")</f>
        <v>7B/Sc1</v>
      </c>
      <c r="I94" t="str">
        <f>IF(H94="","",IF(SUMPRODUCT(--(H$10:H94=H94))=1,SUMPRODUCT(--(H$10:H$609&lt;H94))+1,""))</f>
        <v/>
      </c>
      <c r="J94" t="str">
        <f>IFERROR(INDEX(tblY8[Class],ROWS(J$10:J94))&amp;"","")</f>
        <v>8A/Sc4</v>
      </c>
      <c r="K94" t="str">
        <f>IF(J94="","",IF(SUMPRODUCT(--(J$10:J94=J94))=1,SUMPRODUCT(--(J$10:J$609&lt;J94))+1,""))</f>
        <v/>
      </c>
      <c r="L94" t="str">
        <f>IFERROR(INDEX(tblY9[Class],ROWS(L$10:L94))&amp;"","")</f>
        <v>9B/Sc1</v>
      </c>
      <c r="M94" t="str">
        <f>IF(L94="","",IF(SUMPRODUCT(--(L$10:L94=L94))=1,SUMPRODUCT(--(L$10:L$609&lt;L94))+1,""))</f>
        <v/>
      </c>
      <c r="N94" t="str">
        <f>IFERROR(INDEX(tblY10[Class],ROWS(N$10:N94))&amp;"","")</f>
        <v>10S/Sc4</v>
      </c>
      <c r="O94" t="str">
        <f>IF(N94="","",IF(SUMPRODUCT(--(N$10:N94=N94))=1,SUMPRODUCT(--(N$10:N$609&lt;N94))+1,""))</f>
        <v/>
      </c>
      <c r="P94" t="str">
        <f>IFERROR(INDEX(tblY11[Class],ROWS(P$10:P94))&amp;"","")</f>
        <v>11S/Sc4</v>
      </c>
      <c r="Q94" t="str">
        <f>IF(P94="","",IF(SUMPRODUCT(--(P$10:P94=P94))=1,SUMPRODUCT(--(P$10:P$609&lt;P94))+1,""))</f>
        <v/>
      </c>
      <c r="BA94" t="str">
        <f>IFERROR(INDEX(wLast,25)&amp;"","")</f>
        <v>Walker</v>
      </c>
      <c r="BB94" t="str">
        <f>IF(BA94="","",IFERROR(INDEX(wFirst,25)&amp;"",""))</f>
        <v>Oscar</v>
      </c>
      <c r="BC94" t="str">
        <f>IF(BA94="","",IFERROR(INDEX(wClass,25)&amp;"",""))</f>
        <v>11S/Sc1</v>
      </c>
      <c r="BD94">
        <f>IF(BA94="","",IFERROR(INDEX(wKsBand,25)+0,""))</f>
        <v>6</v>
      </c>
      <c r="BE94">
        <f>IF(BA94="","",IFERROR(INDEX(wTests,25)+0,0))</f>
        <v>6</v>
      </c>
      <c r="BF94">
        <f>IF(BA94="","",IFERROR(INDEX(wMean,25)+0,""))</f>
        <v>7.5</v>
      </c>
      <c r="BG94">
        <f>IF(BA94="","",IFERROR(INDEX(wVs,25)+0,""))</f>
        <v>1.79843795093795</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IFERROR(INDEX(tblY7[Class],ROWS(H$10:H95))&amp;"","")</f>
        <v>7B/Sc1</v>
      </c>
      <c r="I95" t="str">
        <f>IF(H95="","",IF(SUMPRODUCT(--(H$10:H95=H95))=1,SUMPRODUCT(--(H$10:H$609&lt;H95))+1,""))</f>
        <v/>
      </c>
      <c r="J95" t="str">
        <f>IFERROR(INDEX(tblY8[Class],ROWS(J$10:J95))&amp;"","")</f>
        <v>8A/Sc4</v>
      </c>
      <c r="K95" t="str">
        <f>IF(J95="","",IF(SUMPRODUCT(--(J$10:J95=J95))=1,SUMPRODUCT(--(J$10:J$609&lt;J95))+1,""))</f>
        <v/>
      </c>
      <c r="L95" t="str">
        <f>IFERROR(INDEX(tblY9[Class],ROWS(L$10:L95))&amp;"","")</f>
        <v>9B/Sc1</v>
      </c>
      <c r="M95" t="str">
        <f>IF(L95="","",IF(SUMPRODUCT(--(L$10:L95=L95))=1,SUMPRODUCT(--(L$10:L$609&lt;L95))+1,""))</f>
        <v/>
      </c>
      <c r="N95" t="str">
        <f>IFERROR(INDEX(tblY10[Class],ROWS(N$10:N95))&amp;"","")</f>
        <v>10S/Sc4</v>
      </c>
      <c r="O95" t="str">
        <f>IF(N95="","",IF(SUMPRODUCT(--(N$10:N95=N95))=1,SUMPRODUCT(--(N$10:N$609&lt;N95))+1,""))</f>
        <v/>
      </c>
      <c r="P95" t="str">
        <f>IFERROR(INDEX(tblY11[Class],ROWS(P$10:P95))&amp;"","")</f>
        <v>11S/Sc4</v>
      </c>
      <c r="Q95" t="str">
        <f>IF(P95="","",IF(SUMPRODUCT(--(P$10:P95=P95))=1,SUMPRODUCT(--(P$10:P$609&lt;P95))+1,""))</f>
        <v/>
      </c>
      <c r="BA95" t="str">
        <f>IFERROR(INDEX(wLast,26)&amp;"","")</f>
        <v>Ward</v>
      </c>
      <c r="BB95" t="str">
        <f>IF(BA95="","",IFERROR(INDEX(wFirst,26)&amp;"",""))</f>
        <v>Aisha</v>
      </c>
      <c r="BC95" t="str">
        <f>IF(BA95="","",IFERROR(INDEX(wClass,26)&amp;"",""))</f>
        <v>11S/Sc1</v>
      </c>
      <c r="BD95">
        <f>IF(BA95="","",IFERROR(INDEX(wKsBand,26)+0,""))</f>
        <v>6</v>
      </c>
      <c r="BE95">
        <f>IF(BA95="","",IFERROR(INDEX(wTests,26)+0,0))</f>
        <v>6</v>
      </c>
      <c r="BF95">
        <f>IF(BA95="","",IFERROR(INDEX(wMean,26)+0,""))</f>
        <v>7</v>
      </c>
      <c r="BG95">
        <f>IF(BA95="","",IFERROR(INDEX(wVs,26)+0,""))</f>
        <v>1.29843795093795</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IFERROR(INDEX(tblY7[Class],ROWS(H$10:H96))&amp;"","")</f>
        <v>7B/Sc1</v>
      </c>
      <c r="I96" t="str">
        <f>IF(H96="","",IF(SUMPRODUCT(--(H$10:H96=H96))=1,SUMPRODUCT(--(H$10:H$609&lt;H96))+1,""))</f>
        <v/>
      </c>
      <c r="J96" t="str">
        <f>IFERROR(INDEX(tblY8[Class],ROWS(J$10:J96))&amp;"","")</f>
        <v>8A/Sc4</v>
      </c>
      <c r="K96" t="str">
        <f>IF(J96="","",IF(SUMPRODUCT(--(J$10:J96=J96))=1,SUMPRODUCT(--(J$10:J$609&lt;J96))+1,""))</f>
        <v/>
      </c>
      <c r="L96" t="str">
        <f>IFERROR(INDEX(tblY9[Class],ROWS(L$10:L96))&amp;"","")</f>
        <v>9B/Sc1</v>
      </c>
      <c r="M96" t="str">
        <f>IF(L96="","",IF(SUMPRODUCT(--(L$10:L96=L96))=1,SUMPRODUCT(--(L$10:L$609&lt;L96))+1,""))</f>
        <v/>
      </c>
      <c r="N96" t="str">
        <f>IFERROR(INDEX(tblY10[Class],ROWS(N$10:N96))&amp;"","")</f>
        <v>10S/Sc4</v>
      </c>
      <c r="O96" t="str">
        <f>IF(N96="","",IF(SUMPRODUCT(--(N$10:N96=N96))=1,SUMPRODUCT(--(N$10:N$609&lt;N96))+1,""))</f>
        <v/>
      </c>
      <c r="P96" t="str">
        <f>IFERROR(INDEX(tblY11[Class],ROWS(P$10:P96))&amp;"","")</f>
        <v>11S/Sc4</v>
      </c>
      <c r="Q96" t="str">
        <f>IF(P96="","",IF(SUMPRODUCT(--(P$10:P96=P96))=1,SUMPRODUCT(--(P$10:P$609&lt;P96))+1,""))</f>
        <v/>
      </c>
      <c r="BA96" t="str">
        <f>IFERROR(INDEX(wLast,27)&amp;"","")</f>
        <v>Wright</v>
      </c>
      <c r="BB96" t="str">
        <f>IF(BA96="","",IFERROR(INDEX(wFirst,27)&amp;"",""))</f>
        <v>Amara</v>
      </c>
      <c r="BC96" t="str">
        <f>IF(BA96="","",IFERROR(INDEX(wClass,27)&amp;"",""))</f>
        <v>11S/Sc1</v>
      </c>
      <c r="BD96">
        <f>IF(BA96="","",IFERROR(INDEX(wKsBand,27)+0,""))</f>
        <v>8</v>
      </c>
      <c r="BE96">
        <f>IF(BA96="","",IFERROR(INDEX(wTests,27)+0,0))</f>
        <v>6</v>
      </c>
      <c r="BF96">
        <f>IF(BA96="","",IFERROR(INDEX(wMean,27)+0,""))</f>
        <v>7.83333333333333</v>
      </c>
      <c r="BG96">
        <f>IF(BA96="","",IFERROR(INDEX(wVs,27)+0,""))</f>
        <v>0.634044011544011</v>
      </c>
      <c r="BH96">
        <f>IF(OR(BA96="",wLatest=""),"",IFERROR(INDEX(wData,27,MATCH(wLatest&amp;CHAR(10)&amp;"Stanine",wHdr,0))+0,""))</f>
        <v>9</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IFERROR(INDEX(tblY7[Class],ROWS(H$10:H97))&amp;"","")</f>
        <v>7B/Sc2</v>
      </c>
      <c r="I97">
        <f>IF(H97="","",IF(SUMPRODUCT(--(H$10:H97=H97))=1,SUMPRODUCT(--(H$10:H$609&lt;H97))+1,""))</f>
        <v>557</v>
      </c>
      <c r="J97" t="str">
        <f>IFERROR(INDEX(tblY8[Class],ROWS(J$10:J97))&amp;"","")</f>
        <v>8A/Sc4</v>
      </c>
      <c r="K97" t="str">
        <f>IF(J97="","",IF(SUMPRODUCT(--(J$10:J97=J97))=1,SUMPRODUCT(--(J$10:J$609&lt;J97))+1,""))</f>
        <v/>
      </c>
      <c r="L97" t="str">
        <f>IFERROR(INDEX(tblY9[Class],ROWS(L$10:L97))&amp;"","")</f>
        <v>9B/Sc1</v>
      </c>
      <c r="M97" t="str">
        <f>IF(L97="","",IF(SUMPRODUCT(--(L$10:L97=L97))=1,SUMPRODUCT(--(L$10:L$609&lt;L97))+1,""))</f>
        <v/>
      </c>
      <c r="N97" t="str">
        <f>IFERROR(INDEX(tblY10[Class],ROWS(N$10:N97))&amp;"","")</f>
        <v>10S/Sc4</v>
      </c>
      <c r="O97" t="str">
        <f>IF(N97="","",IF(SUMPRODUCT(--(N$10:N97=N97))=1,SUMPRODUCT(--(N$10:N$609&lt;N97))+1,""))</f>
        <v/>
      </c>
      <c r="P97" t="str">
        <f>IFERROR(INDEX(tblY11[Class],ROWS(P$10:P97))&amp;"","")</f>
        <v>11S/Sc4</v>
      </c>
      <c r="Q97" t="str">
        <f>IF(P97="","",IF(SUMPRODUCT(--(P$10:P97=P97))=1,SUMPRODUCT(--(P$10:P$609&lt;P97))+1,""))</f>
        <v/>
      </c>
      <c r="BA97" t="str">
        <f>IFERROR(INDEX(wLast,28)&amp;"","")</f>
        <v>Wright</v>
      </c>
      <c r="BB97" t="str">
        <f>IF(BA97="","",IFERROR(INDEX(wFirst,28)&amp;"",""))</f>
        <v>Hollie</v>
      </c>
      <c r="BC97" t="str">
        <f>IF(BA97="","",IFERROR(INDEX(wClass,28)&amp;"",""))</f>
        <v>11S/Sc1</v>
      </c>
      <c r="BD97">
        <f>IF(BA97="","",IFERROR(INDEX(wKsBand,28)+0,""))</f>
        <v>7</v>
      </c>
      <c r="BE97">
        <f>IF(BA97="","",IFERROR(INDEX(wTests,28)+0,0))</f>
        <v>6</v>
      </c>
      <c r="BF97">
        <f>IF(BA97="","",IFERROR(INDEX(wMean,28)+0,""))</f>
        <v>6.33333333333333</v>
      </c>
      <c r="BG97">
        <f>IF(BA97="","",IFERROR(INDEX(wVs,28)+0,""))</f>
        <v>-0.117092352092352</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IFERROR(INDEX(tblY7[Class],ROWS(H$10:H98))&amp;"","")</f>
        <v>7B/Sc2</v>
      </c>
      <c r="I98" t="str">
        <f>IF(H98="","",IF(SUMPRODUCT(--(H$10:H98=H98))=1,SUMPRODUCT(--(H$10:H$609&lt;H98))+1,""))</f>
        <v/>
      </c>
      <c r="J98" t="str">
        <f>IFERROR(INDEX(tblY8[Class],ROWS(J$10:J98))&amp;"","")</f>
        <v>8A/Sc4</v>
      </c>
      <c r="K98" t="str">
        <f>IF(J98="","",IF(SUMPRODUCT(--(J$10:J98=J98))=1,SUMPRODUCT(--(J$10:J$609&lt;J98))+1,""))</f>
        <v/>
      </c>
      <c r="L98" t="str">
        <f>IFERROR(INDEX(tblY9[Class],ROWS(L$10:L98))&amp;"","")</f>
        <v>9B/Sc1</v>
      </c>
      <c r="M98" t="str">
        <f>IF(L98="","",IF(SUMPRODUCT(--(L$10:L98=L98))=1,SUMPRODUCT(--(L$10:L$609&lt;L98))+1,""))</f>
        <v/>
      </c>
      <c r="N98" t="str">
        <f>IFERROR(INDEX(tblY10[Class],ROWS(N$10:N98))&amp;"","")</f>
        <v>10S/Sc4</v>
      </c>
      <c r="O98" t="str">
        <f>IF(N98="","",IF(SUMPRODUCT(--(N$10:N98=N98))=1,SUMPRODUCT(--(N$10:N$609&lt;N98))+1,""))</f>
        <v/>
      </c>
      <c r="P98" t="str">
        <f>IFERROR(INDEX(tblY11[Class],ROWS(P$10:P98))&amp;"","")</f>
        <v>11S/Sc5</v>
      </c>
      <c r="Q98">
        <f>IF(P98="","",IF(SUMPRODUCT(--(P$10:P98=P98))=1,SUMPRODUCT(--(P$10:P$609&lt;P98))+1,""))</f>
        <v>583</v>
      </c>
      <c r="BA98" t="str">
        <f>IFERROR(INDEX(wLast,29)&amp;"","")</f>
        <v>Cooper</v>
      </c>
      <c r="BB98" t="str">
        <f>IF(BA98="","",IFERROR(INDEX(wFirst,29)&amp;"",""))</f>
        <v>Dylan</v>
      </c>
      <c r="BC98" t="str">
        <f>IF(BA98="","",IFERROR(INDEX(wClass,29)&amp;"",""))</f>
        <v>11S/Sc2</v>
      </c>
      <c r="BD98">
        <f>IF(BA98="","",IFERROR(INDEX(wKsBand,29)+0,""))</f>
        <v>5</v>
      </c>
      <c r="BE98">
        <f>IF(BA98="","",IFERROR(INDEX(wTests,29)+0,0))</f>
        <v>6</v>
      </c>
      <c r="BF98">
        <f>IF(BA98="","",IFERROR(INDEX(wMean,29)+0,""))</f>
        <v>5.33333333333333</v>
      </c>
      <c r="BG98">
        <f>IF(BA98="","",IFERROR(INDEX(wVs,29)+0,""))</f>
        <v>0.380634920634921</v>
      </c>
      <c r="BH98">
        <f>IF(OR(BA98="",wLatest=""),"",IFERROR(INDEX(wData,29,MATCH(wLatest&amp;CHAR(10)&amp;"Stanine",wHdr,0))+0,""))</f>
        <v>5</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IFERROR(INDEX(tblY7[Class],ROWS(H$10:H99))&amp;"","")</f>
        <v>7B/Sc2</v>
      </c>
      <c r="I99" t="str">
        <f>IF(H99="","",IF(SUMPRODUCT(--(H$10:H99=H99))=1,SUMPRODUCT(--(H$10:H$609&lt;H99))+1,""))</f>
        <v/>
      </c>
      <c r="J99" t="str">
        <f>IFERROR(INDEX(tblY8[Class],ROWS(J$10:J99))&amp;"","")</f>
        <v>8A/Sc4</v>
      </c>
      <c r="K99" t="str">
        <f>IF(J99="","",IF(SUMPRODUCT(--(J$10:J99=J99))=1,SUMPRODUCT(--(J$10:J$609&lt;J99))+1,""))</f>
        <v/>
      </c>
      <c r="L99" t="str">
        <f>IFERROR(INDEX(tblY9[Class],ROWS(L$10:L99))&amp;"","")</f>
        <v>9B/Sc1</v>
      </c>
      <c r="M99" t="str">
        <f>IF(L99="","",IF(SUMPRODUCT(--(L$10:L99=L99))=1,SUMPRODUCT(--(L$10:L$609&lt;L99))+1,""))</f>
        <v/>
      </c>
      <c r="N99" t="str">
        <f>IFERROR(INDEX(tblY10[Class],ROWS(N$10:N99))&amp;"","")</f>
        <v>10S/Sc4</v>
      </c>
      <c r="O99" t="str">
        <f>IF(N99="","",IF(SUMPRODUCT(--(N$10:N99=N99))=1,SUMPRODUCT(--(N$10:N$609&lt;N99))+1,""))</f>
        <v/>
      </c>
      <c r="P99" t="str">
        <f>IFERROR(INDEX(tblY11[Class],ROWS(P$10:P99))&amp;"","")</f>
        <v>11S/Sc5</v>
      </c>
      <c r="Q99" t="str">
        <f>IF(P99="","",IF(SUMPRODUCT(--(P$10:P99=P99))=1,SUMPRODUCT(--(P$10:P$609&lt;P99))+1,""))</f>
        <v/>
      </c>
      <c r="BA99" t="str">
        <f>IFERROR(INDEX(wLast,30)&amp;"","")</f>
        <v>Cooper</v>
      </c>
      <c r="BB99" t="str">
        <f>IF(BA99="","",IFERROR(INDEX(wFirst,30)&amp;"",""))</f>
        <v>Noah</v>
      </c>
      <c r="BC99" t="str">
        <f>IF(BA99="","",IFERROR(INDEX(wClass,30)&amp;"",""))</f>
        <v>11S/Sc2</v>
      </c>
      <c r="BD99">
        <f>IF(BA99="","",IFERROR(INDEX(wKsBand,30)+0,""))</f>
        <v>6</v>
      </c>
      <c r="BE99">
        <f>IF(BA99="","",IFERROR(INDEX(wTests,30)+0,0))</f>
        <v>6</v>
      </c>
      <c r="BF99">
        <f>IF(BA99="","",IFERROR(INDEX(wMean,30)+0,""))</f>
        <v>6.16666666666667</v>
      </c>
      <c r="BG99">
        <f>IF(BA99="","",IFERROR(INDEX(wVs,30)+0,""))</f>
        <v>0.465104617604618</v>
      </c>
      <c r="BH99">
        <f>IF(OR(BA99="",wLatest=""),"",IFERROR(INDEX(wData,30,MATCH(wLatest&amp;CHAR(10)&amp;"Stanine",wHdr,0))+0,""))</f>
        <v>6</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IFERROR(INDEX(tblY7[Class],ROWS(H$10:H100))&amp;"","")</f>
        <v>7B/Sc2</v>
      </c>
      <c r="I100" t="str">
        <f>IF(H100="","",IF(SUMPRODUCT(--(H$10:H100=H100))=1,SUMPRODUCT(--(H$10:H$609&lt;H100))+1,""))</f>
        <v/>
      </c>
      <c r="J100" t="str">
        <f>IFERROR(INDEX(tblY8[Class],ROWS(J$10:J100))&amp;"","")</f>
        <v>8A/Sc4</v>
      </c>
      <c r="K100" t="str">
        <f>IF(J100="","",IF(SUMPRODUCT(--(J$10:J100=J100))=1,SUMPRODUCT(--(J$10:J$609&lt;J100))+1,""))</f>
        <v/>
      </c>
      <c r="L100" t="str">
        <f>IFERROR(INDEX(tblY9[Class],ROWS(L$10:L100))&amp;"","")</f>
        <v>9B/Sc1</v>
      </c>
      <c r="M100" t="str">
        <f>IF(L100="","",IF(SUMPRODUCT(--(L$10:L100=L100))=1,SUMPRODUCT(--(L$10:L$609&lt;L100))+1,""))</f>
        <v/>
      </c>
      <c r="N100" t="str">
        <f>IFERROR(INDEX(tblY10[Class],ROWS(N$10:N100))&amp;"","")</f>
        <v>10S/Sc4</v>
      </c>
      <c r="O100" t="str">
        <f>IF(N100="","",IF(SUMPRODUCT(--(N$10:N100=N100))=1,SUMPRODUCT(--(N$10:N$609&lt;N100))+1,""))</f>
        <v/>
      </c>
      <c r="P100" t="str">
        <f>IFERROR(INDEX(tblY11[Class],ROWS(P$10:P100))&amp;"","")</f>
        <v>11S/Sc5</v>
      </c>
      <c r="Q100" t="str">
        <f>IF(P100="","",IF(SUMPRODUCT(--(P$10:P100=P100))=1,SUMPRODUCT(--(P$10:P$609&lt;P100))+1,""))</f>
        <v/>
      </c>
      <c r="BA100" t="str">
        <f>IFERROR(INDEX(wLast,31)&amp;"","")</f>
        <v>Evans</v>
      </c>
      <c r="BB100" t="str">
        <f>IF(BA100="","",IFERROR(INDEX(wFirst,31)&amp;"",""))</f>
        <v>Arthur</v>
      </c>
      <c r="BC100" t="str">
        <f>IF(BA100="","",IFERROR(INDEX(wClass,31)&amp;"",""))</f>
        <v>11S/Sc2</v>
      </c>
      <c r="BD100">
        <f>IF(BA100="","",IFERROR(INDEX(wKsBand,31)+0,""))</f>
        <v>3</v>
      </c>
      <c r="BE100">
        <f>IF(BA100="","",IFERROR(INDEX(wTests,31)+0,0))</f>
        <v>6</v>
      </c>
      <c r="BF100">
        <f>IF(BA100="","",IFERROR(INDEX(wMean,31)+0,""))</f>
        <v>4</v>
      </c>
      <c r="BG100">
        <f>IF(BA100="","",IFERROR(INDEX(wVs,31)+0,""))</f>
        <v>0.545028860028861</v>
      </c>
      <c r="BH100">
        <f>IF(OR(BA100="",wLatest=""),"",IFERROR(INDEX(wData,31,MATCH(wLatest&amp;CHAR(10)&amp;"Stanine",wHdr,0))+0,""))</f>
        <v>4</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IFERROR(INDEX(tblY7[Class],ROWS(H$10:H101))&amp;"","")</f>
        <v>7B/Sc2</v>
      </c>
      <c r="I101" t="str">
        <f>IF(H101="","",IF(SUMPRODUCT(--(H$10:H101=H101))=1,SUMPRODUCT(--(H$10:H$609&lt;H101))+1,""))</f>
        <v/>
      </c>
      <c r="J101" t="str">
        <f>IFERROR(INDEX(tblY8[Class],ROWS(J$10:J101))&amp;"","")</f>
        <v>Science Support</v>
      </c>
      <c r="K101">
        <f>IF(J101="","",IF(SUMPRODUCT(--(J$10:J101=J101))=1,SUMPRODUCT(--(J$10:J$609&lt;J101))+1,""))</f>
        <v>599</v>
      </c>
      <c r="L101" t="str">
        <f>IFERROR(INDEX(tblY9[Class],ROWS(L$10:L101))&amp;"","")</f>
        <v>9B/Sc1</v>
      </c>
      <c r="M101" t="str">
        <f>IF(L101="","",IF(SUMPRODUCT(--(L$10:L101=L101))=1,SUMPRODUCT(--(L$10:L$609&lt;L101))+1,""))</f>
        <v/>
      </c>
      <c r="N101" t="str">
        <f>IFERROR(INDEX(tblY10[Class],ROWS(N$10:N101))&amp;"","")</f>
        <v>10S/Sc4</v>
      </c>
      <c r="O101" t="str">
        <f>IF(N101="","",IF(SUMPRODUCT(--(N$10:N101=N101))=1,SUMPRODUCT(--(N$10:N$609&lt;N101))+1,""))</f>
        <v/>
      </c>
      <c r="P101" t="str">
        <f>IFERROR(INDEX(tblY11[Class],ROWS(P$10:P101))&amp;"","")</f>
        <v>11S/Sc5</v>
      </c>
      <c r="Q101" t="str">
        <f>IF(P101="","",IF(SUMPRODUCT(--(P$10:P101=P101))=1,SUMPRODUCT(--(P$10:P$609&lt;P101))+1,""))</f>
        <v/>
      </c>
      <c r="BA101" t="str">
        <f>IFERROR(INDEX(wLast,32)&amp;"","")</f>
        <v>Harrison</v>
      </c>
      <c r="BB101" t="str">
        <f>IF(BA101="","",IFERROR(INDEX(wFirst,32)&amp;"",""))</f>
        <v>Arjun</v>
      </c>
      <c r="BC101" t="str">
        <f>IF(BA101="","",IFERROR(INDEX(wClass,32)&amp;"",""))</f>
        <v>11S/Sc2</v>
      </c>
      <c r="BD101">
        <f>IF(BA101="","",IFERROR(INDEX(wKsBand,32)+0,""))</f>
        <v>5</v>
      </c>
      <c r="BE101">
        <f>IF(BA101="","",IFERROR(INDEX(wTests,32)+0,0))</f>
        <v>5</v>
      </c>
      <c r="BF101">
        <f>IF(BA101="","",IFERROR(INDEX(wMean,32)+0,""))</f>
        <v>4.4</v>
      </c>
      <c r="BG101">
        <f>IF(BA101="","",IFERROR(INDEX(wVs,32)+0,""))</f>
        <v>-0.552698412698412</v>
      </c>
      <c r="BH101">
        <f>IF(OR(BA101="",wLatest=""),"",IFERROR(INDEX(wData,32,MATCH(wLatest&amp;CHAR(10)&amp;"Stanine",wHdr,0))+0,""))</f>
        <v>4</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IFERROR(INDEX(tblY7[Class],ROWS(H$10:H102))&amp;"","")</f>
        <v>7B/Sc2</v>
      </c>
      <c r="I102" t="str">
        <f>IF(H102="","",IF(SUMPRODUCT(--(H$10:H102=H102))=1,SUMPRODUCT(--(H$10:H$609&lt;H102))+1,""))</f>
        <v/>
      </c>
      <c r="J102" t="str">
        <f>IFERROR(INDEX(tblY8[Class],ROWS(J$10:J102))&amp;"","")</f>
        <v>Science Support</v>
      </c>
      <c r="K102" t="str">
        <f>IF(J102="","",IF(SUMPRODUCT(--(J$10:J102=J102))=1,SUMPRODUCT(--(J$10:J$609&lt;J102))+1,""))</f>
        <v/>
      </c>
      <c r="L102" t="str">
        <f>IFERROR(INDEX(tblY9[Class],ROWS(L$10:L102))&amp;"","")</f>
        <v>9B/Sc1</v>
      </c>
      <c r="M102" t="str">
        <f>IF(L102="","",IF(SUMPRODUCT(--(L$10:L102=L102))=1,SUMPRODUCT(--(L$10:L$609&lt;L102))+1,""))</f>
        <v/>
      </c>
      <c r="N102" t="str">
        <f>IFERROR(INDEX(tblY10[Class],ROWS(N$10:N102))&amp;"","")</f>
        <v>10S/Sc4</v>
      </c>
      <c r="O102" t="str">
        <f>IF(N102="","",IF(SUMPRODUCT(--(N$10:N102=N102))=1,SUMPRODUCT(--(N$10:N$609&lt;N102))+1,""))</f>
        <v/>
      </c>
      <c r="P102" t="str">
        <f>IFERROR(INDEX(tblY11[Class],ROWS(P$10:P102))&amp;"","")</f>
        <v>11S/Sc5</v>
      </c>
      <c r="Q102" t="str">
        <f>IF(P102="","",IF(SUMPRODUCT(--(P$10:P102=P102))=1,SUMPRODUCT(--(P$10:P$609&lt;P102))+1,""))</f>
        <v/>
      </c>
      <c r="BA102" t="str">
        <f>IFERROR(INDEX(wLast,33)&amp;"","")</f>
        <v>Harrison</v>
      </c>
      <c r="BB102" t="str">
        <f>IF(BA102="","",IFERROR(INDEX(wFirst,33)&amp;"",""))</f>
        <v>Poppy</v>
      </c>
      <c r="BC102" t="str">
        <f>IF(BA102="","",IFERROR(INDEX(wClass,33)&amp;"",""))</f>
        <v>11S/Sc2</v>
      </c>
      <c r="BD102">
        <f>IF(BA102="","",IFERROR(INDEX(wKsBand,33)+0,""))</f>
        <v>5</v>
      </c>
      <c r="BE102">
        <f>IF(BA102="","",IFERROR(INDEX(wTests,33)+0,0))</f>
        <v>5</v>
      </c>
      <c r="BF102">
        <f>IF(BA102="","",IFERROR(INDEX(wMean,33)+0,""))</f>
        <v>5.8</v>
      </c>
      <c r="BG102">
        <f>IF(BA102="","",IFERROR(INDEX(wVs,33)+0,""))</f>
        <v>0.847301587301588</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IFERROR(INDEX(tblY7[Class],ROWS(H$10:H103))&amp;"","")</f>
        <v>7B/Sc2</v>
      </c>
      <c r="I103" t="str">
        <f>IF(H103="","",IF(SUMPRODUCT(--(H$10:H103=H103))=1,SUMPRODUCT(--(H$10:H$609&lt;H103))+1,""))</f>
        <v/>
      </c>
      <c r="J103" t="str">
        <f>IFERROR(INDEX(tblY8[Class],ROWS(J$10:J103))&amp;"","")</f>
        <v/>
      </c>
      <c r="K103" t="str">
        <f>IF(J103="","",IF(SUMPRODUCT(--(J$10:J103=J103))=1,SUMPRODUCT(--(J$10:J$609&lt;J103))+1,""))</f>
        <v/>
      </c>
      <c r="L103" t="str">
        <f>IFERROR(INDEX(tblY9[Class],ROWS(L$10:L103))&amp;"","")</f>
        <v>9B/Sc2</v>
      </c>
      <c r="M103">
        <f>IF(L103="","",IF(SUMPRODUCT(--(L$10:L103=L103))=1,SUMPRODUCT(--(L$10:L$609&lt;L103))+1,""))</f>
        <v>569</v>
      </c>
      <c r="N103" t="str">
        <f>IFERROR(INDEX(tblY10[Class],ROWS(N$10:N103))&amp;"","")</f>
        <v>10S/Sc4</v>
      </c>
      <c r="O103" t="str">
        <f>IF(N103="","",IF(SUMPRODUCT(--(N$10:N103=N103))=1,SUMPRODUCT(--(N$10:N$609&lt;N103))+1,""))</f>
        <v/>
      </c>
      <c r="P103" t="str">
        <f>IFERROR(INDEX(tblY11[Class],ROWS(P$10:P103))&amp;"","")</f>
        <v>11S/Sc5</v>
      </c>
      <c r="Q103" t="str">
        <f>IF(P103="","",IF(SUMPRODUCT(--(P$10:P103=P103))=1,SUMPRODUCT(--(P$10:P$609&lt;P103))+1,""))</f>
        <v/>
      </c>
      <c r="BA103" t="str">
        <f>IFERROR(INDEX(wLast,34)&amp;"","")</f>
        <v>Jackson</v>
      </c>
      <c r="BB103" t="str">
        <f>IF(BA103="","",IFERROR(INDEX(wFirst,34)&amp;"",""))</f>
        <v>Priya</v>
      </c>
      <c r="BC103" t="str">
        <f>IF(BA103="","",IFERROR(INDEX(wClass,34)&amp;"",""))</f>
        <v>11S/Sc2</v>
      </c>
      <c r="BD103">
        <f>IF(BA103="","",IFERROR(INDEX(wKsBand,34)+0,""))</f>
        <v>6</v>
      </c>
      <c r="BE103">
        <f>IF(BA103="","",IFERROR(INDEX(wTests,34)+0,0))</f>
        <v>6</v>
      </c>
      <c r="BF103">
        <f>IF(BA103="","",IFERROR(INDEX(wMean,34)+0,""))</f>
        <v>5.33333333333333</v>
      </c>
      <c r="BG103">
        <f>IF(BA103="","",IFERROR(INDEX(wVs,34)+0,""))</f>
        <v>-0.368228715728716</v>
      </c>
      <c r="BH103">
        <f>IF(OR(BA103="",wLatest=""),"",IFERROR(INDEX(wData,34,MATCH(wLatest&amp;CHAR(10)&amp;"Stanine",wHdr,0))+0,""))</f>
        <v>6</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IFERROR(INDEX(tblY7[Class],ROWS(H$10:H104))&amp;"","")</f>
        <v>7B/Sc2</v>
      </c>
      <c r="I104" t="str">
        <f>IF(H104="","",IF(SUMPRODUCT(--(H$10:H104=H104))=1,SUMPRODUCT(--(H$10:H$609&lt;H104))+1,""))</f>
        <v/>
      </c>
      <c r="J104" t="str">
        <f>IFERROR(INDEX(tblY8[Class],ROWS(J$10:J104))&amp;"","")</f>
        <v/>
      </c>
      <c r="K104" t="str">
        <f>IF(J104="","",IF(SUMPRODUCT(--(J$10:J104=J104))=1,SUMPRODUCT(--(J$10:J$609&lt;J104))+1,""))</f>
        <v/>
      </c>
      <c r="L104" t="str">
        <f>IFERROR(INDEX(tblY9[Class],ROWS(L$10:L104))&amp;"","")</f>
        <v>9B/Sc2</v>
      </c>
      <c r="M104" t="str">
        <f>IF(L104="","",IF(SUMPRODUCT(--(L$10:L104=L104))=1,SUMPRODUCT(--(L$10:L$609&lt;L104))+1,""))</f>
        <v/>
      </c>
      <c r="N104" t="str">
        <f>IFERROR(INDEX(tblY10[Class],ROWS(N$10:N104))&amp;"","")</f>
        <v>10S/Sc4</v>
      </c>
      <c r="O104" t="str">
        <f>IF(N104="","",IF(SUMPRODUCT(--(N$10:N104=N104))=1,SUMPRODUCT(--(N$10:N$609&lt;N104))+1,""))</f>
        <v/>
      </c>
      <c r="P104" t="str">
        <f>IFERROR(INDEX(tblY11[Class],ROWS(P$10:P104))&amp;"","")</f>
        <v>11S/Sc5</v>
      </c>
      <c r="Q104" t="str">
        <f>IF(P104="","",IF(SUMPRODUCT(--(P$10:P104=P104))=1,SUMPRODUCT(--(P$10:P$609&lt;P104))+1,""))</f>
        <v/>
      </c>
      <c r="BA104" t="str">
        <f>IFERROR(INDEX(wLast,35)&amp;"","")</f>
        <v>Jones</v>
      </c>
      <c r="BB104" t="str">
        <f>IF(BA104="","",IFERROR(INDEX(wFirst,35)&amp;"",""))</f>
        <v>Seren</v>
      </c>
      <c r="BC104" t="str">
        <f>IF(BA104="","",IFERROR(INDEX(wClass,35)&amp;"",""))</f>
        <v>11S/Sc2</v>
      </c>
      <c r="BD104">
        <f>IF(BA104="","",IFERROR(INDEX(wKsBand,35)+0,""))</f>
        <v>6</v>
      </c>
      <c r="BE104">
        <f>IF(BA104="","",IFERROR(INDEX(wTests,35)+0,0))</f>
        <v>6</v>
      </c>
      <c r="BF104">
        <f>IF(BA104="","",IFERROR(INDEX(wMean,35)+0,""))</f>
        <v>6.66666666666667</v>
      </c>
      <c r="BG104">
        <f>IF(BA104="","",IFERROR(INDEX(wVs,35)+0,""))</f>
        <v>0.965104617604618</v>
      </c>
      <c r="BH104">
        <f>IF(OR(BA104="",wLatest=""),"",IFERROR(INDEX(wData,35,MATCH(wLatest&amp;CHAR(10)&amp;"Stanine",wHdr,0))+0,""))</f>
        <v>6</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IFERROR(INDEX(tblY7[Class],ROWS(H$10:H105))&amp;"","")</f>
        <v>7B/Sc2</v>
      </c>
      <c r="I105" t="str">
        <f>IF(H105="","",IF(SUMPRODUCT(--(H$10:H105=H105))=1,SUMPRODUCT(--(H$10:H$609&lt;H105))+1,""))</f>
        <v/>
      </c>
      <c r="J105" t="str">
        <f>IFERROR(INDEX(tblY8[Class],ROWS(J$10:J105))&amp;"","")</f>
        <v/>
      </c>
      <c r="K105" t="str">
        <f>IF(J105="","",IF(SUMPRODUCT(--(J$10:J105=J105))=1,SUMPRODUCT(--(J$10:J$609&lt;J105))+1,""))</f>
        <v/>
      </c>
      <c r="L105" t="str">
        <f>IFERROR(INDEX(tblY9[Class],ROWS(L$10:L105))&amp;"","")</f>
        <v>9B/Sc2</v>
      </c>
      <c r="M105" t="str">
        <f>IF(L105="","",IF(SUMPRODUCT(--(L$10:L105=L105))=1,SUMPRODUCT(--(L$10:L$609&lt;L105))+1,""))</f>
        <v/>
      </c>
      <c r="N105" t="str">
        <f>IFERROR(INDEX(tblY10[Class],ROWS(N$10:N105))&amp;"","")</f>
        <v>10S/Sc4</v>
      </c>
      <c r="O105" t="str">
        <f>IF(N105="","",IF(SUMPRODUCT(--(N$10:N105=N105))=1,SUMPRODUCT(--(N$10:N$609&lt;N105))+1,""))</f>
        <v/>
      </c>
      <c r="P105" t="str">
        <f>IFERROR(INDEX(tblY11[Class],ROWS(P$10:P105))&amp;"","")</f>
        <v>11S/Sc5</v>
      </c>
      <c r="Q105" t="str">
        <f>IF(P105="","",IF(SUMPRODUCT(--(P$10:P105=P105))=1,SUMPRODUCT(--(P$10:P$609&lt;P105))+1,""))</f>
        <v/>
      </c>
      <c r="BA105" t="str">
        <f>IFERROR(INDEX(wLast,36)&amp;"","")</f>
        <v>Kelly</v>
      </c>
      <c r="BB105" t="str">
        <f>IF(BA105="","",IFERROR(INDEX(wFirst,36)&amp;"",""))</f>
        <v>Amara</v>
      </c>
      <c r="BC105" t="str">
        <f>IF(BA105="","",IFERROR(INDEX(wClass,36)&amp;"",""))</f>
        <v>11S/Sc2</v>
      </c>
      <c r="BD105">
        <f>IF(BA105="","",IFERROR(INDEX(wKsBand,36)+0,""))</f>
        <v>7</v>
      </c>
      <c r="BE105">
        <f>IF(BA105="","",IFERROR(INDEX(wTests,36)+0,0))</f>
        <v>6</v>
      </c>
      <c r="BF105">
        <f>IF(BA105="","",IFERROR(INDEX(wMean,36)+0,""))</f>
        <v>7</v>
      </c>
      <c r="BG105">
        <f>IF(BA105="","",IFERROR(INDEX(wVs,36)+0,""))</f>
        <v>0.549574314574315</v>
      </c>
      <c r="BH105">
        <f>IF(OR(BA105="",wLatest=""),"",IFERROR(INDEX(wData,36,MATCH(wLatest&amp;CHAR(10)&amp;"Stanine",wHdr,0))+0,""))</f>
        <v>7</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IFERROR(INDEX(tblY7[Class],ROWS(H$10:H106))&amp;"","")</f>
        <v>7B/Sc2</v>
      </c>
      <c r="I106" t="str">
        <f>IF(H106="","",IF(SUMPRODUCT(--(H$10:H106=H106))=1,SUMPRODUCT(--(H$10:H$609&lt;H106))+1,""))</f>
        <v/>
      </c>
      <c r="J106" t="str">
        <f>IFERROR(INDEX(tblY8[Class],ROWS(J$10:J106))&amp;"","")</f>
        <v/>
      </c>
      <c r="K106" t="str">
        <f>IF(J106="","",IF(SUMPRODUCT(--(J$10:J106=J106))=1,SUMPRODUCT(--(J$10:J$609&lt;J106))+1,""))</f>
        <v/>
      </c>
      <c r="L106" t="str">
        <f>IFERROR(INDEX(tblY9[Class],ROWS(L$10:L106))&amp;"","")</f>
        <v>9B/Sc2</v>
      </c>
      <c r="M106" t="str">
        <f>IF(L106="","",IF(SUMPRODUCT(--(L$10:L106=L106))=1,SUMPRODUCT(--(L$10:L$609&lt;L106))+1,""))</f>
        <v/>
      </c>
      <c r="N106" t="str">
        <f>IFERROR(INDEX(tblY10[Class],ROWS(N$10:N106))&amp;"","")</f>
        <v>10S/Sc4</v>
      </c>
      <c r="O106" t="str">
        <f>IF(N106="","",IF(SUMPRODUCT(--(N$10:N106=N106))=1,SUMPRODUCT(--(N$10:N$609&lt;N106))+1,""))</f>
        <v/>
      </c>
      <c r="P106" t="str">
        <f>IFERROR(INDEX(tblY11[Class],ROWS(P$10:P106))&amp;"","")</f>
        <v>11S/Sc5</v>
      </c>
      <c r="Q106" t="str">
        <f>IF(P106="","",IF(SUMPRODUCT(--(P$10:P106=P106))=1,SUMPRODUCT(--(P$10:P$609&lt;P106))+1,""))</f>
        <v/>
      </c>
      <c r="BA106" t="str">
        <f>IFERROR(INDEX(wLast,37)&amp;"","")</f>
        <v>Kelly</v>
      </c>
      <c r="BB106" t="str">
        <f>IF(BA106="","",IFERROR(INDEX(wFirst,37)&amp;"",""))</f>
        <v>Jacob</v>
      </c>
      <c r="BC106" t="str">
        <f>IF(BA106="","",IFERROR(INDEX(wClass,37)&amp;"",""))</f>
        <v>11S/Sc2</v>
      </c>
      <c r="BD106">
        <f>IF(BA106="","",IFERROR(INDEX(wKsBand,37)+0,""))</f>
        <v>6</v>
      </c>
      <c r="BE106">
        <f>IF(BA106="","",IFERROR(INDEX(wTests,37)+0,0))</f>
        <v>6</v>
      </c>
      <c r="BF106">
        <f>IF(BA106="","",IFERROR(INDEX(wMean,37)+0,""))</f>
        <v>4.16666666666667</v>
      </c>
      <c r="BG106">
        <f>IF(BA106="","",IFERROR(INDEX(wVs,37)+0,""))</f>
        <v>-1.53489538239538</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Below expected for KS2</v>
      </c>
      <c r="BJ106">
        <f>IF(BI106="","",IF(BI106="Below expected for KS2",BG106,100+BF106)+ROW()/1000000)</f>
        <v>-1.53478938239538</v>
      </c>
    </row>
    <row r="107">
      <c r="H107" t="str">
        <f>IFERROR(INDEX(tblY7[Class],ROWS(H$10:H107))&amp;"","")</f>
        <v>7B/Sc2</v>
      </c>
      <c r="I107" t="str">
        <f>IF(H107="","",IF(SUMPRODUCT(--(H$10:H107=H107))=1,SUMPRODUCT(--(H$10:H$609&lt;H107))+1,""))</f>
        <v/>
      </c>
      <c r="J107" t="str">
        <f>IFERROR(INDEX(tblY8[Class],ROWS(J$10:J107))&amp;"","")</f>
        <v/>
      </c>
      <c r="K107" t="str">
        <f>IF(J107="","",IF(SUMPRODUCT(--(J$10:J107=J107))=1,SUMPRODUCT(--(J$10:J$609&lt;J107))+1,""))</f>
        <v/>
      </c>
      <c r="L107" t="str">
        <f>IFERROR(INDEX(tblY9[Class],ROWS(L$10:L107))&amp;"","")</f>
        <v>9B/Sc2</v>
      </c>
      <c r="M107" t="str">
        <f>IF(L107="","",IF(SUMPRODUCT(--(L$10:L107=L107))=1,SUMPRODUCT(--(L$10:L$609&lt;L107))+1,""))</f>
        <v/>
      </c>
      <c r="N107" t="str">
        <f>IFERROR(INDEX(tblY10[Class],ROWS(N$10:N107))&amp;"","")</f>
        <v>10S/Sc4</v>
      </c>
      <c r="O107" t="str">
        <f>IF(N107="","",IF(SUMPRODUCT(--(N$10:N107=N107))=1,SUMPRODUCT(--(N$10:N$609&lt;N107))+1,""))</f>
        <v/>
      </c>
      <c r="P107" t="str">
        <f>IFERROR(INDEX(tblY11[Class],ROWS(P$10:P107))&amp;"","")</f>
        <v>11S/Sc5</v>
      </c>
      <c r="Q107" t="str">
        <f>IF(P107="","",IF(SUMPRODUCT(--(P$10:P107=P107))=1,SUMPRODUCT(--(P$10:P$609&lt;P107))+1,""))</f>
        <v/>
      </c>
      <c r="BA107" t="str">
        <f>IFERROR(INDEX(wLast,38)&amp;"","")</f>
        <v>Kowalski</v>
      </c>
      <c r="BB107" t="str">
        <f>IF(BA107="","",IFERROR(INDEX(wFirst,38)&amp;"",""))</f>
        <v>Lewis</v>
      </c>
      <c r="BC107" t="str">
        <f>IF(BA107="","",IFERROR(INDEX(wClass,38)&amp;"",""))</f>
        <v>11S/Sc2</v>
      </c>
      <c r="BD107">
        <f>IF(BA107="","",IFERROR(INDEX(wKsBand,38)+0,""))</f>
        <v>4</v>
      </c>
      <c r="BE107">
        <f>IF(BA107="","",IFERROR(INDEX(wTests,38)+0,0))</f>
        <v>6</v>
      </c>
      <c r="BF107">
        <f>IF(BA107="","",IFERROR(INDEX(wMean,38)+0,""))</f>
        <v>4</v>
      </c>
      <c r="BG107">
        <f>IF(BA107="","",IFERROR(INDEX(wVs,38)+0,""))</f>
        <v>-0.203834776334776</v>
      </c>
      <c r="BH107">
        <f>IF(OR(BA107="",wLatest=""),"",IFERROR(INDEX(wData,38,MATCH(wLatest&amp;CHAR(10)&amp;"Stanine",wHdr,0))+0,""))</f>
        <v>5</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IFERROR(INDEX(tblY7[Class],ROWS(H$10:H108))&amp;"","")</f>
        <v>7B/Sc2</v>
      </c>
      <c r="I108" t="str">
        <f>IF(H108="","",IF(SUMPRODUCT(--(H$10:H108=H108))=1,SUMPRODUCT(--(H$10:H$609&lt;H108))+1,""))</f>
        <v/>
      </c>
      <c r="J108" t="str">
        <f>IFERROR(INDEX(tblY8[Class],ROWS(J$10:J108))&amp;"","")</f>
        <v/>
      </c>
      <c r="K108" t="str">
        <f>IF(J108="","",IF(SUMPRODUCT(--(J$10:J108=J108))=1,SUMPRODUCT(--(J$10:J$609&lt;J108))+1,""))</f>
        <v/>
      </c>
      <c r="L108" t="str">
        <f>IFERROR(INDEX(tblY9[Class],ROWS(L$10:L108))&amp;"","")</f>
        <v>9B/Sc2</v>
      </c>
      <c r="M108" t="str">
        <f>IF(L108="","",IF(SUMPRODUCT(--(L$10:L108=L108))=1,SUMPRODUCT(--(L$10:L$609&lt;L108))+1,""))</f>
        <v/>
      </c>
      <c r="N108" t="str">
        <f>IFERROR(INDEX(tblY10[Class],ROWS(N$10:N108))&amp;"","")</f>
        <v>10S/Sc4</v>
      </c>
      <c r="O108" t="str">
        <f>IF(N108="","",IF(SUMPRODUCT(--(N$10:N108=N108))=1,SUMPRODUCT(--(N$10:N$609&lt;N108))+1,""))</f>
        <v/>
      </c>
      <c r="P108" t="str">
        <f>IFERROR(INDEX(tblY11[Class],ROWS(P$10:P108))&amp;"","")</f>
        <v>11S/Sc5</v>
      </c>
      <c r="Q108" t="str">
        <f>IF(P108="","",IF(SUMPRODUCT(--(P$10:P108=P108))=1,SUMPRODUCT(--(P$10:P$609&lt;P108))+1,""))</f>
        <v/>
      </c>
      <c r="BA108" t="str">
        <f>IFERROR(INDEX(wLast,39)&amp;"","")</f>
        <v>Morgan</v>
      </c>
      <c r="BB108" t="str">
        <f>IF(BA108="","",IFERROR(INDEX(wFirst,39)&amp;"",""))</f>
        <v>George</v>
      </c>
      <c r="BC108" t="str">
        <f>IF(BA108="","",IFERROR(INDEX(wClass,39)&amp;"",""))</f>
        <v>11S/Sc2</v>
      </c>
      <c r="BD108">
        <f>IF(BA108="","",IFERROR(INDEX(wKsBand,39)+0,""))</f>
        <v>6</v>
      </c>
      <c r="BE108">
        <f>IF(BA108="","",IFERROR(INDEX(wTests,39)+0,0))</f>
        <v>6</v>
      </c>
      <c r="BF108">
        <f>IF(BA108="","",IFERROR(INDEX(wMean,39)+0,""))</f>
        <v>5.33333333333333</v>
      </c>
      <c r="BG108">
        <f>IF(BA108="","",IFERROR(INDEX(wVs,39)+0,""))</f>
        <v>-0.368228715728716</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IFERROR(INDEX(tblY7[Class],ROWS(H$10:H109))&amp;"","")</f>
        <v>7B/Sc2</v>
      </c>
      <c r="I109" t="str">
        <f>IF(H109="","",IF(SUMPRODUCT(--(H$10:H109=H109))=1,SUMPRODUCT(--(H$10:H$609&lt;H109))+1,""))</f>
        <v/>
      </c>
      <c r="J109" t="str">
        <f>IFERROR(INDEX(tblY8[Class],ROWS(J$10:J109))&amp;"","")</f>
        <v/>
      </c>
      <c r="K109" t="str">
        <f>IF(J109="","",IF(SUMPRODUCT(--(J$10:J109=J109))=1,SUMPRODUCT(--(J$10:J$609&lt;J109))+1,""))</f>
        <v/>
      </c>
      <c r="L109" t="str">
        <f>IFERROR(INDEX(tblY9[Class],ROWS(L$10:L109))&amp;"","")</f>
        <v>9B/Sc2</v>
      </c>
      <c r="M109" t="str">
        <f>IF(L109="","",IF(SUMPRODUCT(--(L$10:L109=L109))=1,SUMPRODUCT(--(L$10:L$609&lt;L109))+1,""))</f>
        <v/>
      </c>
      <c r="N109" t="str">
        <f>IFERROR(INDEX(tblY10[Class],ROWS(N$10:N109))&amp;"","")</f>
        <v>10S/Sc4</v>
      </c>
      <c r="O109" t="str">
        <f>IF(N109="","",IF(SUMPRODUCT(--(N$10:N109=N109))=1,SUMPRODUCT(--(N$10:N$609&lt;N109))+1,""))</f>
        <v/>
      </c>
      <c r="P109" t="str">
        <f>IFERROR(INDEX(tblY11[Class],ROWS(P$10:P109))&amp;"","")</f>
        <v>11S/Sc5</v>
      </c>
      <c r="Q109" t="str">
        <f>IF(P109="","",IF(SUMPRODUCT(--(P$10:P109=P109))=1,SUMPRODUCT(--(P$10:P$609&lt;P109))+1,""))</f>
        <v/>
      </c>
      <c r="BA109" t="str">
        <f>IFERROR(INDEX(wLast,40)&amp;"","")</f>
        <v>Morgan</v>
      </c>
      <c r="BB109" t="str">
        <f>IF(BA109="","",IFERROR(INDEX(wFirst,40)&amp;"",""))</f>
        <v>Noah</v>
      </c>
      <c r="BC109" t="str">
        <f>IF(BA109="","",IFERROR(INDEX(wClass,40)&amp;"",""))</f>
        <v>11S/Sc2</v>
      </c>
      <c r="BD109">
        <f>IF(BA109="","",IFERROR(INDEX(wKsBand,40)+0,""))</f>
        <v>4</v>
      </c>
      <c r="BE109">
        <f>IF(BA109="","",IFERROR(INDEX(wTests,40)+0,0))</f>
        <v>6</v>
      </c>
      <c r="BF109">
        <f>IF(BA109="","",IFERROR(INDEX(wMean,40)+0,""))</f>
        <v>4.5</v>
      </c>
      <c r="BG109">
        <f>IF(BA109="","",IFERROR(INDEX(wVs,40)+0,""))</f>
        <v>0.296165223665224</v>
      </c>
      <c r="BH109">
        <f>IF(OR(BA109="",wLatest=""),"",IFERROR(INDEX(wData,40,MATCH(wLatest&amp;CHAR(10)&amp;"Stanine",wHdr,0))+0,""))</f>
        <v>3</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IFERROR(INDEX(tblY7[Class],ROWS(H$10:H110))&amp;"","")</f>
        <v>7B/Sc2</v>
      </c>
      <c r="I110" t="str">
        <f>IF(H110="","",IF(SUMPRODUCT(--(H$10:H110=H110))=1,SUMPRODUCT(--(H$10:H$609&lt;H110))+1,""))</f>
        <v/>
      </c>
      <c r="J110" t="str">
        <f>IFERROR(INDEX(tblY8[Class],ROWS(J$10:J110))&amp;"","")</f>
        <v/>
      </c>
      <c r="K110" t="str">
        <f>IF(J110="","",IF(SUMPRODUCT(--(J$10:J110=J110))=1,SUMPRODUCT(--(J$10:J$609&lt;J110))+1,""))</f>
        <v/>
      </c>
      <c r="L110" t="str">
        <f>IFERROR(INDEX(tblY9[Class],ROWS(L$10:L110))&amp;"","")</f>
        <v>9B/Sc2</v>
      </c>
      <c r="M110" t="str">
        <f>IF(L110="","",IF(SUMPRODUCT(--(L$10:L110=L110))=1,SUMPRODUCT(--(L$10:L$609&lt;L110))+1,""))</f>
        <v/>
      </c>
      <c r="N110" t="str">
        <f>IFERROR(INDEX(tblY10[Class],ROWS(N$10:N110))&amp;"","")</f>
        <v>10S/Sc4</v>
      </c>
      <c r="O110" t="str">
        <f>IF(N110="","",IF(SUMPRODUCT(--(N$10:N110=N110))=1,SUMPRODUCT(--(N$10:N$609&lt;N110))+1,""))</f>
        <v/>
      </c>
      <c r="P110" t="str">
        <f>IFERROR(INDEX(tblY11[Class],ROWS(P$10:P110))&amp;"","")</f>
        <v>11S/Sc5</v>
      </c>
      <c r="Q110" t="str">
        <f>IF(P110="","",IF(SUMPRODUCT(--(P$10:P110=P110))=1,SUMPRODUCT(--(P$10:P$609&lt;P110))+1,""))</f>
        <v/>
      </c>
      <c r="BA110" t="str">
        <f>IFERROR(INDEX(wLast,41)&amp;"","")</f>
        <v>Murphy</v>
      </c>
      <c r="BB110" t="str">
        <f>IF(BA110="","",IFERROR(INDEX(wFirst,41)&amp;"",""))</f>
        <v>Ella</v>
      </c>
      <c r="BC110" t="str">
        <f>IF(BA110="","",IFERROR(INDEX(wClass,41)&amp;"",""))</f>
        <v>11S/Sc2</v>
      </c>
      <c r="BD110">
        <f>IF(BA110="","",IFERROR(INDEX(wKsBand,41)+0,""))</f>
        <v>6</v>
      </c>
      <c r="BE110">
        <f>IF(BA110="","",IFERROR(INDEX(wTests,41)+0,0))</f>
        <v>5</v>
      </c>
      <c r="BF110">
        <f>IF(BA110="","",IFERROR(INDEX(wMean,41)+0,""))</f>
        <v>4</v>
      </c>
      <c r="BG110">
        <f>IF(BA110="","",IFERROR(INDEX(wVs,41)+0,""))</f>
        <v>-1.70156204906205</v>
      </c>
      <c r="BH110">
        <f>IF(OR(BA110="",wLatest=""),"",IFERROR(INDEX(wData,41,MATCH(wLatest&amp;CHAR(10)&amp;"Stanine",wHdr,0))+0,""))</f>
        <v>4</v>
      </c>
      <c r="BI110" t="str">
        <f>IF(BA110="","",IF(AND(ISNUMBER(BG110),N(BE110)&gt;=WlMinTests,BG110&lt;=-WlGap),"Below expected for KS2",IF(AND(NOT(ISNUMBER(BD110)),ISNUMBER(BF110),N(BE110)&gt;=WlMinTests,BF110&lt;=WlLowMean),"Low results, no KS2 data","")))</f>
        <v>Below expected for KS2</v>
      </c>
      <c r="BJ110">
        <f>IF(BI110="","",IF(BI110="Below expected for KS2",BG110,100+BF110)+ROW()/1000000)</f>
        <v>-1.70145204906205</v>
      </c>
    </row>
    <row r="111">
      <c r="H111" t="str">
        <f>IFERROR(INDEX(tblY7[Class],ROWS(H$10:H111))&amp;"","")</f>
        <v>7B/Sc2</v>
      </c>
      <c r="I111" t="str">
        <f>IF(H111="","",IF(SUMPRODUCT(--(H$10:H111=H111))=1,SUMPRODUCT(--(H$10:H$609&lt;H111))+1,""))</f>
        <v/>
      </c>
      <c r="J111" t="str">
        <f>IFERROR(INDEX(tblY8[Class],ROWS(J$10:J111))&amp;"","")</f>
        <v/>
      </c>
      <c r="K111" t="str">
        <f>IF(J111="","",IF(SUMPRODUCT(--(J$10:J111=J111))=1,SUMPRODUCT(--(J$10:J$609&lt;J111))+1,""))</f>
        <v/>
      </c>
      <c r="L111" t="str">
        <f>IFERROR(INDEX(tblY9[Class],ROWS(L$10:L111))&amp;"","")</f>
        <v>9B/Sc2</v>
      </c>
      <c r="M111" t="str">
        <f>IF(L111="","",IF(SUMPRODUCT(--(L$10:L111=L111))=1,SUMPRODUCT(--(L$10:L$609&lt;L111))+1,""))</f>
        <v/>
      </c>
      <c r="N111" t="str">
        <f>IFERROR(INDEX(tblY10[Class],ROWS(N$10:N111))&amp;"","")</f>
        <v>10S/Sc4</v>
      </c>
      <c r="O111" t="str">
        <f>IF(N111="","",IF(SUMPRODUCT(--(N$10:N111=N111))=1,SUMPRODUCT(--(N$10:N$609&lt;N111))+1,""))</f>
        <v/>
      </c>
      <c r="P111" t="str">
        <f>IFERROR(INDEX(tblY11[Class],ROWS(P$10:P111))&amp;"","")</f>
        <v>Science Support</v>
      </c>
      <c r="Q111">
        <f>IF(P111="","",IF(SUMPRODUCT(--(P$10:P111=P111))=1,SUMPRODUCT(--(P$10:P$609&lt;P111))+1,""))</f>
        <v>596</v>
      </c>
      <c r="BA111" t="str">
        <f>IFERROR(INDEX(wLast,42)&amp;"","")</f>
        <v>Nowak</v>
      </c>
      <c r="BB111" t="str">
        <f>IF(BA111="","",IFERROR(INDEX(wFirst,42)&amp;"",""))</f>
        <v>Megan</v>
      </c>
      <c r="BC111" t="str">
        <f>IF(BA111="","",IFERROR(INDEX(wClass,42)&amp;"",""))</f>
        <v>11S/Sc2</v>
      </c>
      <c r="BD111">
        <f>IF(BA111="","",IFERROR(INDEX(wKsBand,42)+0,""))</f>
        <v>7</v>
      </c>
      <c r="BE111">
        <f>IF(BA111="","",IFERROR(INDEX(wTests,42)+0,0))</f>
        <v>5</v>
      </c>
      <c r="BF111">
        <f>IF(BA111="","",IFERROR(INDEX(wMean,42)+0,""))</f>
        <v>6.2</v>
      </c>
      <c r="BG111">
        <f>IF(BA111="","",IFERROR(INDEX(wVs,42)+0,""))</f>
        <v>-0.250425685425685</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IFERROR(INDEX(tblY7[Class],ROWS(H$10:H112))&amp;"","")</f>
        <v>7B/Sc2</v>
      </c>
      <c r="I112" t="str">
        <f>IF(H112="","",IF(SUMPRODUCT(--(H$10:H112=H112))=1,SUMPRODUCT(--(H$10:H$609&lt;H112))+1,""))</f>
        <v/>
      </c>
      <c r="J112" t="str">
        <f>IFERROR(INDEX(tblY8[Class],ROWS(J$10:J112))&amp;"","")</f>
        <v/>
      </c>
      <c r="K112" t="str">
        <f>IF(J112="","",IF(SUMPRODUCT(--(J$10:J112=J112))=1,SUMPRODUCT(--(J$10:J$609&lt;J112))+1,""))</f>
        <v/>
      </c>
      <c r="L112" t="str">
        <f>IFERROR(INDEX(tblY9[Class],ROWS(L$10:L112))&amp;"","")</f>
        <v>9B/Sc2</v>
      </c>
      <c r="M112" t="str">
        <f>IF(L112="","",IF(SUMPRODUCT(--(L$10:L112=L112))=1,SUMPRODUCT(--(L$10:L$609&lt;L112))+1,""))</f>
        <v/>
      </c>
      <c r="N112" t="str">
        <f>IFERROR(INDEX(tblY10[Class],ROWS(N$10:N112))&amp;"","")</f>
        <v>10S/Sc5</v>
      </c>
      <c r="O112">
        <f>IF(N112="","",IF(SUMPRODUCT(--(N$10:N112=N112))=1,SUMPRODUCT(--(N$10:N$609&lt;N112))+1,""))</f>
        <v>586</v>
      </c>
      <c r="P112" t="str">
        <f>IFERROR(INDEX(tblY11[Class],ROWS(P$10:P112))&amp;"","")</f>
        <v>Science Support</v>
      </c>
      <c r="Q112" t="str">
        <f>IF(P112="","",IF(SUMPRODUCT(--(P$10:P112=P112))=1,SUMPRODUCT(--(P$10:P$609&lt;P112))+1,""))</f>
        <v/>
      </c>
      <c r="BA112" t="str">
        <f>IFERROR(INDEX(wLast,43)&amp;"","")</f>
        <v>Parker</v>
      </c>
      <c r="BB112" t="str">
        <f>IF(BA112="","",IFERROR(INDEX(wFirst,43)&amp;"",""))</f>
        <v>Lily</v>
      </c>
      <c r="BC112" t="str">
        <f>IF(BA112="","",IFERROR(INDEX(wClass,43)&amp;"",""))</f>
        <v>11S/Sc2</v>
      </c>
      <c r="BD112">
        <f>IF(BA112="","",IFERROR(INDEX(wKsBand,43)+0,""))</f>
        <v>7</v>
      </c>
      <c r="BE112">
        <f>IF(BA112="","",IFERROR(INDEX(wTests,43)+0,0))</f>
        <v>6</v>
      </c>
      <c r="BF112">
        <f>IF(BA112="","",IFERROR(INDEX(wMean,43)+0,""))</f>
        <v>6.33333333333333</v>
      </c>
      <c r="BG112">
        <f>IF(BA112="","",IFERROR(INDEX(wVs,43)+0,""))</f>
        <v>-0.117092352092352</v>
      </c>
      <c r="BH112">
        <f>IF(OR(BA112="",wLatest=""),"",IFERROR(INDEX(wData,43,MATCH(wLatest&amp;CHAR(10)&amp;"Stanine",wHdr,0))+0,""))</f>
        <v>5</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IFERROR(INDEX(tblY7[Class],ROWS(H$10:H113))&amp;"","")</f>
        <v>7B/Sc2</v>
      </c>
      <c r="I113" t="str">
        <f>IF(H113="","",IF(SUMPRODUCT(--(H$10:H113=H113))=1,SUMPRODUCT(--(H$10:H$609&lt;H113))+1,""))</f>
        <v/>
      </c>
      <c r="J113" t="str">
        <f>IFERROR(INDEX(tblY8[Class],ROWS(J$10:J113))&amp;"","")</f>
        <v/>
      </c>
      <c r="K113" t="str">
        <f>IF(J113="","",IF(SUMPRODUCT(--(J$10:J113=J113))=1,SUMPRODUCT(--(J$10:J$609&lt;J113))+1,""))</f>
        <v/>
      </c>
      <c r="L113" t="str">
        <f>IFERROR(INDEX(tblY9[Class],ROWS(L$10:L113))&amp;"","")</f>
        <v>9B/Sc2</v>
      </c>
      <c r="M113" t="str">
        <f>IF(L113="","",IF(SUMPRODUCT(--(L$10:L113=L113))=1,SUMPRODUCT(--(L$10:L$609&lt;L113))+1,""))</f>
        <v/>
      </c>
      <c r="N113" t="str">
        <f>IFERROR(INDEX(tblY10[Class],ROWS(N$10:N113))&amp;"","")</f>
        <v>10S/Sc5</v>
      </c>
      <c r="O113" t="str">
        <f>IF(N113="","",IF(SUMPRODUCT(--(N$10:N113=N113))=1,SUMPRODUCT(--(N$10:N$609&lt;N113))+1,""))</f>
        <v/>
      </c>
      <c r="P113" t="str">
        <f>IFERROR(INDEX(tblY11[Class],ROWS(P$10:P113))&amp;"","")</f>
        <v>Science Support</v>
      </c>
      <c r="Q113" t="str">
        <f>IF(P113="","",IF(SUMPRODUCT(--(P$10:P113=P113))=1,SUMPRODUCT(--(P$10:P$609&lt;P113))+1,""))</f>
        <v/>
      </c>
      <c r="BA113" t="str">
        <f>IFERROR(INDEX(wLast,44)&amp;"","")</f>
        <v>Pearson</v>
      </c>
      <c r="BB113" t="str">
        <f>IF(BA113="","",IFERROR(INDEX(wFirst,44)&amp;"",""))</f>
        <v>Ivy</v>
      </c>
      <c r="BC113" t="str">
        <f>IF(BA113="","",IFERROR(INDEX(wClass,44)&amp;"",""))</f>
        <v>11S/Sc2</v>
      </c>
      <c r="BD113">
        <f>IF(BA113="","",IFERROR(INDEX(wKsBand,44)+0,""))</f>
        <v>3</v>
      </c>
      <c r="BE113">
        <f>IF(BA113="","",IFERROR(INDEX(wTests,44)+0,0))</f>
        <v>6</v>
      </c>
      <c r="BF113">
        <f>IF(BA113="","",IFERROR(INDEX(wMean,44)+0,""))</f>
        <v>3.16666666666667</v>
      </c>
      <c r="BG113">
        <f>IF(BA113="","",IFERROR(INDEX(wVs,44)+0,""))</f>
        <v>-0.288304473304473</v>
      </c>
      <c r="BH113">
        <f>IF(OR(BA113="",wLatest=""),"",IFERROR(INDEX(wData,44,MATCH(wLatest&amp;CHAR(10)&amp;"Stanine",wHdr,0))+0,""))</f>
        <v>3</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IFERROR(INDEX(tblY7[Class],ROWS(H$10:H114))&amp;"","")</f>
        <v>7B/Sc2</v>
      </c>
      <c r="I114" t="str">
        <f>IF(H114="","",IF(SUMPRODUCT(--(H$10:H114=H114))=1,SUMPRODUCT(--(H$10:H$609&lt;H114))+1,""))</f>
        <v/>
      </c>
      <c r="J114" t="str">
        <f>IFERROR(INDEX(tblY8[Class],ROWS(J$10:J114))&amp;"","")</f>
        <v/>
      </c>
      <c r="K114" t="str">
        <f>IF(J114="","",IF(SUMPRODUCT(--(J$10:J114=J114))=1,SUMPRODUCT(--(J$10:J$609&lt;J114))+1,""))</f>
        <v/>
      </c>
      <c r="L114" t="str">
        <f>IFERROR(INDEX(tblY9[Class],ROWS(L$10:L114))&amp;"","")</f>
        <v>9B/Sc2</v>
      </c>
      <c r="M114" t="str">
        <f>IF(L114="","",IF(SUMPRODUCT(--(L$10:L114=L114))=1,SUMPRODUCT(--(L$10:L$609&lt;L114))+1,""))</f>
        <v/>
      </c>
      <c r="N114" t="str">
        <f>IFERROR(INDEX(tblY10[Class],ROWS(N$10:N114))&amp;"","")</f>
        <v>10S/Sc5</v>
      </c>
      <c r="O114" t="str">
        <f>IF(N114="","",IF(SUMPRODUCT(--(N$10:N114=N114))=1,SUMPRODUCT(--(N$10:N$609&lt;N114))+1,""))</f>
        <v/>
      </c>
      <c r="P114" t="str">
        <f>IFERROR(INDEX(tblY11[Class],ROWS(P$10:P114))&amp;"","")</f>
        <v>Science Support</v>
      </c>
      <c r="Q114" t="str">
        <f>IF(P114="","",IF(SUMPRODUCT(--(P$10:P114=P114))=1,SUMPRODUCT(--(P$10:P$609&lt;P114))+1,""))</f>
        <v/>
      </c>
      <c r="BA114" t="str">
        <f>IFERROR(INDEX(wLast,45)&amp;"","")</f>
        <v>Price</v>
      </c>
      <c r="BB114" t="str">
        <f>IF(BA114="","",IFERROR(INDEX(wFirst,45)&amp;"",""))</f>
        <v>Oliver</v>
      </c>
      <c r="BC114" t="str">
        <f>IF(BA114="","",IFERROR(INDEX(wClass,45)&amp;"",""))</f>
        <v>11S/Sc2</v>
      </c>
      <c r="BD114">
        <f>IF(BA114="","",IFERROR(INDEX(wKsBand,45)+0,""))</f>
        <v>8</v>
      </c>
      <c r="BE114">
        <f>IF(BA114="","",IFERROR(INDEX(wTests,45)+0,0))</f>
        <v>6</v>
      </c>
      <c r="BF114">
        <f>IF(BA114="","",IFERROR(INDEX(wMean,45)+0,""))</f>
        <v>4.83333333333333</v>
      </c>
      <c r="BG114">
        <f>IF(BA114="","",IFERROR(INDEX(wVs,45)+0,""))</f>
        <v>-2.36595598845599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Below expected for KS2</v>
      </c>
      <c r="BJ114">
        <f>IF(BI114="","",IF(BI114="Below expected for KS2",BG114,100+BF114)+ROW()/1000000)</f>
        <v>-2.36584198845599</v>
      </c>
    </row>
    <row r="115">
      <c r="H115" t="str">
        <f>IFERROR(INDEX(tblY7[Class],ROWS(H$10:H115))&amp;"","")</f>
        <v>7B/Sc2</v>
      </c>
      <c r="I115" t="str">
        <f>IF(H115="","",IF(SUMPRODUCT(--(H$10:H115=H115))=1,SUMPRODUCT(--(H$10:H$609&lt;H115))+1,""))</f>
        <v/>
      </c>
      <c r="J115" t="str">
        <f>IFERROR(INDEX(tblY8[Class],ROWS(J$10:J115))&amp;"","")</f>
        <v/>
      </c>
      <c r="K115" t="str">
        <f>IF(J115="","",IF(SUMPRODUCT(--(J$10:J115=J115))=1,SUMPRODUCT(--(J$10:J$609&lt;J115))+1,""))</f>
        <v/>
      </c>
      <c r="L115" t="str">
        <f>IFERROR(INDEX(tblY9[Class],ROWS(L$10:L115))&amp;"","")</f>
        <v>9B/Sc2</v>
      </c>
      <c r="M115" t="str">
        <f>IF(L115="","",IF(SUMPRODUCT(--(L$10:L115=L115))=1,SUMPRODUCT(--(L$10:L$609&lt;L115))+1,""))</f>
        <v/>
      </c>
      <c r="N115" t="str">
        <f>IFERROR(INDEX(tblY10[Class],ROWS(N$10:N115))&amp;"","")</f>
        <v>10S/Sc5</v>
      </c>
      <c r="O115" t="str">
        <f>IF(N115="","",IF(SUMPRODUCT(--(N$10:N115=N115))=1,SUMPRODUCT(--(N$10:N$609&lt;N115))+1,""))</f>
        <v/>
      </c>
      <c r="P115" t="str">
        <f>IFERROR(INDEX(tblY11[Class],ROWS(P$10:P115))&amp;"","")</f>
        <v>Science Support</v>
      </c>
      <c r="Q115" t="str">
        <f>IF(P115="","",IF(SUMPRODUCT(--(P$10:P115=P115))=1,SUMPRODUCT(--(P$10:P$609&lt;P115))+1,""))</f>
        <v/>
      </c>
      <c r="BA115" t="str">
        <f>IFERROR(INDEX(wLast,46)&amp;"","")</f>
        <v>Shaw</v>
      </c>
      <c r="BB115" t="str">
        <f>IF(BA115="","",IFERROR(INDEX(wFirst,46)&amp;"",""))</f>
        <v>Arjun</v>
      </c>
      <c r="BC115" t="str">
        <f>IF(BA115="","",IFERROR(INDEX(wClass,46)&amp;"",""))</f>
        <v>11S/Sc2</v>
      </c>
      <c r="BD115">
        <f>IF(BA115="","",IFERROR(INDEX(wKsBand,46)+0,""))</f>
        <v>6</v>
      </c>
      <c r="BE115">
        <f>IF(BA115="","",IFERROR(INDEX(wTests,46)+0,0))</f>
        <v>6</v>
      </c>
      <c r="BF115">
        <f>IF(BA115="","",IFERROR(INDEX(wMean,46)+0,""))</f>
        <v>5.83333333333333</v>
      </c>
      <c r="BG115">
        <f>IF(BA115="","",IFERROR(INDEX(wVs,46)+0,""))</f>
        <v>0.131771284271284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IFERROR(INDEX(tblY7[Class],ROWS(H$10:H116))&amp;"","")</f>
        <v>7B/Sc2</v>
      </c>
      <c r="I116" t="str">
        <f>IF(H116="","",IF(SUMPRODUCT(--(H$10:H116=H116))=1,SUMPRODUCT(--(H$10:H$609&lt;H116))+1,""))</f>
        <v/>
      </c>
      <c r="J116" t="str">
        <f>IFERROR(INDEX(tblY8[Class],ROWS(J$10:J116))&amp;"","")</f>
        <v/>
      </c>
      <c r="K116" t="str">
        <f>IF(J116="","",IF(SUMPRODUCT(--(J$10:J116=J116))=1,SUMPRODUCT(--(J$10:J$609&lt;J116))+1,""))</f>
        <v/>
      </c>
      <c r="L116" t="str">
        <f>IFERROR(INDEX(tblY9[Class],ROWS(L$10:L116))&amp;"","")</f>
        <v>9B/Sc2</v>
      </c>
      <c r="M116" t="str">
        <f>IF(L116="","",IF(SUMPRODUCT(--(L$10:L116=L116))=1,SUMPRODUCT(--(L$10:L$609&lt;L116))+1,""))</f>
        <v/>
      </c>
      <c r="N116" t="str">
        <f>IFERROR(INDEX(tblY10[Class],ROWS(N$10:N116))&amp;"","")</f>
        <v>10S/Sc5</v>
      </c>
      <c r="O116" t="str">
        <f>IF(N116="","",IF(SUMPRODUCT(--(N$10:N116=N116))=1,SUMPRODUCT(--(N$10:N$609&lt;N116))+1,""))</f>
        <v/>
      </c>
      <c r="P116" t="str">
        <f>IFERROR(INDEX(tblY11[Class],ROWS(P$10:P116))&amp;"","")</f>
        <v/>
      </c>
      <c r="Q116" t="str">
        <f>IF(P116="","",IF(SUMPRODUCT(--(P$10:P116=P116))=1,SUMPRODUCT(--(P$10:P$609&lt;P116))+1,""))</f>
        <v/>
      </c>
      <c r="BA116" t="str">
        <f>IFERROR(INDEX(wLast,47)&amp;"","")</f>
        <v>Taylor</v>
      </c>
      <c r="BB116" t="str">
        <f>IF(BA116="","",IFERROR(INDEX(wFirst,47)&amp;"",""))</f>
        <v>Maya</v>
      </c>
      <c r="BC116" t="str">
        <f>IF(BA116="","",IFERROR(INDEX(wClass,47)&amp;"",""))</f>
        <v>11S/Sc2</v>
      </c>
      <c r="BD116">
        <f>IF(BA116="","",IFERROR(INDEX(wKsBand,47)+0,""))</f>
        <v>8</v>
      </c>
      <c r="BE116">
        <f>IF(BA116="","",IFERROR(INDEX(wTests,47)+0,0))</f>
        <v>6</v>
      </c>
      <c r="BF116">
        <f>IF(BA116="","",IFERROR(INDEX(wMean,47)+0,""))</f>
        <v>8.33333333333333</v>
      </c>
      <c r="BG116">
        <f>IF(BA116="","",IFERROR(INDEX(wVs,47)+0,""))</f>
        <v>1.13404401154401</v>
      </c>
      <c r="BH116">
        <f>IF(OR(BA116="",wLatest=""),"",IFERROR(INDEX(wData,47,MATCH(wLatest&amp;CHAR(10)&amp;"Stanine",wHdr,0))+0,""))</f>
        <v>9</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IFERROR(INDEX(tblY7[Class],ROWS(H$10:H117))&amp;"","")</f>
        <v>7B/Sc2</v>
      </c>
      <c r="I117" t="str">
        <f>IF(H117="","",IF(SUMPRODUCT(--(H$10:H117=H117))=1,SUMPRODUCT(--(H$10:H$609&lt;H117))+1,""))</f>
        <v/>
      </c>
      <c r="J117" t="str">
        <f>IFERROR(INDEX(tblY8[Class],ROWS(J$10:J117))&amp;"","")</f>
        <v/>
      </c>
      <c r="K117" t="str">
        <f>IF(J117="","",IF(SUMPRODUCT(--(J$10:J117=J117))=1,SUMPRODUCT(--(J$10:J$609&lt;J117))+1,""))</f>
        <v/>
      </c>
      <c r="L117" t="str">
        <f>IFERROR(INDEX(tblY9[Class],ROWS(L$10:L117))&amp;"","")</f>
        <v>9B/Sc2</v>
      </c>
      <c r="M117" t="str">
        <f>IF(L117="","",IF(SUMPRODUCT(--(L$10:L117=L117))=1,SUMPRODUCT(--(L$10:L$609&lt;L117))+1,""))</f>
        <v/>
      </c>
      <c r="N117" t="str">
        <f>IFERROR(INDEX(tblY10[Class],ROWS(N$10:N117))&amp;"","")</f>
        <v>10S/Sc5</v>
      </c>
      <c r="O117" t="str">
        <f>IF(N117="","",IF(SUMPRODUCT(--(N$10:N117=N117))=1,SUMPRODUCT(--(N$10:N$609&lt;N117))+1,""))</f>
        <v/>
      </c>
      <c r="P117" t="str">
        <f>IFERROR(INDEX(tblY11[Class],ROWS(P$10:P117))&amp;"","")</f>
        <v/>
      </c>
      <c r="Q117" t="str">
        <f>IF(P117="","",IF(SUMPRODUCT(--(P$10:P117=P117))=1,SUMPRODUCT(--(P$10:P$609&lt;P117))+1,""))</f>
        <v/>
      </c>
      <c r="BA117" t="str">
        <f>IFERROR(INDEX(wLast,48)&amp;"","")</f>
        <v>Thompson</v>
      </c>
      <c r="BB117" t="str">
        <f>IF(BA117="","",IFERROR(INDEX(wFirst,48)&amp;"",""))</f>
        <v>Kai</v>
      </c>
      <c r="BC117" t="str">
        <f>IF(BA117="","",IFERROR(INDEX(wClass,48)&amp;"",""))</f>
        <v>11S/Sc2</v>
      </c>
      <c r="BD117">
        <f>IF(BA117="","",IFERROR(INDEX(wKsBand,48)+0,""))</f>
        <v>4</v>
      </c>
      <c r="BE117">
        <f>IF(BA117="","",IFERROR(INDEX(wTests,48)+0,0))</f>
        <v>6</v>
      </c>
      <c r="BF117">
        <f>IF(BA117="","",IFERROR(INDEX(wMean,48)+0,""))</f>
        <v>5.66666666666667</v>
      </c>
      <c r="BG117">
        <f>IF(BA117="","",IFERROR(INDEX(wVs,48)+0,""))</f>
        <v>1.46283189033189</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IFERROR(INDEX(tblY7[Class],ROWS(H$10:H118))&amp;"","")</f>
        <v>7B/Sc2</v>
      </c>
      <c r="I118" t="str">
        <f>IF(H118="","",IF(SUMPRODUCT(--(H$10:H118=H118))=1,SUMPRODUCT(--(H$10:H$609&lt;H118))+1,""))</f>
        <v/>
      </c>
      <c r="J118" t="str">
        <f>IFERROR(INDEX(tblY8[Class],ROWS(J$10:J118))&amp;"","")</f>
        <v/>
      </c>
      <c r="K118" t="str">
        <f>IF(J118="","",IF(SUMPRODUCT(--(J$10:J118=J118))=1,SUMPRODUCT(--(J$10:J$609&lt;J118))+1,""))</f>
        <v/>
      </c>
      <c r="L118" t="str">
        <f>IFERROR(INDEX(tblY9[Class],ROWS(L$10:L118))&amp;"","")</f>
        <v>9B/Sc2</v>
      </c>
      <c r="M118" t="str">
        <f>IF(L118="","",IF(SUMPRODUCT(--(L$10:L118=L118))=1,SUMPRODUCT(--(L$10:L$609&lt;L118))+1,""))</f>
        <v/>
      </c>
      <c r="N118" t="str">
        <f>IFERROR(INDEX(tblY10[Class],ROWS(N$10:N118))&amp;"","")</f>
        <v>10S/Sc5</v>
      </c>
      <c r="O118" t="str">
        <f>IF(N118="","",IF(SUMPRODUCT(--(N$10:N118=N118))=1,SUMPRODUCT(--(N$10:N$609&lt;N118))+1,""))</f>
        <v/>
      </c>
      <c r="P118" t="str">
        <f>IFERROR(INDEX(tblY11[Class],ROWS(P$10:P118))&amp;"","")</f>
        <v/>
      </c>
      <c r="Q118" t="str">
        <f>IF(P118="","",IF(SUMPRODUCT(--(P$10:P118=P118))=1,SUMPRODUCT(--(P$10:P$609&lt;P118))+1,""))</f>
        <v/>
      </c>
      <c r="BA118" t="str">
        <f>IFERROR(INDEX(wLast,49)&amp;"","")</f>
        <v>Walker</v>
      </c>
      <c r="BB118" t="str">
        <f>IF(BA118="","",IFERROR(INDEX(wFirst,49)&amp;"",""))</f>
        <v>Finley</v>
      </c>
      <c r="BC118" t="str">
        <f>IF(BA118="","",IFERROR(INDEX(wClass,49)&amp;"",""))</f>
        <v>11S/Sc2</v>
      </c>
      <c r="BD118">
        <f>IF(BA118="","",IFERROR(INDEX(wKsBand,49)+0,""))</f>
        <v>4</v>
      </c>
      <c r="BE118">
        <f>IF(BA118="","",IFERROR(INDEX(wTests,49)+0,0))</f>
        <v>5</v>
      </c>
      <c r="BF118">
        <f>IF(BA118="","",IFERROR(INDEX(wMean,49)+0,""))</f>
        <v>3.4</v>
      </c>
      <c r="BG118">
        <f>IF(BA118="","",IFERROR(INDEX(wVs,49)+0,""))</f>
        <v>-0.803834776334776</v>
      </c>
      <c r="BH118">
        <f>IF(OR(BA118="",wLatest=""),"",IFERROR(INDEX(wData,49,MATCH(wLatest&amp;CHAR(10)&amp;"Stanine",wHdr,0))+0,""))</f>
        <v>4</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IFERROR(INDEX(tblY7[Class],ROWS(H$10:H119))&amp;"","")</f>
        <v>7B/Sc2</v>
      </c>
      <c r="I119" t="str">
        <f>IF(H119="","",IF(SUMPRODUCT(--(H$10:H119=H119))=1,SUMPRODUCT(--(H$10:H$609&lt;H119))+1,""))</f>
        <v/>
      </c>
      <c r="J119" t="str">
        <f>IFERROR(INDEX(tblY8[Class],ROWS(J$10:J119))&amp;"","")</f>
        <v/>
      </c>
      <c r="K119" t="str">
        <f>IF(J119="","",IF(SUMPRODUCT(--(J$10:J119=J119))=1,SUMPRODUCT(--(J$10:J$609&lt;J119))+1,""))</f>
        <v/>
      </c>
      <c r="L119" t="str">
        <f>IFERROR(INDEX(tblY9[Class],ROWS(L$10:L119))&amp;"","")</f>
        <v>9B/Sc2</v>
      </c>
      <c r="M119" t="str">
        <f>IF(L119="","",IF(SUMPRODUCT(--(L$10:L119=L119))=1,SUMPRODUCT(--(L$10:L$609&lt;L119))+1,""))</f>
        <v/>
      </c>
      <c r="N119" t="str">
        <f>IFERROR(INDEX(tblY10[Class],ROWS(N$10:N119))&amp;"","")</f>
        <v>10S/Sc5</v>
      </c>
      <c r="O119" t="str">
        <f>IF(N119="","",IF(SUMPRODUCT(--(N$10:N119=N119))=1,SUMPRODUCT(--(N$10:N$609&lt;N119))+1,""))</f>
        <v/>
      </c>
      <c r="P119" t="str">
        <f>IFERROR(INDEX(tblY11[Class],ROWS(P$10:P119))&amp;"","")</f>
        <v/>
      </c>
      <c r="Q119" t="str">
        <f>IF(P119="","",IF(SUMPRODUCT(--(P$10:P119=P119))=1,SUMPRODUCT(--(P$10:P$609&lt;P119))+1,""))</f>
        <v/>
      </c>
      <c r="BA119" t="str">
        <f>IFERROR(INDEX(wLast,50)&amp;"","")</f>
        <v>Walker</v>
      </c>
      <c r="BB119" t="str">
        <f>IF(BA119="","",IFERROR(INDEX(wFirst,50)&amp;"",""))</f>
        <v>Leo</v>
      </c>
      <c r="BC119" t="str">
        <f>IF(BA119="","",IFERROR(INDEX(wClass,50)&amp;"",""))</f>
        <v>11S/Sc2</v>
      </c>
      <c r="BD119">
        <f>IF(BA119="","",IFERROR(INDEX(wKsBand,50)+0,""))</f>
        <v>6</v>
      </c>
      <c r="BE119">
        <f>IF(BA119="","",IFERROR(INDEX(wTests,50)+0,0))</f>
        <v>6</v>
      </c>
      <c r="BF119">
        <f>IF(BA119="","",IFERROR(INDEX(wMean,50)+0,""))</f>
        <v>4.83333333333333</v>
      </c>
      <c r="BG119">
        <f>IF(BA119="","",IFERROR(INDEX(wVs,50)+0,""))</f>
        <v>-0.868228715728716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IFERROR(INDEX(tblY7[Class],ROWS(H$10:H120))&amp;"","")</f>
        <v>7B/Sc2</v>
      </c>
      <c r="I120" t="str">
        <f>IF(H120="","",IF(SUMPRODUCT(--(H$10:H120=H120))=1,SUMPRODUCT(--(H$10:H$609&lt;H120))+1,""))</f>
        <v/>
      </c>
      <c r="J120" t="str">
        <f>IFERROR(INDEX(tblY8[Class],ROWS(J$10:J120))&amp;"","")</f>
        <v/>
      </c>
      <c r="K120" t="str">
        <f>IF(J120="","",IF(SUMPRODUCT(--(J$10:J120=J120))=1,SUMPRODUCT(--(J$10:J$609&lt;J120))+1,""))</f>
        <v/>
      </c>
      <c r="L120" t="str">
        <f>IFERROR(INDEX(tblY9[Class],ROWS(L$10:L120))&amp;"","")</f>
        <v>9B/Sc2</v>
      </c>
      <c r="M120" t="str">
        <f>IF(L120="","",IF(SUMPRODUCT(--(L$10:L120=L120))=1,SUMPRODUCT(--(L$10:L$609&lt;L120))+1,""))</f>
        <v/>
      </c>
      <c r="N120" t="str">
        <f>IFERROR(INDEX(tblY10[Class],ROWS(N$10:N120))&amp;"","")</f>
        <v>10S/Sc5</v>
      </c>
      <c r="O120" t="str">
        <f>IF(N120="","",IF(SUMPRODUCT(--(N$10:N120=N120))=1,SUMPRODUCT(--(N$10:N$609&lt;N120))+1,""))</f>
        <v/>
      </c>
      <c r="P120" t="str">
        <f>IFERROR(INDEX(tblY11[Class],ROWS(P$10:P120))&amp;"","")</f>
        <v/>
      </c>
      <c r="Q120" t="str">
        <f>IF(P120="","",IF(SUMPRODUCT(--(P$10:P120=P120))=1,SUMPRODUCT(--(P$10:P$609&lt;P120))+1,""))</f>
        <v/>
      </c>
      <c r="BA120" t="str">
        <f>IFERROR(INDEX(wLast,51)&amp;"","")</f>
        <v>White</v>
      </c>
      <c r="BB120" t="str">
        <f>IF(BA120="","",IFERROR(INDEX(wFirst,51)&amp;"",""))</f>
        <v>George</v>
      </c>
      <c r="BC120" t="str">
        <f>IF(BA120="","",IFERROR(INDEX(wClass,51)&amp;"",""))</f>
        <v>11S/Sc2</v>
      </c>
      <c r="BD120">
        <f>IF(BA120="","",IFERROR(INDEX(wKsBand,51)+0,""))</f>
        <v>6</v>
      </c>
      <c r="BE120">
        <f>IF(BA120="","",IFERROR(INDEX(wTests,51)+0,0))</f>
        <v>6</v>
      </c>
      <c r="BF120">
        <f>IF(BA120="","",IFERROR(INDEX(wMean,51)+0,""))</f>
        <v>5.16666666666667</v>
      </c>
      <c r="BG120">
        <f>IF(BA120="","",IFERROR(INDEX(wVs,51)+0,""))</f>
        <v>-0.534895382395382</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IFERROR(INDEX(tblY7[Class],ROWS(H$10:H121))&amp;"","")</f>
        <v>7B/Sc2</v>
      </c>
      <c r="I121" t="str">
        <f>IF(H121="","",IF(SUMPRODUCT(--(H$10:H121=H121))=1,SUMPRODUCT(--(H$10:H$609&lt;H121))+1,""))</f>
        <v/>
      </c>
      <c r="J121" t="str">
        <f>IFERROR(INDEX(tblY8[Class],ROWS(J$10:J121))&amp;"","")</f>
        <v/>
      </c>
      <c r="K121" t="str">
        <f>IF(J121="","",IF(SUMPRODUCT(--(J$10:J121=J121))=1,SUMPRODUCT(--(J$10:J$609&lt;J121))+1,""))</f>
        <v/>
      </c>
      <c r="L121" t="str">
        <f>IFERROR(INDEX(tblY9[Class],ROWS(L$10:L121))&amp;"","")</f>
        <v>9B/Sc2</v>
      </c>
      <c r="M121" t="str">
        <f>IF(L121="","",IF(SUMPRODUCT(--(L$10:L121=L121))=1,SUMPRODUCT(--(L$10:L$609&lt;L121))+1,""))</f>
        <v/>
      </c>
      <c r="N121" t="str">
        <f>IFERROR(INDEX(tblY10[Class],ROWS(N$10:N121))&amp;"","")</f>
        <v>10S/Sc5</v>
      </c>
      <c r="O121" t="str">
        <f>IF(N121="","",IF(SUMPRODUCT(--(N$10:N121=N121))=1,SUMPRODUCT(--(N$10:N$609&lt;N121))+1,""))</f>
        <v/>
      </c>
      <c r="P121" t="str">
        <f>IFERROR(INDEX(tblY11[Class],ROWS(P$10:P121))&amp;"","")</f>
        <v/>
      </c>
      <c r="Q121" t="str">
        <f>IF(P121="","",IF(SUMPRODUCT(--(P$10:P121=P121))=1,SUMPRODUCT(--(P$10:P$609&lt;P121))+1,""))</f>
        <v/>
      </c>
      <c r="BA121" t="str">
        <f>IFERROR(INDEX(wLast,52)&amp;"","")</f>
        <v>White</v>
      </c>
      <c r="BB121" t="str">
        <f>IF(BA121="","",IFERROR(INDEX(wFirst,52)&amp;"",""))</f>
        <v>Nia</v>
      </c>
      <c r="BC121" t="str">
        <f>IF(BA121="","",IFERROR(INDEX(wClass,52)&amp;"",""))</f>
        <v>11S/Sc2</v>
      </c>
      <c r="BD121">
        <f>IF(BA121="","",IFERROR(INDEX(wKsBand,52)+0,""))</f>
        <v>6</v>
      </c>
      <c r="BE121">
        <f>IF(BA121="","",IFERROR(INDEX(wTests,52)+0,0))</f>
        <v>5</v>
      </c>
      <c r="BF121">
        <f>IF(BA121="","",IFERROR(INDEX(wMean,52)+0,""))</f>
        <v>5</v>
      </c>
      <c r="BG121">
        <f>IF(BA121="","",IFERROR(INDEX(wVs,52)+0,""))</f>
        <v>-0.701562049062049</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IFERROR(INDEX(tblY7[Class],ROWS(H$10:H122))&amp;"","")</f>
        <v>7B/Sc2</v>
      </c>
      <c r="I122" t="str">
        <f>IF(H122="","",IF(SUMPRODUCT(--(H$10:H122=H122))=1,SUMPRODUCT(--(H$10:H$609&lt;H122))+1,""))</f>
        <v/>
      </c>
      <c r="J122" t="str">
        <f>IFERROR(INDEX(tblY8[Class],ROWS(J$10:J122))&amp;"","")</f>
        <v/>
      </c>
      <c r="K122" t="str">
        <f>IF(J122="","",IF(SUMPRODUCT(--(J$10:J122=J122))=1,SUMPRODUCT(--(J$10:J$609&lt;J122))+1,""))</f>
        <v/>
      </c>
      <c r="L122" t="str">
        <f>IFERROR(INDEX(tblY9[Class],ROWS(L$10:L122))&amp;"","")</f>
        <v>9B/Sc2</v>
      </c>
      <c r="M122" t="str">
        <f>IF(L122="","",IF(SUMPRODUCT(--(L$10:L122=L122))=1,SUMPRODUCT(--(L$10:L$609&lt;L122))+1,""))</f>
        <v/>
      </c>
      <c r="N122" t="str">
        <f>IFERROR(INDEX(tblY10[Class],ROWS(N$10:N122))&amp;"","")</f>
        <v>10S/Sc5</v>
      </c>
      <c r="O122" t="str">
        <f>IF(N122="","",IF(SUMPRODUCT(--(N$10:N122=N122))=1,SUMPRODUCT(--(N$10:N$609&lt;N122))+1,""))</f>
        <v/>
      </c>
      <c r="P122" t="str">
        <f>IFERROR(INDEX(tblY11[Class],ROWS(P$10:P122))&amp;"","")</f>
        <v/>
      </c>
      <c r="Q122" t="str">
        <f>IF(P122="","",IF(SUMPRODUCT(--(P$10:P122=P122))=1,SUMPRODUCT(--(P$10:P$609&lt;P122))+1,""))</f>
        <v/>
      </c>
      <c r="BA122" t="str">
        <f>IFERROR(INDEX(wLast,53)&amp;"","")</f>
        <v>Williams</v>
      </c>
      <c r="BB122" t="str">
        <f>IF(BA122="","",IFERROR(INDEX(wFirst,53)&amp;"",""))</f>
        <v>Sophie</v>
      </c>
      <c r="BC122" t="str">
        <f>IF(BA122="","",IFERROR(INDEX(wClass,53)&amp;"",""))</f>
        <v>11S/Sc2</v>
      </c>
      <c r="BD122">
        <f>IF(BA122="","",IFERROR(INDEX(wKsBand,53)+0,""))</f>
        <v>8</v>
      </c>
      <c r="BE122">
        <f>IF(BA122="","",IFERROR(INDEX(wTests,53)+0,0))</f>
        <v>6</v>
      </c>
      <c r="BF122">
        <f>IF(BA122="","",IFERROR(INDEX(wMean,53)+0,""))</f>
        <v>5.66666666666667</v>
      </c>
      <c r="BG122">
        <f>IF(BA122="","",IFERROR(INDEX(wVs,53)+0,""))</f>
        <v>-1.53262265512265</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-1.53250065512265</v>
      </c>
    </row>
    <row r="123">
      <c r="H123" t="str">
        <f>IFERROR(INDEX(tblY7[Class],ROWS(H$10:H123))&amp;"","")</f>
        <v>7B/Sc3</v>
      </c>
      <c r="I123">
        <f>IF(H123="","",IF(SUMPRODUCT(--(H$10:H123=H123))=1,SUMPRODUCT(--(H$10:H$609&lt;H123))+1,""))</f>
        <v>583</v>
      </c>
      <c r="J123" t="str">
        <f>IFERROR(INDEX(tblY8[Class],ROWS(J$10:J123))&amp;"","")</f>
        <v/>
      </c>
      <c r="K123" t="str">
        <f>IF(J123="","",IF(SUMPRODUCT(--(J$10:J123=J123))=1,SUMPRODUCT(--(J$10:J$609&lt;J123))+1,""))</f>
        <v/>
      </c>
      <c r="L123" t="str">
        <f>IFERROR(INDEX(tblY9[Class],ROWS(L$10:L123))&amp;"","")</f>
        <v>9B/Sc2</v>
      </c>
      <c r="M123" t="str">
        <f>IF(L123="","",IF(SUMPRODUCT(--(L$10:L123=L123))=1,SUMPRODUCT(--(L$10:L$609&lt;L123))+1,""))</f>
        <v/>
      </c>
      <c r="N123" t="str">
        <f>IFERROR(INDEX(tblY10[Class],ROWS(N$10:N123))&amp;"","")</f>
        <v>10S/Sc5</v>
      </c>
      <c r="O123" t="str">
        <f>IF(N123="","",IF(SUMPRODUCT(--(N$10:N123=N123))=1,SUMPRODUCT(--(N$10:N$609&lt;N123))+1,""))</f>
        <v/>
      </c>
      <c r="P123" t="str">
        <f>IFERROR(INDEX(tblY11[Class],ROWS(P$10:P123))&amp;"","")</f>
        <v/>
      </c>
      <c r="Q123" t="str">
        <f>IF(P123="","",IF(SUMPRODUCT(--(P$10:P123=P123))=1,SUMPRODUCT(--(P$10:P$609&lt;P123))+1,""))</f>
        <v/>
      </c>
      <c r="BA123" t="str">
        <f>IFERROR(INDEX(wLast,54)&amp;"","")</f>
        <v>Wright</v>
      </c>
      <c r="BB123" t="str">
        <f>IF(BA123="","",IFERROR(INDEX(wFirst,54)&amp;"",""))</f>
        <v>Chidi</v>
      </c>
      <c r="BC123" t="str">
        <f>IF(BA123="","",IFERROR(INDEX(wClass,54)&amp;"",""))</f>
        <v>11S/Sc2</v>
      </c>
      <c r="BD123">
        <f>IF(BA123="","",IFERROR(INDEX(wKsBand,54)+0,""))</f>
        <v>8</v>
      </c>
      <c r="BE123">
        <f>IF(BA123="","",IFERROR(INDEX(wTests,54)+0,0))</f>
        <v>6</v>
      </c>
      <c r="BF123">
        <f>IF(BA123="","",IFERROR(INDEX(wMean,54)+0,""))</f>
        <v>6.83333333333333</v>
      </c>
      <c r="BG123">
        <f>IF(BA123="","",IFERROR(INDEX(wVs,54)+0,""))</f>
        <v>-0.365955988455989</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IFERROR(INDEX(tblY7[Class],ROWS(H$10:H124))&amp;"","")</f>
        <v>7B/Sc3</v>
      </c>
      <c r="I124" t="str">
        <f>IF(H124="","",IF(SUMPRODUCT(--(H$10:H124=H124))=1,SUMPRODUCT(--(H$10:H$609&lt;H124))+1,""))</f>
        <v/>
      </c>
      <c r="J124" t="str">
        <f>IFERROR(INDEX(tblY8[Class],ROWS(J$10:J124))&amp;"","")</f>
        <v/>
      </c>
      <c r="K124" t="str">
        <f>IF(J124="","",IF(SUMPRODUCT(--(J$10:J124=J124))=1,SUMPRODUCT(--(J$10:J$609&lt;J124))+1,""))</f>
        <v/>
      </c>
      <c r="L124" t="str">
        <f>IFERROR(INDEX(tblY9[Class],ROWS(L$10:L124))&amp;"","")</f>
        <v>9B/Sc2</v>
      </c>
      <c r="M124" t="str">
        <f>IF(L124="","",IF(SUMPRODUCT(--(L$10:L124=L124))=1,SUMPRODUCT(--(L$10:L$609&lt;L124))+1,""))</f>
        <v/>
      </c>
      <c r="N124" t="str">
        <f>IFERROR(INDEX(tblY10[Class],ROWS(N$10:N124))&amp;"","")</f>
        <v>Science Support</v>
      </c>
      <c r="O124">
        <f>IF(N124="","",IF(SUMPRODUCT(--(N$10:N124=N124))=1,SUMPRODUCT(--(N$10:N$609&lt;N124))+1,""))</f>
        <v>598</v>
      </c>
      <c r="P124" t="str">
        <f>IFERROR(INDEX(tblY11[Class],ROWS(P$10:P124))&amp;"","")</f>
        <v/>
      </c>
      <c r="Q124" t="str">
        <f>IF(P124="","",IF(SUMPRODUCT(--(P$10:P124=P124))=1,SUMPRODUCT(--(P$10:P$609&lt;P124))+1,""))</f>
        <v/>
      </c>
      <c r="BA124" t="str">
        <f>IFERROR(INDEX(wLast,55)&amp;"","")</f>
        <v>Cooper</v>
      </c>
      <c r="BB124" t="str">
        <f>IF(BA124="","",IFERROR(INDEX(wFirst,55)&amp;"",""))</f>
        <v>Sophie</v>
      </c>
      <c r="BC124" t="str">
        <f>IF(BA124="","",IFERROR(INDEX(wClass,55)&amp;"",""))</f>
        <v>11S/Sc3</v>
      </c>
      <c r="BD124">
        <f>IF(BA124="","",IFERROR(INDEX(wKsBand,55)+0,""))</f>
        <v>1</v>
      </c>
      <c r="BE124">
        <f>IF(BA124="","",IFERROR(INDEX(wTests,55)+0,0))</f>
        <v>5</v>
      </c>
      <c r="BF124">
        <f>IF(BA124="","",IFERROR(INDEX(wMean,55)+0,""))</f>
        <v>1.4</v>
      </c>
      <c r="BG124">
        <f>IF(BA124="","",IFERROR(INDEX(wVs,55)+0,""))</f>
        <v>-0.557243867243867</v>
      </c>
      <c r="BH124">
        <f>IF(OR(BA124="",wLatest=""),"",IFERROR(INDEX(wData,55,MATCH(wLatest&amp;CHAR(10)&amp;"Stanine",wHdr,0))+0,""))</f>
        <v>1</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IFERROR(INDEX(tblY7[Class],ROWS(H$10:H125))&amp;"","")</f>
        <v>7B/Sc3</v>
      </c>
      <c r="I125" t="str">
        <f>IF(H125="","",IF(SUMPRODUCT(--(H$10:H125=H125))=1,SUMPRODUCT(--(H$10:H$609&lt;H125))+1,""))</f>
        <v/>
      </c>
      <c r="J125" t="str">
        <f>IFERROR(INDEX(tblY8[Class],ROWS(J$10:J125))&amp;"","")</f>
        <v/>
      </c>
      <c r="K125" t="str">
        <f>IF(J125="","",IF(SUMPRODUCT(--(J$10:J125=J125))=1,SUMPRODUCT(--(J$10:J$609&lt;J125))+1,""))</f>
        <v/>
      </c>
      <c r="L125" t="str">
        <f>IFERROR(INDEX(tblY9[Class],ROWS(L$10:L125))&amp;"","")</f>
        <v>9B/Sc2</v>
      </c>
      <c r="M125" t="str">
        <f>IF(L125="","",IF(SUMPRODUCT(--(L$10:L125=L125))=1,SUMPRODUCT(--(L$10:L$609&lt;L125))+1,""))</f>
        <v/>
      </c>
      <c r="N125" t="str">
        <f>IFERROR(INDEX(tblY10[Class],ROWS(N$10:N125))&amp;"","")</f>
        <v>Science Support</v>
      </c>
      <c r="O125" t="str">
        <f>IF(N125="","",IF(SUMPRODUCT(--(N$10:N125=N125))=1,SUMPRODUCT(--(N$10:N$609&lt;N125))+1,""))</f>
        <v/>
      </c>
      <c r="P125" t="str">
        <f>IFERROR(INDEX(tblY11[Class],ROWS(P$10:P125))&amp;"","")</f>
        <v/>
      </c>
      <c r="Q125" t="str">
        <f>IF(P125="","",IF(SUMPRODUCT(--(P$10:P125=P125))=1,SUMPRODUCT(--(P$10:P$609&lt;P125))+1,""))</f>
        <v/>
      </c>
      <c r="BA125" t="str">
        <f>IFERROR(INDEX(wLast,56)&amp;"","")</f>
        <v>Edwards</v>
      </c>
      <c r="BB125" t="str">
        <f>IF(BA125="","",IFERROR(INDEX(wFirst,56)&amp;"",""))</f>
        <v>Oscar</v>
      </c>
      <c r="BC125" t="str">
        <f>IF(BA125="","",IFERROR(INDEX(wClass,56)&amp;"",""))</f>
        <v>11S/Sc3</v>
      </c>
      <c r="BD125">
        <f>IF(BA125="","",IFERROR(INDEX(wKsBand,56)+0,""))</f>
        <v>3</v>
      </c>
      <c r="BE125">
        <f>IF(BA125="","",IFERROR(INDEX(wTests,56)+0,0))</f>
        <v>6</v>
      </c>
      <c r="BF125">
        <f>IF(BA125="","",IFERROR(INDEX(wMean,56)+0,""))</f>
        <v>2.66666666666667</v>
      </c>
      <c r="BG125">
        <f>IF(BA125="","",IFERROR(INDEX(wVs,56)+0,""))</f>
        <v>-0.788304473304473</v>
      </c>
      <c r="BH125">
        <f>IF(OR(BA125="",wLatest=""),"",IFERROR(INDEX(wData,56,MATCH(wLatest&amp;CHAR(10)&amp;"Stanine",wHdr,0))+0,""))</f>
        <v>3</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IFERROR(INDEX(tblY7[Class],ROWS(H$10:H126))&amp;"","")</f>
        <v>7B/Sc3</v>
      </c>
      <c r="I126" t="str">
        <f>IF(H126="","",IF(SUMPRODUCT(--(H$10:H126=H126))=1,SUMPRODUCT(--(H$10:H$609&lt;H126))+1,""))</f>
        <v/>
      </c>
      <c r="J126" t="str">
        <f>IFERROR(INDEX(tblY8[Class],ROWS(J$10:J126))&amp;"","")</f>
        <v/>
      </c>
      <c r="K126" t="str">
        <f>IF(J126="","",IF(SUMPRODUCT(--(J$10:J126=J126))=1,SUMPRODUCT(--(J$10:J$609&lt;J126))+1,""))</f>
        <v/>
      </c>
      <c r="L126" t="str">
        <f>IFERROR(INDEX(tblY9[Class],ROWS(L$10:L126))&amp;"","")</f>
        <v>9B/Sc2</v>
      </c>
      <c r="M126" t="str">
        <f>IF(L126="","",IF(SUMPRODUCT(--(L$10:L126=L126))=1,SUMPRODUCT(--(L$10:L$609&lt;L126))+1,""))</f>
        <v/>
      </c>
      <c r="N126" t="str">
        <f>IFERROR(INDEX(tblY10[Class],ROWS(N$10:N126))&amp;"","")</f>
        <v>Science Support</v>
      </c>
      <c r="O126" t="str">
        <f>IF(N126="","",IF(SUMPRODUCT(--(N$10:N126=N126))=1,SUMPRODUCT(--(N$10:N$609&lt;N126))+1,""))</f>
        <v/>
      </c>
      <c r="P126" t="str">
        <f>IFERROR(INDEX(tblY11[Class],ROWS(P$10:P126))&amp;"","")</f>
        <v/>
      </c>
      <c r="Q126" t="str">
        <f>IF(P126="","",IF(SUMPRODUCT(--(P$10:P126=P126))=1,SUMPRODUCT(--(P$10:P$609&lt;P126))+1,""))</f>
        <v/>
      </c>
      <c r="BA126" t="str">
        <f>IFERROR(INDEX(wLast,57)&amp;"","")</f>
        <v>Hall</v>
      </c>
      <c r="BB126" t="str">
        <f>IF(BA126="","",IFERROR(INDEX(wFirst,57)&amp;"",""))</f>
        <v>Chidi</v>
      </c>
      <c r="BC126" t="str">
        <f>IF(BA126="","",IFERROR(INDEX(wClass,57)&amp;"",""))</f>
        <v>11S/Sc3</v>
      </c>
      <c r="BD126">
        <f>IF(BA126="","",IFERROR(INDEX(wKsBand,57)+0,""))</f>
        <v>6</v>
      </c>
      <c r="BE126">
        <f>IF(BA126="","",IFERROR(INDEX(wTests,57)+0,0))</f>
        <v>6</v>
      </c>
      <c r="BF126">
        <f>IF(BA126="","",IFERROR(INDEX(wMean,57)+0,""))</f>
        <v>5.16666666666667</v>
      </c>
      <c r="BG126">
        <f>IF(BA126="","",IFERROR(INDEX(wVs,57)+0,""))</f>
        <v>-0.534895382395382</v>
      </c>
      <c r="BH126">
        <f>IF(OR(BA126="",wLatest=""),"",IFERROR(INDEX(wData,57,MATCH(wLatest&amp;CHAR(10)&amp;"Stanine",wHdr,0))+0,""))</f>
        <v>5</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IFERROR(INDEX(tblY7[Class],ROWS(H$10:H127))&amp;"","")</f>
        <v>7B/Sc3</v>
      </c>
      <c r="I127" t="str">
        <f>IF(H127="","",IF(SUMPRODUCT(--(H$10:H127=H127))=1,SUMPRODUCT(--(H$10:H$609&lt;H127))+1,""))</f>
        <v/>
      </c>
      <c r="J127" t="str">
        <f>IFERROR(INDEX(tblY8[Class],ROWS(J$10:J127))&amp;"","")</f>
        <v/>
      </c>
      <c r="K127" t="str">
        <f>IF(J127="","",IF(SUMPRODUCT(--(J$10:J127=J127))=1,SUMPRODUCT(--(J$10:J$609&lt;J127))+1,""))</f>
        <v/>
      </c>
      <c r="L127" t="str">
        <f>IFERROR(INDEX(tblY9[Class],ROWS(L$10:L127))&amp;"","")</f>
        <v>9B/Sc2</v>
      </c>
      <c r="M127" t="str">
        <f>IF(L127="","",IF(SUMPRODUCT(--(L$10:L127=L127))=1,SUMPRODUCT(--(L$10:L$609&lt;L127))+1,""))</f>
        <v/>
      </c>
      <c r="N127" t="str">
        <f>IFERROR(INDEX(tblY10[Class],ROWS(N$10:N127))&amp;"","")</f>
        <v/>
      </c>
      <c r="O127" t="str">
        <f>IF(N127="","",IF(SUMPRODUCT(--(N$10:N127=N127))=1,SUMPRODUCT(--(N$10:N$609&lt;N127))+1,""))</f>
        <v/>
      </c>
      <c r="P127" t="str">
        <f>IFERROR(INDEX(tblY11[Class],ROWS(P$10:P127))&amp;"","")</f>
        <v/>
      </c>
      <c r="Q127" t="str">
        <f>IF(P127="","",IF(SUMPRODUCT(--(P$10:P127=P127))=1,SUMPRODUCT(--(P$10:P$609&lt;P127))+1,""))</f>
        <v/>
      </c>
      <c r="BA127" t="str">
        <f>IFERROR(INDEX(wLast,58)&amp;"","")</f>
        <v>Hall</v>
      </c>
      <c r="BB127" t="str">
        <f>IF(BA127="","",IFERROR(INDEX(wFirst,58)&amp;"",""))</f>
        <v>George</v>
      </c>
      <c r="BC127" t="str">
        <f>IF(BA127="","",IFERROR(INDEX(wClass,58)&amp;"",""))</f>
        <v>11S/Sc3</v>
      </c>
      <c r="BD127">
        <f>IF(BA127="","",IFERROR(INDEX(wKsBand,58)+0,""))</f>
        <v>7</v>
      </c>
      <c r="BE127">
        <f>IF(BA127="","",IFERROR(INDEX(wTests,58)+0,0))</f>
        <v>6</v>
      </c>
      <c r="BF127">
        <f>IF(BA127="","",IFERROR(INDEX(wMean,58)+0,""))</f>
        <v>6.16666666666667</v>
      </c>
      <c r="BG127">
        <f>IF(BA127="","",IFERROR(INDEX(wVs,58)+0,""))</f>
        <v>-0.283759018759018</v>
      </c>
      <c r="BH127">
        <f>IF(OR(BA127="",wLatest=""),"",IFERROR(INDEX(wData,58,MATCH(wLatest&amp;CHAR(10)&amp;"Stanine",wHdr,0))+0,""))</f>
        <v>7</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IFERROR(INDEX(tblY7[Class],ROWS(H$10:H128))&amp;"","")</f>
        <v>7B/Sc3</v>
      </c>
      <c r="I128" t="str">
        <f>IF(H128="","",IF(SUMPRODUCT(--(H$10:H128=H128))=1,SUMPRODUCT(--(H$10:H$609&lt;H128))+1,""))</f>
        <v/>
      </c>
      <c r="J128" t="str">
        <f>IFERROR(INDEX(tblY8[Class],ROWS(J$10:J128))&amp;"","")</f>
        <v/>
      </c>
      <c r="K128" t="str">
        <f>IF(J128="","",IF(SUMPRODUCT(--(J$10:J128=J128))=1,SUMPRODUCT(--(J$10:J$609&lt;J128))+1,""))</f>
        <v/>
      </c>
      <c r="L128" t="str">
        <f>IFERROR(INDEX(tblY9[Class],ROWS(L$10:L128))&amp;"","")</f>
        <v>9B/Sc2</v>
      </c>
      <c r="M128" t="str">
        <f>IF(L128="","",IF(SUMPRODUCT(--(L$10:L128=L128))=1,SUMPRODUCT(--(L$10:L$609&lt;L128))+1,""))</f>
        <v/>
      </c>
      <c r="N128" t="str">
        <f>IFERROR(INDEX(tblY10[Class],ROWS(N$10:N128))&amp;"","")</f>
        <v/>
      </c>
      <c r="O128" t="str">
        <f>IF(N128="","",IF(SUMPRODUCT(--(N$10:N128=N128))=1,SUMPRODUCT(--(N$10:N$609&lt;N128))+1,""))</f>
        <v/>
      </c>
      <c r="P128" t="str">
        <f>IFERROR(INDEX(tblY11[Class],ROWS(P$10:P128))&amp;"","")</f>
        <v/>
      </c>
      <c r="Q128" t="str">
        <f>IF(P128="","",IF(SUMPRODUCT(--(P$10:P128=P128))=1,SUMPRODUCT(--(P$10:P$609&lt;P128))+1,""))</f>
        <v/>
      </c>
      <c r="BA128" t="str">
        <f>IFERROR(INDEX(wLast,59)&amp;"","")</f>
        <v>Jackson</v>
      </c>
      <c r="BB128" t="str">
        <f>IF(BA128="","",IFERROR(INDEX(wFirst,59)&amp;"",""))</f>
        <v>Ella</v>
      </c>
      <c r="BC128" t="str">
        <f>IF(BA128="","",IFERROR(INDEX(wClass,59)&amp;"",""))</f>
        <v>11S/Sc3</v>
      </c>
      <c r="BD128">
        <f>IF(BA128="","",IFERROR(INDEX(wKsBand,59)+0,""))</f>
        <v>8</v>
      </c>
      <c r="BE128">
        <f>IF(BA128="","",IFERROR(INDEX(wTests,59)+0,0))</f>
        <v>6</v>
      </c>
      <c r="BF128">
        <f>IF(BA128="","",IFERROR(INDEX(wMean,59)+0,""))</f>
        <v>7.33333333333333</v>
      </c>
      <c r="BG128">
        <f>IF(BA128="","",IFERROR(INDEX(wVs,59)+0,""))</f>
        <v>0.134044011544011</v>
      </c>
      <c r="BH128">
        <f>IF(OR(BA128="",wLatest=""),"",IFERROR(INDEX(wData,59,MATCH(wLatest&amp;CHAR(10)&amp;"Stanine",wHdr,0))+0,""))</f>
        <v>8</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IFERROR(INDEX(tblY7[Class],ROWS(H$10:H129))&amp;"","")</f>
        <v>7B/Sc3</v>
      </c>
      <c r="I129" t="str">
        <f>IF(H129="","",IF(SUMPRODUCT(--(H$10:H129=H129))=1,SUMPRODUCT(--(H$10:H$609&lt;H129))+1,""))</f>
        <v/>
      </c>
      <c r="J129" t="str">
        <f>IFERROR(INDEX(tblY8[Class],ROWS(J$10:J129))&amp;"","")</f>
        <v/>
      </c>
      <c r="K129" t="str">
        <f>IF(J129="","",IF(SUMPRODUCT(--(J$10:J129=J129))=1,SUMPRODUCT(--(J$10:J$609&lt;J129))+1,""))</f>
        <v/>
      </c>
      <c r="L129" t="str">
        <f>IFERROR(INDEX(tblY9[Class],ROWS(L$10:L129))&amp;"","")</f>
        <v>9B/Sc2</v>
      </c>
      <c r="M129" t="str">
        <f>IF(L129="","",IF(SUMPRODUCT(--(L$10:L129=L129))=1,SUMPRODUCT(--(L$10:L$609&lt;L129))+1,""))</f>
        <v/>
      </c>
      <c r="N129" t="str">
        <f>IFERROR(INDEX(tblY10[Class],ROWS(N$10:N129))&amp;"","")</f>
        <v/>
      </c>
      <c r="O129" t="str">
        <f>IF(N129="","",IF(SUMPRODUCT(--(N$10:N129=N129))=1,SUMPRODUCT(--(N$10:N$609&lt;N129))+1,""))</f>
        <v/>
      </c>
      <c r="P129" t="str">
        <f>IFERROR(INDEX(tblY11[Class],ROWS(P$10:P129))&amp;"","")</f>
        <v/>
      </c>
      <c r="Q129" t="str">
        <f>IF(P129="","",IF(SUMPRODUCT(--(P$10:P129=P129))=1,SUMPRODUCT(--(P$10:P$609&lt;P129))+1,""))</f>
        <v/>
      </c>
      <c r="BA129" t="str">
        <f>IFERROR(INDEX(wLast,60)&amp;"","")</f>
        <v>Jackson</v>
      </c>
      <c r="BB129" t="str">
        <f>IF(BA129="","",IFERROR(INDEX(wFirst,60)&amp;"",""))</f>
        <v>Theo</v>
      </c>
      <c r="BC129" t="str">
        <f>IF(BA129="","",IFERROR(INDEX(wClass,60)&amp;"",""))</f>
        <v>11S/Sc3</v>
      </c>
      <c r="BD129">
        <f>IF(BA129="","",IFERROR(INDEX(wKsBand,60)+0,""))</f>
        <v>6</v>
      </c>
      <c r="BE129">
        <f>IF(BA129="","",IFERROR(INDEX(wTests,60)+0,0))</f>
        <v>6</v>
      </c>
      <c r="BF129">
        <f>IF(BA129="","",IFERROR(INDEX(wMean,60)+0,""))</f>
        <v>5.33333333333333</v>
      </c>
      <c r="BG129">
        <f>IF(BA129="","",IFERROR(INDEX(wVs,60)+0,""))</f>
        <v>-0.368228715728716</v>
      </c>
      <c r="BH129">
        <f>IF(OR(BA129="",wLatest=""),"",IFERROR(INDEX(wData,60,MATCH(wLatest&amp;CHAR(10)&amp;"Stanine",wHdr,0))+0,""))</f>
        <v>5</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IFERROR(INDEX(tblY7[Class],ROWS(H$10:H130))&amp;"","")</f>
        <v>7B/Sc3</v>
      </c>
      <c r="I130" t="str">
        <f>IF(H130="","",IF(SUMPRODUCT(--(H$10:H130=H130))=1,SUMPRODUCT(--(H$10:H$609&lt;H130))+1,""))</f>
        <v/>
      </c>
      <c r="J130" t="str">
        <f>IFERROR(INDEX(tblY8[Class],ROWS(J$10:J130))&amp;"","")</f>
        <v/>
      </c>
      <c r="K130" t="str">
        <f>IF(J130="","",IF(SUMPRODUCT(--(J$10:J130=J130))=1,SUMPRODUCT(--(J$10:J$609&lt;J130))+1,""))</f>
        <v/>
      </c>
      <c r="L130" t="str">
        <f>IFERROR(INDEX(tblY9[Class],ROWS(L$10:L130))&amp;"","")</f>
        <v>9B/Sc2</v>
      </c>
      <c r="M130" t="str">
        <f>IF(L130="","",IF(SUMPRODUCT(--(L$10:L130=L130))=1,SUMPRODUCT(--(L$10:L$609&lt;L130))+1,""))</f>
        <v/>
      </c>
      <c r="N130" t="str">
        <f>IFERROR(INDEX(tblY10[Class],ROWS(N$10:N130))&amp;"","")</f>
        <v/>
      </c>
      <c r="O130" t="str">
        <f>IF(N130="","",IF(SUMPRODUCT(--(N$10:N130=N130))=1,SUMPRODUCT(--(N$10:N$609&lt;N130))+1,""))</f>
        <v/>
      </c>
      <c r="P130" t="str">
        <f>IFERROR(INDEX(tblY11[Class],ROWS(P$10:P130))&amp;"","")</f>
        <v/>
      </c>
      <c r="Q130" t="str">
        <f>IF(P130="","",IF(SUMPRODUCT(--(P$10:P130=P130))=1,SUMPRODUCT(--(P$10:P$609&lt;P130))+1,""))</f>
        <v/>
      </c>
      <c r="BA130" t="str">
        <f>IFERROR(INDEX(wLast,61)&amp;"","")</f>
        <v>Johnson</v>
      </c>
      <c r="BB130" t="str">
        <f>IF(BA130="","",IFERROR(INDEX(wFirst,61)&amp;"",""))</f>
        <v>Kai</v>
      </c>
      <c r="BC130" t="str">
        <f>IF(BA130="","",IFERROR(INDEX(wClass,61)&amp;"",""))</f>
        <v>11S/Sc3</v>
      </c>
      <c r="BD130">
        <f>IF(BA130="","",IFERROR(INDEX(wKsBand,61)+0,""))</f>
        <v>5</v>
      </c>
      <c r="BE130">
        <f>IF(BA130="","",IFERROR(INDEX(wTests,61)+0,0))</f>
        <v>6</v>
      </c>
      <c r="BF130">
        <f>IF(BA130="","",IFERROR(INDEX(wMean,61)+0,""))</f>
        <v>4.5</v>
      </c>
      <c r="BG130">
        <f>IF(BA130="","",IFERROR(INDEX(wVs,61)+0,""))</f>
        <v>-0.452698412698412</v>
      </c>
      <c r="BH130">
        <f>IF(OR(BA130="",wLatest=""),"",IFERROR(INDEX(wData,61,MATCH(wLatest&amp;CHAR(10)&amp;"Stanine",wHdr,0))+0,""))</f>
        <v>5</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IFERROR(INDEX(tblY7[Class],ROWS(H$10:H131))&amp;"","")</f>
        <v>7B/Sc3</v>
      </c>
      <c r="I131" t="str">
        <f>IF(H131="","",IF(SUMPRODUCT(--(H$10:H131=H131))=1,SUMPRODUCT(--(H$10:H$609&lt;H131))+1,""))</f>
        <v/>
      </c>
      <c r="J131" t="str">
        <f>IFERROR(INDEX(tblY8[Class],ROWS(J$10:J131))&amp;"","")</f>
        <v/>
      </c>
      <c r="K131" t="str">
        <f>IF(J131="","",IF(SUMPRODUCT(--(J$10:J131=J131))=1,SUMPRODUCT(--(J$10:J$609&lt;J131))+1,""))</f>
        <v/>
      </c>
      <c r="L131" t="str">
        <f>IFERROR(INDEX(tblY9[Class],ROWS(L$10:L131))&amp;"","")</f>
        <v>9B/Sc2</v>
      </c>
      <c r="M131" t="str">
        <f>IF(L131="","",IF(SUMPRODUCT(--(L$10:L131=L131))=1,SUMPRODUCT(--(L$10:L$609&lt;L131))+1,""))</f>
        <v/>
      </c>
      <c r="N131" t="str">
        <f>IFERROR(INDEX(tblY10[Class],ROWS(N$10:N131))&amp;"","")</f>
        <v/>
      </c>
      <c r="O131" t="str">
        <f>IF(N131="","",IF(SUMPRODUCT(--(N$10:N131=N131))=1,SUMPRODUCT(--(N$10:N$609&lt;N131))+1,""))</f>
        <v/>
      </c>
      <c r="P131" t="str">
        <f>IFERROR(INDEX(tblY11[Class],ROWS(P$10:P131))&amp;"","")</f>
        <v/>
      </c>
      <c r="Q131" t="str">
        <f>IF(P131="","",IF(SUMPRODUCT(--(P$10:P131=P131))=1,SUMPRODUCT(--(P$10:P$609&lt;P131))+1,""))</f>
        <v/>
      </c>
      <c r="BA131" t="str">
        <f>IFERROR(INDEX(wLast,62)&amp;"","")</f>
        <v>Johnson</v>
      </c>
      <c r="BB131" t="str">
        <f>IF(BA131="","",IFERROR(INDEX(wFirst,62)&amp;"",""))</f>
        <v>Oscar</v>
      </c>
      <c r="BC131" t="str">
        <f>IF(BA131="","",IFERROR(INDEX(wClass,62)&amp;"",""))</f>
        <v>11S/Sc3</v>
      </c>
      <c r="BD131">
        <f>IF(BA131="","",IFERROR(INDEX(wKsBand,62)+0,""))</f>
        <v>5</v>
      </c>
      <c r="BE131">
        <f>IF(BA131="","",IFERROR(INDEX(wTests,62)+0,0))</f>
        <v>6</v>
      </c>
      <c r="BF131">
        <f>IF(BA131="","",IFERROR(INDEX(wMean,62)+0,""))</f>
        <v>4.66666666666667</v>
      </c>
      <c r="BG131">
        <f>IF(BA131="","",IFERROR(INDEX(wVs,62)+0,""))</f>
        <v>-0.286031746031745</v>
      </c>
      <c r="BH131">
        <f>IF(OR(BA131="",wLatest=""),"",IFERROR(INDEX(wData,62,MATCH(wLatest&amp;CHAR(10)&amp;"Stanine",wHdr,0))+0,""))</f>
        <v>3</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IFERROR(INDEX(tblY7[Class],ROWS(H$10:H132))&amp;"","")</f>
        <v>7B/Sc3</v>
      </c>
      <c r="I132" t="str">
        <f>IF(H132="","",IF(SUMPRODUCT(--(H$10:H132=H132))=1,SUMPRODUCT(--(H$10:H$609&lt;H132))+1,""))</f>
        <v/>
      </c>
      <c r="J132" t="str">
        <f>IFERROR(INDEX(tblY8[Class],ROWS(J$10:J132))&amp;"","")</f>
        <v/>
      </c>
      <c r="K132" t="str">
        <f>IF(J132="","",IF(SUMPRODUCT(--(J$10:J132=J132))=1,SUMPRODUCT(--(J$10:J$609&lt;J132))+1,""))</f>
        <v/>
      </c>
      <c r="L132" t="str">
        <f>IFERROR(INDEX(tblY9[Class],ROWS(L$10:L132))&amp;"","")</f>
        <v>Science Support</v>
      </c>
      <c r="M132">
        <f>IF(L132="","",IF(SUMPRODUCT(--(L$10:L132=L132))=1,SUMPRODUCT(--(L$10:L$609&lt;L132))+1,""))</f>
        <v>598</v>
      </c>
      <c r="N132" t="str">
        <f>IFERROR(INDEX(tblY10[Class],ROWS(N$10:N132))&amp;"","")</f>
        <v/>
      </c>
      <c r="O132" t="str">
        <f>IF(N132="","",IF(SUMPRODUCT(--(N$10:N132=N132))=1,SUMPRODUCT(--(N$10:N$609&lt;N132))+1,""))</f>
        <v/>
      </c>
      <c r="P132" t="str">
        <f>IFERROR(INDEX(tblY11[Class],ROWS(P$10:P132))&amp;"","")</f>
        <v/>
      </c>
      <c r="Q132" t="str">
        <f>IF(P132="","",IF(SUMPRODUCT(--(P$10:P132=P132))=1,SUMPRODUCT(--(P$10:P$609&lt;P132))+1,""))</f>
        <v/>
      </c>
      <c r="BA132" t="str">
        <f>IFERROR(INDEX(wLast,63)&amp;"","")</f>
        <v>Kelly</v>
      </c>
      <c r="BB132" t="str">
        <f>IF(BA132="","",IFERROR(INDEX(wFirst,63)&amp;"",""))</f>
        <v>Niamh</v>
      </c>
      <c r="BC132" t="str">
        <f>IF(BA132="","",IFERROR(INDEX(wClass,63)&amp;"",""))</f>
        <v>11S/Sc3</v>
      </c>
      <c r="BD132">
        <f>IF(BA132="","",IFERROR(INDEX(wKsBand,63)+0,""))</f>
        <v>8</v>
      </c>
      <c r="BE132">
        <f>IF(BA132="","",IFERROR(INDEX(wTests,63)+0,0))</f>
        <v>5</v>
      </c>
      <c r="BF132">
        <f>IF(BA132="","",IFERROR(INDEX(wMean,63)+0,""))</f>
        <v>5.6</v>
      </c>
      <c r="BG132">
        <f>IF(BA132="","",IFERROR(INDEX(wVs,63)+0,""))</f>
        <v>-1.59928932178932</v>
      </c>
      <c r="BH132" t="str">
        <f>IF(OR(BA132="",wLatest=""),"",IFERROR(INDEX(wData,63,MATCH(wLatest&amp;CHAR(10)&amp;"Stanine",wHdr,0))+0,""))</f>
        <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-1.59915732178932</v>
      </c>
    </row>
    <row r="133">
      <c r="H133" t="str">
        <f>IFERROR(INDEX(tblY7[Class],ROWS(H$10:H133))&amp;"","")</f>
        <v>7B/Sc3</v>
      </c>
      <c r="I133" t="str">
        <f>IF(H133="","",IF(SUMPRODUCT(--(H$10:H133=H133))=1,SUMPRODUCT(--(H$10:H$609&lt;H133))+1,""))</f>
        <v/>
      </c>
      <c r="J133" t="str">
        <f>IFERROR(INDEX(tblY8[Class],ROWS(J$10:J133))&amp;"","")</f>
        <v/>
      </c>
      <c r="K133" t="str">
        <f>IF(J133="","",IF(SUMPRODUCT(--(J$10:J133=J133))=1,SUMPRODUCT(--(J$10:J$609&lt;J133))+1,""))</f>
        <v/>
      </c>
      <c r="L133" t="str">
        <f>IFERROR(INDEX(tblY9[Class],ROWS(L$10:L133))&amp;"","")</f>
        <v>Science Support</v>
      </c>
      <c r="M133" t="str">
        <f>IF(L133="","",IF(SUMPRODUCT(--(L$10:L133=L133))=1,SUMPRODUCT(--(L$10:L$609&lt;L133))+1,""))</f>
        <v/>
      </c>
      <c r="N133" t="str">
        <f>IFERROR(INDEX(tblY10[Class],ROWS(N$10:N133))&amp;"","")</f>
        <v/>
      </c>
      <c r="O133" t="str">
        <f>IF(N133="","",IF(SUMPRODUCT(--(N$10:N133=N133))=1,SUMPRODUCT(--(N$10:N$609&lt;N133))+1,""))</f>
        <v/>
      </c>
      <c r="P133" t="str">
        <f>IFERROR(INDEX(tblY11[Class],ROWS(P$10:P133))&amp;"","")</f>
        <v/>
      </c>
      <c r="Q133" t="str">
        <f>IF(P133="","",IF(SUMPRODUCT(--(P$10:P133=P133))=1,SUMPRODUCT(--(P$10:P$609&lt;P133))+1,""))</f>
        <v/>
      </c>
      <c r="BA133" t="str">
        <f>IFERROR(INDEX(wLast,64)&amp;"","")</f>
        <v>Khan</v>
      </c>
      <c r="BB133" t="str">
        <f>IF(BA133="","",IFERROR(INDEX(wFirst,64)&amp;"",""))</f>
        <v>Megan</v>
      </c>
      <c r="BC133" t="str">
        <f>IF(BA133="","",IFERROR(INDEX(wClass,64)&amp;"",""))</f>
        <v>11S/Sc3</v>
      </c>
      <c r="BD133">
        <f>IF(BA133="","",IFERROR(INDEX(wKsBand,64)+0,""))</f>
        <v>8</v>
      </c>
      <c r="BE133">
        <f>IF(BA133="","",IFERROR(INDEX(wTests,64)+0,0))</f>
        <v>6</v>
      </c>
      <c r="BF133">
        <f>IF(BA133="","",IFERROR(INDEX(wMean,64)+0,""))</f>
        <v>7.83333333333333</v>
      </c>
      <c r="BG133">
        <f>IF(BA133="","",IFERROR(INDEX(wVs,64)+0,""))</f>
        <v>0.634044011544011</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IFERROR(INDEX(tblY7[Class],ROWS(H$10:H134))&amp;"","")</f>
        <v>7B/Sc3</v>
      </c>
      <c r="I134" t="str">
        <f>IF(H134="","",IF(SUMPRODUCT(--(H$10:H134=H134))=1,SUMPRODUCT(--(H$10:H$609&lt;H134))+1,""))</f>
        <v/>
      </c>
      <c r="J134" t="str">
        <f>IFERROR(INDEX(tblY8[Class],ROWS(J$10:J134))&amp;"","")</f>
        <v/>
      </c>
      <c r="K134" t="str">
        <f>IF(J134="","",IF(SUMPRODUCT(--(J$10:J134=J134))=1,SUMPRODUCT(--(J$10:J$609&lt;J134))+1,""))</f>
        <v/>
      </c>
      <c r="L134" t="str">
        <f>IFERROR(INDEX(tblY9[Class],ROWS(L$10:L134))&amp;"","")</f>
        <v>Science Support</v>
      </c>
      <c r="M134" t="str">
        <f>IF(L134="","",IF(SUMPRODUCT(--(L$10:L134=L134))=1,SUMPRODUCT(--(L$10:L$609&lt;L134))+1,""))</f>
        <v/>
      </c>
      <c r="N134" t="str">
        <f>IFERROR(INDEX(tblY10[Class],ROWS(N$10:N134))&amp;"","")</f>
        <v/>
      </c>
      <c r="O134" t="str">
        <f>IF(N134="","",IF(SUMPRODUCT(--(N$10:N134=N134))=1,SUMPRODUCT(--(N$10:N$609&lt;N134))+1,""))</f>
        <v/>
      </c>
      <c r="P134" t="str">
        <f>IFERROR(INDEX(tblY11[Class],ROWS(P$10:P134))&amp;"","")</f>
        <v/>
      </c>
      <c r="Q134" t="str">
        <f>IF(P134="","",IF(SUMPRODUCT(--(P$10:P134=P134))=1,SUMPRODUCT(--(P$10:P$609&lt;P134))+1,""))</f>
        <v/>
      </c>
      <c r="BA134" t="str">
        <f>IFERROR(INDEX(wLast,65)&amp;"","")</f>
        <v>Mistry</v>
      </c>
      <c r="BB134" t="str">
        <f>IF(BA134="","",IFERROR(INDEX(wFirst,65)&amp;"",""))</f>
        <v>Jacob</v>
      </c>
      <c r="BC134" t="str">
        <f>IF(BA134="","",IFERROR(INDEX(wClass,65)&amp;"",""))</f>
        <v>11S/Sc3</v>
      </c>
      <c r="BD134">
        <f>IF(BA134="","",IFERROR(INDEX(wKsBand,65)+0,""))</f>
        <v>2</v>
      </c>
      <c r="BE134">
        <f>IF(BA134="","",IFERROR(INDEX(wTests,65)+0,0))</f>
        <v>5</v>
      </c>
      <c r="BF134">
        <f>IF(BA134="","",IFERROR(INDEX(wMean,65)+0,""))</f>
        <v>4.2</v>
      </c>
      <c r="BG134">
        <f>IF(BA134="","",IFERROR(INDEX(wVs,65)+0,""))</f>
        <v>1.4938924963925</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IFERROR(INDEX(tblY7[Class],ROWS(H$10:H135))&amp;"","")</f>
        <v>7B/Sc3</v>
      </c>
      <c r="I135" t="str">
        <f>IF(H135="","",IF(SUMPRODUCT(--(H$10:H135=H135))=1,SUMPRODUCT(--(H$10:H$609&lt;H135))+1,""))</f>
        <v/>
      </c>
      <c r="J135" t="str">
        <f>IFERROR(INDEX(tblY8[Class],ROWS(J$10:J135))&amp;"","")</f>
        <v/>
      </c>
      <c r="K135" t="str">
        <f>IF(J135="","",IF(SUMPRODUCT(--(J$10:J135=J135))=1,SUMPRODUCT(--(J$10:J$609&lt;J135))+1,""))</f>
        <v/>
      </c>
      <c r="L135" t="str">
        <f>IFERROR(INDEX(tblY9[Class],ROWS(L$10:L135))&amp;"","")</f>
        <v/>
      </c>
      <c r="M135" t="str">
        <f>IF(L135="","",IF(SUMPRODUCT(--(L$10:L135=L135))=1,SUMPRODUCT(--(L$10:L$609&lt;L135))+1,""))</f>
        <v/>
      </c>
      <c r="N135" t="str">
        <f>IFERROR(INDEX(tblY10[Class],ROWS(N$10:N135))&amp;"","")</f>
        <v/>
      </c>
      <c r="O135" t="str">
        <f>IF(N135="","",IF(SUMPRODUCT(--(N$10:N135=N135))=1,SUMPRODUCT(--(N$10:N$609&lt;N135))+1,""))</f>
        <v/>
      </c>
      <c r="P135" t="str">
        <f>IFERROR(INDEX(tblY11[Class],ROWS(P$10:P135))&amp;"","")</f>
        <v/>
      </c>
      <c r="Q135" t="str">
        <f>IF(P135="","",IF(SUMPRODUCT(--(P$10:P135=P135))=1,SUMPRODUCT(--(P$10:P$609&lt;P135))+1,""))</f>
        <v/>
      </c>
      <c r="BA135" t="str">
        <f>IFERROR(INDEX(wLast,66)&amp;"","")</f>
        <v>Mistry</v>
      </c>
      <c r="BB135" t="str">
        <f>IF(BA135="","",IFERROR(INDEX(wFirst,66)&amp;"",""))</f>
        <v>Lewis</v>
      </c>
      <c r="BC135" t="str">
        <f>IF(BA135="","",IFERROR(INDEX(wClass,66)&amp;"",""))</f>
        <v>11S/Sc3</v>
      </c>
      <c r="BD135">
        <f>IF(BA135="","",IFERROR(INDEX(wKsBand,66)+0,""))</f>
        <v>1</v>
      </c>
      <c r="BE135">
        <f>IF(BA135="","",IFERROR(INDEX(wTests,66)+0,0))</f>
        <v>6</v>
      </c>
      <c r="BF135">
        <f>IF(BA135="","",IFERROR(INDEX(wMean,66)+0,""))</f>
        <v>1.33333333333333</v>
      </c>
      <c r="BG135">
        <f>IF(BA135="","",IFERROR(INDEX(wVs,66)+0,""))</f>
        <v>-0.623910533910533</v>
      </c>
      <c r="BH135">
        <f>IF(OR(BA135="",wLatest=""),"",IFERROR(INDEX(wData,66,MATCH(wLatest&amp;CHAR(10)&amp;"Stanine",wHdr,0))+0,""))</f>
        <v>2</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IFERROR(INDEX(tblY7[Class],ROWS(H$10:H136))&amp;"","")</f>
        <v>7B/Sc3</v>
      </c>
      <c r="I136" t="str">
        <f>IF(H136="","",IF(SUMPRODUCT(--(H$10:H136=H136))=1,SUMPRODUCT(--(H$10:H$609&lt;H136))+1,""))</f>
        <v/>
      </c>
      <c r="J136" t="str">
        <f>IFERROR(INDEX(tblY8[Class],ROWS(J$10:J136))&amp;"","")</f>
        <v/>
      </c>
      <c r="K136" t="str">
        <f>IF(J136="","",IF(SUMPRODUCT(--(J$10:J136=J136))=1,SUMPRODUCT(--(J$10:J$609&lt;J136))+1,""))</f>
        <v/>
      </c>
      <c r="L136" t="str">
        <f>IFERROR(INDEX(tblY9[Class],ROWS(L$10:L136))&amp;"","")</f>
        <v/>
      </c>
      <c r="M136" t="str">
        <f>IF(L136="","",IF(SUMPRODUCT(--(L$10:L136=L136))=1,SUMPRODUCT(--(L$10:L$609&lt;L136))+1,""))</f>
        <v/>
      </c>
      <c r="N136" t="str">
        <f>IFERROR(INDEX(tblY10[Class],ROWS(N$10:N136))&amp;"","")</f>
        <v/>
      </c>
      <c r="O136" t="str">
        <f>IF(N136="","",IF(SUMPRODUCT(--(N$10:N136=N136))=1,SUMPRODUCT(--(N$10:N$609&lt;N136))+1,""))</f>
        <v/>
      </c>
      <c r="P136" t="str">
        <f>IFERROR(INDEX(tblY11[Class],ROWS(P$10:P136))&amp;"","")</f>
        <v/>
      </c>
      <c r="Q136" t="str">
        <f>IF(P136="","",IF(SUMPRODUCT(--(P$10:P136=P136))=1,SUMPRODUCT(--(P$10:P$609&lt;P136))+1,""))</f>
        <v/>
      </c>
      <c r="BA136" t="str">
        <f>IFERROR(INDEX(wLast,67)&amp;"","")</f>
        <v>Murphy</v>
      </c>
      <c r="BB136" t="str">
        <f>IF(BA136="","",IFERROR(INDEX(wFirst,67)&amp;"",""))</f>
        <v>Muhammad</v>
      </c>
      <c r="BC136" t="str">
        <f>IF(BA136="","",IFERROR(INDEX(wClass,67)&amp;"",""))</f>
        <v>11S/Sc3</v>
      </c>
      <c r="BD136">
        <f>IF(BA136="","",IFERROR(INDEX(wKsBand,67)+0,""))</f>
        <v>2</v>
      </c>
      <c r="BE136">
        <f>IF(BA136="","",IFERROR(INDEX(wTests,67)+0,0))</f>
        <v>6</v>
      </c>
      <c r="BF136">
        <f>IF(BA136="","",IFERROR(INDEX(wMean,67)+0,""))</f>
        <v>1.66666666666667</v>
      </c>
      <c r="BG136">
        <f>IF(BA136="","",IFERROR(INDEX(wVs,67)+0,""))</f>
        <v>-1.03944083694084</v>
      </c>
      <c r="BH136">
        <f>IF(OR(BA136="",wLatest=""),"",IFERROR(INDEX(wData,67,MATCH(wLatest&amp;CHAR(10)&amp;"Stanine",wHdr,0))+0,""))</f>
        <v>2</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IFERROR(INDEX(tblY7[Class],ROWS(H$10:H137))&amp;"","")</f>
        <v>7B/Sc3</v>
      </c>
      <c r="I137" t="str">
        <f>IF(H137="","",IF(SUMPRODUCT(--(H$10:H137=H137))=1,SUMPRODUCT(--(H$10:H$609&lt;H137))+1,""))</f>
        <v/>
      </c>
      <c r="J137" t="str">
        <f>IFERROR(INDEX(tblY8[Class],ROWS(J$10:J137))&amp;"","")</f>
        <v/>
      </c>
      <c r="K137" t="str">
        <f>IF(J137="","",IF(SUMPRODUCT(--(J$10:J137=J137))=1,SUMPRODUCT(--(J$10:J$609&lt;J137))+1,""))</f>
        <v/>
      </c>
      <c r="L137" t="str">
        <f>IFERROR(INDEX(tblY9[Class],ROWS(L$10:L137))&amp;"","")</f>
        <v/>
      </c>
      <c r="M137" t="str">
        <f>IF(L137="","",IF(SUMPRODUCT(--(L$10:L137=L137))=1,SUMPRODUCT(--(L$10:L$609&lt;L137))+1,""))</f>
        <v/>
      </c>
      <c r="N137" t="str">
        <f>IFERROR(INDEX(tblY10[Class],ROWS(N$10:N137))&amp;"","")</f>
        <v/>
      </c>
      <c r="O137" t="str">
        <f>IF(N137="","",IF(SUMPRODUCT(--(N$10:N137=N137))=1,SUMPRODUCT(--(N$10:N$609&lt;N137))+1,""))</f>
        <v/>
      </c>
      <c r="P137" t="str">
        <f>IFERROR(INDEX(tblY11[Class],ROWS(P$10:P137))&amp;"","")</f>
        <v/>
      </c>
      <c r="Q137" t="str">
        <f>IF(P137="","",IF(SUMPRODUCT(--(P$10:P137=P137))=1,SUMPRODUCT(--(P$10:P$609&lt;P137))+1,""))</f>
        <v/>
      </c>
      <c r="BA137" t="str">
        <f>IFERROR(INDEX(wLast,68)&amp;"","")</f>
        <v>Okafor</v>
      </c>
      <c r="BB137" t="str">
        <f>IF(BA137="","",IFERROR(INDEX(wFirst,68)&amp;"",""))</f>
        <v>Zofia</v>
      </c>
      <c r="BC137" t="str">
        <f>IF(BA137="","",IFERROR(INDEX(wClass,68)&amp;"",""))</f>
        <v>11S/Sc3</v>
      </c>
      <c r="BD137">
        <f>IF(BA137="","",IFERROR(INDEX(wKsBand,68)+0,""))</f>
        <v>5</v>
      </c>
      <c r="BE137">
        <f>IF(BA137="","",IFERROR(INDEX(wTests,68)+0,0))</f>
        <v>6</v>
      </c>
      <c r="BF137">
        <f>IF(BA137="","",IFERROR(INDEX(wMean,68)+0,""))</f>
        <v>4.5</v>
      </c>
      <c r="BG137">
        <f>IF(BA137="","",IFERROR(INDEX(wVs,68)+0,""))</f>
        <v>-0.452698412698412</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IFERROR(INDEX(tblY7[Class],ROWS(H$10:H138))&amp;"","")</f>
        <v>7B/Sc3</v>
      </c>
      <c r="I138" t="str">
        <f>IF(H138="","",IF(SUMPRODUCT(--(H$10:H138=H138))=1,SUMPRODUCT(--(H$10:H$609&lt;H138))+1,""))</f>
        <v/>
      </c>
      <c r="J138" t="str">
        <f>IFERROR(INDEX(tblY8[Class],ROWS(J$10:J138))&amp;"","")</f>
        <v/>
      </c>
      <c r="K138" t="str">
        <f>IF(J138="","",IF(SUMPRODUCT(--(J$10:J138=J138))=1,SUMPRODUCT(--(J$10:J$609&lt;J138))+1,""))</f>
        <v/>
      </c>
      <c r="L138" t="str">
        <f>IFERROR(INDEX(tblY9[Class],ROWS(L$10:L138))&amp;"","")</f>
        <v/>
      </c>
      <c r="M138" t="str">
        <f>IF(L138="","",IF(SUMPRODUCT(--(L$10:L138=L138))=1,SUMPRODUCT(--(L$10:L$609&lt;L138))+1,""))</f>
        <v/>
      </c>
      <c r="N138" t="str">
        <f>IFERROR(INDEX(tblY10[Class],ROWS(N$10:N138))&amp;"","")</f>
        <v/>
      </c>
      <c r="O138" t="str">
        <f>IF(N138="","",IF(SUMPRODUCT(--(N$10:N138=N138))=1,SUMPRODUCT(--(N$10:N$609&lt;N138))+1,""))</f>
        <v/>
      </c>
      <c r="P138" t="str">
        <f>IFERROR(INDEX(tblY11[Class],ROWS(P$10:P138))&amp;"","")</f>
        <v/>
      </c>
      <c r="Q138" t="str">
        <f>IF(P138="","",IF(SUMPRODUCT(--(P$10:P138=P138))=1,SUMPRODUCT(--(P$10:P$609&lt;P138))+1,""))</f>
        <v/>
      </c>
      <c r="BA138" t="str">
        <f>IFERROR(INDEX(wLast,69)&amp;"","")</f>
        <v>Patel</v>
      </c>
      <c r="BB138" t="str">
        <f>IF(BA138="","",IFERROR(INDEX(wFirst,69)&amp;"",""))</f>
        <v>Layla</v>
      </c>
      <c r="BC138" t="str">
        <f>IF(BA138="","",IFERROR(INDEX(wClass,69)&amp;"",""))</f>
        <v>11S/Sc3</v>
      </c>
      <c r="BD138">
        <f>IF(BA138="","",IFERROR(INDEX(wKsBand,69)+0,""))</f>
        <v>1</v>
      </c>
      <c r="BE138">
        <f>IF(BA138="","",IFERROR(INDEX(wTests,69)+0,0))</f>
        <v>6</v>
      </c>
      <c r="BF138">
        <f>IF(BA138="","",IFERROR(INDEX(wMean,69)+0,""))</f>
        <v>4.5</v>
      </c>
      <c r="BG138">
        <f>IF(BA138="","",IFERROR(INDEX(wVs,69)+0,""))</f>
        <v>2.54275613275613</v>
      </c>
      <c r="BH138">
        <f>IF(OR(BA138="",wLatest=""),"",IFERROR(INDEX(wData,69,MATCH(wLatest&amp;CHAR(10)&amp;"Stanine",wHdr,0))+0,""))</f>
        <v>3</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IFERROR(INDEX(tblY7[Class],ROWS(H$10:H139))&amp;"","")</f>
        <v>7B/Sc3</v>
      </c>
      <c r="I139" t="str">
        <f>IF(H139="","",IF(SUMPRODUCT(--(H$10:H139=H139))=1,SUMPRODUCT(--(H$10:H$609&lt;H139))+1,""))</f>
        <v/>
      </c>
      <c r="J139" t="str">
        <f>IFERROR(INDEX(tblY8[Class],ROWS(J$10:J139))&amp;"","")</f>
        <v/>
      </c>
      <c r="K139" t="str">
        <f>IF(J139="","",IF(SUMPRODUCT(--(J$10:J139=J139))=1,SUMPRODUCT(--(J$10:J$609&lt;J139))+1,""))</f>
        <v/>
      </c>
      <c r="L139" t="str">
        <f>IFERROR(INDEX(tblY9[Class],ROWS(L$10:L139))&amp;"","")</f>
        <v/>
      </c>
      <c r="M139" t="str">
        <f>IF(L139="","",IF(SUMPRODUCT(--(L$10:L139=L139))=1,SUMPRODUCT(--(L$10:L$609&lt;L139))+1,""))</f>
        <v/>
      </c>
      <c r="N139" t="str">
        <f>IFERROR(INDEX(tblY10[Class],ROWS(N$10:N139))&amp;"","")</f>
        <v/>
      </c>
      <c r="O139" t="str">
        <f>IF(N139="","",IF(SUMPRODUCT(--(N$10:N139=N139))=1,SUMPRODUCT(--(N$10:N$609&lt;N139))+1,""))</f>
        <v/>
      </c>
      <c r="P139" t="str">
        <f>IFERROR(INDEX(tblY11[Class],ROWS(P$10:P139))&amp;"","")</f>
        <v/>
      </c>
      <c r="Q139" t="str">
        <f>IF(P139="","",IF(SUMPRODUCT(--(P$10:P139=P139))=1,SUMPRODUCT(--(P$10:P$609&lt;P139))+1,""))</f>
        <v/>
      </c>
      <c r="BA139" t="str">
        <f>IFERROR(INDEX(wLast,70)&amp;"","")</f>
        <v>Patel</v>
      </c>
      <c r="BB139" t="str">
        <f>IF(BA139="","",IFERROR(INDEX(wFirst,70)&amp;"",""))</f>
        <v>Priya</v>
      </c>
      <c r="BC139" t="str">
        <f>IF(BA139="","",IFERROR(INDEX(wClass,70)&amp;"",""))</f>
        <v>11S/Sc3</v>
      </c>
      <c r="BD139">
        <f>IF(BA139="","",IFERROR(INDEX(wKsBand,70)+0,""))</f>
        <v>4</v>
      </c>
      <c r="BE139">
        <f>IF(BA139="","",IFERROR(INDEX(wTests,70)+0,0))</f>
        <v>6</v>
      </c>
      <c r="BF139">
        <f>IF(BA139="","",IFERROR(INDEX(wMean,70)+0,""))</f>
        <v>4.5</v>
      </c>
      <c r="BG139">
        <f>IF(BA139="","",IFERROR(INDEX(wVs,70)+0,""))</f>
        <v>0.296165223665224</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IFERROR(INDEX(tblY7[Class],ROWS(H$10:H140))&amp;"","")</f>
        <v>7B/Sc3</v>
      </c>
      <c r="I140" t="str">
        <f>IF(H140="","",IF(SUMPRODUCT(--(H$10:H140=H140))=1,SUMPRODUCT(--(H$10:H$609&lt;H140))+1,""))</f>
        <v/>
      </c>
      <c r="J140" t="str">
        <f>IFERROR(INDEX(tblY8[Class],ROWS(J$10:J140))&amp;"","")</f>
        <v/>
      </c>
      <c r="K140" t="str">
        <f>IF(J140="","",IF(SUMPRODUCT(--(J$10:J140=J140))=1,SUMPRODUCT(--(J$10:J$609&lt;J140))+1,""))</f>
        <v/>
      </c>
      <c r="L140" t="str">
        <f>IFERROR(INDEX(tblY9[Class],ROWS(L$10:L140))&amp;"","")</f>
        <v/>
      </c>
      <c r="M140" t="str">
        <f>IF(L140="","",IF(SUMPRODUCT(--(L$10:L140=L140))=1,SUMPRODUCT(--(L$10:L$609&lt;L140))+1,""))</f>
        <v/>
      </c>
      <c r="N140" t="str">
        <f>IFERROR(INDEX(tblY10[Class],ROWS(N$10:N140))&amp;"","")</f>
        <v/>
      </c>
      <c r="O140" t="str">
        <f>IF(N140="","",IF(SUMPRODUCT(--(N$10:N140=N140))=1,SUMPRODUCT(--(N$10:N$609&lt;N140))+1,""))</f>
        <v/>
      </c>
      <c r="P140" t="str">
        <f>IFERROR(INDEX(tblY11[Class],ROWS(P$10:P140))&amp;"","")</f>
        <v/>
      </c>
      <c r="Q140" t="str">
        <f>IF(P140="","",IF(SUMPRODUCT(--(P$10:P140=P140))=1,SUMPRODUCT(--(P$10:P$609&lt;P140))+1,""))</f>
        <v/>
      </c>
      <c r="BA140" t="str">
        <f>IFERROR(INDEX(wLast,71)&amp;"","")</f>
        <v>Patel</v>
      </c>
      <c r="BB140" t="str">
        <f>IF(BA140="","",IFERROR(INDEX(wFirst,71)&amp;"",""))</f>
        <v>Sami</v>
      </c>
      <c r="BC140" t="str">
        <f>IF(BA140="","",IFERROR(INDEX(wClass,71)&amp;"",""))</f>
        <v>11S/Sc3</v>
      </c>
      <c r="BD140">
        <f>IF(BA140="","",IFERROR(INDEX(wKsBand,71)+0,""))</f>
        <v>7</v>
      </c>
      <c r="BE140">
        <f>IF(BA140="","",IFERROR(INDEX(wTests,71)+0,0))</f>
        <v>6</v>
      </c>
      <c r="BF140">
        <f>IF(BA140="","",IFERROR(INDEX(wMean,71)+0,""))</f>
        <v>7.33333333333333</v>
      </c>
      <c r="BG140">
        <f>IF(BA140="","",IFERROR(INDEX(wVs,71)+0,""))</f>
        <v>0.882907647907648</v>
      </c>
      <c r="BH140">
        <f>IF(OR(BA140="",wLatest=""),"",IFERROR(INDEX(wData,71,MATCH(wLatest&amp;CHAR(10)&amp;"Stanine",wHdr,0))+0,""))</f>
        <v>8</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IFERROR(INDEX(tblY7[Class],ROWS(H$10:H141))&amp;"","")</f>
        <v/>
      </c>
      <c r="I141" t="str">
        <f>IF(H141="","",IF(SUMPRODUCT(--(H$10:H141=H141))=1,SUMPRODUCT(--(H$10:H$609&lt;H141))+1,""))</f>
        <v/>
      </c>
      <c r="J141" t="str">
        <f>IFERROR(INDEX(tblY8[Class],ROWS(J$10:J141))&amp;"","")</f>
        <v/>
      </c>
      <c r="K141" t="str">
        <f>IF(J141="","",IF(SUMPRODUCT(--(J$10:J141=J141))=1,SUMPRODUCT(--(J$10:J$609&lt;J141))+1,""))</f>
        <v/>
      </c>
      <c r="L141" t="str">
        <f>IFERROR(INDEX(tblY9[Class],ROWS(L$10:L141))&amp;"","")</f>
        <v/>
      </c>
      <c r="M141" t="str">
        <f>IF(L141="","",IF(SUMPRODUCT(--(L$10:L141=L141))=1,SUMPRODUCT(--(L$10:L$609&lt;L141))+1,""))</f>
        <v/>
      </c>
      <c r="N141" t="str">
        <f>IFERROR(INDEX(tblY10[Class],ROWS(N$10:N141))&amp;"","")</f>
        <v/>
      </c>
      <c r="O141" t="str">
        <f>IF(N141="","",IF(SUMPRODUCT(--(N$10:N141=N141))=1,SUMPRODUCT(--(N$10:N$609&lt;N141))+1,""))</f>
        <v/>
      </c>
      <c r="P141" t="str">
        <f>IFERROR(INDEX(tblY11[Class],ROWS(P$10:P141))&amp;"","")</f>
        <v/>
      </c>
      <c r="Q141" t="str">
        <f>IF(P141="","",IF(SUMPRODUCT(--(P$10:P141=P141))=1,SUMPRODUCT(--(P$10:P$609&lt;P141))+1,""))</f>
        <v/>
      </c>
      <c r="BA141" t="str">
        <f>IFERROR(INDEX(wLast,72)&amp;"","")</f>
        <v>Roberts</v>
      </c>
      <c r="BB141" t="str">
        <f>IF(BA141="","",IFERROR(INDEX(wFirst,72)&amp;"",""))</f>
        <v>Oscar</v>
      </c>
      <c r="BC141" t="str">
        <f>IF(BA141="","",IFERROR(INDEX(wClass,72)&amp;"",""))</f>
        <v>11S/Sc3</v>
      </c>
      <c r="BD141">
        <f>IF(BA141="","",IFERROR(INDEX(wKsBand,72)+0,""))</f>
        <v>4</v>
      </c>
      <c r="BE141">
        <f>IF(BA141="","",IFERROR(INDEX(wTests,72)+0,0))</f>
        <v>6</v>
      </c>
      <c r="BF141">
        <f>IF(BA141="","",IFERROR(INDEX(wMean,72)+0,""))</f>
        <v>3.66666666666667</v>
      </c>
      <c r="BG141">
        <f>IF(BA141="","",IFERROR(INDEX(wVs,72)+0,""))</f>
        <v>-0.537168109668109</v>
      </c>
      <c r="BH141">
        <f>IF(OR(BA141="",wLatest=""),"",IFERROR(INDEX(wData,72,MATCH(wLatest&amp;CHAR(10)&amp;"Stanine",wHdr,0))+0,""))</f>
        <v>5</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IFERROR(INDEX(tblY7[Class],ROWS(H$10:H142))&amp;"","")</f>
        <v/>
      </c>
      <c r="I142" t="str">
        <f>IF(H142="","",IF(SUMPRODUCT(--(H$10:H142=H142))=1,SUMPRODUCT(--(H$10:H$609&lt;H142))+1,""))</f>
        <v/>
      </c>
      <c r="J142" t="str">
        <f>IFERROR(INDEX(tblY8[Class],ROWS(J$10:J142))&amp;"","")</f>
        <v/>
      </c>
      <c r="K142" t="str">
        <f>IF(J142="","",IF(SUMPRODUCT(--(J$10:J142=J142))=1,SUMPRODUCT(--(J$10:J$609&lt;J142))+1,""))</f>
        <v/>
      </c>
      <c r="L142" t="str">
        <f>IFERROR(INDEX(tblY9[Class],ROWS(L$10:L142))&amp;"","")</f>
        <v/>
      </c>
      <c r="M142" t="str">
        <f>IF(L142="","",IF(SUMPRODUCT(--(L$10:L142=L142))=1,SUMPRODUCT(--(L$10:L$609&lt;L142))+1,""))</f>
        <v/>
      </c>
      <c r="N142" t="str">
        <f>IFERROR(INDEX(tblY10[Class],ROWS(N$10:N142))&amp;"","")</f>
        <v/>
      </c>
      <c r="O142" t="str">
        <f>IF(N142="","",IF(SUMPRODUCT(--(N$10:N142=N142))=1,SUMPRODUCT(--(N$10:N$609&lt;N142))+1,""))</f>
        <v/>
      </c>
      <c r="P142" t="str">
        <f>IFERROR(INDEX(tblY11[Class],ROWS(P$10:P142))&amp;"","")</f>
        <v/>
      </c>
      <c r="Q142" t="str">
        <f>IF(P142="","",IF(SUMPRODUCT(--(P$10:P142=P142))=1,SUMPRODUCT(--(P$10:P$609&lt;P142))+1,""))</f>
        <v/>
      </c>
      <c r="BA142" t="str">
        <f>IFERROR(INDEX(wLast,73)&amp;"","")</f>
        <v>Shaw</v>
      </c>
      <c r="BB142" t="str">
        <f>IF(BA142="","",IFERROR(INDEX(wFirst,73)&amp;"",""))</f>
        <v>Ethan</v>
      </c>
      <c r="BC142" t="str">
        <f>IF(BA142="","",IFERROR(INDEX(wClass,73)&amp;"",""))</f>
        <v>11S/Sc3</v>
      </c>
      <c r="BD142">
        <f>IF(BA142="","",IFERROR(INDEX(wKsBand,73)+0,""))</f>
        <v>4</v>
      </c>
      <c r="BE142">
        <f>IF(BA142="","",IFERROR(INDEX(wTests,73)+0,0))</f>
        <v>5</v>
      </c>
      <c r="BF142">
        <f>IF(BA142="","",IFERROR(INDEX(wMean,73)+0,""))</f>
        <v>5</v>
      </c>
      <c r="BG142">
        <f>IF(BA142="","",IFERROR(INDEX(wVs,73)+0,""))</f>
        <v>0.796165223665224</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IFERROR(INDEX(tblY7[Class],ROWS(H$10:H143))&amp;"","")</f>
        <v/>
      </c>
      <c r="I143" t="str">
        <f>IF(H143="","",IF(SUMPRODUCT(--(H$10:H143=H143))=1,SUMPRODUCT(--(H$10:H$609&lt;H143))+1,""))</f>
        <v/>
      </c>
      <c r="J143" t="str">
        <f>IFERROR(INDEX(tblY8[Class],ROWS(J$10:J143))&amp;"","")</f>
        <v/>
      </c>
      <c r="K143" t="str">
        <f>IF(J143="","",IF(SUMPRODUCT(--(J$10:J143=J143))=1,SUMPRODUCT(--(J$10:J$609&lt;J143))+1,""))</f>
        <v/>
      </c>
      <c r="L143" t="str">
        <f>IFERROR(INDEX(tblY9[Class],ROWS(L$10:L143))&amp;"","")</f>
        <v/>
      </c>
      <c r="M143" t="str">
        <f>IF(L143="","",IF(SUMPRODUCT(--(L$10:L143=L143))=1,SUMPRODUCT(--(L$10:L$609&lt;L143))+1,""))</f>
        <v/>
      </c>
      <c r="N143" t="str">
        <f>IFERROR(INDEX(tblY10[Class],ROWS(N$10:N143))&amp;"","")</f>
        <v/>
      </c>
      <c r="O143" t="str">
        <f>IF(N143="","",IF(SUMPRODUCT(--(N$10:N143=N143))=1,SUMPRODUCT(--(N$10:N$609&lt;N143))+1,""))</f>
        <v/>
      </c>
      <c r="P143" t="str">
        <f>IFERROR(INDEX(tblY11[Class],ROWS(P$10:P143))&amp;"","")</f>
        <v/>
      </c>
      <c r="Q143" t="str">
        <f>IF(P143="","",IF(SUMPRODUCT(--(P$10:P143=P143))=1,SUMPRODUCT(--(P$10:P$609&lt;P143))+1,""))</f>
        <v/>
      </c>
      <c r="BA143" t="str">
        <f>IFERROR(INDEX(wLast,74)&amp;"","")</f>
        <v>Taylor</v>
      </c>
      <c r="BB143" t="str">
        <f>IF(BA143="","",IFERROR(INDEX(wFirst,74)&amp;"",""))</f>
        <v>Nia</v>
      </c>
      <c r="BC143" t="str">
        <f>IF(BA143="","",IFERROR(INDEX(wClass,74)&amp;"",""))</f>
        <v>11S/Sc3</v>
      </c>
      <c r="BD143">
        <f>IF(BA143="","",IFERROR(INDEX(wKsBand,74)+0,""))</f>
        <v>5</v>
      </c>
      <c r="BE143">
        <f>IF(BA143="","",IFERROR(INDEX(wTests,74)+0,0))</f>
        <v>6</v>
      </c>
      <c r="BF143">
        <f>IF(BA143="","",IFERROR(INDEX(wMean,74)+0,""))</f>
        <v>4.66666666666667</v>
      </c>
      <c r="BG143">
        <f>IF(BA143="","",IFERROR(INDEX(wVs,74)+0,""))</f>
        <v>-0.286031746031745</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IFERROR(INDEX(tblY7[Class],ROWS(H$10:H144))&amp;"","")</f>
        <v/>
      </c>
      <c r="I144" t="str">
        <f>IF(H144="","",IF(SUMPRODUCT(--(H$10:H144=H144))=1,SUMPRODUCT(--(H$10:H$609&lt;H144))+1,""))</f>
        <v/>
      </c>
      <c r="J144" t="str">
        <f>IFERROR(INDEX(tblY8[Class],ROWS(J$10:J144))&amp;"","")</f>
        <v/>
      </c>
      <c r="K144" t="str">
        <f>IF(J144="","",IF(SUMPRODUCT(--(J$10:J144=J144))=1,SUMPRODUCT(--(J$10:J$609&lt;J144))+1,""))</f>
        <v/>
      </c>
      <c r="L144" t="str">
        <f>IFERROR(INDEX(tblY9[Class],ROWS(L$10:L144))&amp;"","")</f>
        <v/>
      </c>
      <c r="M144" t="str">
        <f>IF(L144="","",IF(SUMPRODUCT(--(L$10:L144=L144))=1,SUMPRODUCT(--(L$10:L$609&lt;L144))+1,""))</f>
        <v/>
      </c>
      <c r="N144" t="str">
        <f>IFERROR(INDEX(tblY10[Class],ROWS(N$10:N144))&amp;"","")</f>
        <v/>
      </c>
      <c r="O144" t="str">
        <f>IF(N144="","",IF(SUMPRODUCT(--(N$10:N144=N144))=1,SUMPRODUCT(--(N$10:N$609&lt;N144))+1,""))</f>
        <v/>
      </c>
      <c r="P144" t="str">
        <f>IFERROR(INDEX(tblY11[Class],ROWS(P$10:P144))&amp;"","")</f>
        <v/>
      </c>
      <c r="Q144" t="str">
        <f>IF(P144="","",IF(SUMPRODUCT(--(P$10:P144=P144))=1,SUMPRODUCT(--(P$10:P$609&lt;P144))+1,""))</f>
        <v/>
      </c>
      <c r="BA144" t="str">
        <f>IFERROR(INDEX(wLast,75)&amp;"","")</f>
        <v>White</v>
      </c>
      <c r="BB144" t="str">
        <f>IF(BA144="","",IFERROR(INDEX(wFirst,75)&amp;"",""))</f>
        <v>Lily</v>
      </c>
      <c r="BC144" t="str">
        <f>IF(BA144="","",IFERROR(INDEX(wClass,75)&amp;"",""))</f>
        <v>11S/Sc3</v>
      </c>
      <c r="BD144">
        <f>IF(BA144="","",IFERROR(INDEX(wKsBand,75)+0,""))</f>
        <v>7</v>
      </c>
      <c r="BE144">
        <f>IF(BA144="","",IFERROR(INDEX(wTests,75)+0,0))</f>
        <v>6</v>
      </c>
      <c r="BF144">
        <f>IF(BA144="","",IFERROR(INDEX(wMean,75)+0,""))</f>
        <v>7.16666666666667</v>
      </c>
      <c r="BG144">
        <f>IF(BA144="","",IFERROR(INDEX(wVs,75)+0,""))</f>
        <v>0.716240981240982</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IFERROR(INDEX(tblY7[Class],ROWS(H$10:H145))&amp;"","")</f>
        <v/>
      </c>
      <c r="I145" t="str">
        <f>IF(H145="","",IF(SUMPRODUCT(--(H$10:H145=H145))=1,SUMPRODUCT(--(H$10:H$609&lt;H145))+1,""))</f>
        <v/>
      </c>
      <c r="J145" t="str">
        <f>IFERROR(INDEX(tblY8[Class],ROWS(J$10:J145))&amp;"","")</f>
        <v/>
      </c>
      <c r="K145" t="str">
        <f>IF(J145="","",IF(SUMPRODUCT(--(J$10:J145=J145))=1,SUMPRODUCT(--(J$10:J$609&lt;J145))+1,""))</f>
        <v/>
      </c>
      <c r="L145" t="str">
        <f>IFERROR(INDEX(tblY9[Class],ROWS(L$10:L145))&amp;"","")</f>
        <v/>
      </c>
      <c r="M145" t="str">
        <f>IF(L145="","",IF(SUMPRODUCT(--(L$10:L145=L145))=1,SUMPRODUCT(--(L$10:L$609&lt;L145))+1,""))</f>
        <v/>
      </c>
      <c r="N145" t="str">
        <f>IFERROR(INDEX(tblY10[Class],ROWS(N$10:N145))&amp;"","")</f>
        <v/>
      </c>
      <c r="O145" t="str">
        <f>IF(N145="","",IF(SUMPRODUCT(--(N$10:N145=N145))=1,SUMPRODUCT(--(N$10:N$609&lt;N145))+1,""))</f>
        <v/>
      </c>
      <c r="P145" t="str">
        <f>IFERROR(INDEX(tblY11[Class],ROWS(P$10:P145))&amp;"","")</f>
        <v/>
      </c>
      <c r="Q145" t="str">
        <f>IF(P145="","",IF(SUMPRODUCT(--(P$10:P145=P145))=1,SUMPRODUCT(--(P$10:P$609&lt;P145))+1,""))</f>
        <v/>
      </c>
      <c r="BA145" t="str">
        <f>IFERROR(INDEX(wLast,76)&amp;"","")</f>
        <v>Adeyemi</v>
      </c>
      <c r="BB145" t="str">
        <f>IF(BA145="","",IFERROR(INDEX(wFirst,76)&amp;"",""))</f>
        <v>Isla</v>
      </c>
      <c r="BC145" t="str">
        <f>IF(BA145="","",IFERROR(INDEX(wClass,76)&amp;"",""))</f>
        <v>11S/Sc4</v>
      </c>
      <c r="BD145">
        <f>IF(BA145="","",IFERROR(INDEX(wKsBand,76)+0,""))</f>
        <v>4</v>
      </c>
      <c r="BE145">
        <f>IF(BA145="","",IFERROR(INDEX(wTests,76)+0,0))</f>
        <v>6</v>
      </c>
      <c r="BF145">
        <f>IF(BA145="","",IFERROR(INDEX(wMean,76)+0,""))</f>
        <v>3.66666666666667</v>
      </c>
      <c r="BG145">
        <f>IF(BA145="","",IFERROR(INDEX(wVs,76)+0,""))</f>
        <v>-0.537168109668109</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IFERROR(INDEX(tblY7[Class],ROWS(H$10:H146))&amp;"","")</f>
        <v/>
      </c>
      <c r="I146" t="str">
        <f>IF(H146="","",IF(SUMPRODUCT(--(H$10:H146=H146))=1,SUMPRODUCT(--(H$10:H$609&lt;H146))+1,""))</f>
        <v/>
      </c>
      <c r="J146" t="str">
        <f>IFERROR(INDEX(tblY8[Class],ROWS(J$10:J146))&amp;"","")</f>
        <v/>
      </c>
      <c r="K146" t="str">
        <f>IF(J146="","",IF(SUMPRODUCT(--(J$10:J146=J146))=1,SUMPRODUCT(--(J$10:J$609&lt;J146))+1,""))</f>
        <v/>
      </c>
      <c r="L146" t="str">
        <f>IFERROR(INDEX(tblY9[Class],ROWS(L$10:L146))&amp;"","")</f>
        <v/>
      </c>
      <c r="M146" t="str">
        <f>IF(L146="","",IF(SUMPRODUCT(--(L$10:L146=L146))=1,SUMPRODUCT(--(L$10:L$609&lt;L146))+1,""))</f>
        <v/>
      </c>
      <c r="N146" t="str">
        <f>IFERROR(INDEX(tblY10[Class],ROWS(N$10:N146))&amp;"","")</f>
        <v/>
      </c>
      <c r="O146" t="str">
        <f>IF(N146="","",IF(SUMPRODUCT(--(N$10:N146=N146))=1,SUMPRODUCT(--(N$10:N$609&lt;N146))+1,""))</f>
        <v/>
      </c>
      <c r="P146" t="str">
        <f>IFERROR(INDEX(tblY11[Class],ROWS(P$10:P146))&amp;"","")</f>
        <v/>
      </c>
      <c r="Q146" t="str">
        <f>IF(P146="","",IF(SUMPRODUCT(--(P$10:P146=P146))=1,SUMPRODUCT(--(P$10:P$609&lt;P146))+1,""))</f>
        <v/>
      </c>
      <c r="BA146" t="str">
        <f>IFERROR(INDEX(wLast,77)&amp;"","")</f>
        <v>Ahmed</v>
      </c>
      <c r="BB146" t="str">
        <f>IF(BA146="","",IFERROR(INDEX(wFirst,77)&amp;"",""))</f>
        <v>Maisie</v>
      </c>
      <c r="BC146" t="str">
        <f>IF(BA146="","",IFERROR(INDEX(wClass,77)&amp;"",""))</f>
        <v>11S/Sc4</v>
      </c>
      <c r="BD146">
        <f>IF(BA146="","",IFERROR(INDEX(wKsBand,77)+0,""))</f>
        <v>3</v>
      </c>
      <c r="BE146">
        <f>IF(BA146="","",IFERROR(INDEX(wTests,77)+0,0))</f>
        <v>6</v>
      </c>
      <c r="BF146">
        <f>IF(BA146="","",IFERROR(INDEX(wMean,77)+0,""))</f>
        <v>2.16666666666667</v>
      </c>
      <c r="BG146">
        <f>IF(BA146="","",IFERROR(INDEX(wVs,77)+0,""))</f>
        <v>-1.28830447330447</v>
      </c>
      <c r="BH146">
        <f>IF(OR(BA146="",wLatest=""),"",IFERROR(INDEX(wData,77,MATCH(wLatest&amp;CHAR(10)&amp;"Stanine",wHdr,0))+0,""))</f>
        <v>2</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IFERROR(INDEX(tblY7[Class],ROWS(H$10:H147))&amp;"","")</f>
        <v/>
      </c>
      <c r="I147" t="str">
        <f>IF(H147="","",IF(SUMPRODUCT(--(H$10:H147=H147))=1,SUMPRODUCT(--(H$10:H$609&lt;H147))+1,""))</f>
        <v/>
      </c>
      <c r="J147" t="str">
        <f>IFERROR(INDEX(tblY8[Class],ROWS(J$10:J147))&amp;"","")</f>
        <v/>
      </c>
      <c r="K147" t="str">
        <f>IF(J147="","",IF(SUMPRODUCT(--(J$10:J147=J147))=1,SUMPRODUCT(--(J$10:J$609&lt;J147))+1,""))</f>
        <v/>
      </c>
      <c r="L147" t="str">
        <f>IFERROR(INDEX(tblY9[Class],ROWS(L$10:L147))&amp;"","")</f>
        <v/>
      </c>
      <c r="M147" t="str">
        <f>IF(L147="","",IF(SUMPRODUCT(--(L$10:L147=L147))=1,SUMPRODUCT(--(L$10:L$609&lt;L147))+1,""))</f>
        <v/>
      </c>
      <c r="N147" t="str">
        <f>IFERROR(INDEX(tblY10[Class],ROWS(N$10:N147))&amp;"","")</f>
        <v/>
      </c>
      <c r="O147" t="str">
        <f>IF(N147="","",IF(SUMPRODUCT(--(N$10:N147=N147))=1,SUMPRODUCT(--(N$10:N$609&lt;N147))+1,""))</f>
        <v/>
      </c>
      <c r="P147" t="str">
        <f>IFERROR(INDEX(tblY11[Class],ROWS(P$10:P147))&amp;"","")</f>
        <v/>
      </c>
      <c r="Q147" t="str">
        <f>IF(P147="","",IF(SUMPRODUCT(--(P$10:P147=P147))=1,SUMPRODUCT(--(P$10:P$609&lt;P147))+1,""))</f>
        <v/>
      </c>
      <c r="BA147" t="str">
        <f>IFERROR(INDEX(wLast,78)&amp;"","")</f>
        <v>Cooper</v>
      </c>
      <c r="BB147" t="str">
        <f>IF(BA147="","",IFERROR(INDEX(wFirst,78)&amp;"",""))</f>
        <v>Amelia</v>
      </c>
      <c r="BC147" t="str">
        <f>IF(BA147="","",IFERROR(INDEX(wClass,78)&amp;"",""))</f>
        <v>11S/Sc4</v>
      </c>
      <c r="BD147">
        <f>IF(BA147="","",IFERROR(INDEX(wKsBand,78)+0,""))</f>
        <v>5</v>
      </c>
      <c r="BE147">
        <f>IF(BA147="","",IFERROR(INDEX(wTests,78)+0,0))</f>
        <v>6</v>
      </c>
      <c r="BF147">
        <f>IF(BA147="","",IFERROR(INDEX(wMean,78)+0,""))</f>
        <v>4.66666666666667</v>
      </c>
      <c r="BG147">
        <f>IF(BA147="","",IFERROR(INDEX(wVs,78)+0,""))</f>
        <v>-0.286031746031745</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IFERROR(INDEX(tblY7[Class],ROWS(H$10:H148))&amp;"","")</f>
        <v/>
      </c>
      <c r="I148" t="str">
        <f>IF(H148="","",IF(SUMPRODUCT(--(H$10:H148=H148))=1,SUMPRODUCT(--(H$10:H$609&lt;H148))+1,""))</f>
        <v/>
      </c>
      <c r="J148" t="str">
        <f>IFERROR(INDEX(tblY8[Class],ROWS(J$10:J148))&amp;"","")</f>
        <v/>
      </c>
      <c r="K148" t="str">
        <f>IF(J148="","",IF(SUMPRODUCT(--(J$10:J148=J148))=1,SUMPRODUCT(--(J$10:J$609&lt;J148))+1,""))</f>
        <v/>
      </c>
      <c r="L148" t="str">
        <f>IFERROR(INDEX(tblY9[Class],ROWS(L$10:L148))&amp;"","")</f>
        <v/>
      </c>
      <c r="M148" t="str">
        <f>IF(L148="","",IF(SUMPRODUCT(--(L$10:L148=L148))=1,SUMPRODUCT(--(L$10:L$609&lt;L148))+1,""))</f>
        <v/>
      </c>
      <c r="N148" t="str">
        <f>IFERROR(INDEX(tblY10[Class],ROWS(N$10:N148))&amp;"","")</f>
        <v/>
      </c>
      <c r="O148" t="str">
        <f>IF(N148="","",IF(SUMPRODUCT(--(N$10:N148=N148))=1,SUMPRODUCT(--(N$10:N$609&lt;N148))+1,""))</f>
        <v/>
      </c>
      <c r="P148" t="str">
        <f>IFERROR(INDEX(tblY11[Class],ROWS(P$10:P148))&amp;"","")</f>
        <v/>
      </c>
      <c r="Q148" t="str">
        <f>IF(P148="","",IF(SUMPRODUCT(--(P$10:P148=P148))=1,SUMPRODUCT(--(P$10:P$609&lt;P148))+1,""))</f>
        <v/>
      </c>
      <c r="BA148" t="str">
        <f>IFERROR(INDEX(wLast,79)&amp;"","")</f>
        <v>Khan</v>
      </c>
      <c r="BB148" t="str">
        <f>IF(BA148="","",IFERROR(INDEX(wFirst,79)&amp;"",""))</f>
        <v>Zofia</v>
      </c>
      <c r="BC148" t="str">
        <f>IF(BA148="","",IFERROR(INDEX(wClass,79)&amp;"",""))</f>
        <v>11S/Sc4</v>
      </c>
      <c r="BD148">
        <f>IF(BA148="","",IFERROR(INDEX(wKsBand,79)+0,""))</f>
        <v>4</v>
      </c>
      <c r="BE148">
        <f>IF(BA148="","",IFERROR(INDEX(wTests,79)+0,0))</f>
        <v>6</v>
      </c>
      <c r="BF148">
        <f>IF(BA148="","",IFERROR(INDEX(wMean,79)+0,""))</f>
        <v>3.33333333333333</v>
      </c>
      <c r="BG148">
        <f>IF(BA148="","",IFERROR(INDEX(wVs,79)+0,""))</f>
        <v>-0.870501443001442</v>
      </c>
      <c r="BH148">
        <f>IF(OR(BA148="",wLatest=""),"",IFERROR(INDEX(wData,79,MATCH(wLatest&amp;CHAR(10)&amp;"Stanine",wHdr,0))+0,""))</f>
        <v>4</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IFERROR(INDEX(tblY7[Class],ROWS(H$10:H149))&amp;"","")</f>
        <v/>
      </c>
      <c r="I149" t="str">
        <f>IF(H149="","",IF(SUMPRODUCT(--(H$10:H149=H149))=1,SUMPRODUCT(--(H$10:H$609&lt;H149))+1,""))</f>
        <v/>
      </c>
      <c r="J149" t="str">
        <f>IFERROR(INDEX(tblY8[Class],ROWS(J$10:J149))&amp;"","")</f>
        <v/>
      </c>
      <c r="K149" t="str">
        <f>IF(J149="","",IF(SUMPRODUCT(--(J$10:J149=J149))=1,SUMPRODUCT(--(J$10:J$609&lt;J149))+1,""))</f>
        <v/>
      </c>
      <c r="L149" t="str">
        <f>IFERROR(INDEX(tblY9[Class],ROWS(L$10:L149))&amp;"","")</f>
        <v/>
      </c>
      <c r="M149" t="str">
        <f>IF(L149="","",IF(SUMPRODUCT(--(L$10:L149=L149))=1,SUMPRODUCT(--(L$10:L$609&lt;L149))+1,""))</f>
        <v/>
      </c>
      <c r="N149" t="str">
        <f>IFERROR(INDEX(tblY10[Class],ROWS(N$10:N149))&amp;"","")</f>
        <v/>
      </c>
      <c r="O149" t="str">
        <f>IF(N149="","",IF(SUMPRODUCT(--(N$10:N149=N149))=1,SUMPRODUCT(--(N$10:N$609&lt;N149))+1,""))</f>
        <v/>
      </c>
      <c r="P149" t="str">
        <f>IFERROR(INDEX(tblY11[Class],ROWS(P$10:P149))&amp;"","")</f>
        <v/>
      </c>
      <c r="Q149" t="str">
        <f>IF(P149="","",IF(SUMPRODUCT(--(P$10:P149=P149))=1,SUMPRODUCT(--(P$10:P$609&lt;P149))+1,""))</f>
        <v/>
      </c>
      <c r="BA149" t="str">
        <f>IFERROR(INDEX(wLast,80)&amp;"","")</f>
        <v>Kowalski</v>
      </c>
      <c r="BB149" t="str">
        <f>IF(BA149="","",IFERROR(INDEX(wFirst,80)&amp;"",""))</f>
        <v>Layla</v>
      </c>
      <c r="BC149" t="str">
        <f>IF(BA149="","",IFERROR(INDEX(wClass,80)&amp;"",""))</f>
        <v>11S/Sc4</v>
      </c>
      <c r="BD149">
        <f>IF(BA149="","",IFERROR(INDEX(wKsBand,80)+0,""))</f>
        <v>2</v>
      </c>
      <c r="BE149">
        <f>IF(BA149="","",IFERROR(INDEX(wTests,80)+0,0))</f>
        <v>6</v>
      </c>
      <c r="BF149">
        <f>IF(BA149="","",IFERROR(INDEX(wMean,80)+0,""))</f>
        <v>2.66666666666667</v>
      </c>
      <c r="BG149">
        <f>IF(BA149="","",IFERROR(INDEX(wVs,80)+0,""))</f>
        <v>-0.0394408369408366</v>
      </c>
      <c r="BH149">
        <f>IF(OR(BA149="",wLatest=""),"",IFERROR(INDEX(wData,80,MATCH(wLatest&amp;CHAR(10)&amp;"Stanine",wHdr,0))+0,""))</f>
        <v>2</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IFERROR(INDEX(tblY7[Class],ROWS(H$10:H150))&amp;"","")</f>
        <v/>
      </c>
      <c r="I150" t="str">
        <f>IF(H150="","",IF(SUMPRODUCT(--(H$10:H150=H150))=1,SUMPRODUCT(--(H$10:H$609&lt;H150))+1,""))</f>
        <v/>
      </c>
      <c r="J150" t="str">
        <f>IFERROR(INDEX(tblY8[Class],ROWS(J$10:J150))&amp;"","")</f>
        <v/>
      </c>
      <c r="K150" t="str">
        <f>IF(J150="","",IF(SUMPRODUCT(--(J$10:J150=J150))=1,SUMPRODUCT(--(J$10:J$609&lt;J150))+1,""))</f>
        <v/>
      </c>
      <c r="L150" t="str">
        <f>IFERROR(INDEX(tblY9[Class],ROWS(L$10:L150))&amp;"","")</f>
        <v/>
      </c>
      <c r="M150" t="str">
        <f>IF(L150="","",IF(SUMPRODUCT(--(L$10:L150=L150))=1,SUMPRODUCT(--(L$10:L$609&lt;L150))+1,""))</f>
        <v/>
      </c>
      <c r="N150" t="str">
        <f>IFERROR(INDEX(tblY10[Class],ROWS(N$10:N150))&amp;"","")</f>
        <v/>
      </c>
      <c r="O150" t="str">
        <f>IF(N150="","",IF(SUMPRODUCT(--(N$10:N150=N150))=1,SUMPRODUCT(--(N$10:N$609&lt;N150))+1,""))</f>
        <v/>
      </c>
      <c r="P150" t="str">
        <f>IFERROR(INDEX(tblY11[Class],ROWS(P$10:P150))&amp;"","")</f>
        <v/>
      </c>
      <c r="Q150" t="str">
        <f>IF(P150="","",IF(SUMPRODUCT(--(P$10:P150=P150))=1,SUMPRODUCT(--(P$10:P$609&lt;P150))+1,""))</f>
        <v/>
      </c>
      <c r="BA150" t="str">
        <f>IFERROR(INDEX(wLast,81)&amp;"","")</f>
        <v>Lewis</v>
      </c>
      <c r="BB150" t="str">
        <f>IF(BA150="","",IFERROR(INDEX(wFirst,81)&amp;"",""))</f>
        <v>Amara</v>
      </c>
      <c r="BC150" t="str">
        <f>IF(BA150="","",IFERROR(INDEX(wClass,81)&amp;"",""))</f>
        <v>11S/Sc4</v>
      </c>
      <c r="BD150">
        <f>IF(BA150="","",IFERROR(INDEX(wKsBand,81)+0,""))</f>
        <v>5</v>
      </c>
      <c r="BE150">
        <f>IF(BA150="","",IFERROR(INDEX(wTests,81)+0,0))</f>
        <v>6</v>
      </c>
      <c r="BF150">
        <f>IF(BA150="","",IFERROR(INDEX(wMean,81)+0,""))</f>
        <v>4.5</v>
      </c>
      <c r="BG150">
        <f>IF(BA150="","",IFERROR(INDEX(wVs,81)+0,""))</f>
        <v>-0.452698412698412</v>
      </c>
      <c r="BH150">
        <f>IF(OR(BA150="",wLatest=""),"",IFERROR(INDEX(wData,81,MATCH(wLatest&amp;CHAR(10)&amp;"Stanine",wHdr,0))+0,""))</f>
        <v>3</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IFERROR(INDEX(tblY7[Class],ROWS(H$10:H151))&amp;"","")</f>
        <v/>
      </c>
      <c r="I151" t="str">
        <f>IF(H151="","",IF(SUMPRODUCT(--(H$10:H151=H151))=1,SUMPRODUCT(--(H$10:H$609&lt;H151))+1,""))</f>
        <v/>
      </c>
      <c r="J151" t="str">
        <f>IFERROR(INDEX(tblY8[Class],ROWS(J$10:J151))&amp;"","")</f>
        <v/>
      </c>
      <c r="K151" t="str">
        <f>IF(J151="","",IF(SUMPRODUCT(--(J$10:J151=J151))=1,SUMPRODUCT(--(J$10:J$609&lt;J151))+1,""))</f>
        <v/>
      </c>
      <c r="L151" t="str">
        <f>IFERROR(INDEX(tblY9[Class],ROWS(L$10:L151))&amp;"","")</f>
        <v/>
      </c>
      <c r="M151" t="str">
        <f>IF(L151="","",IF(SUMPRODUCT(--(L$10:L151=L151))=1,SUMPRODUCT(--(L$10:L$609&lt;L151))+1,""))</f>
        <v/>
      </c>
      <c r="N151" t="str">
        <f>IFERROR(INDEX(tblY10[Class],ROWS(N$10:N151))&amp;"","")</f>
        <v/>
      </c>
      <c r="O151" t="str">
        <f>IF(N151="","",IF(SUMPRODUCT(--(N$10:N151=N151))=1,SUMPRODUCT(--(N$10:N$609&lt;N151))+1,""))</f>
        <v/>
      </c>
      <c r="P151" t="str">
        <f>IFERROR(INDEX(tblY11[Class],ROWS(P$10:P151))&amp;"","")</f>
        <v/>
      </c>
      <c r="Q151" t="str">
        <f>IF(P151="","",IF(SUMPRODUCT(--(P$10:P151=P151))=1,SUMPRODUCT(--(P$10:P$609&lt;P151))+1,""))</f>
        <v/>
      </c>
      <c r="BA151" t="str">
        <f>IFERROR(INDEX(wLast,82)&amp;"","")</f>
        <v>Lewis</v>
      </c>
      <c r="BB151" t="str">
        <f>IF(BA151="","",IFERROR(INDEX(wFirst,82)&amp;"",""))</f>
        <v>Zara</v>
      </c>
      <c r="BC151" t="str">
        <f>IF(BA151="","",IFERROR(INDEX(wClass,82)&amp;"",""))</f>
        <v>11S/Sc4</v>
      </c>
      <c r="BD151">
        <f>IF(BA151="","",IFERROR(INDEX(wKsBand,82)+0,""))</f>
        <v>3</v>
      </c>
      <c r="BE151">
        <f>IF(BA151="","",IFERROR(INDEX(wTests,82)+0,0))</f>
        <v>5</v>
      </c>
      <c r="BF151">
        <f>IF(BA151="","",IFERROR(INDEX(wMean,82)+0,""))</f>
        <v>2.6</v>
      </c>
      <c r="BG151">
        <f>IF(BA151="","",IFERROR(INDEX(wVs,82)+0,""))</f>
        <v>-0.854971139971139</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IFERROR(INDEX(tblY7[Class],ROWS(H$10:H152))&amp;"","")</f>
        <v/>
      </c>
      <c r="I152" t="str">
        <f>IF(H152="","",IF(SUMPRODUCT(--(H$10:H152=H152))=1,SUMPRODUCT(--(H$10:H$609&lt;H152))+1,""))</f>
        <v/>
      </c>
      <c r="J152" t="str">
        <f>IFERROR(INDEX(tblY8[Class],ROWS(J$10:J152))&amp;"","")</f>
        <v/>
      </c>
      <c r="K152" t="str">
        <f>IF(J152="","",IF(SUMPRODUCT(--(J$10:J152=J152))=1,SUMPRODUCT(--(J$10:J$609&lt;J152))+1,""))</f>
        <v/>
      </c>
      <c r="L152" t="str">
        <f>IFERROR(INDEX(tblY9[Class],ROWS(L$10:L152))&amp;"","")</f>
        <v/>
      </c>
      <c r="M152" t="str">
        <f>IF(L152="","",IF(SUMPRODUCT(--(L$10:L152=L152))=1,SUMPRODUCT(--(L$10:L$609&lt;L152))+1,""))</f>
        <v/>
      </c>
      <c r="N152" t="str">
        <f>IFERROR(INDEX(tblY10[Class],ROWS(N$10:N152))&amp;"","")</f>
        <v/>
      </c>
      <c r="O152" t="str">
        <f>IF(N152="","",IF(SUMPRODUCT(--(N$10:N152=N152))=1,SUMPRODUCT(--(N$10:N$609&lt;N152))+1,""))</f>
        <v/>
      </c>
      <c r="P152" t="str">
        <f>IFERROR(INDEX(tblY11[Class],ROWS(P$10:P152))&amp;"","")</f>
        <v/>
      </c>
      <c r="Q152" t="str">
        <f>IF(P152="","",IF(SUMPRODUCT(--(P$10:P152=P152))=1,SUMPRODUCT(--(P$10:P$609&lt;P152))+1,""))</f>
        <v/>
      </c>
      <c r="BA152" t="str">
        <f>IFERROR(INDEX(wLast,83)&amp;"","")</f>
        <v>Morgan</v>
      </c>
      <c r="BB152" t="str">
        <f>IF(BA152="","",IFERROR(INDEX(wFirst,83)&amp;"",""))</f>
        <v>Amara</v>
      </c>
      <c r="BC152" t="str">
        <f>IF(BA152="","",IFERROR(INDEX(wClass,83)&amp;"",""))</f>
        <v>11S/Sc4</v>
      </c>
      <c r="BD152">
        <f>IF(BA152="","",IFERROR(INDEX(wKsBand,83)+0,""))</f>
        <v>5</v>
      </c>
      <c r="BE152">
        <f>IF(BA152="","",IFERROR(INDEX(wTests,83)+0,0))</f>
        <v>6</v>
      </c>
      <c r="BF152">
        <f>IF(BA152="","",IFERROR(INDEX(wMean,83)+0,""))</f>
        <v>3.33333333333333</v>
      </c>
      <c r="BG152">
        <f>IF(BA152="","",IFERROR(INDEX(wVs,83)+0,""))</f>
        <v>-1.61936507936508</v>
      </c>
      <c r="BH152">
        <f>IF(OR(BA152="",wLatest=""),"",IFERROR(INDEX(wData,83,MATCH(wLatest&amp;CHAR(10)&amp;"Stanine",wHdr,0))+0,""))</f>
        <v>4</v>
      </c>
      <c r="BI152" t="str">
        <f>IF(BA152="","",IF(AND(ISNUMBER(BG152),N(BE152)&gt;=WlMinTests,BG152&lt;=-WlGap),"Below expected for KS2",IF(AND(NOT(ISNUMBER(BD152)),ISNUMBER(BF152),N(BE152)&gt;=WlMinTests,BF152&lt;=WlLowMean),"Low results, no KS2 data","")))</f>
        <v>Below expected for KS2</v>
      </c>
      <c r="BJ152">
        <f>IF(BI152="","",IF(BI152="Below expected for KS2",BG152,100+BF152)+ROW()/1000000)</f>
        <v>-1.61921307936508</v>
      </c>
    </row>
    <row r="153">
      <c r="H153" t="str">
        <f>IFERROR(INDEX(tblY7[Class],ROWS(H$10:H153))&amp;"","")</f>
        <v/>
      </c>
      <c r="I153" t="str">
        <f>IF(H153="","",IF(SUMPRODUCT(--(H$10:H153=H153))=1,SUMPRODUCT(--(H$10:H$609&lt;H153))+1,""))</f>
        <v/>
      </c>
      <c r="J153" t="str">
        <f>IFERROR(INDEX(tblY8[Class],ROWS(J$10:J153))&amp;"","")</f>
        <v/>
      </c>
      <c r="K153" t="str">
        <f>IF(J153="","",IF(SUMPRODUCT(--(J$10:J153=J153))=1,SUMPRODUCT(--(J$10:J$609&lt;J153))+1,""))</f>
        <v/>
      </c>
      <c r="L153" t="str">
        <f>IFERROR(INDEX(tblY9[Class],ROWS(L$10:L153))&amp;"","")</f>
        <v/>
      </c>
      <c r="M153" t="str">
        <f>IF(L153="","",IF(SUMPRODUCT(--(L$10:L153=L153))=1,SUMPRODUCT(--(L$10:L$609&lt;L153))+1,""))</f>
        <v/>
      </c>
      <c r="N153" t="str">
        <f>IFERROR(INDEX(tblY10[Class],ROWS(N$10:N153))&amp;"","")</f>
        <v/>
      </c>
      <c r="O153" t="str">
        <f>IF(N153="","",IF(SUMPRODUCT(--(N$10:N153=N153))=1,SUMPRODUCT(--(N$10:N$609&lt;N153))+1,""))</f>
        <v/>
      </c>
      <c r="P153" t="str">
        <f>IFERROR(INDEX(tblY11[Class],ROWS(P$10:P153))&amp;"","")</f>
        <v/>
      </c>
      <c r="Q153" t="str">
        <f>IF(P153="","",IF(SUMPRODUCT(--(P$10:P153=P153))=1,SUMPRODUCT(--(P$10:P$609&lt;P153))+1,""))</f>
        <v/>
      </c>
      <c r="BA153" t="str">
        <f>IFERROR(INDEX(wLast,84)&amp;"","")</f>
        <v>Morgan</v>
      </c>
      <c r="BB153" t="str">
        <f>IF(BA153="","",IFERROR(INDEX(wFirst,84)&amp;"",""))</f>
        <v>Hannah</v>
      </c>
      <c r="BC153" t="str">
        <f>IF(BA153="","",IFERROR(INDEX(wClass,84)&amp;"",""))</f>
        <v>11S/Sc4</v>
      </c>
      <c r="BD153">
        <f>IF(BA153="","",IFERROR(INDEX(wKsBand,84)+0,""))</f>
        <v>4</v>
      </c>
      <c r="BE153">
        <f>IF(BA153="","",IFERROR(INDEX(wTests,84)+0,0))</f>
        <v>6</v>
      </c>
      <c r="BF153">
        <f>IF(BA153="","",IFERROR(INDEX(wMean,84)+0,""))</f>
        <v>4.66666666666667</v>
      </c>
      <c r="BG153">
        <f>IF(BA153="","",IFERROR(INDEX(wVs,84)+0,""))</f>
        <v>0.462831890331891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IFERROR(INDEX(tblY7[Class],ROWS(H$10:H154))&amp;"","")</f>
        <v/>
      </c>
      <c r="I154" t="str">
        <f>IF(H154="","",IF(SUMPRODUCT(--(H$10:H154=H154))=1,SUMPRODUCT(--(H$10:H$609&lt;H154))+1,""))</f>
        <v/>
      </c>
      <c r="J154" t="str">
        <f>IFERROR(INDEX(tblY8[Class],ROWS(J$10:J154))&amp;"","")</f>
        <v/>
      </c>
      <c r="K154" t="str">
        <f>IF(J154="","",IF(SUMPRODUCT(--(J$10:J154=J154))=1,SUMPRODUCT(--(J$10:J$609&lt;J154))+1,""))</f>
        <v/>
      </c>
      <c r="L154" t="str">
        <f>IFERROR(INDEX(tblY9[Class],ROWS(L$10:L154))&amp;"","")</f>
        <v/>
      </c>
      <c r="M154" t="str">
        <f>IF(L154="","",IF(SUMPRODUCT(--(L$10:L154=L154))=1,SUMPRODUCT(--(L$10:L$609&lt;L154))+1,""))</f>
        <v/>
      </c>
      <c r="N154" t="str">
        <f>IFERROR(INDEX(tblY10[Class],ROWS(N$10:N154))&amp;"","")</f>
        <v/>
      </c>
      <c r="O154" t="str">
        <f>IF(N154="","",IF(SUMPRODUCT(--(N$10:N154=N154))=1,SUMPRODUCT(--(N$10:N$609&lt;N154))+1,""))</f>
        <v/>
      </c>
      <c r="P154" t="str">
        <f>IFERROR(INDEX(tblY11[Class],ROWS(P$10:P154))&amp;"","")</f>
        <v/>
      </c>
      <c r="Q154" t="str">
        <f>IF(P154="","",IF(SUMPRODUCT(--(P$10:P154=P154))=1,SUMPRODUCT(--(P$10:P$609&lt;P154))+1,""))</f>
        <v/>
      </c>
      <c r="BA154" t="str">
        <f>IFERROR(INDEX(wLast,85)&amp;"","")</f>
        <v>Nowak</v>
      </c>
      <c r="BB154" t="str">
        <f>IF(BA154="","",IFERROR(INDEX(wFirst,85)&amp;"",""))</f>
        <v>Isla</v>
      </c>
      <c r="BC154" t="str">
        <f>IF(BA154="","",IFERROR(INDEX(wClass,85)&amp;"",""))</f>
        <v>11S/Sc4</v>
      </c>
      <c r="BD154">
        <f>IF(BA154="","",IFERROR(INDEX(wKsBand,85)+0,""))</f>
        <v>5</v>
      </c>
      <c r="BE154">
        <f>IF(BA154="","",IFERROR(INDEX(wTests,85)+0,0))</f>
        <v>6</v>
      </c>
      <c r="BF154">
        <f>IF(BA154="","",IFERROR(INDEX(wMean,85)+0,""))</f>
        <v>4.66666666666667</v>
      </c>
      <c r="BG154">
        <f>IF(BA154="","",IFERROR(INDEX(wVs,85)+0,""))</f>
        <v>-0.286031746031745</v>
      </c>
      <c r="BH154">
        <f>IF(OR(BA154="",wLatest=""),"",IFERROR(INDEX(wData,85,MATCH(wLatest&amp;CHAR(10)&amp;"Stanine",wHdr,0))+0,""))</f>
        <v>5</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IFERROR(INDEX(tblY7[Class],ROWS(H$10:H155))&amp;"","")</f>
        <v/>
      </c>
      <c r="I155" t="str">
        <f>IF(H155="","",IF(SUMPRODUCT(--(H$10:H155=H155))=1,SUMPRODUCT(--(H$10:H$609&lt;H155))+1,""))</f>
        <v/>
      </c>
      <c r="J155" t="str">
        <f>IFERROR(INDEX(tblY8[Class],ROWS(J$10:J155))&amp;"","")</f>
        <v/>
      </c>
      <c r="K155" t="str">
        <f>IF(J155="","",IF(SUMPRODUCT(--(J$10:J155=J155))=1,SUMPRODUCT(--(J$10:J$609&lt;J155))+1,""))</f>
        <v/>
      </c>
      <c r="L155" t="str">
        <f>IFERROR(INDEX(tblY9[Class],ROWS(L$10:L155))&amp;"","")</f>
        <v/>
      </c>
      <c r="M155" t="str">
        <f>IF(L155="","",IF(SUMPRODUCT(--(L$10:L155=L155))=1,SUMPRODUCT(--(L$10:L$609&lt;L155))+1,""))</f>
        <v/>
      </c>
      <c r="N155" t="str">
        <f>IFERROR(INDEX(tblY10[Class],ROWS(N$10:N155))&amp;"","")</f>
        <v/>
      </c>
      <c r="O155" t="str">
        <f>IF(N155="","",IF(SUMPRODUCT(--(N$10:N155=N155))=1,SUMPRODUCT(--(N$10:N$609&lt;N155))+1,""))</f>
        <v/>
      </c>
      <c r="P155" t="str">
        <f>IFERROR(INDEX(tblY11[Class],ROWS(P$10:P155))&amp;"","")</f>
        <v/>
      </c>
      <c r="Q155" t="str">
        <f>IF(P155="","",IF(SUMPRODUCT(--(P$10:P155=P155))=1,SUMPRODUCT(--(P$10:P$609&lt;P155))+1,""))</f>
        <v/>
      </c>
      <c r="BA155" t="str">
        <f>IFERROR(INDEX(wLast,86)&amp;"","")</f>
        <v>Parker</v>
      </c>
      <c r="BB155" t="str">
        <f>IF(BA155="","",IFERROR(INDEX(wFirst,86)&amp;"",""))</f>
        <v>Rhys</v>
      </c>
      <c r="BC155" t="str">
        <f>IF(BA155="","",IFERROR(INDEX(wClass,86)&amp;"",""))</f>
        <v>11S/Sc4</v>
      </c>
      <c r="BD155">
        <f>IF(BA155="","",IFERROR(INDEX(wKsBand,86)+0,""))</f>
        <v>5</v>
      </c>
      <c r="BE155">
        <f>IF(BA155="","",IFERROR(INDEX(wTests,86)+0,0))</f>
        <v>6</v>
      </c>
      <c r="BF155">
        <f>IF(BA155="","",IFERROR(INDEX(wMean,86)+0,""))</f>
        <v>3.83333333333333</v>
      </c>
      <c r="BG155">
        <f>IF(BA155="","",IFERROR(INDEX(wVs,86)+0,""))</f>
        <v>-1.11936507936508</v>
      </c>
      <c r="BH155">
        <f>IF(OR(BA155="",wLatest=""),"",IFERROR(INDEX(wData,86,MATCH(wLatest&amp;CHAR(10)&amp;"Stanine",wHdr,0))+0,""))</f>
        <v>4</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IFERROR(INDEX(tblY7[Class],ROWS(H$10:H156))&amp;"","")</f>
        <v/>
      </c>
      <c r="I156" t="str">
        <f>IF(H156="","",IF(SUMPRODUCT(--(H$10:H156=H156))=1,SUMPRODUCT(--(H$10:H$609&lt;H156))+1,""))</f>
        <v/>
      </c>
      <c r="J156" t="str">
        <f>IFERROR(INDEX(tblY8[Class],ROWS(J$10:J156))&amp;"","")</f>
        <v/>
      </c>
      <c r="K156" t="str">
        <f>IF(J156="","",IF(SUMPRODUCT(--(J$10:J156=J156))=1,SUMPRODUCT(--(J$10:J$609&lt;J156))+1,""))</f>
        <v/>
      </c>
      <c r="L156" t="str">
        <f>IFERROR(INDEX(tblY9[Class],ROWS(L$10:L156))&amp;"","")</f>
        <v/>
      </c>
      <c r="M156" t="str">
        <f>IF(L156="","",IF(SUMPRODUCT(--(L$10:L156=L156))=1,SUMPRODUCT(--(L$10:L$609&lt;L156))+1,""))</f>
        <v/>
      </c>
      <c r="N156" t="str">
        <f>IFERROR(INDEX(tblY10[Class],ROWS(N$10:N156))&amp;"","")</f>
        <v/>
      </c>
      <c r="O156" t="str">
        <f>IF(N156="","",IF(SUMPRODUCT(--(N$10:N156=N156))=1,SUMPRODUCT(--(N$10:N$609&lt;N156))+1,""))</f>
        <v/>
      </c>
      <c r="P156" t="str">
        <f>IFERROR(INDEX(tblY11[Class],ROWS(P$10:P156))&amp;"","")</f>
        <v/>
      </c>
      <c r="Q156" t="str">
        <f>IF(P156="","",IF(SUMPRODUCT(--(P$10:P156=P156))=1,SUMPRODUCT(--(P$10:P$609&lt;P156))+1,""))</f>
        <v/>
      </c>
      <c r="BA156" t="str">
        <f>IFERROR(INDEX(wLast,87)&amp;"","")</f>
        <v>Shaw</v>
      </c>
      <c r="BB156" t="str">
        <f>IF(BA156="","",IFERROR(INDEX(wFirst,87)&amp;"",""))</f>
        <v>Jacob</v>
      </c>
      <c r="BC156" t="str">
        <f>IF(BA156="","",IFERROR(INDEX(wClass,87)&amp;"",""))</f>
        <v>11S/Sc4</v>
      </c>
      <c r="BD156">
        <f>IF(BA156="","",IFERROR(INDEX(wKsBand,87)+0,""))</f>
        <v>1</v>
      </c>
      <c r="BE156">
        <f>IF(BA156="","",IFERROR(INDEX(wTests,87)+0,0))</f>
        <v>6</v>
      </c>
      <c r="BF156">
        <f>IF(BA156="","",IFERROR(INDEX(wMean,87)+0,""))</f>
        <v>2</v>
      </c>
      <c r="BG156">
        <f>IF(BA156="","",IFERROR(INDEX(wVs,87)+0,""))</f>
        <v>0.0427561327561334</v>
      </c>
      <c r="BH156">
        <f>IF(OR(BA156="",wLatest=""),"",IFERROR(INDEX(wData,87,MATCH(wLatest&amp;CHAR(10)&amp;"Stanine",wHdr,0))+0,""))</f>
        <v>2</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IFERROR(INDEX(tblY7[Class],ROWS(H$10:H157))&amp;"","")</f>
        <v/>
      </c>
      <c r="I157" t="str">
        <f>IF(H157="","",IF(SUMPRODUCT(--(H$10:H157=H157))=1,SUMPRODUCT(--(H$10:H$609&lt;H157))+1,""))</f>
        <v/>
      </c>
      <c r="J157" t="str">
        <f>IFERROR(INDEX(tblY8[Class],ROWS(J$10:J157))&amp;"","")</f>
        <v/>
      </c>
      <c r="K157" t="str">
        <f>IF(J157="","",IF(SUMPRODUCT(--(J$10:J157=J157))=1,SUMPRODUCT(--(J$10:J$609&lt;J157))+1,""))</f>
        <v/>
      </c>
      <c r="L157" t="str">
        <f>IFERROR(INDEX(tblY9[Class],ROWS(L$10:L157))&amp;"","")</f>
        <v/>
      </c>
      <c r="M157" t="str">
        <f>IF(L157="","",IF(SUMPRODUCT(--(L$10:L157=L157))=1,SUMPRODUCT(--(L$10:L$609&lt;L157))+1,""))</f>
        <v/>
      </c>
      <c r="N157" t="str">
        <f>IFERROR(INDEX(tblY10[Class],ROWS(N$10:N157))&amp;"","")</f>
        <v/>
      </c>
      <c r="O157" t="str">
        <f>IF(N157="","",IF(SUMPRODUCT(--(N$10:N157=N157))=1,SUMPRODUCT(--(N$10:N$609&lt;N157))+1,""))</f>
        <v/>
      </c>
      <c r="P157" t="str">
        <f>IFERROR(INDEX(tblY11[Class],ROWS(P$10:P157))&amp;"","")</f>
        <v/>
      </c>
      <c r="Q157" t="str">
        <f>IF(P157="","",IF(SUMPRODUCT(--(P$10:P157=P157))=1,SUMPRODUCT(--(P$10:P$609&lt;P157))+1,""))</f>
        <v/>
      </c>
      <c r="BA157" t="str">
        <f>IFERROR(INDEX(wLast,88)&amp;"","")</f>
        <v>Ward</v>
      </c>
      <c r="BB157" t="str">
        <f>IF(BA157="","",IFERROR(INDEX(wFirst,88)&amp;"",""))</f>
        <v>Kai</v>
      </c>
      <c r="BC157" t="str">
        <f>IF(BA157="","",IFERROR(INDEX(wClass,88)&amp;"",""))</f>
        <v>11S/Sc4</v>
      </c>
      <c r="BD157">
        <f>IF(BA157="","",IFERROR(INDEX(wKsBand,88)+0,""))</f>
        <v>2</v>
      </c>
      <c r="BE157">
        <f>IF(BA157="","",IFERROR(INDEX(wTests,88)+0,0))</f>
        <v>5</v>
      </c>
      <c r="BF157">
        <f>IF(BA157="","",IFERROR(INDEX(wMean,88)+0,""))</f>
        <v>4</v>
      </c>
      <c r="BG157">
        <f>IF(BA157="","",IFERROR(INDEX(wVs,88)+0,""))</f>
        <v>1.2938924963925</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IFERROR(INDEX(tblY7[Class],ROWS(H$10:H158))&amp;"","")</f>
        <v/>
      </c>
      <c r="I158" t="str">
        <f>IF(H158="","",IF(SUMPRODUCT(--(H$10:H158=H158))=1,SUMPRODUCT(--(H$10:H$609&lt;H158))+1,""))</f>
        <v/>
      </c>
      <c r="J158" t="str">
        <f>IFERROR(INDEX(tblY8[Class],ROWS(J$10:J158))&amp;"","")</f>
        <v/>
      </c>
      <c r="K158" t="str">
        <f>IF(J158="","",IF(SUMPRODUCT(--(J$10:J158=J158))=1,SUMPRODUCT(--(J$10:J$609&lt;J158))+1,""))</f>
        <v/>
      </c>
      <c r="L158" t="str">
        <f>IFERROR(INDEX(tblY9[Class],ROWS(L$10:L158))&amp;"","")</f>
        <v/>
      </c>
      <c r="M158" t="str">
        <f>IF(L158="","",IF(SUMPRODUCT(--(L$10:L158=L158))=1,SUMPRODUCT(--(L$10:L$609&lt;L158))+1,""))</f>
        <v/>
      </c>
      <c r="N158" t="str">
        <f>IFERROR(INDEX(tblY10[Class],ROWS(N$10:N158))&amp;"","")</f>
        <v/>
      </c>
      <c r="O158" t="str">
        <f>IF(N158="","",IF(SUMPRODUCT(--(N$10:N158=N158))=1,SUMPRODUCT(--(N$10:N$609&lt;N158))+1,""))</f>
        <v/>
      </c>
      <c r="P158" t="str">
        <f>IFERROR(INDEX(tblY11[Class],ROWS(P$10:P158))&amp;"","")</f>
        <v/>
      </c>
      <c r="Q158" t="str">
        <f>IF(P158="","",IF(SUMPRODUCT(--(P$10:P158=P158))=1,SUMPRODUCT(--(P$10:P$609&lt;P158))+1,""))</f>
        <v/>
      </c>
      <c r="BA158" t="str">
        <f>IFERROR(INDEX(wLast,89)&amp;"","")</f>
        <v>Begum</v>
      </c>
      <c r="BB158" t="str">
        <f>IF(BA158="","",IFERROR(INDEX(wFirst,89)&amp;"",""))</f>
        <v>Freya</v>
      </c>
      <c r="BC158" t="str">
        <f>IF(BA158="","",IFERROR(INDEX(wClass,89)&amp;"",""))</f>
        <v>11S/Sc5</v>
      </c>
      <c r="BD158">
        <f>IF(BA158="","",IFERROR(INDEX(wKsBand,89)+0,""))</f>
        <v>3</v>
      </c>
      <c r="BE158">
        <f>IF(BA158="","",IFERROR(INDEX(wTests,89)+0,0))</f>
        <v>6</v>
      </c>
      <c r="BF158">
        <f>IF(BA158="","",IFERROR(INDEX(wMean,89)+0,""))</f>
        <v>1.83333333333333</v>
      </c>
      <c r="BG158">
        <f>IF(BA158="","",IFERROR(INDEX(wVs,89)+0,""))</f>
        <v>-1.62163780663781</v>
      </c>
      <c r="BH158">
        <f>IF(OR(BA158="",wLatest=""),"",IFERROR(INDEX(wData,89,MATCH(wLatest&amp;CHAR(10)&amp;"Stanine",wHdr,0))+0,""))</f>
        <v>2</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-1.62147980663781</v>
      </c>
    </row>
    <row r="159">
      <c r="H159" t="str">
        <f>IFERROR(INDEX(tblY7[Class],ROWS(H$10:H159))&amp;"","")</f>
        <v/>
      </c>
      <c r="I159" t="str">
        <f>IF(H159="","",IF(SUMPRODUCT(--(H$10:H159=H159))=1,SUMPRODUCT(--(H$10:H$609&lt;H159))+1,""))</f>
        <v/>
      </c>
      <c r="J159" t="str">
        <f>IFERROR(INDEX(tblY8[Class],ROWS(J$10:J159))&amp;"","")</f>
        <v/>
      </c>
      <c r="K159" t="str">
        <f>IF(J159="","",IF(SUMPRODUCT(--(J$10:J159=J159))=1,SUMPRODUCT(--(J$10:J$609&lt;J159))+1,""))</f>
        <v/>
      </c>
      <c r="L159" t="str">
        <f>IFERROR(INDEX(tblY9[Class],ROWS(L$10:L159))&amp;"","")</f>
        <v/>
      </c>
      <c r="M159" t="str">
        <f>IF(L159="","",IF(SUMPRODUCT(--(L$10:L159=L159))=1,SUMPRODUCT(--(L$10:L$609&lt;L159))+1,""))</f>
        <v/>
      </c>
      <c r="N159" t="str">
        <f>IFERROR(INDEX(tblY10[Class],ROWS(N$10:N159))&amp;"","")</f>
        <v/>
      </c>
      <c r="O159" t="str">
        <f>IF(N159="","",IF(SUMPRODUCT(--(N$10:N159=N159))=1,SUMPRODUCT(--(N$10:N$609&lt;N159))+1,""))</f>
        <v/>
      </c>
      <c r="P159" t="str">
        <f>IFERROR(INDEX(tblY11[Class],ROWS(P$10:P159))&amp;"","")</f>
        <v/>
      </c>
      <c r="Q159" t="str">
        <f>IF(P159="","",IF(SUMPRODUCT(--(P$10:P159=P159))=1,SUMPRODUCT(--(P$10:P$609&lt;P159))+1,""))</f>
        <v/>
      </c>
      <c r="BA159" t="str">
        <f>IFERROR(INDEX(wLast,90)&amp;"","")</f>
        <v>Bennett</v>
      </c>
      <c r="BB159" t="str">
        <f>IF(BA159="","",IFERROR(INDEX(wFirst,90)&amp;"",""))</f>
        <v>Kai</v>
      </c>
      <c r="BC159" t="str">
        <f>IF(BA159="","",IFERROR(INDEX(wClass,90)&amp;"",""))</f>
        <v>11S/Sc5</v>
      </c>
      <c r="BD159">
        <f>IF(BA159="","",IFERROR(INDEX(wKsBand,90)+0,""))</f>
        <v>4</v>
      </c>
      <c r="BE159">
        <f>IF(BA159="","",IFERROR(INDEX(wTests,90)+0,0))</f>
        <v>6</v>
      </c>
      <c r="BF159">
        <f>IF(BA159="","",IFERROR(INDEX(wMean,90)+0,""))</f>
        <v>3.66666666666667</v>
      </c>
      <c r="BG159">
        <f>IF(BA159="","",IFERROR(INDEX(wVs,90)+0,""))</f>
        <v>-0.537168109668109</v>
      </c>
      <c r="BH159">
        <f>IF(OR(BA159="",wLatest=""),"",IFERROR(INDEX(wData,90,MATCH(wLatest&amp;CHAR(10)&amp;"Stanine",wHdr,0))+0,""))</f>
        <v>3</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IFERROR(INDEX(tblY7[Class],ROWS(H$10:H160))&amp;"","")</f>
        <v/>
      </c>
      <c r="I160" t="str">
        <f>IF(H160="","",IF(SUMPRODUCT(--(H$10:H160=H160))=1,SUMPRODUCT(--(H$10:H$609&lt;H160))+1,""))</f>
        <v/>
      </c>
      <c r="J160" t="str">
        <f>IFERROR(INDEX(tblY8[Class],ROWS(J$10:J160))&amp;"","")</f>
        <v/>
      </c>
      <c r="K160" t="str">
        <f>IF(J160="","",IF(SUMPRODUCT(--(J$10:J160=J160))=1,SUMPRODUCT(--(J$10:J$609&lt;J160))+1,""))</f>
        <v/>
      </c>
      <c r="L160" t="str">
        <f>IFERROR(INDEX(tblY9[Class],ROWS(L$10:L160))&amp;"","")</f>
        <v/>
      </c>
      <c r="M160" t="str">
        <f>IF(L160="","",IF(SUMPRODUCT(--(L$10:L160=L160))=1,SUMPRODUCT(--(L$10:L$609&lt;L160))+1,""))</f>
        <v/>
      </c>
      <c r="N160" t="str">
        <f>IFERROR(INDEX(tblY10[Class],ROWS(N$10:N160))&amp;"","")</f>
        <v/>
      </c>
      <c r="O160" t="str">
        <f>IF(N160="","",IF(SUMPRODUCT(--(N$10:N160=N160))=1,SUMPRODUCT(--(N$10:N$609&lt;N160))+1,""))</f>
        <v/>
      </c>
      <c r="P160" t="str">
        <f>IFERROR(INDEX(tblY11[Class],ROWS(P$10:P160))&amp;"","")</f>
        <v/>
      </c>
      <c r="Q160" t="str">
        <f>IF(P160="","",IF(SUMPRODUCT(--(P$10:P160=P160))=1,SUMPRODUCT(--(P$10:P$609&lt;P160))+1,""))</f>
        <v/>
      </c>
      <c r="BA160" t="str">
        <f>IFERROR(INDEX(wLast,91)&amp;"","")</f>
        <v>Jackson</v>
      </c>
      <c r="BB160" t="str">
        <f>IF(BA160="","",IFERROR(INDEX(wFirst,91)&amp;"",""))</f>
        <v>Chidi</v>
      </c>
      <c r="BC160" t="str">
        <f>IF(BA160="","",IFERROR(INDEX(wClass,91)&amp;"",""))</f>
        <v>11S/Sc5</v>
      </c>
      <c r="BD160">
        <f>IF(BA160="","",IFERROR(INDEX(wKsBand,91)+0,""))</f>
        <v>3</v>
      </c>
      <c r="BE160">
        <f>IF(BA160="","",IFERROR(INDEX(wTests,91)+0,0))</f>
        <v>5</v>
      </c>
      <c r="BF160">
        <f>IF(BA160="","",IFERROR(INDEX(wMean,91)+0,""))</f>
        <v>5</v>
      </c>
      <c r="BG160">
        <f>IF(BA160="","",IFERROR(INDEX(wVs,91)+0,""))</f>
        <v>1.54502886002886</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IFERROR(INDEX(tblY7[Class],ROWS(H$10:H161))&amp;"","")</f>
        <v/>
      </c>
      <c r="I161" t="str">
        <f>IF(H161="","",IF(SUMPRODUCT(--(H$10:H161=H161))=1,SUMPRODUCT(--(H$10:H$609&lt;H161))+1,""))</f>
        <v/>
      </c>
      <c r="J161" t="str">
        <f>IFERROR(INDEX(tblY8[Class],ROWS(J$10:J161))&amp;"","")</f>
        <v/>
      </c>
      <c r="K161" t="str">
        <f>IF(J161="","",IF(SUMPRODUCT(--(J$10:J161=J161))=1,SUMPRODUCT(--(J$10:J$609&lt;J161))+1,""))</f>
        <v/>
      </c>
      <c r="L161" t="str">
        <f>IFERROR(INDEX(tblY9[Class],ROWS(L$10:L161))&amp;"","")</f>
        <v/>
      </c>
      <c r="M161" t="str">
        <f>IF(L161="","",IF(SUMPRODUCT(--(L$10:L161=L161))=1,SUMPRODUCT(--(L$10:L$609&lt;L161))+1,""))</f>
        <v/>
      </c>
      <c r="N161" t="str">
        <f>IFERROR(INDEX(tblY10[Class],ROWS(N$10:N161))&amp;"","")</f>
        <v/>
      </c>
      <c r="O161" t="str">
        <f>IF(N161="","",IF(SUMPRODUCT(--(N$10:N161=N161))=1,SUMPRODUCT(--(N$10:N$609&lt;N161))+1,""))</f>
        <v/>
      </c>
      <c r="P161" t="str">
        <f>IFERROR(INDEX(tblY11[Class],ROWS(P$10:P161))&amp;"","")</f>
        <v/>
      </c>
      <c r="Q161" t="str">
        <f>IF(P161="","",IF(SUMPRODUCT(--(P$10:P161=P161))=1,SUMPRODUCT(--(P$10:P$609&lt;P161))+1,""))</f>
        <v/>
      </c>
      <c r="BA161" t="str">
        <f>IFERROR(INDEX(wLast,92)&amp;"","")</f>
        <v>Johnson</v>
      </c>
      <c r="BB161" t="str">
        <f>IF(BA161="","",IFERROR(INDEX(wFirst,92)&amp;"",""))</f>
        <v>Chidi</v>
      </c>
      <c r="BC161" t="str">
        <f>IF(BA161="","",IFERROR(INDEX(wClass,92)&amp;"",""))</f>
        <v>11S/Sc5</v>
      </c>
      <c r="BD161">
        <f>IF(BA161="","",IFERROR(INDEX(wKsBand,92)+0,""))</f>
        <v>3</v>
      </c>
      <c r="BE161">
        <f>IF(BA161="","",IFERROR(INDEX(wTests,92)+0,0))</f>
        <v>6</v>
      </c>
      <c r="BF161">
        <f>IF(BA161="","",IFERROR(INDEX(wMean,92)+0,""))</f>
        <v>2.33333333333333</v>
      </c>
      <c r="BG161">
        <f>IF(BA161="","",IFERROR(INDEX(wVs,92)+0,""))</f>
        <v>-1.12163780663781</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IFERROR(INDEX(tblY7[Class],ROWS(H$10:H162))&amp;"","")</f>
        <v/>
      </c>
      <c r="I162" t="str">
        <f>IF(H162="","",IF(SUMPRODUCT(--(H$10:H162=H162))=1,SUMPRODUCT(--(H$10:H$609&lt;H162))+1,""))</f>
        <v/>
      </c>
      <c r="J162" t="str">
        <f>IFERROR(INDEX(tblY8[Class],ROWS(J$10:J162))&amp;"","")</f>
        <v/>
      </c>
      <c r="K162" t="str">
        <f>IF(J162="","",IF(SUMPRODUCT(--(J$10:J162=J162))=1,SUMPRODUCT(--(J$10:J$609&lt;J162))+1,""))</f>
        <v/>
      </c>
      <c r="L162" t="str">
        <f>IFERROR(INDEX(tblY9[Class],ROWS(L$10:L162))&amp;"","")</f>
        <v/>
      </c>
      <c r="M162" t="str">
        <f>IF(L162="","",IF(SUMPRODUCT(--(L$10:L162=L162))=1,SUMPRODUCT(--(L$10:L$609&lt;L162))+1,""))</f>
        <v/>
      </c>
      <c r="N162" t="str">
        <f>IFERROR(INDEX(tblY10[Class],ROWS(N$10:N162))&amp;"","")</f>
        <v/>
      </c>
      <c r="O162" t="str">
        <f>IF(N162="","",IF(SUMPRODUCT(--(N$10:N162=N162))=1,SUMPRODUCT(--(N$10:N$609&lt;N162))+1,""))</f>
        <v/>
      </c>
      <c r="P162" t="str">
        <f>IFERROR(INDEX(tblY11[Class],ROWS(P$10:P162))&amp;"","")</f>
        <v/>
      </c>
      <c r="Q162" t="str">
        <f>IF(P162="","",IF(SUMPRODUCT(--(P$10:P162=P162))=1,SUMPRODUCT(--(P$10:P$609&lt;P162))+1,""))</f>
        <v/>
      </c>
      <c r="BA162" t="str">
        <f>IFERROR(INDEX(wLast,93)&amp;"","")</f>
        <v>Lewis</v>
      </c>
      <c r="BB162" t="str">
        <f>IF(BA162="","",IFERROR(INDEX(wFirst,93)&amp;"",""))</f>
        <v>Zofia</v>
      </c>
      <c r="BC162" t="str">
        <f>IF(BA162="","",IFERROR(INDEX(wClass,93)&amp;"",""))</f>
        <v>11S/Sc5</v>
      </c>
      <c r="BD162">
        <f>IF(BA162="","",IFERROR(INDEX(wKsBand,93)+0,""))</f>
        <v>3</v>
      </c>
      <c r="BE162">
        <f>IF(BA162="","",IFERROR(INDEX(wTests,93)+0,0))</f>
        <v>6</v>
      </c>
      <c r="BF162">
        <f>IF(BA162="","",IFERROR(INDEX(wMean,93)+0,""))</f>
        <v>2.66666666666667</v>
      </c>
      <c r="BG162">
        <f>IF(BA162="","",IFERROR(INDEX(wVs,93)+0,""))</f>
        <v>-0.788304473304473</v>
      </c>
      <c r="BH162">
        <f>IF(OR(BA162="",wLatest=""),"",IFERROR(INDEX(wData,93,MATCH(wLatest&amp;CHAR(10)&amp;"Stanine",wHdr,0))+0,""))</f>
        <v>3</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IFERROR(INDEX(tblY7[Class],ROWS(H$10:H163))&amp;"","")</f>
        <v/>
      </c>
      <c r="I163" t="str">
        <f>IF(H163="","",IF(SUMPRODUCT(--(H$10:H163=H163))=1,SUMPRODUCT(--(H$10:H$609&lt;H163))+1,""))</f>
        <v/>
      </c>
      <c r="J163" t="str">
        <f>IFERROR(INDEX(tblY8[Class],ROWS(J$10:J163))&amp;"","")</f>
        <v/>
      </c>
      <c r="K163" t="str">
        <f>IF(J163="","",IF(SUMPRODUCT(--(J$10:J163=J163))=1,SUMPRODUCT(--(J$10:J$609&lt;J163))+1,""))</f>
        <v/>
      </c>
      <c r="L163" t="str">
        <f>IFERROR(INDEX(tblY9[Class],ROWS(L$10:L163))&amp;"","")</f>
        <v/>
      </c>
      <c r="M163" t="str">
        <f>IF(L163="","",IF(SUMPRODUCT(--(L$10:L163=L163))=1,SUMPRODUCT(--(L$10:L$609&lt;L163))+1,""))</f>
        <v/>
      </c>
      <c r="N163" t="str">
        <f>IFERROR(INDEX(tblY10[Class],ROWS(N$10:N163))&amp;"","")</f>
        <v/>
      </c>
      <c r="O163" t="str">
        <f>IF(N163="","",IF(SUMPRODUCT(--(N$10:N163=N163))=1,SUMPRODUCT(--(N$10:N$609&lt;N163))+1,""))</f>
        <v/>
      </c>
      <c r="P163" t="str">
        <f>IFERROR(INDEX(tblY11[Class],ROWS(P$10:P163))&amp;"","")</f>
        <v/>
      </c>
      <c r="Q163" t="str">
        <f>IF(P163="","",IF(SUMPRODUCT(--(P$10:P163=P163))=1,SUMPRODUCT(--(P$10:P$609&lt;P163))+1,""))</f>
        <v/>
      </c>
      <c r="BA163" t="str">
        <f>IFERROR(INDEX(wLast,94)&amp;"","")</f>
        <v>Morgan</v>
      </c>
      <c r="BB163" t="str">
        <f>IF(BA163="","",IFERROR(INDEX(wFirst,94)&amp;"",""))</f>
        <v>Charlie</v>
      </c>
      <c r="BC163" t="str">
        <f>IF(BA163="","",IFERROR(INDEX(wClass,94)&amp;"",""))</f>
        <v>11S/Sc5</v>
      </c>
      <c r="BD163">
        <f>IF(BA163="","",IFERROR(INDEX(wKsBand,94)+0,""))</f>
        <v>2</v>
      </c>
      <c r="BE163">
        <f>IF(BA163="","",IFERROR(INDEX(wTests,94)+0,0))</f>
        <v>6</v>
      </c>
      <c r="BF163">
        <f>IF(BA163="","",IFERROR(INDEX(wMean,94)+0,""))</f>
        <v>3.83333333333333</v>
      </c>
      <c r="BG163">
        <f>IF(BA163="","",IFERROR(INDEX(wVs,94)+0,""))</f>
        <v>1.12722582972583</v>
      </c>
      <c r="BH163">
        <f>IF(OR(BA163="",wLatest=""),"",IFERROR(INDEX(wData,94,MATCH(wLatest&amp;CHAR(10)&amp;"Stanine",wHdr,0))+0,""))</f>
        <v>4</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IFERROR(INDEX(tblY7[Class],ROWS(H$10:H164))&amp;"","")</f>
        <v/>
      </c>
      <c r="I164" t="str">
        <f>IF(H164="","",IF(SUMPRODUCT(--(H$10:H164=H164))=1,SUMPRODUCT(--(H$10:H$609&lt;H164))+1,""))</f>
        <v/>
      </c>
      <c r="J164" t="str">
        <f>IFERROR(INDEX(tblY8[Class],ROWS(J$10:J164))&amp;"","")</f>
        <v/>
      </c>
      <c r="K164" t="str">
        <f>IF(J164="","",IF(SUMPRODUCT(--(J$10:J164=J164))=1,SUMPRODUCT(--(J$10:J$609&lt;J164))+1,""))</f>
        <v/>
      </c>
      <c r="L164" t="str">
        <f>IFERROR(INDEX(tblY9[Class],ROWS(L$10:L164))&amp;"","")</f>
        <v/>
      </c>
      <c r="M164" t="str">
        <f>IF(L164="","",IF(SUMPRODUCT(--(L$10:L164=L164))=1,SUMPRODUCT(--(L$10:L$609&lt;L164))+1,""))</f>
        <v/>
      </c>
      <c r="N164" t="str">
        <f>IFERROR(INDEX(tblY10[Class],ROWS(N$10:N164))&amp;"","")</f>
        <v/>
      </c>
      <c r="O164" t="str">
        <f>IF(N164="","",IF(SUMPRODUCT(--(N$10:N164=N164))=1,SUMPRODUCT(--(N$10:N$609&lt;N164))+1,""))</f>
        <v/>
      </c>
      <c r="P164" t="str">
        <f>IFERROR(INDEX(tblY11[Class],ROWS(P$10:P164))&amp;"","")</f>
        <v/>
      </c>
      <c r="Q164" t="str">
        <f>IF(P164="","",IF(SUMPRODUCT(--(P$10:P164=P164))=1,SUMPRODUCT(--(P$10:P$609&lt;P164))+1,""))</f>
        <v/>
      </c>
      <c r="BA164" t="str">
        <f>IFERROR(INDEX(wLast,95)&amp;"","")</f>
        <v>Morgan</v>
      </c>
      <c r="BB164" t="str">
        <f>IF(BA164="","",IFERROR(INDEX(wFirst,95)&amp;"",""))</f>
        <v>Zofia</v>
      </c>
      <c r="BC164" t="str">
        <f>IF(BA164="","",IFERROR(INDEX(wClass,95)&amp;"",""))</f>
        <v>11S/Sc5</v>
      </c>
      <c r="BD164">
        <f>IF(BA164="","",IFERROR(INDEX(wKsBand,95)+0,""))</f>
        <v>3</v>
      </c>
      <c r="BE164">
        <f>IF(BA164="","",IFERROR(INDEX(wTests,95)+0,0))</f>
        <v>5</v>
      </c>
      <c r="BF164">
        <f>IF(BA164="","",IFERROR(INDEX(wMean,95)+0,""))</f>
        <v>1.6</v>
      </c>
      <c r="BG164">
        <f>IF(BA164="","",IFERROR(INDEX(wVs,95)+0,""))</f>
        <v>-1.85497113997114</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-1.85480713997114</v>
      </c>
    </row>
    <row r="165">
      <c r="H165" t="str">
        <f>IFERROR(INDEX(tblY7[Class],ROWS(H$10:H165))&amp;"","")</f>
        <v/>
      </c>
      <c r="I165" t="str">
        <f>IF(H165="","",IF(SUMPRODUCT(--(H$10:H165=H165))=1,SUMPRODUCT(--(H$10:H$609&lt;H165))+1,""))</f>
        <v/>
      </c>
      <c r="J165" t="str">
        <f>IFERROR(INDEX(tblY8[Class],ROWS(J$10:J165))&amp;"","")</f>
        <v/>
      </c>
      <c r="K165" t="str">
        <f>IF(J165="","",IF(SUMPRODUCT(--(J$10:J165=J165))=1,SUMPRODUCT(--(J$10:J$609&lt;J165))+1,""))</f>
        <v/>
      </c>
      <c r="L165" t="str">
        <f>IFERROR(INDEX(tblY9[Class],ROWS(L$10:L165))&amp;"","")</f>
        <v/>
      </c>
      <c r="M165" t="str">
        <f>IF(L165="","",IF(SUMPRODUCT(--(L$10:L165=L165))=1,SUMPRODUCT(--(L$10:L$609&lt;L165))+1,""))</f>
        <v/>
      </c>
      <c r="N165" t="str">
        <f>IFERROR(INDEX(tblY10[Class],ROWS(N$10:N165))&amp;"","")</f>
        <v/>
      </c>
      <c r="O165" t="str">
        <f>IF(N165="","",IF(SUMPRODUCT(--(N$10:N165=N165))=1,SUMPRODUCT(--(N$10:N$609&lt;N165))+1,""))</f>
        <v/>
      </c>
      <c r="P165" t="str">
        <f>IFERROR(INDEX(tblY11[Class],ROWS(P$10:P165))&amp;"","")</f>
        <v/>
      </c>
      <c r="Q165" t="str">
        <f>IF(P165="","",IF(SUMPRODUCT(--(P$10:P165=P165))=1,SUMPRODUCT(--(P$10:P$609&lt;P165))+1,""))</f>
        <v/>
      </c>
      <c r="BA165" t="str">
        <f>IFERROR(INDEX(wLast,96)&amp;"","")</f>
        <v>Murphy</v>
      </c>
      <c r="BB165" t="str">
        <f>IF(BA165="","",IFERROR(INDEX(wFirst,96)&amp;"",""))</f>
        <v>Freya</v>
      </c>
      <c r="BC165" t="str">
        <f>IF(BA165="","",IFERROR(INDEX(wClass,96)&amp;"",""))</f>
        <v>11S/Sc5</v>
      </c>
      <c r="BD165">
        <f>IF(BA165="","",IFERROR(INDEX(wKsBand,96)+0,""))</f>
        <v>3</v>
      </c>
      <c r="BE165">
        <f>IF(BA165="","",IFERROR(INDEX(wTests,96)+0,0))</f>
        <v>6</v>
      </c>
      <c r="BF165">
        <f>IF(BA165="","",IFERROR(INDEX(wMean,96)+0,""))</f>
        <v>3.16666666666667</v>
      </c>
      <c r="BG165">
        <f>IF(BA165="","",IFERROR(INDEX(wVs,96)+0,""))</f>
        <v>-0.288304473304473</v>
      </c>
      <c r="BH165">
        <f>IF(OR(BA165="",wLatest=""),"",IFERROR(INDEX(wData,96,MATCH(wLatest&amp;CHAR(10)&amp;"Stanine",wHdr,0))+0,""))</f>
        <v>4</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IFERROR(INDEX(tblY7[Class],ROWS(H$10:H166))&amp;"","")</f>
        <v/>
      </c>
      <c r="I166" t="str">
        <f>IF(H166="","",IF(SUMPRODUCT(--(H$10:H166=H166))=1,SUMPRODUCT(--(H$10:H$609&lt;H166))+1,""))</f>
        <v/>
      </c>
      <c r="J166" t="str">
        <f>IFERROR(INDEX(tblY8[Class],ROWS(J$10:J166))&amp;"","")</f>
        <v/>
      </c>
      <c r="K166" t="str">
        <f>IF(J166="","",IF(SUMPRODUCT(--(J$10:J166=J166))=1,SUMPRODUCT(--(J$10:J$609&lt;J166))+1,""))</f>
        <v/>
      </c>
      <c r="L166" t="str">
        <f>IFERROR(INDEX(tblY9[Class],ROWS(L$10:L166))&amp;"","")</f>
        <v/>
      </c>
      <c r="M166" t="str">
        <f>IF(L166="","",IF(SUMPRODUCT(--(L$10:L166=L166))=1,SUMPRODUCT(--(L$10:L$609&lt;L166))+1,""))</f>
        <v/>
      </c>
      <c r="N166" t="str">
        <f>IFERROR(INDEX(tblY10[Class],ROWS(N$10:N166))&amp;"","")</f>
        <v/>
      </c>
      <c r="O166" t="str">
        <f>IF(N166="","",IF(SUMPRODUCT(--(N$10:N166=N166))=1,SUMPRODUCT(--(N$10:N$609&lt;N166))+1,""))</f>
        <v/>
      </c>
      <c r="P166" t="str">
        <f>IFERROR(INDEX(tblY11[Class],ROWS(P$10:P166))&amp;"","")</f>
        <v/>
      </c>
      <c r="Q166" t="str">
        <f>IF(P166="","",IF(SUMPRODUCT(--(P$10:P166=P166))=1,SUMPRODUCT(--(P$10:P$609&lt;P166))+1,""))</f>
        <v/>
      </c>
      <c r="BA166" t="str">
        <f>IFERROR(INDEX(wLast,97)&amp;"","")</f>
        <v>Okafor</v>
      </c>
      <c r="BB166" t="str">
        <f>IF(BA166="","",IFERROR(INDEX(wFirst,97)&amp;"",""))</f>
        <v>Arthur</v>
      </c>
      <c r="BC166" t="str">
        <f>IF(BA166="","",IFERROR(INDEX(wClass,97)&amp;"",""))</f>
        <v>11S/Sc5</v>
      </c>
      <c r="BD166">
        <f>IF(BA166="","",IFERROR(INDEX(wKsBand,97)+0,""))</f>
        <v>3</v>
      </c>
      <c r="BE166">
        <f>IF(BA166="","",IFERROR(INDEX(wTests,97)+0,0))</f>
        <v>4</v>
      </c>
      <c r="BF166">
        <f>IF(BA166="","",IFERROR(INDEX(wMean,97)+0,""))</f>
        <v>3</v>
      </c>
      <c r="BG166">
        <f>IF(BA166="","",IFERROR(INDEX(wVs,97)+0,""))</f>
        <v>-0.454971139971139</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IFERROR(INDEX(tblY7[Class],ROWS(H$10:H167))&amp;"","")</f>
        <v/>
      </c>
      <c r="I167" t="str">
        <f>IF(H167="","",IF(SUMPRODUCT(--(H$10:H167=H167))=1,SUMPRODUCT(--(H$10:H$609&lt;H167))+1,""))</f>
        <v/>
      </c>
      <c r="J167" t="str">
        <f>IFERROR(INDEX(tblY8[Class],ROWS(J$10:J167))&amp;"","")</f>
        <v/>
      </c>
      <c r="K167" t="str">
        <f>IF(J167="","",IF(SUMPRODUCT(--(J$10:J167=J167))=1,SUMPRODUCT(--(J$10:J$609&lt;J167))+1,""))</f>
        <v/>
      </c>
      <c r="L167" t="str">
        <f>IFERROR(INDEX(tblY9[Class],ROWS(L$10:L167))&amp;"","")</f>
        <v/>
      </c>
      <c r="M167" t="str">
        <f>IF(L167="","",IF(SUMPRODUCT(--(L$10:L167=L167))=1,SUMPRODUCT(--(L$10:L$609&lt;L167))+1,""))</f>
        <v/>
      </c>
      <c r="N167" t="str">
        <f>IFERROR(INDEX(tblY10[Class],ROWS(N$10:N167))&amp;"","")</f>
        <v/>
      </c>
      <c r="O167" t="str">
        <f>IF(N167="","",IF(SUMPRODUCT(--(N$10:N167=N167))=1,SUMPRODUCT(--(N$10:N$609&lt;N167))+1,""))</f>
        <v/>
      </c>
      <c r="P167" t="str">
        <f>IFERROR(INDEX(tblY11[Class],ROWS(P$10:P167))&amp;"","")</f>
        <v/>
      </c>
      <c r="Q167" t="str">
        <f>IF(P167="","",IF(SUMPRODUCT(--(P$10:P167=P167))=1,SUMPRODUCT(--(P$10:P$609&lt;P167))+1,""))</f>
        <v/>
      </c>
      <c r="BA167" t="str">
        <f>IFERROR(INDEX(wLast,98)&amp;"","")</f>
        <v>Patel</v>
      </c>
      <c r="BB167" t="str">
        <f>IF(BA167="","",IFERROR(INDEX(wFirst,98)&amp;"",""))</f>
        <v>Arthur</v>
      </c>
      <c r="BC167" t="str">
        <f>IF(BA167="","",IFERROR(INDEX(wClass,98)&amp;"",""))</f>
        <v>11S/Sc5</v>
      </c>
      <c r="BD167">
        <f>IF(BA167="","",IFERROR(INDEX(wKsBand,98)+0,""))</f>
        <v>3</v>
      </c>
      <c r="BE167">
        <f>IF(BA167="","",IFERROR(INDEX(wTests,98)+0,0))</f>
        <v>6</v>
      </c>
      <c r="BF167">
        <f>IF(BA167="","",IFERROR(INDEX(wMean,98)+0,""))</f>
        <v>6.16666666666667</v>
      </c>
      <c r="BG167">
        <f>IF(BA167="","",IFERROR(INDEX(wVs,98)+0,""))</f>
        <v>2.71169552669553</v>
      </c>
      <c r="BH167">
        <f>IF(OR(BA167="",wLatest=""),"",IFERROR(INDEX(wData,98,MATCH(wLatest&amp;CHAR(10)&amp;"Stanine",wHdr,0))+0,""))</f>
        <v>6</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IFERROR(INDEX(tblY7[Class],ROWS(H$10:H168))&amp;"","")</f>
        <v/>
      </c>
      <c r="I168" t="str">
        <f>IF(H168="","",IF(SUMPRODUCT(--(H$10:H168=H168))=1,SUMPRODUCT(--(H$10:H$609&lt;H168))+1,""))</f>
        <v/>
      </c>
      <c r="J168" t="str">
        <f>IFERROR(INDEX(tblY8[Class],ROWS(J$10:J168))&amp;"","")</f>
        <v/>
      </c>
      <c r="K168" t="str">
        <f>IF(J168="","",IF(SUMPRODUCT(--(J$10:J168=J168))=1,SUMPRODUCT(--(J$10:J$609&lt;J168))+1,""))</f>
        <v/>
      </c>
      <c r="L168" t="str">
        <f>IFERROR(INDEX(tblY9[Class],ROWS(L$10:L168))&amp;"","")</f>
        <v/>
      </c>
      <c r="M168" t="str">
        <f>IF(L168="","",IF(SUMPRODUCT(--(L$10:L168=L168))=1,SUMPRODUCT(--(L$10:L$609&lt;L168))+1,""))</f>
        <v/>
      </c>
      <c r="N168" t="str">
        <f>IFERROR(INDEX(tblY10[Class],ROWS(N$10:N168))&amp;"","")</f>
        <v/>
      </c>
      <c r="O168" t="str">
        <f>IF(N168="","",IF(SUMPRODUCT(--(N$10:N168=N168))=1,SUMPRODUCT(--(N$10:N$609&lt;N168))+1,""))</f>
        <v/>
      </c>
      <c r="P168" t="str">
        <f>IFERROR(INDEX(tblY11[Class],ROWS(P$10:P168))&amp;"","")</f>
        <v/>
      </c>
      <c r="Q168" t="str">
        <f>IF(P168="","",IF(SUMPRODUCT(--(P$10:P168=P168))=1,SUMPRODUCT(--(P$10:P$609&lt;P168))+1,""))</f>
        <v/>
      </c>
      <c r="BA168" t="str">
        <f>IFERROR(INDEX(wLast,99)&amp;"","")</f>
        <v>Robinson</v>
      </c>
      <c r="BB168" t="str">
        <f>IF(BA168="","",IFERROR(INDEX(wFirst,99)&amp;"",""))</f>
        <v>Priya</v>
      </c>
      <c r="BC168" t="str">
        <f>IF(BA168="","",IFERROR(INDEX(wClass,99)&amp;"",""))</f>
        <v>11S/Sc5</v>
      </c>
      <c r="BD168">
        <f>IF(BA168="","",IFERROR(INDEX(wKsBand,99)+0,""))</f>
        <v>3</v>
      </c>
      <c r="BE168">
        <f>IF(BA168="","",IFERROR(INDEX(wTests,99)+0,0))</f>
        <v>6</v>
      </c>
      <c r="BF168">
        <f>IF(BA168="","",IFERROR(INDEX(wMean,99)+0,""))</f>
        <v>2.16666666666667</v>
      </c>
      <c r="BG168">
        <f>IF(BA168="","",IFERROR(INDEX(wVs,99)+0,""))</f>
        <v>-1.28830447330447</v>
      </c>
      <c r="BH168">
        <f>IF(OR(BA168="",wLatest=""),"",IFERROR(INDEX(wData,99,MATCH(wLatest&amp;CHAR(10)&amp;"Stanine",wHdr,0))+0,""))</f>
        <v>2</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IFERROR(INDEX(tblY7[Class],ROWS(H$10:H169))&amp;"","")</f>
        <v/>
      </c>
      <c r="I169" t="str">
        <f>IF(H169="","",IF(SUMPRODUCT(--(H$10:H169=H169))=1,SUMPRODUCT(--(H$10:H$609&lt;H169))+1,""))</f>
        <v/>
      </c>
      <c r="J169" t="str">
        <f>IFERROR(INDEX(tblY8[Class],ROWS(J$10:J169))&amp;"","")</f>
        <v/>
      </c>
      <c r="K169" t="str">
        <f>IF(J169="","",IF(SUMPRODUCT(--(J$10:J169=J169))=1,SUMPRODUCT(--(J$10:J$609&lt;J169))+1,""))</f>
        <v/>
      </c>
      <c r="L169" t="str">
        <f>IFERROR(INDEX(tblY9[Class],ROWS(L$10:L169))&amp;"","")</f>
        <v/>
      </c>
      <c r="M169" t="str">
        <f>IF(L169="","",IF(SUMPRODUCT(--(L$10:L169=L169))=1,SUMPRODUCT(--(L$10:L$609&lt;L169))+1,""))</f>
        <v/>
      </c>
      <c r="N169" t="str">
        <f>IFERROR(INDEX(tblY10[Class],ROWS(N$10:N169))&amp;"","")</f>
        <v/>
      </c>
      <c r="O169" t="str">
        <f>IF(N169="","",IF(SUMPRODUCT(--(N$10:N169=N169))=1,SUMPRODUCT(--(N$10:N$609&lt;N169))+1,""))</f>
        <v/>
      </c>
      <c r="P169" t="str">
        <f>IFERROR(INDEX(tblY11[Class],ROWS(P$10:P169))&amp;"","")</f>
        <v/>
      </c>
      <c r="Q169" t="str">
        <f>IF(P169="","",IF(SUMPRODUCT(--(P$10:P169=P169))=1,SUMPRODUCT(--(P$10:P$609&lt;P169))+1,""))</f>
        <v/>
      </c>
      <c r="BA169" t="str">
        <f>IFERROR(INDEX(wLast,100)&amp;"","")</f>
        <v>Smith</v>
      </c>
      <c r="BB169" t="str">
        <f>IF(BA169="","",IFERROR(INDEX(wFirst,100)&amp;"",""))</f>
        <v>Zofia</v>
      </c>
      <c r="BC169" t="str">
        <f>IF(BA169="","",IFERROR(INDEX(wClass,100)&amp;"",""))</f>
        <v>11S/Sc5</v>
      </c>
      <c r="BD169">
        <f>IF(BA169="","",IFERROR(INDEX(wKsBand,100)+0,""))</f>
        <v>2</v>
      </c>
      <c r="BE169">
        <f>IF(BA169="","",IFERROR(INDEX(wTests,100)+0,0))</f>
        <v>6</v>
      </c>
      <c r="BF169">
        <f>IF(BA169="","",IFERROR(INDEX(wMean,100)+0,""))</f>
        <v>4.33333333333333</v>
      </c>
      <c r="BG169">
        <f>IF(BA169="","",IFERROR(INDEX(wVs,100)+0,""))</f>
        <v>1.62722582972583</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IFERROR(INDEX(tblY7[Class],ROWS(H$10:H170))&amp;"","")</f>
        <v/>
      </c>
      <c r="I170" t="str">
        <f>IF(H170="","",IF(SUMPRODUCT(--(H$10:H170=H170))=1,SUMPRODUCT(--(H$10:H$609&lt;H170))+1,""))</f>
        <v/>
      </c>
      <c r="J170" t="str">
        <f>IFERROR(INDEX(tblY8[Class],ROWS(J$10:J170))&amp;"","")</f>
        <v/>
      </c>
      <c r="K170" t="str">
        <f>IF(J170="","",IF(SUMPRODUCT(--(J$10:J170=J170))=1,SUMPRODUCT(--(J$10:J$609&lt;J170))+1,""))</f>
        <v/>
      </c>
      <c r="L170" t="str">
        <f>IFERROR(INDEX(tblY9[Class],ROWS(L$10:L170))&amp;"","")</f>
        <v/>
      </c>
      <c r="M170" t="str">
        <f>IF(L170="","",IF(SUMPRODUCT(--(L$10:L170=L170))=1,SUMPRODUCT(--(L$10:L$609&lt;L170))+1,""))</f>
        <v/>
      </c>
      <c r="N170" t="str">
        <f>IFERROR(INDEX(tblY10[Class],ROWS(N$10:N170))&amp;"","")</f>
        <v/>
      </c>
      <c r="O170" t="str">
        <f>IF(N170="","",IF(SUMPRODUCT(--(N$10:N170=N170))=1,SUMPRODUCT(--(N$10:N$609&lt;N170))+1,""))</f>
        <v/>
      </c>
      <c r="P170" t="str">
        <f>IFERROR(INDEX(tblY11[Class],ROWS(P$10:P170))&amp;"","")</f>
        <v/>
      </c>
      <c r="Q170" t="str">
        <f>IF(P170="","",IF(SUMPRODUCT(--(P$10:P170=P170))=1,SUMPRODUCT(--(P$10:P$609&lt;P170))+1,""))</f>
        <v/>
      </c>
      <c r="BA170" t="str">
        <f>IFERROR(INDEX(wLast,101)&amp;"","")</f>
        <v>Williams</v>
      </c>
      <c r="BB170" t="str">
        <f>IF(BA170="","",IFERROR(INDEX(wFirst,101)&amp;"",""))</f>
        <v>Amelia</v>
      </c>
      <c r="BC170" t="str">
        <f>IF(BA170="","",IFERROR(INDEX(wClass,101)&amp;"",""))</f>
        <v>11S/Sc5</v>
      </c>
      <c r="BD170">
        <f>IF(BA170="","",IFERROR(INDEX(wKsBand,101)+0,""))</f>
        <v>4</v>
      </c>
      <c r="BE170">
        <f>IF(BA170="","",IFERROR(INDEX(wTests,101)+0,0))</f>
        <v>6</v>
      </c>
      <c r="BF170">
        <f>IF(BA170="","",IFERROR(INDEX(wMean,101)+0,""))</f>
        <v>2.66666666666667</v>
      </c>
      <c r="BG170">
        <f>IF(BA170="","",IFERROR(INDEX(wVs,101)+0,""))</f>
        <v>-1.53716810966811</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-1.53699810966811</v>
      </c>
    </row>
    <row r="171">
      <c r="H171" t="str">
        <f>IFERROR(INDEX(tblY7[Class],ROWS(H$10:H171))&amp;"","")</f>
        <v/>
      </c>
      <c r="I171" t="str">
        <f>IF(H171="","",IF(SUMPRODUCT(--(H$10:H171=H171))=1,SUMPRODUCT(--(H$10:H$609&lt;H171))+1,""))</f>
        <v/>
      </c>
      <c r="J171" t="str">
        <f>IFERROR(INDEX(tblY8[Class],ROWS(J$10:J171))&amp;"","")</f>
        <v/>
      </c>
      <c r="K171" t="str">
        <f>IF(J171="","",IF(SUMPRODUCT(--(J$10:J171=J171))=1,SUMPRODUCT(--(J$10:J$609&lt;J171))+1,""))</f>
        <v/>
      </c>
      <c r="L171" t="str">
        <f>IFERROR(INDEX(tblY9[Class],ROWS(L$10:L171))&amp;"","")</f>
        <v/>
      </c>
      <c r="M171" t="str">
        <f>IF(L171="","",IF(SUMPRODUCT(--(L$10:L171=L171))=1,SUMPRODUCT(--(L$10:L$609&lt;L171))+1,""))</f>
        <v/>
      </c>
      <c r="N171" t="str">
        <f>IFERROR(INDEX(tblY10[Class],ROWS(N$10:N171))&amp;"","")</f>
        <v/>
      </c>
      <c r="O171" t="str">
        <f>IF(N171="","",IF(SUMPRODUCT(--(N$10:N171=N171))=1,SUMPRODUCT(--(N$10:N$609&lt;N171))+1,""))</f>
        <v/>
      </c>
      <c r="P171" t="str">
        <f>IFERROR(INDEX(tblY11[Class],ROWS(P$10:P171))&amp;"","")</f>
        <v/>
      </c>
      <c r="Q171" t="str">
        <f>IF(P171="","",IF(SUMPRODUCT(--(P$10:P171=P171))=1,SUMPRODUCT(--(P$10:P$609&lt;P171))+1,""))</f>
        <v/>
      </c>
      <c r="BA171" t="str">
        <f>IFERROR(INDEX(wLast,102)&amp;"","")</f>
        <v>Cooper</v>
      </c>
      <c r="BB171" t="str">
        <f>IF(BA171="","",IFERROR(INDEX(wFirst,102)&amp;"",""))</f>
        <v>Rosie</v>
      </c>
      <c r="BC171" t="str">
        <f>IF(BA171="","",IFERROR(INDEX(wClass,102)&amp;"",""))</f>
        <v>Science Support</v>
      </c>
      <c r="BD171">
        <f>IF(BA171="","",IFERROR(INDEX(wKsBand,102)+0,""))</f>
        <v>1</v>
      </c>
      <c r="BE171">
        <f>IF(BA171="","",IFERROR(INDEX(wTests,102)+0,0))</f>
        <v>6</v>
      </c>
      <c r="BF171">
        <f>IF(BA171="","",IFERROR(INDEX(wMean,102)+0,""))</f>
        <v>1.66666666666667</v>
      </c>
      <c r="BG171">
        <f>IF(BA171="","",IFERROR(INDEX(wVs,102)+0,""))</f>
        <v>-0.2905772005772</v>
      </c>
      <c r="BH171">
        <f>IF(OR(BA171="",wLatest=""),"",IFERROR(INDEX(wData,102,MATCH(wLatest&amp;CHAR(10)&amp;"Stanine",wHdr,0))+0,""))</f>
        <v>2</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IFERROR(INDEX(tblY7[Class],ROWS(H$10:H172))&amp;"","")</f>
        <v/>
      </c>
      <c r="I172" t="str">
        <f>IF(H172="","",IF(SUMPRODUCT(--(H$10:H172=H172))=1,SUMPRODUCT(--(H$10:H$609&lt;H172))+1,""))</f>
        <v/>
      </c>
      <c r="J172" t="str">
        <f>IFERROR(INDEX(tblY8[Class],ROWS(J$10:J172))&amp;"","")</f>
        <v/>
      </c>
      <c r="K172" t="str">
        <f>IF(J172="","",IF(SUMPRODUCT(--(J$10:J172=J172))=1,SUMPRODUCT(--(J$10:J$609&lt;J172))+1,""))</f>
        <v/>
      </c>
      <c r="L172" t="str">
        <f>IFERROR(INDEX(tblY9[Class],ROWS(L$10:L172))&amp;"","")</f>
        <v/>
      </c>
      <c r="M172" t="str">
        <f>IF(L172="","",IF(SUMPRODUCT(--(L$10:L172=L172))=1,SUMPRODUCT(--(L$10:L$609&lt;L172))+1,""))</f>
        <v/>
      </c>
      <c r="N172" t="str">
        <f>IFERROR(INDEX(tblY10[Class],ROWS(N$10:N172))&amp;"","")</f>
        <v/>
      </c>
      <c r="O172" t="str">
        <f>IF(N172="","",IF(SUMPRODUCT(--(N$10:N172=N172))=1,SUMPRODUCT(--(N$10:N$609&lt;N172))+1,""))</f>
        <v/>
      </c>
      <c r="P172" t="str">
        <f>IFERROR(INDEX(tblY11[Class],ROWS(P$10:P172))&amp;"","")</f>
        <v/>
      </c>
      <c r="Q172" t="str">
        <f>IF(P172="","",IF(SUMPRODUCT(--(P$10:P172=P172))=1,SUMPRODUCT(--(P$10:P$609&lt;P172))+1,""))</f>
        <v/>
      </c>
      <c r="BA172" t="str">
        <f>IFERROR(INDEX(wLast,103)&amp;"","")</f>
        <v>Kelly</v>
      </c>
      <c r="BB172" t="str">
        <f>IF(BA172="","",IFERROR(INDEX(wFirst,103)&amp;"",""))</f>
        <v>Hannah</v>
      </c>
      <c r="BC172" t="str">
        <f>IF(BA172="","",IFERROR(INDEX(wClass,103)&amp;"",""))</f>
        <v>Science Support</v>
      </c>
      <c r="BD172">
        <f>IF(BA172="","",IFERROR(INDEX(wKsBand,103)+0,""))</f>
        <v>3</v>
      </c>
      <c r="BE172">
        <f>IF(BA172="","",IFERROR(INDEX(wTests,103)+0,0))</f>
        <v>6</v>
      </c>
      <c r="BF172">
        <f>IF(BA172="","",IFERROR(INDEX(wMean,103)+0,""))</f>
        <v>2</v>
      </c>
      <c r="BG172">
        <f>IF(BA172="","",IFERROR(INDEX(wVs,103)+0,""))</f>
        <v>-1.45497113997114</v>
      </c>
      <c r="BH172">
        <f>IF(OR(BA172="",wLatest=""),"",IFERROR(INDEX(wData,103,MATCH(wLatest&amp;CHAR(10)&amp;"Stanine",wHdr,0))+0,""))</f>
        <v>2</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IFERROR(INDEX(tblY7[Class],ROWS(H$10:H173))&amp;"","")</f>
        <v/>
      </c>
      <c r="I173" t="str">
        <f>IF(H173="","",IF(SUMPRODUCT(--(H$10:H173=H173))=1,SUMPRODUCT(--(H$10:H$609&lt;H173))+1,""))</f>
        <v/>
      </c>
      <c r="J173" t="str">
        <f>IFERROR(INDEX(tblY8[Class],ROWS(J$10:J173))&amp;"","")</f>
        <v/>
      </c>
      <c r="K173" t="str">
        <f>IF(J173="","",IF(SUMPRODUCT(--(J$10:J173=J173))=1,SUMPRODUCT(--(J$10:J$609&lt;J173))+1,""))</f>
        <v/>
      </c>
      <c r="L173" t="str">
        <f>IFERROR(INDEX(tblY9[Class],ROWS(L$10:L173))&amp;"","")</f>
        <v/>
      </c>
      <c r="M173" t="str">
        <f>IF(L173="","",IF(SUMPRODUCT(--(L$10:L173=L173))=1,SUMPRODUCT(--(L$10:L$609&lt;L173))+1,""))</f>
        <v/>
      </c>
      <c r="N173" t="str">
        <f>IFERROR(INDEX(tblY10[Class],ROWS(N$10:N173))&amp;"","")</f>
        <v/>
      </c>
      <c r="O173" t="str">
        <f>IF(N173="","",IF(SUMPRODUCT(--(N$10:N173=N173))=1,SUMPRODUCT(--(N$10:N$609&lt;N173))+1,""))</f>
        <v/>
      </c>
      <c r="P173" t="str">
        <f>IFERROR(INDEX(tblY11[Class],ROWS(P$10:P173))&amp;"","")</f>
        <v/>
      </c>
      <c r="Q173" t="str">
        <f>IF(P173="","",IF(SUMPRODUCT(--(P$10:P173=P173))=1,SUMPRODUCT(--(P$10:P$609&lt;P173))+1,""))</f>
        <v/>
      </c>
      <c r="BA173" t="str">
        <f>IFERROR(INDEX(wLast,104)&amp;"","")</f>
        <v>Lloyd</v>
      </c>
      <c r="BB173" t="str">
        <f>IF(BA173="","",IFERROR(INDEX(wFirst,104)&amp;"",""))</f>
        <v>Oliver</v>
      </c>
      <c r="BC173" t="str">
        <f>IF(BA173="","",IFERROR(INDEX(wClass,104)&amp;"",""))</f>
        <v>Science Support</v>
      </c>
      <c r="BD173">
        <f>IF(BA173="","",IFERROR(INDEX(wKsBand,104)+0,""))</f>
        <v>2</v>
      </c>
      <c r="BE173">
        <f>IF(BA173="","",IFERROR(INDEX(wTests,104)+0,0))</f>
        <v>5</v>
      </c>
      <c r="BF173">
        <f>IF(BA173="","",IFERROR(INDEX(wMean,104)+0,""))</f>
        <v>2.2</v>
      </c>
      <c r="BG173">
        <f>IF(BA173="","",IFERROR(INDEX(wVs,104)+0,""))</f>
        <v>-0.506107503607503</v>
      </c>
      <c r="BH173">
        <f>IF(OR(BA173="",wLatest=""),"",IFERROR(INDEX(wData,104,MATCH(wLatest&amp;CHAR(10)&amp;"Stanine",wHdr,0))+0,""))</f>
        <v>2</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IFERROR(INDEX(tblY7[Class],ROWS(H$10:H174))&amp;"","")</f>
        <v/>
      </c>
      <c r="I174" t="str">
        <f>IF(H174="","",IF(SUMPRODUCT(--(H$10:H174=H174))=1,SUMPRODUCT(--(H$10:H$609&lt;H174))+1,""))</f>
        <v/>
      </c>
      <c r="J174" t="str">
        <f>IFERROR(INDEX(tblY8[Class],ROWS(J$10:J174))&amp;"","")</f>
        <v/>
      </c>
      <c r="K174" t="str">
        <f>IF(J174="","",IF(SUMPRODUCT(--(J$10:J174=J174))=1,SUMPRODUCT(--(J$10:J$609&lt;J174))+1,""))</f>
        <v/>
      </c>
      <c r="L174" t="str">
        <f>IFERROR(INDEX(tblY9[Class],ROWS(L$10:L174))&amp;"","")</f>
        <v/>
      </c>
      <c r="M174" t="str">
        <f>IF(L174="","",IF(SUMPRODUCT(--(L$10:L174=L174))=1,SUMPRODUCT(--(L$10:L$609&lt;L174))+1,""))</f>
        <v/>
      </c>
      <c r="N174" t="str">
        <f>IFERROR(INDEX(tblY10[Class],ROWS(N$10:N174))&amp;"","")</f>
        <v/>
      </c>
      <c r="O174" t="str">
        <f>IF(N174="","",IF(SUMPRODUCT(--(N$10:N174=N174))=1,SUMPRODUCT(--(N$10:N$609&lt;N174))+1,""))</f>
        <v/>
      </c>
      <c r="P174" t="str">
        <f>IFERROR(INDEX(tblY11[Class],ROWS(P$10:P174))&amp;"","")</f>
        <v/>
      </c>
      <c r="Q174" t="str">
        <f>IF(P174="","",IF(SUMPRODUCT(--(P$10:P174=P174))=1,SUMPRODUCT(--(P$10:P$609&lt;P174))+1,""))</f>
        <v/>
      </c>
      <c r="BA174" t="str">
        <f>IFERROR(INDEX(wLast,105)&amp;"","")</f>
        <v>Okafor</v>
      </c>
      <c r="BB174" t="str">
        <f>IF(BA174="","",IFERROR(INDEX(wFirst,105)&amp;"",""))</f>
        <v>Lewis</v>
      </c>
      <c r="BC174" t="str">
        <f>IF(BA174="","",IFERROR(INDEX(wClass,105)&amp;"",""))</f>
        <v>Science Support</v>
      </c>
      <c r="BD174">
        <f>IF(BA174="","",IFERROR(INDEX(wKsBand,105)+0,""))</f>
        <v>3</v>
      </c>
      <c r="BE174">
        <f>IF(BA174="","",IFERROR(INDEX(wTests,105)+0,0))</f>
        <v>6</v>
      </c>
      <c r="BF174">
        <f>IF(BA174="","",IFERROR(INDEX(wMean,105)+0,""))</f>
        <v>2.16666666666667</v>
      </c>
      <c r="BG174">
        <f>IF(BA174="","",IFERROR(INDEX(wVs,105)+0,""))</f>
        <v>-1.28830447330447</v>
      </c>
      <c r="BH174">
        <f>IF(OR(BA174="",wLatest=""),"",IFERROR(INDEX(wData,105,MATCH(wLatest&amp;CHAR(10)&amp;"Stanine",wHdr,0))+0,""))</f>
        <v>2</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IFERROR(INDEX(tblY7[Class],ROWS(H$10:H175))&amp;"","")</f>
        <v/>
      </c>
      <c r="I175" t="str">
        <f>IF(H175="","",IF(SUMPRODUCT(--(H$10:H175=H175))=1,SUMPRODUCT(--(H$10:H$609&lt;H175))+1,""))</f>
        <v/>
      </c>
      <c r="J175" t="str">
        <f>IFERROR(INDEX(tblY8[Class],ROWS(J$10:J175))&amp;"","")</f>
        <v/>
      </c>
      <c r="K175" t="str">
        <f>IF(J175="","",IF(SUMPRODUCT(--(J$10:J175=J175))=1,SUMPRODUCT(--(J$10:J$609&lt;J175))+1,""))</f>
        <v/>
      </c>
      <c r="L175" t="str">
        <f>IFERROR(INDEX(tblY9[Class],ROWS(L$10:L175))&amp;"","")</f>
        <v/>
      </c>
      <c r="M175" t="str">
        <f>IF(L175="","",IF(SUMPRODUCT(--(L$10:L175=L175))=1,SUMPRODUCT(--(L$10:L$609&lt;L175))+1,""))</f>
        <v/>
      </c>
      <c r="N175" t="str">
        <f>IFERROR(INDEX(tblY10[Class],ROWS(N$10:N175))&amp;"","")</f>
        <v/>
      </c>
      <c r="O175" t="str">
        <f>IF(N175="","",IF(SUMPRODUCT(--(N$10:N175=N175))=1,SUMPRODUCT(--(N$10:N$609&lt;N175))+1,""))</f>
        <v/>
      </c>
      <c r="P175" t="str">
        <f>IFERROR(INDEX(tblY11[Class],ROWS(P$10:P175))&amp;"","")</f>
        <v/>
      </c>
      <c r="Q175" t="str">
        <f>IF(P175="","",IF(SUMPRODUCT(--(P$10:P175=P175))=1,SUMPRODUCT(--(P$10:P$609&lt;P175))+1,""))</f>
        <v/>
      </c>
      <c r="BA175" t="str">
        <f>IFERROR(INDEX(wLast,106)&amp;"","")</f>
        <v>Okafor</v>
      </c>
      <c r="BB175" t="str">
        <f>IF(BA175="","",IFERROR(INDEX(wFirst,106)&amp;"",""))</f>
        <v>Rosie</v>
      </c>
      <c r="BC175" t="str">
        <f>IF(BA175="","",IFERROR(INDEX(wClass,106)&amp;"",""))</f>
        <v>Science Support</v>
      </c>
      <c r="BD175">
        <f>IF(BA175="","",IFERROR(INDEX(wKsBand,106)+0,""))</f>
        <v>3</v>
      </c>
      <c r="BE175">
        <f>IF(BA175="","",IFERROR(INDEX(wTests,106)+0,0))</f>
        <v>5</v>
      </c>
      <c r="BF175">
        <f>IF(BA175="","",IFERROR(INDEX(wMean,106)+0,""))</f>
        <v>3.2</v>
      </c>
      <c r="BG175">
        <f>IF(BA175="","",IFERROR(INDEX(wVs,106)+0,""))</f>
        <v>-0.254971139971139</v>
      </c>
      <c r="BH175">
        <f>IF(OR(BA175="",wLatest=""),"",IFERROR(INDEX(wData,106,MATCH(wLatest&amp;CHAR(10)&amp;"Stanine",wHdr,0))+0,""))</f>
        <v>4</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IFERROR(INDEX(tblY7[Class],ROWS(H$10:H176))&amp;"","")</f>
        <v/>
      </c>
      <c r="I176" t="str">
        <f>IF(H176="","",IF(SUMPRODUCT(--(H$10:H176=H176))=1,SUMPRODUCT(--(H$10:H$609&lt;H176))+1,""))</f>
        <v/>
      </c>
      <c r="J176" t="str">
        <f>IFERROR(INDEX(tblY8[Class],ROWS(J$10:J176))&amp;"","")</f>
        <v/>
      </c>
      <c r="K176" t="str">
        <f>IF(J176="","",IF(SUMPRODUCT(--(J$10:J176=J176))=1,SUMPRODUCT(--(J$10:J$609&lt;J176))+1,""))</f>
        <v/>
      </c>
      <c r="L176" t="str">
        <f>IFERROR(INDEX(tblY9[Class],ROWS(L$10:L176))&amp;"","")</f>
        <v/>
      </c>
      <c r="M176" t="str">
        <f>IF(L176="","",IF(SUMPRODUCT(--(L$10:L176=L176))=1,SUMPRODUCT(--(L$10:L$609&lt;L176))+1,""))</f>
        <v/>
      </c>
      <c r="N176" t="str">
        <f>IFERROR(INDEX(tblY10[Class],ROWS(N$10:N176))&amp;"","")</f>
        <v/>
      </c>
      <c r="O176" t="str">
        <f>IF(N176="","",IF(SUMPRODUCT(--(N$10:N176=N176))=1,SUMPRODUCT(--(N$10:N$609&lt;N176))+1,""))</f>
        <v/>
      </c>
      <c r="P176" t="str">
        <f>IFERROR(INDEX(tblY11[Class],ROWS(P$10:P176))&amp;"","")</f>
        <v/>
      </c>
      <c r="Q176" t="str">
        <f>IF(P176="","",IF(SUMPRODUCT(--(P$10:P176=P176))=1,SUMPRODUCT(--(P$10:P$609&lt;P176))+1,""))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IFERROR(INDEX(tblY7[Class],ROWS(H$10:H177))&amp;"","")</f>
        <v/>
      </c>
      <c r="I177" t="str">
        <f>IF(H177="","",IF(SUMPRODUCT(--(H$10:H177=H177))=1,SUMPRODUCT(--(H$10:H$609&lt;H177))+1,""))</f>
        <v/>
      </c>
      <c r="J177" t="str">
        <f>IFERROR(INDEX(tblY8[Class],ROWS(J$10:J177))&amp;"","")</f>
        <v/>
      </c>
      <c r="K177" t="str">
        <f>IF(J177="","",IF(SUMPRODUCT(--(J$10:J177=J177))=1,SUMPRODUCT(--(J$10:J$609&lt;J177))+1,""))</f>
        <v/>
      </c>
      <c r="L177" t="str">
        <f>IFERROR(INDEX(tblY9[Class],ROWS(L$10:L177))&amp;"","")</f>
        <v/>
      </c>
      <c r="M177" t="str">
        <f>IF(L177="","",IF(SUMPRODUCT(--(L$10:L177=L177))=1,SUMPRODUCT(--(L$10:L$609&lt;L177))+1,""))</f>
        <v/>
      </c>
      <c r="N177" t="str">
        <f>IFERROR(INDEX(tblY10[Class],ROWS(N$10:N177))&amp;"","")</f>
        <v/>
      </c>
      <c r="O177" t="str">
        <f>IF(N177="","",IF(SUMPRODUCT(--(N$10:N177=N177))=1,SUMPRODUCT(--(N$10:N$609&lt;N177))+1,""))</f>
        <v/>
      </c>
      <c r="P177" t="str">
        <f>IFERROR(INDEX(tblY11[Class],ROWS(P$10:P177))&amp;"","")</f>
        <v/>
      </c>
      <c r="Q177" t="str">
        <f>IF(P177="","",IF(SUMPRODUCT(--(P$10:P177=P177))=1,SUMPRODUCT(--(P$10:P$609&lt;P177))+1,""))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IFERROR(INDEX(tblY7[Class],ROWS(H$10:H178))&amp;"","")</f>
        <v/>
      </c>
      <c r="I178" t="str">
        <f>IF(H178="","",IF(SUMPRODUCT(--(H$10:H178=H178))=1,SUMPRODUCT(--(H$10:H$609&lt;H178))+1,""))</f>
        <v/>
      </c>
      <c r="J178" t="str">
        <f>IFERROR(INDEX(tblY8[Class],ROWS(J$10:J178))&amp;"","")</f>
        <v/>
      </c>
      <c r="K178" t="str">
        <f>IF(J178="","",IF(SUMPRODUCT(--(J$10:J178=J178))=1,SUMPRODUCT(--(J$10:J$609&lt;J178))+1,""))</f>
        <v/>
      </c>
      <c r="L178" t="str">
        <f>IFERROR(INDEX(tblY9[Class],ROWS(L$10:L178))&amp;"","")</f>
        <v/>
      </c>
      <c r="M178" t="str">
        <f>IF(L178="","",IF(SUMPRODUCT(--(L$10:L178=L178))=1,SUMPRODUCT(--(L$10:L$609&lt;L178))+1,""))</f>
        <v/>
      </c>
      <c r="N178" t="str">
        <f>IFERROR(INDEX(tblY10[Class],ROWS(N$10:N178))&amp;"","")</f>
        <v/>
      </c>
      <c r="O178" t="str">
        <f>IF(N178="","",IF(SUMPRODUCT(--(N$10:N178=N178))=1,SUMPRODUCT(--(N$10:N$609&lt;N178))+1,""))</f>
        <v/>
      </c>
      <c r="P178" t="str">
        <f>IFERROR(INDEX(tblY11[Class],ROWS(P$10:P178))&amp;"","")</f>
        <v/>
      </c>
      <c r="Q178" t="str">
        <f>IF(P178="","",IF(SUMPRODUCT(--(P$10:P178=P178))=1,SUMPRODUCT(--(P$10:P$609&lt;P178))+1,""))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IFERROR(INDEX(tblY7[Class],ROWS(H$10:H179))&amp;"","")</f>
        <v/>
      </c>
      <c r="I179" t="str">
        <f>IF(H179="","",IF(SUMPRODUCT(--(H$10:H179=H179))=1,SUMPRODUCT(--(H$10:H$609&lt;H179))+1,""))</f>
        <v/>
      </c>
      <c r="J179" t="str">
        <f>IFERROR(INDEX(tblY8[Class],ROWS(J$10:J179))&amp;"","")</f>
        <v/>
      </c>
      <c r="K179" t="str">
        <f>IF(J179="","",IF(SUMPRODUCT(--(J$10:J179=J179))=1,SUMPRODUCT(--(J$10:J$609&lt;J179))+1,""))</f>
        <v/>
      </c>
      <c r="L179" t="str">
        <f>IFERROR(INDEX(tblY9[Class],ROWS(L$10:L179))&amp;"","")</f>
        <v/>
      </c>
      <c r="M179" t="str">
        <f>IF(L179="","",IF(SUMPRODUCT(--(L$10:L179=L179))=1,SUMPRODUCT(--(L$10:L$609&lt;L179))+1,""))</f>
        <v/>
      </c>
      <c r="N179" t="str">
        <f>IFERROR(INDEX(tblY10[Class],ROWS(N$10:N179))&amp;"","")</f>
        <v/>
      </c>
      <c r="O179" t="str">
        <f>IF(N179="","",IF(SUMPRODUCT(--(N$10:N179=N179))=1,SUMPRODUCT(--(N$10:N$609&lt;N179))+1,""))</f>
        <v/>
      </c>
      <c r="P179" t="str">
        <f>IFERROR(INDEX(tblY11[Class],ROWS(P$10:P179))&amp;"","")</f>
        <v/>
      </c>
      <c r="Q179" t="str">
        <f>IF(P179="","",IF(SUMPRODUCT(--(P$10:P179=P179))=1,SUMPRODUCT(--(P$10:P$609&lt;P179))+1,""))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IFERROR(INDEX(tblY7[Class],ROWS(H$10:H180))&amp;"","")</f>
        <v/>
      </c>
      <c r="I180" t="str">
        <f>IF(H180="","",IF(SUMPRODUCT(--(H$10:H180=H180))=1,SUMPRODUCT(--(H$10:H$609&lt;H180))+1,""))</f>
        <v/>
      </c>
      <c r="J180" t="str">
        <f>IFERROR(INDEX(tblY8[Class],ROWS(J$10:J180))&amp;"","")</f>
        <v/>
      </c>
      <c r="K180" t="str">
        <f>IF(J180="","",IF(SUMPRODUCT(--(J$10:J180=J180))=1,SUMPRODUCT(--(J$10:J$609&lt;J180))+1,""))</f>
        <v/>
      </c>
      <c r="L180" t="str">
        <f>IFERROR(INDEX(tblY9[Class],ROWS(L$10:L180))&amp;"","")</f>
        <v/>
      </c>
      <c r="M180" t="str">
        <f>IF(L180="","",IF(SUMPRODUCT(--(L$10:L180=L180))=1,SUMPRODUCT(--(L$10:L$609&lt;L180))+1,""))</f>
        <v/>
      </c>
      <c r="N180" t="str">
        <f>IFERROR(INDEX(tblY10[Class],ROWS(N$10:N180))&amp;"","")</f>
        <v/>
      </c>
      <c r="O180" t="str">
        <f>IF(N180="","",IF(SUMPRODUCT(--(N$10:N180=N180))=1,SUMPRODUCT(--(N$10:N$609&lt;N180))+1,""))</f>
        <v/>
      </c>
      <c r="P180" t="str">
        <f>IFERROR(INDEX(tblY11[Class],ROWS(P$10:P180))&amp;"","")</f>
        <v/>
      </c>
      <c r="Q180" t="str">
        <f>IF(P180="","",IF(SUMPRODUCT(--(P$10:P180=P180))=1,SUMPRODUCT(--(P$10:P$609&lt;P180))+1,""))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IFERROR(INDEX(tblY7[Class],ROWS(H$10:H181))&amp;"","")</f>
        <v/>
      </c>
      <c r="I181" t="str">
        <f>IF(H181="","",IF(SUMPRODUCT(--(H$10:H181=H181))=1,SUMPRODUCT(--(H$10:H$609&lt;H181))+1,""))</f>
        <v/>
      </c>
      <c r="J181" t="str">
        <f>IFERROR(INDEX(tblY8[Class],ROWS(J$10:J181))&amp;"","")</f>
        <v/>
      </c>
      <c r="K181" t="str">
        <f>IF(J181="","",IF(SUMPRODUCT(--(J$10:J181=J181))=1,SUMPRODUCT(--(J$10:J$609&lt;J181))+1,""))</f>
        <v/>
      </c>
      <c r="L181" t="str">
        <f>IFERROR(INDEX(tblY9[Class],ROWS(L$10:L181))&amp;"","")</f>
        <v/>
      </c>
      <c r="M181" t="str">
        <f>IF(L181="","",IF(SUMPRODUCT(--(L$10:L181=L181))=1,SUMPRODUCT(--(L$10:L$609&lt;L181))+1,""))</f>
        <v/>
      </c>
      <c r="N181" t="str">
        <f>IFERROR(INDEX(tblY10[Class],ROWS(N$10:N181))&amp;"","")</f>
        <v/>
      </c>
      <c r="O181" t="str">
        <f>IF(N181="","",IF(SUMPRODUCT(--(N$10:N181=N181))=1,SUMPRODUCT(--(N$10:N$609&lt;N181))+1,""))</f>
        <v/>
      </c>
      <c r="P181" t="str">
        <f>IFERROR(INDEX(tblY11[Class],ROWS(P$10:P181))&amp;"","")</f>
        <v/>
      </c>
      <c r="Q181" t="str">
        <f>IF(P181="","",IF(SUMPRODUCT(--(P$10:P181=P181))=1,SUMPRODUCT(--(P$10:P$609&lt;P181))+1,""))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IFERROR(INDEX(tblY7[Class],ROWS(H$10:H182))&amp;"","")</f>
        <v/>
      </c>
      <c r="I182" t="str">
        <f>IF(H182="","",IF(SUMPRODUCT(--(H$10:H182=H182))=1,SUMPRODUCT(--(H$10:H$609&lt;H182))+1,""))</f>
        <v/>
      </c>
      <c r="J182" t="str">
        <f>IFERROR(INDEX(tblY8[Class],ROWS(J$10:J182))&amp;"","")</f>
        <v/>
      </c>
      <c r="K182" t="str">
        <f>IF(J182="","",IF(SUMPRODUCT(--(J$10:J182=J182))=1,SUMPRODUCT(--(J$10:J$609&lt;J182))+1,""))</f>
        <v/>
      </c>
      <c r="L182" t="str">
        <f>IFERROR(INDEX(tblY9[Class],ROWS(L$10:L182))&amp;"","")</f>
        <v/>
      </c>
      <c r="M182" t="str">
        <f>IF(L182="","",IF(SUMPRODUCT(--(L$10:L182=L182))=1,SUMPRODUCT(--(L$10:L$609&lt;L182))+1,""))</f>
        <v/>
      </c>
      <c r="N182" t="str">
        <f>IFERROR(INDEX(tblY10[Class],ROWS(N$10:N182))&amp;"","")</f>
        <v/>
      </c>
      <c r="O182" t="str">
        <f>IF(N182="","",IF(SUMPRODUCT(--(N$10:N182=N182))=1,SUMPRODUCT(--(N$10:N$609&lt;N182))+1,""))</f>
        <v/>
      </c>
      <c r="P182" t="str">
        <f>IFERROR(INDEX(tblY11[Class],ROWS(P$10:P182))&amp;"","")</f>
        <v/>
      </c>
      <c r="Q182" t="str">
        <f>IF(P182="","",IF(SUMPRODUCT(--(P$10:P182=P182))=1,SUMPRODUCT(--(P$10:P$609&lt;P182))+1,""))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IFERROR(INDEX(tblY7[Class],ROWS(H$10:H183))&amp;"","")</f>
        <v/>
      </c>
      <c r="I183" t="str">
        <f>IF(H183="","",IF(SUMPRODUCT(--(H$10:H183=H183))=1,SUMPRODUCT(--(H$10:H$609&lt;H183))+1,""))</f>
        <v/>
      </c>
      <c r="J183" t="str">
        <f>IFERROR(INDEX(tblY8[Class],ROWS(J$10:J183))&amp;"","")</f>
        <v/>
      </c>
      <c r="K183" t="str">
        <f>IF(J183="","",IF(SUMPRODUCT(--(J$10:J183=J183))=1,SUMPRODUCT(--(J$10:J$609&lt;J183))+1,""))</f>
        <v/>
      </c>
      <c r="L183" t="str">
        <f>IFERROR(INDEX(tblY9[Class],ROWS(L$10:L183))&amp;"","")</f>
        <v/>
      </c>
      <c r="M183" t="str">
        <f>IF(L183="","",IF(SUMPRODUCT(--(L$10:L183=L183))=1,SUMPRODUCT(--(L$10:L$609&lt;L183))+1,""))</f>
        <v/>
      </c>
      <c r="N183" t="str">
        <f>IFERROR(INDEX(tblY10[Class],ROWS(N$10:N183))&amp;"","")</f>
        <v/>
      </c>
      <c r="O183" t="str">
        <f>IF(N183="","",IF(SUMPRODUCT(--(N$10:N183=N183))=1,SUMPRODUCT(--(N$10:N$609&lt;N183))+1,""))</f>
        <v/>
      </c>
      <c r="P183" t="str">
        <f>IFERROR(INDEX(tblY11[Class],ROWS(P$10:P183))&amp;"","")</f>
        <v/>
      </c>
      <c r="Q183" t="str">
        <f>IF(P183="","",IF(SUMPRODUCT(--(P$10:P183=P183))=1,SUMPRODUCT(--(P$10:P$609&lt;P183))+1,""))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IFERROR(INDEX(tblY7[Class],ROWS(H$10:H184))&amp;"","")</f>
        <v/>
      </c>
      <c r="I184" t="str">
        <f>IF(H184="","",IF(SUMPRODUCT(--(H$10:H184=H184))=1,SUMPRODUCT(--(H$10:H$609&lt;H184))+1,""))</f>
        <v/>
      </c>
      <c r="J184" t="str">
        <f>IFERROR(INDEX(tblY8[Class],ROWS(J$10:J184))&amp;"","")</f>
        <v/>
      </c>
      <c r="K184" t="str">
        <f>IF(J184="","",IF(SUMPRODUCT(--(J$10:J184=J184))=1,SUMPRODUCT(--(J$10:J$609&lt;J184))+1,""))</f>
        <v/>
      </c>
      <c r="L184" t="str">
        <f>IFERROR(INDEX(tblY9[Class],ROWS(L$10:L184))&amp;"","")</f>
        <v/>
      </c>
      <c r="M184" t="str">
        <f>IF(L184="","",IF(SUMPRODUCT(--(L$10:L184=L184))=1,SUMPRODUCT(--(L$10:L$609&lt;L184))+1,""))</f>
        <v/>
      </c>
      <c r="N184" t="str">
        <f>IFERROR(INDEX(tblY10[Class],ROWS(N$10:N184))&amp;"","")</f>
        <v/>
      </c>
      <c r="O184" t="str">
        <f>IF(N184="","",IF(SUMPRODUCT(--(N$10:N184=N184))=1,SUMPRODUCT(--(N$10:N$609&lt;N184))+1,""))</f>
        <v/>
      </c>
      <c r="P184" t="str">
        <f>IFERROR(INDEX(tblY11[Class],ROWS(P$10:P184))&amp;"","")</f>
        <v/>
      </c>
      <c r="Q184" t="str">
        <f>IF(P184="","",IF(SUMPRODUCT(--(P$10:P184=P184))=1,SUMPRODUCT(--(P$10:P$609&lt;P184))+1,""))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IFERROR(INDEX(tblY7[Class],ROWS(H$10:H185))&amp;"","")</f>
        <v/>
      </c>
      <c r="I185" t="str">
        <f>IF(H185="","",IF(SUMPRODUCT(--(H$10:H185=H185))=1,SUMPRODUCT(--(H$10:H$609&lt;H185))+1,""))</f>
        <v/>
      </c>
      <c r="J185" t="str">
        <f>IFERROR(INDEX(tblY8[Class],ROWS(J$10:J185))&amp;"","")</f>
        <v/>
      </c>
      <c r="K185" t="str">
        <f>IF(J185="","",IF(SUMPRODUCT(--(J$10:J185=J185))=1,SUMPRODUCT(--(J$10:J$609&lt;J185))+1,""))</f>
        <v/>
      </c>
      <c r="L185" t="str">
        <f>IFERROR(INDEX(tblY9[Class],ROWS(L$10:L185))&amp;"","")</f>
        <v/>
      </c>
      <c r="M185" t="str">
        <f>IF(L185="","",IF(SUMPRODUCT(--(L$10:L185=L185))=1,SUMPRODUCT(--(L$10:L$609&lt;L185))+1,""))</f>
        <v/>
      </c>
      <c r="N185" t="str">
        <f>IFERROR(INDEX(tblY10[Class],ROWS(N$10:N185))&amp;"","")</f>
        <v/>
      </c>
      <c r="O185" t="str">
        <f>IF(N185="","",IF(SUMPRODUCT(--(N$10:N185=N185))=1,SUMPRODUCT(--(N$10:N$609&lt;N185))+1,""))</f>
        <v/>
      </c>
      <c r="P185" t="str">
        <f>IFERROR(INDEX(tblY11[Class],ROWS(P$10:P185))&amp;"","")</f>
        <v/>
      </c>
      <c r="Q185" t="str">
        <f>IF(P185="","",IF(SUMPRODUCT(--(P$10:P185=P185))=1,SUMPRODUCT(--(P$10:P$609&lt;P185))+1,""))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IFERROR(INDEX(tblY7[Class],ROWS(H$10:H186))&amp;"","")</f>
        <v/>
      </c>
      <c r="I186" t="str">
        <f>IF(H186="","",IF(SUMPRODUCT(--(H$10:H186=H186))=1,SUMPRODUCT(--(H$10:H$609&lt;H186))+1,""))</f>
        <v/>
      </c>
      <c r="J186" t="str">
        <f>IFERROR(INDEX(tblY8[Class],ROWS(J$10:J186))&amp;"","")</f>
        <v/>
      </c>
      <c r="K186" t="str">
        <f>IF(J186="","",IF(SUMPRODUCT(--(J$10:J186=J186))=1,SUMPRODUCT(--(J$10:J$609&lt;J186))+1,""))</f>
        <v/>
      </c>
      <c r="L186" t="str">
        <f>IFERROR(INDEX(tblY9[Class],ROWS(L$10:L186))&amp;"","")</f>
        <v/>
      </c>
      <c r="M186" t="str">
        <f>IF(L186="","",IF(SUMPRODUCT(--(L$10:L186=L186))=1,SUMPRODUCT(--(L$10:L$609&lt;L186))+1,""))</f>
        <v/>
      </c>
      <c r="N186" t="str">
        <f>IFERROR(INDEX(tblY10[Class],ROWS(N$10:N186))&amp;"","")</f>
        <v/>
      </c>
      <c r="O186" t="str">
        <f>IF(N186="","",IF(SUMPRODUCT(--(N$10:N186=N186))=1,SUMPRODUCT(--(N$10:N$609&lt;N186))+1,""))</f>
        <v/>
      </c>
      <c r="P186" t="str">
        <f>IFERROR(INDEX(tblY11[Class],ROWS(P$10:P186))&amp;"","")</f>
        <v/>
      </c>
      <c r="Q186" t="str">
        <f>IF(P186="","",IF(SUMPRODUCT(--(P$10:P186=P186))=1,SUMPRODUCT(--(P$10:P$609&lt;P186))+1,""))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IFERROR(INDEX(tblY7[Class],ROWS(H$10:H187))&amp;"","")</f>
        <v/>
      </c>
      <c r="I187" t="str">
        <f>IF(H187="","",IF(SUMPRODUCT(--(H$10:H187=H187))=1,SUMPRODUCT(--(H$10:H$609&lt;H187))+1,""))</f>
        <v/>
      </c>
      <c r="J187" t="str">
        <f>IFERROR(INDEX(tblY8[Class],ROWS(J$10:J187))&amp;"","")</f>
        <v/>
      </c>
      <c r="K187" t="str">
        <f>IF(J187="","",IF(SUMPRODUCT(--(J$10:J187=J187))=1,SUMPRODUCT(--(J$10:J$609&lt;J187))+1,""))</f>
        <v/>
      </c>
      <c r="L187" t="str">
        <f>IFERROR(INDEX(tblY9[Class],ROWS(L$10:L187))&amp;"","")</f>
        <v/>
      </c>
      <c r="M187" t="str">
        <f>IF(L187="","",IF(SUMPRODUCT(--(L$10:L187=L187))=1,SUMPRODUCT(--(L$10:L$609&lt;L187))+1,""))</f>
        <v/>
      </c>
      <c r="N187" t="str">
        <f>IFERROR(INDEX(tblY10[Class],ROWS(N$10:N187))&amp;"","")</f>
        <v/>
      </c>
      <c r="O187" t="str">
        <f>IF(N187="","",IF(SUMPRODUCT(--(N$10:N187=N187))=1,SUMPRODUCT(--(N$10:N$609&lt;N187))+1,""))</f>
        <v/>
      </c>
      <c r="P187" t="str">
        <f>IFERROR(INDEX(tblY11[Class],ROWS(P$10:P187))&amp;"","")</f>
        <v/>
      </c>
      <c r="Q187" t="str">
        <f>IF(P187="","",IF(SUMPRODUCT(--(P$10:P187=P187))=1,SUMPRODUCT(--(P$10:P$609&lt;P187))+1,""))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IFERROR(INDEX(tblY7[Class],ROWS(H$10:H188))&amp;"","")</f>
        <v/>
      </c>
      <c r="I188" t="str">
        <f>IF(H188="","",IF(SUMPRODUCT(--(H$10:H188=H188))=1,SUMPRODUCT(--(H$10:H$609&lt;H188))+1,""))</f>
        <v/>
      </c>
      <c r="J188" t="str">
        <f>IFERROR(INDEX(tblY8[Class],ROWS(J$10:J188))&amp;"","")</f>
        <v/>
      </c>
      <c r="K188" t="str">
        <f>IF(J188="","",IF(SUMPRODUCT(--(J$10:J188=J188))=1,SUMPRODUCT(--(J$10:J$609&lt;J188))+1,""))</f>
        <v/>
      </c>
      <c r="L188" t="str">
        <f>IFERROR(INDEX(tblY9[Class],ROWS(L$10:L188))&amp;"","")</f>
        <v/>
      </c>
      <c r="M188" t="str">
        <f>IF(L188="","",IF(SUMPRODUCT(--(L$10:L188=L188))=1,SUMPRODUCT(--(L$10:L$609&lt;L188))+1,""))</f>
        <v/>
      </c>
      <c r="N188" t="str">
        <f>IFERROR(INDEX(tblY10[Class],ROWS(N$10:N188))&amp;"","")</f>
        <v/>
      </c>
      <c r="O188" t="str">
        <f>IF(N188="","",IF(SUMPRODUCT(--(N$10:N188=N188))=1,SUMPRODUCT(--(N$10:N$609&lt;N188))+1,""))</f>
        <v/>
      </c>
      <c r="P188" t="str">
        <f>IFERROR(INDEX(tblY11[Class],ROWS(P$10:P188))&amp;"","")</f>
        <v/>
      </c>
      <c r="Q188" t="str">
        <f>IF(P188="","",IF(SUMPRODUCT(--(P$10:P188=P188))=1,SUMPRODUCT(--(P$10:P$609&lt;P188))+1,""))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IFERROR(INDEX(tblY7[Class],ROWS(H$10:H189))&amp;"","")</f>
        <v/>
      </c>
      <c r="I189" t="str">
        <f>IF(H189="","",IF(SUMPRODUCT(--(H$10:H189=H189))=1,SUMPRODUCT(--(H$10:H$609&lt;H189))+1,""))</f>
        <v/>
      </c>
      <c r="J189" t="str">
        <f>IFERROR(INDEX(tblY8[Class],ROWS(J$10:J189))&amp;"","")</f>
        <v/>
      </c>
      <c r="K189" t="str">
        <f>IF(J189="","",IF(SUMPRODUCT(--(J$10:J189=J189))=1,SUMPRODUCT(--(J$10:J$609&lt;J189))+1,""))</f>
        <v/>
      </c>
      <c r="L189" t="str">
        <f>IFERROR(INDEX(tblY9[Class],ROWS(L$10:L189))&amp;"","")</f>
        <v/>
      </c>
      <c r="M189" t="str">
        <f>IF(L189="","",IF(SUMPRODUCT(--(L$10:L189=L189))=1,SUMPRODUCT(--(L$10:L$609&lt;L189))+1,""))</f>
        <v/>
      </c>
      <c r="N189" t="str">
        <f>IFERROR(INDEX(tblY10[Class],ROWS(N$10:N189))&amp;"","")</f>
        <v/>
      </c>
      <c r="O189" t="str">
        <f>IF(N189="","",IF(SUMPRODUCT(--(N$10:N189=N189))=1,SUMPRODUCT(--(N$10:N$609&lt;N189))+1,""))</f>
        <v/>
      </c>
      <c r="P189" t="str">
        <f>IFERROR(INDEX(tblY11[Class],ROWS(P$10:P189))&amp;"","")</f>
        <v/>
      </c>
      <c r="Q189" t="str">
        <f>IF(P189="","",IF(SUMPRODUCT(--(P$10:P189=P189))=1,SUMPRODUCT(--(P$10:P$609&lt;P189))+1,""))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IFERROR(INDEX(tblY7[Class],ROWS(H$10:H190))&amp;"","")</f>
        <v/>
      </c>
      <c r="I190" t="str">
        <f>IF(H190="","",IF(SUMPRODUCT(--(H$10:H190=H190))=1,SUMPRODUCT(--(H$10:H$609&lt;H190))+1,""))</f>
        <v/>
      </c>
      <c r="J190" t="str">
        <f>IFERROR(INDEX(tblY8[Class],ROWS(J$10:J190))&amp;"","")</f>
        <v/>
      </c>
      <c r="K190" t="str">
        <f>IF(J190="","",IF(SUMPRODUCT(--(J$10:J190=J190))=1,SUMPRODUCT(--(J$10:J$609&lt;J190))+1,""))</f>
        <v/>
      </c>
      <c r="L190" t="str">
        <f>IFERROR(INDEX(tblY9[Class],ROWS(L$10:L190))&amp;"","")</f>
        <v/>
      </c>
      <c r="M190" t="str">
        <f>IF(L190="","",IF(SUMPRODUCT(--(L$10:L190=L190))=1,SUMPRODUCT(--(L$10:L$609&lt;L190))+1,""))</f>
        <v/>
      </c>
      <c r="N190" t="str">
        <f>IFERROR(INDEX(tblY10[Class],ROWS(N$10:N190))&amp;"","")</f>
        <v/>
      </c>
      <c r="O190" t="str">
        <f>IF(N190="","",IF(SUMPRODUCT(--(N$10:N190=N190))=1,SUMPRODUCT(--(N$10:N$609&lt;N190))+1,""))</f>
        <v/>
      </c>
      <c r="P190" t="str">
        <f>IFERROR(INDEX(tblY11[Class],ROWS(P$10:P190))&amp;"","")</f>
        <v/>
      </c>
      <c r="Q190" t="str">
        <f>IF(P190="","",IF(SUMPRODUCT(--(P$10:P190=P190))=1,SUMPRODUCT(--(P$10:P$609&lt;P190))+1,""))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IFERROR(INDEX(tblY7[Class],ROWS(H$10:H191))&amp;"","")</f>
        <v/>
      </c>
      <c r="I191" t="str">
        <f>IF(H191="","",IF(SUMPRODUCT(--(H$10:H191=H191))=1,SUMPRODUCT(--(H$10:H$609&lt;H191))+1,""))</f>
        <v/>
      </c>
      <c r="J191" t="str">
        <f>IFERROR(INDEX(tblY8[Class],ROWS(J$10:J191))&amp;"","")</f>
        <v/>
      </c>
      <c r="K191" t="str">
        <f>IF(J191="","",IF(SUMPRODUCT(--(J$10:J191=J191))=1,SUMPRODUCT(--(J$10:J$609&lt;J191))+1,""))</f>
        <v/>
      </c>
      <c r="L191" t="str">
        <f>IFERROR(INDEX(tblY9[Class],ROWS(L$10:L191))&amp;"","")</f>
        <v/>
      </c>
      <c r="M191" t="str">
        <f>IF(L191="","",IF(SUMPRODUCT(--(L$10:L191=L191))=1,SUMPRODUCT(--(L$10:L$609&lt;L191))+1,""))</f>
        <v/>
      </c>
      <c r="N191" t="str">
        <f>IFERROR(INDEX(tblY10[Class],ROWS(N$10:N191))&amp;"","")</f>
        <v/>
      </c>
      <c r="O191" t="str">
        <f>IF(N191="","",IF(SUMPRODUCT(--(N$10:N191=N191))=1,SUMPRODUCT(--(N$10:N$609&lt;N191))+1,""))</f>
        <v/>
      </c>
      <c r="P191" t="str">
        <f>IFERROR(INDEX(tblY11[Class],ROWS(P$10:P191))&amp;"","")</f>
        <v/>
      </c>
      <c r="Q191" t="str">
        <f>IF(P191="","",IF(SUMPRODUCT(--(P$10:P191=P191))=1,SUMPRODUCT(--(P$10:P$609&lt;P191))+1,""))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IFERROR(INDEX(tblY7[Class],ROWS(H$10:H192))&amp;"","")</f>
        <v/>
      </c>
      <c r="I192" t="str">
        <f>IF(H192="","",IF(SUMPRODUCT(--(H$10:H192=H192))=1,SUMPRODUCT(--(H$10:H$609&lt;H192))+1,""))</f>
        <v/>
      </c>
      <c r="J192" t="str">
        <f>IFERROR(INDEX(tblY8[Class],ROWS(J$10:J192))&amp;"","")</f>
        <v/>
      </c>
      <c r="K192" t="str">
        <f>IF(J192="","",IF(SUMPRODUCT(--(J$10:J192=J192))=1,SUMPRODUCT(--(J$10:J$609&lt;J192))+1,""))</f>
        <v/>
      </c>
      <c r="L192" t="str">
        <f>IFERROR(INDEX(tblY9[Class],ROWS(L$10:L192))&amp;"","")</f>
        <v/>
      </c>
      <c r="M192" t="str">
        <f>IF(L192="","",IF(SUMPRODUCT(--(L$10:L192=L192))=1,SUMPRODUCT(--(L$10:L$609&lt;L192))+1,""))</f>
        <v/>
      </c>
      <c r="N192" t="str">
        <f>IFERROR(INDEX(tblY10[Class],ROWS(N$10:N192))&amp;"","")</f>
        <v/>
      </c>
      <c r="O192" t="str">
        <f>IF(N192="","",IF(SUMPRODUCT(--(N$10:N192=N192))=1,SUMPRODUCT(--(N$10:N$609&lt;N192))+1,""))</f>
        <v/>
      </c>
      <c r="P192" t="str">
        <f>IFERROR(INDEX(tblY11[Class],ROWS(P$10:P192))&amp;"","")</f>
        <v/>
      </c>
      <c r="Q192" t="str">
        <f>IF(P192="","",IF(SUMPRODUCT(--(P$10:P192=P192))=1,SUMPRODUCT(--(P$10:P$609&lt;P192))+1,""))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IFERROR(INDEX(tblY7[Class],ROWS(H$10:H193))&amp;"","")</f>
        <v/>
      </c>
      <c r="I193" t="str">
        <f>IF(H193="","",IF(SUMPRODUCT(--(H$10:H193=H193))=1,SUMPRODUCT(--(H$10:H$609&lt;H193))+1,""))</f>
        <v/>
      </c>
      <c r="J193" t="str">
        <f>IFERROR(INDEX(tblY8[Class],ROWS(J$10:J193))&amp;"","")</f>
        <v/>
      </c>
      <c r="K193" t="str">
        <f>IF(J193="","",IF(SUMPRODUCT(--(J$10:J193=J193))=1,SUMPRODUCT(--(J$10:J$609&lt;J193))+1,""))</f>
        <v/>
      </c>
      <c r="L193" t="str">
        <f>IFERROR(INDEX(tblY9[Class],ROWS(L$10:L193))&amp;"","")</f>
        <v/>
      </c>
      <c r="M193" t="str">
        <f>IF(L193="","",IF(SUMPRODUCT(--(L$10:L193=L193))=1,SUMPRODUCT(--(L$10:L$609&lt;L193))+1,""))</f>
        <v/>
      </c>
      <c r="N193" t="str">
        <f>IFERROR(INDEX(tblY10[Class],ROWS(N$10:N193))&amp;"","")</f>
        <v/>
      </c>
      <c r="O193" t="str">
        <f>IF(N193="","",IF(SUMPRODUCT(--(N$10:N193=N193))=1,SUMPRODUCT(--(N$10:N$609&lt;N193))+1,""))</f>
        <v/>
      </c>
      <c r="P193" t="str">
        <f>IFERROR(INDEX(tblY11[Class],ROWS(P$10:P193))&amp;"","")</f>
        <v/>
      </c>
      <c r="Q193" t="str">
        <f>IF(P193="","",IF(SUMPRODUCT(--(P$10:P193=P193))=1,SUMPRODUCT(--(P$10:P$609&lt;P193))+1,""))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IFERROR(INDEX(tblY7[Class],ROWS(H$10:H194))&amp;"","")</f>
        <v/>
      </c>
      <c r="I194" t="str">
        <f>IF(H194="","",IF(SUMPRODUCT(--(H$10:H194=H194))=1,SUMPRODUCT(--(H$10:H$609&lt;H194))+1,""))</f>
        <v/>
      </c>
      <c r="J194" t="str">
        <f>IFERROR(INDEX(tblY8[Class],ROWS(J$10:J194))&amp;"","")</f>
        <v/>
      </c>
      <c r="K194" t="str">
        <f>IF(J194="","",IF(SUMPRODUCT(--(J$10:J194=J194))=1,SUMPRODUCT(--(J$10:J$609&lt;J194))+1,""))</f>
        <v/>
      </c>
      <c r="L194" t="str">
        <f>IFERROR(INDEX(tblY9[Class],ROWS(L$10:L194))&amp;"","")</f>
        <v/>
      </c>
      <c r="M194" t="str">
        <f>IF(L194="","",IF(SUMPRODUCT(--(L$10:L194=L194))=1,SUMPRODUCT(--(L$10:L$609&lt;L194))+1,""))</f>
        <v/>
      </c>
      <c r="N194" t="str">
        <f>IFERROR(INDEX(tblY10[Class],ROWS(N$10:N194))&amp;"","")</f>
        <v/>
      </c>
      <c r="O194" t="str">
        <f>IF(N194="","",IF(SUMPRODUCT(--(N$10:N194=N194))=1,SUMPRODUCT(--(N$10:N$609&lt;N194))+1,""))</f>
        <v/>
      </c>
      <c r="P194" t="str">
        <f>IFERROR(INDEX(tblY11[Class],ROWS(P$10:P194))&amp;"","")</f>
        <v/>
      </c>
      <c r="Q194" t="str">
        <f>IF(P194="","",IF(SUMPRODUCT(--(P$10:P194=P194))=1,SUMPRODUCT(--(P$10:P$609&lt;P194))+1,""))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IFERROR(INDEX(tblY7[Class],ROWS(H$10:H195))&amp;"","")</f>
        <v/>
      </c>
      <c r="I195" t="str">
        <f>IF(H195="","",IF(SUMPRODUCT(--(H$10:H195=H195))=1,SUMPRODUCT(--(H$10:H$609&lt;H195))+1,""))</f>
        <v/>
      </c>
      <c r="J195" t="str">
        <f>IFERROR(INDEX(tblY8[Class],ROWS(J$10:J195))&amp;"","")</f>
        <v/>
      </c>
      <c r="K195" t="str">
        <f>IF(J195="","",IF(SUMPRODUCT(--(J$10:J195=J195))=1,SUMPRODUCT(--(J$10:J$609&lt;J195))+1,""))</f>
        <v/>
      </c>
      <c r="L195" t="str">
        <f>IFERROR(INDEX(tblY9[Class],ROWS(L$10:L195))&amp;"","")</f>
        <v/>
      </c>
      <c r="M195" t="str">
        <f>IF(L195="","",IF(SUMPRODUCT(--(L$10:L195=L195))=1,SUMPRODUCT(--(L$10:L$609&lt;L195))+1,""))</f>
        <v/>
      </c>
      <c r="N195" t="str">
        <f>IFERROR(INDEX(tblY10[Class],ROWS(N$10:N195))&amp;"","")</f>
        <v/>
      </c>
      <c r="O195" t="str">
        <f>IF(N195="","",IF(SUMPRODUCT(--(N$10:N195=N195))=1,SUMPRODUCT(--(N$10:N$609&lt;N195))+1,""))</f>
        <v/>
      </c>
      <c r="P195" t="str">
        <f>IFERROR(INDEX(tblY11[Class],ROWS(P$10:P195))&amp;"","")</f>
        <v/>
      </c>
      <c r="Q195" t="str">
        <f>IF(P195="","",IF(SUMPRODUCT(--(P$10:P195=P195))=1,SUMPRODUCT(--(P$10:P$609&lt;P195))+1,""))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IFERROR(INDEX(tblY7[Class],ROWS(H$10:H196))&amp;"","")</f>
        <v/>
      </c>
      <c r="I196" t="str">
        <f>IF(H196="","",IF(SUMPRODUCT(--(H$10:H196=H196))=1,SUMPRODUCT(--(H$10:H$609&lt;H196))+1,""))</f>
        <v/>
      </c>
      <c r="J196" t="str">
        <f>IFERROR(INDEX(tblY8[Class],ROWS(J$10:J196))&amp;"","")</f>
        <v/>
      </c>
      <c r="K196" t="str">
        <f>IF(J196="","",IF(SUMPRODUCT(--(J$10:J196=J196))=1,SUMPRODUCT(--(J$10:J$609&lt;J196))+1,""))</f>
        <v/>
      </c>
      <c r="L196" t="str">
        <f>IFERROR(INDEX(tblY9[Class],ROWS(L$10:L196))&amp;"","")</f>
        <v/>
      </c>
      <c r="M196" t="str">
        <f>IF(L196="","",IF(SUMPRODUCT(--(L$10:L196=L196))=1,SUMPRODUCT(--(L$10:L$609&lt;L196))+1,""))</f>
        <v/>
      </c>
      <c r="N196" t="str">
        <f>IFERROR(INDEX(tblY10[Class],ROWS(N$10:N196))&amp;"","")</f>
        <v/>
      </c>
      <c r="O196" t="str">
        <f>IF(N196="","",IF(SUMPRODUCT(--(N$10:N196=N196))=1,SUMPRODUCT(--(N$10:N$609&lt;N196))+1,""))</f>
        <v/>
      </c>
      <c r="P196" t="str">
        <f>IFERROR(INDEX(tblY11[Class],ROWS(P$10:P196))&amp;"","")</f>
        <v/>
      </c>
      <c r="Q196" t="str">
        <f>IF(P196="","",IF(SUMPRODUCT(--(P$10:P196=P196))=1,SUMPRODUCT(--(P$10:P$609&lt;P196))+1,""))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IFERROR(INDEX(tblY7[Class],ROWS(H$10:H197))&amp;"","")</f>
        <v/>
      </c>
      <c r="I197" t="str">
        <f>IF(H197="","",IF(SUMPRODUCT(--(H$10:H197=H197))=1,SUMPRODUCT(--(H$10:H$609&lt;H197))+1,""))</f>
        <v/>
      </c>
      <c r="J197" t="str">
        <f>IFERROR(INDEX(tblY8[Class],ROWS(J$10:J197))&amp;"","")</f>
        <v/>
      </c>
      <c r="K197" t="str">
        <f>IF(J197="","",IF(SUMPRODUCT(--(J$10:J197=J197))=1,SUMPRODUCT(--(J$10:J$609&lt;J197))+1,""))</f>
        <v/>
      </c>
      <c r="L197" t="str">
        <f>IFERROR(INDEX(tblY9[Class],ROWS(L$10:L197))&amp;"","")</f>
        <v/>
      </c>
      <c r="M197" t="str">
        <f>IF(L197="","",IF(SUMPRODUCT(--(L$10:L197=L197))=1,SUMPRODUCT(--(L$10:L$609&lt;L197))+1,""))</f>
        <v/>
      </c>
      <c r="N197" t="str">
        <f>IFERROR(INDEX(tblY10[Class],ROWS(N$10:N197))&amp;"","")</f>
        <v/>
      </c>
      <c r="O197" t="str">
        <f>IF(N197="","",IF(SUMPRODUCT(--(N$10:N197=N197))=1,SUMPRODUCT(--(N$10:N$609&lt;N197))+1,""))</f>
        <v/>
      </c>
      <c r="P197" t="str">
        <f>IFERROR(INDEX(tblY11[Class],ROWS(P$10:P197))&amp;"","")</f>
        <v/>
      </c>
      <c r="Q197" t="str">
        <f>IF(P197="","",IF(SUMPRODUCT(--(P$10:P197=P197))=1,SUMPRODUCT(--(P$10:P$609&lt;P197))+1,""))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IFERROR(INDEX(tblY7[Class],ROWS(H$10:H198))&amp;"","")</f>
        <v/>
      </c>
      <c r="I198" t="str">
        <f>IF(H198="","",IF(SUMPRODUCT(--(H$10:H198=H198))=1,SUMPRODUCT(--(H$10:H$609&lt;H198))+1,""))</f>
        <v/>
      </c>
      <c r="J198" t="str">
        <f>IFERROR(INDEX(tblY8[Class],ROWS(J$10:J198))&amp;"","")</f>
        <v/>
      </c>
      <c r="K198" t="str">
        <f>IF(J198="","",IF(SUMPRODUCT(--(J$10:J198=J198))=1,SUMPRODUCT(--(J$10:J$609&lt;J198))+1,""))</f>
        <v/>
      </c>
      <c r="L198" t="str">
        <f>IFERROR(INDEX(tblY9[Class],ROWS(L$10:L198))&amp;"","")</f>
        <v/>
      </c>
      <c r="M198" t="str">
        <f>IF(L198="","",IF(SUMPRODUCT(--(L$10:L198=L198))=1,SUMPRODUCT(--(L$10:L$609&lt;L198))+1,""))</f>
        <v/>
      </c>
      <c r="N198" t="str">
        <f>IFERROR(INDEX(tblY10[Class],ROWS(N$10:N198))&amp;"","")</f>
        <v/>
      </c>
      <c r="O198" t="str">
        <f>IF(N198="","",IF(SUMPRODUCT(--(N$10:N198=N198))=1,SUMPRODUCT(--(N$10:N$609&lt;N198))+1,""))</f>
        <v/>
      </c>
      <c r="P198" t="str">
        <f>IFERROR(INDEX(tblY11[Class],ROWS(P$10:P198))&amp;"","")</f>
        <v/>
      </c>
      <c r="Q198" t="str">
        <f>IF(P198="","",IF(SUMPRODUCT(--(P$10:P198=P198))=1,SUMPRODUCT(--(P$10:P$609&lt;P198))+1,""))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IFERROR(INDEX(tblY7[Class],ROWS(H$10:H199))&amp;"","")</f>
        <v/>
      </c>
      <c r="I199" t="str">
        <f>IF(H199="","",IF(SUMPRODUCT(--(H$10:H199=H199))=1,SUMPRODUCT(--(H$10:H$609&lt;H199))+1,""))</f>
        <v/>
      </c>
      <c r="J199" t="str">
        <f>IFERROR(INDEX(tblY8[Class],ROWS(J$10:J199))&amp;"","")</f>
        <v/>
      </c>
      <c r="K199" t="str">
        <f>IF(J199="","",IF(SUMPRODUCT(--(J$10:J199=J199))=1,SUMPRODUCT(--(J$10:J$609&lt;J199))+1,""))</f>
        <v/>
      </c>
      <c r="L199" t="str">
        <f>IFERROR(INDEX(tblY9[Class],ROWS(L$10:L199))&amp;"","")</f>
        <v/>
      </c>
      <c r="M199" t="str">
        <f>IF(L199="","",IF(SUMPRODUCT(--(L$10:L199=L199))=1,SUMPRODUCT(--(L$10:L$609&lt;L199))+1,""))</f>
        <v/>
      </c>
      <c r="N199" t="str">
        <f>IFERROR(INDEX(tblY10[Class],ROWS(N$10:N199))&amp;"","")</f>
        <v/>
      </c>
      <c r="O199" t="str">
        <f>IF(N199="","",IF(SUMPRODUCT(--(N$10:N199=N199))=1,SUMPRODUCT(--(N$10:N$609&lt;N199))+1,""))</f>
        <v/>
      </c>
      <c r="P199" t="str">
        <f>IFERROR(INDEX(tblY11[Class],ROWS(P$10:P199))&amp;"","")</f>
        <v/>
      </c>
      <c r="Q199" t="str">
        <f>IF(P199="","",IF(SUMPRODUCT(--(P$10:P199=P199))=1,SUMPRODUCT(--(P$10:P$609&lt;P199))+1,""))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IFERROR(INDEX(tblY7[Class],ROWS(H$10:H200))&amp;"","")</f>
        <v/>
      </c>
      <c r="I200" t="str">
        <f>IF(H200="","",IF(SUMPRODUCT(--(H$10:H200=H200))=1,SUMPRODUCT(--(H$10:H$609&lt;H200))+1,""))</f>
        <v/>
      </c>
      <c r="J200" t="str">
        <f>IFERROR(INDEX(tblY8[Class],ROWS(J$10:J200))&amp;"","")</f>
        <v/>
      </c>
      <c r="K200" t="str">
        <f>IF(J200="","",IF(SUMPRODUCT(--(J$10:J200=J200))=1,SUMPRODUCT(--(J$10:J$609&lt;J200))+1,""))</f>
        <v/>
      </c>
      <c r="L200" t="str">
        <f>IFERROR(INDEX(tblY9[Class],ROWS(L$10:L200))&amp;"","")</f>
        <v/>
      </c>
      <c r="M200" t="str">
        <f>IF(L200="","",IF(SUMPRODUCT(--(L$10:L200=L200))=1,SUMPRODUCT(--(L$10:L$609&lt;L200))+1,""))</f>
        <v/>
      </c>
      <c r="N200" t="str">
        <f>IFERROR(INDEX(tblY10[Class],ROWS(N$10:N200))&amp;"","")</f>
        <v/>
      </c>
      <c r="O200" t="str">
        <f>IF(N200="","",IF(SUMPRODUCT(--(N$10:N200=N200))=1,SUMPRODUCT(--(N$10:N$609&lt;N200))+1,""))</f>
        <v/>
      </c>
      <c r="P200" t="str">
        <f>IFERROR(INDEX(tblY11[Class],ROWS(P$10:P200))&amp;"","")</f>
        <v/>
      </c>
      <c r="Q200" t="str">
        <f>IF(P200="","",IF(SUMPRODUCT(--(P$10:P200=P200))=1,SUMPRODUCT(--(P$10:P$609&lt;P200))+1,""))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IFERROR(INDEX(tblY7[Class],ROWS(H$10:H201))&amp;"","")</f>
        <v/>
      </c>
      <c r="I201" t="str">
        <f>IF(H201="","",IF(SUMPRODUCT(--(H$10:H201=H201))=1,SUMPRODUCT(--(H$10:H$609&lt;H201))+1,""))</f>
        <v/>
      </c>
      <c r="J201" t="str">
        <f>IFERROR(INDEX(tblY8[Class],ROWS(J$10:J201))&amp;"","")</f>
        <v/>
      </c>
      <c r="K201" t="str">
        <f>IF(J201="","",IF(SUMPRODUCT(--(J$10:J201=J201))=1,SUMPRODUCT(--(J$10:J$609&lt;J201))+1,""))</f>
        <v/>
      </c>
      <c r="L201" t="str">
        <f>IFERROR(INDEX(tblY9[Class],ROWS(L$10:L201))&amp;"","")</f>
        <v/>
      </c>
      <c r="M201" t="str">
        <f>IF(L201="","",IF(SUMPRODUCT(--(L$10:L201=L201))=1,SUMPRODUCT(--(L$10:L$609&lt;L201))+1,""))</f>
        <v/>
      </c>
      <c r="N201" t="str">
        <f>IFERROR(INDEX(tblY10[Class],ROWS(N$10:N201))&amp;"","")</f>
        <v/>
      </c>
      <c r="O201" t="str">
        <f>IF(N201="","",IF(SUMPRODUCT(--(N$10:N201=N201))=1,SUMPRODUCT(--(N$10:N$609&lt;N201))+1,""))</f>
        <v/>
      </c>
      <c r="P201" t="str">
        <f>IFERROR(INDEX(tblY11[Class],ROWS(P$10:P201))&amp;"","")</f>
        <v/>
      </c>
      <c r="Q201" t="str">
        <f>IF(P201="","",IF(SUMPRODUCT(--(P$10:P201=P201))=1,SUMPRODUCT(--(P$10:P$609&lt;P201))+1,""))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IFERROR(INDEX(tblY7[Class],ROWS(H$10:H202))&amp;"","")</f>
        <v/>
      </c>
      <c r="I202" t="str">
        <f>IF(H202="","",IF(SUMPRODUCT(--(H$10:H202=H202))=1,SUMPRODUCT(--(H$10:H$609&lt;H202))+1,""))</f>
        <v/>
      </c>
      <c r="J202" t="str">
        <f>IFERROR(INDEX(tblY8[Class],ROWS(J$10:J202))&amp;"","")</f>
        <v/>
      </c>
      <c r="K202" t="str">
        <f>IF(J202="","",IF(SUMPRODUCT(--(J$10:J202=J202))=1,SUMPRODUCT(--(J$10:J$609&lt;J202))+1,""))</f>
        <v/>
      </c>
      <c r="L202" t="str">
        <f>IFERROR(INDEX(tblY9[Class],ROWS(L$10:L202))&amp;"","")</f>
        <v/>
      </c>
      <c r="M202" t="str">
        <f>IF(L202="","",IF(SUMPRODUCT(--(L$10:L202=L202))=1,SUMPRODUCT(--(L$10:L$609&lt;L202))+1,""))</f>
        <v/>
      </c>
      <c r="N202" t="str">
        <f>IFERROR(INDEX(tblY10[Class],ROWS(N$10:N202))&amp;"","")</f>
        <v/>
      </c>
      <c r="O202" t="str">
        <f>IF(N202="","",IF(SUMPRODUCT(--(N$10:N202=N202))=1,SUMPRODUCT(--(N$10:N$609&lt;N202))+1,""))</f>
        <v/>
      </c>
      <c r="P202" t="str">
        <f>IFERROR(INDEX(tblY11[Class],ROWS(P$10:P202))&amp;"","")</f>
        <v/>
      </c>
      <c r="Q202" t="str">
        <f>IF(P202="","",IF(SUMPRODUCT(--(P$10:P202=P202))=1,SUMPRODUCT(--(P$10:P$609&lt;P202))+1,""))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IFERROR(INDEX(tblY7[Class],ROWS(H$10:H203))&amp;"","")</f>
        <v/>
      </c>
      <c r="I203" t="str">
        <f>IF(H203="","",IF(SUMPRODUCT(--(H$10:H203=H203))=1,SUMPRODUCT(--(H$10:H$609&lt;H203))+1,""))</f>
        <v/>
      </c>
      <c r="J203" t="str">
        <f>IFERROR(INDEX(tblY8[Class],ROWS(J$10:J203))&amp;"","")</f>
        <v/>
      </c>
      <c r="K203" t="str">
        <f>IF(J203="","",IF(SUMPRODUCT(--(J$10:J203=J203))=1,SUMPRODUCT(--(J$10:J$609&lt;J203))+1,""))</f>
        <v/>
      </c>
      <c r="L203" t="str">
        <f>IFERROR(INDEX(tblY9[Class],ROWS(L$10:L203))&amp;"","")</f>
        <v/>
      </c>
      <c r="M203" t="str">
        <f>IF(L203="","",IF(SUMPRODUCT(--(L$10:L203=L203))=1,SUMPRODUCT(--(L$10:L$609&lt;L203))+1,""))</f>
        <v/>
      </c>
      <c r="N203" t="str">
        <f>IFERROR(INDEX(tblY10[Class],ROWS(N$10:N203))&amp;"","")</f>
        <v/>
      </c>
      <c r="O203" t="str">
        <f>IF(N203="","",IF(SUMPRODUCT(--(N$10:N203=N203))=1,SUMPRODUCT(--(N$10:N$609&lt;N203))+1,""))</f>
        <v/>
      </c>
      <c r="P203" t="str">
        <f>IFERROR(INDEX(tblY11[Class],ROWS(P$10:P203))&amp;"","")</f>
        <v/>
      </c>
      <c r="Q203" t="str">
        <f>IF(P203="","",IF(SUMPRODUCT(--(P$10:P203=P203))=1,SUMPRODUCT(--(P$10:P$609&lt;P203))+1,""))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IFERROR(INDEX(tblY7[Class],ROWS(H$10:H204))&amp;"","")</f>
        <v/>
      </c>
      <c r="I204" t="str">
        <f>IF(H204="","",IF(SUMPRODUCT(--(H$10:H204=H204))=1,SUMPRODUCT(--(H$10:H$609&lt;H204))+1,""))</f>
        <v/>
      </c>
      <c r="J204" t="str">
        <f>IFERROR(INDEX(tblY8[Class],ROWS(J$10:J204))&amp;"","")</f>
        <v/>
      </c>
      <c r="K204" t="str">
        <f>IF(J204="","",IF(SUMPRODUCT(--(J$10:J204=J204))=1,SUMPRODUCT(--(J$10:J$609&lt;J204))+1,""))</f>
        <v/>
      </c>
      <c r="L204" t="str">
        <f>IFERROR(INDEX(tblY9[Class],ROWS(L$10:L204))&amp;"","")</f>
        <v/>
      </c>
      <c r="M204" t="str">
        <f>IF(L204="","",IF(SUMPRODUCT(--(L$10:L204=L204))=1,SUMPRODUCT(--(L$10:L$609&lt;L204))+1,""))</f>
        <v/>
      </c>
      <c r="N204" t="str">
        <f>IFERROR(INDEX(tblY10[Class],ROWS(N$10:N204))&amp;"","")</f>
        <v/>
      </c>
      <c r="O204" t="str">
        <f>IF(N204="","",IF(SUMPRODUCT(--(N$10:N204=N204))=1,SUMPRODUCT(--(N$10:N$609&lt;N204))+1,""))</f>
        <v/>
      </c>
      <c r="P204" t="str">
        <f>IFERROR(INDEX(tblY11[Class],ROWS(P$10:P204))&amp;"","")</f>
        <v/>
      </c>
      <c r="Q204" t="str">
        <f>IF(P204="","",IF(SUMPRODUCT(--(P$10:P204=P204))=1,SUMPRODUCT(--(P$10:P$609&lt;P204))+1,""))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IFERROR(INDEX(tblY7[Class],ROWS(H$10:H205))&amp;"","")</f>
        <v/>
      </c>
      <c r="I205" t="str">
        <f>IF(H205="","",IF(SUMPRODUCT(--(H$10:H205=H205))=1,SUMPRODUCT(--(H$10:H$609&lt;H205))+1,""))</f>
        <v/>
      </c>
      <c r="J205" t="str">
        <f>IFERROR(INDEX(tblY8[Class],ROWS(J$10:J205))&amp;"","")</f>
        <v/>
      </c>
      <c r="K205" t="str">
        <f>IF(J205="","",IF(SUMPRODUCT(--(J$10:J205=J205))=1,SUMPRODUCT(--(J$10:J$609&lt;J205))+1,""))</f>
        <v/>
      </c>
      <c r="L205" t="str">
        <f>IFERROR(INDEX(tblY9[Class],ROWS(L$10:L205))&amp;"","")</f>
        <v/>
      </c>
      <c r="M205" t="str">
        <f>IF(L205="","",IF(SUMPRODUCT(--(L$10:L205=L205))=1,SUMPRODUCT(--(L$10:L$609&lt;L205))+1,""))</f>
        <v/>
      </c>
      <c r="N205" t="str">
        <f>IFERROR(INDEX(tblY10[Class],ROWS(N$10:N205))&amp;"","")</f>
        <v/>
      </c>
      <c r="O205" t="str">
        <f>IF(N205="","",IF(SUMPRODUCT(--(N$10:N205=N205))=1,SUMPRODUCT(--(N$10:N$609&lt;N205))+1,""))</f>
        <v/>
      </c>
      <c r="P205" t="str">
        <f>IFERROR(INDEX(tblY11[Class],ROWS(P$10:P205))&amp;"","")</f>
        <v/>
      </c>
      <c r="Q205" t="str">
        <f>IF(P205="","",IF(SUMPRODUCT(--(P$10:P205=P205))=1,SUMPRODUCT(--(P$10:P$609&lt;P205))+1,""))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IFERROR(INDEX(tblY7[Class],ROWS(H$10:H206))&amp;"","")</f>
        <v/>
      </c>
      <c r="I206" t="str">
        <f>IF(H206="","",IF(SUMPRODUCT(--(H$10:H206=H206))=1,SUMPRODUCT(--(H$10:H$609&lt;H206))+1,""))</f>
        <v/>
      </c>
      <c r="J206" t="str">
        <f>IFERROR(INDEX(tblY8[Class],ROWS(J$10:J206))&amp;"","")</f>
        <v/>
      </c>
      <c r="K206" t="str">
        <f>IF(J206="","",IF(SUMPRODUCT(--(J$10:J206=J206))=1,SUMPRODUCT(--(J$10:J$609&lt;J206))+1,""))</f>
        <v/>
      </c>
      <c r="L206" t="str">
        <f>IFERROR(INDEX(tblY9[Class],ROWS(L$10:L206))&amp;"","")</f>
        <v/>
      </c>
      <c r="M206" t="str">
        <f>IF(L206="","",IF(SUMPRODUCT(--(L$10:L206=L206))=1,SUMPRODUCT(--(L$10:L$609&lt;L206))+1,""))</f>
        <v/>
      </c>
      <c r="N206" t="str">
        <f>IFERROR(INDEX(tblY10[Class],ROWS(N$10:N206))&amp;"","")</f>
        <v/>
      </c>
      <c r="O206" t="str">
        <f>IF(N206="","",IF(SUMPRODUCT(--(N$10:N206=N206))=1,SUMPRODUCT(--(N$10:N$609&lt;N206))+1,""))</f>
        <v/>
      </c>
      <c r="P206" t="str">
        <f>IFERROR(INDEX(tblY11[Class],ROWS(P$10:P206))&amp;"","")</f>
        <v/>
      </c>
      <c r="Q206" t="str">
        <f>IF(P206="","",IF(SUMPRODUCT(--(P$10:P206=P206))=1,SUMPRODUCT(--(P$10:P$609&lt;P206))+1,""))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IFERROR(INDEX(tblY7[Class],ROWS(H$10:H207))&amp;"","")</f>
        <v/>
      </c>
      <c r="I207" t="str">
        <f>IF(H207="","",IF(SUMPRODUCT(--(H$10:H207=H207))=1,SUMPRODUCT(--(H$10:H$609&lt;H207))+1,""))</f>
        <v/>
      </c>
      <c r="J207" t="str">
        <f>IFERROR(INDEX(tblY8[Class],ROWS(J$10:J207))&amp;"","")</f>
        <v/>
      </c>
      <c r="K207" t="str">
        <f>IF(J207="","",IF(SUMPRODUCT(--(J$10:J207=J207))=1,SUMPRODUCT(--(J$10:J$609&lt;J207))+1,""))</f>
        <v/>
      </c>
      <c r="L207" t="str">
        <f>IFERROR(INDEX(tblY9[Class],ROWS(L$10:L207))&amp;"","")</f>
        <v/>
      </c>
      <c r="M207" t="str">
        <f>IF(L207="","",IF(SUMPRODUCT(--(L$10:L207=L207))=1,SUMPRODUCT(--(L$10:L$609&lt;L207))+1,""))</f>
        <v/>
      </c>
      <c r="N207" t="str">
        <f>IFERROR(INDEX(tblY10[Class],ROWS(N$10:N207))&amp;"","")</f>
        <v/>
      </c>
      <c r="O207" t="str">
        <f>IF(N207="","",IF(SUMPRODUCT(--(N$10:N207=N207))=1,SUMPRODUCT(--(N$10:N$609&lt;N207))+1,""))</f>
        <v/>
      </c>
      <c r="P207" t="str">
        <f>IFERROR(INDEX(tblY11[Class],ROWS(P$10:P207))&amp;"","")</f>
        <v/>
      </c>
      <c r="Q207" t="str">
        <f>IF(P207="","",IF(SUMPRODUCT(--(P$10:P207=P207))=1,SUMPRODUCT(--(P$10:P$609&lt;P207))+1,""))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IFERROR(INDEX(tblY7[Class],ROWS(H$10:H208))&amp;"","")</f>
        <v/>
      </c>
      <c r="I208" t="str">
        <f>IF(H208="","",IF(SUMPRODUCT(--(H$10:H208=H208))=1,SUMPRODUCT(--(H$10:H$609&lt;H208))+1,""))</f>
        <v/>
      </c>
      <c r="J208" t="str">
        <f>IFERROR(INDEX(tblY8[Class],ROWS(J$10:J208))&amp;"","")</f>
        <v/>
      </c>
      <c r="K208" t="str">
        <f>IF(J208="","",IF(SUMPRODUCT(--(J$10:J208=J208))=1,SUMPRODUCT(--(J$10:J$609&lt;J208))+1,""))</f>
        <v/>
      </c>
      <c r="L208" t="str">
        <f>IFERROR(INDEX(tblY9[Class],ROWS(L$10:L208))&amp;"","")</f>
        <v/>
      </c>
      <c r="M208" t="str">
        <f>IF(L208="","",IF(SUMPRODUCT(--(L$10:L208=L208))=1,SUMPRODUCT(--(L$10:L$609&lt;L208))+1,""))</f>
        <v/>
      </c>
      <c r="N208" t="str">
        <f>IFERROR(INDEX(tblY10[Class],ROWS(N$10:N208))&amp;"","")</f>
        <v/>
      </c>
      <c r="O208" t="str">
        <f>IF(N208="","",IF(SUMPRODUCT(--(N$10:N208=N208))=1,SUMPRODUCT(--(N$10:N$609&lt;N208))+1,""))</f>
        <v/>
      </c>
      <c r="P208" t="str">
        <f>IFERROR(INDEX(tblY11[Class],ROWS(P$10:P208))&amp;"","")</f>
        <v/>
      </c>
      <c r="Q208" t="str">
        <f>IF(P208="","",IF(SUMPRODUCT(--(P$10:P208=P208))=1,SUMPRODUCT(--(P$10:P$609&lt;P208))+1,""))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IFERROR(INDEX(tblY7[Class],ROWS(H$10:H209))&amp;"","")</f>
        <v/>
      </c>
      <c r="I209" t="str">
        <f>IF(H209="","",IF(SUMPRODUCT(--(H$10:H209=H209))=1,SUMPRODUCT(--(H$10:H$609&lt;H209))+1,""))</f>
        <v/>
      </c>
      <c r="J209" t="str">
        <f>IFERROR(INDEX(tblY8[Class],ROWS(J$10:J209))&amp;"","")</f>
        <v/>
      </c>
      <c r="K209" t="str">
        <f>IF(J209="","",IF(SUMPRODUCT(--(J$10:J209=J209))=1,SUMPRODUCT(--(J$10:J$609&lt;J209))+1,""))</f>
        <v/>
      </c>
      <c r="L209" t="str">
        <f>IFERROR(INDEX(tblY9[Class],ROWS(L$10:L209))&amp;"","")</f>
        <v/>
      </c>
      <c r="M209" t="str">
        <f>IF(L209="","",IF(SUMPRODUCT(--(L$10:L209=L209))=1,SUMPRODUCT(--(L$10:L$609&lt;L209))+1,""))</f>
        <v/>
      </c>
      <c r="N209" t="str">
        <f>IFERROR(INDEX(tblY10[Class],ROWS(N$10:N209))&amp;"","")</f>
        <v/>
      </c>
      <c r="O209" t="str">
        <f>IF(N209="","",IF(SUMPRODUCT(--(N$10:N209=N209))=1,SUMPRODUCT(--(N$10:N$609&lt;N209))+1,""))</f>
        <v/>
      </c>
      <c r="P209" t="str">
        <f>IFERROR(INDEX(tblY11[Class],ROWS(P$10:P209))&amp;"","")</f>
        <v/>
      </c>
      <c r="Q209" t="str">
        <f>IF(P209="","",IF(SUMPRODUCT(--(P$10:P209=P209))=1,SUMPRODUCT(--(P$10:P$609&lt;P209))+1,""))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IFERROR(INDEX(tblY7[Class],ROWS(H$10:H210))&amp;"","")</f>
        <v/>
      </c>
      <c r="I210" t="str">
        <f>IF(H210="","",IF(SUMPRODUCT(--(H$10:H210=H210))=1,SUMPRODUCT(--(H$10:H$609&lt;H210))+1,""))</f>
        <v/>
      </c>
      <c r="J210" t="str">
        <f>IFERROR(INDEX(tblY8[Class],ROWS(J$10:J210))&amp;"","")</f>
        <v/>
      </c>
      <c r="K210" t="str">
        <f>IF(J210="","",IF(SUMPRODUCT(--(J$10:J210=J210))=1,SUMPRODUCT(--(J$10:J$609&lt;J210))+1,""))</f>
        <v/>
      </c>
      <c r="L210" t="str">
        <f>IFERROR(INDEX(tblY9[Class],ROWS(L$10:L210))&amp;"","")</f>
        <v/>
      </c>
      <c r="M210" t="str">
        <f>IF(L210="","",IF(SUMPRODUCT(--(L$10:L210=L210))=1,SUMPRODUCT(--(L$10:L$609&lt;L210))+1,""))</f>
        <v/>
      </c>
      <c r="N210" t="str">
        <f>IFERROR(INDEX(tblY10[Class],ROWS(N$10:N210))&amp;"","")</f>
        <v/>
      </c>
      <c r="O210" t="str">
        <f>IF(N210="","",IF(SUMPRODUCT(--(N$10:N210=N210))=1,SUMPRODUCT(--(N$10:N$609&lt;N210))+1,""))</f>
        <v/>
      </c>
      <c r="P210" t="str">
        <f>IFERROR(INDEX(tblY11[Class],ROWS(P$10:P210))&amp;"","")</f>
        <v/>
      </c>
      <c r="Q210" t="str">
        <f>IF(P210="","",IF(SUMPRODUCT(--(P$10:P210=P210))=1,SUMPRODUCT(--(P$10:P$609&lt;P210))+1,""))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IFERROR(INDEX(tblY7[Class],ROWS(H$10:H211))&amp;"","")</f>
        <v/>
      </c>
      <c r="I211" t="str">
        <f>IF(H211="","",IF(SUMPRODUCT(--(H$10:H211=H211))=1,SUMPRODUCT(--(H$10:H$609&lt;H211))+1,""))</f>
        <v/>
      </c>
      <c r="J211" t="str">
        <f>IFERROR(INDEX(tblY8[Class],ROWS(J$10:J211))&amp;"","")</f>
        <v/>
      </c>
      <c r="K211" t="str">
        <f>IF(J211="","",IF(SUMPRODUCT(--(J$10:J211=J211))=1,SUMPRODUCT(--(J$10:J$609&lt;J211))+1,""))</f>
        <v/>
      </c>
      <c r="L211" t="str">
        <f>IFERROR(INDEX(tblY9[Class],ROWS(L$10:L211))&amp;"","")</f>
        <v/>
      </c>
      <c r="M211" t="str">
        <f>IF(L211="","",IF(SUMPRODUCT(--(L$10:L211=L211))=1,SUMPRODUCT(--(L$10:L$609&lt;L211))+1,""))</f>
        <v/>
      </c>
      <c r="N211" t="str">
        <f>IFERROR(INDEX(tblY10[Class],ROWS(N$10:N211))&amp;"","")</f>
        <v/>
      </c>
      <c r="O211" t="str">
        <f>IF(N211="","",IF(SUMPRODUCT(--(N$10:N211=N211))=1,SUMPRODUCT(--(N$10:N$609&lt;N211))+1,""))</f>
        <v/>
      </c>
      <c r="P211" t="str">
        <f>IFERROR(INDEX(tblY11[Class],ROWS(P$10:P211))&amp;"","")</f>
        <v/>
      </c>
      <c r="Q211" t="str">
        <f>IF(P211="","",IF(SUMPRODUCT(--(P$10:P211=P211))=1,SUMPRODUCT(--(P$10:P$609&lt;P211))+1,""))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IFERROR(INDEX(tblY7[Class],ROWS(H$10:H212))&amp;"","")</f>
        <v/>
      </c>
      <c r="I212" t="str">
        <f>IF(H212="","",IF(SUMPRODUCT(--(H$10:H212=H212))=1,SUMPRODUCT(--(H$10:H$609&lt;H212))+1,""))</f>
        <v/>
      </c>
      <c r="J212" t="str">
        <f>IFERROR(INDEX(tblY8[Class],ROWS(J$10:J212))&amp;"","")</f>
        <v/>
      </c>
      <c r="K212" t="str">
        <f>IF(J212="","",IF(SUMPRODUCT(--(J$10:J212=J212))=1,SUMPRODUCT(--(J$10:J$609&lt;J212))+1,""))</f>
        <v/>
      </c>
      <c r="L212" t="str">
        <f>IFERROR(INDEX(tblY9[Class],ROWS(L$10:L212))&amp;"","")</f>
        <v/>
      </c>
      <c r="M212" t="str">
        <f>IF(L212="","",IF(SUMPRODUCT(--(L$10:L212=L212))=1,SUMPRODUCT(--(L$10:L$609&lt;L212))+1,""))</f>
        <v/>
      </c>
      <c r="N212" t="str">
        <f>IFERROR(INDEX(tblY10[Class],ROWS(N$10:N212))&amp;"","")</f>
        <v/>
      </c>
      <c r="O212" t="str">
        <f>IF(N212="","",IF(SUMPRODUCT(--(N$10:N212=N212))=1,SUMPRODUCT(--(N$10:N$609&lt;N212))+1,""))</f>
        <v/>
      </c>
      <c r="P212" t="str">
        <f>IFERROR(INDEX(tblY11[Class],ROWS(P$10:P212))&amp;"","")</f>
        <v/>
      </c>
      <c r="Q212" t="str">
        <f>IF(P212="","",IF(SUMPRODUCT(--(P$10:P212=P212))=1,SUMPRODUCT(--(P$10:P$609&lt;P212))+1,""))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IFERROR(INDEX(tblY7[Class],ROWS(H$10:H213))&amp;"","")</f>
        <v/>
      </c>
      <c r="I213" t="str">
        <f>IF(H213="","",IF(SUMPRODUCT(--(H$10:H213=H213))=1,SUMPRODUCT(--(H$10:H$609&lt;H213))+1,""))</f>
        <v/>
      </c>
      <c r="J213" t="str">
        <f>IFERROR(INDEX(tblY8[Class],ROWS(J$10:J213))&amp;"","")</f>
        <v/>
      </c>
      <c r="K213" t="str">
        <f>IF(J213="","",IF(SUMPRODUCT(--(J$10:J213=J213))=1,SUMPRODUCT(--(J$10:J$609&lt;J213))+1,""))</f>
        <v/>
      </c>
      <c r="L213" t="str">
        <f>IFERROR(INDEX(tblY9[Class],ROWS(L$10:L213))&amp;"","")</f>
        <v/>
      </c>
      <c r="M213" t="str">
        <f>IF(L213="","",IF(SUMPRODUCT(--(L$10:L213=L213))=1,SUMPRODUCT(--(L$10:L$609&lt;L213))+1,""))</f>
        <v/>
      </c>
      <c r="N213" t="str">
        <f>IFERROR(INDEX(tblY10[Class],ROWS(N$10:N213))&amp;"","")</f>
        <v/>
      </c>
      <c r="O213" t="str">
        <f>IF(N213="","",IF(SUMPRODUCT(--(N$10:N213=N213))=1,SUMPRODUCT(--(N$10:N$609&lt;N213))+1,""))</f>
        <v/>
      </c>
      <c r="P213" t="str">
        <f>IFERROR(INDEX(tblY11[Class],ROWS(P$10:P213))&amp;"","")</f>
        <v/>
      </c>
      <c r="Q213" t="str">
        <f>IF(P213="","",IF(SUMPRODUCT(--(P$10:P213=P213))=1,SUMPRODUCT(--(P$10:P$609&lt;P213))+1,""))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IFERROR(INDEX(tblY7[Class],ROWS(H$10:H214))&amp;"","")</f>
        <v/>
      </c>
      <c r="I214" t="str">
        <f>IF(H214="","",IF(SUMPRODUCT(--(H$10:H214=H214))=1,SUMPRODUCT(--(H$10:H$609&lt;H214))+1,""))</f>
        <v/>
      </c>
      <c r="J214" t="str">
        <f>IFERROR(INDEX(tblY8[Class],ROWS(J$10:J214))&amp;"","")</f>
        <v/>
      </c>
      <c r="K214" t="str">
        <f>IF(J214="","",IF(SUMPRODUCT(--(J$10:J214=J214))=1,SUMPRODUCT(--(J$10:J$609&lt;J214))+1,""))</f>
        <v/>
      </c>
      <c r="L214" t="str">
        <f>IFERROR(INDEX(tblY9[Class],ROWS(L$10:L214))&amp;"","")</f>
        <v/>
      </c>
      <c r="M214" t="str">
        <f>IF(L214="","",IF(SUMPRODUCT(--(L$10:L214=L214))=1,SUMPRODUCT(--(L$10:L$609&lt;L214))+1,""))</f>
        <v/>
      </c>
      <c r="N214" t="str">
        <f>IFERROR(INDEX(tblY10[Class],ROWS(N$10:N214))&amp;"","")</f>
        <v/>
      </c>
      <c r="O214" t="str">
        <f>IF(N214="","",IF(SUMPRODUCT(--(N$10:N214=N214))=1,SUMPRODUCT(--(N$10:N$609&lt;N214))+1,""))</f>
        <v/>
      </c>
      <c r="P214" t="str">
        <f>IFERROR(INDEX(tblY11[Class],ROWS(P$10:P214))&amp;"","")</f>
        <v/>
      </c>
      <c r="Q214" t="str">
        <f>IF(P214="","",IF(SUMPRODUCT(--(P$10:P214=P214))=1,SUMPRODUCT(--(P$10:P$609&lt;P214))+1,""))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IFERROR(INDEX(tblY7[Class],ROWS(H$10:H215))&amp;"","")</f>
        <v/>
      </c>
      <c r="I215" t="str">
        <f>IF(H215="","",IF(SUMPRODUCT(--(H$10:H215=H215))=1,SUMPRODUCT(--(H$10:H$609&lt;H215))+1,""))</f>
        <v/>
      </c>
      <c r="J215" t="str">
        <f>IFERROR(INDEX(tblY8[Class],ROWS(J$10:J215))&amp;"","")</f>
        <v/>
      </c>
      <c r="K215" t="str">
        <f>IF(J215="","",IF(SUMPRODUCT(--(J$10:J215=J215))=1,SUMPRODUCT(--(J$10:J$609&lt;J215))+1,""))</f>
        <v/>
      </c>
      <c r="L215" t="str">
        <f>IFERROR(INDEX(tblY9[Class],ROWS(L$10:L215))&amp;"","")</f>
        <v/>
      </c>
      <c r="M215" t="str">
        <f>IF(L215="","",IF(SUMPRODUCT(--(L$10:L215=L215))=1,SUMPRODUCT(--(L$10:L$609&lt;L215))+1,""))</f>
        <v/>
      </c>
      <c r="N215" t="str">
        <f>IFERROR(INDEX(tblY10[Class],ROWS(N$10:N215))&amp;"","")</f>
        <v/>
      </c>
      <c r="O215" t="str">
        <f>IF(N215="","",IF(SUMPRODUCT(--(N$10:N215=N215))=1,SUMPRODUCT(--(N$10:N$609&lt;N215))+1,""))</f>
        <v/>
      </c>
      <c r="P215" t="str">
        <f>IFERROR(INDEX(tblY11[Class],ROWS(P$10:P215))&amp;"","")</f>
        <v/>
      </c>
      <c r="Q215" t="str">
        <f>IF(P215="","",IF(SUMPRODUCT(--(P$10:P215=P215))=1,SUMPRODUCT(--(P$10:P$609&lt;P215))+1,""))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IFERROR(INDEX(tblY7[Class],ROWS(H$10:H216))&amp;"","")</f>
        <v/>
      </c>
      <c r="I216" t="str">
        <f>IF(H216="","",IF(SUMPRODUCT(--(H$10:H216=H216))=1,SUMPRODUCT(--(H$10:H$609&lt;H216))+1,""))</f>
        <v/>
      </c>
      <c r="J216" t="str">
        <f>IFERROR(INDEX(tblY8[Class],ROWS(J$10:J216))&amp;"","")</f>
        <v/>
      </c>
      <c r="K216" t="str">
        <f>IF(J216="","",IF(SUMPRODUCT(--(J$10:J216=J216))=1,SUMPRODUCT(--(J$10:J$609&lt;J216))+1,""))</f>
        <v/>
      </c>
      <c r="L216" t="str">
        <f>IFERROR(INDEX(tblY9[Class],ROWS(L$10:L216))&amp;"","")</f>
        <v/>
      </c>
      <c r="M216" t="str">
        <f>IF(L216="","",IF(SUMPRODUCT(--(L$10:L216=L216))=1,SUMPRODUCT(--(L$10:L$609&lt;L216))+1,""))</f>
        <v/>
      </c>
      <c r="N216" t="str">
        <f>IFERROR(INDEX(tblY10[Class],ROWS(N$10:N216))&amp;"","")</f>
        <v/>
      </c>
      <c r="O216" t="str">
        <f>IF(N216="","",IF(SUMPRODUCT(--(N$10:N216=N216))=1,SUMPRODUCT(--(N$10:N$609&lt;N216))+1,""))</f>
        <v/>
      </c>
      <c r="P216" t="str">
        <f>IFERROR(INDEX(tblY11[Class],ROWS(P$10:P216))&amp;"","")</f>
        <v/>
      </c>
      <c r="Q216" t="str">
        <f>IF(P216="","",IF(SUMPRODUCT(--(P$10:P216=P216))=1,SUMPRODUCT(--(P$10:P$609&lt;P216))+1,""))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IFERROR(INDEX(tblY7[Class],ROWS(H$10:H217))&amp;"","")</f>
        <v/>
      </c>
      <c r="I217" t="str">
        <f>IF(H217="","",IF(SUMPRODUCT(--(H$10:H217=H217))=1,SUMPRODUCT(--(H$10:H$609&lt;H217))+1,""))</f>
        <v/>
      </c>
      <c r="J217" t="str">
        <f>IFERROR(INDEX(tblY8[Class],ROWS(J$10:J217))&amp;"","")</f>
        <v/>
      </c>
      <c r="K217" t="str">
        <f>IF(J217="","",IF(SUMPRODUCT(--(J$10:J217=J217))=1,SUMPRODUCT(--(J$10:J$609&lt;J217))+1,""))</f>
        <v/>
      </c>
      <c r="L217" t="str">
        <f>IFERROR(INDEX(tblY9[Class],ROWS(L$10:L217))&amp;"","")</f>
        <v/>
      </c>
      <c r="M217" t="str">
        <f>IF(L217="","",IF(SUMPRODUCT(--(L$10:L217=L217))=1,SUMPRODUCT(--(L$10:L$609&lt;L217))+1,""))</f>
        <v/>
      </c>
      <c r="N217" t="str">
        <f>IFERROR(INDEX(tblY10[Class],ROWS(N$10:N217))&amp;"","")</f>
        <v/>
      </c>
      <c r="O217" t="str">
        <f>IF(N217="","",IF(SUMPRODUCT(--(N$10:N217=N217))=1,SUMPRODUCT(--(N$10:N$609&lt;N217))+1,""))</f>
        <v/>
      </c>
      <c r="P217" t="str">
        <f>IFERROR(INDEX(tblY11[Class],ROWS(P$10:P217))&amp;"","")</f>
        <v/>
      </c>
      <c r="Q217" t="str">
        <f>IF(P217="","",IF(SUMPRODUCT(--(P$10:P217=P217))=1,SUMPRODUCT(--(P$10:P$609&lt;P217))+1,""))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IFERROR(INDEX(tblY7[Class],ROWS(H$10:H218))&amp;"","")</f>
        <v/>
      </c>
      <c r="I218" t="str">
        <f>IF(H218="","",IF(SUMPRODUCT(--(H$10:H218=H218))=1,SUMPRODUCT(--(H$10:H$609&lt;H218))+1,""))</f>
        <v/>
      </c>
      <c r="J218" t="str">
        <f>IFERROR(INDEX(tblY8[Class],ROWS(J$10:J218))&amp;"","")</f>
        <v/>
      </c>
      <c r="K218" t="str">
        <f>IF(J218="","",IF(SUMPRODUCT(--(J$10:J218=J218))=1,SUMPRODUCT(--(J$10:J$609&lt;J218))+1,""))</f>
        <v/>
      </c>
      <c r="L218" t="str">
        <f>IFERROR(INDEX(tblY9[Class],ROWS(L$10:L218))&amp;"","")</f>
        <v/>
      </c>
      <c r="M218" t="str">
        <f>IF(L218="","",IF(SUMPRODUCT(--(L$10:L218=L218))=1,SUMPRODUCT(--(L$10:L$609&lt;L218))+1,""))</f>
        <v/>
      </c>
      <c r="N218" t="str">
        <f>IFERROR(INDEX(tblY10[Class],ROWS(N$10:N218))&amp;"","")</f>
        <v/>
      </c>
      <c r="O218" t="str">
        <f>IF(N218="","",IF(SUMPRODUCT(--(N$10:N218=N218))=1,SUMPRODUCT(--(N$10:N$609&lt;N218))+1,""))</f>
        <v/>
      </c>
      <c r="P218" t="str">
        <f>IFERROR(INDEX(tblY11[Class],ROWS(P$10:P218))&amp;"","")</f>
        <v/>
      </c>
      <c r="Q218" t="str">
        <f>IF(P218="","",IF(SUMPRODUCT(--(P$10:P218=P218))=1,SUMPRODUCT(--(P$10:P$609&lt;P218))+1,""))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IFERROR(INDEX(tblY7[Class],ROWS(H$10:H219))&amp;"","")</f>
        <v/>
      </c>
      <c r="I219" t="str">
        <f>IF(H219="","",IF(SUMPRODUCT(--(H$10:H219=H219))=1,SUMPRODUCT(--(H$10:H$609&lt;H219))+1,""))</f>
        <v/>
      </c>
      <c r="J219" t="str">
        <f>IFERROR(INDEX(tblY8[Class],ROWS(J$10:J219))&amp;"","")</f>
        <v/>
      </c>
      <c r="K219" t="str">
        <f>IF(J219="","",IF(SUMPRODUCT(--(J$10:J219=J219))=1,SUMPRODUCT(--(J$10:J$609&lt;J219))+1,""))</f>
        <v/>
      </c>
      <c r="L219" t="str">
        <f>IFERROR(INDEX(tblY9[Class],ROWS(L$10:L219))&amp;"","")</f>
        <v/>
      </c>
      <c r="M219" t="str">
        <f>IF(L219="","",IF(SUMPRODUCT(--(L$10:L219=L219))=1,SUMPRODUCT(--(L$10:L$609&lt;L219))+1,""))</f>
        <v/>
      </c>
      <c r="N219" t="str">
        <f>IFERROR(INDEX(tblY10[Class],ROWS(N$10:N219))&amp;"","")</f>
        <v/>
      </c>
      <c r="O219" t="str">
        <f>IF(N219="","",IF(SUMPRODUCT(--(N$10:N219=N219))=1,SUMPRODUCT(--(N$10:N$609&lt;N219))+1,""))</f>
        <v/>
      </c>
      <c r="P219" t="str">
        <f>IFERROR(INDEX(tblY11[Class],ROWS(P$10:P219))&amp;"","")</f>
        <v/>
      </c>
      <c r="Q219" t="str">
        <f>IF(P219="","",IF(SUMPRODUCT(--(P$10:P219=P219))=1,SUMPRODUCT(--(P$10:P$609&lt;P219))+1,""))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IFERROR(INDEX(tblY7[Class],ROWS(H$10:H220))&amp;"","")</f>
        <v/>
      </c>
      <c r="I220" t="str">
        <f>IF(H220="","",IF(SUMPRODUCT(--(H$10:H220=H220))=1,SUMPRODUCT(--(H$10:H$609&lt;H220))+1,""))</f>
        <v/>
      </c>
      <c r="J220" t="str">
        <f>IFERROR(INDEX(tblY8[Class],ROWS(J$10:J220))&amp;"","")</f>
        <v/>
      </c>
      <c r="K220" t="str">
        <f>IF(J220="","",IF(SUMPRODUCT(--(J$10:J220=J220))=1,SUMPRODUCT(--(J$10:J$609&lt;J220))+1,""))</f>
        <v/>
      </c>
      <c r="L220" t="str">
        <f>IFERROR(INDEX(tblY9[Class],ROWS(L$10:L220))&amp;"","")</f>
        <v/>
      </c>
      <c r="M220" t="str">
        <f>IF(L220="","",IF(SUMPRODUCT(--(L$10:L220=L220))=1,SUMPRODUCT(--(L$10:L$609&lt;L220))+1,""))</f>
        <v/>
      </c>
      <c r="N220" t="str">
        <f>IFERROR(INDEX(tblY10[Class],ROWS(N$10:N220))&amp;"","")</f>
        <v/>
      </c>
      <c r="O220" t="str">
        <f>IF(N220="","",IF(SUMPRODUCT(--(N$10:N220=N220))=1,SUMPRODUCT(--(N$10:N$609&lt;N220))+1,""))</f>
        <v/>
      </c>
      <c r="P220" t="str">
        <f>IFERROR(INDEX(tblY11[Class],ROWS(P$10:P220))&amp;"","")</f>
        <v/>
      </c>
      <c r="Q220" t="str">
        <f>IF(P220="","",IF(SUMPRODUCT(--(P$10:P220=P220))=1,SUMPRODUCT(--(P$10:P$609&lt;P220))+1,""))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IFERROR(INDEX(tblY7[Class],ROWS(H$10:H221))&amp;"","")</f>
        <v/>
      </c>
      <c r="I221" t="str">
        <f>IF(H221="","",IF(SUMPRODUCT(--(H$10:H221=H221))=1,SUMPRODUCT(--(H$10:H$609&lt;H221))+1,""))</f>
        <v/>
      </c>
      <c r="J221" t="str">
        <f>IFERROR(INDEX(tblY8[Class],ROWS(J$10:J221))&amp;"","")</f>
        <v/>
      </c>
      <c r="K221" t="str">
        <f>IF(J221="","",IF(SUMPRODUCT(--(J$10:J221=J221))=1,SUMPRODUCT(--(J$10:J$609&lt;J221))+1,""))</f>
        <v/>
      </c>
      <c r="L221" t="str">
        <f>IFERROR(INDEX(tblY9[Class],ROWS(L$10:L221))&amp;"","")</f>
        <v/>
      </c>
      <c r="M221" t="str">
        <f>IF(L221="","",IF(SUMPRODUCT(--(L$10:L221=L221))=1,SUMPRODUCT(--(L$10:L$609&lt;L221))+1,""))</f>
        <v/>
      </c>
      <c r="N221" t="str">
        <f>IFERROR(INDEX(tblY10[Class],ROWS(N$10:N221))&amp;"","")</f>
        <v/>
      </c>
      <c r="O221" t="str">
        <f>IF(N221="","",IF(SUMPRODUCT(--(N$10:N221=N221))=1,SUMPRODUCT(--(N$10:N$609&lt;N221))+1,""))</f>
        <v/>
      </c>
      <c r="P221" t="str">
        <f>IFERROR(INDEX(tblY11[Class],ROWS(P$10:P221))&amp;"","")</f>
        <v/>
      </c>
      <c r="Q221" t="str">
        <f>IF(P221="","",IF(SUMPRODUCT(--(P$10:P221=P221))=1,SUMPRODUCT(--(P$10:P$609&lt;P221))+1,""))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IFERROR(INDEX(tblY7[Class],ROWS(H$10:H222))&amp;"","")</f>
        <v/>
      </c>
      <c r="I222" t="str">
        <f>IF(H222="","",IF(SUMPRODUCT(--(H$10:H222=H222))=1,SUMPRODUCT(--(H$10:H$609&lt;H222))+1,""))</f>
        <v/>
      </c>
      <c r="J222" t="str">
        <f>IFERROR(INDEX(tblY8[Class],ROWS(J$10:J222))&amp;"","")</f>
        <v/>
      </c>
      <c r="K222" t="str">
        <f>IF(J222="","",IF(SUMPRODUCT(--(J$10:J222=J222))=1,SUMPRODUCT(--(J$10:J$609&lt;J222))+1,""))</f>
        <v/>
      </c>
      <c r="L222" t="str">
        <f>IFERROR(INDEX(tblY9[Class],ROWS(L$10:L222))&amp;"","")</f>
        <v/>
      </c>
      <c r="M222" t="str">
        <f>IF(L222="","",IF(SUMPRODUCT(--(L$10:L222=L222))=1,SUMPRODUCT(--(L$10:L$609&lt;L222))+1,""))</f>
        <v/>
      </c>
      <c r="N222" t="str">
        <f>IFERROR(INDEX(tblY10[Class],ROWS(N$10:N222))&amp;"","")</f>
        <v/>
      </c>
      <c r="O222" t="str">
        <f>IF(N222="","",IF(SUMPRODUCT(--(N$10:N222=N222))=1,SUMPRODUCT(--(N$10:N$609&lt;N222))+1,""))</f>
        <v/>
      </c>
      <c r="P222" t="str">
        <f>IFERROR(INDEX(tblY11[Class],ROWS(P$10:P222))&amp;"","")</f>
        <v/>
      </c>
      <c r="Q222" t="str">
        <f>IF(P222="","",IF(SUMPRODUCT(--(P$10:P222=P222))=1,SUMPRODUCT(--(P$10:P$609&lt;P222))+1,""))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IFERROR(INDEX(tblY7[Class],ROWS(H$10:H223))&amp;"","")</f>
        <v/>
      </c>
      <c r="I223" t="str">
        <f>IF(H223="","",IF(SUMPRODUCT(--(H$10:H223=H223))=1,SUMPRODUCT(--(H$10:H$609&lt;H223))+1,""))</f>
        <v/>
      </c>
      <c r="J223" t="str">
        <f>IFERROR(INDEX(tblY8[Class],ROWS(J$10:J223))&amp;"","")</f>
        <v/>
      </c>
      <c r="K223" t="str">
        <f>IF(J223="","",IF(SUMPRODUCT(--(J$10:J223=J223))=1,SUMPRODUCT(--(J$10:J$609&lt;J223))+1,""))</f>
        <v/>
      </c>
      <c r="L223" t="str">
        <f>IFERROR(INDEX(tblY9[Class],ROWS(L$10:L223))&amp;"","")</f>
        <v/>
      </c>
      <c r="M223" t="str">
        <f>IF(L223="","",IF(SUMPRODUCT(--(L$10:L223=L223))=1,SUMPRODUCT(--(L$10:L$609&lt;L223))+1,""))</f>
        <v/>
      </c>
      <c r="N223" t="str">
        <f>IFERROR(INDEX(tblY10[Class],ROWS(N$10:N223))&amp;"","")</f>
        <v/>
      </c>
      <c r="O223" t="str">
        <f>IF(N223="","",IF(SUMPRODUCT(--(N$10:N223=N223))=1,SUMPRODUCT(--(N$10:N$609&lt;N223))+1,""))</f>
        <v/>
      </c>
      <c r="P223" t="str">
        <f>IFERROR(INDEX(tblY11[Class],ROWS(P$10:P223))&amp;"","")</f>
        <v/>
      </c>
      <c r="Q223" t="str">
        <f>IF(P223="","",IF(SUMPRODUCT(--(P$10:P223=P223))=1,SUMPRODUCT(--(P$10:P$609&lt;P223))+1,""))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IFERROR(INDEX(tblY7[Class],ROWS(H$10:H224))&amp;"","")</f>
        <v/>
      </c>
      <c r="I224" t="str">
        <f>IF(H224="","",IF(SUMPRODUCT(--(H$10:H224=H224))=1,SUMPRODUCT(--(H$10:H$609&lt;H224))+1,""))</f>
        <v/>
      </c>
      <c r="J224" t="str">
        <f>IFERROR(INDEX(tblY8[Class],ROWS(J$10:J224))&amp;"","")</f>
        <v/>
      </c>
      <c r="K224" t="str">
        <f>IF(J224="","",IF(SUMPRODUCT(--(J$10:J224=J224))=1,SUMPRODUCT(--(J$10:J$609&lt;J224))+1,""))</f>
        <v/>
      </c>
      <c r="L224" t="str">
        <f>IFERROR(INDEX(tblY9[Class],ROWS(L$10:L224))&amp;"","")</f>
        <v/>
      </c>
      <c r="M224" t="str">
        <f>IF(L224="","",IF(SUMPRODUCT(--(L$10:L224=L224))=1,SUMPRODUCT(--(L$10:L$609&lt;L224))+1,""))</f>
        <v/>
      </c>
      <c r="N224" t="str">
        <f>IFERROR(INDEX(tblY10[Class],ROWS(N$10:N224))&amp;"","")</f>
        <v/>
      </c>
      <c r="O224" t="str">
        <f>IF(N224="","",IF(SUMPRODUCT(--(N$10:N224=N224))=1,SUMPRODUCT(--(N$10:N$609&lt;N224))+1,""))</f>
        <v/>
      </c>
      <c r="P224" t="str">
        <f>IFERROR(INDEX(tblY11[Class],ROWS(P$10:P224))&amp;"","")</f>
        <v/>
      </c>
      <c r="Q224" t="str">
        <f>IF(P224="","",IF(SUMPRODUCT(--(P$10:P224=P224))=1,SUMPRODUCT(--(P$10:P$609&lt;P224))+1,""))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IFERROR(INDEX(tblY7[Class],ROWS(H$10:H225))&amp;"","")</f>
        <v/>
      </c>
      <c r="I225" t="str">
        <f>IF(H225="","",IF(SUMPRODUCT(--(H$10:H225=H225))=1,SUMPRODUCT(--(H$10:H$609&lt;H225))+1,""))</f>
        <v/>
      </c>
      <c r="J225" t="str">
        <f>IFERROR(INDEX(tblY8[Class],ROWS(J$10:J225))&amp;"","")</f>
        <v/>
      </c>
      <c r="K225" t="str">
        <f>IF(J225="","",IF(SUMPRODUCT(--(J$10:J225=J225))=1,SUMPRODUCT(--(J$10:J$609&lt;J225))+1,""))</f>
        <v/>
      </c>
      <c r="L225" t="str">
        <f>IFERROR(INDEX(tblY9[Class],ROWS(L$10:L225))&amp;"","")</f>
        <v/>
      </c>
      <c r="M225" t="str">
        <f>IF(L225="","",IF(SUMPRODUCT(--(L$10:L225=L225))=1,SUMPRODUCT(--(L$10:L$609&lt;L225))+1,""))</f>
        <v/>
      </c>
      <c r="N225" t="str">
        <f>IFERROR(INDEX(tblY10[Class],ROWS(N$10:N225))&amp;"","")</f>
        <v/>
      </c>
      <c r="O225" t="str">
        <f>IF(N225="","",IF(SUMPRODUCT(--(N$10:N225=N225))=1,SUMPRODUCT(--(N$10:N$609&lt;N225))+1,""))</f>
        <v/>
      </c>
      <c r="P225" t="str">
        <f>IFERROR(INDEX(tblY11[Class],ROWS(P$10:P225))&amp;"","")</f>
        <v/>
      </c>
      <c r="Q225" t="str">
        <f>IF(P225="","",IF(SUMPRODUCT(--(P$10:P225=P225))=1,SUMPRODUCT(--(P$10:P$609&lt;P225))+1,""))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IFERROR(INDEX(tblY7[Class],ROWS(H$10:H226))&amp;"","")</f>
        <v/>
      </c>
      <c r="I226" t="str">
        <f>IF(H226="","",IF(SUMPRODUCT(--(H$10:H226=H226))=1,SUMPRODUCT(--(H$10:H$609&lt;H226))+1,""))</f>
        <v/>
      </c>
      <c r="J226" t="str">
        <f>IFERROR(INDEX(tblY8[Class],ROWS(J$10:J226))&amp;"","")</f>
        <v/>
      </c>
      <c r="K226" t="str">
        <f>IF(J226="","",IF(SUMPRODUCT(--(J$10:J226=J226))=1,SUMPRODUCT(--(J$10:J$609&lt;J226))+1,""))</f>
        <v/>
      </c>
      <c r="L226" t="str">
        <f>IFERROR(INDEX(tblY9[Class],ROWS(L$10:L226))&amp;"","")</f>
        <v/>
      </c>
      <c r="M226" t="str">
        <f>IF(L226="","",IF(SUMPRODUCT(--(L$10:L226=L226))=1,SUMPRODUCT(--(L$10:L$609&lt;L226))+1,""))</f>
        <v/>
      </c>
      <c r="N226" t="str">
        <f>IFERROR(INDEX(tblY10[Class],ROWS(N$10:N226))&amp;"","")</f>
        <v/>
      </c>
      <c r="O226" t="str">
        <f>IF(N226="","",IF(SUMPRODUCT(--(N$10:N226=N226))=1,SUMPRODUCT(--(N$10:N$609&lt;N226))+1,""))</f>
        <v/>
      </c>
      <c r="P226" t="str">
        <f>IFERROR(INDEX(tblY11[Class],ROWS(P$10:P226))&amp;"","")</f>
        <v/>
      </c>
      <c r="Q226" t="str">
        <f>IF(P226="","",IF(SUMPRODUCT(--(P$10:P226=P226))=1,SUMPRODUCT(--(P$10:P$609&lt;P226))+1,""))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IFERROR(INDEX(tblY7[Class],ROWS(H$10:H227))&amp;"","")</f>
        <v/>
      </c>
      <c r="I227" t="str">
        <f>IF(H227="","",IF(SUMPRODUCT(--(H$10:H227=H227))=1,SUMPRODUCT(--(H$10:H$609&lt;H227))+1,""))</f>
        <v/>
      </c>
      <c r="J227" t="str">
        <f>IFERROR(INDEX(tblY8[Class],ROWS(J$10:J227))&amp;"","")</f>
        <v/>
      </c>
      <c r="K227" t="str">
        <f>IF(J227="","",IF(SUMPRODUCT(--(J$10:J227=J227))=1,SUMPRODUCT(--(J$10:J$609&lt;J227))+1,""))</f>
        <v/>
      </c>
      <c r="L227" t="str">
        <f>IFERROR(INDEX(tblY9[Class],ROWS(L$10:L227))&amp;"","")</f>
        <v/>
      </c>
      <c r="M227" t="str">
        <f>IF(L227="","",IF(SUMPRODUCT(--(L$10:L227=L227))=1,SUMPRODUCT(--(L$10:L$609&lt;L227))+1,""))</f>
        <v/>
      </c>
      <c r="N227" t="str">
        <f>IFERROR(INDEX(tblY10[Class],ROWS(N$10:N227))&amp;"","")</f>
        <v/>
      </c>
      <c r="O227" t="str">
        <f>IF(N227="","",IF(SUMPRODUCT(--(N$10:N227=N227))=1,SUMPRODUCT(--(N$10:N$609&lt;N227))+1,""))</f>
        <v/>
      </c>
      <c r="P227" t="str">
        <f>IFERROR(INDEX(tblY11[Class],ROWS(P$10:P227))&amp;"","")</f>
        <v/>
      </c>
      <c r="Q227" t="str">
        <f>IF(P227="","",IF(SUMPRODUCT(--(P$10:P227=P227))=1,SUMPRODUCT(--(P$10:P$609&lt;P227))+1,""))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IFERROR(INDEX(tblY7[Class],ROWS(H$10:H228))&amp;"","")</f>
        <v/>
      </c>
      <c r="I228" t="str">
        <f>IF(H228="","",IF(SUMPRODUCT(--(H$10:H228=H228))=1,SUMPRODUCT(--(H$10:H$609&lt;H228))+1,""))</f>
        <v/>
      </c>
      <c r="J228" t="str">
        <f>IFERROR(INDEX(tblY8[Class],ROWS(J$10:J228))&amp;"","")</f>
        <v/>
      </c>
      <c r="K228" t="str">
        <f>IF(J228="","",IF(SUMPRODUCT(--(J$10:J228=J228))=1,SUMPRODUCT(--(J$10:J$609&lt;J228))+1,""))</f>
        <v/>
      </c>
      <c r="L228" t="str">
        <f>IFERROR(INDEX(tblY9[Class],ROWS(L$10:L228))&amp;"","")</f>
        <v/>
      </c>
      <c r="M228" t="str">
        <f>IF(L228="","",IF(SUMPRODUCT(--(L$10:L228=L228))=1,SUMPRODUCT(--(L$10:L$609&lt;L228))+1,""))</f>
        <v/>
      </c>
      <c r="N228" t="str">
        <f>IFERROR(INDEX(tblY10[Class],ROWS(N$10:N228))&amp;"","")</f>
        <v/>
      </c>
      <c r="O228" t="str">
        <f>IF(N228="","",IF(SUMPRODUCT(--(N$10:N228=N228))=1,SUMPRODUCT(--(N$10:N$609&lt;N228))+1,""))</f>
        <v/>
      </c>
      <c r="P228" t="str">
        <f>IFERROR(INDEX(tblY11[Class],ROWS(P$10:P228))&amp;"","")</f>
        <v/>
      </c>
      <c r="Q228" t="str">
        <f>IF(P228="","",IF(SUMPRODUCT(--(P$10:P228=P228))=1,SUMPRODUCT(--(P$10:P$609&lt;P228))+1,""))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IFERROR(INDEX(tblY7[Class],ROWS(H$10:H229))&amp;"","")</f>
        <v/>
      </c>
      <c r="I229" t="str">
        <f>IF(H229="","",IF(SUMPRODUCT(--(H$10:H229=H229))=1,SUMPRODUCT(--(H$10:H$609&lt;H229))+1,""))</f>
        <v/>
      </c>
      <c r="J229" t="str">
        <f>IFERROR(INDEX(tblY8[Class],ROWS(J$10:J229))&amp;"","")</f>
        <v/>
      </c>
      <c r="K229" t="str">
        <f>IF(J229="","",IF(SUMPRODUCT(--(J$10:J229=J229))=1,SUMPRODUCT(--(J$10:J$609&lt;J229))+1,""))</f>
        <v/>
      </c>
      <c r="L229" t="str">
        <f>IFERROR(INDEX(tblY9[Class],ROWS(L$10:L229))&amp;"","")</f>
        <v/>
      </c>
      <c r="M229" t="str">
        <f>IF(L229="","",IF(SUMPRODUCT(--(L$10:L229=L229))=1,SUMPRODUCT(--(L$10:L$609&lt;L229))+1,""))</f>
        <v/>
      </c>
      <c r="N229" t="str">
        <f>IFERROR(INDEX(tblY10[Class],ROWS(N$10:N229))&amp;"","")</f>
        <v/>
      </c>
      <c r="O229" t="str">
        <f>IF(N229="","",IF(SUMPRODUCT(--(N$10:N229=N229))=1,SUMPRODUCT(--(N$10:N$609&lt;N229))+1,""))</f>
        <v/>
      </c>
      <c r="P229" t="str">
        <f>IFERROR(INDEX(tblY11[Class],ROWS(P$10:P229))&amp;"","")</f>
        <v/>
      </c>
      <c r="Q229" t="str">
        <f>IF(P229="","",IF(SUMPRODUCT(--(P$10:P229=P229))=1,SUMPRODUCT(--(P$10:P$609&lt;P229))+1,""))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IFERROR(INDEX(tblY7[Class],ROWS(H$10:H230))&amp;"","")</f>
        <v/>
      </c>
      <c r="I230" t="str">
        <f>IF(H230="","",IF(SUMPRODUCT(--(H$10:H230=H230))=1,SUMPRODUCT(--(H$10:H$609&lt;H230))+1,""))</f>
        <v/>
      </c>
      <c r="J230" t="str">
        <f>IFERROR(INDEX(tblY8[Class],ROWS(J$10:J230))&amp;"","")</f>
        <v/>
      </c>
      <c r="K230" t="str">
        <f>IF(J230="","",IF(SUMPRODUCT(--(J$10:J230=J230))=1,SUMPRODUCT(--(J$10:J$609&lt;J230))+1,""))</f>
        <v/>
      </c>
      <c r="L230" t="str">
        <f>IFERROR(INDEX(tblY9[Class],ROWS(L$10:L230))&amp;"","")</f>
        <v/>
      </c>
      <c r="M230" t="str">
        <f>IF(L230="","",IF(SUMPRODUCT(--(L$10:L230=L230))=1,SUMPRODUCT(--(L$10:L$609&lt;L230))+1,""))</f>
        <v/>
      </c>
      <c r="N230" t="str">
        <f>IFERROR(INDEX(tblY10[Class],ROWS(N$10:N230))&amp;"","")</f>
        <v/>
      </c>
      <c r="O230" t="str">
        <f>IF(N230="","",IF(SUMPRODUCT(--(N$10:N230=N230))=1,SUMPRODUCT(--(N$10:N$609&lt;N230))+1,""))</f>
        <v/>
      </c>
      <c r="P230" t="str">
        <f>IFERROR(INDEX(tblY11[Class],ROWS(P$10:P230))&amp;"","")</f>
        <v/>
      </c>
      <c r="Q230" t="str">
        <f>IF(P230="","",IF(SUMPRODUCT(--(P$10:P230=P230))=1,SUMPRODUCT(--(P$10:P$609&lt;P230))+1,""))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IFERROR(INDEX(tblY7[Class],ROWS(H$10:H231))&amp;"","")</f>
        <v/>
      </c>
      <c r="I231" t="str">
        <f>IF(H231="","",IF(SUMPRODUCT(--(H$10:H231=H231))=1,SUMPRODUCT(--(H$10:H$609&lt;H231))+1,""))</f>
        <v/>
      </c>
      <c r="J231" t="str">
        <f>IFERROR(INDEX(tblY8[Class],ROWS(J$10:J231))&amp;"","")</f>
        <v/>
      </c>
      <c r="K231" t="str">
        <f>IF(J231="","",IF(SUMPRODUCT(--(J$10:J231=J231))=1,SUMPRODUCT(--(J$10:J$609&lt;J231))+1,""))</f>
        <v/>
      </c>
      <c r="L231" t="str">
        <f>IFERROR(INDEX(tblY9[Class],ROWS(L$10:L231))&amp;"","")</f>
        <v/>
      </c>
      <c r="M231" t="str">
        <f>IF(L231="","",IF(SUMPRODUCT(--(L$10:L231=L231))=1,SUMPRODUCT(--(L$10:L$609&lt;L231))+1,""))</f>
        <v/>
      </c>
      <c r="N231" t="str">
        <f>IFERROR(INDEX(tblY10[Class],ROWS(N$10:N231))&amp;"","")</f>
        <v/>
      </c>
      <c r="O231" t="str">
        <f>IF(N231="","",IF(SUMPRODUCT(--(N$10:N231=N231))=1,SUMPRODUCT(--(N$10:N$609&lt;N231))+1,""))</f>
        <v/>
      </c>
      <c r="P231" t="str">
        <f>IFERROR(INDEX(tblY11[Class],ROWS(P$10:P231))&amp;"","")</f>
        <v/>
      </c>
      <c r="Q231" t="str">
        <f>IF(P231="","",IF(SUMPRODUCT(--(P$10:P231=P231))=1,SUMPRODUCT(--(P$10:P$609&lt;P231))+1,""))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IFERROR(INDEX(tblY7[Class],ROWS(H$10:H232))&amp;"","")</f>
        <v/>
      </c>
      <c r="I232" t="str">
        <f>IF(H232="","",IF(SUMPRODUCT(--(H$10:H232=H232))=1,SUMPRODUCT(--(H$10:H$609&lt;H232))+1,""))</f>
        <v/>
      </c>
      <c r="J232" t="str">
        <f>IFERROR(INDEX(tblY8[Class],ROWS(J$10:J232))&amp;"","")</f>
        <v/>
      </c>
      <c r="K232" t="str">
        <f>IF(J232="","",IF(SUMPRODUCT(--(J$10:J232=J232))=1,SUMPRODUCT(--(J$10:J$609&lt;J232))+1,""))</f>
        <v/>
      </c>
      <c r="L232" t="str">
        <f>IFERROR(INDEX(tblY9[Class],ROWS(L$10:L232))&amp;"","")</f>
        <v/>
      </c>
      <c r="M232" t="str">
        <f>IF(L232="","",IF(SUMPRODUCT(--(L$10:L232=L232))=1,SUMPRODUCT(--(L$10:L$609&lt;L232))+1,""))</f>
        <v/>
      </c>
      <c r="N232" t="str">
        <f>IFERROR(INDEX(tblY10[Class],ROWS(N$10:N232))&amp;"","")</f>
        <v/>
      </c>
      <c r="O232" t="str">
        <f>IF(N232="","",IF(SUMPRODUCT(--(N$10:N232=N232))=1,SUMPRODUCT(--(N$10:N$609&lt;N232))+1,""))</f>
        <v/>
      </c>
      <c r="P232" t="str">
        <f>IFERROR(INDEX(tblY11[Class],ROWS(P$10:P232))&amp;"","")</f>
        <v/>
      </c>
      <c r="Q232" t="str">
        <f>IF(P232="","",IF(SUMPRODUCT(--(P$10:P232=P232))=1,SUMPRODUCT(--(P$10:P$609&lt;P232))+1,""))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IFERROR(INDEX(tblY7[Class],ROWS(H$10:H233))&amp;"","")</f>
        <v/>
      </c>
      <c r="I233" t="str">
        <f>IF(H233="","",IF(SUMPRODUCT(--(H$10:H233=H233))=1,SUMPRODUCT(--(H$10:H$609&lt;H233))+1,""))</f>
        <v/>
      </c>
      <c r="J233" t="str">
        <f>IFERROR(INDEX(tblY8[Class],ROWS(J$10:J233))&amp;"","")</f>
        <v/>
      </c>
      <c r="K233" t="str">
        <f>IF(J233="","",IF(SUMPRODUCT(--(J$10:J233=J233))=1,SUMPRODUCT(--(J$10:J$609&lt;J233))+1,""))</f>
        <v/>
      </c>
      <c r="L233" t="str">
        <f>IFERROR(INDEX(tblY9[Class],ROWS(L$10:L233))&amp;"","")</f>
        <v/>
      </c>
      <c r="M233" t="str">
        <f>IF(L233="","",IF(SUMPRODUCT(--(L$10:L233=L233))=1,SUMPRODUCT(--(L$10:L$609&lt;L233))+1,""))</f>
        <v/>
      </c>
      <c r="N233" t="str">
        <f>IFERROR(INDEX(tblY10[Class],ROWS(N$10:N233))&amp;"","")</f>
        <v/>
      </c>
      <c r="O233" t="str">
        <f>IF(N233="","",IF(SUMPRODUCT(--(N$10:N233=N233))=1,SUMPRODUCT(--(N$10:N$609&lt;N233))+1,""))</f>
        <v/>
      </c>
      <c r="P233" t="str">
        <f>IFERROR(INDEX(tblY11[Class],ROWS(P$10:P233))&amp;"","")</f>
        <v/>
      </c>
      <c r="Q233" t="str">
        <f>IF(P233="","",IF(SUMPRODUCT(--(P$10:P233=P233))=1,SUMPRODUCT(--(P$10:P$609&lt;P233))+1,""))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IFERROR(INDEX(tblY7[Class],ROWS(H$10:H234))&amp;"","")</f>
        <v/>
      </c>
      <c r="I234" t="str">
        <f>IF(H234="","",IF(SUMPRODUCT(--(H$10:H234=H234))=1,SUMPRODUCT(--(H$10:H$609&lt;H234))+1,""))</f>
        <v/>
      </c>
      <c r="J234" t="str">
        <f>IFERROR(INDEX(tblY8[Class],ROWS(J$10:J234))&amp;"","")</f>
        <v/>
      </c>
      <c r="K234" t="str">
        <f>IF(J234="","",IF(SUMPRODUCT(--(J$10:J234=J234))=1,SUMPRODUCT(--(J$10:J$609&lt;J234))+1,""))</f>
        <v/>
      </c>
      <c r="L234" t="str">
        <f>IFERROR(INDEX(tblY9[Class],ROWS(L$10:L234))&amp;"","")</f>
        <v/>
      </c>
      <c r="M234" t="str">
        <f>IF(L234="","",IF(SUMPRODUCT(--(L$10:L234=L234))=1,SUMPRODUCT(--(L$10:L$609&lt;L234))+1,""))</f>
        <v/>
      </c>
      <c r="N234" t="str">
        <f>IFERROR(INDEX(tblY10[Class],ROWS(N$10:N234))&amp;"","")</f>
        <v/>
      </c>
      <c r="O234" t="str">
        <f>IF(N234="","",IF(SUMPRODUCT(--(N$10:N234=N234))=1,SUMPRODUCT(--(N$10:N$609&lt;N234))+1,""))</f>
        <v/>
      </c>
      <c r="P234" t="str">
        <f>IFERROR(INDEX(tblY11[Class],ROWS(P$10:P234))&amp;"","")</f>
        <v/>
      </c>
      <c r="Q234" t="str">
        <f>IF(P234="","",IF(SUMPRODUCT(--(P$10:P234=P234))=1,SUMPRODUCT(--(P$10:P$609&lt;P234))+1,""))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IFERROR(INDEX(tblY7[Class],ROWS(H$10:H235))&amp;"","")</f>
        <v/>
      </c>
      <c r="I235" t="str">
        <f>IF(H235="","",IF(SUMPRODUCT(--(H$10:H235=H235))=1,SUMPRODUCT(--(H$10:H$609&lt;H235))+1,""))</f>
        <v/>
      </c>
      <c r="J235" t="str">
        <f>IFERROR(INDEX(tblY8[Class],ROWS(J$10:J235))&amp;"","")</f>
        <v/>
      </c>
      <c r="K235" t="str">
        <f>IF(J235="","",IF(SUMPRODUCT(--(J$10:J235=J235))=1,SUMPRODUCT(--(J$10:J$609&lt;J235))+1,""))</f>
        <v/>
      </c>
      <c r="L235" t="str">
        <f>IFERROR(INDEX(tblY9[Class],ROWS(L$10:L235))&amp;"","")</f>
        <v/>
      </c>
      <c r="M235" t="str">
        <f>IF(L235="","",IF(SUMPRODUCT(--(L$10:L235=L235))=1,SUMPRODUCT(--(L$10:L$609&lt;L235))+1,""))</f>
        <v/>
      </c>
      <c r="N235" t="str">
        <f>IFERROR(INDEX(tblY10[Class],ROWS(N$10:N235))&amp;"","")</f>
        <v/>
      </c>
      <c r="O235" t="str">
        <f>IF(N235="","",IF(SUMPRODUCT(--(N$10:N235=N235))=1,SUMPRODUCT(--(N$10:N$609&lt;N235))+1,""))</f>
        <v/>
      </c>
      <c r="P235" t="str">
        <f>IFERROR(INDEX(tblY11[Class],ROWS(P$10:P235))&amp;"","")</f>
        <v/>
      </c>
      <c r="Q235" t="str">
        <f>IF(P235="","",IF(SUMPRODUCT(--(P$10:P235=P235))=1,SUMPRODUCT(--(P$10:P$609&lt;P235))+1,""))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IFERROR(INDEX(tblY7[Class],ROWS(H$10:H236))&amp;"","")</f>
        <v/>
      </c>
      <c r="I236" t="str">
        <f>IF(H236="","",IF(SUMPRODUCT(--(H$10:H236=H236))=1,SUMPRODUCT(--(H$10:H$609&lt;H236))+1,""))</f>
        <v/>
      </c>
      <c r="J236" t="str">
        <f>IFERROR(INDEX(tblY8[Class],ROWS(J$10:J236))&amp;"","")</f>
        <v/>
      </c>
      <c r="K236" t="str">
        <f>IF(J236="","",IF(SUMPRODUCT(--(J$10:J236=J236))=1,SUMPRODUCT(--(J$10:J$609&lt;J236))+1,""))</f>
        <v/>
      </c>
      <c r="L236" t="str">
        <f>IFERROR(INDEX(tblY9[Class],ROWS(L$10:L236))&amp;"","")</f>
        <v/>
      </c>
      <c r="M236" t="str">
        <f>IF(L236="","",IF(SUMPRODUCT(--(L$10:L236=L236))=1,SUMPRODUCT(--(L$10:L$609&lt;L236))+1,""))</f>
        <v/>
      </c>
      <c r="N236" t="str">
        <f>IFERROR(INDEX(tblY10[Class],ROWS(N$10:N236))&amp;"","")</f>
        <v/>
      </c>
      <c r="O236" t="str">
        <f>IF(N236="","",IF(SUMPRODUCT(--(N$10:N236=N236))=1,SUMPRODUCT(--(N$10:N$609&lt;N236))+1,""))</f>
        <v/>
      </c>
      <c r="P236" t="str">
        <f>IFERROR(INDEX(tblY11[Class],ROWS(P$10:P236))&amp;"","")</f>
        <v/>
      </c>
      <c r="Q236" t="str">
        <f>IF(P236="","",IF(SUMPRODUCT(--(P$10:P236=P236))=1,SUMPRODUCT(--(P$10:P$609&lt;P236))+1,""))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IFERROR(INDEX(tblY7[Class],ROWS(H$10:H237))&amp;"","")</f>
        <v/>
      </c>
      <c r="I237" t="str">
        <f>IF(H237="","",IF(SUMPRODUCT(--(H$10:H237=H237))=1,SUMPRODUCT(--(H$10:H$609&lt;H237))+1,""))</f>
        <v/>
      </c>
      <c r="J237" t="str">
        <f>IFERROR(INDEX(tblY8[Class],ROWS(J$10:J237))&amp;"","")</f>
        <v/>
      </c>
      <c r="K237" t="str">
        <f>IF(J237="","",IF(SUMPRODUCT(--(J$10:J237=J237))=1,SUMPRODUCT(--(J$10:J$609&lt;J237))+1,""))</f>
        <v/>
      </c>
      <c r="L237" t="str">
        <f>IFERROR(INDEX(tblY9[Class],ROWS(L$10:L237))&amp;"","")</f>
        <v/>
      </c>
      <c r="M237" t="str">
        <f>IF(L237="","",IF(SUMPRODUCT(--(L$10:L237=L237))=1,SUMPRODUCT(--(L$10:L$609&lt;L237))+1,""))</f>
        <v/>
      </c>
      <c r="N237" t="str">
        <f>IFERROR(INDEX(tblY10[Class],ROWS(N$10:N237))&amp;"","")</f>
        <v/>
      </c>
      <c r="O237" t="str">
        <f>IF(N237="","",IF(SUMPRODUCT(--(N$10:N237=N237))=1,SUMPRODUCT(--(N$10:N$609&lt;N237))+1,""))</f>
        <v/>
      </c>
      <c r="P237" t="str">
        <f>IFERROR(INDEX(tblY11[Class],ROWS(P$10:P237))&amp;"","")</f>
        <v/>
      </c>
      <c r="Q237" t="str">
        <f>IF(P237="","",IF(SUMPRODUCT(--(P$10:P237=P237))=1,SUMPRODUCT(--(P$10:P$609&lt;P237))+1,""))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IFERROR(INDEX(tblY7[Class],ROWS(H$10:H238))&amp;"","")</f>
        <v/>
      </c>
      <c r="I238" t="str">
        <f>IF(H238="","",IF(SUMPRODUCT(--(H$10:H238=H238))=1,SUMPRODUCT(--(H$10:H$609&lt;H238))+1,""))</f>
        <v/>
      </c>
      <c r="J238" t="str">
        <f>IFERROR(INDEX(tblY8[Class],ROWS(J$10:J238))&amp;"","")</f>
        <v/>
      </c>
      <c r="K238" t="str">
        <f>IF(J238="","",IF(SUMPRODUCT(--(J$10:J238=J238))=1,SUMPRODUCT(--(J$10:J$609&lt;J238))+1,""))</f>
        <v/>
      </c>
      <c r="L238" t="str">
        <f>IFERROR(INDEX(tblY9[Class],ROWS(L$10:L238))&amp;"","")</f>
        <v/>
      </c>
      <c r="M238" t="str">
        <f>IF(L238="","",IF(SUMPRODUCT(--(L$10:L238=L238))=1,SUMPRODUCT(--(L$10:L$609&lt;L238))+1,""))</f>
        <v/>
      </c>
      <c r="N238" t="str">
        <f>IFERROR(INDEX(tblY10[Class],ROWS(N$10:N238))&amp;"","")</f>
        <v/>
      </c>
      <c r="O238" t="str">
        <f>IF(N238="","",IF(SUMPRODUCT(--(N$10:N238=N238))=1,SUMPRODUCT(--(N$10:N$609&lt;N238))+1,""))</f>
        <v/>
      </c>
      <c r="P238" t="str">
        <f>IFERROR(INDEX(tblY11[Class],ROWS(P$10:P238))&amp;"","")</f>
        <v/>
      </c>
      <c r="Q238" t="str">
        <f>IF(P238="","",IF(SUMPRODUCT(--(P$10:P238=P238))=1,SUMPRODUCT(--(P$10:P$609&lt;P238))+1,""))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IFERROR(INDEX(tblY7[Class],ROWS(H$10:H239))&amp;"","")</f>
        <v/>
      </c>
      <c r="I239" t="str">
        <f>IF(H239="","",IF(SUMPRODUCT(--(H$10:H239=H239))=1,SUMPRODUCT(--(H$10:H$609&lt;H239))+1,""))</f>
        <v/>
      </c>
      <c r="J239" t="str">
        <f>IFERROR(INDEX(tblY8[Class],ROWS(J$10:J239))&amp;"","")</f>
        <v/>
      </c>
      <c r="K239" t="str">
        <f>IF(J239="","",IF(SUMPRODUCT(--(J$10:J239=J239))=1,SUMPRODUCT(--(J$10:J$609&lt;J239))+1,""))</f>
        <v/>
      </c>
      <c r="L239" t="str">
        <f>IFERROR(INDEX(tblY9[Class],ROWS(L$10:L239))&amp;"","")</f>
        <v/>
      </c>
      <c r="M239" t="str">
        <f>IF(L239="","",IF(SUMPRODUCT(--(L$10:L239=L239))=1,SUMPRODUCT(--(L$10:L$609&lt;L239))+1,""))</f>
        <v/>
      </c>
      <c r="N239" t="str">
        <f>IFERROR(INDEX(tblY10[Class],ROWS(N$10:N239))&amp;"","")</f>
        <v/>
      </c>
      <c r="O239" t="str">
        <f>IF(N239="","",IF(SUMPRODUCT(--(N$10:N239=N239))=1,SUMPRODUCT(--(N$10:N$609&lt;N239))+1,""))</f>
        <v/>
      </c>
      <c r="P239" t="str">
        <f>IFERROR(INDEX(tblY11[Class],ROWS(P$10:P239))&amp;"","")</f>
        <v/>
      </c>
      <c r="Q239" t="str">
        <f>IF(P239="","",IF(SUMPRODUCT(--(P$10:P239=P239))=1,SUMPRODUCT(--(P$10:P$609&lt;P239))+1,""))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IFERROR(INDEX(tblY7[Class],ROWS(H$10:H240))&amp;"","")</f>
        <v/>
      </c>
      <c r="I240" t="str">
        <f>IF(H240="","",IF(SUMPRODUCT(--(H$10:H240=H240))=1,SUMPRODUCT(--(H$10:H$609&lt;H240))+1,""))</f>
        <v/>
      </c>
      <c r="J240" t="str">
        <f>IFERROR(INDEX(tblY8[Class],ROWS(J$10:J240))&amp;"","")</f>
        <v/>
      </c>
      <c r="K240" t="str">
        <f>IF(J240="","",IF(SUMPRODUCT(--(J$10:J240=J240))=1,SUMPRODUCT(--(J$10:J$609&lt;J240))+1,""))</f>
        <v/>
      </c>
      <c r="L240" t="str">
        <f>IFERROR(INDEX(tblY9[Class],ROWS(L$10:L240))&amp;"","")</f>
        <v/>
      </c>
      <c r="M240" t="str">
        <f>IF(L240="","",IF(SUMPRODUCT(--(L$10:L240=L240))=1,SUMPRODUCT(--(L$10:L$609&lt;L240))+1,""))</f>
        <v/>
      </c>
      <c r="N240" t="str">
        <f>IFERROR(INDEX(tblY10[Class],ROWS(N$10:N240))&amp;"","")</f>
        <v/>
      </c>
      <c r="O240" t="str">
        <f>IF(N240="","",IF(SUMPRODUCT(--(N$10:N240=N240))=1,SUMPRODUCT(--(N$10:N$609&lt;N240))+1,""))</f>
        <v/>
      </c>
      <c r="P240" t="str">
        <f>IFERROR(INDEX(tblY11[Class],ROWS(P$10:P240))&amp;"","")</f>
        <v/>
      </c>
      <c r="Q240" t="str">
        <f>IF(P240="","",IF(SUMPRODUCT(--(P$10:P240=P240))=1,SUMPRODUCT(--(P$10:P$609&lt;P240))+1,""))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IFERROR(INDEX(tblY7[Class],ROWS(H$10:H241))&amp;"","")</f>
        <v/>
      </c>
      <c r="I241" t="str">
        <f>IF(H241="","",IF(SUMPRODUCT(--(H$10:H241=H241))=1,SUMPRODUCT(--(H$10:H$609&lt;H241))+1,""))</f>
        <v/>
      </c>
      <c r="J241" t="str">
        <f>IFERROR(INDEX(tblY8[Class],ROWS(J$10:J241))&amp;"","")</f>
        <v/>
      </c>
      <c r="K241" t="str">
        <f>IF(J241="","",IF(SUMPRODUCT(--(J$10:J241=J241))=1,SUMPRODUCT(--(J$10:J$609&lt;J241))+1,""))</f>
        <v/>
      </c>
      <c r="L241" t="str">
        <f>IFERROR(INDEX(tblY9[Class],ROWS(L$10:L241))&amp;"","")</f>
        <v/>
      </c>
      <c r="M241" t="str">
        <f>IF(L241="","",IF(SUMPRODUCT(--(L$10:L241=L241))=1,SUMPRODUCT(--(L$10:L$609&lt;L241))+1,""))</f>
        <v/>
      </c>
      <c r="N241" t="str">
        <f>IFERROR(INDEX(tblY10[Class],ROWS(N$10:N241))&amp;"","")</f>
        <v/>
      </c>
      <c r="O241" t="str">
        <f>IF(N241="","",IF(SUMPRODUCT(--(N$10:N241=N241))=1,SUMPRODUCT(--(N$10:N$609&lt;N241))+1,""))</f>
        <v/>
      </c>
      <c r="P241" t="str">
        <f>IFERROR(INDEX(tblY11[Class],ROWS(P$10:P241))&amp;"","")</f>
        <v/>
      </c>
      <c r="Q241" t="str">
        <f>IF(P241="","",IF(SUMPRODUCT(--(P$10:P241=P241))=1,SUMPRODUCT(--(P$10:P$609&lt;P241))+1,""))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IFERROR(INDEX(tblY7[Class],ROWS(H$10:H242))&amp;"","")</f>
        <v/>
      </c>
      <c r="I242" t="str">
        <f>IF(H242="","",IF(SUMPRODUCT(--(H$10:H242=H242))=1,SUMPRODUCT(--(H$10:H$609&lt;H242))+1,""))</f>
        <v/>
      </c>
      <c r="J242" t="str">
        <f>IFERROR(INDEX(tblY8[Class],ROWS(J$10:J242))&amp;"","")</f>
        <v/>
      </c>
      <c r="K242" t="str">
        <f>IF(J242="","",IF(SUMPRODUCT(--(J$10:J242=J242))=1,SUMPRODUCT(--(J$10:J$609&lt;J242))+1,""))</f>
        <v/>
      </c>
      <c r="L242" t="str">
        <f>IFERROR(INDEX(tblY9[Class],ROWS(L$10:L242))&amp;"","")</f>
        <v/>
      </c>
      <c r="M242" t="str">
        <f>IF(L242="","",IF(SUMPRODUCT(--(L$10:L242=L242))=1,SUMPRODUCT(--(L$10:L$609&lt;L242))+1,""))</f>
        <v/>
      </c>
      <c r="N242" t="str">
        <f>IFERROR(INDEX(tblY10[Class],ROWS(N$10:N242))&amp;"","")</f>
        <v/>
      </c>
      <c r="O242" t="str">
        <f>IF(N242="","",IF(SUMPRODUCT(--(N$10:N242=N242))=1,SUMPRODUCT(--(N$10:N$609&lt;N242))+1,""))</f>
        <v/>
      </c>
      <c r="P242" t="str">
        <f>IFERROR(INDEX(tblY11[Class],ROWS(P$10:P242))&amp;"","")</f>
        <v/>
      </c>
      <c r="Q242" t="str">
        <f>IF(P242="","",IF(SUMPRODUCT(--(P$10:P242=P242))=1,SUMPRODUCT(--(P$10:P$609&lt;P242))+1,""))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IFERROR(INDEX(tblY7[Class],ROWS(H$10:H243))&amp;"","")</f>
        <v/>
      </c>
      <c r="I243" t="str">
        <f>IF(H243="","",IF(SUMPRODUCT(--(H$10:H243=H243))=1,SUMPRODUCT(--(H$10:H$609&lt;H243))+1,""))</f>
        <v/>
      </c>
      <c r="J243" t="str">
        <f>IFERROR(INDEX(tblY8[Class],ROWS(J$10:J243))&amp;"","")</f>
        <v/>
      </c>
      <c r="K243" t="str">
        <f>IF(J243="","",IF(SUMPRODUCT(--(J$10:J243=J243))=1,SUMPRODUCT(--(J$10:J$609&lt;J243))+1,""))</f>
        <v/>
      </c>
      <c r="L243" t="str">
        <f>IFERROR(INDEX(tblY9[Class],ROWS(L$10:L243))&amp;"","")</f>
        <v/>
      </c>
      <c r="M243" t="str">
        <f>IF(L243="","",IF(SUMPRODUCT(--(L$10:L243=L243))=1,SUMPRODUCT(--(L$10:L$609&lt;L243))+1,""))</f>
        <v/>
      </c>
      <c r="N243" t="str">
        <f>IFERROR(INDEX(tblY10[Class],ROWS(N$10:N243))&amp;"","")</f>
        <v/>
      </c>
      <c r="O243" t="str">
        <f>IF(N243="","",IF(SUMPRODUCT(--(N$10:N243=N243))=1,SUMPRODUCT(--(N$10:N$609&lt;N243))+1,""))</f>
        <v/>
      </c>
      <c r="P243" t="str">
        <f>IFERROR(INDEX(tblY11[Class],ROWS(P$10:P243))&amp;"","")</f>
        <v/>
      </c>
      <c r="Q243" t="str">
        <f>IF(P243="","",IF(SUMPRODUCT(--(P$10:P243=P243))=1,SUMPRODUCT(--(P$10:P$609&lt;P243))+1,""))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IFERROR(INDEX(tblY7[Class],ROWS(H$10:H244))&amp;"","")</f>
        <v/>
      </c>
      <c r="I244" t="str">
        <f>IF(H244="","",IF(SUMPRODUCT(--(H$10:H244=H244))=1,SUMPRODUCT(--(H$10:H$609&lt;H244))+1,""))</f>
        <v/>
      </c>
      <c r="J244" t="str">
        <f>IFERROR(INDEX(tblY8[Class],ROWS(J$10:J244))&amp;"","")</f>
        <v/>
      </c>
      <c r="K244" t="str">
        <f>IF(J244="","",IF(SUMPRODUCT(--(J$10:J244=J244))=1,SUMPRODUCT(--(J$10:J$609&lt;J244))+1,""))</f>
        <v/>
      </c>
      <c r="L244" t="str">
        <f>IFERROR(INDEX(tblY9[Class],ROWS(L$10:L244))&amp;"","")</f>
        <v/>
      </c>
      <c r="M244" t="str">
        <f>IF(L244="","",IF(SUMPRODUCT(--(L$10:L244=L244))=1,SUMPRODUCT(--(L$10:L$609&lt;L244))+1,""))</f>
        <v/>
      </c>
      <c r="N244" t="str">
        <f>IFERROR(INDEX(tblY10[Class],ROWS(N$10:N244))&amp;"","")</f>
        <v/>
      </c>
      <c r="O244" t="str">
        <f>IF(N244="","",IF(SUMPRODUCT(--(N$10:N244=N244))=1,SUMPRODUCT(--(N$10:N$609&lt;N244))+1,""))</f>
        <v/>
      </c>
      <c r="P244" t="str">
        <f>IFERROR(INDEX(tblY11[Class],ROWS(P$10:P244))&amp;"","")</f>
        <v/>
      </c>
      <c r="Q244" t="str">
        <f>IF(P244="","",IF(SUMPRODUCT(--(P$10:P244=P244))=1,SUMPRODUCT(--(P$10:P$609&lt;P244))+1,""))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IFERROR(INDEX(tblY7[Class],ROWS(H$10:H245))&amp;"","")</f>
        <v/>
      </c>
      <c r="I245" t="str">
        <f>IF(H245="","",IF(SUMPRODUCT(--(H$10:H245=H245))=1,SUMPRODUCT(--(H$10:H$609&lt;H245))+1,""))</f>
        <v/>
      </c>
      <c r="J245" t="str">
        <f>IFERROR(INDEX(tblY8[Class],ROWS(J$10:J245))&amp;"","")</f>
        <v/>
      </c>
      <c r="K245" t="str">
        <f>IF(J245="","",IF(SUMPRODUCT(--(J$10:J245=J245))=1,SUMPRODUCT(--(J$10:J$609&lt;J245))+1,""))</f>
        <v/>
      </c>
      <c r="L245" t="str">
        <f>IFERROR(INDEX(tblY9[Class],ROWS(L$10:L245))&amp;"","")</f>
        <v/>
      </c>
      <c r="M245" t="str">
        <f>IF(L245="","",IF(SUMPRODUCT(--(L$10:L245=L245))=1,SUMPRODUCT(--(L$10:L$609&lt;L245))+1,""))</f>
        <v/>
      </c>
      <c r="N245" t="str">
        <f>IFERROR(INDEX(tblY10[Class],ROWS(N$10:N245))&amp;"","")</f>
        <v/>
      </c>
      <c r="O245" t="str">
        <f>IF(N245="","",IF(SUMPRODUCT(--(N$10:N245=N245))=1,SUMPRODUCT(--(N$10:N$609&lt;N245))+1,""))</f>
        <v/>
      </c>
      <c r="P245" t="str">
        <f>IFERROR(INDEX(tblY11[Class],ROWS(P$10:P245))&amp;"","")</f>
        <v/>
      </c>
      <c r="Q245" t="str">
        <f>IF(P245="","",IF(SUMPRODUCT(--(P$10:P245=P245))=1,SUMPRODUCT(--(P$10:P$609&lt;P245))+1,""))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IFERROR(INDEX(tblY7[Class],ROWS(H$10:H246))&amp;"","")</f>
        <v/>
      </c>
      <c r="I246" t="str">
        <f>IF(H246="","",IF(SUMPRODUCT(--(H$10:H246=H246))=1,SUMPRODUCT(--(H$10:H$609&lt;H246))+1,""))</f>
        <v/>
      </c>
      <c r="J246" t="str">
        <f>IFERROR(INDEX(tblY8[Class],ROWS(J$10:J246))&amp;"","")</f>
        <v/>
      </c>
      <c r="K246" t="str">
        <f>IF(J246="","",IF(SUMPRODUCT(--(J$10:J246=J246))=1,SUMPRODUCT(--(J$10:J$609&lt;J246))+1,""))</f>
        <v/>
      </c>
      <c r="L246" t="str">
        <f>IFERROR(INDEX(tblY9[Class],ROWS(L$10:L246))&amp;"","")</f>
        <v/>
      </c>
      <c r="M246" t="str">
        <f>IF(L246="","",IF(SUMPRODUCT(--(L$10:L246=L246))=1,SUMPRODUCT(--(L$10:L$609&lt;L246))+1,""))</f>
        <v/>
      </c>
      <c r="N246" t="str">
        <f>IFERROR(INDEX(tblY10[Class],ROWS(N$10:N246))&amp;"","")</f>
        <v/>
      </c>
      <c r="O246" t="str">
        <f>IF(N246="","",IF(SUMPRODUCT(--(N$10:N246=N246))=1,SUMPRODUCT(--(N$10:N$609&lt;N246))+1,""))</f>
        <v/>
      </c>
      <c r="P246" t="str">
        <f>IFERROR(INDEX(tblY11[Class],ROWS(P$10:P246))&amp;"","")</f>
        <v/>
      </c>
      <c r="Q246" t="str">
        <f>IF(P246="","",IF(SUMPRODUCT(--(P$10:P246=P246))=1,SUMPRODUCT(--(P$10:P$609&lt;P246))+1,""))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IFERROR(INDEX(tblY7[Class],ROWS(H$10:H247))&amp;"","")</f>
        <v/>
      </c>
      <c r="I247" t="str">
        <f>IF(H247="","",IF(SUMPRODUCT(--(H$10:H247=H247))=1,SUMPRODUCT(--(H$10:H$609&lt;H247))+1,""))</f>
        <v/>
      </c>
      <c r="J247" t="str">
        <f>IFERROR(INDEX(tblY8[Class],ROWS(J$10:J247))&amp;"","")</f>
        <v/>
      </c>
      <c r="K247" t="str">
        <f>IF(J247="","",IF(SUMPRODUCT(--(J$10:J247=J247))=1,SUMPRODUCT(--(J$10:J$609&lt;J247))+1,""))</f>
        <v/>
      </c>
      <c r="L247" t="str">
        <f>IFERROR(INDEX(tblY9[Class],ROWS(L$10:L247))&amp;"","")</f>
        <v/>
      </c>
      <c r="M247" t="str">
        <f>IF(L247="","",IF(SUMPRODUCT(--(L$10:L247=L247))=1,SUMPRODUCT(--(L$10:L$609&lt;L247))+1,""))</f>
        <v/>
      </c>
      <c r="N247" t="str">
        <f>IFERROR(INDEX(tblY10[Class],ROWS(N$10:N247))&amp;"","")</f>
        <v/>
      </c>
      <c r="O247" t="str">
        <f>IF(N247="","",IF(SUMPRODUCT(--(N$10:N247=N247))=1,SUMPRODUCT(--(N$10:N$609&lt;N247))+1,""))</f>
        <v/>
      </c>
      <c r="P247" t="str">
        <f>IFERROR(INDEX(tblY11[Class],ROWS(P$10:P247))&amp;"","")</f>
        <v/>
      </c>
      <c r="Q247" t="str">
        <f>IF(P247="","",IF(SUMPRODUCT(--(P$10:P247=P247))=1,SUMPRODUCT(--(P$10:P$609&lt;P247))+1,""))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IFERROR(INDEX(tblY7[Class],ROWS(H$10:H248))&amp;"","")</f>
        <v/>
      </c>
      <c r="I248" t="str">
        <f>IF(H248="","",IF(SUMPRODUCT(--(H$10:H248=H248))=1,SUMPRODUCT(--(H$10:H$609&lt;H248))+1,""))</f>
        <v/>
      </c>
      <c r="J248" t="str">
        <f>IFERROR(INDEX(tblY8[Class],ROWS(J$10:J248))&amp;"","")</f>
        <v/>
      </c>
      <c r="K248" t="str">
        <f>IF(J248="","",IF(SUMPRODUCT(--(J$10:J248=J248))=1,SUMPRODUCT(--(J$10:J$609&lt;J248))+1,""))</f>
        <v/>
      </c>
      <c r="L248" t="str">
        <f>IFERROR(INDEX(tblY9[Class],ROWS(L$10:L248))&amp;"","")</f>
        <v/>
      </c>
      <c r="M248" t="str">
        <f>IF(L248="","",IF(SUMPRODUCT(--(L$10:L248=L248))=1,SUMPRODUCT(--(L$10:L$609&lt;L248))+1,""))</f>
        <v/>
      </c>
      <c r="N248" t="str">
        <f>IFERROR(INDEX(tblY10[Class],ROWS(N$10:N248))&amp;"","")</f>
        <v/>
      </c>
      <c r="O248" t="str">
        <f>IF(N248="","",IF(SUMPRODUCT(--(N$10:N248=N248))=1,SUMPRODUCT(--(N$10:N$609&lt;N248))+1,""))</f>
        <v/>
      </c>
      <c r="P248" t="str">
        <f>IFERROR(INDEX(tblY11[Class],ROWS(P$10:P248))&amp;"","")</f>
        <v/>
      </c>
      <c r="Q248" t="str">
        <f>IF(P248="","",IF(SUMPRODUCT(--(P$10:P248=P248))=1,SUMPRODUCT(--(P$10:P$609&lt;P248))+1,""))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IFERROR(INDEX(tblY7[Class],ROWS(H$10:H249))&amp;"","")</f>
        <v/>
      </c>
      <c r="I249" t="str">
        <f>IF(H249="","",IF(SUMPRODUCT(--(H$10:H249=H249))=1,SUMPRODUCT(--(H$10:H$609&lt;H249))+1,""))</f>
        <v/>
      </c>
      <c r="J249" t="str">
        <f>IFERROR(INDEX(tblY8[Class],ROWS(J$10:J249))&amp;"","")</f>
        <v/>
      </c>
      <c r="K249" t="str">
        <f>IF(J249="","",IF(SUMPRODUCT(--(J$10:J249=J249))=1,SUMPRODUCT(--(J$10:J$609&lt;J249))+1,""))</f>
        <v/>
      </c>
      <c r="L249" t="str">
        <f>IFERROR(INDEX(tblY9[Class],ROWS(L$10:L249))&amp;"","")</f>
        <v/>
      </c>
      <c r="M249" t="str">
        <f>IF(L249="","",IF(SUMPRODUCT(--(L$10:L249=L249))=1,SUMPRODUCT(--(L$10:L$609&lt;L249))+1,""))</f>
        <v/>
      </c>
      <c r="N249" t="str">
        <f>IFERROR(INDEX(tblY10[Class],ROWS(N$10:N249))&amp;"","")</f>
        <v/>
      </c>
      <c r="O249" t="str">
        <f>IF(N249="","",IF(SUMPRODUCT(--(N$10:N249=N249))=1,SUMPRODUCT(--(N$10:N$609&lt;N249))+1,""))</f>
        <v/>
      </c>
      <c r="P249" t="str">
        <f>IFERROR(INDEX(tblY11[Class],ROWS(P$10:P249))&amp;"","")</f>
        <v/>
      </c>
      <c r="Q249" t="str">
        <f>IF(P249="","",IF(SUMPRODUCT(--(P$10:P249=P249))=1,SUMPRODUCT(--(P$10:P$609&lt;P249))+1,""))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IFERROR(INDEX(tblY7[Class],ROWS(H$10:H250))&amp;"","")</f>
        <v/>
      </c>
      <c r="I250" t="str">
        <f>IF(H250="","",IF(SUMPRODUCT(--(H$10:H250=H250))=1,SUMPRODUCT(--(H$10:H$609&lt;H250))+1,""))</f>
        <v/>
      </c>
      <c r="J250" t="str">
        <f>IFERROR(INDEX(tblY8[Class],ROWS(J$10:J250))&amp;"","")</f>
        <v/>
      </c>
      <c r="K250" t="str">
        <f>IF(J250="","",IF(SUMPRODUCT(--(J$10:J250=J250))=1,SUMPRODUCT(--(J$10:J$609&lt;J250))+1,""))</f>
        <v/>
      </c>
      <c r="L250" t="str">
        <f>IFERROR(INDEX(tblY9[Class],ROWS(L$10:L250))&amp;"","")</f>
        <v/>
      </c>
      <c r="M250" t="str">
        <f>IF(L250="","",IF(SUMPRODUCT(--(L$10:L250=L250))=1,SUMPRODUCT(--(L$10:L$609&lt;L250))+1,""))</f>
        <v/>
      </c>
      <c r="N250" t="str">
        <f>IFERROR(INDEX(tblY10[Class],ROWS(N$10:N250))&amp;"","")</f>
        <v/>
      </c>
      <c r="O250" t="str">
        <f>IF(N250="","",IF(SUMPRODUCT(--(N$10:N250=N250))=1,SUMPRODUCT(--(N$10:N$609&lt;N250))+1,""))</f>
        <v/>
      </c>
      <c r="P250" t="str">
        <f>IFERROR(INDEX(tblY11[Class],ROWS(P$10:P250))&amp;"","")</f>
        <v/>
      </c>
      <c r="Q250" t="str">
        <f>IF(P250="","",IF(SUMPRODUCT(--(P$10:P250=P250))=1,SUMPRODUCT(--(P$10:P$609&lt;P250))+1,""))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IFERROR(INDEX(tblY7[Class],ROWS(H$10:H251))&amp;"","")</f>
        <v/>
      </c>
      <c r="I251" t="str">
        <f>IF(H251="","",IF(SUMPRODUCT(--(H$10:H251=H251))=1,SUMPRODUCT(--(H$10:H$609&lt;H251))+1,""))</f>
        <v/>
      </c>
      <c r="J251" t="str">
        <f>IFERROR(INDEX(tblY8[Class],ROWS(J$10:J251))&amp;"","")</f>
        <v/>
      </c>
      <c r="K251" t="str">
        <f>IF(J251="","",IF(SUMPRODUCT(--(J$10:J251=J251))=1,SUMPRODUCT(--(J$10:J$609&lt;J251))+1,""))</f>
        <v/>
      </c>
      <c r="L251" t="str">
        <f>IFERROR(INDEX(tblY9[Class],ROWS(L$10:L251))&amp;"","")</f>
        <v/>
      </c>
      <c r="M251" t="str">
        <f>IF(L251="","",IF(SUMPRODUCT(--(L$10:L251=L251))=1,SUMPRODUCT(--(L$10:L$609&lt;L251))+1,""))</f>
        <v/>
      </c>
      <c r="N251" t="str">
        <f>IFERROR(INDEX(tblY10[Class],ROWS(N$10:N251))&amp;"","")</f>
        <v/>
      </c>
      <c r="O251" t="str">
        <f>IF(N251="","",IF(SUMPRODUCT(--(N$10:N251=N251))=1,SUMPRODUCT(--(N$10:N$609&lt;N251))+1,""))</f>
        <v/>
      </c>
      <c r="P251" t="str">
        <f>IFERROR(INDEX(tblY11[Class],ROWS(P$10:P251))&amp;"","")</f>
        <v/>
      </c>
      <c r="Q251" t="str">
        <f>IF(P251="","",IF(SUMPRODUCT(--(P$10:P251=P251))=1,SUMPRODUCT(--(P$10:P$609&lt;P251))+1,""))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IFERROR(INDEX(tblY7[Class],ROWS(H$10:H252))&amp;"","")</f>
        <v/>
      </c>
      <c r="I252" t="str">
        <f>IF(H252="","",IF(SUMPRODUCT(--(H$10:H252=H252))=1,SUMPRODUCT(--(H$10:H$609&lt;H252))+1,""))</f>
        <v/>
      </c>
      <c r="J252" t="str">
        <f>IFERROR(INDEX(tblY8[Class],ROWS(J$10:J252))&amp;"","")</f>
        <v/>
      </c>
      <c r="K252" t="str">
        <f>IF(J252="","",IF(SUMPRODUCT(--(J$10:J252=J252))=1,SUMPRODUCT(--(J$10:J$609&lt;J252))+1,""))</f>
        <v/>
      </c>
      <c r="L252" t="str">
        <f>IFERROR(INDEX(tblY9[Class],ROWS(L$10:L252))&amp;"","")</f>
        <v/>
      </c>
      <c r="M252" t="str">
        <f>IF(L252="","",IF(SUMPRODUCT(--(L$10:L252=L252))=1,SUMPRODUCT(--(L$10:L$609&lt;L252))+1,""))</f>
        <v/>
      </c>
      <c r="N252" t="str">
        <f>IFERROR(INDEX(tblY10[Class],ROWS(N$10:N252))&amp;"","")</f>
        <v/>
      </c>
      <c r="O252" t="str">
        <f>IF(N252="","",IF(SUMPRODUCT(--(N$10:N252=N252))=1,SUMPRODUCT(--(N$10:N$609&lt;N252))+1,""))</f>
        <v/>
      </c>
      <c r="P252" t="str">
        <f>IFERROR(INDEX(tblY11[Class],ROWS(P$10:P252))&amp;"","")</f>
        <v/>
      </c>
      <c r="Q252" t="str">
        <f>IF(P252="","",IF(SUMPRODUCT(--(P$10:P252=P252))=1,SUMPRODUCT(--(P$10:P$609&lt;P252))+1,""))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IFERROR(INDEX(tblY7[Class],ROWS(H$10:H253))&amp;"","")</f>
        <v/>
      </c>
      <c r="I253" t="str">
        <f>IF(H253="","",IF(SUMPRODUCT(--(H$10:H253=H253))=1,SUMPRODUCT(--(H$10:H$609&lt;H253))+1,""))</f>
        <v/>
      </c>
      <c r="J253" t="str">
        <f>IFERROR(INDEX(tblY8[Class],ROWS(J$10:J253))&amp;"","")</f>
        <v/>
      </c>
      <c r="K253" t="str">
        <f>IF(J253="","",IF(SUMPRODUCT(--(J$10:J253=J253))=1,SUMPRODUCT(--(J$10:J$609&lt;J253))+1,""))</f>
        <v/>
      </c>
      <c r="L253" t="str">
        <f>IFERROR(INDEX(tblY9[Class],ROWS(L$10:L253))&amp;"","")</f>
        <v/>
      </c>
      <c r="M253" t="str">
        <f>IF(L253="","",IF(SUMPRODUCT(--(L$10:L253=L253))=1,SUMPRODUCT(--(L$10:L$609&lt;L253))+1,""))</f>
        <v/>
      </c>
      <c r="N253" t="str">
        <f>IFERROR(INDEX(tblY10[Class],ROWS(N$10:N253))&amp;"","")</f>
        <v/>
      </c>
      <c r="O253" t="str">
        <f>IF(N253="","",IF(SUMPRODUCT(--(N$10:N253=N253))=1,SUMPRODUCT(--(N$10:N$609&lt;N253))+1,""))</f>
        <v/>
      </c>
      <c r="P253" t="str">
        <f>IFERROR(INDEX(tblY11[Class],ROWS(P$10:P253))&amp;"","")</f>
        <v/>
      </c>
      <c r="Q253" t="str">
        <f>IF(P253="","",IF(SUMPRODUCT(--(P$10:P253=P253))=1,SUMPRODUCT(--(P$10:P$609&lt;P253))+1,""))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IFERROR(INDEX(tblY7[Class],ROWS(H$10:H254))&amp;"","")</f>
        <v/>
      </c>
      <c r="I254" t="str">
        <f>IF(H254="","",IF(SUMPRODUCT(--(H$10:H254=H254))=1,SUMPRODUCT(--(H$10:H$609&lt;H254))+1,""))</f>
        <v/>
      </c>
      <c r="J254" t="str">
        <f>IFERROR(INDEX(tblY8[Class],ROWS(J$10:J254))&amp;"","")</f>
        <v/>
      </c>
      <c r="K254" t="str">
        <f>IF(J254="","",IF(SUMPRODUCT(--(J$10:J254=J254))=1,SUMPRODUCT(--(J$10:J$609&lt;J254))+1,""))</f>
        <v/>
      </c>
      <c r="L254" t="str">
        <f>IFERROR(INDEX(tblY9[Class],ROWS(L$10:L254))&amp;"","")</f>
        <v/>
      </c>
      <c r="M254" t="str">
        <f>IF(L254="","",IF(SUMPRODUCT(--(L$10:L254=L254))=1,SUMPRODUCT(--(L$10:L$609&lt;L254))+1,""))</f>
        <v/>
      </c>
      <c r="N254" t="str">
        <f>IFERROR(INDEX(tblY10[Class],ROWS(N$10:N254))&amp;"","")</f>
        <v/>
      </c>
      <c r="O254" t="str">
        <f>IF(N254="","",IF(SUMPRODUCT(--(N$10:N254=N254))=1,SUMPRODUCT(--(N$10:N$609&lt;N254))+1,""))</f>
        <v/>
      </c>
      <c r="P254" t="str">
        <f>IFERROR(INDEX(tblY11[Class],ROWS(P$10:P254))&amp;"","")</f>
        <v/>
      </c>
      <c r="Q254" t="str">
        <f>IF(P254="","",IF(SUMPRODUCT(--(P$10:P254=P254))=1,SUMPRODUCT(--(P$10:P$609&lt;P254))+1,""))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IFERROR(INDEX(tblY7[Class],ROWS(H$10:H255))&amp;"","")</f>
        <v/>
      </c>
      <c r="I255" t="str">
        <f>IF(H255="","",IF(SUMPRODUCT(--(H$10:H255=H255))=1,SUMPRODUCT(--(H$10:H$609&lt;H255))+1,""))</f>
        <v/>
      </c>
      <c r="J255" t="str">
        <f>IFERROR(INDEX(tblY8[Class],ROWS(J$10:J255))&amp;"","")</f>
        <v/>
      </c>
      <c r="K255" t="str">
        <f>IF(J255="","",IF(SUMPRODUCT(--(J$10:J255=J255))=1,SUMPRODUCT(--(J$10:J$609&lt;J255))+1,""))</f>
        <v/>
      </c>
      <c r="L255" t="str">
        <f>IFERROR(INDEX(tblY9[Class],ROWS(L$10:L255))&amp;"","")</f>
        <v/>
      </c>
      <c r="M255" t="str">
        <f>IF(L255="","",IF(SUMPRODUCT(--(L$10:L255=L255))=1,SUMPRODUCT(--(L$10:L$609&lt;L255))+1,""))</f>
        <v/>
      </c>
      <c r="N255" t="str">
        <f>IFERROR(INDEX(tblY10[Class],ROWS(N$10:N255))&amp;"","")</f>
        <v/>
      </c>
      <c r="O255" t="str">
        <f>IF(N255="","",IF(SUMPRODUCT(--(N$10:N255=N255))=1,SUMPRODUCT(--(N$10:N$609&lt;N255))+1,""))</f>
        <v/>
      </c>
      <c r="P255" t="str">
        <f>IFERROR(INDEX(tblY11[Class],ROWS(P$10:P255))&amp;"","")</f>
        <v/>
      </c>
      <c r="Q255" t="str">
        <f>IF(P255="","",IF(SUMPRODUCT(--(P$10:P255=P255))=1,SUMPRODUCT(--(P$10:P$609&lt;P255))+1,""))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IFERROR(INDEX(tblY7[Class],ROWS(H$10:H256))&amp;"","")</f>
        <v/>
      </c>
      <c r="I256" t="str">
        <f>IF(H256="","",IF(SUMPRODUCT(--(H$10:H256=H256))=1,SUMPRODUCT(--(H$10:H$609&lt;H256))+1,""))</f>
        <v/>
      </c>
      <c r="J256" t="str">
        <f>IFERROR(INDEX(tblY8[Class],ROWS(J$10:J256))&amp;"","")</f>
        <v/>
      </c>
      <c r="K256" t="str">
        <f>IF(J256="","",IF(SUMPRODUCT(--(J$10:J256=J256))=1,SUMPRODUCT(--(J$10:J$609&lt;J256))+1,""))</f>
        <v/>
      </c>
      <c r="L256" t="str">
        <f>IFERROR(INDEX(tblY9[Class],ROWS(L$10:L256))&amp;"","")</f>
        <v/>
      </c>
      <c r="M256" t="str">
        <f>IF(L256="","",IF(SUMPRODUCT(--(L$10:L256=L256))=1,SUMPRODUCT(--(L$10:L$609&lt;L256))+1,""))</f>
        <v/>
      </c>
      <c r="N256" t="str">
        <f>IFERROR(INDEX(tblY10[Class],ROWS(N$10:N256))&amp;"","")</f>
        <v/>
      </c>
      <c r="O256" t="str">
        <f>IF(N256="","",IF(SUMPRODUCT(--(N$10:N256=N256))=1,SUMPRODUCT(--(N$10:N$609&lt;N256))+1,""))</f>
        <v/>
      </c>
      <c r="P256" t="str">
        <f>IFERROR(INDEX(tblY11[Class],ROWS(P$10:P256))&amp;"","")</f>
        <v/>
      </c>
      <c r="Q256" t="str">
        <f>IF(P256="","",IF(SUMPRODUCT(--(P$10:P256=P256))=1,SUMPRODUCT(--(P$10:P$609&lt;P256))+1,""))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IFERROR(INDEX(tblY7[Class],ROWS(H$10:H257))&amp;"","")</f>
        <v/>
      </c>
      <c r="I257" t="str">
        <f>IF(H257="","",IF(SUMPRODUCT(--(H$10:H257=H257))=1,SUMPRODUCT(--(H$10:H$609&lt;H257))+1,""))</f>
        <v/>
      </c>
      <c r="J257" t="str">
        <f>IFERROR(INDEX(tblY8[Class],ROWS(J$10:J257))&amp;"","")</f>
        <v/>
      </c>
      <c r="K257" t="str">
        <f>IF(J257="","",IF(SUMPRODUCT(--(J$10:J257=J257))=1,SUMPRODUCT(--(J$10:J$609&lt;J257))+1,""))</f>
        <v/>
      </c>
      <c r="L257" t="str">
        <f>IFERROR(INDEX(tblY9[Class],ROWS(L$10:L257))&amp;"","")</f>
        <v/>
      </c>
      <c r="M257" t="str">
        <f>IF(L257="","",IF(SUMPRODUCT(--(L$10:L257=L257))=1,SUMPRODUCT(--(L$10:L$609&lt;L257))+1,""))</f>
        <v/>
      </c>
      <c r="N257" t="str">
        <f>IFERROR(INDEX(tblY10[Class],ROWS(N$10:N257))&amp;"","")</f>
        <v/>
      </c>
      <c r="O257" t="str">
        <f>IF(N257="","",IF(SUMPRODUCT(--(N$10:N257=N257))=1,SUMPRODUCT(--(N$10:N$609&lt;N257))+1,""))</f>
        <v/>
      </c>
      <c r="P257" t="str">
        <f>IFERROR(INDEX(tblY11[Class],ROWS(P$10:P257))&amp;"","")</f>
        <v/>
      </c>
      <c r="Q257" t="str">
        <f>IF(P257="","",IF(SUMPRODUCT(--(P$10:P257=P257))=1,SUMPRODUCT(--(P$10:P$609&lt;P257))+1,""))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IFERROR(INDEX(tblY7[Class],ROWS(H$10:H258))&amp;"","")</f>
        <v/>
      </c>
      <c r="I258" t="str">
        <f>IF(H258="","",IF(SUMPRODUCT(--(H$10:H258=H258))=1,SUMPRODUCT(--(H$10:H$609&lt;H258))+1,""))</f>
        <v/>
      </c>
      <c r="J258" t="str">
        <f>IFERROR(INDEX(tblY8[Class],ROWS(J$10:J258))&amp;"","")</f>
        <v/>
      </c>
      <c r="K258" t="str">
        <f>IF(J258="","",IF(SUMPRODUCT(--(J$10:J258=J258))=1,SUMPRODUCT(--(J$10:J$609&lt;J258))+1,""))</f>
        <v/>
      </c>
      <c r="L258" t="str">
        <f>IFERROR(INDEX(tblY9[Class],ROWS(L$10:L258))&amp;"","")</f>
        <v/>
      </c>
      <c r="M258" t="str">
        <f>IF(L258="","",IF(SUMPRODUCT(--(L$10:L258=L258))=1,SUMPRODUCT(--(L$10:L$609&lt;L258))+1,""))</f>
        <v/>
      </c>
      <c r="N258" t="str">
        <f>IFERROR(INDEX(tblY10[Class],ROWS(N$10:N258))&amp;"","")</f>
        <v/>
      </c>
      <c r="O258" t="str">
        <f>IF(N258="","",IF(SUMPRODUCT(--(N$10:N258=N258))=1,SUMPRODUCT(--(N$10:N$609&lt;N258))+1,""))</f>
        <v/>
      </c>
      <c r="P258" t="str">
        <f>IFERROR(INDEX(tblY11[Class],ROWS(P$10:P258))&amp;"","")</f>
        <v/>
      </c>
      <c r="Q258" t="str">
        <f>IF(P258="","",IF(SUMPRODUCT(--(P$10:P258=P258))=1,SUMPRODUCT(--(P$10:P$609&lt;P258))+1,""))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IFERROR(INDEX(tblY7[Class],ROWS(H$10:H259))&amp;"","")</f>
        <v/>
      </c>
      <c r="I259" t="str">
        <f>IF(H259="","",IF(SUMPRODUCT(--(H$10:H259=H259))=1,SUMPRODUCT(--(H$10:H$609&lt;H259))+1,""))</f>
        <v/>
      </c>
      <c r="J259" t="str">
        <f>IFERROR(INDEX(tblY8[Class],ROWS(J$10:J259))&amp;"","")</f>
        <v/>
      </c>
      <c r="K259" t="str">
        <f>IF(J259="","",IF(SUMPRODUCT(--(J$10:J259=J259))=1,SUMPRODUCT(--(J$10:J$609&lt;J259))+1,""))</f>
        <v/>
      </c>
      <c r="L259" t="str">
        <f>IFERROR(INDEX(tblY9[Class],ROWS(L$10:L259))&amp;"","")</f>
        <v/>
      </c>
      <c r="M259" t="str">
        <f>IF(L259="","",IF(SUMPRODUCT(--(L$10:L259=L259))=1,SUMPRODUCT(--(L$10:L$609&lt;L259))+1,""))</f>
        <v/>
      </c>
      <c r="N259" t="str">
        <f>IFERROR(INDEX(tblY10[Class],ROWS(N$10:N259))&amp;"","")</f>
        <v/>
      </c>
      <c r="O259" t="str">
        <f>IF(N259="","",IF(SUMPRODUCT(--(N$10:N259=N259))=1,SUMPRODUCT(--(N$10:N$609&lt;N259))+1,""))</f>
        <v/>
      </c>
      <c r="P259" t="str">
        <f>IFERROR(INDEX(tblY11[Class],ROWS(P$10:P259))&amp;"","")</f>
        <v/>
      </c>
      <c r="Q259" t="str">
        <f>IF(P259="","",IF(SUMPRODUCT(--(P$10:P259=P259))=1,SUMPRODUCT(--(P$10:P$609&lt;P259))+1,""))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IFERROR(INDEX(tblY7[Class],ROWS(H$10:H260))&amp;"","")</f>
        <v/>
      </c>
      <c r="I260" t="str">
        <f>IF(H260="","",IF(SUMPRODUCT(--(H$10:H260=H260))=1,SUMPRODUCT(--(H$10:H$609&lt;H260))+1,""))</f>
        <v/>
      </c>
      <c r="J260" t="str">
        <f>IFERROR(INDEX(tblY8[Class],ROWS(J$10:J260))&amp;"","")</f>
        <v/>
      </c>
      <c r="K260" t="str">
        <f>IF(J260="","",IF(SUMPRODUCT(--(J$10:J260=J260))=1,SUMPRODUCT(--(J$10:J$609&lt;J260))+1,""))</f>
        <v/>
      </c>
      <c r="L260" t="str">
        <f>IFERROR(INDEX(tblY9[Class],ROWS(L$10:L260))&amp;"","")</f>
        <v/>
      </c>
      <c r="M260" t="str">
        <f>IF(L260="","",IF(SUMPRODUCT(--(L$10:L260=L260))=1,SUMPRODUCT(--(L$10:L$609&lt;L260))+1,""))</f>
        <v/>
      </c>
      <c r="N260" t="str">
        <f>IFERROR(INDEX(tblY10[Class],ROWS(N$10:N260))&amp;"","")</f>
        <v/>
      </c>
      <c r="O260" t="str">
        <f>IF(N260="","",IF(SUMPRODUCT(--(N$10:N260=N260))=1,SUMPRODUCT(--(N$10:N$609&lt;N260))+1,""))</f>
        <v/>
      </c>
      <c r="P260" t="str">
        <f>IFERROR(INDEX(tblY11[Class],ROWS(P$10:P260))&amp;"","")</f>
        <v/>
      </c>
      <c r="Q260" t="str">
        <f>IF(P260="","",IF(SUMPRODUCT(--(P$10:P260=P260))=1,SUMPRODUCT(--(P$10:P$609&lt;P260))+1,""))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IFERROR(INDEX(tblY7[Class],ROWS(H$10:H261))&amp;"","")</f>
        <v/>
      </c>
      <c r="I261" t="str">
        <f>IF(H261="","",IF(SUMPRODUCT(--(H$10:H261=H261))=1,SUMPRODUCT(--(H$10:H$609&lt;H261))+1,""))</f>
        <v/>
      </c>
      <c r="J261" t="str">
        <f>IFERROR(INDEX(tblY8[Class],ROWS(J$10:J261))&amp;"","")</f>
        <v/>
      </c>
      <c r="K261" t="str">
        <f>IF(J261="","",IF(SUMPRODUCT(--(J$10:J261=J261))=1,SUMPRODUCT(--(J$10:J$609&lt;J261))+1,""))</f>
        <v/>
      </c>
      <c r="L261" t="str">
        <f>IFERROR(INDEX(tblY9[Class],ROWS(L$10:L261))&amp;"","")</f>
        <v/>
      </c>
      <c r="M261" t="str">
        <f>IF(L261="","",IF(SUMPRODUCT(--(L$10:L261=L261))=1,SUMPRODUCT(--(L$10:L$609&lt;L261))+1,""))</f>
        <v/>
      </c>
      <c r="N261" t="str">
        <f>IFERROR(INDEX(tblY10[Class],ROWS(N$10:N261))&amp;"","")</f>
        <v/>
      </c>
      <c r="O261" t="str">
        <f>IF(N261="","",IF(SUMPRODUCT(--(N$10:N261=N261))=1,SUMPRODUCT(--(N$10:N$609&lt;N261))+1,""))</f>
        <v/>
      </c>
      <c r="P261" t="str">
        <f>IFERROR(INDEX(tblY11[Class],ROWS(P$10:P261))&amp;"","")</f>
        <v/>
      </c>
      <c r="Q261" t="str">
        <f>IF(P261="","",IF(SUMPRODUCT(--(P$10:P261=P261))=1,SUMPRODUCT(--(P$10:P$609&lt;P261))+1,""))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IFERROR(INDEX(tblY7[Class],ROWS(H$10:H262))&amp;"","")</f>
        <v/>
      </c>
      <c r="I262" t="str">
        <f>IF(H262="","",IF(SUMPRODUCT(--(H$10:H262=H262))=1,SUMPRODUCT(--(H$10:H$609&lt;H262))+1,""))</f>
        <v/>
      </c>
      <c r="J262" t="str">
        <f>IFERROR(INDEX(tblY8[Class],ROWS(J$10:J262))&amp;"","")</f>
        <v/>
      </c>
      <c r="K262" t="str">
        <f>IF(J262="","",IF(SUMPRODUCT(--(J$10:J262=J262))=1,SUMPRODUCT(--(J$10:J$609&lt;J262))+1,""))</f>
        <v/>
      </c>
      <c r="L262" t="str">
        <f>IFERROR(INDEX(tblY9[Class],ROWS(L$10:L262))&amp;"","")</f>
        <v/>
      </c>
      <c r="M262" t="str">
        <f>IF(L262="","",IF(SUMPRODUCT(--(L$10:L262=L262))=1,SUMPRODUCT(--(L$10:L$609&lt;L262))+1,""))</f>
        <v/>
      </c>
      <c r="N262" t="str">
        <f>IFERROR(INDEX(tblY10[Class],ROWS(N$10:N262))&amp;"","")</f>
        <v/>
      </c>
      <c r="O262" t="str">
        <f>IF(N262="","",IF(SUMPRODUCT(--(N$10:N262=N262))=1,SUMPRODUCT(--(N$10:N$609&lt;N262))+1,""))</f>
        <v/>
      </c>
      <c r="P262" t="str">
        <f>IFERROR(INDEX(tblY11[Class],ROWS(P$10:P262))&amp;"","")</f>
        <v/>
      </c>
      <c r="Q262" t="str">
        <f>IF(P262="","",IF(SUMPRODUCT(--(P$10:P262=P262))=1,SUMPRODUCT(--(P$10:P$609&lt;P262))+1,""))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IFERROR(INDEX(tblY7[Class],ROWS(H$10:H263))&amp;"","")</f>
        <v/>
      </c>
      <c r="I263" t="str">
        <f>IF(H263="","",IF(SUMPRODUCT(--(H$10:H263=H263))=1,SUMPRODUCT(--(H$10:H$609&lt;H263))+1,""))</f>
        <v/>
      </c>
      <c r="J263" t="str">
        <f>IFERROR(INDEX(tblY8[Class],ROWS(J$10:J263))&amp;"","")</f>
        <v/>
      </c>
      <c r="K263" t="str">
        <f>IF(J263="","",IF(SUMPRODUCT(--(J$10:J263=J263))=1,SUMPRODUCT(--(J$10:J$609&lt;J263))+1,""))</f>
        <v/>
      </c>
      <c r="L263" t="str">
        <f>IFERROR(INDEX(tblY9[Class],ROWS(L$10:L263))&amp;"","")</f>
        <v/>
      </c>
      <c r="M263" t="str">
        <f>IF(L263="","",IF(SUMPRODUCT(--(L$10:L263=L263))=1,SUMPRODUCT(--(L$10:L$609&lt;L263))+1,""))</f>
        <v/>
      </c>
      <c r="N263" t="str">
        <f>IFERROR(INDEX(tblY10[Class],ROWS(N$10:N263))&amp;"","")</f>
        <v/>
      </c>
      <c r="O263" t="str">
        <f>IF(N263="","",IF(SUMPRODUCT(--(N$10:N263=N263))=1,SUMPRODUCT(--(N$10:N$609&lt;N263))+1,""))</f>
        <v/>
      </c>
      <c r="P263" t="str">
        <f>IFERROR(INDEX(tblY11[Class],ROWS(P$10:P263))&amp;"","")</f>
        <v/>
      </c>
      <c r="Q263" t="str">
        <f>IF(P263="","",IF(SUMPRODUCT(--(P$10:P263=P263))=1,SUMPRODUCT(--(P$10:P$609&lt;P263))+1,""))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IFERROR(INDEX(tblY7[Class],ROWS(H$10:H264))&amp;"","")</f>
        <v/>
      </c>
      <c r="I264" t="str">
        <f>IF(H264="","",IF(SUMPRODUCT(--(H$10:H264=H264))=1,SUMPRODUCT(--(H$10:H$609&lt;H264))+1,""))</f>
        <v/>
      </c>
      <c r="J264" t="str">
        <f>IFERROR(INDEX(tblY8[Class],ROWS(J$10:J264))&amp;"","")</f>
        <v/>
      </c>
      <c r="K264" t="str">
        <f>IF(J264="","",IF(SUMPRODUCT(--(J$10:J264=J264))=1,SUMPRODUCT(--(J$10:J$609&lt;J264))+1,""))</f>
        <v/>
      </c>
      <c r="L264" t="str">
        <f>IFERROR(INDEX(tblY9[Class],ROWS(L$10:L264))&amp;"","")</f>
        <v/>
      </c>
      <c r="M264" t="str">
        <f>IF(L264="","",IF(SUMPRODUCT(--(L$10:L264=L264))=1,SUMPRODUCT(--(L$10:L$609&lt;L264))+1,""))</f>
        <v/>
      </c>
      <c r="N264" t="str">
        <f>IFERROR(INDEX(tblY10[Class],ROWS(N$10:N264))&amp;"","")</f>
        <v/>
      </c>
      <c r="O264" t="str">
        <f>IF(N264="","",IF(SUMPRODUCT(--(N$10:N264=N264))=1,SUMPRODUCT(--(N$10:N$609&lt;N264))+1,""))</f>
        <v/>
      </c>
      <c r="P264" t="str">
        <f>IFERROR(INDEX(tblY11[Class],ROWS(P$10:P264))&amp;"","")</f>
        <v/>
      </c>
      <c r="Q264" t="str">
        <f>IF(P264="","",IF(SUMPRODUCT(--(P$10:P264=P264))=1,SUMPRODUCT(--(P$10:P$609&lt;P264))+1,""))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IFERROR(INDEX(tblY7[Class],ROWS(H$10:H265))&amp;"","")</f>
        <v/>
      </c>
      <c r="I265" t="str">
        <f>IF(H265="","",IF(SUMPRODUCT(--(H$10:H265=H265))=1,SUMPRODUCT(--(H$10:H$609&lt;H265))+1,""))</f>
        <v/>
      </c>
      <c r="J265" t="str">
        <f>IFERROR(INDEX(tblY8[Class],ROWS(J$10:J265))&amp;"","")</f>
        <v/>
      </c>
      <c r="K265" t="str">
        <f>IF(J265="","",IF(SUMPRODUCT(--(J$10:J265=J265))=1,SUMPRODUCT(--(J$10:J$609&lt;J265))+1,""))</f>
        <v/>
      </c>
      <c r="L265" t="str">
        <f>IFERROR(INDEX(tblY9[Class],ROWS(L$10:L265))&amp;"","")</f>
        <v/>
      </c>
      <c r="M265" t="str">
        <f>IF(L265="","",IF(SUMPRODUCT(--(L$10:L265=L265))=1,SUMPRODUCT(--(L$10:L$609&lt;L265))+1,""))</f>
        <v/>
      </c>
      <c r="N265" t="str">
        <f>IFERROR(INDEX(tblY10[Class],ROWS(N$10:N265))&amp;"","")</f>
        <v/>
      </c>
      <c r="O265" t="str">
        <f>IF(N265="","",IF(SUMPRODUCT(--(N$10:N265=N265))=1,SUMPRODUCT(--(N$10:N$609&lt;N265))+1,""))</f>
        <v/>
      </c>
      <c r="P265" t="str">
        <f>IFERROR(INDEX(tblY11[Class],ROWS(P$10:P265))&amp;"","")</f>
        <v/>
      </c>
      <c r="Q265" t="str">
        <f>IF(P265="","",IF(SUMPRODUCT(--(P$10:P265=P265))=1,SUMPRODUCT(--(P$10:P$609&lt;P265))+1,""))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IFERROR(INDEX(tblY7[Class],ROWS(H$10:H266))&amp;"","")</f>
        <v/>
      </c>
      <c r="I266" t="str">
        <f>IF(H266="","",IF(SUMPRODUCT(--(H$10:H266=H266))=1,SUMPRODUCT(--(H$10:H$609&lt;H266))+1,""))</f>
        <v/>
      </c>
      <c r="J266" t="str">
        <f>IFERROR(INDEX(tblY8[Class],ROWS(J$10:J266))&amp;"","")</f>
        <v/>
      </c>
      <c r="K266" t="str">
        <f>IF(J266="","",IF(SUMPRODUCT(--(J$10:J266=J266))=1,SUMPRODUCT(--(J$10:J$609&lt;J266))+1,""))</f>
        <v/>
      </c>
      <c r="L266" t="str">
        <f>IFERROR(INDEX(tblY9[Class],ROWS(L$10:L266))&amp;"","")</f>
        <v/>
      </c>
      <c r="M266" t="str">
        <f>IF(L266="","",IF(SUMPRODUCT(--(L$10:L266=L266))=1,SUMPRODUCT(--(L$10:L$609&lt;L266))+1,""))</f>
        <v/>
      </c>
      <c r="N266" t="str">
        <f>IFERROR(INDEX(tblY10[Class],ROWS(N$10:N266))&amp;"","")</f>
        <v/>
      </c>
      <c r="O266" t="str">
        <f>IF(N266="","",IF(SUMPRODUCT(--(N$10:N266=N266))=1,SUMPRODUCT(--(N$10:N$609&lt;N266))+1,""))</f>
        <v/>
      </c>
      <c r="P266" t="str">
        <f>IFERROR(INDEX(tblY11[Class],ROWS(P$10:P266))&amp;"","")</f>
        <v/>
      </c>
      <c r="Q266" t="str">
        <f>IF(P266="","",IF(SUMPRODUCT(--(P$10:P266=P266))=1,SUMPRODUCT(--(P$10:P$609&lt;P266))+1,""))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IFERROR(INDEX(tblY7[Class],ROWS(H$10:H267))&amp;"","")</f>
        <v/>
      </c>
      <c r="I267" t="str">
        <f>IF(H267="","",IF(SUMPRODUCT(--(H$10:H267=H267))=1,SUMPRODUCT(--(H$10:H$609&lt;H267))+1,""))</f>
        <v/>
      </c>
      <c r="J267" t="str">
        <f>IFERROR(INDEX(tblY8[Class],ROWS(J$10:J267))&amp;"","")</f>
        <v/>
      </c>
      <c r="K267" t="str">
        <f>IF(J267="","",IF(SUMPRODUCT(--(J$10:J267=J267))=1,SUMPRODUCT(--(J$10:J$609&lt;J267))+1,""))</f>
        <v/>
      </c>
      <c r="L267" t="str">
        <f>IFERROR(INDEX(tblY9[Class],ROWS(L$10:L267))&amp;"","")</f>
        <v/>
      </c>
      <c r="M267" t="str">
        <f>IF(L267="","",IF(SUMPRODUCT(--(L$10:L267=L267))=1,SUMPRODUCT(--(L$10:L$609&lt;L267))+1,""))</f>
        <v/>
      </c>
      <c r="N267" t="str">
        <f>IFERROR(INDEX(tblY10[Class],ROWS(N$10:N267))&amp;"","")</f>
        <v/>
      </c>
      <c r="O267" t="str">
        <f>IF(N267="","",IF(SUMPRODUCT(--(N$10:N267=N267))=1,SUMPRODUCT(--(N$10:N$609&lt;N267))+1,""))</f>
        <v/>
      </c>
      <c r="P267" t="str">
        <f>IFERROR(INDEX(tblY11[Class],ROWS(P$10:P267))&amp;"","")</f>
        <v/>
      </c>
      <c r="Q267" t="str">
        <f>IF(P267="","",IF(SUMPRODUCT(--(P$10:P267=P267))=1,SUMPRODUCT(--(P$10:P$609&lt;P267))+1,""))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IFERROR(INDEX(tblY7[Class],ROWS(H$10:H268))&amp;"","")</f>
        <v/>
      </c>
      <c r="I268" t="str">
        <f>IF(H268="","",IF(SUMPRODUCT(--(H$10:H268=H268))=1,SUMPRODUCT(--(H$10:H$609&lt;H268))+1,""))</f>
        <v/>
      </c>
      <c r="J268" t="str">
        <f>IFERROR(INDEX(tblY8[Class],ROWS(J$10:J268))&amp;"","")</f>
        <v/>
      </c>
      <c r="K268" t="str">
        <f>IF(J268="","",IF(SUMPRODUCT(--(J$10:J268=J268))=1,SUMPRODUCT(--(J$10:J$609&lt;J268))+1,""))</f>
        <v/>
      </c>
      <c r="L268" t="str">
        <f>IFERROR(INDEX(tblY9[Class],ROWS(L$10:L268))&amp;"","")</f>
        <v/>
      </c>
      <c r="M268" t="str">
        <f>IF(L268="","",IF(SUMPRODUCT(--(L$10:L268=L268))=1,SUMPRODUCT(--(L$10:L$609&lt;L268))+1,""))</f>
        <v/>
      </c>
      <c r="N268" t="str">
        <f>IFERROR(INDEX(tblY10[Class],ROWS(N$10:N268))&amp;"","")</f>
        <v/>
      </c>
      <c r="O268" t="str">
        <f>IF(N268="","",IF(SUMPRODUCT(--(N$10:N268=N268))=1,SUMPRODUCT(--(N$10:N$609&lt;N268))+1,""))</f>
        <v/>
      </c>
      <c r="P268" t="str">
        <f>IFERROR(INDEX(tblY11[Class],ROWS(P$10:P268))&amp;"","")</f>
        <v/>
      </c>
      <c r="Q268" t="str">
        <f>IF(P268="","",IF(SUMPRODUCT(--(P$10:P268=P268))=1,SUMPRODUCT(--(P$10:P$609&lt;P268))+1,""))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IFERROR(INDEX(tblY7[Class],ROWS(H$10:H269))&amp;"","")</f>
        <v/>
      </c>
      <c r="I269" t="str">
        <f>IF(H269="","",IF(SUMPRODUCT(--(H$10:H269=H269))=1,SUMPRODUCT(--(H$10:H$609&lt;H269))+1,""))</f>
        <v/>
      </c>
      <c r="J269" t="str">
        <f>IFERROR(INDEX(tblY8[Class],ROWS(J$10:J269))&amp;"","")</f>
        <v/>
      </c>
      <c r="K269" t="str">
        <f>IF(J269="","",IF(SUMPRODUCT(--(J$10:J269=J269))=1,SUMPRODUCT(--(J$10:J$609&lt;J269))+1,""))</f>
        <v/>
      </c>
      <c r="L269" t="str">
        <f>IFERROR(INDEX(tblY9[Class],ROWS(L$10:L269))&amp;"","")</f>
        <v/>
      </c>
      <c r="M269" t="str">
        <f>IF(L269="","",IF(SUMPRODUCT(--(L$10:L269=L269))=1,SUMPRODUCT(--(L$10:L$609&lt;L269))+1,""))</f>
        <v/>
      </c>
      <c r="N269" t="str">
        <f>IFERROR(INDEX(tblY10[Class],ROWS(N$10:N269))&amp;"","")</f>
        <v/>
      </c>
      <c r="O269" t="str">
        <f>IF(N269="","",IF(SUMPRODUCT(--(N$10:N269=N269))=1,SUMPRODUCT(--(N$10:N$609&lt;N269))+1,""))</f>
        <v/>
      </c>
      <c r="P269" t="str">
        <f>IFERROR(INDEX(tblY11[Class],ROWS(P$10:P269))&amp;"","")</f>
        <v/>
      </c>
      <c r="Q269" t="str">
        <f>IF(P269="","",IF(SUMPRODUCT(--(P$10:P269=P269))=1,SUMPRODUCT(--(P$10:P$609&lt;P269))+1,""))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IFERROR(INDEX(tblY7[Class],ROWS(H$10:H270))&amp;"","")</f>
        <v/>
      </c>
      <c r="I270" t="str">
        <f>IF(H270="","",IF(SUMPRODUCT(--(H$10:H270=H270))=1,SUMPRODUCT(--(H$10:H$609&lt;H270))+1,""))</f>
        <v/>
      </c>
      <c r="J270" t="str">
        <f>IFERROR(INDEX(tblY8[Class],ROWS(J$10:J270))&amp;"","")</f>
        <v/>
      </c>
      <c r="K270" t="str">
        <f>IF(J270="","",IF(SUMPRODUCT(--(J$10:J270=J270))=1,SUMPRODUCT(--(J$10:J$609&lt;J270))+1,""))</f>
        <v/>
      </c>
      <c r="L270" t="str">
        <f>IFERROR(INDEX(tblY9[Class],ROWS(L$10:L270))&amp;"","")</f>
        <v/>
      </c>
      <c r="M270" t="str">
        <f>IF(L270="","",IF(SUMPRODUCT(--(L$10:L270=L270))=1,SUMPRODUCT(--(L$10:L$609&lt;L270))+1,""))</f>
        <v/>
      </c>
      <c r="N270" t="str">
        <f>IFERROR(INDEX(tblY10[Class],ROWS(N$10:N270))&amp;"","")</f>
        <v/>
      </c>
      <c r="O270" t="str">
        <f>IF(N270="","",IF(SUMPRODUCT(--(N$10:N270=N270))=1,SUMPRODUCT(--(N$10:N$609&lt;N270))+1,""))</f>
        <v/>
      </c>
      <c r="P270" t="str">
        <f>IFERROR(INDEX(tblY11[Class],ROWS(P$10:P270))&amp;"","")</f>
        <v/>
      </c>
      <c r="Q270" t="str">
        <f>IF(P270="","",IF(SUMPRODUCT(--(P$10:P270=P270))=1,SUMPRODUCT(--(P$10:P$609&lt;P270))+1,""))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IFERROR(INDEX(tblY7[Class],ROWS(H$10:H271))&amp;"","")</f>
        <v/>
      </c>
      <c r="I271" t="str">
        <f>IF(H271="","",IF(SUMPRODUCT(--(H$10:H271=H271))=1,SUMPRODUCT(--(H$10:H$609&lt;H271))+1,""))</f>
        <v/>
      </c>
      <c r="J271" t="str">
        <f>IFERROR(INDEX(tblY8[Class],ROWS(J$10:J271))&amp;"","")</f>
        <v/>
      </c>
      <c r="K271" t="str">
        <f>IF(J271="","",IF(SUMPRODUCT(--(J$10:J271=J271))=1,SUMPRODUCT(--(J$10:J$609&lt;J271))+1,""))</f>
        <v/>
      </c>
      <c r="L271" t="str">
        <f>IFERROR(INDEX(tblY9[Class],ROWS(L$10:L271))&amp;"","")</f>
        <v/>
      </c>
      <c r="M271" t="str">
        <f>IF(L271="","",IF(SUMPRODUCT(--(L$10:L271=L271))=1,SUMPRODUCT(--(L$10:L$609&lt;L271))+1,""))</f>
        <v/>
      </c>
      <c r="N271" t="str">
        <f>IFERROR(INDEX(tblY10[Class],ROWS(N$10:N271))&amp;"","")</f>
        <v/>
      </c>
      <c r="O271" t="str">
        <f>IF(N271="","",IF(SUMPRODUCT(--(N$10:N271=N271))=1,SUMPRODUCT(--(N$10:N$609&lt;N271))+1,""))</f>
        <v/>
      </c>
      <c r="P271" t="str">
        <f>IFERROR(INDEX(tblY11[Class],ROWS(P$10:P271))&amp;"","")</f>
        <v/>
      </c>
      <c r="Q271" t="str">
        <f>IF(P271="","",IF(SUMPRODUCT(--(P$10:P271=P271))=1,SUMPRODUCT(--(P$10:P$609&lt;P271))+1,""))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IFERROR(INDEX(tblY7[Class],ROWS(H$10:H272))&amp;"","")</f>
        <v/>
      </c>
      <c r="I272" t="str">
        <f>IF(H272="","",IF(SUMPRODUCT(--(H$10:H272=H272))=1,SUMPRODUCT(--(H$10:H$609&lt;H272))+1,""))</f>
        <v/>
      </c>
      <c r="J272" t="str">
        <f>IFERROR(INDEX(tblY8[Class],ROWS(J$10:J272))&amp;"","")</f>
        <v/>
      </c>
      <c r="K272" t="str">
        <f>IF(J272="","",IF(SUMPRODUCT(--(J$10:J272=J272))=1,SUMPRODUCT(--(J$10:J$609&lt;J272))+1,""))</f>
        <v/>
      </c>
      <c r="L272" t="str">
        <f>IFERROR(INDEX(tblY9[Class],ROWS(L$10:L272))&amp;"","")</f>
        <v/>
      </c>
      <c r="M272" t="str">
        <f>IF(L272="","",IF(SUMPRODUCT(--(L$10:L272=L272))=1,SUMPRODUCT(--(L$10:L$609&lt;L272))+1,""))</f>
        <v/>
      </c>
      <c r="N272" t="str">
        <f>IFERROR(INDEX(tblY10[Class],ROWS(N$10:N272))&amp;"","")</f>
        <v/>
      </c>
      <c r="O272" t="str">
        <f>IF(N272="","",IF(SUMPRODUCT(--(N$10:N272=N272))=1,SUMPRODUCT(--(N$10:N$609&lt;N272))+1,""))</f>
        <v/>
      </c>
      <c r="P272" t="str">
        <f>IFERROR(INDEX(tblY11[Class],ROWS(P$10:P272))&amp;"","")</f>
        <v/>
      </c>
      <c r="Q272" t="str">
        <f>IF(P272="","",IF(SUMPRODUCT(--(P$10:P272=P272))=1,SUMPRODUCT(--(P$10:P$609&lt;P272))+1,""))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IFERROR(INDEX(tblY7[Class],ROWS(H$10:H273))&amp;"","")</f>
        <v/>
      </c>
      <c r="I273" t="str">
        <f>IF(H273="","",IF(SUMPRODUCT(--(H$10:H273=H273))=1,SUMPRODUCT(--(H$10:H$609&lt;H273))+1,""))</f>
        <v/>
      </c>
      <c r="J273" t="str">
        <f>IFERROR(INDEX(tblY8[Class],ROWS(J$10:J273))&amp;"","")</f>
        <v/>
      </c>
      <c r="K273" t="str">
        <f>IF(J273="","",IF(SUMPRODUCT(--(J$10:J273=J273))=1,SUMPRODUCT(--(J$10:J$609&lt;J273))+1,""))</f>
        <v/>
      </c>
      <c r="L273" t="str">
        <f>IFERROR(INDEX(tblY9[Class],ROWS(L$10:L273))&amp;"","")</f>
        <v/>
      </c>
      <c r="M273" t="str">
        <f>IF(L273="","",IF(SUMPRODUCT(--(L$10:L273=L273))=1,SUMPRODUCT(--(L$10:L$609&lt;L273))+1,""))</f>
        <v/>
      </c>
      <c r="N273" t="str">
        <f>IFERROR(INDEX(tblY10[Class],ROWS(N$10:N273))&amp;"","")</f>
        <v/>
      </c>
      <c r="O273" t="str">
        <f>IF(N273="","",IF(SUMPRODUCT(--(N$10:N273=N273))=1,SUMPRODUCT(--(N$10:N$609&lt;N273))+1,""))</f>
        <v/>
      </c>
      <c r="P273" t="str">
        <f>IFERROR(INDEX(tblY11[Class],ROWS(P$10:P273))&amp;"","")</f>
        <v/>
      </c>
      <c r="Q273" t="str">
        <f>IF(P273="","",IF(SUMPRODUCT(--(P$10:P273=P273))=1,SUMPRODUCT(--(P$10:P$609&lt;P273))+1,""))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IFERROR(INDEX(tblY7[Class],ROWS(H$10:H274))&amp;"","")</f>
        <v/>
      </c>
      <c r="I274" t="str">
        <f>IF(H274="","",IF(SUMPRODUCT(--(H$10:H274=H274))=1,SUMPRODUCT(--(H$10:H$609&lt;H274))+1,""))</f>
        <v/>
      </c>
      <c r="J274" t="str">
        <f>IFERROR(INDEX(tblY8[Class],ROWS(J$10:J274))&amp;"","")</f>
        <v/>
      </c>
      <c r="K274" t="str">
        <f>IF(J274="","",IF(SUMPRODUCT(--(J$10:J274=J274))=1,SUMPRODUCT(--(J$10:J$609&lt;J274))+1,""))</f>
        <v/>
      </c>
      <c r="L274" t="str">
        <f>IFERROR(INDEX(tblY9[Class],ROWS(L$10:L274))&amp;"","")</f>
        <v/>
      </c>
      <c r="M274" t="str">
        <f>IF(L274="","",IF(SUMPRODUCT(--(L$10:L274=L274))=1,SUMPRODUCT(--(L$10:L$609&lt;L274))+1,""))</f>
        <v/>
      </c>
      <c r="N274" t="str">
        <f>IFERROR(INDEX(tblY10[Class],ROWS(N$10:N274))&amp;"","")</f>
        <v/>
      </c>
      <c r="O274" t="str">
        <f>IF(N274="","",IF(SUMPRODUCT(--(N$10:N274=N274))=1,SUMPRODUCT(--(N$10:N$609&lt;N274))+1,""))</f>
        <v/>
      </c>
      <c r="P274" t="str">
        <f>IFERROR(INDEX(tblY11[Class],ROWS(P$10:P274))&amp;"","")</f>
        <v/>
      </c>
      <c r="Q274" t="str">
        <f>IF(P274="","",IF(SUMPRODUCT(--(P$10:P274=P274))=1,SUMPRODUCT(--(P$10:P$609&lt;P274))+1,""))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IFERROR(INDEX(tblY7[Class],ROWS(H$10:H275))&amp;"","")</f>
        <v/>
      </c>
      <c r="I275" t="str">
        <f>IF(H275="","",IF(SUMPRODUCT(--(H$10:H275=H275))=1,SUMPRODUCT(--(H$10:H$609&lt;H275))+1,""))</f>
        <v/>
      </c>
      <c r="J275" t="str">
        <f>IFERROR(INDEX(tblY8[Class],ROWS(J$10:J275))&amp;"","")</f>
        <v/>
      </c>
      <c r="K275" t="str">
        <f>IF(J275="","",IF(SUMPRODUCT(--(J$10:J275=J275))=1,SUMPRODUCT(--(J$10:J$609&lt;J275))+1,""))</f>
        <v/>
      </c>
      <c r="L275" t="str">
        <f>IFERROR(INDEX(tblY9[Class],ROWS(L$10:L275))&amp;"","")</f>
        <v/>
      </c>
      <c r="M275" t="str">
        <f>IF(L275="","",IF(SUMPRODUCT(--(L$10:L275=L275))=1,SUMPRODUCT(--(L$10:L$609&lt;L275))+1,""))</f>
        <v/>
      </c>
      <c r="N275" t="str">
        <f>IFERROR(INDEX(tblY10[Class],ROWS(N$10:N275))&amp;"","")</f>
        <v/>
      </c>
      <c r="O275" t="str">
        <f>IF(N275="","",IF(SUMPRODUCT(--(N$10:N275=N275))=1,SUMPRODUCT(--(N$10:N$609&lt;N275))+1,""))</f>
        <v/>
      </c>
      <c r="P275" t="str">
        <f>IFERROR(INDEX(tblY11[Class],ROWS(P$10:P275))&amp;"","")</f>
        <v/>
      </c>
      <c r="Q275" t="str">
        <f>IF(P275="","",IF(SUMPRODUCT(--(P$10:P275=P275))=1,SUMPRODUCT(--(P$10:P$609&lt;P275))+1,""))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IFERROR(INDEX(tblY7[Class],ROWS(H$10:H276))&amp;"","")</f>
        <v/>
      </c>
      <c r="I276" t="str">
        <f>IF(H276="","",IF(SUMPRODUCT(--(H$10:H276=H276))=1,SUMPRODUCT(--(H$10:H$609&lt;H276))+1,""))</f>
        <v/>
      </c>
      <c r="J276" t="str">
        <f>IFERROR(INDEX(tblY8[Class],ROWS(J$10:J276))&amp;"","")</f>
        <v/>
      </c>
      <c r="K276" t="str">
        <f>IF(J276="","",IF(SUMPRODUCT(--(J$10:J276=J276))=1,SUMPRODUCT(--(J$10:J$609&lt;J276))+1,""))</f>
        <v/>
      </c>
      <c r="L276" t="str">
        <f>IFERROR(INDEX(tblY9[Class],ROWS(L$10:L276))&amp;"","")</f>
        <v/>
      </c>
      <c r="M276" t="str">
        <f>IF(L276="","",IF(SUMPRODUCT(--(L$10:L276=L276))=1,SUMPRODUCT(--(L$10:L$609&lt;L276))+1,""))</f>
        <v/>
      </c>
      <c r="N276" t="str">
        <f>IFERROR(INDEX(tblY10[Class],ROWS(N$10:N276))&amp;"","")</f>
        <v/>
      </c>
      <c r="O276" t="str">
        <f>IF(N276="","",IF(SUMPRODUCT(--(N$10:N276=N276))=1,SUMPRODUCT(--(N$10:N$609&lt;N276))+1,""))</f>
        <v/>
      </c>
      <c r="P276" t="str">
        <f>IFERROR(INDEX(tblY11[Class],ROWS(P$10:P276))&amp;"","")</f>
        <v/>
      </c>
      <c r="Q276" t="str">
        <f>IF(P276="","",IF(SUMPRODUCT(--(P$10:P276=P276))=1,SUMPRODUCT(--(P$10:P$609&lt;P276))+1,""))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IFERROR(INDEX(tblY7[Class],ROWS(H$10:H277))&amp;"","")</f>
        <v/>
      </c>
      <c r="I277" t="str">
        <f>IF(H277="","",IF(SUMPRODUCT(--(H$10:H277=H277))=1,SUMPRODUCT(--(H$10:H$609&lt;H277))+1,""))</f>
        <v/>
      </c>
      <c r="J277" t="str">
        <f>IFERROR(INDEX(tblY8[Class],ROWS(J$10:J277))&amp;"","")</f>
        <v/>
      </c>
      <c r="K277" t="str">
        <f>IF(J277="","",IF(SUMPRODUCT(--(J$10:J277=J277))=1,SUMPRODUCT(--(J$10:J$609&lt;J277))+1,""))</f>
        <v/>
      </c>
      <c r="L277" t="str">
        <f>IFERROR(INDEX(tblY9[Class],ROWS(L$10:L277))&amp;"","")</f>
        <v/>
      </c>
      <c r="M277" t="str">
        <f>IF(L277="","",IF(SUMPRODUCT(--(L$10:L277=L277))=1,SUMPRODUCT(--(L$10:L$609&lt;L277))+1,""))</f>
        <v/>
      </c>
      <c r="N277" t="str">
        <f>IFERROR(INDEX(tblY10[Class],ROWS(N$10:N277))&amp;"","")</f>
        <v/>
      </c>
      <c r="O277" t="str">
        <f>IF(N277="","",IF(SUMPRODUCT(--(N$10:N277=N277))=1,SUMPRODUCT(--(N$10:N$609&lt;N277))+1,""))</f>
        <v/>
      </c>
      <c r="P277" t="str">
        <f>IFERROR(INDEX(tblY11[Class],ROWS(P$10:P277))&amp;"","")</f>
        <v/>
      </c>
      <c r="Q277" t="str">
        <f>IF(P277="","",IF(SUMPRODUCT(--(P$10:P277=P277))=1,SUMPRODUCT(--(P$10:P$609&lt;P277))+1,""))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IFERROR(INDEX(tblY7[Class],ROWS(H$10:H278))&amp;"","")</f>
        <v/>
      </c>
      <c r="I278" t="str">
        <f>IF(H278="","",IF(SUMPRODUCT(--(H$10:H278=H278))=1,SUMPRODUCT(--(H$10:H$609&lt;H278))+1,""))</f>
        <v/>
      </c>
      <c r="J278" t="str">
        <f>IFERROR(INDEX(tblY8[Class],ROWS(J$10:J278))&amp;"","")</f>
        <v/>
      </c>
      <c r="K278" t="str">
        <f>IF(J278="","",IF(SUMPRODUCT(--(J$10:J278=J278))=1,SUMPRODUCT(--(J$10:J$609&lt;J278))+1,""))</f>
        <v/>
      </c>
      <c r="L278" t="str">
        <f>IFERROR(INDEX(tblY9[Class],ROWS(L$10:L278))&amp;"","")</f>
        <v/>
      </c>
      <c r="M278" t="str">
        <f>IF(L278="","",IF(SUMPRODUCT(--(L$10:L278=L278))=1,SUMPRODUCT(--(L$10:L$609&lt;L278))+1,""))</f>
        <v/>
      </c>
      <c r="N278" t="str">
        <f>IFERROR(INDEX(tblY10[Class],ROWS(N$10:N278))&amp;"","")</f>
        <v/>
      </c>
      <c r="O278" t="str">
        <f>IF(N278="","",IF(SUMPRODUCT(--(N$10:N278=N278))=1,SUMPRODUCT(--(N$10:N$609&lt;N278))+1,""))</f>
        <v/>
      </c>
      <c r="P278" t="str">
        <f>IFERROR(INDEX(tblY11[Class],ROWS(P$10:P278))&amp;"","")</f>
        <v/>
      </c>
      <c r="Q278" t="str">
        <f>IF(P278="","",IF(SUMPRODUCT(--(P$10:P278=P278))=1,SUMPRODUCT(--(P$10:P$609&lt;P278))+1,""))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IFERROR(INDEX(tblY7[Class],ROWS(H$10:H279))&amp;"","")</f>
        <v/>
      </c>
      <c r="I279" t="str">
        <f>IF(H279="","",IF(SUMPRODUCT(--(H$10:H279=H279))=1,SUMPRODUCT(--(H$10:H$609&lt;H279))+1,""))</f>
        <v/>
      </c>
      <c r="J279" t="str">
        <f>IFERROR(INDEX(tblY8[Class],ROWS(J$10:J279))&amp;"","")</f>
        <v/>
      </c>
      <c r="K279" t="str">
        <f>IF(J279="","",IF(SUMPRODUCT(--(J$10:J279=J279))=1,SUMPRODUCT(--(J$10:J$609&lt;J279))+1,""))</f>
        <v/>
      </c>
      <c r="L279" t="str">
        <f>IFERROR(INDEX(tblY9[Class],ROWS(L$10:L279))&amp;"","")</f>
        <v/>
      </c>
      <c r="M279" t="str">
        <f>IF(L279="","",IF(SUMPRODUCT(--(L$10:L279=L279))=1,SUMPRODUCT(--(L$10:L$609&lt;L279))+1,""))</f>
        <v/>
      </c>
      <c r="N279" t="str">
        <f>IFERROR(INDEX(tblY10[Class],ROWS(N$10:N279))&amp;"","")</f>
        <v/>
      </c>
      <c r="O279" t="str">
        <f>IF(N279="","",IF(SUMPRODUCT(--(N$10:N279=N279))=1,SUMPRODUCT(--(N$10:N$609&lt;N279))+1,""))</f>
        <v/>
      </c>
      <c r="P279" t="str">
        <f>IFERROR(INDEX(tblY11[Class],ROWS(P$10:P279))&amp;"","")</f>
        <v/>
      </c>
      <c r="Q279" t="str">
        <f>IF(P279="","",IF(SUMPRODUCT(--(P$10:P279=P279))=1,SUMPRODUCT(--(P$10:P$609&lt;P279))+1,""))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IFERROR(INDEX(tblY7[Class],ROWS(H$10:H280))&amp;"","")</f>
        <v/>
      </c>
      <c r="I280" t="str">
        <f>IF(H280="","",IF(SUMPRODUCT(--(H$10:H280=H280))=1,SUMPRODUCT(--(H$10:H$609&lt;H280))+1,""))</f>
        <v/>
      </c>
      <c r="J280" t="str">
        <f>IFERROR(INDEX(tblY8[Class],ROWS(J$10:J280))&amp;"","")</f>
        <v/>
      </c>
      <c r="K280" t="str">
        <f>IF(J280="","",IF(SUMPRODUCT(--(J$10:J280=J280))=1,SUMPRODUCT(--(J$10:J$609&lt;J280))+1,""))</f>
        <v/>
      </c>
      <c r="L280" t="str">
        <f>IFERROR(INDEX(tblY9[Class],ROWS(L$10:L280))&amp;"","")</f>
        <v/>
      </c>
      <c r="M280" t="str">
        <f>IF(L280="","",IF(SUMPRODUCT(--(L$10:L280=L280))=1,SUMPRODUCT(--(L$10:L$609&lt;L280))+1,""))</f>
        <v/>
      </c>
      <c r="N280" t="str">
        <f>IFERROR(INDEX(tblY10[Class],ROWS(N$10:N280))&amp;"","")</f>
        <v/>
      </c>
      <c r="O280" t="str">
        <f>IF(N280="","",IF(SUMPRODUCT(--(N$10:N280=N280))=1,SUMPRODUCT(--(N$10:N$609&lt;N280))+1,""))</f>
        <v/>
      </c>
      <c r="P280" t="str">
        <f>IFERROR(INDEX(tblY11[Class],ROWS(P$10:P280))&amp;"","")</f>
        <v/>
      </c>
      <c r="Q280" t="str">
        <f>IF(P280="","",IF(SUMPRODUCT(--(P$10:P280=P280))=1,SUMPRODUCT(--(P$10:P$609&lt;P280))+1,""))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IFERROR(INDEX(tblY7[Class],ROWS(H$10:H281))&amp;"","")</f>
        <v/>
      </c>
      <c r="I281" t="str">
        <f>IF(H281="","",IF(SUMPRODUCT(--(H$10:H281=H281))=1,SUMPRODUCT(--(H$10:H$609&lt;H281))+1,""))</f>
        <v/>
      </c>
      <c r="J281" t="str">
        <f>IFERROR(INDEX(tblY8[Class],ROWS(J$10:J281))&amp;"","")</f>
        <v/>
      </c>
      <c r="K281" t="str">
        <f>IF(J281="","",IF(SUMPRODUCT(--(J$10:J281=J281))=1,SUMPRODUCT(--(J$10:J$609&lt;J281))+1,""))</f>
        <v/>
      </c>
      <c r="L281" t="str">
        <f>IFERROR(INDEX(tblY9[Class],ROWS(L$10:L281))&amp;"","")</f>
        <v/>
      </c>
      <c r="M281" t="str">
        <f>IF(L281="","",IF(SUMPRODUCT(--(L$10:L281=L281))=1,SUMPRODUCT(--(L$10:L$609&lt;L281))+1,""))</f>
        <v/>
      </c>
      <c r="N281" t="str">
        <f>IFERROR(INDEX(tblY10[Class],ROWS(N$10:N281))&amp;"","")</f>
        <v/>
      </c>
      <c r="O281" t="str">
        <f>IF(N281="","",IF(SUMPRODUCT(--(N$10:N281=N281))=1,SUMPRODUCT(--(N$10:N$609&lt;N281))+1,""))</f>
        <v/>
      </c>
      <c r="P281" t="str">
        <f>IFERROR(INDEX(tblY11[Class],ROWS(P$10:P281))&amp;"","")</f>
        <v/>
      </c>
      <c r="Q281" t="str">
        <f>IF(P281="","",IF(SUMPRODUCT(--(P$10:P281=P281))=1,SUMPRODUCT(--(P$10:P$609&lt;P281))+1,""))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IFERROR(INDEX(tblY7[Class],ROWS(H$10:H282))&amp;"","")</f>
        <v/>
      </c>
      <c r="I282" t="str">
        <f>IF(H282="","",IF(SUMPRODUCT(--(H$10:H282=H282))=1,SUMPRODUCT(--(H$10:H$609&lt;H282))+1,""))</f>
        <v/>
      </c>
      <c r="J282" t="str">
        <f>IFERROR(INDEX(tblY8[Class],ROWS(J$10:J282))&amp;"","")</f>
        <v/>
      </c>
      <c r="K282" t="str">
        <f>IF(J282="","",IF(SUMPRODUCT(--(J$10:J282=J282))=1,SUMPRODUCT(--(J$10:J$609&lt;J282))+1,""))</f>
        <v/>
      </c>
      <c r="L282" t="str">
        <f>IFERROR(INDEX(tblY9[Class],ROWS(L$10:L282))&amp;"","")</f>
        <v/>
      </c>
      <c r="M282" t="str">
        <f>IF(L282="","",IF(SUMPRODUCT(--(L$10:L282=L282))=1,SUMPRODUCT(--(L$10:L$609&lt;L282))+1,""))</f>
        <v/>
      </c>
      <c r="N282" t="str">
        <f>IFERROR(INDEX(tblY10[Class],ROWS(N$10:N282))&amp;"","")</f>
        <v/>
      </c>
      <c r="O282" t="str">
        <f>IF(N282="","",IF(SUMPRODUCT(--(N$10:N282=N282))=1,SUMPRODUCT(--(N$10:N$609&lt;N282))+1,""))</f>
        <v/>
      </c>
      <c r="P282" t="str">
        <f>IFERROR(INDEX(tblY11[Class],ROWS(P$10:P282))&amp;"","")</f>
        <v/>
      </c>
      <c r="Q282" t="str">
        <f>IF(P282="","",IF(SUMPRODUCT(--(P$10:P282=P282))=1,SUMPRODUCT(--(P$10:P$609&lt;P282))+1,""))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IFERROR(INDEX(tblY7[Class],ROWS(H$10:H283))&amp;"","")</f>
        <v/>
      </c>
      <c r="I283" t="str">
        <f>IF(H283="","",IF(SUMPRODUCT(--(H$10:H283=H283))=1,SUMPRODUCT(--(H$10:H$609&lt;H283))+1,""))</f>
        <v/>
      </c>
      <c r="J283" t="str">
        <f>IFERROR(INDEX(tblY8[Class],ROWS(J$10:J283))&amp;"","")</f>
        <v/>
      </c>
      <c r="K283" t="str">
        <f>IF(J283="","",IF(SUMPRODUCT(--(J$10:J283=J283))=1,SUMPRODUCT(--(J$10:J$609&lt;J283))+1,""))</f>
        <v/>
      </c>
      <c r="L283" t="str">
        <f>IFERROR(INDEX(tblY9[Class],ROWS(L$10:L283))&amp;"","")</f>
        <v/>
      </c>
      <c r="M283" t="str">
        <f>IF(L283="","",IF(SUMPRODUCT(--(L$10:L283=L283))=1,SUMPRODUCT(--(L$10:L$609&lt;L283))+1,""))</f>
        <v/>
      </c>
      <c r="N283" t="str">
        <f>IFERROR(INDEX(tblY10[Class],ROWS(N$10:N283))&amp;"","")</f>
        <v/>
      </c>
      <c r="O283" t="str">
        <f>IF(N283="","",IF(SUMPRODUCT(--(N$10:N283=N283))=1,SUMPRODUCT(--(N$10:N$609&lt;N283))+1,""))</f>
        <v/>
      </c>
      <c r="P283" t="str">
        <f>IFERROR(INDEX(tblY11[Class],ROWS(P$10:P283))&amp;"","")</f>
        <v/>
      </c>
      <c r="Q283" t="str">
        <f>IF(P283="","",IF(SUMPRODUCT(--(P$10:P283=P283))=1,SUMPRODUCT(--(P$10:P$609&lt;P283))+1,""))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IFERROR(INDEX(tblY7[Class],ROWS(H$10:H284))&amp;"","")</f>
        <v/>
      </c>
      <c r="I284" t="str">
        <f>IF(H284="","",IF(SUMPRODUCT(--(H$10:H284=H284))=1,SUMPRODUCT(--(H$10:H$609&lt;H284))+1,""))</f>
        <v/>
      </c>
      <c r="J284" t="str">
        <f>IFERROR(INDEX(tblY8[Class],ROWS(J$10:J284))&amp;"","")</f>
        <v/>
      </c>
      <c r="K284" t="str">
        <f>IF(J284="","",IF(SUMPRODUCT(--(J$10:J284=J284))=1,SUMPRODUCT(--(J$10:J$609&lt;J284))+1,""))</f>
        <v/>
      </c>
      <c r="L284" t="str">
        <f>IFERROR(INDEX(tblY9[Class],ROWS(L$10:L284))&amp;"","")</f>
        <v/>
      </c>
      <c r="M284" t="str">
        <f>IF(L284="","",IF(SUMPRODUCT(--(L$10:L284=L284))=1,SUMPRODUCT(--(L$10:L$609&lt;L284))+1,""))</f>
        <v/>
      </c>
      <c r="N284" t="str">
        <f>IFERROR(INDEX(tblY10[Class],ROWS(N$10:N284))&amp;"","")</f>
        <v/>
      </c>
      <c r="O284" t="str">
        <f>IF(N284="","",IF(SUMPRODUCT(--(N$10:N284=N284))=1,SUMPRODUCT(--(N$10:N$609&lt;N284))+1,""))</f>
        <v/>
      </c>
      <c r="P284" t="str">
        <f>IFERROR(INDEX(tblY11[Class],ROWS(P$10:P284))&amp;"","")</f>
        <v/>
      </c>
      <c r="Q284" t="str">
        <f>IF(P284="","",IF(SUMPRODUCT(--(P$10:P284=P284))=1,SUMPRODUCT(--(P$10:P$609&lt;P284))+1,""))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IFERROR(INDEX(tblY7[Class],ROWS(H$10:H285))&amp;"","")</f>
        <v/>
      </c>
      <c r="I285" t="str">
        <f>IF(H285="","",IF(SUMPRODUCT(--(H$10:H285=H285))=1,SUMPRODUCT(--(H$10:H$609&lt;H285))+1,""))</f>
        <v/>
      </c>
      <c r="J285" t="str">
        <f>IFERROR(INDEX(tblY8[Class],ROWS(J$10:J285))&amp;"","")</f>
        <v/>
      </c>
      <c r="K285" t="str">
        <f>IF(J285="","",IF(SUMPRODUCT(--(J$10:J285=J285))=1,SUMPRODUCT(--(J$10:J$609&lt;J285))+1,""))</f>
        <v/>
      </c>
      <c r="L285" t="str">
        <f>IFERROR(INDEX(tblY9[Class],ROWS(L$10:L285))&amp;"","")</f>
        <v/>
      </c>
      <c r="M285" t="str">
        <f>IF(L285="","",IF(SUMPRODUCT(--(L$10:L285=L285))=1,SUMPRODUCT(--(L$10:L$609&lt;L285))+1,""))</f>
        <v/>
      </c>
      <c r="N285" t="str">
        <f>IFERROR(INDEX(tblY10[Class],ROWS(N$10:N285))&amp;"","")</f>
        <v/>
      </c>
      <c r="O285" t="str">
        <f>IF(N285="","",IF(SUMPRODUCT(--(N$10:N285=N285))=1,SUMPRODUCT(--(N$10:N$609&lt;N285))+1,""))</f>
        <v/>
      </c>
      <c r="P285" t="str">
        <f>IFERROR(INDEX(tblY11[Class],ROWS(P$10:P285))&amp;"","")</f>
        <v/>
      </c>
      <c r="Q285" t="str">
        <f>IF(P285="","",IF(SUMPRODUCT(--(P$10:P285=P285))=1,SUMPRODUCT(--(P$10:P$609&lt;P285))+1,""))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IFERROR(INDEX(tblY7[Class],ROWS(H$10:H286))&amp;"","")</f>
        <v/>
      </c>
      <c r="I286" t="str">
        <f>IF(H286="","",IF(SUMPRODUCT(--(H$10:H286=H286))=1,SUMPRODUCT(--(H$10:H$609&lt;H286))+1,""))</f>
        <v/>
      </c>
      <c r="J286" t="str">
        <f>IFERROR(INDEX(tblY8[Class],ROWS(J$10:J286))&amp;"","")</f>
        <v/>
      </c>
      <c r="K286" t="str">
        <f>IF(J286="","",IF(SUMPRODUCT(--(J$10:J286=J286))=1,SUMPRODUCT(--(J$10:J$609&lt;J286))+1,""))</f>
        <v/>
      </c>
      <c r="L286" t="str">
        <f>IFERROR(INDEX(tblY9[Class],ROWS(L$10:L286))&amp;"","")</f>
        <v/>
      </c>
      <c r="M286" t="str">
        <f>IF(L286="","",IF(SUMPRODUCT(--(L$10:L286=L286))=1,SUMPRODUCT(--(L$10:L$609&lt;L286))+1,""))</f>
        <v/>
      </c>
      <c r="N286" t="str">
        <f>IFERROR(INDEX(tblY10[Class],ROWS(N$10:N286))&amp;"","")</f>
        <v/>
      </c>
      <c r="O286" t="str">
        <f>IF(N286="","",IF(SUMPRODUCT(--(N$10:N286=N286))=1,SUMPRODUCT(--(N$10:N$609&lt;N286))+1,""))</f>
        <v/>
      </c>
      <c r="P286" t="str">
        <f>IFERROR(INDEX(tblY11[Class],ROWS(P$10:P286))&amp;"","")</f>
        <v/>
      </c>
      <c r="Q286" t="str">
        <f>IF(P286="","",IF(SUMPRODUCT(--(P$10:P286=P286))=1,SUMPRODUCT(--(P$10:P$609&lt;P286))+1,""))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IFERROR(INDEX(tblY7[Class],ROWS(H$10:H287))&amp;"","")</f>
        <v/>
      </c>
      <c r="I287" t="str">
        <f>IF(H287="","",IF(SUMPRODUCT(--(H$10:H287=H287))=1,SUMPRODUCT(--(H$10:H$609&lt;H287))+1,""))</f>
        <v/>
      </c>
      <c r="J287" t="str">
        <f>IFERROR(INDEX(tblY8[Class],ROWS(J$10:J287))&amp;"","")</f>
        <v/>
      </c>
      <c r="K287" t="str">
        <f>IF(J287="","",IF(SUMPRODUCT(--(J$10:J287=J287))=1,SUMPRODUCT(--(J$10:J$609&lt;J287))+1,""))</f>
        <v/>
      </c>
      <c r="L287" t="str">
        <f>IFERROR(INDEX(tblY9[Class],ROWS(L$10:L287))&amp;"","")</f>
        <v/>
      </c>
      <c r="M287" t="str">
        <f>IF(L287="","",IF(SUMPRODUCT(--(L$10:L287=L287))=1,SUMPRODUCT(--(L$10:L$609&lt;L287))+1,""))</f>
        <v/>
      </c>
      <c r="N287" t="str">
        <f>IFERROR(INDEX(tblY10[Class],ROWS(N$10:N287))&amp;"","")</f>
        <v/>
      </c>
      <c r="O287" t="str">
        <f>IF(N287="","",IF(SUMPRODUCT(--(N$10:N287=N287))=1,SUMPRODUCT(--(N$10:N$609&lt;N287))+1,""))</f>
        <v/>
      </c>
      <c r="P287" t="str">
        <f>IFERROR(INDEX(tblY11[Class],ROWS(P$10:P287))&amp;"","")</f>
        <v/>
      </c>
      <c r="Q287" t="str">
        <f>IF(P287="","",IF(SUMPRODUCT(--(P$10:P287=P287))=1,SUMPRODUCT(--(P$10:P$609&lt;P287))+1,""))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IFERROR(INDEX(tblY7[Class],ROWS(H$10:H288))&amp;"","")</f>
        <v/>
      </c>
      <c r="I288" t="str">
        <f>IF(H288="","",IF(SUMPRODUCT(--(H$10:H288=H288))=1,SUMPRODUCT(--(H$10:H$609&lt;H288))+1,""))</f>
        <v/>
      </c>
      <c r="J288" t="str">
        <f>IFERROR(INDEX(tblY8[Class],ROWS(J$10:J288))&amp;"","")</f>
        <v/>
      </c>
      <c r="K288" t="str">
        <f>IF(J288="","",IF(SUMPRODUCT(--(J$10:J288=J288))=1,SUMPRODUCT(--(J$10:J$609&lt;J288))+1,""))</f>
        <v/>
      </c>
      <c r="L288" t="str">
        <f>IFERROR(INDEX(tblY9[Class],ROWS(L$10:L288))&amp;"","")</f>
        <v/>
      </c>
      <c r="M288" t="str">
        <f>IF(L288="","",IF(SUMPRODUCT(--(L$10:L288=L288))=1,SUMPRODUCT(--(L$10:L$609&lt;L288))+1,""))</f>
        <v/>
      </c>
      <c r="N288" t="str">
        <f>IFERROR(INDEX(tblY10[Class],ROWS(N$10:N288))&amp;"","")</f>
        <v/>
      </c>
      <c r="O288" t="str">
        <f>IF(N288="","",IF(SUMPRODUCT(--(N$10:N288=N288))=1,SUMPRODUCT(--(N$10:N$609&lt;N288))+1,""))</f>
        <v/>
      </c>
      <c r="P288" t="str">
        <f>IFERROR(INDEX(tblY11[Class],ROWS(P$10:P288))&amp;"","")</f>
        <v/>
      </c>
      <c r="Q288" t="str">
        <f>IF(P288="","",IF(SUMPRODUCT(--(P$10:P288=P288))=1,SUMPRODUCT(--(P$10:P$609&lt;P288))+1,""))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IFERROR(INDEX(tblY7[Class],ROWS(H$10:H289))&amp;"","")</f>
        <v/>
      </c>
      <c r="I289" t="str">
        <f>IF(H289="","",IF(SUMPRODUCT(--(H$10:H289=H289))=1,SUMPRODUCT(--(H$10:H$609&lt;H289))+1,""))</f>
        <v/>
      </c>
      <c r="J289" t="str">
        <f>IFERROR(INDEX(tblY8[Class],ROWS(J$10:J289))&amp;"","")</f>
        <v/>
      </c>
      <c r="K289" t="str">
        <f>IF(J289="","",IF(SUMPRODUCT(--(J$10:J289=J289))=1,SUMPRODUCT(--(J$10:J$609&lt;J289))+1,""))</f>
        <v/>
      </c>
      <c r="L289" t="str">
        <f>IFERROR(INDEX(tblY9[Class],ROWS(L$10:L289))&amp;"","")</f>
        <v/>
      </c>
      <c r="M289" t="str">
        <f>IF(L289="","",IF(SUMPRODUCT(--(L$10:L289=L289))=1,SUMPRODUCT(--(L$10:L$609&lt;L289))+1,""))</f>
        <v/>
      </c>
      <c r="N289" t="str">
        <f>IFERROR(INDEX(tblY10[Class],ROWS(N$10:N289))&amp;"","")</f>
        <v/>
      </c>
      <c r="O289" t="str">
        <f>IF(N289="","",IF(SUMPRODUCT(--(N$10:N289=N289))=1,SUMPRODUCT(--(N$10:N$609&lt;N289))+1,""))</f>
        <v/>
      </c>
      <c r="P289" t="str">
        <f>IFERROR(INDEX(tblY11[Class],ROWS(P$10:P289))&amp;"","")</f>
        <v/>
      </c>
      <c r="Q289" t="str">
        <f>IF(P289="","",IF(SUMPRODUCT(--(P$10:P289=P289))=1,SUMPRODUCT(--(P$10:P$609&lt;P289))+1,""))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IFERROR(INDEX(tblY7[Class],ROWS(H$10:H290))&amp;"","")</f>
        <v/>
      </c>
      <c r="I290" t="str">
        <f>IF(H290="","",IF(SUMPRODUCT(--(H$10:H290=H290))=1,SUMPRODUCT(--(H$10:H$609&lt;H290))+1,""))</f>
        <v/>
      </c>
      <c r="J290" t="str">
        <f>IFERROR(INDEX(tblY8[Class],ROWS(J$10:J290))&amp;"","")</f>
        <v/>
      </c>
      <c r="K290" t="str">
        <f>IF(J290="","",IF(SUMPRODUCT(--(J$10:J290=J290))=1,SUMPRODUCT(--(J$10:J$609&lt;J290))+1,""))</f>
        <v/>
      </c>
      <c r="L290" t="str">
        <f>IFERROR(INDEX(tblY9[Class],ROWS(L$10:L290))&amp;"","")</f>
        <v/>
      </c>
      <c r="M290" t="str">
        <f>IF(L290="","",IF(SUMPRODUCT(--(L$10:L290=L290))=1,SUMPRODUCT(--(L$10:L$609&lt;L290))+1,""))</f>
        <v/>
      </c>
      <c r="N290" t="str">
        <f>IFERROR(INDEX(tblY10[Class],ROWS(N$10:N290))&amp;"","")</f>
        <v/>
      </c>
      <c r="O290" t="str">
        <f>IF(N290="","",IF(SUMPRODUCT(--(N$10:N290=N290))=1,SUMPRODUCT(--(N$10:N$609&lt;N290))+1,""))</f>
        <v/>
      </c>
      <c r="P290" t="str">
        <f>IFERROR(INDEX(tblY11[Class],ROWS(P$10:P290))&amp;"","")</f>
        <v/>
      </c>
      <c r="Q290" t="str">
        <f>IF(P290="","",IF(SUMPRODUCT(--(P$10:P290=P290))=1,SUMPRODUCT(--(P$10:P$609&lt;P290))+1,""))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IFERROR(INDEX(tblY7[Class],ROWS(H$10:H291))&amp;"","")</f>
        <v/>
      </c>
      <c r="I291" t="str">
        <f>IF(H291="","",IF(SUMPRODUCT(--(H$10:H291=H291))=1,SUMPRODUCT(--(H$10:H$609&lt;H291))+1,""))</f>
        <v/>
      </c>
      <c r="J291" t="str">
        <f>IFERROR(INDEX(tblY8[Class],ROWS(J$10:J291))&amp;"","")</f>
        <v/>
      </c>
      <c r="K291" t="str">
        <f>IF(J291="","",IF(SUMPRODUCT(--(J$10:J291=J291))=1,SUMPRODUCT(--(J$10:J$609&lt;J291))+1,""))</f>
        <v/>
      </c>
      <c r="L291" t="str">
        <f>IFERROR(INDEX(tblY9[Class],ROWS(L$10:L291))&amp;"","")</f>
        <v/>
      </c>
      <c r="M291" t="str">
        <f>IF(L291="","",IF(SUMPRODUCT(--(L$10:L291=L291))=1,SUMPRODUCT(--(L$10:L$609&lt;L291))+1,""))</f>
        <v/>
      </c>
      <c r="N291" t="str">
        <f>IFERROR(INDEX(tblY10[Class],ROWS(N$10:N291))&amp;"","")</f>
        <v/>
      </c>
      <c r="O291" t="str">
        <f>IF(N291="","",IF(SUMPRODUCT(--(N$10:N291=N291))=1,SUMPRODUCT(--(N$10:N$609&lt;N291))+1,""))</f>
        <v/>
      </c>
      <c r="P291" t="str">
        <f>IFERROR(INDEX(tblY11[Class],ROWS(P$10:P291))&amp;"","")</f>
        <v/>
      </c>
      <c r="Q291" t="str">
        <f>IF(P291="","",IF(SUMPRODUCT(--(P$10:P291=P291))=1,SUMPRODUCT(--(P$10:P$609&lt;P291))+1,""))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IFERROR(INDEX(tblY7[Class],ROWS(H$10:H292))&amp;"","")</f>
        <v/>
      </c>
      <c r="I292" t="str">
        <f>IF(H292="","",IF(SUMPRODUCT(--(H$10:H292=H292))=1,SUMPRODUCT(--(H$10:H$609&lt;H292))+1,""))</f>
        <v/>
      </c>
      <c r="J292" t="str">
        <f>IFERROR(INDEX(tblY8[Class],ROWS(J$10:J292))&amp;"","")</f>
        <v/>
      </c>
      <c r="K292" t="str">
        <f>IF(J292="","",IF(SUMPRODUCT(--(J$10:J292=J292))=1,SUMPRODUCT(--(J$10:J$609&lt;J292))+1,""))</f>
        <v/>
      </c>
      <c r="L292" t="str">
        <f>IFERROR(INDEX(tblY9[Class],ROWS(L$10:L292))&amp;"","")</f>
        <v/>
      </c>
      <c r="M292" t="str">
        <f>IF(L292="","",IF(SUMPRODUCT(--(L$10:L292=L292))=1,SUMPRODUCT(--(L$10:L$609&lt;L292))+1,""))</f>
        <v/>
      </c>
      <c r="N292" t="str">
        <f>IFERROR(INDEX(tblY10[Class],ROWS(N$10:N292))&amp;"","")</f>
        <v/>
      </c>
      <c r="O292" t="str">
        <f>IF(N292="","",IF(SUMPRODUCT(--(N$10:N292=N292))=1,SUMPRODUCT(--(N$10:N$609&lt;N292))+1,""))</f>
        <v/>
      </c>
      <c r="P292" t="str">
        <f>IFERROR(INDEX(tblY11[Class],ROWS(P$10:P292))&amp;"","")</f>
        <v/>
      </c>
      <c r="Q292" t="str">
        <f>IF(P292="","",IF(SUMPRODUCT(--(P$10:P292=P292))=1,SUMPRODUCT(--(P$10:P$609&lt;P292))+1,""))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IFERROR(INDEX(tblY7[Class],ROWS(H$10:H293))&amp;"","")</f>
        <v/>
      </c>
      <c r="I293" t="str">
        <f>IF(H293="","",IF(SUMPRODUCT(--(H$10:H293=H293))=1,SUMPRODUCT(--(H$10:H$609&lt;H293))+1,""))</f>
        <v/>
      </c>
      <c r="J293" t="str">
        <f>IFERROR(INDEX(tblY8[Class],ROWS(J$10:J293))&amp;"","")</f>
        <v/>
      </c>
      <c r="K293" t="str">
        <f>IF(J293="","",IF(SUMPRODUCT(--(J$10:J293=J293))=1,SUMPRODUCT(--(J$10:J$609&lt;J293))+1,""))</f>
        <v/>
      </c>
      <c r="L293" t="str">
        <f>IFERROR(INDEX(tblY9[Class],ROWS(L$10:L293))&amp;"","")</f>
        <v/>
      </c>
      <c r="M293" t="str">
        <f>IF(L293="","",IF(SUMPRODUCT(--(L$10:L293=L293))=1,SUMPRODUCT(--(L$10:L$609&lt;L293))+1,""))</f>
        <v/>
      </c>
      <c r="N293" t="str">
        <f>IFERROR(INDEX(tblY10[Class],ROWS(N$10:N293))&amp;"","")</f>
        <v/>
      </c>
      <c r="O293" t="str">
        <f>IF(N293="","",IF(SUMPRODUCT(--(N$10:N293=N293))=1,SUMPRODUCT(--(N$10:N$609&lt;N293))+1,""))</f>
        <v/>
      </c>
      <c r="P293" t="str">
        <f>IFERROR(INDEX(tblY11[Class],ROWS(P$10:P293))&amp;"","")</f>
        <v/>
      </c>
      <c r="Q293" t="str">
        <f>IF(P293="","",IF(SUMPRODUCT(--(P$10:P293=P293))=1,SUMPRODUCT(--(P$10:P$609&lt;P293))+1,""))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IFERROR(INDEX(tblY7[Class],ROWS(H$10:H294))&amp;"","")</f>
        <v/>
      </c>
      <c r="I294" t="str">
        <f>IF(H294="","",IF(SUMPRODUCT(--(H$10:H294=H294))=1,SUMPRODUCT(--(H$10:H$609&lt;H294))+1,""))</f>
        <v/>
      </c>
      <c r="J294" t="str">
        <f>IFERROR(INDEX(tblY8[Class],ROWS(J$10:J294))&amp;"","")</f>
        <v/>
      </c>
      <c r="K294" t="str">
        <f>IF(J294="","",IF(SUMPRODUCT(--(J$10:J294=J294))=1,SUMPRODUCT(--(J$10:J$609&lt;J294))+1,""))</f>
        <v/>
      </c>
      <c r="L294" t="str">
        <f>IFERROR(INDEX(tblY9[Class],ROWS(L$10:L294))&amp;"","")</f>
        <v/>
      </c>
      <c r="M294" t="str">
        <f>IF(L294="","",IF(SUMPRODUCT(--(L$10:L294=L294))=1,SUMPRODUCT(--(L$10:L$609&lt;L294))+1,""))</f>
        <v/>
      </c>
      <c r="N294" t="str">
        <f>IFERROR(INDEX(tblY10[Class],ROWS(N$10:N294))&amp;"","")</f>
        <v/>
      </c>
      <c r="O294" t="str">
        <f>IF(N294="","",IF(SUMPRODUCT(--(N$10:N294=N294))=1,SUMPRODUCT(--(N$10:N$609&lt;N294))+1,""))</f>
        <v/>
      </c>
      <c r="P294" t="str">
        <f>IFERROR(INDEX(tblY11[Class],ROWS(P$10:P294))&amp;"","")</f>
        <v/>
      </c>
      <c r="Q294" t="str">
        <f>IF(P294="","",IF(SUMPRODUCT(--(P$10:P294=P294))=1,SUMPRODUCT(--(P$10:P$609&lt;P294))+1,""))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IFERROR(INDEX(tblY7[Class],ROWS(H$10:H295))&amp;"","")</f>
        <v/>
      </c>
      <c r="I295" t="str">
        <f>IF(H295="","",IF(SUMPRODUCT(--(H$10:H295=H295))=1,SUMPRODUCT(--(H$10:H$609&lt;H295))+1,""))</f>
        <v/>
      </c>
      <c r="J295" t="str">
        <f>IFERROR(INDEX(tblY8[Class],ROWS(J$10:J295))&amp;"","")</f>
        <v/>
      </c>
      <c r="K295" t="str">
        <f>IF(J295="","",IF(SUMPRODUCT(--(J$10:J295=J295))=1,SUMPRODUCT(--(J$10:J$609&lt;J295))+1,""))</f>
        <v/>
      </c>
      <c r="L295" t="str">
        <f>IFERROR(INDEX(tblY9[Class],ROWS(L$10:L295))&amp;"","")</f>
        <v/>
      </c>
      <c r="M295" t="str">
        <f>IF(L295="","",IF(SUMPRODUCT(--(L$10:L295=L295))=1,SUMPRODUCT(--(L$10:L$609&lt;L295))+1,""))</f>
        <v/>
      </c>
      <c r="N295" t="str">
        <f>IFERROR(INDEX(tblY10[Class],ROWS(N$10:N295))&amp;"","")</f>
        <v/>
      </c>
      <c r="O295" t="str">
        <f>IF(N295="","",IF(SUMPRODUCT(--(N$10:N295=N295))=1,SUMPRODUCT(--(N$10:N$609&lt;N295))+1,""))</f>
        <v/>
      </c>
      <c r="P295" t="str">
        <f>IFERROR(INDEX(tblY11[Class],ROWS(P$10:P295))&amp;"","")</f>
        <v/>
      </c>
      <c r="Q295" t="str">
        <f>IF(P295="","",IF(SUMPRODUCT(--(P$10:P295=P295))=1,SUMPRODUCT(--(P$10:P$609&lt;P295))+1,""))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IFERROR(INDEX(tblY7[Class],ROWS(H$10:H296))&amp;"","")</f>
        <v/>
      </c>
      <c r="I296" t="str">
        <f>IF(H296="","",IF(SUMPRODUCT(--(H$10:H296=H296))=1,SUMPRODUCT(--(H$10:H$609&lt;H296))+1,""))</f>
        <v/>
      </c>
      <c r="J296" t="str">
        <f>IFERROR(INDEX(tblY8[Class],ROWS(J$10:J296))&amp;"","")</f>
        <v/>
      </c>
      <c r="K296" t="str">
        <f>IF(J296="","",IF(SUMPRODUCT(--(J$10:J296=J296))=1,SUMPRODUCT(--(J$10:J$609&lt;J296))+1,""))</f>
        <v/>
      </c>
      <c r="L296" t="str">
        <f>IFERROR(INDEX(tblY9[Class],ROWS(L$10:L296))&amp;"","")</f>
        <v/>
      </c>
      <c r="M296" t="str">
        <f>IF(L296="","",IF(SUMPRODUCT(--(L$10:L296=L296))=1,SUMPRODUCT(--(L$10:L$609&lt;L296))+1,""))</f>
        <v/>
      </c>
      <c r="N296" t="str">
        <f>IFERROR(INDEX(tblY10[Class],ROWS(N$10:N296))&amp;"","")</f>
        <v/>
      </c>
      <c r="O296" t="str">
        <f>IF(N296="","",IF(SUMPRODUCT(--(N$10:N296=N296))=1,SUMPRODUCT(--(N$10:N$609&lt;N296))+1,""))</f>
        <v/>
      </c>
      <c r="P296" t="str">
        <f>IFERROR(INDEX(tblY11[Class],ROWS(P$10:P296))&amp;"","")</f>
        <v/>
      </c>
      <c r="Q296" t="str">
        <f>IF(P296="","",IF(SUMPRODUCT(--(P$10:P296=P296))=1,SUMPRODUCT(--(P$10:P$609&lt;P296))+1,""))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IFERROR(INDEX(tblY7[Class],ROWS(H$10:H297))&amp;"","")</f>
        <v/>
      </c>
      <c r="I297" t="str">
        <f>IF(H297="","",IF(SUMPRODUCT(--(H$10:H297=H297))=1,SUMPRODUCT(--(H$10:H$609&lt;H297))+1,""))</f>
        <v/>
      </c>
      <c r="J297" t="str">
        <f>IFERROR(INDEX(tblY8[Class],ROWS(J$10:J297))&amp;"","")</f>
        <v/>
      </c>
      <c r="K297" t="str">
        <f>IF(J297="","",IF(SUMPRODUCT(--(J$10:J297=J297))=1,SUMPRODUCT(--(J$10:J$609&lt;J297))+1,""))</f>
        <v/>
      </c>
      <c r="L297" t="str">
        <f>IFERROR(INDEX(tblY9[Class],ROWS(L$10:L297))&amp;"","")</f>
        <v/>
      </c>
      <c r="M297" t="str">
        <f>IF(L297="","",IF(SUMPRODUCT(--(L$10:L297=L297))=1,SUMPRODUCT(--(L$10:L$609&lt;L297))+1,""))</f>
        <v/>
      </c>
      <c r="N297" t="str">
        <f>IFERROR(INDEX(tblY10[Class],ROWS(N$10:N297))&amp;"","")</f>
        <v/>
      </c>
      <c r="O297" t="str">
        <f>IF(N297="","",IF(SUMPRODUCT(--(N$10:N297=N297))=1,SUMPRODUCT(--(N$10:N$609&lt;N297))+1,""))</f>
        <v/>
      </c>
      <c r="P297" t="str">
        <f>IFERROR(INDEX(tblY11[Class],ROWS(P$10:P297))&amp;"","")</f>
        <v/>
      </c>
      <c r="Q297" t="str">
        <f>IF(P297="","",IF(SUMPRODUCT(--(P$10:P297=P297))=1,SUMPRODUCT(--(P$10:P$609&lt;P297))+1,""))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IFERROR(INDEX(tblY7[Class],ROWS(H$10:H298))&amp;"","")</f>
        <v/>
      </c>
      <c r="I298" t="str">
        <f>IF(H298="","",IF(SUMPRODUCT(--(H$10:H298=H298))=1,SUMPRODUCT(--(H$10:H$609&lt;H298))+1,""))</f>
        <v/>
      </c>
      <c r="J298" t="str">
        <f>IFERROR(INDEX(tblY8[Class],ROWS(J$10:J298))&amp;"","")</f>
        <v/>
      </c>
      <c r="K298" t="str">
        <f>IF(J298="","",IF(SUMPRODUCT(--(J$10:J298=J298))=1,SUMPRODUCT(--(J$10:J$609&lt;J298))+1,""))</f>
        <v/>
      </c>
      <c r="L298" t="str">
        <f>IFERROR(INDEX(tblY9[Class],ROWS(L$10:L298))&amp;"","")</f>
        <v/>
      </c>
      <c r="M298" t="str">
        <f>IF(L298="","",IF(SUMPRODUCT(--(L$10:L298=L298))=1,SUMPRODUCT(--(L$10:L$609&lt;L298))+1,""))</f>
        <v/>
      </c>
      <c r="N298" t="str">
        <f>IFERROR(INDEX(tblY10[Class],ROWS(N$10:N298))&amp;"","")</f>
        <v/>
      </c>
      <c r="O298" t="str">
        <f>IF(N298="","",IF(SUMPRODUCT(--(N$10:N298=N298))=1,SUMPRODUCT(--(N$10:N$609&lt;N298))+1,""))</f>
        <v/>
      </c>
      <c r="P298" t="str">
        <f>IFERROR(INDEX(tblY11[Class],ROWS(P$10:P298))&amp;"","")</f>
        <v/>
      </c>
      <c r="Q298" t="str">
        <f>IF(P298="","",IF(SUMPRODUCT(--(P$10:P298=P298))=1,SUMPRODUCT(--(P$10:P$609&lt;P298))+1,""))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IFERROR(INDEX(tblY7[Class],ROWS(H$10:H299))&amp;"","")</f>
        <v/>
      </c>
      <c r="I299" t="str">
        <f>IF(H299="","",IF(SUMPRODUCT(--(H$10:H299=H299))=1,SUMPRODUCT(--(H$10:H$609&lt;H299))+1,""))</f>
        <v/>
      </c>
      <c r="J299" t="str">
        <f>IFERROR(INDEX(tblY8[Class],ROWS(J$10:J299))&amp;"","")</f>
        <v/>
      </c>
      <c r="K299" t="str">
        <f>IF(J299="","",IF(SUMPRODUCT(--(J$10:J299=J299))=1,SUMPRODUCT(--(J$10:J$609&lt;J299))+1,""))</f>
        <v/>
      </c>
      <c r="L299" t="str">
        <f>IFERROR(INDEX(tblY9[Class],ROWS(L$10:L299))&amp;"","")</f>
        <v/>
      </c>
      <c r="M299" t="str">
        <f>IF(L299="","",IF(SUMPRODUCT(--(L$10:L299=L299))=1,SUMPRODUCT(--(L$10:L$609&lt;L299))+1,""))</f>
        <v/>
      </c>
      <c r="N299" t="str">
        <f>IFERROR(INDEX(tblY10[Class],ROWS(N$10:N299))&amp;"","")</f>
        <v/>
      </c>
      <c r="O299" t="str">
        <f>IF(N299="","",IF(SUMPRODUCT(--(N$10:N299=N299))=1,SUMPRODUCT(--(N$10:N$609&lt;N299))+1,""))</f>
        <v/>
      </c>
      <c r="P299" t="str">
        <f>IFERROR(INDEX(tblY11[Class],ROWS(P$10:P299))&amp;"","")</f>
        <v/>
      </c>
      <c r="Q299" t="str">
        <f>IF(P299="","",IF(SUMPRODUCT(--(P$10:P299=P299))=1,SUMPRODUCT(--(P$10:P$609&lt;P299))+1,""))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IFERROR(INDEX(tblY7[Class],ROWS(H$10:H300))&amp;"","")</f>
        <v/>
      </c>
      <c r="I300" t="str">
        <f>IF(H300="","",IF(SUMPRODUCT(--(H$10:H300=H300))=1,SUMPRODUCT(--(H$10:H$609&lt;H300))+1,""))</f>
        <v/>
      </c>
      <c r="J300" t="str">
        <f>IFERROR(INDEX(tblY8[Class],ROWS(J$10:J300))&amp;"","")</f>
        <v/>
      </c>
      <c r="K300" t="str">
        <f>IF(J300="","",IF(SUMPRODUCT(--(J$10:J300=J300))=1,SUMPRODUCT(--(J$10:J$609&lt;J300))+1,""))</f>
        <v/>
      </c>
      <c r="L300" t="str">
        <f>IFERROR(INDEX(tblY9[Class],ROWS(L$10:L300))&amp;"","")</f>
        <v/>
      </c>
      <c r="M300" t="str">
        <f>IF(L300="","",IF(SUMPRODUCT(--(L$10:L300=L300))=1,SUMPRODUCT(--(L$10:L$609&lt;L300))+1,""))</f>
        <v/>
      </c>
      <c r="N300" t="str">
        <f>IFERROR(INDEX(tblY10[Class],ROWS(N$10:N300))&amp;"","")</f>
        <v/>
      </c>
      <c r="O300" t="str">
        <f>IF(N300="","",IF(SUMPRODUCT(--(N$10:N300=N300))=1,SUMPRODUCT(--(N$10:N$609&lt;N300))+1,""))</f>
        <v/>
      </c>
      <c r="P300" t="str">
        <f>IFERROR(INDEX(tblY11[Class],ROWS(P$10:P300))&amp;"","")</f>
        <v/>
      </c>
      <c r="Q300" t="str">
        <f>IF(P300="","",IF(SUMPRODUCT(--(P$10:P300=P300))=1,SUMPRODUCT(--(P$10:P$609&lt;P300))+1,""))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IFERROR(INDEX(tblY7[Class],ROWS(H$10:H301))&amp;"","")</f>
        <v/>
      </c>
      <c r="I301" t="str">
        <f>IF(H301="","",IF(SUMPRODUCT(--(H$10:H301=H301))=1,SUMPRODUCT(--(H$10:H$609&lt;H301))+1,""))</f>
        <v/>
      </c>
      <c r="J301" t="str">
        <f>IFERROR(INDEX(tblY8[Class],ROWS(J$10:J301))&amp;"","")</f>
        <v/>
      </c>
      <c r="K301" t="str">
        <f>IF(J301="","",IF(SUMPRODUCT(--(J$10:J301=J301))=1,SUMPRODUCT(--(J$10:J$609&lt;J301))+1,""))</f>
        <v/>
      </c>
      <c r="L301" t="str">
        <f>IFERROR(INDEX(tblY9[Class],ROWS(L$10:L301))&amp;"","")</f>
        <v/>
      </c>
      <c r="M301" t="str">
        <f>IF(L301="","",IF(SUMPRODUCT(--(L$10:L301=L301))=1,SUMPRODUCT(--(L$10:L$609&lt;L301))+1,""))</f>
        <v/>
      </c>
      <c r="N301" t="str">
        <f>IFERROR(INDEX(tblY10[Class],ROWS(N$10:N301))&amp;"","")</f>
        <v/>
      </c>
      <c r="O301" t="str">
        <f>IF(N301="","",IF(SUMPRODUCT(--(N$10:N301=N301))=1,SUMPRODUCT(--(N$10:N$609&lt;N301))+1,""))</f>
        <v/>
      </c>
      <c r="P301" t="str">
        <f>IFERROR(INDEX(tblY11[Class],ROWS(P$10:P301))&amp;"","")</f>
        <v/>
      </c>
      <c r="Q301" t="str">
        <f>IF(P301="","",IF(SUMPRODUCT(--(P$10:P301=P301))=1,SUMPRODUCT(--(P$10:P$609&lt;P301))+1,""))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IFERROR(INDEX(tblY7[Class],ROWS(H$10:H302))&amp;"","")</f>
        <v/>
      </c>
      <c r="I302" t="str">
        <f>IF(H302="","",IF(SUMPRODUCT(--(H$10:H302=H302))=1,SUMPRODUCT(--(H$10:H$609&lt;H302))+1,""))</f>
        <v/>
      </c>
      <c r="J302" t="str">
        <f>IFERROR(INDEX(tblY8[Class],ROWS(J$10:J302))&amp;"","")</f>
        <v/>
      </c>
      <c r="K302" t="str">
        <f>IF(J302="","",IF(SUMPRODUCT(--(J$10:J302=J302))=1,SUMPRODUCT(--(J$10:J$609&lt;J302))+1,""))</f>
        <v/>
      </c>
      <c r="L302" t="str">
        <f>IFERROR(INDEX(tblY9[Class],ROWS(L$10:L302))&amp;"","")</f>
        <v/>
      </c>
      <c r="M302" t="str">
        <f>IF(L302="","",IF(SUMPRODUCT(--(L$10:L302=L302))=1,SUMPRODUCT(--(L$10:L$609&lt;L302))+1,""))</f>
        <v/>
      </c>
      <c r="N302" t="str">
        <f>IFERROR(INDEX(tblY10[Class],ROWS(N$10:N302))&amp;"","")</f>
        <v/>
      </c>
      <c r="O302" t="str">
        <f>IF(N302="","",IF(SUMPRODUCT(--(N$10:N302=N302))=1,SUMPRODUCT(--(N$10:N$609&lt;N302))+1,""))</f>
        <v/>
      </c>
      <c r="P302" t="str">
        <f>IFERROR(INDEX(tblY11[Class],ROWS(P$10:P302))&amp;"","")</f>
        <v/>
      </c>
      <c r="Q302" t="str">
        <f>IF(P302="","",IF(SUMPRODUCT(--(P$10:P302=P302))=1,SUMPRODUCT(--(P$10:P$609&lt;P302))+1,""))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IFERROR(INDEX(tblY7[Class],ROWS(H$10:H303))&amp;"","")</f>
        <v/>
      </c>
      <c r="I303" t="str">
        <f>IF(H303="","",IF(SUMPRODUCT(--(H$10:H303=H303))=1,SUMPRODUCT(--(H$10:H$609&lt;H303))+1,""))</f>
        <v/>
      </c>
      <c r="J303" t="str">
        <f>IFERROR(INDEX(tblY8[Class],ROWS(J$10:J303))&amp;"","")</f>
        <v/>
      </c>
      <c r="K303" t="str">
        <f>IF(J303="","",IF(SUMPRODUCT(--(J$10:J303=J303))=1,SUMPRODUCT(--(J$10:J$609&lt;J303))+1,""))</f>
        <v/>
      </c>
      <c r="L303" t="str">
        <f>IFERROR(INDEX(tblY9[Class],ROWS(L$10:L303))&amp;"","")</f>
        <v/>
      </c>
      <c r="M303" t="str">
        <f>IF(L303="","",IF(SUMPRODUCT(--(L$10:L303=L303))=1,SUMPRODUCT(--(L$10:L$609&lt;L303))+1,""))</f>
        <v/>
      </c>
      <c r="N303" t="str">
        <f>IFERROR(INDEX(tblY10[Class],ROWS(N$10:N303))&amp;"","")</f>
        <v/>
      </c>
      <c r="O303" t="str">
        <f>IF(N303="","",IF(SUMPRODUCT(--(N$10:N303=N303))=1,SUMPRODUCT(--(N$10:N$609&lt;N303))+1,""))</f>
        <v/>
      </c>
      <c r="P303" t="str">
        <f>IFERROR(INDEX(tblY11[Class],ROWS(P$10:P303))&amp;"","")</f>
        <v/>
      </c>
      <c r="Q303" t="str">
        <f>IF(P303="","",IF(SUMPRODUCT(--(P$10:P303=P303))=1,SUMPRODUCT(--(P$10:P$609&lt;P303))+1,""))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IFERROR(INDEX(tblY7[Class],ROWS(H$10:H304))&amp;"","")</f>
        <v/>
      </c>
      <c r="I304" t="str">
        <f>IF(H304="","",IF(SUMPRODUCT(--(H$10:H304=H304))=1,SUMPRODUCT(--(H$10:H$609&lt;H304))+1,""))</f>
        <v/>
      </c>
      <c r="J304" t="str">
        <f>IFERROR(INDEX(tblY8[Class],ROWS(J$10:J304))&amp;"","")</f>
        <v/>
      </c>
      <c r="K304" t="str">
        <f>IF(J304="","",IF(SUMPRODUCT(--(J$10:J304=J304))=1,SUMPRODUCT(--(J$10:J$609&lt;J304))+1,""))</f>
        <v/>
      </c>
      <c r="L304" t="str">
        <f>IFERROR(INDEX(tblY9[Class],ROWS(L$10:L304))&amp;"","")</f>
        <v/>
      </c>
      <c r="M304" t="str">
        <f>IF(L304="","",IF(SUMPRODUCT(--(L$10:L304=L304))=1,SUMPRODUCT(--(L$10:L$609&lt;L304))+1,""))</f>
        <v/>
      </c>
      <c r="N304" t="str">
        <f>IFERROR(INDEX(tblY10[Class],ROWS(N$10:N304))&amp;"","")</f>
        <v/>
      </c>
      <c r="O304" t="str">
        <f>IF(N304="","",IF(SUMPRODUCT(--(N$10:N304=N304))=1,SUMPRODUCT(--(N$10:N$609&lt;N304))+1,""))</f>
        <v/>
      </c>
      <c r="P304" t="str">
        <f>IFERROR(INDEX(tblY11[Class],ROWS(P$10:P304))&amp;"","")</f>
        <v/>
      </c>
      <c r="Q304" t="str">
        <f>IF(P304="","",IF(SUMPRODUCT(--(P$10:P304=P304))=1,SUMPRODUCT(--(P$10:P$609&lt;P304))+1,""))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IFERROR(INDEX(tblY7[Class],ROWS(H$10:H305))&amp;"","")</f>
        <v/>
      </c>
      <c r="I305" t="str">
        <f>IF(H305="","",IF(SUMPRODUCT(--(H$10:H305=H305))=1,SUMPRODUCT(--(H$10:H$609&lt;H305))+1,""))</f>
        <v/>
      </c>
      <c r="J305" t="str">
        <f>IFERROR(INDEX(tblY8[Class],ROWS(J$10:J305))&amp;"","")</f>
        <v/>
      </c>
      <c r="K305" t="str">
        <f>IF(J305="","",IF(SUMPRODUCT(--(J$10:J305=J305))=1,SUMPRODUCT(--(J$10:J$609&lt;J305))+1,""))</f>
        <v/>
      </c>
      <c r="L305" t="str">
        <f>IFERROR(INDEX(tblY9[Class],ROWS(L$10:L305))&amp;"","")</f>
        <v/>
      </c>
      <c r="M305" t="str">
        <f>IF(L305="","",IF(SUMPRODUCT(--(L$10:L305=L305))=1,SUMPRODUCT(--(L$10:L$609&lt;L305))+1,""))</f>
        <v/>
      </c>
      <c r="N305" t="str">
        <f>IFERROR(INDEX(tblY10[Class],ROWS(N$10:N305))&amp;"","")</f>
        <v/>
      </c>
      <c r="O305" t="str">
        <f>IF(N305="","",IF(SUMPRODUCT(--(N$10:N305=N305))=1,SUMPRODUCT(--(N$10:N$609&lt;N305))+1,""))</f>
        <v/>
      </c>
      <c r="P305" t="str">
        <f>IFERROR(INDEX(tblY11[Class],ROWS(P$10:P305))&amp;"","")</f>
        <v/>
      </c>
      <c r="Q305" t="str">
        <f>IF(P305="","",IF(SUMPRODUCT(--(P$10:P305=P305))=1,SUMPRODUCT(--(P$10:P$609&lt;P305))+1,""))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IFERROR(INDEX(tblY7[Class],ROWS(H$10:H306))&amp;"","")</f>
        <v/>
      </c>
      <c r="I306" t="str">
        <f>IF(H306="","",IF(SUMPRODUCT(--(H$10:H306=H306))=1,SUMPRODUCT(--(H$10:H$609&lt;H306))+1,""))</f>
        <v/>
      </c>
      <c r="J306" t="str">
        <f>IFERROR(INDEX(tblY8[Class],ROWS(J$10:J306))&amp;"","")</f>
        <v/>
      </c>
      <c r="K306" t="str">
        <f>IF(J306="","",IF(SUMPRODUCT(--(J$10:J306=J306))=1,SUMPRODUCT(--(J$10:J$609&lt;J306))+1,""))</f>
        <v/>
      </c>
      <c r="L306" t="str">
        <f>IFERROR(INDEX(tblY9[Class],ROWS(L$10:L306))&amp;"","")</f>
        <v/>
      </c>
      <c r="M306" t="str">
        <f>IF(L306="","",IF(SUMPRODUCT(--(L$10:L306=L306))=1,SUMPRODUCT(--(L$10:L$609&lt;L306))+1,""))</f>
        <v/>
      </c>
      <c r="N306" t="str">
        <f>IFERROR(INDEX(tblY10[Class],ROWS(N$10:N306))&amp;"","")</f>
        <v/>
      </c>
      <c r="O306" t="str">
        <f>IF(N306="","",IF(SUMPRODUCT(--(N$10:N306=N306))=1,SUMPRODUCT(--(N$10:N$609&lt;N306))+1,""))</f>
        <v/>
      </c>
      <c r="P306" t="str">
        <f>IFERROR(INDEX(tblY11[Class],ROWS(P$10:P306))&amp;"","")</f>
        <v/>
      </c>
      <c r="Q306" t="str">
        <f>IF(P306="","",IF(SUMPRODUCT(--(P$10:P306=P306))=1,SUMPRODUCT(--(P$10:P$609&lt;P306))+1,""))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IFERROR(INDEX(tblY7[Class],ROWS(H$10:H307))&amp;"","")</f>
        <v/>
      </c>
      <c r="I307" t="str">
        <f>IF(H307="","",IF(SUMPRODUCT(--(H$10:H307=H307))=1,SUMPRODUCT(--(H$10:H$609&lt;H307))+1,""))</f>
        <v/>
      </c>
      <c r="J307" t="str">
        <f>IFERROR(INDEX(tblY8[Class],ROWS(J$10:J307))&amp;"","")</f>
        <v/>
      </c>
      <c r="K307" t="str">
        <f>IF(J307="","",IF(SUMPRODUCT(--(J$10:J307=J307))=1,SUMPRODUCT(--(J$10:J$609&lt;J307))+1,""))</f>
        <v/>
      </c>
      <c r="L307" t="str">
        <f>IFERROR(INDEX(tblY9[Class],ROWS(L$10:L307))&amp;"","")</f>
        <v/>
      </c>
      <c r="M307" t="str">
        <f>IF(L307="","",IF(SUMPRODUCT(--(L$10:L307=L307))=1,SUMPRODUCT(--(L$10:L$609&lt;L307))+1,""))</f>
        <v/>
      </c>
      <c r="N307" t="str">
        <f>IFERROR(INDEX(tblY10[Class],ROWS(N$10:N307))&amp;"","")</f>
        <v/>
      </c>
      <c r="O307" t="str">
        <f>IF(N307="","",IF(SUMPRODUCT(--(N$10:N307=N307))=1,SUMPRODUCT(--(N$10:N$609&lt;N307))+1,""))</f>
        <v/>
      </c>
      <c r="P307" t="str">
        <f>IFERROR(INDEX(tblY11[Class],ROWS(P$10:P307))&amp;"","")</f>
        <v/>
      </c>
      <c r="Q307" t="str">
        <f>IF(P307="","",IF(SUMPRODUCT(--(P$10:P307=P307))=1,SUMPRODUCT(--(P$10:P$609&lt;P307))+1,""))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IFERROR(INDEX(tblY7[Class],ROWS(H$10:H308))&amp;"","")</f>
        <v/>
      </c>
      <c r="I308" t="str">
        <f>IF(H308="","",IF(SUMPRODUCT(--(H$10:H308=H308))=1,SUMPRODUCT(--(H$10:H$609&lt;H308))+1,""))</f>
        <v/>
      </c>
      <c r="J308" t="str">
        <f>IFERROR(INDEX(tblY8[Class],ROWS(J$10:J308))&amp;"","")</f>
        <v/>
      </c>
      <c r="K308" t="str">
        <f>IF(J308="","",IF(SUMPRODUCT(--(J$10:J308=J308))=1,SUMPRODUCT(--(J$10:J$609&lt;J308))+1,""))</f>
        <v/>
      </c>
      <c r="L308" t="str">
        <f>IFERROR(INDEX(tblY9[Class],ROWS(L$10:L308))&amp;"","")</f>
        <v/>
      </c>
      <c r="M308" t="str">
        <f>IF(L308="","",IF(SUMPRODUCT(--(L$10:L308=L308))=1,SUMPRODUCT(--(L$10:L$609&lt;L308))+1,""))</f>
        <v/>
      </c>
      <c r="N308" t="str">
        <f>IFERROR(INDEX(tblY10[Class],ROWS(N$10:N308))&amp;"","")</f>
        <v/>
      </c>
      <c r="O308" t="str">
        <f>IF(N308="","",IF(SUMPRODUCT(--(N$10:N308=N308))=1,SUMPRODUCT(--(N$10:N$609&lt;N308))+1,""))</f>
        <v/>
      </c>
      <c r="P308" t="str">
        <f>IFERROR(INDEX(tblY11[Class],ROWS(P$10:P308))&amp;"","")</f>
        <v/>
      </c>
      <c r="Q308" t="str">
        <f>IF(P308="","",IF(SUMPRODUCT(--(P$10:P308=P308))=1,SUMPRODUCT(--(P$10:P$609&lt;P308))+1,""))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IFERROR(INDEX(tblY7[Class],ROWS(H$10:H309))&amp;"","")</f>
        <v/>
      </c>
      <c r="I309" t="str">
        <f>IF(H309="","",IF(SUMPRODUCT(--(H$10:H309=H309))=1,SUMPRODUCT(--(H$10:H$609&lt;H309))+1,""))</f>
        <v/>
      </c>
      <c r="J309" t="str">
        <f>IFERROR(INDEX(tblY8[Class],ROWS(J$10:J309))&amp;"","")</f>
        <v/>
      </c>
      <c r="K309" t="str">
        <f>IF(J309="","",IF(SUMPRODUCT(--(J$10:J309=J309))=1,SUMPRODUCT(--(J$10:J$609&lt;J309))+1,""))</f>
        <v/>
      </c>
      <c r="L309" t="str">
        <f>IFERROR(INDEX(tblY9[Class],ROWS(L$10:L309))&amp;"","")</f>
        <v/>
      </c>
      <c r="M309" t="str">
        <f>IF(L309="","",IF(SUMPRODUCT(--(L$10:L309=L309))=1,SUMPRODUCT(--(L$10:L$609&lt;L309))+1,""))</f>
        <v/>
      </c>
      <c r="N309" t="str">
        <f>IFERROR(INDEX(tblY10[Class],ROWS(N$10:N309))&amp;"","")</f>
        <v/>
      </c>
      <c r="O309" t="str">
        <f>IF(N309="","",IF(SUMPRODUCT(--(N$10:N309=N309))=1,SUMPRODUCT(--(N$10:N$609&lt;N309))+1,""))</f>
        <v/>
      </c>
      <c r="P309" t="str">
        <f>IFERROR(INDEX(tblY11[Class],ROWS(P$10:P309))&amp;"","")</f>
        <v/>
      </c>
      <c r="Q309" t="str">
        <f>IF(P309="","",IF(SUMPRODUCT(--(P$10:P309=P309))=1,SUMPRODUCT(--(P$10:P$609&lt;P309))+1,""))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IFERROR(INDEX(tblY7[Class],ROWS(H$10:H310))&amp;"","")</f>
        <v/>
      </c>
      <c r="I310" t="str">
        <f>IF(H310="","",IF(SUMPRODUCT(--(H$10:H310=H310))=1,SUMPRODUCT(--(H$10:H$609&lt;H310))+1,""))</f>
        <v/>
      </c>
      <c r="J310" t="str">
        <f>IFERROR(INDEX(tblY8[Class],ROWS(J$10:J310))&amp;"","")</f>
        <v/>
      </c>
      <c r="K310" t="str">
        <f>IF(J310="","",IF(SUMPRODUCT(--(J$10:J310=J310))=1,SUMPRODUCT(--(J$10:J$609&lt;J310))+1,""))</f>
        <v/>
      </c>
      <c r="L310" t="str">
        <f>IFERROR(INDEX(tblY9[Class],ROWS(L$10:L310))&amp;"","")</f>
        <v/>
      </c>
      <c r="M310" t="str">
        <f>IF(L310="","",IF(SUMPRODUCT(--(L$10:L310=L310))=1,SUMPRODUCT(--(L$10:L$609&lt;L310))+1,""))</f>
        <v/>
      </c>
      <c r="N310" t="str">
        <f>IFERROR(INDEX(tblY10[Class],ROWS(N$10:N310))&amp;"","")</f>
        <v/>
      </c>
      <c r="O310" t="str">
        <f>IF(N310="","",IF(SUMPRODUCT(--(N$10:N310=N310))=1,SUMPRODUCT(--(N$10:N$609&lt;N310))+1,""))</f>
        <v/>
      </c>
      <c r="P310" t="str">
        <f>IFERROR(INDEX(tblY11[Class],ROWS(P$10:P310))&amp;"","")</f>
        <v/>
      </c>
      <c r="Q310" t="str">
        <f>IF(P310="","",IF(SUMPRODUCT(--(P$10:P310=P310))=1,SUMPRODUCT(--(P$10:P$609&lt;P310))+1,""))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IFERROR(INDEX(tblY7[Class],ROWS(H$10:H311))&amp;"","")</f>
        <v/>
      </c>
      <c r="I311" t="str">
        <f>IF(H311="","",IF(SUMPRODUCT(--(H$10:H311=H311))=1,SUMPRODUCT(--(H$10:H$609&lt;H311))+1,""))</f>
        <v/>
      </c>
      <c r="J311" t="str">
        <f>IFERROR(INDEX(tblY8[Class],ROWS(J$10:J311))&amp;"","")</f>
        <v/>
      </c>
      <c r="K311" t="str">
        <f>IF(J311="","",IF(SUMPRODUCT(--(J$10:J311=J311))=1,SUMPRODUCT(--(J$10:J$609&lt;J311))+1,""))</f>
        <v/>
      </c>
      <c r="L311" t="str">
        <f>IFERROR(INDEX(tblY9[Class],ROWS(L$10:L311))&amp;"","")</f>
        <v/>
      </c>
      <c r="M311" t="str">
        <f>IF(L311="","",IF(SUMPRODUCT(--(L$10:L311=L311))=1,SUMPRODUCT(--(L$10:L$609&lt;L311))+1,""))</f>
        <v/>
      </c>
      <c r="N311" t="str">
        <f>IFERROR(INDEX(tblY10[Class],ROWS(N$10:N311))&amp;"","")</f>
        <v/>
      </c>
      <c r="O311" t="str">
        <f>IF(N311="","",IF(SUMPRODUCT(--(N$10:N311=N311))=1,SUMPRODUCT(--(N$10:N$609&lt;N311))+1,""))</f>
        <v/>
      </c>
      <c r="P311" t="str">
        <f>IFERROR(INDEX(tblY11[Class],ROWS(P$10:P311))&amp;"","")</f>
        <v/>
      </c>
      <c r="Q311" t="str">
        <f>IF(P311="","",IF(SUMPRODUCT(--(P$10:P311=P311))=1,SUMPRODUCT(--(P$10:P$609&lt;P311))+1,""))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IFERROR(INDEX(tblY7[Class],ROWS(H$10:H312))&amp;"","")</f>
        <v/>
      </c>
      <c r="I312" t="str">
        <f>IF(H312="","",IF(SUMPRODUCT(--(H$10:H312=H312))=1,SUMPRODUCT(--(H$10:H$609&lt;H312))+1,""))</f>
        <v/>
      </c>
      <c r="J312" t="str">
        <f>IFERROR(INDEX(tblY8[Class],ROWS(J$10:J312))&amp;"","")</f>
        <v/>
      </c>
      <c r="K312" t="str">
        <f>IF(J312="","",IF(SUMPRODUCT(--(J$10:J312=J312))=1,SUMPRODUCT(--(J$10:J$609&lt;J312))+1,""))</f>
        <v/>
      </c>
      <c r="L312" t="str">
        <f>IFERROR(INDEX(tblY9[Class],ROWS(L$10:L312))&amp;"","")</f>
        <v/>
      </c>
      <c r="M312" t="str">
        <f>IF(L312="","",IF(SUMPRODUCT(--(L$10:L312=L312))=1,SUMPRODUCT(--(L$10:L$609&lt;L312))+1,""))</f>
        <v/>
      </c>
      <c r="N312" t="str">
        <f>IFERROR(INDEX(tblY10[Class],ROWS(N$10:N312))&amp;"","")</f>
        <v/>
      </c>
      <c r="O312" t="str">
        <f>IF(N312="","",IF(SUMPRODUCT(--(N$10:N312=N312))=1,SUMPRODUCT(--(N$10:N$609&lt;N312))+1,""))</f>
        <v/>
      </c>
      <c r="P312" t="str">
        <f>IFERROR(INDEX(tblY11[Class],ROWS(P$10:P312))&amp;"","")</f>
        <v/>
      </c>
      <c r="Q312" t="str">
        <f>IF(P312="","",IF(SUMPRODUCT(--(P$10:P312=P312))=1,SUMPRODUCT(--(P$10:P$609&lt;P312))+1,""))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IFERROR(INDEX(tblY7[Class],ROWS(H$10:H313))&amp;"","")</f>
        <v/>
      </c>
      <c r="I313" t="str">
        <f>IF(H313="","",IF(SUMPRODUCT(--(H$10:H313=H313))=1,SUMPRODUCT(--(H$10:H$609&lt;H313))+1,""))</f>
        <v/>
      </c>
      <c r="J313" t="str">
        <f>IFERROR(INDEX(tblY8[Class],ROWS(J$10:J313))&amp;"","")</f>
        <v/>
      </c>
      <c r="K313" t="str">
        <f>IF(J313="","",IF(SUMPRODUCT(--(J$10:J313=J313))=1,SUMPRODUCT(--(J$10:J$609&lt;J313))+1,""))</f>
        <v/>
      </c>
      <c r="L313" t="str">
        <f>IFERROR(INDEX(tblY9[Class],ROWS(L$10:L313))&amp;"","")</f>
        <v/>
      </c>
      <c r="M313" t="str">
        <f>IF(L313="","",IF(SUMPRODUCT(--(L$10:L313=L313))=1,SUMPRODUCT(--(L$10:L$609&lt;L313))+1,""))</f>
        <v/>
      </c>
      <c r="N313" t="str">
        <f>IFERROR(INDEX(tblY10[Class],ROWS(N$10:N313))&amp;"","")</f>
        <v/>
      </c>
      <c r="O313" t="str">
        <f>IF(N313="","",IF(SUMPRODUCT(--(N$10:N313=N313))=1,SUMPRODUCT(--(N$10:N$609&lt;N313))+1,""))</f>
        <v/>
      </c>
      <c r="P313" t="str">
        <f>IFERROR(INDEX(tblY11[Class],ROWS(P$10:P313))&amp;"","")</f>
        <v/>
      </c>
      <c r="Q313" t="str">
        <f>IF(P313="","",IF(SUMPRODUCT(--(P$10:P313=P313))=1,SUMPRODUCT(--(P$10:P$609&lt;P313))+1,""))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IFERROR(INDEX(tblY7[Class],ROWS(H$10:H314))&amp;"","")</f>
        <v/>
      </c>
      <c r="I314" t="str">
        <f>IF(H314="","",IF(SUMPRODUCT(--(H$10:H314=H314))=1,SUMPRODUCT(--(H$10:H$609&lt;H314))+1,""))</f>
        <v/>
      </c>
      <c r="J314" t="str">
        <f>IFERROR(INDEX(tblY8[Class],ROWS(J$10:J314))&amp;"","")</f>
        <v/>
      </c>
      <c r="K314" t="str">
        <f>IF(J314="","",IF(SUMPRODUCT(--(J$10:J314=J314))=1,SUMPRODUCT(--(J$10:J$609&lt;J314))+1,""))</f>
        <v/>
      </c>
      <c r="L314" t="str">
        <f>IFERROR(INDEX(tblY9[Class],ROWS(L$10:L314))&amp;"","")</f>
        <v/>
      </c>
      <c r="M314" t="str">
        <f>IF(L314="","",IF(SUMPRODUCT(--(L$10:L314=L314))=1,SUMPRODUCT(--(L$10:L$609&lt;L314))+1,""))</f>
        <v/>
      </c>
      <c r="N314" t="str">
        <f>IFERROR(INDEX(tblY10[Class],ROWS(N$10:N314))&amp;"","")</f>
        <v/>
      </c>
      <c r="O314" t="str">
        <f>IF(N314="","",IF(SUMPRODUCT(--(N$10:N314=N314))=1,SUMPRODUCT(--(N$10:N$609&lt;N314))+1,""))</f>
        <v/>
      </c>
      <c r="P314" t="str">
        <f>IFERROR(INDEX(tblY11[Class],ROWS(P$10:P314))&amp;"","")</f>
        <v/>
      </c>
      <c r="Q314" t="str">
        <f>IF(P314="","",IF(SUMPRODUCT(--(P$10:P314=P314))=1,SUMPRODUCT(--(P$10:P$609&lt;P314))+1,""))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IFERROR(INDEX(tblY7[Class],ROWS(H$10:H315))&amp;"","")</f>
        <v/>
      </c>
      <c r="I315" t="str">
        <f>IF(H315="","",IF(SUMPRODUCT(--(H$10:H315=H315))=1,SUMPRODUCT(--(H$10:H$609&lt;H315))+1,""))</f>
        <v/>
      </c>
      <c r="J315" t="str">
        <f>IFERROR(INDEX(tblY8[Class],ROWS(J$10:J315))&amp;"","")</f>
        <v/>
      </c>
      <c r="K315" t="str">
        <f>IF(J315="","",IF(SUMPRODUCT(--(J$10:J315=J315))=1,SUMPRODUCT(--(J$10:J$609&lt;J315))+1,""))</f>
        <v/>
      </c>
      <c r="L315" t="str">
        <f>IFERROR(INDEX(tblY9[Class],ROWS(L$10:L315))&amp;"","")</f>
        <v/>
      </c>
      <c r="M315" t="str">
        <f>IF(L315="","",IF(SUMPRODUCT(--(L$10:L315=L315))=1,SUMPRODUCT(--(L$10:L$609&lt;L315))+1,""))</f>
        <v/>
      </c>
      <c r="N315" t="str">
        <f>IFERROR(INDEX(tblY10[Class],ROWS(N$10:N315))&amp;"","")</f>
        <v/>
      </c>
      <c r="O315" t="str">
        <f>IF(N315="","",IF(SUMPRODUCT(--(N$10:N315=N315))=1,SUMPRODUCT(--(N$10:N$609&lt;N315))+1,""))</f>
        <v/>
      </c>
      <c r="P315" t="str">
        <f>IFERROR(INDEX(tblY11[Class],ROWS(P$10:P315))&amp;"","")</f>
        <v/>
      </c>
      <c r="Q315" t="str">
        <f>IF(P315="","",IF(SUMPRODUCT(--(P$10:P315=P315))=1,SUMPRODUCT(--(P$10:P$609&lt;P315))+1,""))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IFERROR(INDEX(tblY7[Class],ROWS(H$10:H316))&amp;"","")</f>
        <v/>
      </c>
      <c r="I316" t="str">
        <f>IF(H316="","",IF(SUMPRODUCT(--(H$10:H316=H316))=1,SUMPRODUCT(--(H$10:H$609&lt;H316))+1,""))</f>
        <v/>
      </c>
      <c r="J316" t="str">
        <f>IFERROR(INDEX(tblY8[Class],ROWS(J$10:J316))&amp;"","")</f>
        <v/>
      </c>
      <c r="K316" t="str">
        <f>IF(J316="","",IF(SUMPRODUCT(--(J$10:J316=J316))=1,SUMPRODUCT(--(J$10:J$609&lt;J316))+1,""))</f>
        <v/>
      </c>
      <c r="L316" t="str">
        <f>IFERROR(INDEX(tblY9[Class],ROWS(L$10:L316))&amp;"","")</f>
        <v/>
      </c>
      <c r="M316" t="str">
        <f>IF(L316="","",IF(SUMPRODUCT(--(L$10:L316=L316))=1,SUMPRODUCT(--(L$10:L$609&lt;L316))+1,""))</f>
        <v/>
      </c>
      <c r="N316" t="str">
        <f>IFERROR(INDEX(tblY10[Class],ROWS(N$10:N316))&amp;"","")</f>
        <v/>
      </c>
      <c r="O316" t="str">
        <f>IF(N316="","",IF(SUMPRODUCT(--(N$10:N316=N316))=1,SUMPRODUCT(--(N$10:N$609&lt;N316))+1,""))</f>
        <v/>
      </c>
      <c r="P316" t="str">
        <f>IFERROR(INDEX(tblY11[Class],ROWS(P$10:P316))&amp;"","")</f>
        <v/>
      </c>
      <c r="Q316" t="str">
        <f>IF(P316="","",IF(SUMPRODUCT(--(P$10:P316=P316))=1,SUMPRODUCT(--(P$10:P$609&lt;P316))+1,""))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IFERROR(INDEX(tblY7[Class],ROWS(H$10:H317))&amp;"","")</f>
        <v/>
      </c>
      <c r="I317" t="str">
        <f>IF(H317="","",IF(SUMPRODUCT(--(H$10:H317=H317))=1,SUMPRODUCT(--(H$10:H$609&lt;H317))+1,""))</f>
        <v/>
      </c>
      <c r="J317" t="str">
        <f>IFERROR(INDEX(tblY8[Class],ROWS(J$10:J317))&amp;"","")</f>
        <v/>
      </c>
      <c r="K317" t="str">
        <f>IF(J317="","",IF(SUMPRODUCT(--(J$10:J317=J317))=1,SUMPRODUCT(--(J$10:J$609&lt;J317))+1,""))</f>
        <v/>
      </c>
      <c r="L317" t="str">
        <f>IFERROR(INDEX(tblY9[Class],ROWS(L$10:L317))&amp;"","")</f>
        <v/>
      </c>
      <c r="M317" t="str">
        <f>IF(L317="","",IF(SUMPRODUCT(--(L$10:L317=L317))=1,SUMPRODUCT(--(L$10:L$609&lt;L317))+1,""))</f>
        <v/>
      </c>
      <c r="N317" t="str">
        <f>IFERROR(INDEX(tblY10[Class],ROWS(N$10:N317))&amp;"","")</f>
        <v/>
      </c>
      <c r="O317" t="str">
        <f>IF(N317="","",IF(SUMPRODUCT(--(N$10:N317=N317))=1,SUMPRODUCT(--(N$10:N$609&lt;N317))+1,""))</f>
        <v/>
      </c>
      <c r="P317" t="str">
        <f>IFERROR(INDEX(tblY11[Class],ROWS(P$10:P317))&amp;"","")</f>
        <v/>
      </c>
      <c r="Q317" t="str">
        <f>IF(P317="","",IF(SUMPRODUCT(--(P$10:P317=P317))=1,SUMPRODUCT(--(P$10:P$609&lt;P317))+1,""))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IFERROR(INDEX(tblY7[Class],ROWS(H$10:H318))&amp;"","")</f>
        <v/>
      </c>
      <c r="I318" t="str">
        <f>IF(H318="","",IF(SUMPRODUCT(--(H$10:H318=H318))=1,SUMPRODUCT(--(H$10:H$609&lt;H318))+1,""))</f>
        <v/>
      </c>
      <c r="J318" t="str">
        <f>IFERROR(INDEX(tblY8[Class],ROWS(J$10:J318))&amp;"","")</f>
        <v/>
      </c>
      <c r="K318" t="str">
        <f>IF(J318="","",IF(SUMPRODUCT(--(J$10:J318=J318))=1,SUMPRODUCT(--(J$10:J$609&lt;J318))+1,""))</f>
        <v/>
      </c>
      <c r="L318" t="str">
        <f>IFERROR(INDEX(tblY9[Class],ROWS(L$10:L318))&amp;"","")</f>
        <v/>
      </c>
      <c r="M318" t="str">
        <f>IF(L318="","",IF(SUMPRODUCT(--(L$10:L318=L318))=1,SUMPRODUCT(--(L$10:L$609&lt;L318))+1,""))</f>
        <v/>
      </c>
      <c r="N318" t="str">
        <f>IFERROR(INDEX(tblY10[Class],ROWS(N$10:N318))&amp;"","")</f>
        <v/>
      </c>
      <c r="O318" t="str">
        <f>IF(N318="","",IF(SUMPRODUCT(--(N$10:N318=N318))=1,SUMPRODUCT(--(N$10:N$609&lt;N318))+1,""))</f>
        <v/>
      </c>
      <c r="P318" t="str">
        <f>IFERROR(INDEX(tblY11[Class],ROWS(P$10:P318))&amp;"","")</f>
        <v/>
      </c>
      <c r="Q318" t="str">
        <f>IF(P318="","",IF(SUMPRODUCT(--(P$10:P318=P318))=1,SUMPRODUCT(--(P$10:P$609&lt;P318))+1,""))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IFERROR(INDEX(tblY7[Class],ROWS(H$10:H319))&amp;"","")</f>
        <v/>
      </c>
      <c r="I319" t="str">
        <f>IF(H319="","",IF(SUMPRODUCT(--(H$10:H319=H319))=1,SUMPRODUCT(--(H$10:H$609&lt;H319))+1,""))</f>
        <v/>
      </c>
      <c r="J319" t="str">
        <f>IFERROR(INDEX(tblY8[Class],ROWS(J$10:J319))&amp;"","")</f>
        <v/>
      </c>
      <c r="K319" t="str">
        <f>IF(J319="","",IF(SUMPRODUCT(--(J$10:J319=J319))=1,SUMPRODUCT(--(J$10:J$609&lt;J319))+1,""))</f>
        <v/>
      </c>
      <c r="L319" t="str">
        <f>IFERROR(INDEX(tblY9[Class],ROWS(L$10:L319))&amp;"","")</f>
        <v/>
      </c>
      <c r="M319" t="str">
        <f>IF(L319="","",IF(SUMPRODUCT(--(L$10:L319=L319))=1,SUMPRODUCT(--(L$10:L$609&lt;L319))+1,""))</f>
        <v/>
      </c>
      <c r="N319" t="str">
        <f>IFERROR(INDEX(tblY10[Class],ROWS(N$10:N319))&amp;"","")</f>
        <v/>
      </c>
      <c r="O319" t="str">
        <f>IF(N319="","",IF(SUMPRODUCT(--(N$10:N319=N319))=1,SUMPRODUCT(--(N$10:N$609&lt;N319))+1,""))</f>
        <v/>
      </c>
      <c r="P319" t="str">
        <f>IFERROR(INDEX(tblY11[Class],ROWS(P$10:P319))&amp;"","")</f>
        <v/>
      </c>
      <c r="Q319" t="str">
        <f>IF(P319="","",IF(SUMPRODUCT(--(P$10:P319=P319))=1,SUMPRODUCT(--(P$10:P$609&lt;P319))+1,""))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IFERROR(INDEX(tblY7[Class],ROWS(H$10:H320))&amp;"","")</f>
        <v/>
      </c>
      <c r="I320" t="str">
        <f>IF(H320="","",IF(SUMPRODUCT(--(H$10:H320=H320))=1,SUMPRODUCT(--(H$10:H$609&lt;H320))+1,""))</f>
        <v/>
      </c>
      <c r="J320" t="str">
        <f>IFERROR(INDEX(tblY8[Class],ROWS(J$10:J320))&amp;"","")</f>
        <v/>
      </c>
      <c r="K320" t="str">
        <f>IF(J320="","",IF(SUMPRODUCT(--(J$10:J320=J320))=1,SUMPRODUCT(--(J$10:J$609&lt;J320))+1,""))</f>
        <v/>
      </c>
      <c r="L320" t="str">
        <f>IFERROR(INDEX(tblY9[Class],ROWS(L$10:L320))&amp;"","")</f>
        <v/>
      </c>
      <c r="M320" t="str">
        <f>IF(L320="","",IF(SUMPRODUCT(--(L$10:L320=L320))=1,SUMPRODUCT(--(L$10:L$609&lt;L320))+1,""))</f>
        <v/>
      </c>
      <c r="N320" t="str">
        <f>IFERROR(INDEX(tblY10[Class],ROWS(N$10:N320))&amp;"","")</f>
        <v/>
      </c>
      <c r="O320" t="str">
        <f>IF(N320="","",IF(SUMPRODUCT(--(N$10:N320=N320))=1,SUMPRODUCT(--(N$10:N$609&lt;N320))+1,""))</f>
        <v/>
      </c>
      <c r="P320" t="str">
        <f>IFERROR(INDEX(tblY11[Class],ROWS(P$10:P320))&amp;"","")</f>
        <v/>
      </c>
      <c r="Q320" t="str">
        <f>IF(P320="","",IF(SUMPRODUCT(--(P$10:P320=P320))=1,SUMPRODUCT(--(P$10:P$609&lt;P320))+1,""))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IFERROR(INDEX(tblY7[Class],ROWS(H$10:H321))&amp;"","")</f>
        <v/>
      </c>
      <c r="I321" t="str">
        <f>IF(H321="","",IF(SUMPRODUCT(--(H$10:H321=H321))=1,SUMPRODUCT(--(H$10:H$609&lt;H321))+1,""))</f>
        <v/>
      </c>
      <c r="J321" t="str">
        <f>IFERROR(INDEX(tblY8[Class],ROWS(J$10:J321))&amp;"","")</f>
        <v/>
      </c>
      <c r="K321" t="str">
        <f>IF(J321="","",IF(SUMPRODUCT(--(J$10:J321=J321))=1,SUMPRODUCT(--(J$10:J$609&lt;J321))+1,""))</f>
        <v/>
      </c>
      <c r="L321" t="str">
        <f>IFERROR(INDEX(tblY9[Class],ROWS(L$10:L321))&amp;"","")</f>
        <v/>
      </c>
      <c r="M321" t="str">
        <f>IF(L321="","",IF(SUMPRODUCT(--(L$10:L321=L321))=1,SUMPRODUCT(--(L$10:L$609&lt;L321))+1,""))</f>
        <v/>
      </c>
      <c r="N321" t="str">
        <f>IFERROR(INDEX(tblY10[Class],ROWS(N$10:N321))&amp;"","")</f>
        <v/>
      </c>
      <c r="O321" t="str">
        <f>IF(N321="","",IF(SUMPRODUCT(--(N$10:N321=N321))=1,SUMPRODUCT(--(N$10:N$609&lt;N321))+1,""))</f>
        <v/>
      </c>
      <c r="P321" t="str">
        <f>IFERROR(INDEX(tblY11[Class],ROWS(P$10:P321))&amp;"","")</f>
        <v/>
      </c>
      <c r="Q321" t="str">
        <f>IF(P321="","",IF(SUMPRODUCT(--(P$10:P321=P321))=1,SUMPRODUCT(--(P$10:P$609&lt;P321))+1,""))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IFERROR(INDEX(tblY7[Class],ROWS(H$10:H322))&amp;"","")</f>
        <v/>
      </c>
      <c r="I322" t="str">
        <f>IF(H322="","",IF(SUMPRODUCT(--(H$10:H322=H322))=1,SUMPRODUCT(--(H$10:H$609&lt;H322))+1,""))</f>
        <v/>
      </c>
      <c r="J322" t="str">
        <f>IFERROR(INDEX(tblY8[Class],ROWS(J$10:J322))&amp;"","")</f>
        <v/>
      </c>
      <c r="K322" t="str">
        <f>IF(J322="","",IF(SUMPRODUCT(--(J$10:J322=J322))=1,SUMPRODUCT(--(J$10:J$609&lt;J322))+1,""))</f>
        <v/>
      </c>
      <c r="L322" t="str">
        <f>IFERROR(INDEX(tblY9[Class],ROWS(L$10:L322))&amp;"","")</f>
        <v/>
      </c>
      <c r="M322" t="str">
        <f>IF(L322="","",IF(SUMPRODUCT(--(L$10:L322=L322))=1,SUMPRODUCT(--(L$10:L$609&lt;L322))+1,""))</f>
        <v/>
      </c>
      <c r="N322" t="str">
        <f>IFERROR(INDEX(tblY10[Class],ROWS(N$10:N322))&amp;"","")</f>
        <v/>
      </c>
      <c r="O322" t="str">
        <f>IF(N322="","",IF(SUMPRODUCT(--(N$10:N322=N322))=1,SUMPRODUCT(--(N$10:N$609&lt;N322))+1,""))</f>
        <v/>
      </c>
      <c r="P322" t="str">
        <f>IFERROR(INDEX(tblY11[Class],ROWS(P$10:P322))&amp;"","")</f>
        <v/>
      </c>
      <c r="Q322" t="str">
        <f>IF(P322="","",IF(SUMPRODUCT(--(P$10:P322=P322))=1,SUMPRODUCT(--(P$10:P$609&lt;P322))+1,""))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IFERROR(INDEX(tblY7[Class],ROWS(H$10:H323))&amp;"","")</f>
        <v/>
      </c>
      <c r="I323" t="str">
        <f>IF(H323="","",IF(SUMPRODUCT(--(H$10:H323=H323))=1,SUMPRODUCT(--(H$10:H$609&lt;H323))+1,""))</f>
        <v/>
      </c>
      <c r="J323" t="str">
        <f>IFERROR(INDEX(tblY8[Class],ROWS(J$10:J323))&amp;"","")</f>
        <v/>
      </c>
      <c r="K323" t="str">
        <f>IF(J323="","",IF(SUMPRODUCT(--(J$10:J323=J323))=1,SUMPRODUCT(--(J$10:J$609&lt;J323))+1,""))</f>
        <v/>
      </c>
      <c r="L323" t="str">
        <f>IFERROR(INDEX(tblY9[Class],ROWS(L$10:L323))&amp;"","")</f>
        <v/>
      </c>
      <c r="M323" t="str">
        <f>IF(L323="","",IF(SUMPRODUCT(--(L$10:L323=L323))=1,SUMPRODUCT(--(L$10:L$609&lt;L323))+1,""))</f>
        <v/>
      </c>
      <c r="N323" t="str">
        <f>IFERROR(INDEX(tblY10[Class],ROWS(N$10:N323))&amp;"","")</f>
        <v/>
      </c>
      <c r="O323" t="str">
        <f>IF(N323="","",IF(SUMPRODUCT(--(N$10:N323=N323))=1,SUMPRODUCT(--(N$10:N$609&lt;N323))+1,""))</f>
        <v/>
      </c>
      <c r="P323" t="str">
        <f>IFERROR(INDEX(tblY11[Class],ROWS(P$10:P323))&amp;"","")</f>
        <v/>
      </c>
      <c r="Q323" t="str">
        <f>IF(P323="","",IF(SUMPRODUCT(--(P$10:P323=P323))=1,SUMPRODUCT(--(P$10:P$609&lt;P323))+1,""))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IFERROR(INDEX(tblY7[Class],ROWS(H$10:H324))&amp;"","")</f>
        <v/>
      </c>
      <c r="I324" t="str">
        <f>IF(H324="","",IF(SUMPRODUCT(--(H$10:H324=H324))=1,SUMPRODUCT(--(H$10:H$609&lt;H324))+1,""))</f>
        <v/>
      </c>
      <c r="J324" t="str">
        <f>IFERROR(INDEX(tblY8[Class],ROWS(J$10:J324))&amp;"","")</f>
        <v/>
      </c>
      <c r="K324" t="str">
        <f>IF(J324="","",IF(SUMPRODUCT(--(J$10:J324=J324))=1,SUMPRODUCT(--(J$10:J$609&lt;J324))+1,""))</f>
        <v/>
      </c>
      <c r="L324" t="str">
        <f>IFERROR(INDEX(tblY9[Class],ROWS(L$10:L324))&amp;"","")</f>
        <v/>
      </c>
      <c r="M324" t="str">
        <f>IF(L324="","",IF(SUMPRODUCT(--(L$10:L324=L324))=1,SUMPRODUCT(--(L$10:L$609&lt;L324))+1,""))</f>
        <v/>
      </c>
      <c r="N324" t="str">
        <f>IFERROR(INDEX(tblY10[Class],ROWS(N$10:N324))&amp;"","")</f>
        <v/>
      </c>
      <c r="O324" t="str">
        <f>IF(N324="","",IF(SUMPRODUCT(--(N$10:N324=N324))=1,SUMPRODUCT(--(N$10:N$609&lt;N324))+1,""))</f>
        <v/>
      </c>
      <c r="P324" t="str">
        <f>IFERROR(INDEX(tblY11[Class],ROWS(P$10:P324))&amp;"","")</f>
        <v/>
      </c>
      <c r="Q324" t="str">
        <f>IF(P324="","",IF(SUMPRODUCT(--(P$10:P324=P324))=1,SUMPRODUCT(--(P$10:P$609&lt;P324))+1,""))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IFERROR(INDEX(tblY7[Class],ROWS(H$10:H325))&amp;"","")</f>
        <v/>
      </c>
      <c r="I325" t="str">
        <f>IF(H325="","",IF(SUMPRODUCT(--(H$10:H325=H325))=1,SUMPRODUCT(--(H$10:H$609&lt;H325))+1,""))</f>
        <v/>
      </c>
      <c r="J325" t="str">
        <f>IFERROR(INDEX(tblY8[Class],ROWS(J$10:J325))&amp;"","")</f>
        <v/>
      </c>
      <c r="K325" t="str">
        <f>IF(J325="","",IF(SUMPRODUCT(--(J$10:J325=J325))=1,SUMPRODUCT(--(J$10:J$609&lt;J325))+1,""))</f>
        <v/>
      </c>
      <c r="L325" t="str">
        <f>IFERROR(INDEX(tblY9[Class],ROWS(L$10:L325))&amp;"","")</f>
        <v/>
      </c>
      <c r="M325" t="str">
        <f>IF(L325="","",IF(SUMPRODUCT(--(L$10:L325=L325))=1,SUMPRODUCT(--(L$10:L$609&lt;L325))+1,""))</f>
        <v/>
      </c>
      <c r="N325" t="str">
        <f>IFERROR(INDEX(tblY10[Class],ROWS(N$10:N325))&amp;"","")</f>
        <v/>
      </c>
      <c r="O325" t="str">
        <f>IF(N325="","",IF(SUMPRODUCT(--(N$10:N325=N325))=1,SUMPRODUCT(--(N$10:N$609&lt;N325))+1,""))</f>
        <v/>
      </c>
      <c r="P325" t="str">
        <f>IFERROR(INDEX(tblY11[Class],ROWS(P$10:P325))&amp;"","")</f>
        <v/>
      </c>
      <c r="Q325" t="str">
        <f>IF(P325="","",IF(SUMPRODUCT(--(P$10:P325=P325))=1,SUMPRODUCT(--(P$10:P$609&lt;P325))+1,""))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IFERROR(INDEX(tblY7[Class],ROWS(H$10:H326))&amp;"","")</f>
        <v/>
      </c>
      <c r="I326" t="str">
        <f>IF(H326="","",IF(SUMPRODUCT(--(H$10:H326=H326))=1,SUMPRODUCT(--(H$10:H$609&lt;H326))+1,""))</f>
        <v/>
      </c>
      <c r="J326" t="str">
        <f>IFERROR(INDEX(tblY8[Class],ROWS(J$10:J326))&amp;"","")</f>
        <v/>
      </c>
      <c r="K326" t="str">
        <f>IF(J326="","",IF(SUMPRODUCT(--(J$10:J326=J326))=1,SUMPRODUCT(--(J$10:J$609&lt;J326))+1,""))</f>
        <v/>
      </c>
      <c r="L326" t="str">
        <f>IFERROR(INDEX(tblY9[Class],ROWS(L$10:L326))&amp;"","")</f>
        <v/>
      </c>
      <c r="M326" t="str">
        <f>IF(L326="","",IF(SUMPRODUCT(--(L$10:L326=L326))=1,SUMPRODUCT(--(L$10:L$609&lt;L326))+1,""))</f>
        <v/>
      </c>
      <c r="N326" t="str">
        <f>IFERROR(INDEX(tblY10[Class],ROWS(N$10:N326))&amp;"","")</f>
        <v/>
      </c>
      <c r="O326" t="str">
        <f>IF(N326="","",IF(SUMPRODUCT(--(N$10:N326=N326))=1,SUMPRODUCT(--(N$10:N$609&lt;N326))+1,""))</f>
        <v/>
      </c>
      <c r="P326" t="str">
        <f>IFERROR(INDEX(tblY11[Class],ROWS(P$10:P326))&amp;"","")</f>
        <v/>
      </c>
      <c r="Q326" t="str">
        <f>IF(P326="","",IF(SUMPRODUCT(--(P$10:P326=P326))=1,SUMPRODUCT(--(P$10:P$609&lt;P326))+1,""))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IFERROR(INDEX(tblY7[Class],ROWS(H$10:H327))&amp;"","")</f>
        <v/>
      </c>
      <c r="I327" t="str">
        <f>IF(H327="","",IF(SUMPRODUCT(--(H$10:H327=H327))=1,SUMPRODUCT(--(H$10:H$609&lt;H327))+1,""))</f>
        <v/>
      </c>
      <c r="J327" t="str">
        <f>IFERROR(INDEX(tblY8[Class],ROWS(J$10:J327))&amp;"","")</f>
        <v/>
      </c>
      <c r="K327" t="str">
        <f>IF(J327="","",IF(SUMPRODUCT(--(J$10:J327=J327))=1,SUMPRODUCT(--(J$10:J$609&lt;J327))+1,""))</f>
        <v/>
      </c>
      <c r="L327" t="str">
        <f>IFERROR(INDEX(tblY9[Class],ROWS(L$10:L327))&amp;"","")</f>
        <v/>
      </c>
      <c r="M327" t="str">
        <f>IF(L327="","",IF(SUMPRODUCT(--(L$10:L327=L327))=1,SUMPRODUCT(--(L$10:L$609&lt;L327))+1,""))</f>
        <v/>
      </c>
      <c r="N327" t="str">
        <f>IFERROR(INDEX(tblY10[Class],ROWS(N$10:N327))&amp;"","")</f>
        <v/>
      </c>
      <c r="O327" t="str">
        <f>IF(N327="","",IF(SUMPRODUCT(--(N$10:N327=N327))=1,SUMPRODUCT(--(N$10:N$609&lt;N327))+1,""))</f>
        <v/>
      </c>
      <c r="P327" t="str">
        <f>IFERROR(INDEX(tblY11[Class],ROWS(P$10:P327))&amp;"","")</f>
        <v/>
      </c>
      <c r="Q327" t="str">
        <f>IF(P327="","",IF(SUMPRODUCT(--(P$10:P327=P327))=1,SUMPRODUCT(--(P$10:P$609&lt;P327))+1,""))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IFERROR(INDEX(tblY7[Class],ROWS(H$10:H328))&amp;"","")</f>
        <v/>
      </c>
      <c r="I328" t="str">
        <f>IF(H328="","",IF(SUMPRODUCT(--(H$10:H328=H328))=1,SUMPRODUCT(--(H$10:H$609&lt;H328))+1,""))</f>
        <v/>
      </c>
      <c r="J328" t="str">
        <f>IFERROR(INDEX(tblY8[Class],ROWS(J$10:J328))&amp;"","")</f>
        <v/>
      </c>
      <c r="K328" t="str">
        <f>IF(J328="","",IF(SUMPRODUCT(--(J$10:J328=J328))=1,SUMPRODUCT(--(J$10:J$609&lt;J328))+1,""))</f>
        <v/>
      </c>
      <c r="L328" t="str">
        <f>IFERROR(INDEX(tblY9[Class],ROWS(L$10:L328))&amp;"","")</f>
        <v/>
      </c>
      <c r="M328" t="str">
        <f>IF(L328="","",IF(SUMPRODUCT(--(L$10:L328=L328))=1,SUMPRODUCT(--(L$10:L$609&lt;L328))+1,""))</f>
        <v/>
      </c>
      <c r="N328" t="str">
        <f>IFERROR(INDEX(tblY10[Class],ROWS(N$10:N328))&amp;"","")</f>
        <v/>
      </c>
      <c r="O328" t="str">
        <f>IF(N328="","",IF(SUMPRODUCT(--(N$10:N328=N328))=1,SUMPRODUCT(--(N$10:N$609&lt;N328))+1,""))</f>
        <v/>
      </c>
      <c r="P328" t="str">
        <f>IFERROR(INDEX(tblY11[Class],ROWS(P$10:P328))&amp;"","")</f>
        <v/>
      </c>
      <c r="Q328" t="str">
        <f>IF(P328="","",IF(SUMPRODUCT(--(P$10:P328=P328))=1,SUMPRODUCT(--(P$10:P$609&lt;P328))+1,""))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IFERROR(INDEX(tblY7[Class],ROWS(H$10:H329))&amp;"","")</f>
        <v/>
      </c>
      <c r="I329" t="str">
        <f>IF(H329="","",IF(SUMPRODUCT(--(H$10:H329=H329))=1,SUMPRODUCT(--(H$10:H$609&lt;H329))+1,""))</f>
        <v/>
      </c>
      <c r="J329" t="str">
        <f>IFERROR(INDEX(tblY8[Class],ROWS(J$10:J329))&amp;"","")</f>
        <v/>
      </c>
      <c r="K329" t="str">
        <f>IF(J329="","",IF(SUMPRODUCT(--(J$10:J329=J329))=1,SUMPRODUCT(--(J$10:J$609&lt;J329))+1,""))</f>
        <v/>
      </c>
      <c r="L329" t="str">
        <f>IFERROR(INDEX(tblY9[Class],ROWS(L$10:L329))&amp;"","")</f>
        <v/>
      </c>
      <c r="M329" t="str">
        <f>IF(L329="","",IF(SUMPRODUCT(--(L$10:L329=L329))=1,SUMPRODUCT(--(L$10:L$609&lt;L329))+1,""))</f>
        <v/>
      </c>
      <c r="N329" t="str">
        <f>IFERROR(INDEX(tblY10[Class],ROWS(N$10:N329))&amp;"","")</f>
        <v/>
      </c>
      <c r="O329" t="str">
        <f>IF(N329="","",IF(SUMPRODUCT(--(N$10:N329=N329))=1,SUMPRODUCT(--(N$10:N$609&lt;N329))+1,""))</f>
        <v/>
      </c>
      <c r="P329" t="str">
        <f>IFERROR(INDEX(tblY11[Class],ROWS(P$10:P329))&amp;"","")</f>
        <v/>
      </c>
      <c r="Q329" t="str">
        <f>IF(P329="","",IF(SUMPRODUCT(--(P$10:P329=P329))=1,SUMPRODUCT(--(P$10:P$609&lt;P329))+1,""))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IFERROR(INDEX(tblY7[Class],ROWS(H$10:H330))&amp;"","")</f>
        <v/>
      </c>
      <c r="I330" t="str">
        <f>IF(H330="","",IF(SUMPRODUCT(--(H$10:H330=H330))=1,SUMPRODUCT(--(H$10:H$609&lt;H330))+1,""))</f>
        <v/>
      </c>
      <c r="J330" t="str">
        <f>IFERROR(INDEX(tblY8[Class],ROWS(J$10:J330))&amp;"","")</f>
        <v/>
      </c>
      <c r="K330" t="str">
        <f>IF(J330="","",IF(SUMPRODUCT(--(J$10:J330=J330))=1,SUMPRODUCT(--(J$10:J$609&lt;J330))+1,""))</f>
        <v/>
      </c>
      <c r="L330" t="str">
        <f>IFERROR(INDEX(tblY9[Class],ROWS(L$10:L330))&amp;"","")</f>
        <v/>
      </c>
      <c r="M330" t="str">
        <f>IF(L330="","",IF(SUMPRODUCT(--(L$10:L330=L330))=1,SUMPRODUCT(--(L$10:L$609&lt;L330))+1,""))</f>
        <v/>
      </c>
      <c r="N330" t="str">
        <f>IFERROR(INDEX(tblY10[Class],ROWS(N$10:N330))&amp;"","")</f>
        <v/>
      </c>
      <c r="O330" t="str">
        <f>IF(N330="","",IF(SUMPRODUCT(--(N$10:N330=N330))=1,SUMPRODUCT(--(N$10:N$609&lt;N330))+1,""))</f>
        <v/>
      </c>
      <c r="P330" t="str">
        <f>IFERROR(INDEX(tblY11[Class],ROWS(P$10:P330))&amp;"","")</f>
        <v/>
      </c>
      <c r="Q330" t="str">
        <f>IF(P330="","",IF(SUMPRODUCT(--(P$10:P330=P330))=1,SUMPRODUCT(--(P$10:P$609&lt;P330))+1,""))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IFERROR(INDEX(tblY7[Class],ROWS(H$10:H331))&amp;"","")</f>
        <v/>
      </c>
      <c r="I331" t="str">
        <f>IF(H331="","",IF(SUMPRODUCT(--(H$10:H331=H331))=1,SUMPRODUCT(--(H$10:H$609&lt;H331))+1,""))</f>
        <v/>
      </c>
      <c r="J331" t="str">
        <f>IFERROR(INDEX(tblY8[Class],ROWS(J$10:J331))&amp;"","")</f>
        <v/>
      </c>
      <c r="K331" t="str">
        <f>IF(J331="","",IF(SUMPRODUCT(--(J$10:J331=J331))=1,SUMPRODUCT(--(J$10:J$609&lt;J331))+1,""))</f>
        <v/>
      </c>
      <c r="L331" t="str">
        <f>IFERROR(INDEX(tblY9[Class],ROWS(L$10:L331))&amp;"","")</f>
        <v/>
      </c>
      <c r="M331" t="str">
        <f>IF(L331="","",IF(SUMPRODUCT(--(L$10:L331=L331))=1,SUMPRODUCT(--(L$10:L$609&lt;L331))+1,""))</f>
        <v/>
      </c>
      <c r="N331" t="str">
        <f>IFERROR(INDEX(tblY10[Class],ROWS(N$10:N331))&amp;"","")</f>
        <v/>
      </c>
      <c r="O331" t="str">
        <f>IF(N331="","",IF(SUMPRODUCT(--(N$10:N331=N331))=1,SUMPRODUCT(--(N$10:N$609&lt;N331))+1,""))</f>
        <v/>
      </c>
      <c r="P331" t="str">
        <f>IFERROR(INDEX(tblY11[Class],ROWS(P$10:P331))&amp;"","")</f>
        <v/>
      </c>
      <c r="Q331" t="str">
        <f>IF(P331="","",IF(SUMPRODUCT(--(P$10:P331=P331))=1,SUMPRODUCT(--(P$10:P$609&lt;P331))+1,""))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IFERROR(INDEX(tblY7[Class],ROWS(H$10:H332))&amp;"","")</f>
        <v/>
      </c>
      <c r="I332" t="str">
        <f>IF(H332="","",IF(SUMPRODUCT(--(H$10:H332=H332))=1,SUMPRODUCT(--(H$10:H$609&lt;H332))+1,""))</f>
        <v/>
      </c>
      <c r="J332" t="str">
        <f>IFERROR(INDEX(tblY8[Class],ROWS(J$10:J332))&amp;"","")</f>
        <v/>
      </c>
      <c r="K332" t="str">
        <f>IF(J332="","",IF(SUMPRODUCT(--(J$10:J332=J332))=1,SUMPRODUCT(--(J$10:J$609&lt;J332))+1,""))</f>
        <v/>
      </c>
      <c r="L332" t="str">
        <f>IFERROR(INDEX(tblY9[Class],ROWS(L$10:L332))&amp;"","")</f>
        <v/>
      </c>
      <c r="M332" t="str">
        <f>IF(L332="","",IF(SUMPRODUCT(--(L$10:L332=L332))=1,SUMPRODUCT(--(L$10:L$609&lt;L332))+1,""))</f>
        <v/>
      </c>
      <c r="N332" t="str">
        <f>IFERROR(INDEX(tblY10[Class],ROWS(N$10:N332))&amp;"","")</f>
        <v/>
      </c>
      <c r="O332" t="str">
        <f>IF(N332="","",IF(SUMPRODUCT(--(N$10:N332=N332))=1,SUMPRODUCT(--(N$10:N$609&lt;N332))+1,""))</f>
        <v/>
      </c>
      <c r="P332" t="str">
        <f>IFERROR(INDEX(tblY11[Class],ROWS(P$10:P332))&amp;"","")</f>
        <v/>
      </c>
      <c r="Q332" t="str">
        <f>IF(P332="","",IF(SUMPRODUCT(--(P$10:P332=P332))=1,SUMPRODUCT(--(P$10:P$609&lt;P332))+1,""))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IFERROR(INDEX(tblY7[Class],ROWS(H$10:H333))&amp;"","")</f>
        <v/>
      </c>
      <c r="I333" t="str">
        <f>IF(H333="","",IF(SUMPRODUCT(--(H$10:H333=H333))=1,SUMPRODUCT(--(H$10:H$609&lt;H333))+1,""))</f>
        <v/>
      </c>
      <c r="J333" t="str">
        <f>IFERROR(INDEX(tblY8[Class],ROWS(J$10:J333))&amp;"","")</f>
        <v/>
      </c>
      <c r="K333" t="str">
        <f>IF(J333="","",IF(SUMPRODUCT(--(J$10:J333=J333))=1,SUMPRODUCT(--(J$10:J$609&lt;J333))+1,""))</f>
        <v/>
      </c>
      <c r="L333" t="str">
        <f>IFERROR(INDEX(tblY9[Class],ROWS(L$10:L333))&amp;"","")</f>
        <v/>
      </c>
      <c r="M333" t="str">
        <f>IF(L333="","",IF(SUMPRODUCT(--(L$10:L333=L333))=1,SUMPRODUCT(--(L$10:L$609&lt;L333))+1,""))</f>
        <v/>
      </c>
      <c r="N333" t="str">
        <f>IFERROR(INDEX(tblY10[Class],ROWS(N$10:N333))&amp;"","")</f>
        <v/>
      </c>
      <c r="O333" t="str">
        <f>IF(N333="","",IF(SUMPRODUCT(--(N$10:N333=N333))=1,SUMPRODUCT(--(N$10:N$609&lt;N333))+1,""))</f>
        <v/>
      </c>
      <c r="P333" t="str">
        <f>IFERROR(INDEX(tblY11[Class],ROWS(P$10:P333))&amp;"","")</f>
        <v/>
      </c>
      <c r="Q333" t="str">
        <f>IF(P333="","",IF(SUMPRODUCT(--(P$10:P333=P333))=1,SUMPRODUCT(--(P$10:P$609&lt;P333))+1,""))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IFERROR(INDEX(tblY7[Class],ROWS(H$10:H334))&amp;"","")</f>
        <v/>
      </c>
      <c r="I334" t="str">
        <f>IF(H334="","",IF(SUMPRODUCT(--(H$10:H334=H334))=1,SUMPRODUCT(--(H$10:H$609&lt;H334))+1,""))</f>
        <v/>
      </c>
      <c r="J334" t="str">
        <f>IFERROR(INDEX(tblY8[Class],ROWS(J$10:J334))&amp;"","")</f>
        <v/>
      </c>
      <c r="K334" t="str">
        <f>IF(J334="","",IF(SUMPRODUCT(--(J$10:J334=J334))=1,SUMPRODUCT(--(J$10:J$609&lt;J334))+1,""))</f>
        <v/>
      </c>
      <c r="L334" t="str">
        <f>IFERROR(INDEX(tblY9[Class],ROWS(L$10:L334))&amp;"","")</f>
        <v/>
      </c>
      <c r="M334" t="str">
        <f>IF(L334="","",IF(SUMPRODUCT(--(L$10:L334=L334))=1,SUMPRODUCT(--(L$10:L$609&lt;L334))+1,""))</f>
        <v/>
      </c>
      <c r="N334" t="str">
        <f>IFERROR(INDEX(tblY10[Class],ROWS(N$10:N334))&amp;"","")</f>
        <v/>
      </c>
      <c r="O334" t="str">
        <f>IF(N334="","",IF(SUMPRODUCT(--(N$10:N334=N334))=1,SUMPRODUCT(--(N$10:N$609&lt;N334))+1,""))</f>
        <v/>
      </c>
      <c r="P334" t="str">
        <f>IFERROR(INDEX(tblY11[Class],ROWS(P$10:P334))&amp;"","")</f>
        <v/>
      </c>
      <c r="Q334" t="str">
        <f>IF(P334="","",IF(SUMPRODUCT(--(P$10:P334=P334))=1,SUMPRODUCT(--(P$10:P$609&lt;P334))+1,""))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IFERROR(INDEX(tblY7[Class],ROWS(H$10:H335))&amp;"","")</f>
        <v/>
      </c>
      <c r="I335" t="str">
        <f>IF(H335="","",IF(SUMPRODUCT(--(H$10:H335=H335))=1,SUMPRODUCT(--(H$10:H$609&lt;H335))+1,""))</f>
        <v/>
      </c>
      <c r="J335" t="str">
        <f>IFERROR(INDEX(tblY8[Class],ROWS(J$10:J335))&amp;"","")</f>
        <v/>
      </c>
      <c r="K335" t="str">
        <f>IF(J335="","",IF(SUMPRODUCT(--(J$10:J335=J335))=1,SUMPRODUCT(--(J$10:J$609&lt;J335))+1,""))</f>
        <v/>
      </c>
      <c r="L335" t="str">
        <f>IFERROR(INDEX(tblY9[Class],ROWS(L$10:L335))&amp;"","")</f>
        <v/>
      </c>
      <c r="M335" t="str">
        <f>IF(L335="","",IF(SUMPRODUCT(--(L$10:L335=L335))=1,SUMPRODUCT(--(L$10:L$609&lt;L335))+1,""))</f>
        <v/>
      </c>
      <c r="N335" t="str">
        <f>IFERROR(INDEX(tblY10[Class],ROWS(N$10:N335))&amp;"","")</f>
        <v/>
      </c>
      <c r="O335" t="str">
        <f>IF(N335="","",IF(SUMPRODUCT(--(N$10:N335=N335))=1,SUMPRODUCT(--(N$10:N$609&lt;N335))+1,""))</f>
        <v/>
      </c>
      <c r="P335" t="str">
        <f>IFERROR(INDEX(tblY11[Class],ROWS(P$10:P335))&amp;"","")</f>
        <v/>
      </c>
      <c r="Q335" t="str">
        <f>IF(P335="","",IF(SUMPRODUCT(--(P$10:P335=P335))=1,SUMPRODUCT(--(P$10:P$609&lt;P335))+1,""))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IFERROR(INDEX(tblY7[Class],ROWS(H$10:H336))&amp;"","")</f>
        <v/>
      </c>
      <c r="I336" t="str">
        <f>IF(H336="","",IF(SUMPRODUCT(--(H$10:H336=H336))=1,SUMPRODUCT(--(H$10:H$609&lt;H336))+1,""))</f>
        <v/>
      </c>
      <c r="J336" t="str">
        <f>IFERROR(INDEX(tblY8[Class],ROWS(J$10:J336))&amp;"","")</f>
        <v/>
      </c>
      <c r="K336" t="str">
        <f>IF(J336="","",IF(SUMPRODUCT(--(J$10:J336=J336))=1,SUMPRODUCT(--(J$10:J$609&lt;J336))+1,""))</f>
        <v/>
      </c>
      <c r="L336" t="str">
        <f>IFERROR(INDEX(tblY9[Class],ROWS(L$10:L336))&amp;"","")</f>
        <v/>
      </c>
      <c r="M336" t="str">
        <f>IF(L336="","",IF(SUMPRODUCT(--(L$10:L336=L336))=1,SUMPRODUCT(--(L$10:L$609&lt;L336))+1,""))</f>
        <v/>
      </c>
      <c r="N336" t="str">
        <f>IFERROR(INDEX(tblY10[Class],ROWS(N$10:N336))&amp;"","")</f>
        <v/>
      </c>
      <c r="O336" t="str">
        <f>IF(N336="","",IF(SUMPRODUCT(--(N$10:N336=N336))=1,SUMPRODUCT(--(N$10:N$609&lt;N336))+1,""))</f>
        <v/>
      </c>
      <c r="P336" t="str">
        <f>IFERROR(INDEX(tblY11[Class],ROWS(P$10:P336))&amp;"","")</f>
        <v/>
      </c>
      <c r="Q336" t="str">
        <f>IF(P336="","",IF(SUMPRODUCT(--(P$10:P336=P336))=1,SUMPRODUCT(--(P$10:P$609&lt;P336))+1,""))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IFERROR(INDEX(tblY7[Class],ROWS(H$10:H337))&amp;"","")</f>
        <v/>
      </c>
      <c r="I337" t="str">
        <f>IF(H337="","",IF(SUMPRODUCT(--(H$10:H337=H337))=1,SUMPRODUCT(--(H$10:H$609&lt;H337))+1,""))</f>
        <v/>
      </c>
      <c r="J337" t="str">
        <f>IFERROR(INDEX(tblY8[Class],ROWS(J$10:J337))&amp;"","")</f>
        <v/>
      </c>
      <c r="K337" t="str">
        <f>IF(J337="","",IF(SUMPRODUCT(--(J$10:J337=J337))=1,SUMPRODUCT(--(J$10:J$609&lt;J337))+1,""))</f>
        <v/>
      </c>
      <c r="L337" t="str">
        <f>IFERROR(INDEX(tblY9[Class],ROWS(L$10:L337))&amp;"","")</f>
        <v/>
      </c>
      <c r="M337" t="str">
        <f>IF(L337="","",IF(SUMPRODUCT(--(L$10:L337=L337))=1,SUMPRODUCT(--(L$10:L$609&lt;L337))+1,""))</f>
        <v/>
      </c>
      <c r="N337" t="str">
        <f>IFERROR(INDEX(tblY10[Class],ROWS(N$10:N337))&amp;"","")</f>
        <v/>
      </c>
      <c r="O337" t="str">
        <f>IF(N337="","",IF(SUMPRODUCT(--(N$10:N337=N337))=1,SUMPRODUCT(--(N$10:N$609&lt;N337))+1,""))</f>
        <v/>
      </c>
      <c r="P337" t="str">
        <f>IFERROR(INDEX(tblY11[Class],ROWS(P$10:P337))&amp;"","")</f>
        <v/>
      </c>
      <c r="Q337" t="str">
        <f>IF(P337="","",IF(SUMPRODUCT(--(P$10:P337=P337))=1,SUMPRODUCT(--(P$10:P$609&lt;P337))+1,""))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IFERROR(INDEX(tblY7[Class],ROWS(H$10:H338))&amp;"","")</f>
        <v/>
      </c>
      <c r="I338" t="str">
        <f>IF(H338="","",IF(SUMPRODUCT(--(H$10:H338=H338))=1,SUMPRODUCT(--(H$10:H$609&lt;H338))+1,""))</f>
        <v/>
      </c>
      <c r="J338" t="str">
        <f>IFERROR(INDEX(tblY8[Class],ROWS(J$10:J338))&amp;"","")</f>
        <v/>
      </c>
      <c r="K338" t="str">
        <f>IF(J338="","",IF(SUMPRODUCT(--(J$10:J338=J338))=1,SUMPRODUCT(--(J$10:J$609&lt;J338))+1,""))</f>
        <v/>
      </c>
      <c r="L338" t="str">
        <f>IFERROR(INDEX(tblY9[Class],ROWS(L$10:L338))&amp;"","")</f>
        <v/>
      </c>
      <c r="M338" t="str">
        <f>IF(L338="","",IF(SUMPRODUCT(--(L$10:L338=L338))=1,SUMPRODUCT(--(L$10:L$609&lt;L338))+1,""))</f>
        <v/>
      </c>
      <c r="N338" t="str">
        <f>IFERROR(INDEX(tblY10[Class],ROWS(N$10:N338))&amp;"","")</f>
        <v/>
      </c>
      <c r="O338" t="str">
        <f>IF(N338="","",IF(SUMPRODUCT(--(N$10:N338=N338))=1,SUMPRODUCT(--(N$10:N$609&lt;N338))+1,""))</f>
        <v/>
      </c>
      <c r="P338" t="str">
        <f>IFERROR(INDEX(tblY11[Class],ROWS(P$10:P338))&amp;"","")</f>
        <v/>
      </c>
      <c r="Q338" t="str">
        <f>IF(P338="","",IF(SUMPRODUCT(--(P$10:P338=P338))=1,SUMPRODUCT(--(P$10:P$609&lt;P338))+1,""))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IFERROR(INDEX(tblY7[Class],ROWS(H$10:H339))&amp;"","")</f>
        <v/>
      </c>
      <c r="I339" t="str">
        <f>IF(H339="","",IF(SUMPRODUCT(--(H$10:H339=H339))=1,SUMPRODUCT(--(H$10:H$609&lt;H339))+1,""))</f>
        <v/>
      </c>
      <c r="J339" t="str">
        <f>IFERROR(INDEX(tblY8[Class],ROWS(J$10:J339))&amp;"","")</f>
        <v/>
      </c>
      <c r="K339" t="str">
        <f>IF(J339="","",IF(SUMPRODUCT(--(J$10:J339=J339))=1,SUMPRODUCT(--(J$10:J$609&lt;J339))+1,""))</f>
        <v/>
      </c>
      <c r="L339" t="str">
        <f>IFERROR(INDEX(tblY9[Class],ROWS(L$10:L339))&amp;"","")</f>
        <v/>
      </c>
      <c r="M339" t="str">
        <f>IF(L339="","",IF(SUMPRODUCT(--(L$10:L339=L339))=1,SUMPRODUCT(--(L$10:L$609&lt;L339))+1,""))</f>
        <v/>
      </c>
      <c r="N339" t="str">
        <f>IFERROR(INDEX(tblY10[Class],ROWS(N$10:N339))&amp;"","")</f>
        <v/>
      </c>
      <c r="O339" t="str">
        <f>IF(N339="","",IF(SUMPRODUCT(--(N$10:N339=N339))=1,SUMPRODUCT(--(N$10:N$609&lt;N339))+1,""))</f>
        <v/>
      </c>
      <c r="P339" t="str">
        <f>IFERROR(INDEX(tblY11[Class],ROWS(P$10:P339))&amp;"","")</f>
        <v/>
      </c>
      <c r="Q339" t="str">
        <f>IF(P339="","",IF(SUMPRODUCT(--(P$10:P339=P339))=1,SUMPRODUCT(--(P$10:P$609&lt;P339))+1,""))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IFERROR(INDEX(tblY7[Class],ROWS(H$10:H340))&amp;"","")</f>
        <v/>
      </c>
      <c r="I340" t="str">
        <f>IF(H340="","",IF(SUMPRODUCT(--(H$10:H340=H340))=1,SUMPRODUCT(--(H$10:H$609&lt;H340))+1,""))</f>
        <v/>
      </c>
      <c r="J340" t="str">
        <f>IFERROR(INDEX(tblY8[Class],ROWS(J$10:J340))&amp;"","")</f>
        <v/>
      </c>
      <c r="K340" t="str">
        <f>IF(J340="","",IF(SUMPRODUCT(--(J$10:J340=J340))=1,SUMPRODUCT(--(J$10:J$609&lt;J340))+1,""))</f>
        <v/>
      </c>
      <c r="L340" t="str">
        <f>IFERROR(INDEX(tblY9[Class],ROWS(L$10:L340))&amp;"","")</f>
        <v/>
      </c>
      <c r="M340" t="str">
        <f>IF(L340="","",IF(SUMPRODUCT(--(L$10:L340=L340))=1,SUMPRODUCT(--(L$10:L$609&lt;L340))+1,""))</f>
        <v/>
      </c>
      <c r="N340" t="str">
        <f>IFERROR(INDEX(tblY10[Class],ROWS(N$10:N340))&amp;"","")</f>
        <v/>
      </c>
      <c r="O340" t="str">
        <f>IF(N340="","",IF(SUMPRODUCT(--(N$10:N340=N340))=1,SUMPRODUCT(--(N$10:N$609&lt;N340))+1,""))</f>
        <v/>
      </c>
      <c r="P340" t="str">
        <f>IFERROR(INDEX(tblY11[Class],ROWS(P$10:P340))&amp;"","")</f>
        <v/>
      </c>
      <c r="Q340" t="str">
        <f>IF(P340="","",IF(SUMPRODUCT(--(P$10:P340=P340))=1,SUMPRODUCT(--(P$10:P$609&lt;P340))+1,""))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IFERROR(INDEX(tblY7[Class],ROWS(H$10:H341))&amp;"","")</f>
        <v/>
      </c>
      <c r="I341" t="str">
        <f>IF(H341="","",IF(SUMPRODUCT(--(H$10:H341=H341))=1,SUMPRODUCT(--(H$10:H$609&lt;H341))+1,""))</f>
        <v/>
      </c>
      <c r="J341" t="str">
        <f>IFERROR(INDEX(tblY8[Class],ROWS(J$10:J341))&amp;"","")</f>
        <v/>
      </c>
      <c r="K341" t="str">
        <f>IF(J341="","",IF(SUMPRODUCT(--(J$10:J341=J341))=1,SUMPRODUCT(--(J$10:J$609&lt;J341))+1,""))</f>
        <v/>
      </c>
      <c r="L341" t="str">
        <f>IFERROR(INDEX(tblY9[Class],ROWS(L$10:L341))&amp;"","")</f>
        <v/>
      </c>
      <c r="M341" t="str">
        <f>IF(L341="","",IF(SUMPRODUCT(--(L$10:L341=L341))=1,SUMPRODUCT(--(L$10:L$609&lt;L341))+1,""))</f>
        <v/>
      </c>
      <c r="N341" t="str">
        <f>IFERROR(INDEX(tblY10[Class],ROWS(N$10:N341))&amp;"","")</f>
        <v/>
      </c>
      <c r="O341" t="str">
        <f>IF(N341="","",IF(SUMPRODUCT(--(N$10:N341=N341))=1,SUMPRODUCT(--(N$10:N$609&lt;N341))+1,""))</f>
        <v/>
      </c>
      <c r="P341" t="str">
        <f>IFERROR(INDEX(tblY11[Class],ROWS(P$10:P341))&amp;"","")</f>
        <v/>
      </c>
      <c r="Q341" t="str">
        <f>IF(P341="","",IF(SUMPRODUCT(--(P$10:P341=P341))=1,SUMPRODUCT(--(P$10:P$609&lt;P341))+1,""))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IFERROR(INDEX(tblY7[Class],ROWS(H$10:H342))&amp;"","")</f>
        <v/>
      </c>
      <c r="I342" t="str">
        <f>IF(H342="","",IF(SUMPRODUCT(--(H$10:H342=H342))=1,SUMPRODUCT(--(H$10:H$609&lt;H342))+1,""))</f>
        <v/>
      </c>
      <c r="J342" t="str">
        <f>IFERROR(INDEX(tblY8[Class],ROWS(J$10:J342))&amp;"","")</f>
        <v/>
      </c>
      <c r="K342" t="str">
        <f>IF(J342="","",IF(SUMPRODUCT(--(J$10:J342=J342))=1,SUMPRODUCT(--(J$10:J$609&lt;J342))+1,""))</f>
        <v/>
      </c>
      <c r="L342" t="str">
        <f>IFERROR(INDEX(tblY9[Class],ROWS(L$10:L342))&amp;"","")</f>
        <v/>
      </c>
      <c r="M342" t="str">
        <f>IF(L342="","",IF(SUMPRODUCT(--(L$10:L342=L342))=1,SUMPRODUCT(--(L$10:L$609&lt;L342))+1,""))</f>
        <v/>
      </c>
      <c r="N342" t="str">
        <f>IFERROR(INDEX(tblY10[Class],ROWS(N$10:N342))&amp;"","")</f>
        <v/>
      </c>
      <c r="O342" t="str">
        <f>IF(N342="","",IF(SUMPRODUCT(--(N$10:N342=N342))=1,SUMPRODUCT(--(N$10:N$609&lt;N342))+1,""))</f>
        <v/>
      </c>
      <c r="P342" t="str">
        <f>IFERROR(INDEX(tblY11[Class],ROWS(P$10:P342))&amp;"","")</f>
        <v/>
      </c>
      <c r="Q342" t="str">
        <f>IF(P342="","",IF(SUMPRODUCT(--(P$10:P342=P342))=1,SUMPRODUCT(--(P$10:P$609&lt;P342))+1,""))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IFERROR(INDEX(tblY7[Class],ROWS(H$10:H343))&amp;"","")</f>
        <v/>
      </c>
      <c r="I343" t="str">
        <f>IF(H343="","",IF(SUMPRODUCT(--(H$10:H343=H343))=1,SUMPRODUCT(--(H$10:H$609&lt;H343))+1,""))</f>
        <v/>
      </c>
      <c r="J343" t="str">
        <f>IFERROR(INDEX(tblY8[Class],ROWS(J$10:J343))&amp;"","")</f>
        <v/>
      </c>
      <c r="K343" t="str">
        <f>IF(J343="","",IF(SUMPRODUCT(--(J$10:J343=J343))=1,SUMPRODUCT(--(J$10:J$609&lt;J343))+1,""))</f>
        <v/>
      </c>
      <c r="L343" t="str">
        <f>IFERROR(INDEX(tblY9[Class],ROWS(L$10:L343))&amp;"","")</f>
        <v/>
      </c>
      <c r="M343" t="str">
        <f>IF(L343="","",IF(SUMPRODUCT(--(L$10:L343=L343))=1,SUMPRODUCT(--(L$10:L$609&lt;L343))+1,""))</f>
        <v/>
      </c>
      <c r="N343" t="str">
        <f>IFERROR(INDEX(tblY10[Class],ROWS(N$10:N343))&amp;"","")</f>
        <v/>
      </c>
      <c r="O343" t="str">
        <f>IF(N343="","",IF(SUMPRODUCT(--(N$10:N343=N343))=1,SUMPRODUCT(--(N$10:N$609&lt;N343))+1,""))</f>
        <v/>
      </c>
      <c r="P343" t="str">
        <f>IFERROR(INDEX(tblY11[Class],ROWS(P$10:P343))&amp;"","")</f>
        <v/>
      </c>
      <c r="Q343" t="str">
        <f>IF(P343="","",IF(SUMPRODUCT(--(P$10:P343=P343))=1,SUMPRODUCT(--(P$10:P$609&lt;P343))+1,""))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IFERROR(INDEX(tblY7[Class],ROWS(H$10:H344))&amp;"","")</f>
        <v/>
      </c>
      <c r="I344" t="str">
        <f>IF(H344="","",IF(SUMPRODUCT(--(H$10:H344=H344))=1,SUMPRODUCT(--(H$10:H$609&lt;H344))+1,""))</f>
        <v/>
      </c>
      <c r="J344" t="str">
        <f>IFERROR(INDEX(tblY8[Class],ROWS(J$10:J344))&amp;"","")</f>
        <v/>
      </c>
      <c r="K344" t="str">
        <f>IF(J344="","",IF(SUMPRODUCT(--(J$10:J344=J344))=1,SUMPRODUCT(--(J$10:J$609&lt;J344))+1,""))</f>
        <v/>
      </c>
      <c r="L344" t="str">
        <f>IFERROR(INDEX(tblY9[Class],ROWS(L$10:L344))&amp;"","")</f>
        <v/>
      </c>
      <c r="M344" t="str">
        <f>IF(L344="","",IF(SUMPRODUCT(--(L$10:L344=L344))=1,SUMPRODUCT(--(L$10:L$609&lt;L344))+1,""))</f>
        <v/>
      </c>
      <c r="N344" t="str">
        <f>IFERROR(INDEX(tblY10[Class],ROWS(N$10:N344))&amp;"","")</f>
        <v/>
      </c>
      <c r="O344" t="str">
        <f>IF(N344="","",IF(SUMPRODUCT(--(N$10:N344=N344))=1,SUMPRODUCT(--(N$10:N$609&lt;N344))+1,""))</f>
        <v/>
      </c>
      <c r="P344" t="str">
        <f>IFERROR(INDEX(tblY11[Class],ROWS(P$10:P344))&amp;"","")</f>
        <v/>
      </c>
      <c r="Q344" t="str">
        <f>IF(P344="","",IF(SUMPRODUCT(--(P$10:P344=P344))=1,SUMPRODUCT(--(P$10:P$609&lt;P344))+1,""))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IFERROR(INDEX(tblY7[Class],ROWS(H$10:H345))&amp;"","")</f>
        <v/>
      </c>
      <c r="I345" t="str">
        <f>IF(H345="","",IF(SUMPRODUCT(--(H$10:H345=H345))=1,SUMPRODUCT(--(H$10:H$609&lt;H345))+1,""))</f>
        <v/>
      </c>
      <c r="J345" t="str">
        <f>IFERROR(INDEX(tblY8[Class],ROWS(J$10:J345))&amp;"","")</f>
        <v/>
      </c>
      <c r="K345" t="str">
        <f>IF(J345="","",IF(SUMPRODUCT(--(J$10:J345=J345))=1,SUMPRODUCT(--(J$10:J$609&lt;J345))+1,""))</f>
        <v/>
      </c>
      <c r="L345" t="str">
        <f>IFERROR(INDEX(tblY9[Class],ROWS(L$10:L345))&amp;"","")</f>
        <v/>
      </c>
      <c r="M345" t="str">
        <f>IF(L345="","",IF(SUMPRODUCT(--(L$10:L345=L345))=1,SUMPRODUCT(--(L$10:L$609&lt;L345))+1,""))</f>
        <v/>
      </c>
      <c r="N345" t="str">
        <f>IFERROR(INDEX(tblY10[Class],ROWS(N$10:N345))&amp;"","")</f>
        <v/>
      </c>
      <c r="O345" t="str">
        <f>IF(N345="","",IF(SUMPRODUCT(--(N$10:N345=N345))=1,SUMPRODUCT(--(N$10:N$609&lt;N345))+1,""))</f>
        <v/>
      </c>
      <c r="P345" t="str">
        <f>IFERROR(INDEX(tblY11[Class],ROWS(P$10:P345))&amp;"","")</f>
        <v/>
      </c>
      <c r="Q345" t="str">
        <f>IF(P345="","",IF(SUMPRODUCT(--(P$10:P345=P345))=1,SUMPRODUCT(--(P$10:P$609&lt;P345))+1,""))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IFERROR(INDEX(tblY7[Class],ROWS(H$10:H346))&amp;"","")</f>
        <v/>
      </c>
      <c r="I346" t="str">
        <f>IF(H346="","",IF(SUMPRODUCT(--(H$10:H346=H346))=1,SUMPRODUCT(--(H$10:H$609&lt;H346))+1,""))</f>
        <v/>
      </c>
      <c r="J346" t="str">
        <f>IFERROR(INDEX(tblY8[Class],ROWS(J$10:J346))&amp;"","")</f>
        <v/>
      </c>
      <c r="K346" t="str">
        <f>IF(J346="","",IF(SUMPRODUCT(--(J$10:J346=J346))=1,SUMPRODUCT(--(J$10:J$609&lt;J346))+1,""))</f>
        <v/>
      </c>
      <c r="L346" t="str">
        <f>IFERROR(INDEX(tblY9[Class],ROWS(L$10:L346))&amp;"","")</f>
        <v/>
      </c>
      <c r="M346" t="str">
        <f>IF(L346="","",IF(SUMPRODUCT(--(L$10:L346=L346))=1,SUMPRODUCT(--(L$10:L$609&lt;L346))+1,""))</f>
        <v/>
      </c>
      <c r="N346" t="str">
        <f>IFERROR(INDEX(tblY10[Class],ROWS(N$10:N346))&amp;"","")</f>
        <v/>
      </c>
      <c r="O346" t="str">
        <f>IF(N346="","",IF(SUMPRODUCT(--(N$10:N346=N346))=1,SUMPRODUCT(--(N$10:N$609&lt;N346))+1,""))</f>
        <v/>
      </c>
      <c r="P346" t="str">
        <f>IFERROR(INDEX(tblY11[Class],ROWS(P$10:P346))&amp;"","")</f>
        <v/>
      </c>
      <c r="Q346" t="str">
        <f>IF(P346="","",IF(SUMPRODUCT(--(P$10:P346=P346))=1,SUMPRODUCT(--(P$10:P$609&lt;P346))+1,""))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IFERROR(INDEX(tblY7[Class],ROWS(H$10:H347))&amp;"","")</f>
        <v/>
      </c>
      <c r="I347" t="str">
        <f>IF(H347="","",IF(SUMPRODUCT(--(H$10:H347=H347))=1,SUMPRODUCT(--(H$10:H$609&lt;H347))+1,""))</f>
        <v/>
      </c>
      <c r="J347" t="str">
        <f>IFERROR(INDEX(tblY8[Class],ROWS(J$10:J347))&amp;"","")</f>
        <v/>
      </c>
      <c r="K347" t="str">
        <f>IF(J347="","",IF(SUMPRODUCT(--(J$10:J347=J347))=1,SUMPRODUCT(--(J$10:J$609&lt;J347))+1,""))</f>
        <v/>
      </c>
      <c r="L347" t="str">
        <f>IFERROR(INDEX(tblY9[Class],ROWS(L$10:L347))&amp;"","")</f>
        <v/>
      </c>
      <c r="M347" t="str">
        <f>IF(L347="","",IF(SUMPRODUCT(--(L$10:L347=L347))=1,SUMPRODUCT(--(L$10:L$609&lt;L347))+1,""))</f>
        <v/>
      </c>
      <c r="N347" t="str">
        <f>IFERROR(INDEX(tblY10[Class],ROWS(N$10:N347))&amp;"","")</f>
        <v/>
      </c>
      <c r="O347" t="str">
        <f>IF(N347="","",IF(SUMPRODUCT(--(N$10:N347=N347))=1,SUMPRODUCT(--(N$10:N$609&lt;N347))+1,""))</f>
        <v/>
      </c>
      <c r="P347" t="str">
        <f>IFERROR(INDEX(tblY11[Class],ROWS(P$10:P347))&amp;"","")</f>
        <v/>
      </c>
      <c r="Q347" t="str">
        <f>IF(P347="","",IF(SUMPRODUCT(--(P$10:P347=P347))=1,SUMPRODUCT(--(P$10:P$609&lt;P347))+1,""))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IFERROR(INDEX(tblY7[Class],ROWS(H$10:H348))&amp;"","")</f>
        <v/>
      </c>
      <c r="I348" t="str">
        <f>IF(H348="","",IF(SUMPRODUCT(--(H$10:H348=H348))=1,SUMPRODUCT(--(H$10:H$609&lt;H348))+1,""))</f>
        <v/>
      </c>
      <c r="J348" t="str">
        <f>IFERROR(INDEX(tblY8[Class],ROWS(J$10:J348))&amp;"","")</f>
        <v/>
      </c>
      <c r="K348" t="str">
        <f>IF(J348="","",IF(SUMPRODUCT(--(J$10:J348=J348))=1,SUMPRODUCT(--(J$10:J$609&lt;J348))+1,""))</f>
        <v/>
      </c>
      <c r="L348" t="str">
        <f>IFERROR(INDEX(tblY9[Class],ROWS(L$10:L348))&amp;"","")</f>
        <v/>
      </c>
      <c r="M348" t="str">
        <f>IF(L348="","",IF(SUMPRODUCT(--(L$10:L348=L348))=1,SUMPRODUCT(--(L$10:L$609&lt;L348))+1,""))</f>
        <v/>
      </c>
      <c r="N348" t="str">
        <f>IFERROR(INDEX(tblY10[Class],ROWS(N$10:N348))&amp;"","")</f>
        <v/>
      </c>
      <c r="O348" t="str">
        <f>IF(N348="","",IF(SUMPRODUCT(--(N$10:N348=N348))=1,SUMPRODUCT(--(N$10:N$609&lt;N348))+1,""))</f>
        <v/>
      </c>
      <c r="P348" t="str">
        <f>IFERROR(INDEX(tblY11[Class],ROWS(P$10:P348))&amp;"","")</f>
        <v/>
      </c>
      <c r="Q348" t="str">
        <f>IF(P348="","",IF(SUMPRODUCT(--(P$10:P348=P348))=1,SUMPRODUCT(--(P$10:P$609&lt;P348))+1,""))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IFERROR(INDEX(tblY7[Class],ROWS(H$10:H349))&amp;"","")</f>
        <v/>
      </c>
      <c r="I349" t="str">
        <f>IF(H349="","",IF(SUMPRODUCT(--(H$10:H349=H349))=1,SUMPRODUCT(--(H$10:H$609&lt;H349))+1,""))</f>
        <v/>
      </c>
      <c r="J349" t="str">
        <f>IFERROR(INDEX(tblY8[Class],ROWS(J$10:J349))&amp;"","")</f>
        <v/>
      </c>
      <c r="K349" t="str">
        <f>IF(J349="","",IF(SUMPRODUCT(--(J$10:J349=J349))=1,SUMPRODUCT(--(J$10:J$609&lt;J349))+1,""))</f>
        <v/>
      </c>
      <c r="L349" t="str">
        <f>IFERROR(INDEX(tblY9[Class],ROWS(L$10:L349))&amp;"","")</f>
        <v/>
      </c>
      <c r="M349" t="str">
        <f>IF(L349="","",IF(SUMPRODUCT(--(L$10:L349=L349))=1,SUMPRODUCT(--(L$10:L$609&lt;L349))+1,""))</f>
        <v/>
      </c>
      <c r="N349" t="str">
        <f>IFERROR(INDEX(tblY10[Class],ROWS(N$10:N349))&amp;"","")</f>
        <v/>
      </c>
      <c r="O349" t="str">
        <f>IF(N349="","",IF(SUMPRODUCT(--(N$10:N349=N349))=1,SUMPRODUCT(--(N$10:N$609&lt;N349))+1,""))</f>
        <v/>
      </c>
      <c r="P349" t="str">
        <f>IFERROR(INDEX(tblY11[Class],ROWS(P$10:P349))&amp;"","")</f>
        <v/>
      </c>
      <c r="Q349" t="str">
        <f>IF(P349="","",IF(SUMPRODUCT(--(P$10:P349=P349))=1,SUMPRODUCT(--(P$10:P$609&lt;P349))+1,""))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IFERROR(INDEX(tblY7[Class],ROWS(H$10:H350))&amp;"","")</f>
        <v/>
      </c>
      <c r="I350" t="str">
        <f>IF(H350="","",IF(SUMPRODUCT(--(H$10:H350=H350))=1,SUMPRODUCT(--(H$10:H$609&lt;H350))+1,""))</f>
        <v/>
      </c>
      <c r="J350" t="str">
        <f>IFERROR(INDEX(tblY8[Class],ROWS(J$10:J350))&amp;"","")</f>
        <v/>
      </c>
      <c r="K350" t="str">
        <f>IF(J350="","",IF(SUMPRODUCT(--(J$10:J350=J350))=1,SUMPRODUCT(--(J$10:J$609&lt;J350))+1,""))</f>
        <v/>
      </c>
      <c r="L350" t="str">
        <f>IFERROR(INDEX(tblY9[Class],ROWS(L$10:L350))&amp;"","")</f>
        <v/>
      </c>
      <c r="M350" t="str">
        <f>IF(L350="","",IF(SUMPRODUCT(--(L$10:L350=L350))=1,SUMPRODUCT(--(L$10:L$609&lt;L350))+1,""))</f>
        <v/>
      </c>
      <c r="N350" t="str">
        <f>IFERROR(INDEX(tblY10[Class],ROWS(N$10:N350))&amp;"","")</f>
        <v/>
      </c>
      <c r="O350" t="str">
        <f>IF(N350="","",IF(SUMPRODUCT(--(N$10:N350=N350))=1,SUMPRODUCT(--(N$10:N$609&lt;N350))+1,""))</f>
        <v/>
      </c>
      <c r="P350" t="str">
        <f>IFERROR(INDEX(tblY11[Class],ROWS(P$10:P350))&amp;"","")</f>
        <v/>
      </c>
      <c r="Q350" t="str">
        <f>IF(P350="","",IF(SUMPRODUCT(--(P$10:P350=P350))=1,SUMPRODUCT(--(P$10:P$609&lt;P350))+1,""))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IFERROR(INDEX(tblY7[Class],ROWS(H$10:H351))&amp;"","")</f>
        <v/>
      </c>
      <c r="I351" t="str">
        <f>IF(H351="","",IF(SUMPRODUCT(--(H$10:H351=H351))=1,SUMPRODUCT(--(H$10:H$609&lt;H351))+1,""))</f>
        <v/>
      </c>
      <c r="J351" t="str">
        <f>IFERROR(INDEX(tblY8[Class],ROWS(J$10:J351))&amp;"","")</f>
        <v/>
      </c>
      <c r="K351" t="str">
        <f>IF(J351="","",IF(SUMPRODUCT(--(J$10:J351=J351))=1,SUMPRODUCT(--(J$10:J$609&lt;J351))+1,""))</f>
        <v/>
      </c>
      <c r="L351" t="str">
        <f>IFERROR(INDEX(tblY9[Class],ROWS(L$10:L351))&amp;"","")</f>
        <v/>
      </c>
      <c r="M351" t="str">
        <f>IF(L351="","",IF(SUMPRODUCT(--(L$10:L351=L351))=1,SUMPRODUCT(--(L$10:L$609&lt;L351))+1,""))</f>
        <v/>
      </c>
      <c r="N351" t="str">
        <f>IFERROR(INDEX(tblY10[Class],ROWS(N$10:N351))&amp;"","")</f>
        <v/>
      </c>
      <c r="O351" t="str">
        <f>IF(N351="","",IF(SUMPRODUCT(--(N$10:N351=N351))=1,SUMPRODUCT(--(N$10:N$609&lt;N351))+1,""))</f>
        <v/>
      </c>
      <c r="P351" t="str">
        <f>IFERROR(INDEX(tblY11[Class],ROWS(P$10:P351))&amp;"","")</f>
        <v/>
      </c>
      <c r="Q351" t="str">
        <f>IF(P351="","",IF(SUMPRODUCT(--(P$10:P351=P351))=1,SUMPRODUCT(--(P$10:P$609&lt;P351))+1,""))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IFERROR(INDEX(tblY7[Class],ROWS(H$10:H352))&amp;"","")</f>
        <v/>
      </c>
      <c r="I352" t="str">
        <f>IF(H352="","",IF(SUMPRODUCT(--(H$10:H352=H352))=1,SUMPRODUCT(--(H$10:H$609&lt;H352))+1,""))</f>
        <v/>
      </c>
      <c r="J352" t="str">
        <f>IFERROR(INDEX(tblY8[Class],ROWS(J$10:J352))&amp;"","")</f>
        <v/>
      </c>
      <c r="K352" t="str">
        <f>IF(J352="","",IF(SUMPRODUCT(--(J$10:J352=J352))=1,SUMPRODUCT(--(J$10:J$609&lt;J352))+1,""))</f>
        <v/>
      </c>
      <c r="L352" t="str">
        <f>IFERROR(INDEX(tblY9[Class],ROWS(L$10:L352))&amp;"","")</f>
        <v/>
      </c>
      <c r="M352" t="str">
        <f>IF(L352="","",IF(SUMPRODUCT(--(L$10:L352=L352))=1,SUMPRODUCT(--(L$10:L$609&lt;L352))+1,""))</f>
        <v/>
      </c>
      <c r="N352" t="str">
        <f>IFERROR(INDEX(tblY10[Class],ROWS(N$10:N352))&amp;"","")</f>
        <v/>
      </c>
      <c r="O352" t="str">
        <f>IF(N352="","",IF(SUMPRODUCT(--(N$10:N352=N352))=1,SUMPRODUCT(--(N$10:N$609&lt;N352))+1,""))</f>
        <v/>
      </c>
      <c r="P352" t="str">
        <f>IFERROR(INDEX(tblY11[Class],ROWS(P$10:P352))&amp;"","")</f>
        <v/>
      </c>
      <c r="Q352" t="str">
        <f>IF(P352="","",IF(SUMPRODUCT(--(P$10:P352=P352))=1,SUMPRODUCT(--(P$10:P$609&lt;P352))+1,""))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IFERROR(INDEX(tblY7[Class],ROWS(H$10:H353))&amp;"","")</f>
        <v/>
      </c>
      <c r="I353" t="str">
        <f>IF(H353="","",IF(SUMPRODUCT(--(H$10:H353=H353))=1,SUMPRODUCT(--(H$10:H$609&lt;H353))+1,""))</f>
        <v/>
      </c>
      <c r="J353" t="str">
        <f>IFERROR(INDEX(tblY8[Class],ROWS(J$10:J353))&amp;"","")</f>
        <v/>
      </c>
      <c r="K353" t="str">
        <f>IF(J353="","",IF(SUMPRODUCT(--(J$10:J353=J353))=1,SUMPRODUCT(--(J$10:J$609&lt;J353))+1,""))</f>
        <v/>
      </c>
      <c r="L353" t="str">
        <f>IFERROR(INDEX(tblY9[Class],ROWS(L$10:L353))&amp;"","")</f>
        <v/>
      </c>
      <c r="M353" t="str">
        <f>IF(L353="","",IF(SUMPRODUCT(--(L$10:L353=L353))=1,SUMPRODUCT(--(L$10:L$609&lt;L353))+1,""))</f>
        <v/>
      </c>
      <c r="N353" t="str">
        <f>IFERROR(INDEX(tblY10[Class],ROWS(N$10:N353))&amp;"","")</f>
        <v/>
      </c>
      <c r="O353" t="str">
        <f>IF(N353="","",IF(SUMPRODUCT(--(N$10:N353=N353))=1,SUMPRODUCT(--(N$10:N$609&lt;N353))+1,""))</f>
        <v/>
      </c>
      <c r="P353" t="str">
        <f>IFERROR(INDEX(tblY11[Class],ROWS(P$10:P353))&amp;"","")</f>
        <v/>
      </c>
      <c r="Q353" t="str">
        <f>IF(P353="","",IF(SUMPRODUCT(--(P$10:P353=P353))=1,SUMPRODUCT(--(P$10:P$609&lt;P353))+1,""))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IFERROR(INDEX(tblY7[Class],ROWS(H$10:H354))&amp;"","")</f>
        <v/>
      </c>
      <c r="I354" t="str">
        <f>IF(H354="","",IF(SUMPRODUCT(--(H$10:H354=H354))=1,SUMPRODUCT(--(H$10:H$609&lt;H354))+1,""))</f>
        <v/>
      </c>
      <c r="J354" t="str">
        <f>IFERROR(INDEX(tblY8[Class],ROWS(J$10:J354))&amp;"","")</f>
        <v/>
      </c>
      <c r="K354" t="str">
        <f>IF(J354="","",IF(SUMPRODUCT(--(J$10:J354=J354))=1,SUMPRODUCT(--(J$10:J$609&lt;J354))+1,""))</f>
        <v/>
      </c>
      <c r="L354" t="str">
        <f>IFERROR(INDEX(tblY9[Class],ROWS(L$10:L354))&amp;"","")</f>
        <v/>
      </c>
      <c r="M354" t="str">
        <f>IF(L354="","",IF(SUMPRODUCT(--(L$10:L354=L354))=1,SUMPRODUCT(--(L$10:L$609&lt;L354))+1,""))</f>
        <v/>
      </c>
      <c r="N354" t="str">
        <f>IFERROR(INDEX(tblY10[Class],ROWS(N$10:N354))&amp;"","")</f>
        <v/>
      </c>
      <c r="O354" t="str">
        <f>IF(N354="","",IF(SUMPRODUCT(--(N$10:N354=N354))=1,SUMPRODUCT(--(N$10:N$609&lt;N354))+1,""))</f>
        <v/>
      </c>
      <c r="P354" t="str">
        <f>IFERROR(INDEX(tblY11[Class],ROWS(P$10:P354))&amp;"","")</f>
        <v/>
      </c>
      <c r="Q354" t="str">
        <f>IF(P354="","",IF(SUMPRODUCT(--(P$10:P354=P354))=1,SUMPRODUCT(--(P$10:P$609&lt;P354))+1,""))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IFERROR(INDEX(tblY7[Class],ROWS(H$10:H355))&amp;"","")</f>
        <v/>
      </c>
      <c r="I355" t="str">
        <f>IF(H355="","",IF(SUMPRODUCT(--(H$10:H355=H355))=1,SUMPRODUCT(--(H$10:H$609&lt;H355))+1,""))</f>
        <v/>
      </c>
      <c r="J355" t="str">
        <f>IFERROR(INDEX(tblY8[Class],ROWS(J$10:J355))&amp;"","")</f>
        <v/>
      </c>
      <c r="K355" t="str">
        <f>IF(J355="","",IF(SUMPRODUCT(--(J$10:J355=J355))=1,SUMPRODUCT(--(J$10:J$609&lt;J355))+1,""))</f>
        <v/>
      </c>
      <c r="L355" t="str">
        <f>IFERROR(INDEX(tblY9[Class],ROWS(L$10:L355))&amp;"","")</f>
        <v/>
      </c>
      <c r="M355" t="str">
        <f>IF(L355="","",IF(SUMPRODUCT(--(L$10:L355=L355))=1,SUMPRODUCT(--(L$10:L$609&lt;L355))+1,""))</f>
        <v/>
      </c>
      <c r="N355" t="str">
        <f>IFERROR(INDEX(tblY10[Class],ROWS(N$10:N355))&amp;"","")</f>
        <v/>
      </c>
      <c r="O355" t="str">
        <f>IF(N355="","",IF(SUMPRODUCT(--(N$10:N355=N355))=1,SUMPRODUCT(--(N$10:N$609&lt;N355))+1,""))</f>
        <v/>
      </c>
      <c r="P355" t="str">
        <f>IFERROR(INDEX(tblY11[Class],ROWS(P$10:P355))&amp;"","")</f>
        <v/>
      </c>
      <c r="Q355" t="str">
        <f>IF(P355="","",IF(SUMPRODUCT(--(P$10:P355=P355))=1,SUMPRODUCT(--(P$10:P$609&lt;P355))+1,""))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IFERROR(INDEX(tblY7[Class],ROWS(H$10:H356))&amp;"","")</f>
        <v/>
      </c>
      <c r="I356" t="str">
        <f>IF(H356="","",IF(SUMPRODUCT(--(H$10:H356=H356))=1,SUMPRODUCT(--(H$10:H$609&lt;H356))+1,""))</f>
        <v/>
      </c>
      <c r="J356" t="str">
        <f>IFERROR(INDEX(tblY8[Class],ROWS(J$10:J356))&amp;"","")</f>
        <v/>
      </c>
      <c r="K356" t="str">
        <f>IF(J356="","",IF(SUMPRODUCT(--(J$10:J356=J356))=1,SUMPRODUCT(--(J$10:J$609&lt;J356))+1,""))</f>
        <v/>
      </c>
      <c r="L356" t="str">
        <f>IFERROR(INDEX(tblY9[Class],ROWS(L$10:L356))&amp;"","")</f>
        <v/>
      </c>
      <c r="M356" t="str">
        <f>IF(L356="","",IF(SUMPRODUCT(--(L$10:L356=L356))=1,SUMPRODUCT(--(L$10:L$609&lt;L356))+1,""))</f>
        <v/>
      </c>
      <c r="N356" t="str">
        <f>IFERROR(INDEX(tblY10[Class],ROWS(N$10:N356))&amp;"","")</f>
        <v/>
      </c>
      <c r="O356" t="str">
        <f>IF(N356="","",IF(SUMPRODUCT(--(N$10:N356=N356))=1,SUMPRODUCT(--(N$10:N$609&lt;N356))+1,""))</f>
        <v/>
      </c>
      <c r="P356" t="str">
        <f>IFERROR(INDEX(tblY11[Class],ROWS(P$10:P356))&amp;"","")</f>
        <v/>
      </c>
      <c r="Q356" t="str">
        <f>IF(P356="","",IF(SUMPRODUCT(--(P$10:P356=P356))=1,SUMPRODUCT(--(P$10:P$609&lt;P356))+1,""))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IFERROR(INDEX(tblY7[Class],ROWS(H$10:H357))&amp;"","")</f>
        <v/>
      </c>
      <c r="I357" t="str">
        <f>IF(H357="","",IF(SUMPRODUCT(--(H$10:H357=H357))=1,SUMPRODUCT(--(H$10:H$609&lt;H357))+1,""))</f>
        <v/>
      </c>
      <c r="J357" t="str">
        <f>IFERROR(INDEX(tblY8[Class],ROWS(J$10:J357))&amp;"","")</f>
        <v/>
      </c>
      <c r="K357" t="str">
        <f>IF(J357="","",IF(SUMPRODUCT(--(J$10:J357=J357))=1,SUMPRODUCT(--(J$10:J$609&lt;J357))+1,""))</f>
        <v/>
      </c>
      <c r="L357" t="str">
        <f>IFERROR(INDEX(tblY9[Class],ROWS(L$10:L357))&amp;"","")</f>
        <v/>
      </c>
      <c r="M357" t="str">
        <f>IF(L357="","",IF(SUMPRODUCT(--(L$10:L357=L357))=1,SUMPRODUCT(--(L$10:L$609&lt;L357))+1,""))</f>
        <v/>
      </c>
      <c r="N357" t="str">
        <f>IFERROR(INDEX(tblY10[Class],ROWS(N$10:N357))&amp;"","")</f>
        <v/>
      </c>
      <c r="O357" t="str">
        <f>IF(N357="","",IF(SUMPRODUCT(--(N$10:N357=N357))=1,SUMPRODUCT(--(N$10:N$609&lt;N357))+1,""))</f>
        <v/>
      </c>
      <c r="P357" t="str">
        <f>IFERROR(INDEX(tblY11[Class],ROWS(P$10:P357))&amp;"","")</f>
        <v/>
      </c>
      <c r="Q357" t="str">
        <f>IF(P357="","",IF(SUMPRODUCT(--(P$10:P357=P357))=1,SUMPRODUCT(--(P$10:P$609&lt;P357))+1,""))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IFERROR(INDEX(tblY7[Class],ROWS(H$10:H358))&amp;"","")</f>
        <v/>
      </c>
      <c r="I358" t="str">
        <f>IF(H358="","",IF(SUMPRODUCT(--(H$10:H358=H358))=1,SUMPRODUCT(--(H$10:H$609&lt;H358))+1,""))</f>
        <v/>
      </c>
      <c r="J358" t="str">
        <f>IFERROR(INDEX(tblY8[Class],ROWS(J$10:J358))&amp;"","")</f>
        <v/>
      </c>
      <c r="K358" t="str">
        <f>IF(J358="","",IF(SUMPRODUCT(--(J$10:J358=J358))=1,SUMPRODUCT(--(J$10:J$609&lt;J358))+1,""))</f>
        <v/>
      </c>
      <c r="L358" t="str">
        <f>IFERROR(INDEX(tblY9[Class],ROWS(L$10:L358))&amp;"","")</f>
        <v/>
      </c>
      <c r="M358" t="str">
        <f>IF(L358="","",IF(SUMPRODUCT(--(L$10:L358=L358))=1,SUMPRODUCT(--(L$10:L$609&lt;L358))+1,""))</f>
        <v/>
      </c>
      <c r="N358" t="str">
        <f>IFERROR(INDEX(tblY10[Class],ROWS(N$10:N358))&amp;"","")</f>
        <v/>
      </c>
      <c r="O358" t="str">
        <f>IF(N358="","",IF(SUMPRODUCT(--(N$10:N358=N358))=1,SUMPRODUCT(--(N$10:N$609&lt;N358))+1,""))</f>
        <v/>
      </c>
      <c r="P358" t="str">
        <f>IFERROR(INDEX(tblY11[Class],ROWS(P$10:P358))&amp;"","")</f>
        <v/>
      </c>
      <c r="Q358" t="str">
        <f>IF(P358="","",IF(SUMPRODUCT(--(P$10:P358=P358))=1,SUMPRODUCT(--(P$10:P$609&lt;P358))+1,""))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IFERROR(INDEX(tblY7[Class],ROWS(H$10:H359))&amp;"","")</f>
        <v/>
      </c>
      <c r="I359" t="str">
        <f>IF(H359="","",IF(SUMPRODUCT(--(H$10:H359=H359))=1,SUMPRODUCT(--(H$10:H$609&lt;H359))+1,""))</f>
        <v/>
      </c>
      <c r="J359" t="str">
        <f>IFERROR(INDEX(tblY8[Class],ROWS(J$10:J359))&amp;"","")</f>
        <v/>
      </c>
      <c r="K359" t="str">
        <f>IF(J359="","",IF(SUMPRODUCT(--(J$10:J359=J359))=1,SUMPRODUCT(--(J$10:J$609&lt;J359))+1,""))</f>
        <v/>
      </c>
      <c r="L359" t="str">
        <f>IFERROR(INDEX(tblY9[Class],ROWS(L$10:L359))&amp;"","")</f>
        <v/>
      </c>
      <c r="M359" t="str">
        <f>IF(L359="","",IF(SUMPRODUCT(--(L$10:L359=L359))=1,SUMPRODUCT(--(L$10:L$609&lt;L359))+1,""))</f>
        <v/>
      </c>
      <c r="N359" t="str">
        <f>IFERROR(INDEX(tblY10[Class],ROWS(N$10:N359))&amp;"","")</f>
        <v/>
      </c>
      <c r="O359" t="str">
        <f>IF(N359="","",IF(SUMPRODUCT(--(N$10:N359=N359))=1,SUMPRODUCT(--(N$10:N$609&lt;N359))+1,""))</f>
        <v/>
      </c>
      <c r="P359" t="str">
        <f>IFERROR(INDEX(tblY11[Class],ROWS(P$10:P359))&amp;"","")</f>
        <v/>
      </c>
      <c r="Q359" t="str">
        <f>IF(P359="","",IF(SUMPRODUCT(--(P$10:P359=P359))=1,SUMPRODUCT(--(P$10:P$609&lt;P359))+1,""))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IFERROR(INDEX(tblY7[Class],ROWS(H$10:H360))&amp;"","")</f>
        <v/>
      </c>
      <c r="I360" t="str">
        <f>IF(H360="","",IF(SUMPRODUCT(--(H$10:H360=H360))=1,SUMPRODUCT(--(H$10:H$609&lt;H360))+1,""))</f>
        <v/>
      </c>
      <c r="J360" t="str">
        <f>IFERROR(INDEX(tblY8[Class],ROWS(J$10:J360))&amp;"","")</f>
        <v/>
      </c>
      <c r="K360" t="str">
        <f>IF(J360="","",IF(SUMPRODUCT(--(J$10:J360=J360))=1,SUMPRODUCT(--(J$10:J$609&lt;J360))+1,""))</f>
        <v/>
      </c>
      <c r="L360" t="str">
        <f>IFERROR(INDEX(tblY9[Class],ROWS(L$10:L360))&amp;"","")</f>
        <v/>
      </c>
      <c r="M360" t="str">
        <f>IF(L360="","",IF(SUMPRODUCT(--(L$10:L360=L360))=1,SUMPRODUCT(--(L$10:L$609&lt;L360))+1,""))</f>
        <v/>
      </c>
      <c r="N360" t="str">
        <f>IFERROR(INDEX(tblY10[Class],ROWS(N$10:N360))&amp;"","")</f>
        <v/>
      </c>
      <c r="O360" t="str">
        <f>IF(N360="","",IF(SUMPRODUCT(--(N$10:N360=N360))=1,SUMPRODUCT(--(N$10:N$609&lt;N360))+1,""))</f>
        <v/>
      </c>
      <c r="P360" t="str">
        <f>IFERROR(INDEX(tblY11[Class],ROWS(P$10:P360))&amp;"","")</f>
        <v/>
      </c>
      <c r="Q360" t="str">
        <f>IF(P360="","",IF(SUMPRODUCT(--(P$10:P360=P360))=1,SUMPRODUCT(--(P$10:P$609&lt;P360))+1,""))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IFERROR(INDEX(tblY7[Class],ROWS(H$10:H361))&amp;"","")</f>
        <v/>
      </c>
      <c r="I361" t="str">
        <f>IF(H361="","",IF(SUMPRODUCT(--(H$10:H361=H361))=1,SUMPRODUCT(--(H$10:H$609&lt;H361))+1,""))</f>
        <v/>
      </c>
      <c r="J361" t="str">
        <f>IFERROR(INDEX(tblY8[Class],ROWS(J$10:J361))&amp;"","")</f>
        <v/>
      </c>
      <c r="K361" t="str">
        <f>IF(J361="","",IF(SUMPRODUCT(--(J$10:J361=J361))=1,SUMPRODUCT(--(J$10:J$609&lt;J361))+1,""))</f>
        <v/>
      </c>
      <c r="L361" t="str">
        <f>IFERROR(INDEX(tblY9[Class],ROWS(L$10:L361))&amp;"","")</f>
        <v/>
      </c>
      <c r="M361" t="str">
        <f>IF(L361="","",IF(SUMPRODUCT(--(L$10:L361=L361))=1,SUMPRODUCT(--(L$10:L$609&lt;L361))+1,""))</f>
        <v/>
      </c>
      <c r="N361" t="str">
        <f>IFERROR(INDEX(tblY10[Class],ROWS(N$10:N361))&amp;"","")</f>
        <v/>
      </c>
      <c r="O361" t="str">
        <f>IF(N361="","",IF(SUMPRODUCT(--(N$10:N361=N361))=1,SUMPRODUCT(--(N$10:N$609&lt;N361))+1,""))</f>
        <v/>
      </c>
      <c r="P361" t="str">
        <f>IFERROR(INDEX(tblY11[Class],ROWS(P$10:P361))&amp;"","")</f>
        <v/>
      </c>
      <c r="Q361" t="str">
        <f>IF(P361="","",IF(SUMPRODUCT(--(P$10:P361=P361))=1,SUMPRODUCT(--(P$10:P$609&lt;P361))+1,""))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IFERROR(INDEX(tblY7[Class],ROWS(H$10:H362))&amp;"","")</f>
        <v/>
      </c>
      <c r="I362" t="str">
        <f>IF(H362="","",IF(SUMPRODUCT(--(H$10:H362=H362))=1,SUMPRODUCT(--(H$10:H$609&lt;H362))+1,""))</f>
        <v/>
      </c>
      <c r="J362" t="str">
        <f>IFERROR(INDEX(tblY8[Class],ROWS(J$10:J362))&amp;"","")</f>
        <v/>
      </c>
      <c r="K362" t="str">
        <f>IF(J362="","",IF(SUMPRODUCT(--(J$10:J362=J362))=1,SUMPRODUCT(--(J$10:J$609&lt;J362))+1,""))</f>
        <v/>
      </c>
      <c r="L362" t="str">
        <f>IFERROR(INDEX(tblY9[Class],ROWS(L$10:L362))&amp;"","")</f>
        <v/>
      </c>
      <c r="M362" t="str">
        <f>IF(L362="","",IF(SUMPRODUCT(--(L$10:L362=L362))=1,SUMPRODUCT(--(L$10:L$609&lt;L362))+1,""))</f>
        <v/>
      </c>
      <c r="N362" t="str">
        <f>IFERROR(INDEX(tblY10[Class],ROWS(N$10:N362))&amp;"","")</f>
        <v/>
      </c>
      <c r="O362" t="str">
        <f>IF(N362="","",IF(SUMPRODUCT(--(N$10:N362=N362))=1,SUMPRODUCT(--(N$10:N$609&lt;N362))+1,""))</f>
        <v/>
      </c>
      <c r="P362" t="str">
        <f>IFERROR(INDEX(tblY11[Class],ROWS(P$10:P362))&amp;"","")</f>
        <v/>
      </c>
      <c r="Q362" t="str">
        <f>IF(P362="","",IF(SUMPRODUCT(--(P$10:P362=P362))=1,SUMPRODUCT(--(P$10:P$609&lt;P362))+1,""))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IFERROR(INDEX(tblY7[Class],ROWS(H$10:H363))&amp;"","")</f>
        <v/>
      </c>
      <c r="I363" t="str">
        <f>IF(H363="","",IF(SUMPRODUCT(--(H$10:H363=H363))=1,SUMPRODUCT(--(H$10:H$609&lt;H363))+1,""))</f>
        <v/>
      </c>
      <c r="J363" t="str">
        <f>IFERROR(INDEX(tblY8[Class],ROWS(J$10:J363))&amp;"","")</f>
        <v/>
      </c>
      <c r="K363" t="str">
        <f>IF(J363="","",IF(SUMPRODUCT(--(J$10:J363=J363))=1,SUMPRODUCT(--(J$10:J$609&lt;J363))+1,""))</f>
        <v/>
      </c>
      <c r="L363" t="str">
        <f>IFERROR(INDEX(tblY9[Class],ROWS(L$10:L363))&amp;"","")</f>
        <v/>
      </c>
      <c r="M363" t="str">
        <f>IF(L363="","",IF(SUMPRODUCT(--(L$10:L363=L363))=1,SUMPRODUCT(--(L$10:L$609&lt;L363))+1,""))</f>
        <v/>
      </c>
      <c r="N363" t="str">
        <f>IFERROR(INDEX(tblY10[Class],ROWS(N$10:N363))&amp;"","")</f>
        <v/>
      </c>
      <c r="O363" t="str">
        <f>IF(N363="","",IF(SUMPRODUCT(--(N$10:N363=N363))=1,SUMPRODUCT(--(N$10:N$609&lt;N363))+1,""))</f>
        <v/>
      </c>
      <c r="P363" t="str">
        <f>IFERROR(INDEX(tblY11[Class],ROWS(P$10:P363))&amp;"","")</f>
        <v/>
      </c>
      <c r="Q363" t="str">
        <f>IF(P363="","",IF(SUMPRODUCT(--(P$10:P363=P363))=1,SUMPRODUCT(--(P$10:P$609&lt;P363))+1,""))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IFERROR(INDEX(tblY7[Class],ROWS(H$10:H364))&amp;"","")</f>
        <v/>
      </c>
      <c r="I364" t="str">
        <f>IF(H364="","",IF(SUMPRODUCT(--(H$10:H364=H364))=1,SUMPRODUCT(--(H$10:H$609&lt;H364))+1,""))</f>
        <v/>
      </c>
      <c r="J364" t="str">
        <f>IFERROR(INDEX(tblY8[Class],ROWS(J$10:J364))&amp;"","")</f>
        <v/>
      </c>
      <c r="K364" t="str">
        <f>IF(J364="","",IF(SUMPRODUCT(--(J$10:J364=J364))=1,SUMPRODUCT(--(J$10:J$609&lt;J364))+1,""))</f>
        <v/>
      </c>
      <c r="L364" t="str">
        <f>IFERROR(INDEX(tblY9[Class],ROWS(L$10:L364))&amp;"","")</f>
        <v/>
      </c>
      <c r="M364" t="str">
        <f>IF(L364="","",IF(SUMPRODUCT(--(L$10:L364=L364))=1,SUMPRODUCT(--(L$10:L$609&lt;L364))+1,""))</f>
        <v/>
      </c>
      <c r="N364" t="str">
        <f>IFERROR(INDEX(tblY10[Class],ROWS(N$10:N364))&amp;"","")</f>
        <v/>
      </c>
      <c r="O364" t="str">
        <f>IF(N364="","",IF(SUMPRODUCT(--(N$10:N364=N364))=1,SUMPRODUCT(--(N$10:N$609&lt;N364))+1,""))</f>
        <v/>
      </c>
      <c r="P364" t="str">
        <f>IFERROR(INDEX(tblY11[Class],ROWS(P$10:P364))&amp;"","")</f>
        <v/>
      </c>
      <c r="Q364" t="str">
        <f>IF(P364="","",IF(SUMPRODUCT(--(P$10:P364=P364))=1,SUMPRODUCT(--(P$10:P$609&lt;P364))+1,""))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IFERROR(INDEX(tblY7[Class],ROWS(H$10:H365))&amp;"","")</f>
        <v/>
      </c>
      <c r="I365" t="str">
        <f>IF(H365="","",IF(SUMPRODUCT(--(H$10:H365=H365))=1,SUMPRODUCT(--(H$10:H$609&lt;H365))+1,""))</f>
        <v/>
      </c>
      <c r="J365" t="str">
        <f>IFERROR(INDEX(tblY8[Class],ROWS(J$10:J365))&amp;"","")</f>
        <v/>
      </c>
      <c r="K365" t="str">
        <f>IF(J365="","",IF(SUMPRODUCT(--(J$10:J365=J365))=1,SUMPRODUCT(--(J$10:J$609&lt;J365))+1,""))</f>
        <v/>
      </c>
      <c r="L365" t="str">
        <f>IFERROR(INDEX(tblY9[Class],ROWS(L$10:L365))&amp;"","")</f>
        <v/>
      </c>
      <c r="M365" t="str">
        <f>IF(L365="","",IF(SUMPRODUCT(--(L$10:L365=L365))=1,SUMPRODUCT(--(L$10:L$609&lt;L365))+1,""))</f>
        <v/>
      </c>
      <c r="N365" t="str">
        <f>IFERROR(INDEX(tblY10[Class],ROWS(N$10:N365))&amp;"","")</f>
        <v/>
      </c>
      <c r="O365" t="str">
        <f>IF(N365="","",IF(SUMPRODUCT(--(N$10:N365=N365))=1,SUMPRODUCT(--(N$10:N$609&lt;N365))+1,""))</f>
        <v/>
      </c>
      <c r="P365" t="str">
        <f>IFERROR(INDEX(tblY11[Class],ROWS(P$10:P365))&amp;"","")</f>
        <v/>
      </c>
      <c r="Q365" t="str">
        <f>IF(P365="","",IF(SUMPRODUCT(--(P$10:P365=P365))=1,SUMPRODUCT(--(P$10:P$609&lt;P365))+1,""))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IFERROR(INDEX(tblY7[Class],ROWS(H$10:H366))&amp;"","")</f>
        <v/>
      </c>
      <c r="I366" t="str">
        <f>IF(H366="","",IF(SUMPRODUCT(--(H$10:H366=H366))=1,SUMPRODUCT(--(H$10:H$609&lt;H366))+1,""))</f>
        <v/>
      </c>
      <c r="J366" t="str">
        <f>IFERROR(INDEX(tblY8[Class],ROWS(J$10:J366))&amp;"","")</f>
        <v/>
      </c>
      <c r="K366" t="str">
        <f>IF(J366="","",IF(SUMPRODUCT(--(J$10:J366=J366))=1,SUMPRODUCT(--(J$10:J$609&lt;J366))+1,""))</f>
        <v/>
      </c>
      <c r="L366" t="str">
        <f>IFERROR(INDEX(tblY9[Class],ROWS(L$10:L366))&amp;"","")</f>
        <v/>
      </c>
      <c r="M366" t="str">
        <f>IF(L366="","",IF(SUMPRODUCT(--(L$10:L366=L366))=1,SUMPRODUCT(--(L$10:L$609&lt;L366))+1,""))</f>
        <v/>
      </c>
      <c r="N366" t="str">
        <f>IFERROR(INDEX(tblY10[Class],ROWS(N$10:N366))&amp;"","")</f>
        <v/>
      </c>
      <c r="O366" t="str">
        <f>IF(N366="","",IF(SUMPRODUCT(--(N$10:N366=N366))=1,SUMPRODUCT(--(N$10:N$609&lt;N366))+1,""))</f>
        <v/>
      </c>
      <c r="P366" t="str">
        <f>IFERROR(INDEX(tblY11[Class],ROWS(P$10:P366))&amp;"","")</f>
        <v/>
      </c>
      <c r="Q366" t="str">
        <f>IF(P366="","",IF(SUMPRODUCT(--(P$10:P366=P366))=1,SUMPRODUCT(--(P$10:P$609&lt;P366))+1,""))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IFERROR(INDEX(tblY7[Class],ROWS(H$10:H367))&amp;"","")</f>
        <v/>
      </c>
      <c r="I367" t="str">
        <f>IF(H367="","",IF(SUMPRODUCT(--(H$10:H367=H367))=1,SUMPRODUCT(--(H$10:H$609&lt;H367))+1,""))</f>
        <v/>
      </c>
      <c r="J367" t="str">
        <f>IFERROR(INDEX(tblY8[Class],ROWS(J$10:J367))&amp;"","")</f>
        <v/>
      </c>
      <c r="K367" t="str">
        <f>IF(J367="","",IF(SUMPRODUCT(--(J$10:J367=J367))=1,SUMPRODUCT(--(J$10:J$609&lt;J367))+1,""))</f>
        <v/>
      </c>
      <c r="L367" t="str">
        <f>IFERROR(INDEX(tblY9[Class],ROWS(L$10:L367))&amp;"","")</f>
        <v/>
      </c>
      <c r="M367" t="str">
        <f>IF(L367="","",IF(SUMPRODUCT(--(L$10:L367=L367))=1,SUMPRODUCT(--(L$10:L$609&lt;L367))+1,""))</f>
        <v/>
      </c>
      <c r="N367" t="str">
        <f>IFERROR(INDEX(tblY10[Class],ROWS(N$10:N367))&amp;"","")</f>
        <v/>
      </c>
      <c r="O367" t="str">
        <f>IF(N367="","",IF(SUMPRODUCT(--(N$10:N367=N367))=1,SUMPRODUCT(--(N$10:N$609&lt;N367))+1,""))</f>
        <v/>
      </c>
      <c r="P367" t="str">
        <f>IFERROR(INDEX(tblY11[Class],ROWS(P$10:P367))&amp;"","")</f>
        <v/>
      </c>
      <c r="Q367" t="str">
        <f>IF(P367="","",IF(SUMPRODUCT(--(P$10:P367=P367))=1,SUMPRODUCT(--(P$10:P$609&lt;P367))+1,""))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IFERROR(INDEX(tblY7[Class],ROWS(H$10:H368))&amp;"","")</f>
        <v/>
      </c>
      <c r="I368" t="str">
        <f>IF(H368="","",IF(SUMPRODUCT(--(H$10:H368=H368))=1,SUMPRODUCT(--(H$10:H$609&lt;H368))+1,""))</f>
        <v/>
      </c>
      <c r="J368" t="str">
        <f>IFERROR(INDEX(tblY8[Class],ROWS(J$10:J368))&amp;"","")</f>
        <v/>
      </c>
      <c r="K368" t="str">
        <f>IF(J368="","",IF(SUMPRODUCT(--(J$10:J368=J368))=1,SUMPRODUCT(--(J$10:J$609&lt;J368))+1,""))</f>
        <v/>
      </c>
      <c r="L368" t="str">
        <f>IFERROR(INDEX(tblY9[Class],ROWS(L$10:L368))&amp;"","")</f>
        <v/>
      </c>
      <c r="M368" t="str">
        <f>IF(L368="","",IF(SUMPRODUCT(--(L$10:L368=L368))=1,SUMPRODUCT(--(L$10:L$609&lt;L368))+1,""))</f>
        <v/>
      </c>
      <c r="N368" t="str">
        <f>IFERROR(INDEX(tblY10[Class],ROWS(N$10:N368))&amp;"","")</f>
        <v/>
      </c>
      <c r="O368" t="str">
        <f>IF(N368="","",IF(SUMPRODUCT(--(N$10:N368=N368))=1,SUMPRODUCT(--(N$10:N$609&lt;N368))+1,""))</f>
        <v/>
      </c>
      <c r="P368" t="str">
        <f>IFERROR(INDEX(tblY11[Class],ROWS(P$10:P368))&amp;"","")</f>
        <v/>
      </c>
      <c r="Q368" t="str">
        <f>IF(P368="","",IF(SUMPRODUCT(--(P$10:P368=P368))=1,SUMPRODUCT(--(P$10:P$609&lt;P368))+1,""))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IFERROR(INDEX(tblY7[Class],ROWS(H$10:H369))&amp;"","")</f>
        <v/>
      </c>
      <c r="I369" t="str">
        <f>IF(H369="","",IF(SUMPRODUCT(--(H$10:H369=H369))=1,SUMPRODUCT(--(H$10:H$609&lt;H369))+1,""))</f>
        <v/>
      </c>
      <c r="J369" t="str">
        <f>IFERROR(INDEX(tblY8[Class],ROWS(J$10:J369))&amp;"","")</f>
        <v/>
      </c>
      <c r="K369" t="str">
        <f>IF(J369="","",IF(SUMPRODUCT(--(J$10:J369=J369))=1,SUMPRODUCT(--(J$10:J$609&lt;J369))+1,""))</f>
        <v/>
      </c>
      <c r="L369" t="str">
        <f>IFERROR(INDEX(tblY9[Class],ROWS(L$10:L369))&amp;"","")</f>
        <v/>
      </c>
      <c r="M369" t="str">
        <f>IF(L369="","",IF(SUMPRODUCT(--(L$10:L369=L369))=1,SUMPRODUCT(--(L$10:L$609&lt;L369))+1,""))</f>
        <v/>
      </c>
      <c r="N369" t="str">
        <f>IFERROR(INDEX(tblY10[Class],ROWS(N$10:N369))&amp;"","")</f>
        <v/>
      </c>
      <c r="O369" t="str">
        <f>IF(N369="","",IF(SUMPRODUCT(--(N$10:N369=N369))=1,SUMPRODUCT(--(N$10:N$609&lt;N369))+1,""))</f>
        <v/>
      </c>
      <c r="P369" t="str">
        <f>IFERROR(INDEX(tblY11[Class],ROWS(P$10:P369))&amp;"","")</f>
        <v/>
      </c>
      <c r="Q369" t="str">
        <f>IF(P369="","",IF(SUMPRODUCT(--(P$10:P369=P369))=1,SUMPRODUCT(--(P$10:P$609&lt;P369))+1,""))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IFERROR(INDEX(tblY7[Class],ROWS(H$10:H370))&amp;"","")</f>
        <v/>
      </c>
      <c r="I370" t="str">
        <f>IF(H370="","",IF(SUMPRODUCT(--(H$10:H370=H370))=1,SUMPRODUCT(--(H$10:H$609&lt;H370))+1,""))</f>
        <v/>
      </c>
      <c r="J370" t="str">
        <f>IFERROR(INDEX(tblY8[Class],ROWS(J$10:J370))&amp;"","")</f>
        <v/>
      </c>
      <c r="K370" t="str">
        <f>IF(J370="","",IF(SUMPRODUCT(--(J$10:J370=J370))=1,SUMPRODUCT(--(J$10:J$609&lt;J370))+1,""))</f>
        <v/>
      </c>
      <c r="L370" t="str">
        <f>IFERROR(INDEX(tblY9[Class],ROWS(L$10:L370))&amp;"","")</f>
        <v/>
      </c>
      <c r="M370" t="str">
        <f>IF(L370="","",IF(SUMPRODUCT(--(L$10:L370=L370))=1,SUMPRODUCT(--(L$10:L$609&lt;L370))+1,""))</f>
        <v/>
      </c>
      <c r="N370" t="str">
        <f>IFERROR(INDEX(tblY10[Class],ROWS(N$10:N370))&amp;"","")</f>
        <v/>
      </c>
      <c r="O370" t="str">
        <f>IF(N370="","",IF(SUMPRODUCT(--(N$10:N370=N370))=1,SUMPRODUCT(--(N$10:N$609&lt;N370))+1,""))</f>
        <v/>
      </c>
      <c r="P370" t="str">
        <f>IFERROR(INDEX(tblY11[Class],ROWS(P$10:P370))&amp;"","")</f>
        <v/>
      </c>
      <c r="Q370" t="str">
        <f>IF(P370="","",IF(SUMPRODUCT(--(P$10:P370=P370))=1,SUMPRODUCT(--(P$10:P$609&lt;P370))+1,""))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IFERROR(INDEX(tblY7[Class],ROWS(H$10:H371))&amp;"","")</f>
        <v/>
      </c>
      <c r="I371" t="str">
        <f>IF(H371="","",IF(SUMPRODUCT(--(H$10:H371=H371))=1,SUMPRODUCT(--(H$10:H$609&lt;H371))+1,""))</f>
        <v/>
      </c>
      <c r="J371" t="str">
        <f>IFERROR(INDEX(tblY8[Class],ROWS(J$10:J371))&amp;"","")</f>
        <v/>
      </c>
      <c r="K371" t="str">
        <f>IF(J371="","",IF(SUMPRODUCT(--(J$10:J371=J371))=1,SUMPRODUCT(--(J$10:J$609&lt;J371))+1,""))</f>
        <v/>
      </c>
      <c r="L371" t="str">
        <f>IFERROR(INDEX(tblY9[Class],ROWS(L$10:L371))&amp;"","")</f>
        <v/>
      </c>
      <c r="M371" t="str">
        <f>IF(L371="","",IF(SUMPRODUCT(--(L$10:L371=L371))=1,SUMPRODUCT(--(L$10:L$609&lt;L371))+1,""))</f>
        <v/>
      </c>
      <c r="N371" t="str">
        <f>IFERROR(INDEX(tblY10[Class],ROWS(N$10:N371))&amp;"","")</f>
        <v/>
      </c>
      <c r="O371" t="str">
        <f>IF(N371="","",IF(SUMPRODUCT(--(N$10:N371=N371))=1,SUMPRODUCT(--(N$10:N$609&lt;N371))+1,""))</f>
        <v/>
      </c>
      <c r="P371" t="str">
        <f>IFERROR(INDEX(tblY11[Class],ROWS(P$10:P371))&amp;"","")</f>
        <v/>
      </c>
      <c r="Q371" t="str">
        <f>IF(P371="","",IF(SUMPRODUCT(--(P$10:P371=P371))=1,SUMPRODUCT(--(P$10:P$609&lt;P371))+1,""))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IFERROR(INDEX(tblY7[Class],ROWS(H$10:H372))&amp;"","")</f>
        <v/>
      </c>
      <c r="I372" t="str">
        <f>IF(H372="","",IF(SUMPRODUCT(--(H$10:H372=H372))=1,SUMPRODUCT(--(H$10:H$609&lt;H372))+1,""))</f>
        <v/>
      </c>
      <c r="J372" t="str">
        <f>IFERROR(INDEX(tblY8[Class],ROWS(J$10:J372))&amp;"","")</f>
        <v/>
      </c>
      <c r="K372" t="str">
        <f>IF(J372="","",IF(SUMPRODUCT(--(J$10:J372=J372))=1,SUMPRODUCT(--(J$10:J$609&lt;J372))+1,""))</f>
        <v/>
      </c>
      <c r="L372" t="str">
        <f>IFERROR(INDEX(tblY9[Class],ROWS(L$10:L372))&amp;"","")</f>
        <v/>
      </c>
      <c r="M372" t="str">
        <f>IF(L372="","",IF(SUMPRODUCT(--(L$10:L372=L372))=1,SUMPRODUCT(--(L$10:L$609&lt;L372))+1,""))</f>
        <v/>
      </c>
      <c r="N372" t="str">
        <f>IFERROR(INDEX(tblY10[Class],ROWS(N$10:N372))&amp;"","")</f>
        <v/>
      </c>
      <c r="O372" t="str">
        <f>IF(N372="","",IF(SUMPRODUCT(--(N$10:N372=N372))=1,SUMPRODUCT(--(N$10:N$609&lt;N372))+1,""))</f>
        <v/>
      </c>
      <c r="P372" t="str">
        <f>IFERROR(INDEX(tblY11[Class],ROWS(P$10:P372))&amp;"","")</f>
        <v/>
      </c>
      <c r="Q372" t="str">
        <f>IF(P372="","",IF(SUMPRODUCT(--(P$10:P372=P372))=1,SUMPRODUCT(--(P$10:P$609&lt;P372))+1,""))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IFERROR(INDEX(tblY7[Class],ROWS(H$10:H373))&amp;"","")</f>
        <v/>
      </c>
      <c r="I373" t="str">
        <f>IF(H373="","",IF(SUMPRODUCT(--(H$10:H373=H373))=1,SUMPRODUCT(--(H$10:H$609&lt;H373))+1,""))</f>
        <v/>
      </c>
      <c r="J373" t="str">
        <f>IFERROR(INDEX(tblY8[Class],ROWS(J$10:J373))&amp;"","")</f>
        <v/>
      </c>
      <c r="K373" t="str">
        <f>IF(J373="","",IF(SUMPRODUCT(--(J$10:J373=J373))=1,SUMPRODUCT(--(J$10:J$609&lt;J373))+1,""))</f>
        <v/>
      </c>
      <c r="L373" t="str">
        <f>IFERROR(INDEX(tblY9[Class],ROWS(L$10:L373))&amp;"","")</f>
        <v/>
      </c>
      <c r="M373" t="str">
        <f>IF(L373="","",IF(SUMPRODUCT(--(L$10:L373=L373))=1,SUMPRODUCT(--(L$10:L$609&lt;L373))+1,""))</f>
        <v/>
      </c>
      <c r="N373" t="str">
        <f>IFERROR(INDEX(tblY10[Class],ROWS(N$10:N373))&amp;"","")</f>
        <v/>
      </c>
      <c r="O373" t="str">
        <f>IF(N373="","",IF(SUMPRODUCT(--(N$10:N373=N373))=1,SUMPRODUCT(--(N$10:N$609&lt;N373))+1,""))</f>
        <v/>
      </c>
      <c r="P373" t="str">
        <f>IFERROR(INDEX(tblY11[Class],ROWS(P$10:P373))&amp;"","")</f>
        <v/>
      </c>
      <c r="Q373" t="str">
        <f>IF(P373="","",IF(SUMPRODUCT(--(P$10:P373=P373))=1,SUMPRODUCT(--(P$10:P$609&lt;P373))+1,""))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IFERROR(INDEX(tblY7[Class],ROWS(H$10:H374))&amp;"","")</f>
        <v/>
      </c>
      <c r="I374" t="str">
        <f>IF(H374="","",IF(SUMPRODUCT(--(H$10:H374=H374))=1,SUMPRODUCT(--(H$10:H$609&lt;H374))+1,""))</f>
        <v/>
      </c>
      <c r="J374" t="str">
        <f>IFERROR(INDEX(tblY8[Class],ROWS(J$10:J374))&amp;"","")</f>
        <v/>
      </c>
      <c r="K374" t="str">
        <f>IF(J374="","",IF(SUMPRODUCT(--(J$10:J374=J374))=1,SUMPRODUCT(--(J$10:J$609&lt;J374))+1,""))</f>
        <v/>
      </c>
      <c r="L374" t="str">
        <f>IFERROR(INDEX(tblY9[Class],ROWS(L$10:L374))&amp;"","")</f>
        <v/>
      </c>
      <c r="M374" t="str">
        <f>IF(L374="","",IF(SUMPRODUCT(--(L$10:L374=L374))=1,SUMPRODUCT(--(L$10:L$609&lt;L374))+1,""))</f>
        <v/>
      </c>
      <c r="N374" t="str">
        <f>IFERROR(INDEX(tblY10[Class],ROWS(N$10:N374))&amp;"","")</f>
        <v/>
      </c>
      <c r="O374" t="str">
        <f>IF(N374="","",IF(SUMPRODUCT(--(N$10:N374=N374))=1,SUMPRODUCT(--(N$10:N$609&lt;N374))+1,""))</f>
        <v/>
      </c>
      <c r="P374" t="str">
        <f>IFERROR(INDEX(tblY11[Class],ROWS(P$10:P374))&amp;"","")</f>
        <v/>
      </c>
      <c r="Q374" t="str">
        <f>IF(P374="","",IF(SUMPRODUCT(--(P$10:P374=P374))=1,SUMPRODUCT(--(P$10:P$609&lt;P374))+1,""))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IFERROR(INDEX(tblY7[Class],ROWS(H$10:H375))&amp;"","")</f>
        <v/>
      </c>
      <c r="I375" t="str">
        <f>IF(H375="","",IF(SUMPRODUCT(--(H$10:H375=H375))=1,SUMPRODUCT(--(H$10:H$609&lt;H375))+1,""))</f>
        <v/>
      </c>
      <c r="J375" t="str">
        <f>IFERROR(INDEX(tblY8[Class],ROWS(J$10:J375))&amp;"","")</f>
        <v/>
      </c>
      <c r="K375" t="str">
        <f>IF(J375="","",IF(SUMPRODUCT(--(J$10:J375=J375))=1,SUMPRODUCT(--(J$10:J$609&lt;J375))+1,""))</f>
        <v/>
      </c>
      <c r="L375" t="str">
        <f>IFERROR(INDEX(tblY9[Class],ROWS(L$10:L375))&amp;"","")</f>
        <v/>
      </c>
      <c r="M375" t="str">
        <f>IF(L375="","",IF(SUMPRODUCT(--(L$10:L375=L375))=1,SUMPRODUCT(--(L$10:L$609&lt;L375))+1,""))</f>
        <v/>
      </c>
      <c r="N375" t="str">
        <f>IFERROR(INDEX(tblY10[Class],ROWS(N$10:N375))&amp;"","")</f>
        <v/>
      </c>
      <c r="O375" t="str">
        <f>IF(N375="","",IF(SUMPRODUCT(--(N$10:N375=N375))=1,SUMPRODUCT(--(N$10:N$609&lt;N375))+1,""))</f>
        <v/>
      </c>
      <c r="P375" t="str">
        <f>IFERROR(INDEX(tblY11[Class],ROWS(P$10:P375))&amp;"","")</f>
        <v/>
      </c>
      <c r="Q375" t="str">
        <f>IF(P375="","",IF(SUMPRODUCT(--(P$10:P375=P375))=1,SUMPRODUCT(--(P$10:P$609&lt;P375))+1,""))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IFERROR(INDEX(tblY7[Class],ROWS(H$10:H376))&amp;"","")</f>
        <v/>
      </c>
      <c r="I376" t="str">
        <f>IF(H376="","",IF(SUMPRODUCT(--(H$10:H376=H376))=1,SUMPRODUCT(--(H$10:H$609&lt;H376))+1,""))</f>
        <v/>
      </c>
      <c r="J376" t="str">
        <f>IFERROR(INDEX(tblY8[Class],ROWS(J$10:J376))&amp;"","")</f>
        <v/>
      </c>
      <c r="K376" t="str">
        <f>IF(J376="","",IF(SUMPRODUCT(--(J$10:J376=J376))=1,SUMPRODUCT(--(J$10:J$609&lt;J376))+1,""))</f>
        <v/>
      </c>
      <c r="L376" t="str">
        <f>IFERROR(INDEX(tblY9[Class],ROWS(L$10:L376))&amp;"","")</f>
        <v/>
      </c>
      <c r="M376" t="str">
        <f>IF(L376="","",IF(SUMPRODUCT(--(L$10:L376=L376))=1,SUMPRODUCT(--(L$10:L$609&lt;L376))+1,""))</f>
        <v/>
      </c>
      <c r="N376" t="str">
        <f>IFERROR(INDEX(tblY10[Class],ROWS(N$10:N376))&amp;"","")</f>
        <v/>
      </c>
      <c r="O376" t="str">
        <f>IF(N376="","",IF(SUMPRODUCT(--(N$10:N376=N376))=1,SUMPRODUCT(--(N$10:N$609&lt;N376))+1,""))</f>
        <v/>
      </c>
      <c r="P376" t="str">
        <f>IFERROR(INDEX(tblY11[Class],ROWS(P$10:P376))&amp;"","")</f>
        <v/>
      </c>
      <c r="Q376" t="str">
        <f>IF(P376="","",IF(SUMPRODUCT(--(P$10:P376=P376))=1,SUMPRODUCT(--(P$10:P$609&lt;P376))+1,""))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IFERROR(INDEX(tblY7[Class],ROWS(H$10:H377))&amp;"","")</f>
        <v/>
      </c>
      <c r="I377" t="str">
        <f>IF(H377="","",IF(SUMPRODUCT(--(H$10:H377=H377))=1,SUMPRODUCT(--(H$10:H$609&lt;H377))+1,""))</f>
        <v/>
      </c>
      <c r="J377" t="str">
        <f>IFERROR(INDEX(tblY8[Class],ROWS(J$10:J377))&amp;"","")</f>
        <v/>
      </c>
      <c r="K377" t="str">
        <f>IF(J377="","",IF(SUMPRODUCT(--(J$10:J377=J377))=1,SUMPRODUCT(--(J$10:J$609&lt;J377))+1,""))</f>
        <v/>
      </c>
      <c r="L377" t="str">
        <f>IFERROR(INDEX(tblY9[Class],ROWS(L$10:L377))&amp;"","")</f>
        <v/>
      </c>
      <c r="M377" t="str">
        <f>IF(L377="","",IF(SUMPRODUCT(--(L$10:L377=L377))=1,SUMPRODUCT(--(L$10:L$609&lt;L377))+1,""))</f>
        <v/>
      </c>
      <c r="N377" t="str">
        <f>IFERROR(INDEX(tblY10[Class],ROWS(N$10:N377))&amp;"","")</f>
        <v/>
      </c>
      <c r="O377" t="str">
        <f>IF(N377="","",IF(SUMPRODUCT(--(N$10:N377=N377))=1,SUMPRODUCT(--(N$10:N$609&lt;N377))+1,""))</f>
        <v/>
      </c>
      <c r="P377" t="str">
        <f>IFERROR(INDEX(tblY11[Class],ROWS(P$10:P377))&amp;"","")</f>
        <v/>
      </c>
      <c r="Q377" t="str">
        <f>IF(P377="","",IF(SUMPRODUCT(--(P$10:P377=P377))=1,SUMPRODUCT(--(P$10:P$609&lt;P377))+1,""))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IFERROR(INDEX(tblY7[Class],ROWS(H$10:H378))&amp;"","")</f>
        <v/>
      </c>
      <c r="I378" t="str">
        <f>IF(H378="","",IF(SUMPRODUCT(--(H$10:H378=H378))=1,SUMPRODUCT(--(H$10:H$609&lt;H378))+1,""))</f>
        <v/>
      </c>
      <c r="J378" t="str">
        <f>IFERROR(INDEX(tblY8[Class],ROWS(J$10:J378))&amp;"","")</f>
        <v/>
      </c>
      <c r="K378" t="str">
        <f>IF(J378="","",IF(SUMPRODUCT(--(J$10:J378=J378))=1,SUMPRODUCT(--(J$10:J$609&lt;J378))+1,""))</f>
        <v/>
      </c>
      <c r="L378" t="str">
        <f>IFERROR(INDEX(tblY9[Class],ROWS(L$10:L378))&amp;"","")</f>
        <v/>
      </c>
      <c r="M378" t="str">
        <f>IF(L378="","",IF(SUMPRODUCT(--(L$10:L378=L378))=1,SUMPRODUCT(--(L$10:L$609&lt;L378))+1,""))</f>
        <v/>
      </c>
      <c r="N378" t="str">
        <f>IFERROR(INDEX(tblY10[Class],ROWS(N$10:N378))&amp;"","")</f>
        <v/>
      </c>
      <c r="O378" t="str">
        <f>IF(N378="","",IF(SUMPRODUCT(--(N$10:N378=N378))=1,SUMPRODUCT(--(N$10:N$609&lt;N378))+1,""))</f>
        <v/>
      </c>
      <c r="P378" t="str">
        <f>IFERROR(INDEX(tblY11[Class],ROWS(P$10:P378))&amp;"","")</f>
        <v/>
      </c>
      <c r="Q378" t="str">
        <f>IF(P378="","",IF(SUMPRODUCT(--(P$10:P378=P378))=1,SUMPRODUCT(--(P$10:P$609&lt;P378))+1,""))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IFERROR(INDEX(tblY7[Class],ROWS(H$10:H379))&amp;"","")</f>
        <v/>
      </c>
      <c r="I379" t="str">
        <f>IF(H379="","",IF(SUMPRODUCT(--(H$10:H379=H379))=1,SUMPRODUCT(--(H$10:H$609&lt;H379))+1,""))</f>
        <v/>
      </c>
      <c r="J379" t="str">
        <f>IFERROR(INDEX(tblY8[Class],ROWS(J$10:J379))&amp;"","")</f>
        <v/>
      </c>
      <c r="K379" t="str">
        <f>IF(J379="","",IF(SUMPRODUCT(--(J$10:J379=J379))=1,SUMPRODUCT(--(J$10:J$609&lt;J379))+1,""))</f>
        <v/>
      </c>
      <c r="L379" t="str">
        <f>IFERROR(INDEX(tblY9[Class],ROWS(L$10:L379))&amp;"","")</f>
        <v/>
      </c>
      <c r="M379" t="str">
        <f>IF(L379="","",IF(SUMPRODUCT(--(L$10:L379=L379))=1,SUMPRODUCT(--(L$10:L$609&lt;L379))+1,""))</f>
        <v/>
      </c>
      <c r="N379" t="str">
        <f>IFERROR(INDEX(tblY10[Class],ROWS(N$10:N379))&amp;"","")</f>
        <v/>
      </c>
      <c r="O379" t="str">
        <f>IF(N379="","",IF(SUMPRODUCT(--(N$10:N379=N379))=1,SUMPRODUCT(--(N$10:N$609&lt;N379))+1,""))</f>
        <v/>
      </c>
      <c r="P379" t="str">
        <f>IFERROR(INDEX(tblY11[Class],ROWS(P$10:P379))&amp;"","")</f>
        <v/>
      </c>
      <c r="Q379" t="str">
        <f>IF(P379="","",IF(SUMPRODUCT(--(P$10:P379=P379))=1,SUMPRODUCT(--(P$10:P$609&lt;P379))+1,""))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IFERROR(INDEX(tblY7[Class],ROWS(H$10:H380))&amp;"","")</f>
        <v/>
      </c>
      <c r="I380" t="str">
        <f>IF(H380="","",IF(SUMPRODUCT(--(H$10:H380=H380))=1,SUMPRODUCT(--(H$10:H$609&lt;H380))+1,""))</f>
        <v/>
      </c>
      <c r="J380" t="str">
        <f>IFERROR(INDEX(tblY8[Class],ROWS(J$10:J380))&amp;"","")</f>
        <v/>
      </c>
      <c r="K380" t="str">
        <f>IF(J380="","",IF(SUMPRODUCT(--(J$10:J380=J380))=1,SUMPRODUCT(--(J$10:J$609&lt;J380))+1,""))</f>
        <v/>
      </c>
      <c r="L380" t="str">
        <f>IFERROR(INDEX(tblY9[Class],ROWS(L$10:L380))&amp;"","")</f>
        <v/>
      </c>
      <c r="M380" t="str">
        <f>IF(L380="","",IF(SUMPRODUCT(--(L$10:L380=L380))=1,SUMPRODUCT(--(L$10:L$609&lt;L380))+1,""))</f>
        <v/>
      </c>
      <c r="N380" t="str">
        <f>IFERROR(INDEX(tblY10[Class],ROWS(N$10:N380))&amp;"","")</f>
        <v/>
      </c>
      <c r="O380" t="str">
        <f>IF(N380="","",IF(SUMPRODUCT(--(N$10:N380=N380))=1,SUMPRODUCT(--(N$10:N$609&lt;N380))+1,""))</f>
        <v/>
      </c>
      <c r="P380" t="str">
        <f>IFERROR(INDEX(tblY11[Class],ROWS(P$10:P380))&amp;"","")</f>
        <v/>
      </c>
      <c r="Q380" t="str">
        <f>IF(P380="","",IF(SUMPRODUCT(--(P$10:P380=P380))=1,SUMPRODUCT(--(P$10:P$609&lt;P380))+1,""))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IFERROR(INDEX(tblY7[Class],ROWS(H$10:H381))&amp;"","")</f>
        <v/>
      </c>
      <c r="I381" t="str">
        <f>IF(H381="","",IF(SUMPRODUCT(--(H$10:H381=H381))=1,SUMPRODUCT(--(H$10:H$609&lt;H381))+1,""))</f>
        <v/>
      </c>
      <c r="J381" t="str">
        <f>IFERROR(INDEX(tblY8[Class],ROWS(J$10:J381))&amp;"","")</f>
        <v/>
      </c>
      <c r="K381" t="str">
        <f>IF(J381="","",IF(SUMPRODUCT(--(J$10:J381=J381))=1,SUMPRODUCT(--(J$10:J$609&lt;J381))+1,""))</f>
        <v/>
      </c>
      <c r="L381" t="str">
        <f>IFERROR(INDEX(tblY9[Class],ROWS(L$10:L381))&amp;"","")</f>
        <v/>
      </c>
      <c r="M381" t="str">
        <f>IF(L381="","",IF(SUMPRODUCT(--(L$10:L381=L381))=1,SUMPRODUCT(--(L$10:L$609&lt;L381))+1,""))</f>
        <v/>
      </c>
      <c r="N381" t="str">
        <f>IFERROR(INDEX(tblY10[Class],ROWS(N$10:N381))&amp;"","")</f>
        <v/>
      </c>
      <c r="O381" t="str">
        <f>IF(N381="","",IF(SUMPRODUCT(--(N$10:N381=N381))=1,SUMPRODUCT(--(N$10:N$609&lt;N381))+1,""))</f>
        <v/>
      </c>
      <c r="P381" t="str">
        <f>IFERROR(INDEX(tblY11[Class],ROWS(P$10:P381))&amp;"","")</f>
        <v/>
      </c>
      <c r="Q381" t="str">
        <f>IF(P381="","",IF(SUMPRODUCT(--(P$10:P381=P381))=1,SUMPRODUCT(--(P$10:P$609&lt;P381))+1,""))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IFERROR(INDEX(tblY7[Class],ROWS(H$10:H382))&amp;"","")</f>
        <v/>
      </c>
      <c r="I382" t="str">
        <f>IF(H382="","",IF(SUMPRODUCT(--(H$10:H382=H382))=1,SUMPRODUCT(--(H$10:H$609&lt;H382))+1,""))</f>
        <v/>
      </c>
      <c r="J382" t="str">
        <f>IFERROR(INDEX(tblY8[Class],ROWS(J$10:J382))&amp;"","")</f>
        <v/>
      </c>
      <c r="K382" t="str">
        <f>IF(J382="","",IF(SUMPRODUCT(--(J$10:J382=J382))=1,SUMPRODUCT(--(J$10:J$609&lt;J382))+1,""))</f>
        <v/>
      </c>
      <c r="L382" t="str">
        <f>IFERROR(INDEX(tblY9[Class],ROWS(L$10:L382))&amp;"","")</f>
        <v/>
      </c>
      <c r="M382" t="str">
        <f>IF(L382="","",IF(SUMPRODUCT(--(L$10:L382=L382))=1,SUMPRODUCT(--(L$10:L$609&lt;L382))+1,""))</f>
        <v/>
      </c>
      <c r="N382" t="str">
        <f>IFERROR(INDEX(tblY10[Class],ROWS(N$10:N382))&amp;"","")</f>
        <v/>
      </c>
      <c r="O382" t="str">
        <f>IF(N382="","",IF(SUMPRODUCT(--(N$10:N382=N382))=1,SUMPRODUCT(--(N$10:N$609&lt;N382))+1,""))</f>
        <v/>
      </c>
      <c r="P382" t="str">
        <f>IFERROR(INDEX(tblY11[Class],ROWS(P$10:P382))&amp;"","")</f>
        <v/>
      </c>
      <c r="Q382" t="str">
        <f>IF(P382="","",IF(SUMPRODUCT(--(P$10:P382=P382))=1,SUMPRODUCT(--(P$10:P$609&lt;P382))+1,""))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IFERROR(INDEX(tblY7[Class],ROWS(H$10:H383))&amp;"","")</f>
        <v/>
      </c>
      <c r="I383" t="str">
        <f>IF(H383="","",IF(SUMPRODUCT(--(H$10:H383=H383))=1,SUMPRODUCT(--(H$10:H$609&lt;H383))+1,""))</f>
        <v/>
      </c>
      <c r="J383" t="str">
        <f>IFERROR(INDEX(tblY8[Class],ROWS(J$10:J383))&amp;"","")</f>
        <v/>
      </c>
      <c r="K383" t="str">
        <f>IF(J383="","",IF(SUMPRODUCT(--(J$10:J383=J383))=1,SUMPRODUCT(--(J$10:J$609&lt;J383))+1,""))</f>
        <v/>
      </c>
      <c r="L383" t="str">
        <f>IFERROR(INDEX(tblY9[Class],ROWS(L$10:L383))&amp;"","")</f>
        <v/>
      </c>
      <c r="M383" t="str">
        <f>IF(L383="","",IF(SUMPRODUCT(--(L$10:L383=L383))=1,SUMPRODUCT(--(L$10:L$609&lt;L383))+1,""))</f>
        <v/>
      </c>
      <c r="N383" t="str">
        <f>IFERROR(INDEX(tblY10[Class],ROWS(N$10:N383))&amp;"","")</f>
        <v/>
      </c>
      <c r="O383" t="str">
        <f>IF(N383="","",IF(SUMPRODUCT(--(N$10:N383=N383))=1,SUMPRODUCT(--(N$10:N$609&lt;N383))+1,""))</f>
        <v/>
      </c>
      <c r="P383" t="str">
        <f>IFERROR(INDEX(tblY11[Class],ROWS(P$10:P383))&amp;"","")</f>
        <v/>
      </c>
      <c r="Q383" t="str">
        <f>IF(P383="","",IF(SUMPRODUCT(--(P$10:P383=P383))=1,SUMPRODUCT(--(P$10:P$609&lt;P383))+1,""))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IFERROR(INDEX(tblY7[Class],ROWS(H$10:H384))&amp;"","")</f>
        <v/>
      </c>
      <c r="I384" t="str">
        <f>IF(H384="","",IF(SUMPRODUCT(--(H$10:H384=H384))=1,SUMPRODUCT(--(H$10:H$609&lt;H384))+1,""))</f>
        <v/>
      </c>
      <c r="J384" t="str">
        <f>IFERROR(INDEX(tblY8[Class],ROWS(J$10:J384))&amp;"","")</f>
        <v/>
      </c>
      <c r="K384" t="str">
        <f>IF(J384="","",IF(SUMPRODUCT(--(J$10:J384=J384))=1,SUMPRODUCT(--(J$10:J$609&lt;J384))+1,""))</f>
        <v/>
      </c>
      <c r="L384" t="str">
        <f>IFERROR(INDEX(tblY9[Class],ROWS(L$10:L384))&amp;"","")</f>
        <v/>
      </c>
      <c r="M384" t="str">
        <f>IF(L384="","",IF(SUMPRODUCT(--(L$10:L384=L384))=1,SUMPRODUCT(--(L$10:L$609&lt;L384))+1,""))</f>
        <v/>
      </c>
      <c r="N384" t="str">
        <f>IFERROR(INDEX(tblY10[Class],ROWS(N$10:N384))&amp;"","")</f>
        <v/>
      </c>
      <c r="O384" t="str">
        <f>IF(N384="","",IF(SUMPRODUCT(--(N$10:N384=N384))=1,SUMPRODUCT(--(N$10:N$609&lt;N384))+1,""))</f>
        <v/>
      </c>
      <c r="P384" t="str">
        <f>IFERROR(INDEX(tblY11[Class],ROWS(P$10:P384))&amp;"","")</f>
        <v/>
      </c>
      <c r="Q384" t="str">
        <f>IF(P384="","",IF(SUMPRODUCT(--(P$10:P384=P384))=1,SUMPRODUCT(--(P$10:P$609&lt;P384))+1,""))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IFERROR(INDEX(tblY7[Class],ROWS(H$10:H385))&amp;"","")</f>
        <v/>
      </c>
      <c r="I385" t="str">
        <f>IF(H385="","",IF(SUMPRODUCT(--(H$10:H385=H385))=1,SUMPRODUCT(--(H$10:H$609&lt;H385))+1,""))</f>
        <v/>
      </c>
      <c r="J385" t="str">
        <f>IFERROR(INDEX(tblY8[Class],ROWS(J$10:J385))&amp;"","")</f>
        <v/>
      </c>
      <c r="K385" t="str">
        <f>IF(J385="","",IF(SUMPRODUCT(--(J$10:J385=J385))=1,SUMPRODUCT(--(J$10:J$609&lt;J385))+1,""))</f>
        <v/>
      </c>
      <c r="L385" t="str">
        <f>IFERROR(INDEX(tblY9[Class],ROWS(L$10:L385))&amp;"","")</f>
        <v/>
      </c>
      <c r="M385" t="str">
        <f>IF(L385="","",IF(SUMPRODUCT(--(L$10:L385=L385))=1,SUMPRODUCT(--(L$10:L$609&lt;L385))+1,""))</f>
        <v/>
      </c>
      <c r="N385" t="str">
        <f>IFERROR(INDEX(tblY10[Class],ROWS(N$10:N385))&amp;"","")</f>
        <v/>
      </c>
      <c r="O385" t="str">
        <f>IF(N385="","",IF(SUMPRODUCT(--(N$10:N385=N385))=1,SUMPRODUCT(--(N$10:N$609&lt;N385))+1,""))</f>
        <v/>
      </c>
      <c r="P385" t="str">
        <f>IFERROR(INDEX(tblY11[Class],ROWS(P$10:P385))&amp;"","")</f>
        <v/>
      </c>
      <c r="Q385" t="str">
        <f>IF(P385="","",IF(SUMPRODUCT(--(P$10:P385=P385))=1,SUMPRODUCT(--(P$10:P$609&lt;P385))+1,""))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IFERROR(INDEX(tblY7[Class],ROWS(H$10:H386))&amp;"","")</f>
        <v/>
      </c>
      <c r="I386" t="str">
        <f>IF(H386="","",IF(SUMPRODUCT(--(H$10:H386=H386))=1,SUMPRODUCT(--(H$10:H$609&lt;H386))+1,""))</f>
        <v/>
      </c>
      <c r="J386" t="str">
        <f>IFERROR(INDEX(tblY8[Class],ROWS(J$10:J386))&amp;"","")</f>
        <v/>
      </c>
      <c r="K386" t="str">
        <f>IF(J386="","",IF(SUMPRODUCT(--(J$10:J386=J386))=1,SUMPRODUCT(--(J$10:J$609&lt;J386))+1,""))</f>
        <v/>
      </c>
      <c r="L386" t="str">
        <f>IFERROR(INDEX(tblY9[Class],ROWS(L$10:L386))&amp;"","")</f>
        <v/>
      </c>
      <c r="M386" t="str">
        <f>IF(L386="","",IF(SUMPRODUCT(--(L$10:L386=L386))=1,SUMPRODUCT(--(L$10:L$609&lt;L386))+1,""))</f>
        <v/>
      </c>
      <c r="N386" t="str">
        <f>IFERROR(INDEX(tblY10[Class],ROWS(N$10:N386))&amp;"","")</f>
        <v/>
      </c>
      <c r="O386" t="str">
        <f>IF(N386="","",IF(SUMPRODUCT(--(N$10:N386=N386))=1,SUMPRODUCT(--(N$10:N$609&lt;N386))+1,""))</f>
        <v/>
      </c>
      <c r="P386" t="str">
        <f>IFERROR(INDEX(tblY11[Class],ROWS(P$10:P386))&amp;"","")</f>
        <v/>
      </c>
      <c r="Q386" t="str">
        <f>IF(P386="","",IF(SUMPRODUCT(--(P$10:P386=P386))=1,SUMPRODUCT(--(P$10:P$609&lt;P386))+1,""))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IFERROR(INDEX(tblY7[Class],ROWS(H$10:H387))&amp;"","")</f>
        <v/>
      </c>
      <c r="I387" t="str">
        <f>IF(H387="","",IF(SUMPRODUCT(--(H$10:H387=H387))=1,SUMPRODUCT(--(H$10:H$609&lt;H387))+1,""))</f>
        <v/>
      </c>
      <c r="J387" t="str">
        <f>IFERROR(INDEX(tblY8[Class],ROWS(J$10:J387))&amp;"","")</f>
        <v/>
      </c>
      <c r="K387" t="str">
        <f>IF(J387="","",IF(SUMPRODUCT(--(J$10:J387=J387))=1,SUMPRODUCT(--(J$10:J$609&lt;J387))+1,""))</f>
        <v/>
      </c>
      <c r="L387" t="str">
        <f>IFERROR(INDEX(tblY9[Class],ROWS(L$10:L387))&amp;"","")</f>
        <v/>
      </c>
      <c r="M387" t="str">
        <f>IF(L387="","",IF(SUMPRODUCT(--(L$10:L387=L387))=1,SUMPRODUCT(--(L$10:L$609&lt;L387))+1,""))</f>
        <v/>
      </c>
      <c r="N387" t="str">
        <f>IFERROR(INDEX(tblY10[Class],ROWS(N$10:N387))&amp;"","")</f>
        <v/>
      </c>
      <c r="O387" t="str">
        <f>IF(N387="","",IF(SUMPRODUCT(--(N$10:N387=N387))=1,SUMPRODUCT(--(N$10:N$609&lt;N387))+1,""))</f>
        <v/>
      </c>
      <c r="P387" t="str">
        <f>IFERROR(INDEX(tblY11[Class],ROWS(P$10:P387))&amp;"","")</f>
        <v/>
      </c>
      <c r="Q387" t="str">
        <f>IF(P387="","",IF(SUMPRODUCT(--(P$10:P387=P387))=1,SUMPRODUCT(--(P$10:P$609&lt;P387))+1,""))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IFERROR(INDEX(tblY7[Class],ROWS(H$10:H388))&amp;"","")</f>
        <v/>
      </c>
      <c r="I388" t="str">
        <f>IF(H388="","",IF(SUMPRODUCT(--(H$10:H388=H388))=1,SUMPRODUCT(--(H$10:H$609&lt;H388))+1,""))</f>
        <v/>
      </c>
      <c r="J388" t="str">
        <f>IFERROR(INDEX(tblY8[Class],ROWS(J$10:J388))&amp;"","")</f>
        <v/>
      </c>
      <c r="K388" t="str">
        <f>IF(J388="","",IF(SUMPRODUCT(--(J$10:J388=J388))=1,SUMPRODUCT(--(J$10:J$609&lt;J388))+1,""))</f>
        <v/>
      </c>
      <c r="L388" t="str">
        <f>IFERROR(INDEX(tblY9[Class],ROWS(L$10:L388))&amp;"","")</f>
        <v/>
      </c>
      <c r="M388" t="str">
        <f>IF(L388="","",IF(SUMPRODUCT(--(L$10:L388=L388))=1,SUMPRODUCT(--(L$10:L$609&lt;L388))+1,""))</f>
        <v/>
      </c>
      <c r="N388" t="str">
        <f>IFERROR(INDEX(tblY10[Class],ROWS(N$10:N388))&amp;"","")</f>
        <v/>
      </c>
      <c r="O388" t="str">
        <f>IF(N388="","",IF(SUMPRODUCT(--(N$10:N388=N388))=1,SUMPRODUCT(--(N$10:N$609&lt;N388))+1,""))</f>
        <v/>
      </c>
      <c r="P388" t="str">
        <f>IFERROR(INDEX(tblY11[Class],ROWS(P$10:P388))&amp;"","")</f>
        <v/>
      </c>
      <c r="Q388" t="str">
        <f>IF(P388="","",IF(SUMPRODUCT(--(P$10:P388=P388))=1,SUMPRODUCT(--(P$10:P$609&lt;P388))+1,""))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IFERROR(INDEX(tblY7[Class],ROWS(H$10:H389))&amp;"","")</f>
        <v/>
      </c>
      <c r="I389" t="str">
        <f>IF(H389="","",IF(SUMPRODUCT(--(H$10:H389=H389))=1,SUMPRODUCT(--(H$10:H$609&lt;H389))+1,""))</f>
        <v/>
      </c>
      <c r="J389" t="str">
        <f>IFERROR(INDEX(tblY8[Class],ROWS(J$10:J389))&amp;"","")</f>
        <v/>
      </c>
      <c r="K389" t="str">
        <f>IF(J389="","",IF(SUMPRODUCT(--(J$10:J389=J389))=1,SUMPRODUCT(--(J$10:J$609&lt;J389))+1,""))</f>
        <v/>
      </c>
      <c r="L389" t="str">
        <f>IFERROR(INDEX(tblY9[Class],ROWS(L$10:L389))&amp;"","")</f>
        <v/>
      </c>
      <c r="M389" t="str">
        <f>IF(L389="","",IF(SUMPRODUCT(--(L$10:L389=L389))=1,SUMPRODUCT(--(L$10:L$609&lt;L389))+1,""))</f>
        <v/>
      </c>
      <c r="N389" t="str">
        <f>IFERROR(INDEX(tblY10[Class],ROWS(N$10:N389))&amp;"","")</f>
        <v/>
      </c>
      <c r="O389" t="str">
        <f>IF(N389="","",IF(SUMPRODUCT(--(N$10:N389=N389))=1,SUMPRODUCT(--(N$10:N$609&lt;N389))+1,""))</f>
        <v/>
      </c>
      <c r="P389" t="str">
        <f>IFERROR(INDEX(tblY11[Class],ROWS(P$10:P389))&amp;"","")</f>
        <v/>
      </c>
      <c r="Q389" t="str">
        <f>IF(P389="","",IF(SUMPRODUCT(--(P$10:P389=P389))=1,SUMPRODUCT(--(P$10:P$609&lt;P389))+1,""))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IFERROR(INDEX(tblY7[Class],ROWS(H$10:H390))&amp;"","")</f>
        <v/>
      </c>
      <c r="I390" t="str">
        <f>IF(H390="","",IF(SUMPRODUCT(--(H$10:H390=H390))=1,SUMPRODUCT(--(H$10:H$609&lt;H390))+1,""))</f>
        <v/>
      </c>
      <c r="J390" t="str">
        <f>IFERROR(INDEX(tblY8[Class],ROWS(J$10:J390))&amp;"","")</f>
        <v/>
      </c>
      <c r="K390" t="str">
        <f>IF(J390="","",IF(SUMPRODUCT(--(J$10:J390=J390))=1,SUMPRODUCT(--(J$10:J$609&lt;J390))+1,""))</f>
        <v/>
      </c>
      <c r="L390" t="str">
        <f>IFERROR(INDEX(tblY9[Class],ROWS(L$10:L390))&amp;"","")</f>
        <v/>
      </c>
      <c r="M390" t="str">
        <f>IF(L390="","",IF(SUMPRODUCT(--(L$10:L390=L390))=1,SUMPRODUCT(--(L$10:L$609&lt;L390))+1,""))</f>
        <v/>
      </c>
      <c r="N390" t="str">
        <f>IFERROR(INDEX(tblY10[Class],ROWS(N$10:N390))&amp;"","")</f>
        <v/>
      </c>
      <c r="O390" t="str">
        <f>IF(N390="","",IF(SUMPRODUCT(--(N$10:N390=N390))=1,SUMPRODUCT(--(N$10:N$609&lt;N390))+1,""))</f>
        <v/>
      </c>
      <c r="P390" t="str">
        <f>IFERROR(INDEX(tblY11[Class],ROWS(P$10:P390))&amp;"","")</f>
        <v/>
      </c>
      <c r="Q390" t="str">
        <f>IF(P390="","",IF(SUMPRODUCT(--(P$10:P390=P390))=1,SUMPRODUCT(--(P$10:P$609&lt;P390))+1,""))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IFERROR(INDEX(tblY7[Class],ROWS(H$10:H391))&amp;"","")</f>
        <v/>
      </c>
      <c r="I391" t="str">
        <f>IF(H391="","",IF(SUMPRODUCT(--(H$10:H391=H391))=1,SUMPRODUCT(--(H$10:H$609&lt;H391))+1,""))</f>
        <v/>
      </c>
      <c r="J391" t="str">
        <f>IFERROR(INDEX(tblY8[Class],ROWS(J$10:J391))&amp;"","")</f>
        <v/>
      </c>
      <c r="K391" t="str">
        <f>IF(J391="","",IF(SUMPRODUCT(--(J$10:J391=J391))=1,SUMPRODUCT(--(J$10:J$609&lt;J391))+1,""))</f>
        <v/>
      </c>
      <c r="L391" t="str">
        <f>IFERROR(INDEX(tblY9[Class],ROWS(L$10:L391))&amp;"","")</f>
        <v/>
      </c>
      <c r="M391" t="str">
        <f>IF(L391="","",IF(SUMPRODUCT(--(L$10:L391=L391))=1,SUMPRODUCT(--(L$10:L$609&lt;L391))+1,""))</f>
        <v/>
      </c>
      <c r="N391" t="str">
        <f>IFERROR(INDEX(tblY10[Class],ROWS(N$10:N391))&amp;"","")</f>
        <v/>
      </c>
      <c r="O391" t="str">
        <f>IF(N391="","",IF(SUMPRODUCT(--(N$10:N391=N391))=1,SUMPRODUCT(--(N$10:N$609&lt;N391))+1,""))</f>
        <v/>
      </c>
      <c r="P391" t="str">
        <f>IFERROR(INDEX(tblY11[Class],ROWS(P$10:P391))&amp;"","")</f>
        <v/>
      </c>
      <c r="Q391" t="str">
        <f>IF(P391="","",IF(SUMPRODUCT(--(P$10:P391=P391))=1,SUMPRODUCT(--(P$10:P$609&lt;P391))+1,""))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IFERROR(INDEX(tblY7[Class],ROWS(H$10:H392))&amp;"","")</f>
        <v/>
      </c>
      <c r="I392" t="str">
        <f>IF(H392="","",IF(SUMPRODUCT(--(H$10:H392=H392))=1,SUMPRODUCT(--(H$10:H$609&lt;H392))+1,""))</f>
        <v/>
      </c>
      <c r="J392" t="str">
        <f>IFERROR(INDEX(tblY8[Class],ROWS(J$10:J392))&amp;"","")</f>
        <v/>
      </c>
      <c r="K392" t="str">
        <f>IF(J392="","",IF(SUMPRODUCT(--(J$10:J392=J392))=1,SUMPRODUCT(--(J$10:J$609&lt;J392))+1,""))</f>
        <v/>
      </c>
      <c r="L392" t="str">
        <f>IFERROR(INDEX(tblY9[Class],ROWS(L$10:L392))&amp;"","")</f>
        <v/>
      </c>
      <c r="M392" t="str">
        <f>IF(L392="","",IF(SUMPRODUCT(--(L$10:L392=L392))=1,SUMPRODUCT(--(L$10:L$609&lt;L392))+1,""))</f>
        <v/>
      </c>
      <c r="N392" t="str">
        <f>IFERROR(INDEX(tblY10[Class],ROWS(N$10:N392))&amp;"","")</f>
        <v/>
      </c>
      <c r="O392" t="str">
        <f>IF(N392="","",IF(SUMPRODUCT(--(N$10:N392=N392))=1,SUMPRODUCT(--(N$10:N$609&lt;N392))+1,""))</f>
        <v/>
      </c>
      <c r="P392" t="str">
        <f>IFERROR(INDEX(tblY11[Class],ROWS(P$10:P392))&amp;"","")</f>
        <v/>
      </c>
      <c r="Q392" t="str">
        <f>IF(P392="","",IF(SUMPRODUCT(--(P$10:P392=P392))=1,SUMPRODUCT(--(P$10:P$609&lt;P392))+1,""))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IFERROR(INDEX(tblY7[Class],ROWS(H$10:H393))&amp;"","")</f>
        <v/>
      </c>
      <c r="I393" t="str">
        <f>IF(H393="","",IF(SUMPRODUCT(--(H$10:H393=H393))=1,SUMPRODUCT(--(H$10:H$609&lt;H393))+1,""))</f>
        <v/>
      </c>
      <c r="J393" t="str">
        <f>IFERROR(INDEX(tblY8[Class],ROWS(J$10:J393))&amp;"","")</f>
        <v/>
      </c>
      <c r="K393" t="str">
        <f>IF(J393="","",IF(SUMPRODUCT(--(J$10:J393=J393))=1,SUMPRODUCT(--(J$10:J$609&lt;J393))+1,""))</f>
        <v/>
      </c>
      <c r="L393" t="str">
        <f>IFERROR(INDEX(tblY9[Class],ROWS(L$10:L393))&amp;"","")</f>
        <v/>
      </c>
      <c r="M393" t="str">
        <f>IF(L393="","",IF(SUMPRODUCT(--(L$10:L393=L393))=1,SUMPRODUCT(--(L$10:L$609&lt;L393))+1,""))</f>
        <v/>
      </c>
      <c r="N393" t="str">
        <f>IFERROR(INDEX(tblY10[Class],ROWS(N$10:N393))&amp;"","")</f>
        <v/>
      </c>
      <c r="O393" t="str">
        <f>IF(N393="","",IF(SUMPRODUCT(--(N$10:N393=N393))=1,SUMPRODUCT(--(N$10:N$609&lt;N393))+1,""))</f>
        <v/>
      </c>
      <c r="P393" t="str">
        <f>IFERROR(INDEX(tblY11[Class],ROWS(P$10:P393))&amp;"","")</f>
        <v/>
      </c>
      <c r="Q393" t="str">
        <f>IF(P393="","",IF(SUMPRODUCT(--(P$10:P393=P393))=1,SUMPRODUCT(--(P$10:P$609&lt;P393))+1,""))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IFERROR(INDEX(tblY7[Class],ROWS(H$10:H394))&amp;"","")</f>
        <v/>
      </c>
      <c r="I394" t="str">
        <f>IF(H394="","",IF(SUMPRODUCT(--(H$10:H394=H394))=1,SUMPRODUCT(--(H$10:H$609&lt;H394))+1,""))</f>
        <v/>
      </c>
      <c r="J394" t="str">
        <f>IFERROR(INDEX(tblY8[Class],ROWS(J$10:J394))&amp;"","")</f>
        <v/>
      </c>
      <c r="K394" t="str">
        <f>IF(J394="","",IF(SUMPRODUCT(--(J$10:J394=J394))=1,SUMPRODUCT(--(J$10:J$609&lt;J394))+1,""))</f>
        <v/>
      </c>
      <c r="L394" t="str">
        <f>IFERROR(INDEX(tblY9[Class],ROWS(L$10:L394))&amp;"","")</f>
        <v/>
      </c>
      <c r="M394" t="str">
        <f>IF(L394="","",IF(SUMPRODUCT(--(L$10:L394=L394))=1,SUMPRODUCT(--(L$10:L$609&lt;L394))+1,""))</f>
        <v/>
      </c>
      <c r="N394" t="str">
        <f>IFERROR(INDEX(tblY10[Class],ROWS(N$10:N394))&amp;"","")</f>
        <v/>
      </c>
      <c r="O394" t="str">
        <f>IF(N394="","",IF(SUMPRODUCT(--(N$10:N394=N394))=1,SUMPRODUCT(--(N$10:N$609&lt;N394))+1,""))</f>
        <v/>
      </c>
      <c r="P394" t="str">
        <f>IFERROR(INDEX(tblY11[Class],ROWS(P$10:P394))&amp;"","")</f>
        <v/>
      </c>
      <c r="Q394" t="str">
        <f>IF(P394="","",IF(SUMPRODUCT(--(P$10:P394=P394))=1,SUMPRODUCT(--(P$10:P$609&lt;P394))+1,""))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IFERROR(INDEX(tblY7[Class],ROWS(H$10:H395))&amp;"","")</f>
        <v/>
      </c>
      <c r="I395" t="str">
        <f>IF(H395="","",IF(SUMPRODUCT(--(H$10:H395=H395))=1,SUMPRODUCT(--(H$10:H$609&lt;H395))+1,""))</f>
        <v/>
      </c>
      <c r="J395" t="str">
        <f>IFERROR(INDEX(tblY8[Class],ROWS(J$10:J395))&amp;"","")</f>
        <v/>
      </c>
      <c r="K395" t="str">
        <f>IF(J395="","",IF(SUMPRODUCT(--(J$10:J395=J395))=1,SUMPRODUCT(--(J$10:J$609&lt;J395))+1,""))</f>
        <v/>
      </c>
      <c r="L395" t="str">
        <f>IFERROR(INDEX(tblY9[Class],ROWS(L$10:L395))&amp;"","")</f>
        <v/>
      </c>
      <c r="M395" t="str">
        <f>IF(L395="","",IF(SUMPRODUCT(--(L$10:L395=L395))=1,SUMPRODUCT(--(L$10:L$609&lt;L395))+1,""))</f>
        <v/>
      </c>
      <c r="N395" t="str">
        <f>IFERROR(INDEX(tblY10[Class],ROWS(N$10:N395))&amp;"","")</f>
        <v/>
      </c>
      <c r="O395" t="str">
        <f>IF(N395="","",IF(SUMPRODUCT(--(N$10:N395=N395))=1,SUMPRODUCT(--(N$10:N$609&lt;N395))+1,""))</f>
        <v/>
      </c>
      <c r="P395" t="str">
        <f>IFERROR(INDEX(tblY11[Class],ROWS(P$10:P395))&amp;"","")</f>
        <v/>
      </c>
      <c r="Q395" t="str">
        <f>IF(P395="","",IF(SUMPRODUCT(--(P$10:P395=P395))=1,SUMPRODUCT(--(P$10:P$609&lt;P395))+1,""))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IFERROR(INDEX(tblY7[Class],ROWS(H$10:H396))&amp;"","")</f>
        <v/>
      </c>
      <c r="I396" t="str">
        <f>IF(H396="","",IF(SUMPRODUCT(--(H$10:H396=H396))=1,SUMPRODUCT(--(H$10:H$609&lt;H396))+1,""))</f>
        <v/>
      </c>
      <c r="J396" t="str">
        <f>IFERROR(INDEX(tblY8[Class],ROWS(J$10:J396))&amp;"","")</f>
        <v/>
      </c>
      <c r="K396" t="str">
        <f>IF(J396="","",IF(SUMPRODUCT(--(J$10:J396=J396))=1,SUMPRODUCT(--(J$10:J$609&lt;J396))+1,""))</f>
        <v/>
      </c>
      <c r="L396" t="str">
        <f>IFERROR(INDEX(tblY9[Class],ROWS(L$10:L396))&amp;"","")</f>
        <v/>
      </c>
      <c r="M396" t="str">
        <f>IF(L396="","",IF(SUMPRODUCT(--(L$10:L396=L396))=1,SUMPRODUCT(--(L$10:L$609&lt;L396))+1,""))</f>
        <v/>
      </c>
      <c r="N396" t="str">
        <f>IFERROR(INDEX(tblY10[Class],ROWS(N$10:N396))&amp;"","")</f>
        <v/>
      </c>
      <c r="O396" t="str">
        <f>IF(N396="","",IF(SUMPRODUCT(--(N$10:N396=N396))=1,SUMPRODUCT(--(N$10:N$609&lt;N396))+1,""))</f>
        <v/>
      </c>
      <c r="P396" t="str">
        <f>IFERROR(INDEX(tblY11[Class],ROWS(P$10:P396))&amp;"","")</f>
        <v/>
      </c>
      <c r="Q396" t="str">
        <f>IF(P396="","",IF(SUMPRODUCT(--(P$10:P396=P396))=1,SUMPRODUCT(--(P$10:P$609&lt;P396))+1,""))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IFERROR(INDEX(tblY7[Class],ROWS(H$10:H397))&amp;"","")</f>
        <v/>
      </c>
      <c r="I397" t="str">
        <f>IF(H397="","",IF(SUMPRODUCT(--(H$10:H397=H397))=1,SUMPRODUCT(--(H$10:H$609&lt;H397))+1,""))</f>
        <v/>
      </c>
      <c r="J397" t="str">
        <f>IFERROR(INDEX(tblY8[Class],ROWS(J$10:J397))&amp;"","")</f>
        <v/>
      </c>
      <c r="K397" t="str">
        <f>IF(J397="","",IF(SUMPRODUCT(--(J$10:J397=J397))=1,SUMPRODUCT(--(J$10:J$609&lt;J397))+1,""))</f>
        <v/>
      </c>
      <c r="L397" t="str">
        <f>IFERROR(INDEX(tblY9[Class],ROWS(L$10:L397))&amp;"","")</f>
        <v/>
      </c>
      <c r="M397" t="str">
        <f>IF(L397="","",IF(SUMPRODUCT(--(L$10:L397=L397))=1,SUMPRODUCT(--(L$10:L$609&lt;L397))+1,""))</f>
        <v/>
      </c>
      <c r="N397" t="str">
        <f>IFERROR(INDEX(tblY10[Class],ROWS(N$10:N397))&amp;"","")</f>
        <v/>
      </c>
      <c r="O397" t="str">
        <f>IF(N397="","",IF(SUMPRODUCT(--(N$10:N397=N397))=1,SUMPRODUCT(--(N$10:N$609&lt;N397))+1,""))</f>
        <v/>
      </c>
      <c r="P397" t="str">
        <f>IFERROR(INDEX(tblY11[Class],ROWS(P$10:P397))&amp;"","")</f>
        <v/>
      </c>
      <c r="Q397" t="str">
        <f>IF(P397="","",IF(SUMPRODUCT(--(P$10:P397=P397))=1,SUMPRODUCT(--(P$10:P$609&lt;P397))+1,""))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IFERROR(INDEX(tblY7[Class],ROWS(H$10:H398))&amp;"","")</f>
        <v/>
      </c>
      <c r="I398" t="str">
        <f>IF(H398="","",IF(SUMPRODUCT(--(H$10:H398=H398))=1,SUMPRODUCT(--(H$10:H$609&lt;H398))+1,""))</f>
        <v/>
      </c>
      <c r="J398" t="str">
        <f>IFERROR(INDEX(tblY8[Class],ROWS(J$10:J398))&amp;"","")</f>
        <v/>
      </c>
      <c r="K398" t="str">
        <f>IF(J398="","",IF(SUMPRODUCT(--(J$10:J398=J398))=1,SUMPRODUCT(--(J$10:J$609&lt;J398))+1,""))</f>
        <v/>
      </c>
      <c r="L398" t="str">
        <f>IFERROR(INDEX(tblY9[Class],ROWS(L$10:L398))&amp;"","")</f>
        <v/>
      </c>
      <c r="M398" t="str">
        <f>IF(L398="","",IF(SUMPRODUCT(--(L$10:L398=L398))=1,SUMPRODUCT(--(L$10:L$609&lt;L398))+1,""))</f>
        <v/>
      </c>
      <c r="N398" t="str">
        <f>IFERROR(INDEX(tblY10[Class],ROWS(N$10:N398))&amp;"","")</f>
        <v/>
      </c>
      <c r="O398" t="str">
        <f>IF(N398="","",IF(SUMPRODUCT(--(N$10:N398=N398))=1,SUMPRODUCT(--(N$10:N$609&lt;N398))+1,""))</f>
        <v/>
      </c>
      <c r="P398" t="str">
        <f>IFERROR(INDEX(tblY11[Class],ROWS(P$10:P398))&amp;"","")</f>
        <v/>
      </c>
      <c r="Q398" t="str">
        <f>IF(P398="","",IF(SUMPRODUCT(--(P$10:P398=P398))=1,SUMPRODUCT(--(P$10:P$609&lt;P398))+1,""))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IFERROR(INDEX(tblY7[Class],ROWS(H$10:H399))&amp;"","")</f>
        <v/>
      </c>
      <c r="I399" t="str">
        <f>IF(H399="","",IF(SUMPRODUCT(--(H$10:H399=H399))=1,SUMPRODUCT(--(H$10:H$609&lt;H399))+1,""))</f>
        <v/>
      </c>
      <c r="J399" t="str">
        <f>IFERROR(INDEX(tblY8[Class],ROWS(J$10:J399))&amp;"","")</f>
        <v/>
      </c>
      <c r="K399" t="str">
        <f>IF(J399="","",IF(SUMPRODUCT(--(J$10:J399=J399))=1,SUMPRODUCT(--(J$10:J$609&lt;J399))+1,""))</f>
        <v/>
      </c>
      <c r="L399" t="str">
        <f>IFERROR(INDEX(tblY9[Class],ROWS(L$10:L399))&amp;"","")</f>
        <v/>
      </c>
      <c r="M399" t="str">
        <f>IF(L399="","",IF(SUMPRODUCT(--(L$10:L399=L399))=1,SUMPRODUCT(--(L$10:L$609&lt;L399))+1,""))</f>
        <v/>
      </c>
      <c r="N399" t="str">
        <f>IFERROR(INDEX(tblY10[Class],ROWS(N$10:N399))&amp;"","")</f>
        <v/>
      </c>
      <c r="O399" t="str">
        <f>IF(N399="","",IF(SUMPRODUCT(--(N$10:N399=N399))=1,SUMPRODUCT(--(N$10:N$609&lt;N399))+1,""))</f>
        <v/>
      </c>
      <c r="P399" t="str">
        <f>IFERROR(INDEX(tblY11[Class],ROWS(P$10:P399))&amp;"","")</f>
        <v/>
      </c>
      <c r="Q399" t="str">
        <f>IF(P399="","",IF(SUMPRODUCT(--(P$10:P399=P399))=1,SUMPRODUCT(--(P$10:P$609&lt;P399))+1,""))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IFERROR(INDEX(tblY7[Class],ROWS(H$10:H400))&amp;"","")</f>
        <v/>
      </c>
      <c r="I400" t="str">
        <f>IF(H400="","",IF(SUMPRODUCT(--(H$10:H400=H400))=1,SUMPRODUCT(--(H$10:H$609&lt;H400))+1,""))</f>
        <v/>
      </c>
      <c r="J400" t="str">
        <f>IFERROR(INDEX(tblY8[Class],ROWS(J$10:J400))&amp;"","")</f>
        <v/>
      </c>
      <c r="K400" t="str">
        <f>IF(J400="","",IF(SUMPRODUCT(--(J$10:J400=J400))=1,SUMPRODUCT(--(J$10:J$609&lt;J400))+1,""))</f>
        <v/>
      </c>
      <c r="L400" t="str">
        <f>IFERROR(INDEX(tblY9[Class],ROWS(L$10:L400))&amp;"","")</f>
        <v/>
      </c>
      <c r="M400" t="str">
        <f>IF(L400="","",IF(SUMPRODUCT(--(L$10:L400=L400))=1,SUMPRODUCT(--(L$10:L$609&lt;L400))+1,""))</f>
        <v/>
      </c>
      <c r="N400" t="str">
        <f>IFERROR(INDEX(tblY10[Class],ROWS(N$10:N400))&amp;"","")</f>
        <v/>
      </c>
      <c r="O400" t="str">
        <f>IF(N400="","",IF(SUMPRODUCT(--(N$10:N400=N400))=1,SUMPRODUCT(--(N$10:N$609&lt;N400))+1,""))</f>
        <v/>
      </c>
      <c r="P400" t="str">
        <f>IFERROR(INDEX(tblY11[Class],ROWS(P$10:P400))&amp;"","")</f>
        <v/>
      </c>
      <c r="Q400" t="str">
        <f>IF(P400="","",IF(SUMPRODUCT(--(P$10:P400=P400))=1,SUMPRODUCT(--(P$10:P$609&lt;P400))+1,""))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IFERROR(INDEX(tblY7[Class],ROWS(H$10:H401))&amp;"","")</f>
        <v/>
      </c>
      <c r="I401" t="str">
        <f>IF(H401="","",IF(SUMPRODUCT(--(H$10:H401=H401))=1,SUMPRODUCT(--(H$10:H$609&lt;H401))+1,""))</f>
        <v/>
      </c>
      <c r="J401" t="str">
        <f>IFERROR(INDEX(tblY8[Class],ROWS(J$10:J401))&amp;"","")</f>
        <v/>
      </c>
      <c r="K401" t="str">
        <f>IF(J401="","",IF(SUMPRODUCT(--(J$10:J401=J401))=1,SUMPRODUCT(--(J$10:J$609&lt;J401))+1,""))</f>
        <v/>
      </c>
      <c r="L401" t="str">
        <f>IFERROR(INDEX(tblY9[Class],ROWS(L$10:L401))&amp;"","")</f>
        <v/>
      </c>
      <c r="M401" t="str">
        <f>IF(L401="","",IF(SUMPRODUCT(--(L$10:L401=L401))=1,SUMPRODUCT(--(L$10:L$609&lt;L401))+1,""))</f>
        <v/>
      </c>
      <c r="N401" t="str">
        <f>IFERROR(INDEX(tblY10[Class],ROWS(N$10:N401))&amp;"","")</f>
        <v/>
      </c>
      <c r="O401" t="str">
        <f>IF(N401="","",IF(SUMPRODUCT(--(N$10:N401=N401))=1,SUMPRODUCT(--(N$10:N$609&lt;N401))+1,""))</f>
        <v/>
      </c>
      <c r="P401" t="str">
        <f>IFERROR(INDEX(tblY11[Class],ROWS(P$10:P401))&amp;"","")</f>
        <v/>
      </c>
      <c r="Q401" t="str">
        <f>IF(P401="","",IF(SUMPRODUCT(--(P$10:P401=P401))=1,SUMPRODUCT(--(P$10:P$609&lt;P401))+1,""))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IFERROR(INDEX(tblY7[Class],ROWS(H$10:H402))&amp;"","")</f>
        <v/>
      </c>
      <c r="I402" t="str">
        <f>IF(H402="","",IF(SUMPRODUCT(--(H$10:H402=H402))=1,SUMPRODUCT(--(H$10:H$609&lt;H402))+1,""))</f>
        <v/>
      </c>
      <c r="J402" t="str">
        <f>IFERROR(INDEX(tblY8[Class],ROWS(J$10:J402))&amp;"","")</f>
        <v/>
      </c>
      <c r="K402" t="str">
        <f>IF(J402="","",IF(SUMPRODUCT(--(J$10:J402=J402))=1,SUMPRODUCT(--(J$10:J$609&lt;J402))+1,""))</f>
        <v/>
      </c>
      <c r="L402" t="str">
        <f>IFERROR(INDEX(tblY9[Class],ROWS(L$10:L402))&amp;"","")</f>
        <v/>
      </c>
      <c r="M402" t="str">
        <f>IF(L402="","",IF(SUMPRODUCT(--(L$10:L402=L402))=1,SUMPRODUCT(--(L$10:L$609&lt;L402))+1,""))</f>
        <v/>
      </c>
      <c r="N402" t="str">
        <f>IFERROR(INDEX(tblY10[Class],ROWS(N$10:N402))&amp;"","")</f>
        <v/>
      </c>
      <c r="O402" t="str">
        <f>IF(N402="","",IF(SUMPRODUCT(--(N$10:N402=N402))=1,SUMPRODUCT(--(N$10:N$609&lt;N402))+1,""))</f>
        <v/>
      </c>
      <c r="P402" t="str">
        <f>IFERROR(INDEX(tblY11[Class],ROWS(P$10:P402))&amp;"","")</f>
        <v/>
      </c>
      <c r="Q402" t="str">
        <f>IF(P402="","",IF(SUMPRODUCT(--(P$10:P402=P402))=1,SUMPRODUCT(--(P$10:P$609&lt;P402))+1,""))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IFERROR(INDEX(tblY7[Class],ROWS(H$10:H403))&amp;"","")</f>
        <v/>
      </c>
      <c r="I403" t="str">
        <f>IF(H403="","",IF(SUMPRODUCT(--(H$10:H403=H403))=1,SUMPRODUCT(--(H$10:H$609&lt;H403))+1,""))</f>
        <v/>
      </c>
      <c r="J403" t="str">
        <f>IFERROR(INDEX(tblY8[Class],ROWS(J$10:J403))&amp;"","")</f>
        <v/>
      </c>
      <c r="K403" t="str">
        <f>IF(J403="","",IF(SUMPRODUCT(--(J$10:J403=J403))=1,SUMPRODUCT(--(J$10:J$609&lt;J403))+1,""))</f>
        <v/>
      </c>
      <c r="L403" t="str">
        <f>IFERROR(INDEX(tblY9[Class],ROWS(L$10:L403))&amp;"","")</f>
        <v/>
      </c>
      <c r="M403" t="str">
        <f>IF(L403="","",IF(SUMPRODUCT(--(L$10:L403=L403))=1,SUMPRODUCT(--(L$10:L$609&lt;L403))+1,""))</f>
        <v/>
      </c>
      <c r="N403" t="str">
        <f>IFERROR(INDEX(tblY10[Class],ROWS(N$10:N403))&amp;"","")</f>
        <v/>
      </c>
      <c r="O403" t="str">
        <f>IF(N403="","",IF(SUMPRODUCT(--(N$10:N403=N403))=1,SUMPRODUCT(--(N$10:N$609&lt;N403))+1,""))</f>
        <v/>
      </c>
      <c r="P403" t="str">
        <f>IFERROR(INDEX(tblY11[Class],ROWS(P$10:P403))&amp;"","")</f>
        <v/>
      </c>
      <c r="Q403" t="str">
        <f>IF(P403="","",IF(SUMPRODUCT(--(P$10:P403=P403))=1,SUMPRODUCT(--(P$10:P$609&lt;P403))+1,""))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IFERROR(INDEX(tblY7[Class],ROWS(H$10:H404))&amp;"","")</f>
        <v/>
      </c>
      <c r="I404" t="str">
        <f>IF(H404="","",IF(SUMPRODUCT(--(H$10:H404=H404))=1,SUMPRODUCT(--(H$10:H$609&lt;H404))+1,""))</f>
        <v/>
      </c>
      <c r="J404" t="str">
        <f>IFERROR(INDEX(tblY8[Class],ROWS(J$10:J404))&amp;"","")</f>
        <v/>
      </c>
      <c r="K404" t="str">
        <f>IF(J404="","",IF(SUMPRODUCT(--(J$10:J404=J404))=1,SUMPRODUCT(--(J$10:J$609&lt;J404))+1,""))</f>
        <v/>
      </c>
      <c r="L404" t="str">
        <f>IFERROR(INDEX(tblY9[Class],ROWS(L$10:L404))&amp;"","")</f>
        <v/>
      </c>
      <c r="M404" t="str">
        <f>IF(L404="","",IF(SUMPRODUCT(--(L$10:L404=L404))=1,SUMPRODUCT(--(L$10:L$609&lt;L404))+1,""))</f>
        <v/>
      </c>
      <c r="N404" t="str">
        <f>IFERROR(INDEX(tblY10[Class],ROWS(N$10:N404))&amp;"","")</f>
        <v/>
      </c>
      <c r="O404" t="str">
        <f>IF(N404="","",IF(SUMPRODUCT(--(N$10:N404=N404))=1,SUMPRODUCT(--(N$10:N$609&lt;N404))+1,""))</f>
        <v/>
      </c>
      <c r="P404" t="str">
        <f>IFERROR(INDEX(tblY11[Class],ROWS(P$10:P404))&amp;"","")</f>
        <v/>
      </c>
      <c r="Q404" t="str">
        <f>IF(P404="","",IF(SUMPRODUCT(--(P$10:P404=P404))=1,SUMPRODUCT(--(P$10:P$609&lt;P404))+1,""))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IFERROR(INDEX(tblY7[Class],ROWS(H$10:H405))&amp;"","")</f>
        <v/>
      </c>
      <c r="I405" t="str">
        <f>IF(H405="","",IF(SUMPRODUCT(--(H$10:H405=H405))=1,SUMPRODUCT(--(H$10:H$609&lt;H405))+1,""))</f>
        <v/>
      </c>
      <c r="J405" t="str">
        <f>IFERROR(INDEX(tblY8[Class],ROWS(J$10:J405))&amp;"","")</f>
        <v/>
      </c>
      <c r="K405" t="str">
        <f>IF(J405="","",IF(SUMPRODUCT(--(J$10:J405=J405))=1,SUMPRODUCT(--(J$10:J$609&lt;J405))+1,""))</f>
        <v/>
      </c>
      <c r="L405" t="str">
        <f>IFERROR(INDEX(tblY9[Class],ROWS(L$10:L405))&amp;"","")</f>
        <v/>
      </c>
      <c r="M405" t="str">
        <f>IF(L405="","",IF(SUMPRODUCT(--(L$10:L405=L405))=1,SUMPRODUCT(--(L$10:L$609&lt;L405))+1,""))</f>
        <v/>
      </c>
      <c r="N405" t="str">
        <f>IFERROR(INDEX(tblY10[Class],ROWS(N$10:N405))&amp;"","")</f>
        <v/>
      </c>
      <c r="O405" t="str">
        <f>IF(N405="","",IF(SUMPRODUCT(--(N$10:N405=N405))=1,SUMPRODUCT(--(N$10:N$609&lt;N405))+1,""))</f>
        <v/>
      </c>
      <c r="P405" t="str">
        <f>IFERROR(INDEX(tblY11[Class],ROWS(P$10:P405))&amp;"","")</f>
        <v/>
      </c>
      <c r="Q405" t="str">
        <f>IF(P405="","",IF(SUMPRODUCT(--(P$10:P405=P405))=1,SUMPRODUCT(--(P$10:P$609&lt;P405))+1,""))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IFERROR(INDEX(tblY7[Class],ROWS(H$10:H406))&amp;"","")</f>
        <v/>
      </c>
      <c r="I406" t="str">
        <f>IF(H406="","",IF(SUMPRODUCT(--(H$10:H406=H406))=1,SUMPRODUCT(--(H$10:H$609&lt;H406))+1,""))</f>
        <v/>
      </c>
      <c r="J406" t="str">
        <f>IFERROR(INDEX(tblY8[Class],ROWS(J$10:J406))&amp;"","")</f>
        <v/>
      </c>
      <c r="K406" t="str">
        <f>IF(J406="","",IF(SUMPRODUCT(--(J$10:J406=J406))=1,SUMPRODUCT(--(J$10:J$609&lt;J406))+1,""))</f>
        <v/>
      </c>
      <c r="L406" t="str">
        <f>IFERROR(INDEX(tblY9[Class],ROWS(L$10:L406))&amp;"","")</f>
        <v/>
      </c>
      <c r="M406" t="str">
        <f>IF(L406="","",IF(SUMPRODUCT(--(L$10:L406=L406))=1,SUMPRODUCT(--(L$10:L$609&lt;L406))+1,""))</f>
        <v/>
      </c>
      <c r="N406" t="str">
        <f>IFERROR(INDEX(tblY10[Class],ROWS(N$10:N406))&amp;"","")</f>
        <v/>
      </c>
      <c r="O406" t="str">
        <f>IF(N406="","",IF(SUMPRODUCT(--(N$10:N406=N406))=1,SUMPRODUCT(--(N$10:N$609&lt;N406))+1,""))</f>
        <v/>
      </c>
      <c r="P406" t="str">
        <f>IFERROR(INDEX(tblY11[Class],ROWS(P$10:P406))&amp;"","")</f>
        <v/>
      </c>
      <c r="Q406" t="str">
        <f>IF(P406="","",IF(SUMPRODUCT(--(P$10:P406=P406))=1,SUMPRODUCT(--(P$10:P$609&lt;P406))+1,""))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IFERROR(INDEX(tblY7[Class],ROWS(H$10:H407))&amp;"","")</f>
        <v/>
      </c>
      <c r="I407" t="str">
        <f>IF(H407="","",IF(SUMPRODUCT(--(H$10:H407=H407))=1,SUMPRODUCT(--(H$10:H$609&lt;H407))+1,""))</f>
        <v/>
      </c>
      <c r="J407" t="str">
        <f>IFERROR(INDEX(tblY8[Class],ROWS(J$10:J407))&amp;"","")</f>
        <v/>
      </c>
      <c r="K407" t="str">
        <f>IF(J407="","",IF(SUMPRODUCT(--(J$10:J407=J407))=1,SUMPRODUCT(--(J$10:J$609&lt;J407))+1,""))</f>
        <v/>
      </c>
      <c r="L407" t="str">
        <f>IFERROR(INDEX(tblY9[Class],ROWS(L$10:L407))&amp;"","")</f>
        <v/>
      </c>
      <c r="M407" t="str">
        <f>IF(L407="","",IF(SUMPRODUCT(--(L$10:L407=L407))=1,SUMPRODUCT(--(L$10:L$609&lt;L407))+1,""))</f>
        <v/>
      </c>
      <c r="N407" t="str">
        <f>IFERROR(INDEX(tblY10[Class],ROWS(N$10:N407))&amp;"","")</f>
        <v/>
      </c>
      <c r="O407" t="str">
        <f>IF(N407="","",IF(SUMPRODUCT(--(N$10:N407=N407))=1,SUMPRODUCT(--(N$10:N$609&lt;N407))+1,""))</f>
        <v/>
      </c>
      <c r="P407" t="str">
        <f>IFERROR(INDEX(tblY11[Class],ROWS(P$10:P407))&amp;"","")</f>
        <v/>
      </c>
      <c r="Q407" t="str">
        <f>IF(P407="","",IF(SUMPRODUCT(--(P$10:P407=P407))=1,SUMPRODUCT(--(P$10:P$609&lt;P407))+1,""))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IFERROR(INDEX(tblY7[Class],ROWS(H$10:H408))&amp;"","")</f>
        <v/>
      </c>
      <c r="I408" t="str">
        <f>IF(H408="","",IF(SUMPRODUCT(--(H$10:H408=H408))=1,SUMPRODUCT(--(H$10:H$609&lt;H408))+1,""))</f>
        <v/>
      </c>
      <c r="J408" t="str">
        <f>IFERROR(INDEX(tblY8[Class],ROWS(J$10:J408))&amp;"","")</f>
        <v/>
      </c>
      <c r="K408" t="str">
        <f>IF(J408="","",IF(SUMPRODUCT(--(J$10:J408=J408))=1,SUMPRODUCT(--(J$10:J$609&lt;J408))+1,""))</f>
        <v/>
      </c>
      <c r="L408" t="str">
        <f>IFERROR(INDEX(tblY9[Class],ROWS(L$10:L408))&amp;"","")</f>
        <v/>
      </c>
      <c r="M408" t="str">
        <f>IF(L408="","",IF(SUMPRODUCT(--(L$10:L408=L408))=1,SUMPRODUCT(--(L$10:L$609&lt;L408))+1,""))</f>
        <v/>
      </c>
      <c r="N408" t="str">
        <f>IFERROR(INDEX(tblY10[Class],ROWS(N$10:N408))&amp;"","")</f>
        <v/>
      </c>
      <c r="O408" t="str">
        <f>IF(N408="","",IF(SUMPRODUCT(--(N$10:N408=N408))=1,SUMPRODUCT(--(N$10:N$609&lt;N408))+1,""))</f>
        <v/>
      </c>
      <c r="P408" t="str">
        <f>IFERROR(INDEX(tblY11[Class],ROWS(P$10:P408))&amp;"","")</f>
        <v/>
      </c>
      <c r="Q408" t="str">
        <f>IF(P408="","",IF(SUMPRODUCT(--(P$10:P408=P408))=1,SUMPRODUCT(--(P$10:P$609&lt;P408))+1,""))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IFERROR(INDEX(tblY7[Class],ROWS(H$10:H409))&amp;"","")</f>
        <v/>
      </c>
      <c r="I409" t="str">
        <f>IF(H409="","",IF(SUMPRODUCT(--(H$10:H409=H409))=1,SUMPRODUCT(--(H$10:H$609&lt;H409))+1,""))</f>
        <v/>
      </c>
      <c r="J409" t="str">
        <f>IFERROR(INDEX(tblY8[Class],ROWS(J$10:J409))&amp;"","")</f>
        <v/>
      </c>
      <c r="K409" t="str">
        <f>IF(J409="","",IF(SUMPRODUCT(--(J$10:J409=J409))=1,SUMPRODUCT(--(J$10:J$609&lt;J409))+1,""))</f>
        <v/>
      </c>
      <c r="L409" t="str">
        <f>IFERROR(INDEX(tblY9[Class],ROWS(L$10:L409))&amp;"","")</f>
        <v/>
      </c>
      <c r="M409" t="str">
        <f>IF(L409="","",IF(SUMPRODUCT(--(L$10:L409=L409))=1,SUMPRODUCT(--(L$10:L$609&lt;L409))+1,""))</f>
        <v/>
      </c>
      <c r="N409" t="str">
        <f>IFERROR(INDEX(tblY10[Class],ROWS(N$10:N409))&amp;"","")</f>
        <v/>
      </c>
      <c r="O409" t="str">
        <f>IF(N409="","",IF(SUMPRODUCT(--(N$10:N409=N409))=1,SUMPRODUCT(--(N$10:N$609&lt;N409))+1,""))</f>
        <v/>
      </c>
      <c r="P409" t="str">
        <f>IFERROR(INDEX(tblY11[Class],ROWS(P$10:P409))&amp;"","")</f>
        <v/>
      </c>
      <c r="Q409" t="str">
        <f>IF(P409="","",IF(SUMPRODUCT(--(P$10:P409=P409))=1,SUMPRODUCT(--(P$10:P$609&lt;P409))+1,""))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IFERROR(INDEX(tblY7[Class],ROWS(H$10:H410))&amp;"","")</f>
        <v/>
      </c>
      <c r="I410" t="str">
        <f>IF(H410="","",IF(SUMPRODUCT(--(H$10:H410=H410))=1,SUMPRODUCT(--(H$10:H$609&lt;H410))+1,""))</f>
        <v/>
      </c>
      <c r="J410" t="str">
        <f>IFERROR(INDEX(tblY8[Class],ROWS(J$10:J410))&amp;"","")</f>
        <v/>
      </c>
      <c r="K410" t="str">
        <f>IF(J410="","",IF(SUMPRODUCT(--(J$10:J410=J410))=1,SUMPRODUCT(--(J$10:J$609&lt;J410))+1,""))</f>
        <v/>
      </c>
      <c r="L410" t="str">
        <f>IFERROR(INDEX(tblY9[Class],ROWS(L$10:L410))&amp;"","")</f>
        <v/>
      </c>
      <c r="M410" t="str">
        <f>IF(L410="","",IF(SUMPRODUCT(--(L$10:L410=L410))=1,SUMPRODUCT(--(L$10:L$609&lt;L410))+1,""))</f>
        <v/>
      </c>
      <c r="N410" t="str">
        <f>IFERROR(INDEX(tblY10[Class],ROWS(N$10:N410))&amp;"","")</f>
        <v/>
      </c>
      <c r="O410" t="str">
        <f>IF(N410="","",IF(SUMPRODUCT(--(N$10:N410=N410))=1,SUMPRODUCT(--(N$10:N$609&lt;N410))+1,""))</f>
        <v/>
      </c>
      <c r="P410" t="str">
        <f>IFERROR(INDEX(tblY11[Class],ROWS(P$10:P410))&amp;"","")</f>
        <v/>
      </c>
      <c r="Q410" t="str">
        <f>IF(P410="","",IF(SUMPRODUCT(--(P$10:P410=P410))=1,SUMPRODUCT(--(P$10:P$609&lt;P410))+1,""))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IFERROR(INDEX(tblY7[Class],ROWS(H$10:H411))&amp;"","")</f>
        <v/>
      </c>
      <c r="I411" t="str">
        <f>IF(H411="","",IF(SUMPRODUCT(--(H$10:H411=H411))=1,SUMPRODUCT(--(H$10:H$609&lt;H411))+1,""))</f>
        <v/>
      </c>
      <c r="J411" t="str">
        <f>IFERROR(INDEX(tblY8[Class],ROWS(J$10:J411))&amp;"","")</f>
        <v/>
      </c>
      <c r="K411" t="str">
        <f>IF(J411="","",IF(SUMPRODUCT(--(J$10:J411=J411))=1,SUMPRODUCT(--(J$10:J$609&lt;J411))+1,""))</f>
        <v/>
      </c>
      <c r="L411" t="str">
        <f>IFERROR(INDEX(tblY9[Class],ROWS(L$10:L411))&amp;"","")</f>
        <v/>
      </c>
      <c r="M411" t="str">
        <f>IF(L411="","",IF(SUMPRODUCT(--(L$10:L411=L411))=1,SUMPRODUCT(--(L$10:L$609&lt;L411))+1,""))</f>
        <v/>
      </c>
      <c r="N411" t="str">
        <f>IFERROR(INDEX(tblY10[Class],ROWS(N$10:N411))&amp;"","")</f>
        <v/>
      </c>
      <c r="O411" t="str">
        <f>IF(N411="","",IF(SUMPRODUCT(--(N$10:N411=N411))=1,SUMPRODUCT(--(N$10:N$609&lt;N411))+1,""))</f>
        <v/>
      </c>
      <c r="P411" t="str">
        <f>IFERROR(INDEX(tblY11[Class],ROWS(P$10:P411))&amp;"","")</f>
        <v/>
      </c>
      <c r="Q411" t="str">
        <f>IF(P411="","",IF(SUMPRODUCT(--(P$10:P411=P411))=1,SUMPRODUCT(--(P$10:P$609&lt;P411))+1,""))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IFERROR(INDEX(tblY7[Class],ROWS(H$10:H412))&amp;"","")</f>
        <v/>
      </c>
      <c r="I412" t="str">
        <f>IF(H412="","",IF(SUMPRODUCT(--(H$10:H412=H412))=1,SUMPRODUCT(--(H$10:H$609&lt;H412))+1,""))</f>
        <v/>
      </c>
      <c r="J412" t="str">
        <f>IFERROR(INDEX(tblY8[Class],ROWS(J$10:J412))&amp;"","")</f>
        <v/>
      </c>
      <c r="K412" t="str">
        <f>IF(J412="","",IF(SUMPRODUCT(--(J$10:J412=J412))=1,SUMPRODUCT(--(J$10:J$609&lt;J412))+1,""))</f>
        <v/>
      </c>
      <c r="L412" t="str">
        <f>IFERROR(INDEX(tblY9[Class],ROWS(L$10:L412))&amp;"","")</f>
        <v/>
      </c>
      <c r="M412" t="str">
        <f>IF(L412="","",IF(SUMPRODUCT(--(L$10:L412=L412))=1,SUMPRODUCT(--(L$10:L$609&lt;L412))+1,""))</f>
        <v/>
      </c>
      <c r="N412" t="str">
        <f>IFERROR(INDEX(tblY10[Class],ROWS(N$10:N412))&amp;"","")</f>
        <v/>
      </c>
      <c r="O412" t="str">
        <f>IF(N412="","",IF(SUMPRODUCT(--(N$10:N412=N412))=1,SUMPRODUCT(--(N$10:N$609&lt;N412))+1,""))</f>
        <v/>
      </c>
      <c r="P412" t="str">
        <f>IFERROR(INDEX(tblY11[Class],ROWS(P$10:P412))&amp;"","")</f>
        <v/>
      </c>
      <c r="Q412" t="str">
        <f>IF(P412="","",IF(SUMPRODUCT(--(P$10:P412=P412))=1,SUMPRODUCT(--(P$10:P$609&lt;P412))+1,""))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IFERROR(INDEX(tblY7[Class],ROWS(H$10:H413))&amp;"","")</f>
        <v/>
      </c>
      <c r="I413" t="str">
        <f>IF(H413="","",IF(SUMPRODUCT(--(H$10:H413=H413))=1,SUMPRODUCT(--(H$10:H$609&lt;H413))+1,""))</f>
        <v/>
      </c>
      <c r="J413" t="str">
        <f>IFERROR(INDEX(tblY8[Class],ROWS(J$10:J413))&amp;"","")</f>
        <v/>
      </c>
      <c r="K413" t="str">
        <f>IF(J413="","",IF(SUMPRODUCT(--(J$10:J413=J413))=1,SUMPRODUCT(--(J$10:J$609&lt;J413))+1,""))</f>
        <v/>
      </c>
      <c r="L413" t="str">
        <f>IFERROR(INDEX(tblY9[Class],ROWS(L$10:L413))&amp;"","")</f>
        <v/>
      </c>
      <c r="M413" t="str">
        <f>IF(L413="","",IF(SUMPRODUCT(--(L$10:L413=L413))=1,SUMPRODUCT(--(L$10:L$609&lt;L413))+1,""))</f>
        <v/>
      </c>
      <c r="N413" t="str">
        <f>IFERROR(INDEX(tblY10[Class],ROWS(N$10:N413))&amp;"","")</f>
        <v/>
      </c>
      <c r="O413" t="str">
        <f>IF(N413="","",IF(SUMPRODUCT(--(N$10:N413=N413))=1,SUMPRODUCT(--(N$10:N$609&lt;N413))+1,""))</f>
        <v/>
      </c>
      <c r="P413" t="str">
        <f>IFERROR(INDEX(tblY11[Class],ROWS(P$10:P413))&amp;"","")</f>
        <v/>
      </c>
      <c r="Q413" t="str">
        <f>IF(P413="","",IF(SUMPRODUCT(--(P$10:P413=P413))=1,SUMPRODUCT(--(P$10:P$609&lt;P413))+1,""))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IFERROR(INDEX(tblY7[Class],ROWS(H$10:H414))&amp;"","")</f>
        <v/>
      </c>
      <c r="I414" t="str">
        <f>IF(H414="","",IF(SUMPRODUCT(--(H$10:H414=H414))=1,SUMPRODUCT(--(H$10:H$609&lt;H414))+1,""))</f>
        <v/>
      </c>
      <c r="J414" t="str">
        <f>IFERROR(INDEX(tblY8[Class],ROWS(J$10:J414))&amp;"","")</f>
        <v/>
      </c>
      <c r="K414" t="str">
        <f>IF(J414="","",IF(SUMPRODUCT(--(J$10:J414=J414))=1,SUMPRODUCT(--(J$10:J$609&lt;J414))+1,""))</f>
        <v/>
      </c>
      <c r="L414" t="str">
        <f>IFERROR(INDEX(tblY9[Class],ROWS(L$10:L414))&amp;"","")</f>
        <v/>
      </c>
      <c r="M414" t="str">
        <f>IF(L414="","",IF(SUMPRODUCT(--(L$10:L414=L414))=1,SUMPRODUCT(--(L$10:L$609&lt;L414))+1,""))</f>
        <v/>
      </c>
      <c r="N414" t="str">
        <f>IFERROR(INDEX(tblY10[Class],ROWS(N$10:N414))&amp;"","")</f>
        <v/>
      </c>
      <c r="O414" t="str">
        <f>IF(N414="","",IF(SUMPRODUCT(--(N$10:N414=N414))=1,SUMPRODUCT(--(N$10:N$609&lt;N414))+1,""))</f>
        <v/>
      </c>
      <c r="P414" t="str">
        <f>IFERROR(INDEX(tblY11[Class],ROWS(P$10:P414))&amp;"","")</f>
        <v/>
      </c>
      <c r="Q414" t="str">
        <f>IF(P414="","",IF(SUMPRODUCT(--(P$10:P414=P414))=1,SUMPRODUCT(--(P$10:P$609&lt;P414))+1,""))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IFERROR(INDEX(tblY7[Class],ROWS(H$10:H415))&amp;"","")</f>
        <v/>
      </c>
      <c r="I415" t="str">
        <f>IF(H415="","",IF(SUMPRODUCT(--(H$10:H415=H415))=1,SUMPRODUCT(--(H$10:H$609&lt;H415))+1,""))</f>
        <v/>
      </c>
      <c r="J415" t="str">
        <f>IFERROR(INDEX(tblY8[Class],ROWS(J$10:J415))&amp;"","")</f>
        <v/>
      </c>
      <c r="K415" t="str">
        <f>IF(J415="","",IF(SUMPRODUCT(--(J$10:J415=J415))=1,SUMPRODUCT(--(J$10:J$609&lt;J415))+1,""))</f>
        <v/>
      </c>
      <c r="L415" t="str">
        <f>IFERROR(INDEX(tblY9[Class],ROWS(L$10:L415))&amp;"","")</f>
        <v/>
      </c>
      <c r="M415" t="str">
        <f>IF(L415="","",IF(SUMPRODUCT(--(L$10:L415=L415))=1,SUMPRODUCT(--(L$10:L$609&lt;L415))+1,""))</f>
        <v/>
      </c>
      <c r="N415" t="str">
        <f>IFERROR(INDEX(tblY10[Class],ROWS(N$10:N415))&amp;"","")</f>
        <v/>
      </c>
      <c r="O415" t="str">
        <f>IF(N415="","",IF(SUMPRODUCT(--(N$10:N415=N415))=1,SUMPRODUCT(--(N$10:N$609&lt;N415))+1,""))</f>
        <v/>
      </c>
      <c r="P415" t="str">
        <f>IFERROR(INDEX(tblY11[Class],ROWS(P$10:P415))&amp;"","")</f>
        <v/>
      </c>
      <c r="Q415" t="str">
        <f>IF(P415="","",IF(SUMPRODUCT(--(P$10:P415=P415))=1,SUMPRODUCT(--(P$10:P$609&lt;P415))+1,""))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IFERROR(INDEX(tblY7[Class],ROWS(H$10:H416))&amp;"","")</f>
        <v/>
      </c>
      <c r="I416" t="str">
        <f>IF(H416="","",IF(SUMPRODUCT(--(H$10:H416=H416))=1,SUMPRODUCT(--(H$10:H$609&lt;H416))+1,""))</f>
        <v/>
      </c>
      <c r="J416" t="str">
        <f>IFERROR(INDEX(tblY8[Class],ROWS(J$10:J416))&amp;"","")</f>
        <v/>
      </c>
      <c r="K416" t="str">
        <f>IF(J416="","",IF(SUMPRODUCT(--(J$10:J416=J416))=1,SUMPRODUCT(--(J$10:J$609&lt;J416))+1,""))</f>
        <v/>
      </c>
      <c r="L416" t="str">
        <f>IFERROR(INDEX(tblY9[Class],ROWS(L$10:L416))&amp;"","")</f>
        <v/>
      </c>
      <c r="M416" t="str">
        <f>IF(L416="","",IF(SUMPRODUCT(--(L$10:L416=L416))=1,SUMPRODUCT(--(L$10:L$609&lt;L416))+1,""))</f>
        <v/>
      </c>
      <c r="N416" t="str">
        <f>IFERROR(INDEX(tblY10[Class],ROWS(N$10:N416))&amp;"","")</f>
        <v/>
      </c>
      <c r="O416" t="str">
        <f>IF(N416="","",IF(SUMPRODUCT(--(N$10:N416=N416))=1,SUMPRODUCT(--(N$10:N$609&lt;N416))+1,""))</f>
        <v/>
      </c>
      <c r="P416" t="str">
        <f>IFERROR(INDEX(tblY11[Class],ROWS(P$10:P416))&amp;"","")</f>
        <v/>
      </c>
      <c r="Q416" t="str">
        <f>IF(P416="","",IF(SUMPRODUCT(--(P$10:P416=P416))=1,SUMPRODUCT(--(P$10:P$609&lt;P416))+1,""))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IFERROR(INDEX(tblY7[Class],ROWS(H$10:H417))&amp;"","")</f>
        <v/>
      </c>
      <c r="I417" t="str">
        <f>IF(H417="","",IF(SUMPRODUCT(--(H$10:H417=H417))=1,SUMPRODUCT(--(H$10:H$609&lt;H417))+1,""))</f>
        <v/>
      </c>
      <c r="J417" t="str">
        <f>IFERROR(INDEX(tblY8[Class],ROWS(J$10:J417))&amp;"","")</f>
        <v/>
      </c>
      <c r="K417" t="str">
        <f>IF(J417="","",IF(SUMPRODUCT(--(J$10:J417=J417))=1,SUMPRODUCT(--(J$10:J$609&lt;J417))+1,""))</f>
        <v/>
      </c>
      <c r="L417" t="str">
        <f>IFERROR(INDEX(tblY9[Class],ROWS(L$10:L417))&amp;"","")</f>
        <v/>
      </c>
      <c r="M417" t="str">
        <f>IF(L417="","",IF(SUMPRODUCT(--(L$10:L417=L417))=1,SUMPRODUCT(--(L$10:L$609&lt;L417))+1,""))</f>
        <v/>
      </c>
      <c r="N417" t="str">
        <f>IFERROR(INDEX(tblY10[Class],ROWS(N$10:N417))&amp;"","")</f>
        <v/>
      </c>
      <c r="O417" t="str">
        <f>IF(N417="","",IF(SUMPRODUCT(--(N$10:N417=N417))=1,SUMPRODUCT(--(N$10:N$609&lt;N417))+1,""))</f>
        <v/>
      </c>
      <c r="P417" t="str">
        <f>IFERROR(INDEX(tblY11[Class],ROWS(P$10:P417))&amp;"","")</f>
        <v/>
      </c>
      <c r="Q417" t="str">
        <f>IF(P417="","",IF(SUMPRODUCT(--(P$10:P417=P417))=1,SUMPRODUCT(--(P$10:P$609&lt;P417))+1,""))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IFERROR(INDEX(tblY7[Class],ROWS(H$10:H418))&amp;"","")</f>
        <v/>
      </c>
      <c r="I418" t="str">
        <f>IF(H418="","",IF(SUMPRODUCT(--(H$10:H418=H418))=1,SUMPRODUCT(--(H$10:H$609&lt;H418))+1,""))</f>
        <v/>
      </c>
      <c r="J418" t="str">
        <f>IFERROR(INDEX(tblY8[Class],ROWS(J$10:J418))&amp;"","")</f>
        <v/>
      </c>
      <c r="K418" t="str">
        <f>IF(J418="","",IF(SUMPRODUCT(--(J$10:J418=J418))=1,SUMPRODUCT(--(J$10:J$609&lt;J418))+1,""))</f>
        <v/>
      </c>
      <c r="L418" t="str">
        <f>IFERROR(INDEX(tblY9[Class],ROWS(L$10:L418))&amp;"","")</f>
        <v/>
      </c>
      <c r="M418" t="str">
        <f>IF(L418="","",IF(SUMPRODUCT(--(L$10:L418=L418))=1,SUMPRODUCT(--(L$10:L$609&lt;L418))+1,""))</f>
        <v/>
      </c>
      <c r="N418" t="str">
        <f>IFERROR(INDEX(tblY10[Class],ROWS(N$10:N418))&amp;"","")</f>
        <v/>
      </c>
      <c r="O418" t="str">
        <f>IF(N418="","",IF(SUMPRODUCT(--(N$10:N418=N418))=1,SUMPRODUCT(--(N$10:N$609&lt;N418))+1,""))</f>
        <v/>
      </c>
      <c r="P418" t="str">
        <f>IFERROR(INDEX(tblY11[Class],ROWS(P$10:P418))&amp;"","")</f>
        <v/>
      </c>
      <c r="Q418" t="str">
        <f>IF(P418="","",IF(SUMPRODUCT(--(P$10:P418=P418))=1,SUMPRODUCT(--(P$10:P$609&lt;P418))+1,""))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IFERROR(INDEX(tblY7[Class],ROWS(H$10:H419))&amp;"","")</f>
        <v/>
      </c>
      <c r="I419" t="str">
        <f>IF(H419="","",IF(SUMPRODUCT(--(H$10:H419=H419))=1,SUMPRODUCT(--(H$10:H$609&lt;H419))+1,""))</f>
        <v/>
      </c>
      <c r="J419" t="str">
        <f>IFERROR(INDEX(tblY8[Class],ROWS(J$10:J419))&amp;"","")</f>
        <v/>
      </c>
      <c r="K419" t="str">
        <f>IF(J419="","",IF(SUMPRODUCT(--(J$10:J419=J419))=1,SUMPRODUCT(--(J$10:J$609&lt;J419))+1,""))</f>
        <v/>
      </c>
      <c r="L419" t="str">
        <f>IFERROR(INDEX(tblY9[Class],ROWS(L$10:L419))&amp;"","")</f>
        <v/>
      </c>
      <c r="M419" t="str">
        <f>IF(L419="","",IF(SUMPRODUCT(--(L$10:L419=L419))=1,SUMPRODUCT(--(L$10:L$609&lt;L419))+1,""))</f>
        <v/>
      </c>
      <c r="N419" t="str">
        <f>IFERROR(INDEX(tblY10[Class],ROWS(N$10:N419))&amp;"","")</f>
        <v/>
      </c>
      <c r="O419" t="str">
        <f>IF(N419="","",IF(SUMPRODUCT(--(N$10:N419=N419))=1,SUMPRODUCT(--(N$10:N$609&lt;N419))+1,""))</f>
        <v/>
      </c>
      <c r="P419" t="str">
        <f>IFERROR(INDEX(tblY11[Class],ROWS(P$10:P419))&amp;"","")</f>
        <v/>
      </c>
      <c r="Q419" t="str">
        <f>IF(P419="","",IF(SUMPRODUCT(--(P$10:P419=P419))=1,SUMPRODUCT(--(P$10:P$609&lt;P419))+1,""))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IFERROR(INDEX(tblY7[Class],ROWS(H$10:H420))&amp;"","")</f>
        <v/>
      </c>
      <c r="I420" t="str">
        <f>IF(H420="","",IF(SUMPRODUCT(--(H$10:H420=H420))=1,SUMPRODUCT(--(H$10:H$609&lt;H420))+1,""))</f>
        <v/>
      </c>
      <c r="J420" t="str">
        <f>IFERROR(INDEX(tblY8[Class],ROWS(J$10:J420))&amp;"","")</f>
        <v/>
      </c>
      <c r="K420" t="str">
        <f>IF(J420="","",IF(SUMPRODUCT(--(J$10:J420=J420))=1,SUMPRODUCT(--(J$10:J$609&lt;J420))+1,""))</f>
        <v/>
      </c>
      <c r="L420" t="str">
        <f>IFERROR(INDEX(tblY9[Class],ROWS(L$10:L420))&amp;"","")</f>
        <v/>
      </c>
      <c r="M420" t="str">
        <f>IF(L420="","",IF(SUMPRODUCT(--(L$10:L420=L420))=1,SUMPRODUCT(--(L$10:L$609&lt;L420))+1,""))</f>
        <v/>
      </c>
      <c r="N420" t="str">
        <f>IFERROR(INDEX(tblY10[Class],ROWS(N$10:N420))&amp;"","")</f>
        <v/>
      </c>
      <c r="O420" t="str">
        <f>IF(N420="","",IF(SUMPRODUCT(--(N$10:N420=N420))=1,SUMPRODUCT(--(N$10:N$609&lt;N420))+1,""))</f>
        <v/>
      </c>
      <c r="P420" t="str">
        <f>IFERROR(INDEX(tblY11[Class],ROWS(P$10:P420))&amp;"","")</f>
        <v/>
      </c>
      <c r="Q420" t="str">
        <f>IF(P420="","",IF(SUMPRODUCT(--(P$10:P420=P420))=1,SUMPRODUCT(--(P$10:P$609&lt;P420))+1,""))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IFERROR(INDEX(tblY7[Class],ROWS(H$10:H421))&amp;"","")</f>
        <v/>
      </c>
      <c r="I421" t="str">
        <f>IF(H421="","",IF(SUMPRODUCT(--(H$10:H421=H421))=1,SUMPRODUCT(--(H$10:H$609&lt;H421))+1,""))</f>
        <v/>
      </c>
      <c r="J421" t="str">
        <f>IFERROR(INDEX(tblY8[Class],ROWS(J$10:J421))&amp;"","")</f>
        <v/>
      </c>
      <c r="K421" t="str">
        <f>IF(J421="","",IF(SUMPRODUCT(--(J$10:J421=J421))=1,SUMPRODUCT(--(J$10:J$609&lt;J421))+1,""))</f>
        <v/>
      </c>
      <c r="L421" t="str">
        <f>IFERROR(INDEX(tblY9[Class],ROWS(L$10:L421))&amp;"","")</f>
        <v/>
      </c>
      <c r="M421" t="str">
        <f>IF(L421="","",IF(SUMPRODUCT(--(L$10:L421=L421))=1,SUMPRODUCT(--(L$10:L$609&lt;L421))+1,""))</f>
        <v/>
      </c>
      <c r="N421" t="str">
        <f>IFERROR(INDEX(tblY10[Class],ROWS(N$10:N421))&amp;"","")</f>
        <v/>
      </c>
      <c r="O421" t="str">
        <f>IF(N421="","",IF(SUMPRODUCT(--(N$10:N421=N421))=1,SUMPRODUCT(--(N$10:N$609&lt;N421))+1,""))</f>
        <v/>
      </c>
      <c r="P421" t="str">
        <f>IFERROR(INDEX(tblY11[Class],ROWS(P$10:P421))&amp;"","")</f>
        <v/>
      </c>
      <c r="Q421" t="str">
        <f>IF(P421="","",IF(SUMPRODUCT(--(P$10:P421=P421))=1,SUMPRODUCT(--(P$10:P$609&lt;P421))+1,""))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IFERROR(INDEX(tblY7[Class],ROWS(H$10:H422))&amp;"","")</f>
        <v/>
      </c>
      <c r="I422" t="str">
        <f>IF(H422="","",IF(SUMPRODUCT(--(H$10:H422=H422))=1,SUMPRODUCT(--(H$10:H$609&lt;H422))+1,""))</f>
        <v/>
      </c>
      <c r="J422" t="str">
        <f>IFERROR(INDEX(tblY8[Class],ROWS(J$10:J422))&amp;"","")</f>
        <v/>
      </c>
      <c r="K422" t="str">
        <f>IF(J422="","",IF(SUMPRODUCT(--(J$10:J422=J422))=1,SUMPRODUCT(--(J$10:J$609&lt;J422))+1,""))</f>
        <v/>
      </c>
      <c r="L422" t="str">
        <f>IFERROR(INDEX(tblY9[Class],ROWS(L$10:L422))&amp;"","")</f>
        <v/>
      </c>
      <c r="M422" t="str">
        <f>IF(L422="","",IF(SUMPRODUCT(--(L$10:L422=L422))=1,SUMPRODUCT(--(L$10:L$609&lt;L422))+1,""))</f>
        <v/>
      </c>
      <c r="N422" t="str">
        <f>IFERROR(INDEX(tblY10[Class],ROWS(N$10:N422))&amp;"","")</f>
        <v/>
      </c>
      <c r="O422" t="str">
        <f>IF(N422="","",IF(SUMPRODUCT(--(N$10:N422=N422))=1,SUMPRODUCT(--(N$10:N$609&lt;N422))+1,""))</f>
        <v/>
      </c>
      <c r="P422" t="str">
        <f>IFERROR(INDEX(tblY11[Class],ROWS(P$10:P422))&amp;"","")</f>
        <v/>
      </c>
      <c r="Q422" t="str">
        <f>IF(P422="","",IF(SUMPRODUCT(--(P$10:P422=P422))=1,SUMPRODUCT(--(P$10:P$609&lt;P422))+1,""))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IFERROR(INDEX(tblY7[Class],ROWS(H$10:H423))&amp;"","")</f>
        <v/>
      </c>
      <c r="I423" t="str">
        <f>IF(H423="","",IF(SUMPRODUCT(--(H$10:H423=H423))=1,SUMPRODUCT(--(H$10:H$609&lt;H423))+1,""))</f>
        <v/>
      </c>
      <c r="J423" t="str">
        <f>IFERROR(INDEX(tblY8[Class],ROWS(J$10:J423))&amp;"","")</f>
        <v/>
      </c>
      <c r="K423" t="str">
        <f>IF(J423="","",IF(SUMPRODUCT(--(J$10:J423=J423))=1,SUMPRODUCT(--(J$10:J$609&lt;J423))+1,""))</f>
        <v/>
      </c>
      <c r="L423" t="str">
        <f>IFERROR(INDEX(tblY9[Class],ROWS(L$10:L423))&amp;"","")</f>
        <v/>
      </c>
      <c r="M423" t="str">
        <f>IF(L423="","",IF(SUMPRODUCT(--(L$10:L423=L423))=1,SUMPRODUCT(--(L$10:L$609&lt;L423))+1,""))</f>
        <v/>
      </c>
      <c r="N423" t="str">
        <f>IFERROR(INDEX(tblY10[Class],ROWS(N$10:N423))&amp;"","")</f>
        <v/>
      </c>
      <c r="O423" t="str">
        <f>IF(N423="","",IF(SUMPRODUCT(--(N$10:N423=N423))=1,SUMPRODUCT(--(N$10:N$609&lt;N423))+1,""))</f>
        <v/>
      </c>
      <c r="P423" t="str">
        <f>IFERROR(INDEX(tblY11[Class],ROWS(P$10:P423))&amp;"","")</f>
        <v/>
      </c>
      <c r="Q423" t="str">
        <f>IF(P423="","",IF(SUMPRODUCT(--(P$10:P423=P423))=1,SUMPRODUCT(--(P$10:P$609&lt;P423))+1,""))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IFERROR(INDEX(tblY7[Class],ROWS(H$10:H424))&amp;"","")</f>
        <v/>
      </c>
      <c r="I424" t="str">
        <f>IF(H424="","",IF(SUMPRODUCT(--(H$10:H424=H424))=1,SUMPRODUCT(--(H$10:H$609&lt;H424))+1,""))</f>
        <v/>
      </c>
      <c r="J424" t="str">
        <f>IFERROR(INDEX(tblY8[Class],ROWS(J$10:J424))&amp;"","")</f>
        <v/>
      </c>
      <c r="K424" t="str">
        <f>IF(J424="","",IF(SUMPRODUCT(--(J$10:J424=J424))=1,SUMPRODUCT(--(J$10:J$609&lt;J424))+1,""))</f>
        <v/>
      </c>
      <c r="L424" t="str">
        <f>IFERROR(INDEX(tblY9[Class],ROWS(L$10:L424))&amp;"","")</f>
        <v/>
      </c>
      <c r="M424" t="str">
        <f>IF(L424="","",IF(SUMPRODUCT(--(L$10:L424=L424))=1,SUMPRODUCT(--(L$10:L$609&lt;L424))+1,""))</f>
        <v/>
      </c>
      <c r="N424" t="str">
        <f>IFERROR(INDEX(tblY10[Class],ROWS(N$10:N424))&amp;"","")</f>
        <v/>
      </c>
      <c r="O424" t="str">
        <f>IF(N424="","",IF(SUMPRODUCT(--(N$10:N424=N424))=1,SUMPRODUCT(--(N$10:N$609&lt;N424))+1,""))</f>
        <v/>
      </c>
      <c r="P424" t="str">
        <f>IFERROR(INDEX(tblY11[Class],ROWS(P$10:P424))&amp;"","")</f>
        <v/>
      </c>
      <c r="Q424" t="str">
        <f>IF(P424="","",IF(SUMPRODUCT(--(P$10:P424=P424))=1,SUMPRODUCT(--(P$10:P$609&lt;P424))+1,""))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IFERROR(INDEX(tblY7[Class],ROWS(H$10:H425))&amp;"","")</f>
        <v/>
      </c>
      <c r="I425" t="str">
        <f>IF(H425="","",IF(SUMPRODUCT(--(H$10:H425=H425))=1,SUMPRODUCT(--(H$10:H$609&lt;H425))+1,""))</f>
        <v/>
      </c>
      <c r="J425" t="str">
        <f>IFERROR(INDEX(tblY8[Class],ROWS(J$10:J425))&amp;"","")</f>
        <v/>
      </c>
      <c r="K425" t="str">
        <f>IF(J425="","",IF(SUMPRODUCT(--(J$10:J425=J425))=1,SUMPRODUCT(--(J$10:J$609&lt;J425))+1,""))</f>
        <v/>
      </c>
      <c r="L425" t="str">
        <f>IFERROR(INDEX(tblY9[Class],ROWS(L$10:L425))&amp;"","")</f>
        <v/>
      </c>
      <c r="M425" t="str">
        <f>IF(L425="","",IF(SUMPRODUCT(--(L$10:L425=L425))=1,SUMPRODUCT(--(L$10:L$609&lt;L425))+1,""))</f>
        <v/>
      </c>
      <c r="N425" t="str">
        <f>IFERROR(INDEX(tblY10[Class],ROWS(N$10:N425))&amp;"","")</f>
        <v/>
      </c>
      <c r="O425" t="str">
        <f>IF(N425="","",IF(SUMPRODUCT(--(N$10:N425=N425))=1,SUMPRODUCT(--(N$10:N$609&lt;N425))+1,""))</f>
        <v/>
      </c>
      <c r="P425" t="str">
        <f>IFERROR(INDEX(tblY11[Class],ROWS(P$10:P425))&amp;"","")</f>
        <v/>
      </c>
      <c r="Q425" t="str">
        <f>IF(P425="","",IF(SUMPRODUCT(--(P$10:P425=P425))=1,SUMPRODUCT(--(P$10:P$609&lt;P425))+1,""))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IFERROR(INDEX(tblY7[Class],ROWS(H$10:H426))&amp;"","")</f>
        <v/>
      </c>
      <c r="I426" t="str">
        <f>IF(H426="","",IF(SUMPRODUCT(--(H$10:H426=H426))=1,SUMPRODUCT(--(H$10:H$609&lt;H426))+1,""))</f>
        <v/>
      </c>
      <c r="J426" t="str">
        <f>IFERROR(INDEX(tblY8[Class],ROWS(J$10:J426))&amp;"","")</f>
        <v/>
      </c>
      <c r="K426" t="str">
        <f>IF(J426="","",IF(SUMPRODUCT(--(J$10:J426=J426))=1,SUMPRODUCT(--(J$10:J$609&lt;J426))+1,""))</f>
        <v/>
      </c>
      <c r="L426" t="str">
        <f>IFERROR(INDEX(tblY9[Class],ROWS(L$10:L426))&amp;"","")</f>
        <v/>
      </c>
      <c r="M426" t="str">
        <f>IF(L426="","",IF(SUMPRODUCT(--(L$10:L426=L426))=1,SUMPRODUCT(--(L$10:L$609&lt;L426))+1,""))</f>
        <v/>
      </c>
      <c r="N426" t="str">
        <f>IFERROR(INDEX(tblY10[Class],ROWS(N$10:N426))&amp;"","")</f>
        <v/>
      </c>
      <c r="O426" t="str">
        <f>IF(N426="","",IF(SUMPRODUCT(--(N$10:N426=N426))=1,SUMPRODUCT(--(N$10:N$609&lt;N426))+1,""))</f>
        <v/>
      </c>
      <c r="P426" t="str">
        <f>IFERROR(INDEX(tblY11[Class],ROWS(P$10:P426))&amp;"","")</f>
        <v/>
      </c>
      <c r="Q426" t="str">
        <f>IF(P426="","",IF(SUMPRODUCT(--(P$10:P426=P426))=1,SUMPRODUCT(--(P$10:P$609&lt;P426))+1,""))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IFERROR(INDEX(tblY7[Class],ROWS(H$10:H427))&amp;"","")</f>
        <v/>
      </c>
      <c r="I427" t="str">
        <f>IF(H427="","",IF(SUMPRODUCT(--(H$10:H427=H427))=1,SUMPRODUCT(--(H$10:H$609&lt;H427))+1,""))</f>
        <v/>
      </c>
      <c r="J427" t="str">
        <f>IFERROR(INDEX(tblY8[Class],ROWS(J$10:J427))&amp;"","")</f>
        <v/>
      </c>
      <c r="K427" t="str">
        <f>IF(J427="","",IF(SUMPRODUCT(--(J$10:J427=J427))=1,SUMPRODUCT(--(J$10:J$609&lt;J427))+1,""))</f>
        <v/>
      </c>
      <c r="L427" t="str">
        <f>IFERROR(INDEX(tblY9[Class],ROWS(L$10:L427))&amp;"","")</f>
        <v/>
      </c>
      <c r="M427" t="str">
        <f>IF(L427="","",IF(SUMPRODUCT(--(L$10:L427=L427))=1,SUMPRODUCT(--(L$10:L$609&lt;L427))+1,""))</f>
        <v/>
      </c>
      <c r="N427" t="str">
        <f>IFERROR(INDEX(tblY10[Class],ROWS(N$10:N427))&amp;"","")</f>
        <v/>
      </c>
      <c r="O427" t="str">
        <f>IF(N427="","",IF(SUMPRODUCT(--(N$10:N427=N427))=1,SUMPRODUCT(--(N$10:N$609&lt;N427))+1,""))</f>
        <v/>
      </c>
      <c r="P427" t="str">
        <f>IFERROR(INDEX(tblY11[Class],ROWS(P$10:P427))&amp;"","")</f>
        <v/>
      </c>
      <c r="Q427" t="str">
        <f>IF(P427="","",IF(SUMPRODUCT(--(P$10:P427=P427))=1,SUMPRODUCT(--(P$10:P$609&lt;P427))+1,""))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IFERROR(INDEX(tblY7[Class],ROWS(H$10:H428))&amp;"","")</f>
        <v/>
      </c>
      <c r="I428" t="str">
        <f>IF(H428="","",IF(SUMPRODUCT(--(H$10:H428=H428))=1,SUMPRODUCT(--(H$10:H$609&lt;H428))+1,""))</f>
        <v/>
      </c>
      <c r="J428" t="str">
        <f>IFERROR(INDEX(tblY8[Class],ROWS(J$10:J428))&amp;"","")</f>
        <v/>
      </c>
      <c r="K428" t="str">
        <f>IF(J428="","",IF(SUMPRODUCT(--(J$10:J428=J428))=1,SUMPRODUCT(--(J$10:J$609&lt;J428))+1,""))</f>
        <v/>
      </c>
      <c r="L428" t="str">
        <f>IFERROR(INDEX(tblY9[Class],ROWS(L$10:L428))&amp;"","")</f>
        <v/>
      </c>
      <c r="M428" t="str">
        <f>IF(L428="","",IF(SUMPRODUCT(--(L$10:L428=L428))=1,SUMPRODUCT(--(L$10:L$609&lt;L428))+1,""))</f>
        <v/>
      </c>
      <c r="N428" t="str">
        <f>IFERROR(INDEX(tblY10[Class],ROWS(N$10:N428))&amp;"","")</f>
        <v/>
      </c>
      <c r="O428" t="str">
        <f>IF(N428="","",IF(SUMPRODUCT(--(N$10:N428=N428))=1,SUMPRODUCT(--(N$10:N$609&lt;N428))+1,""))</f>
        <v/>
      </c>
      <c r="P428" t="str">
        <f>IFERROR(INDEX(tblY11[Class],ROWS(P$10:P428))&amp;"","")</f>
        <v/>
      </c>
      <c r="Q428" t="str">
        <f>IF(P428="","",IF(SUMPRODUCT(--(P$10:P428=P428))=1,SUMPRODUCT(--(P$10:P$609&lt;P428))+1,""))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IFERROR(INDEX(tblY7[Class],ROWS(H$10:H429))&amp;"","")</f>
        <v/>
      </c>
      <c r="I429" t="str">
        <f>IF(H429="","",IF(SUMPRODUCT(--(H$10:H429=H429))=1,SUMPRODUCT(--(H$10:H$609&lt;H429))+1,""))</f>
        <v/>
      </c>
      <c r="J429" t="str">
        <f>IFERROR(INDEX(tblY8[Class],ROWS(J$10:J429))&amp;"","")</f>
        <v/>
      </c>
      <c r="K429" t="str">
        <f>IF(J429="","",IF(SUMPRODUCT(--(J$10:J429=J429))=1,SUMPRODUCT(--(J$10:J$609&lt;J429))+1,""))</f>
        <v/>
      </c>
      <c r="L429" t="str">
        <f>IFERROR(INDEX(tblY9[Class],ROWS(L$10:L429))&amp;"","")</f>
        <v/>
      </c>
      <c r="M429" t="str">
        <f>IF(L429="","",IF(SUMPRODUCT(--(L$10:L429=L429))=1,SUMPRODUCT(--(L$10:L$609&lt;L429))+1,""))</f>
        <v/>
      </c>
      <c r="N429" t="str">
        <f>IFERROR(INDEX(tblY10[Class],ROWS(N$10:N429))&amp;"","")</f>
        <v/>
      </c>
      <c r="O429" t="str">
        <f>IF(N429="","",IF(SUMPRODUCT(--(N$10:N429=N429))=1,SUMPRODUCT(--(N$10:N$609&lt;N429))+1,""))</f>
        <v/>
      </c>
      <c r="P429" t="str">
        <f>IFERROR(INDEX(tblY11[Class],ROWS(P$10:P429))&amp;"","")</f>
        <v/>
      </c>
      <c r="Q429" t="str">
        <f>IF(P429="","",IF(SUMPRODUCT(--(P$10:P429=P429))=1,SUMPRODUCT(--(P$10:P$609&lt;P429))+1,""))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IFERROR(INDEX(tblY7[Class],ROWS(H$10:H430))&amp;"","")</f>
        <v/>
      </c>
      <c r="I430" t="str">
        <f>IF(H430="","",IF(SUMPRODUCT(--(H$10:H430=H430))=1,SUMPRODUCT(--(H$10:H$609&lt;H430))+1,""))</f>
        <v/>
      </c>
      <c r="J430" t="str">
        <f>IFERROR(INDEX(tblY8[Class],ROWS(J$10:J430))&amp;"","")</f>
        <v/>
      </c>
      <c r="K430" t="str">
        <f>IF(J430="","",IF(SUMPRODUCT(--(J$10:J430=J430))=1,SUMPRODUCT(--(J$10:J$609&lt;J430))+1,""))</f>
        <v/>
      </c>
      <c r="L430" t="str">
        <f>IFERROR(INDEX(tblY9[Class],ROWS(L$10:L430))&amp;"","")</f>
        <v/>
      </c>
      <c r="M430" t="str">
        <f>IF(L430="","",IF(SUMPRODUCT(--(L$10:L430=L430))=1,SUMPRODUCT(--(L$10:L$609&lt;L430))+1,""))</f>
        <v/>
      </c>
      <c r="N430" t="str">
        <f>IFERROR(INDEX(tblY10[Class],ROWS(N$10:N430))&amp;"","")</f>
        <v/>
      </c>
      <c r="O430" t="str">
        <f>IF(N430="","",IF(SUMPRODUCT(--(N$10:N430=N430))=1,SUMPRODUCT(--(N$10:N$609&lt;N430))+1,""))</f>
        <v/>
      </c>
      <c r="P430" t="str">
        <f>IFERROR(INDEX(tblY11[Class],ROWS(P$10:P430))&amp;"","")</f>
        <v/>
      </c>
      <c r="Q430" t="str">
        <f>IF(P430="","",IF(SUMPRODUCT(--(P$10:P430=P430))=1,SUMPRODUCT(--(P$10:P$609&lt;P430))+1,""))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IFERROR(INDEX(tblY7[Class],ROWS(H$10:H431))&amp;"","")</f>
        <v/>
      </c>
      <c r="I431" t="str">
        <f>IF(H431="","",IF(SUMPRODUCT(--(H$10:H431=H431))=1,SUMPRODUCT(--(H$10:H$609&lt;H431))+1,""))</f>
        <v/>
      </c>
      <c r="J431" t="str">
        <f>IFERROR(INDEX(tblY8[Class],ROWS(J$10:J431))&amp;"","")</f>
        <v/>
      </c>
      <c r="K431" t="str">
        <f>IF(J431="","",IF(SUMPRODUCT(--(J$10:J431=J431))=1,SUMPRODUCT(--(J$10:J$609&lt;J431))+1,""))</f>
        <v/>
      </c>
      <c r="L431" t="str">
        <f>IFERROR(INDEX(tblY9[Class],ROWS(L$10:L431))&amp;"","")</f>
        <v/>
      </c>
      <c r="M431" t="str">
        <f>IF(L431="","",IF(SUMPRODUCT(--(L$10:L431=L431))=1,SUMPRODUCT(--(L$10:L$609&lt;L431))+1,""))</f>
        <v/>
      </c>
      <c r="N431" t="str">
        <f>IFERROR(INDEX(tblY10[Class],ROWS(N$10:N431))&amp;"","")</f>
        <v/>
      </c>
      <c r="O431" t="str">
        <f>IF(N431="","",IF(SUMPRODUCT(--(N$10:N431=N431))=1,SUMPRODUCT(--(N$10:N$609&lt;N431))+1,""))</f>
        <v/>
      </c>
      <c r="P431" t="str">
        <f>IFERROR(INDEX(tblY11[Class],ROWS(P$10:P431))&amp;"","")</f>
        <v/>
      </c>
      <c r="Q431" t="str">
        <f>IF(P431="","",IF(SUMPRODUCT(--(P$10:P431=P431))=1,SUMPRODUCT(--(P$10:P$609&lt;P431))+1,""))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IFERROR(INDEX(tblY7[Class],ROWS(H$10:H432))&amp;"","")</f>
        <v/>
      </c>
      <c r="I432" t="str">
        <f>IF(H432="","",IF(SUMPRODUCT(--(H$10:H432=H432))=1,SUMPRODUCT(--(H$10:H$609&lt;H432))+1,""))</f>
        <v/>
      </c>
      <c r="J432" t="str">
        <f>IFERROR(INDEX(tblY8[Class],ROWS(J$10:J432))&amp;"","")</f>
        <v/>
      </c>
      <c r="K432" t="str">
        <f>IF(J432="","",IF(SUMPRODUCT(--(J$10:J432=J432))=1,SUMPRODUCT(--(J$10:J$609&lt;J432))+1,""))</f>
        <v/>
      </c>
      <c r="L432" t="str">
        <f>IFERROR(INDEX(tblY9[Class],ROWS(L$10:L432))&amp;"","")</f>
        <v/>
      </c>
      <c r="M432" t="str">
        <f>IF(L432="","",IF(SUMPRODUCT(--(L$10:L432=L432))=1,SUMPRODUCT(--(L$10:L$609&lt;L432))+1,""))</f>
        <v/>
      </c>
      <c r="N432" t="str">
        <f>IFERROR(INDEX(tblY10[Class],ROWS(N$10:N432))&amp;"","")</f>
        <v/>
      </c>
      <c r="O432" t="str">
        <f>IF(N432="","",IF(SUMPRODUCT(--(N$10:N432=N432))=1,SUMPRODUCT(--(N$10:N$609&lt;N432))+1,""))</f>
        <v/>
      </c>
      <c r="P432" t="str">
        <f>IFERROR(INDEX(tblY11[Class],ROWS(P$10:P432))&amp;"","")</f>
        <v/>
      </c>
      <c r="Q432" t="str">
        <f>IF(P432="","",IF(SUMPRODUCT(--(P$10:P432=P432))=1,SUMPRODUCT(--(P$10:P$609&lt;P432))+1,""))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IFERROR(INDEX(tblY7[Class],ROWS(H$10:H433))&amp;"","")</f>
        <v/>
      </c>
      <c r="I433" t="str">
        <f>IF(H433="","",IF(SUMPRODUCT(--(H$10:H433=H433))=1,SUMPRODUCT(--(H$10:H$609&lt;H433))+1,""))</f>
        <v/>
      </c>
      <c r="J433" t="str">
        <f>IFERROR(INDEX(tblY8[Class],ROWS(J$10:J433))&amp;"","")</f>
        <v/>
      </c>
      <c r="K433" t="str">
        <f>IF(J433="","",IF(SUMPRODUCT(--(J$10:J433=J433))=1,SUMPRODUCT(--(J$10:J$609&lt;J433))+1,""))</f>
        <v/>
      </c>
      <c r="L433" t="str">
        <f>IFERROR(INDEX(tblY9[Class],ROWS(L$10:L433))&amp;"","")</f>
        <v/>
      </c>
      <c r="M433" t="str">
        <f>IF(L433="","",IF(SUMPRODUCT(--(L$10:L433=L433))=1,SUMPRODUCT(--(L$10:L$609&lt;L433))+1,""))</f>
        <v/>
      </c>
      <c r="N433" t="str">
        <f>IFERROR(INDEX(tblY10[Class],ROWS(N$10:N433))&amp;"","")</f>
        <v/>
      </c>
      <c r="O433" t="str">
        <f>IF(N433="","",IF(SUMPRODUCT(--(N$10:N433=N433))=1,SUMPRODUCT(--(N$10:N$609&lt;N433))+1,""))</f>
        <v/>
      </c>
      <c r="P433" t="str">
        <f>IFERROR(INDEX(tblY11[Class],ROWS(P$10:P433))&amp;"","")</f>
        <v/>
      </c>
      <c r="Q433" t="str">
        <f>IF(P433="","",IF(SUMPRODUCT(--(P$10:P433=P433))=1,SUMPRODUCT(--(P$10:P$609&lt;P433))+1,""))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IFERROR(INDEX(tblY7[Class],ROWS(H$10:H434))&amp;"","")</f>
        <v/>
      </c>
      <c r="I434" t="str">
        <f>IF(H434="","",IF(SUMPRODUCT(--(H$10:H434=H434))=1,SUMPRODUCT(--(H$10:H$609&lt;H434))+1,""))</f>
        <v/>
      </c>
      <c r="J434" t="str">
        <f>IFERROR(INDEX(tblY8[Class],ROWS(J$10:J434))&amp;"","")</f>
        <v/>
      </c>
      <c r="K434" t="str">
        <f>IF(J434="","",IF(SUMPRODUCT(--(J$10:J434=J434))=1,SUMPRODUCT(--(J$10:J$609&lt;J434))+1,""))</f>
        <v/>
      </c>
      <c r="L434" t="str">
        <f>IFERROR(INDEX(tblY9[Class],ROWS(L$10:L434))&amp;"","")</f>
        <v/>
      </c>
      <c r="M434" t="str">
        <f>IF(L434="","",IF(SUMPRODUCT(--(L$10:L434=L434))=1,SUMPRODUCT(--(L$10:L$609&lt;L434))+1,""))</f>
        <v/>
      </c>
      <c r="N434" t="str">
        <f>IFERROR(INDEX(tblY10[Class],ROWS(N$10:N434))&amp;"","")</f>
        <v/>
      </c>
      <c r="O434" t="str">
        <f>IF(N434="","",IF(SUMPRODUCT(--(N$10:N434=N434))=1,SUMPRODUCT(--(N$10:N$609&lt;N434))+1,""))</f>
        <v/>
      </c>
      <c r="P434" t="str">
        <f>IFERROR(INDEX(tblY11[Class],ROWS(P$10:P434))&amp;"","")</f>
        <v/>
      </c>
      <c r="Q434" t="str">
        <f>IF(P434="","",IF(SUMPRODUCT(--(P$10:P434=P434))=1,SUMPRODUCT(--(P$10:P$609&lt;P434))+1,""))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IFERROR(INDEX(tblY7[Class],ROWS(H$10:H435))&amp;"","")</f>
        <v/>
      </c>
      <c r="I435" t="str">
        <f>IF(H435="","",IF(SUMPRODUCT(--(H$10:H435=H435))=1,SUMPRODUCT(--(H$10:H$609&lt;H435))+1,""))</f>
        <v/>
      </c>
      <c r="J435" t="str">
        <f>IFERROR(INDEX(tblY8[Class],ROWS(J$10:J435))&amp;"","")</f>
        <v/>
      </c>
      <c r="K435" t="str">
        <f>IF(J435="","",IF(SUMPRODUCT(--(J$10:J435=J435))=1,SUMPRODUCT(--(J$10:J$609&lt;J435))+1,""))</f>
        <v/>
      </c>
      <c r="L435" t="str">
        <f>IFERROR(INDEX(tblY9[Class],ROWS(L$10:L435))&amp;"","")</f>
        <v/>
      </c>
      <c r="M435" t="str">
        <f>IF(L435="","",IF(SUMPRODUCT(--(L$10:L435=L435))=1,SUMPRODUCT(--(L$10:L$609&lt;L435))+1,""))</f>
        <v/>
      </c>
      <c r="N435" t="str">
        <f>IFERROR(INDEX(tblY10[Class],ROWS(N$10:N435))&amp;"","")</f>
        <v/>
      </c>
      <c r="O435" t="str">
        <f>IF(N435="","",IF(SUMPRODUCT(--(N$10:N435=N435))=1,SUMPRODUCT(--(N$10:N$609&lt;N435))+1,""))</f>
        <v/>
      </c>
      <c r="P435" t="str">
        <f>IFERROR(INDEX(tblY11[Class],ROWS(P$10:P435))&amp;"","")</f>
        <v/>
      </c>
      <c r="Q435" t="str">
        <f>IF(P435="","",IF(SUMPRODUCT(--(P$10:P435=P435))=1,SUMPRODUCT(--(P$10:P$609&lt;P435))+1,""))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IFERROR(INDEX(tblY7[Class],ROWS(H$10:H436))&amp;"","")</f>
        <v/>
      </c>
      <c r="I436" t="str">
        <f>IF(H436="","",IF(SUMPRODUCT(--(H$10:H436=H436))=1,SUMPRODUCT(--(H$10:H$609&lt;H436))+1,""))</f>
        <v/>
      </c>
      <c r="J436" t="str">
        <f>IFERROR(INDEX(tblY8[Class],ROWS(J$10:J436))&amp;"","")</f>
        <v/>
      </c>
      <c r="K436" t="str">
        <f>IF(J436="","",IF(SUMPRODUCT(--(J$10:J436=J436))=1,SUMPRODUCT(--(J$10:J$609&lt;J436))+1,""))</f>
        <v/>
      </c>
      <c r="L436" t="str">
        <f>IFERROR(INDEX(tblY9[Class],ROWS(L$10:L436))&amp;"","")</f>
        <v/>
      </c>
      <c r="M436" t="str">
        <f>IF(L436="","",IF(SUMPRODUCT(--(L$10:L436=L436))=1,SUMPRODUCT(--(L$10:L$609&lt;L436))+1,""))</f>
        <v/>
      </c>
      <c r="N436" t="str">
        <f>IFERROR(INDEX(tblY10[Class],ROWS(N$10:N436))&amp;"","")</f>
        <v/>
      </c>
      <c r="O436" t="str">
        <f>IF(N436="","",IF(SUMPRODUCT(--(N$10:N436=N436))=1,SUMPRODUCT(--(N$10:N$609&lt;N436))+1,""))</f>
        <v/>
      </c>
      <c r="P436" t="str">
        <f>IFERROR(INDEX(tblY11[Class],ROWS(P$10:P436))&amp;"","")</f>
        <v/>
      </c>
      <c r="Q436" t="str">
        <f>IF(P436="","",IF(SUMPRODUCT(--(P$10:P436=P436))=1,SUMPRODUCT(--(P$10:P$609&lt;P436))+1,""))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IFERROR(INDEX(tblY7[Class],ROWS(H$10:H437))&amp;"","")</f>
        <v/>
      </c>
      <c r="I437" t="str">
        <f>IF(H437="","",IF(SUMPRODUCT(--(H$10:H437=H437))=1,SUMPRODUCT(--(H$10:H$609&lt;H437))+1,""))</f>
        <v/>
      </c>
      <c r="J437" t="str">
        <f>IFERROR(INDEX(tblY8[Class],ROWS(J$10:J437))&amp;"","")</f>
        <v/>
      </c>
      <c r="K437" t="str">
        <f>IF(J437="","",IF(SUMPRODUCT(--(J$10:J437=J437))=1,SUMPRODUCT(--(J$10:J$609&lt;J437))+1,""))</f>
        <v/>
      </c>
      <c r="L437" t="str">
        <f>IFERROR(INDEX(tblY9[Class],ROWS(L$10:L437))&amp;"","")</f>
        <v/>
      </c>
      <c r="M437" t="str">
        <f>IF(L437="","",IF(SUMPRODUCT(--(L$10:L437=L437))=1,SUMPRODUCT(--(L$10:L$609&lt;L437))+1,""))</f>
        <v/>
      </c>
      <c r="N437" t="str">
        <f>IFERROR(INDEX(tblY10[Class],ROWS(N$10:N437))&amp;"","")</f>
        <v/>
      </c>
      <c r="O437" t="str">
        <f>IF(N437="","",IF(SUMPRODUCT(--(N$10:N437=N437))=1,SUMPRODUCT(--(N$10:N$609&lt;N437))+1,""))</f>
        <v/>
      </c>
      <c r="P437" t="str">
        <f>IFERROR(INDEX(tblY11[Class],ROWS(P$10:P437))&amp;"","")</f>
        <v/>
      </c>
      <c r="Q437" t="str">
        <f>IF(P437="","",IF(SUMPRODUCT(--(P$10:P437=P437))=1,SUMPRODUCT(--(P$10:P$609&lt;P437))+1,""))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IFERROR(INDEX(tblY7[Class],ROWS(H$10:H438))&amp;"","")</f>
        <v/>
      </c>
      <c r="I438" t="str">
        <f>IF(H438="","",IF(SUMPRODUCT(--(H$10:H438=H438))=1,SUMPRODUCT(--(H$10:H$609&lt;H438))+1,""))</f>
        <v/>
      </c>
      <c r="J438" t="str">
        <f>IFERROR(INDEX(tblY8[Class],ROWS(J$10:J438))&amp;"","")</f>
        <v/>
      </c>
      <c r="K438" t="str">
        <f>IF(J438="","",IF(SUMPRODUCT(--(J$10:J438=J438))=1,SUMPRODUCT(--(J$10:J$609&lt;J438))+1,""))</f>
        <v/>
      </c>
      <c r="L438" t="str">
        <f>IFERROR(INDEX(tblY9[Class],ROWS(L$10:L438))&amp;"","")</f>
        <v/>
      </c>
      <c r="M438" t="str">
        <f>IF(L438="","",IF(SUMPRODUCT(--(L$10:L438=L438))=1,SUMPRODUCT(--(L$10:L$609&lt;L438))+1,""))</f>
        <v/>
      </c>
      <c r="N438" t="str">
        <f>IFERROR(INDEX(tblY10[Class],ROWS(N$10:N438))&amp;"","")</f>
        <v/>
      </c>
      <c r="O438" t="str">
        <f>IF(N438="","",IF(SUMPRODUCT(--(N$10:N438=N438))=1,SUMPRODUCT(--(N$10:N$609&lt;N438))+1,""))</f>
        <v/>
      </c>
      <c r="P438" t="str">
        <f>IFERROR(INDEX(tblY11[Class],ROWS(P$10:P438))&amp;"","")</f>
        <v/>
      </c>
      <c r="Q438" t="str">
        <f>IF(P438="","",IF(SUMPRODUCT(--(P$10:P438=P438))=1,SUMPRODUCT(--(P$10:P$609&lt;P438))+1,""))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IFERROR(INDEX(tblY7[Class],ROWS(H$10:H439))&amp;"","")</f>
        <v/>
      </c>
      <c r="I439" t="str">
        <f>IF(H439="","",IF(SUMPRODUCT(--(H$10:H439=H439))=1,SUMPRODUCT(--(H$10:H$609&lt;H439))+1,""))</f>
        <v/>
      </c>
      <c r="J439" t="str">
        <f>IFERROR(INDEX(tblY8[Class],ROWS(J$10:J439))&amp;"","")</f>
        <v/>
      </c>
      <c r="K439" t="str">
        <f>IF(J439="","",IF(SUMPRODUCT(--(J$10:J439=J439))=1,SUMPRODUCT(--(J$10:J$609&lt;J439))+1,""))</f>
        <v/>
      </c>
      <c r="L439" t="str">
        <f>IFERROR(INDEX(tblY9[Class],ROWS(L$10:L439))&amp;"","")</f>
        <v/>
      </c>
      <c r="M439" t="str">
        <f>IF(L439="","",IF(SUMPRODUCT(--(L$10:L439=L439))=1,SUMPRODUCT(--(L$10:L$609&lt;L439))+1,""))</f>
        <v/>
      </c>
      <c r="N439" t="str">
        <f>IFERROR(INDEX(tblY10[Class],ROWS(N$10:N439))&amp;"","")</f>
        <v/>
      </c>
      <c r="O439" t="str">
        <f>IF(N439="","",IF(SUMPRODUCT(--(N$10:N439=N439))=1,SUMPRODUCT(--(N$10:N$609&lt;N439))+1,""))</f>
        <v/>
      </c>
      <c r="P439" t="str">
        <f>IFERROR(INDEX(tblY11[Class],ROWS(P$10:P439))&amp;"","")</f>
        <v/>
      </c>
      <c r="Q439" t="str">
        <f>IF(P439="","",IF(SUMPRODUCT(--(P$10:P439=P439))=1,SUMPRODUCT(--(P$10:P$609&lt;P439))+1,""))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IFERROR(INDEX(tblY7[Class],ROWS(H$10:H440))&amp;"","")</f>
        <v/>
      </c>
      <c r="I440" t="str">
        <f>IF(H440="","",IF(SUMPRODUCT(--(H$10:H440=H440))=1,SUMPRODUCT(--(H$10:H$609&lt;H440))+1,""))</f>
        <v/>
      </c>
      <c r="J440" t="str">
        <f>IFERROR(INDEX(tblY8[Class],ROWS(J$10:J440))&amp;"","")</f>
        <v/>
      </c>
      <c r="K440" t="str">
        <f>IF(J440="","",IF(SUMPRODUCT(--(J$10:J440=J440))=1,SUMPRODUCT(--(J$10:J$609&lt;J440))+1,""))</f>
        <v/>
      </c>
      <c r="L440" t="str">
        <f>IFERROR(INDEX(tblY9[Class],ROWS(L$10:L440))&amp;"","")</f>
        <v/>
      </c>
      <c r="M440" t="str">
        <f>IF(L440="","",IF(SUMPRODUCT(--(L$10:L440=L440))=1,SUMPRODUCT(--(L$10:L$609&lt;L440))+1,""))</f>
        <v/>
      </c>
      <c r="N440" t="str">
        <f>IFERROR(INDEX(tblY10[Class],ROWS(N$10:N440))&amp;"","")</f>
        <v/>
      </c>
      <c r="O440" t="str">
        <f>IF(N440="","",IF(SUMPRODUCT(--(N$10:N440=N440))=1,SUMPRODUCT(--(N$10:N$609&lt;N440))+1,""))</f>
        <v/>
      </c>
      <c r="P440" t="str">
        <f>IFERROR(INDEX(tblY11[Class],ROWS(P$10:P440))&amp;"","")</f>
        <v/>
      </c>
      <c r="Q440" t="str">
        <f>IF(P440="","",IF(SUMPRODUCT(--(P$10:P440=P440))=1,SUMPRODUCT(--(P$10:P$609&lt;P440))+1,""))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IFERROR(INDEX(tblY7[Class],ROWS(H$10:H441))&amp;"","")</f>
        <v/>
      </c>
      <c r="I441" t="str">
        <f>IF(H441="","",IF(SUMPRODUCT(--(H$10:H441=H441))=1,SUMPRODUCT(--(H$10:H$609&lt;H441))+1,""))</f>
        <v/>
      </c>
      <c r="J441" t="str">
        <f>IFERROR(INDEX(tblY8[Class],ROWS(J$10:J441))&amp;"","")</f>
        <v/>
      </c>
      <c r="K441" t="str">
        <f>IF(J441="","",IF(SUMPRODUCT(--(J$10:J441=J441))=1,SUMPRODUCT(--(J$10:J$609&lt;J441))+1,""))</f>
        <v/>
      </c>
      <c r="L441" t="str">
        <f>IFERROR(INDEX(tblY9[Class],ROWS(L$10:L441))&amp;"","")</f>
        <v/>
      </c>
      <c r="M441" t="str">
        <f>IF(L441="","",IF(SUMPRODUCT(--(L$10:L441=L441))=1,SUMPRODUCT(--(L$10:L$609&lt;L441))+1,""))</f>
        <v/>
      </c>
      <c r="N441" t="str">
        <f>IFERROR(INDEX(tblY10[Class],ROWS(N$10:N441))&amp;"","")</f>
        <v/>
      </c>
      <c r="O441" t="str">
        <f>IF(N441="","",IF(SUMPRODUCT(--(N$10:N441=N441))=1,SUMPRODUCT(--(N$10:N$609&lt;N441))+1,""))</f>
        <v/>
      </c>
      <c r="P441" t="str">
        <f>IFERROR(INDEX(tblY11[Class],ROWS(P$10:P441))&amp;"","")</f>
        <v/>
      </c>
      <c r="Q441" t="str">
        <f>IF(P441="","",IF(SUMPRODUCT(--(P$10:P441=P441))=1,SUMPRODUCT(--(P$10:P$609&lt;P441))+1,""))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IFERROR(INDEX(tblY7[Class],ROWS(H$10:H442))&amp;"","")</f>
        <v/>
      </c>
      <c r="I442" t="str">
        <f>IF(H442="","",IF(SUMPRODUCT(--(H$10:H442=H442))=1,SUMPRODUCT(--(H$10:H$609&lt;H442))+1,""))</f>
        <v/>
      </c>
      <c r="J442" t="str">
        <f>IFERROR(INDEX(tblY8[Class],ROWS(J$10:J442))&amp;"","")</f>
        <v/>
      </c>
      <c r="K442" t="str">
        <f>IF(J442="","",IF(SUMPRODUCT(--(J$10:J442=J442))=1,SUMPRODUCT(--(J$10:J$609&lt;J442))+1,""))</f>
        <v/>
      </c>
      <c r="L442" t="str">
        <f>IFERROR(INDEX(tblY9[Class],ROWS(L$10:L442))&amp;"","")</f>
        <v/>
      </c>
      <c r="M442" t="str">
        <f>IF(L442="","",IF(SUMPRODUCT(--(L$10:L442=L442))=1,SUMPRODUCT(--(L$10:L$609&lt;L442))+1,""))</f>
        <v/>
      </c>
      <c r="N442" t="str">
        <f>IFERROR(INDEX(tblY10[Class],ROWS(N$10:N442))&amp;"","")</f>
        <v/>
      </c>
      <c r="O442" t="str">
        <f>IF(N442="","",IF(SUMPRODUCT(--(N$10:N442=N442))=1,SUMPRODUCT(--(N$10:N$609&lt;N442))+1,""))</f>
        <v/>
      </c>
      <c r="P442" t="str">
        <f>IFERROR(INDEX(tblY11[Class],ROWS(P$10:P442))&amp;"","")</f>
        <v/>
      </c>
      <c r="Q442" t="str">
        <f>IF(P442="","",IF(SUMPRODUCT(--(P$10:P442=P442))=1,SUMPRODUCT(--(P$10:P$609&lt;P442))+1,""))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IFERROR(INDEX(tblY7[Class],ROWS(H$10:H443))&amp;"","")</f>
        <v/>
      </c>
      <c r="I443" t="str">
        <f>IF(H443="","",IF(SUMPRODUCT(--(H$10:H443=H443))=1,SUMPRODUCT(--(H$10:H$609&lt;H443))+1,""))</f>
        <v/>
      </c>
      <c r="J443" t="str">
        <f>IFERROR(INDEX(tblY8[Class],ROWS(J$10:J443))&amp;"","")</f>
        <v/>
      </c>
      <c r="K443" t="str">
        <f>IF(J443="","",IF(SUMPRODUCT(--(J$10:J443=J443))=1,SUMPRODUCT(--(J$10:J$609&lt;J443))+1,""))</f>
        <v/>
      </c>
      <c r="L443" t="str">
        <f>IFERROR(INDEX(tblY9[Class],ROWS(L$10:L443))&amp;"","")</f>
        <v/>
      </c>
      <c r="M443" t="str">
        <f>IF(L443="","",IF(SUMPRODUCT(--(L$10:L443=L443))=1,SUMPRODUCT(--(L$10:L$609&lt;L443))+1,""))</f>
        <v/>
      </c>
      <c r="N443" t="str">
        <f>IFERROR(INDEX(tblY10[Class],ROWS(N$10:N443))&amp;"","")</f>
        <v/>
      </c>
      <c r="O443" t="str">
        <f>IF(N443="","",IF(SUMPRODUCT(--(N$10:N443=N443))=1,SUMPRODUCT(--(N$10:N$609&lt;N443))+1,""))</f>
        <v/>
      </c>
      <c r="P443" t="str">
        <f>IFERROR(INDEX(tblY11[Class],ROWS(P$10:P443))&amp;"","")</f>
        <v/>
      </c>
      <c r="Q443" t="str">
        <f>IF(P443="","",IF(SUMPRODUCT(--(P$10:P443=P443))=1,SUMPRODUCT(--(P$10:P$609&lt;P443))+1,""))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IFERROR(INDEX(tblY7[Class],ROWS(H$10:H444))&amp;"","")</f>
        <v/>
      </c>
      <c r="I444" t="str">
        <f>IF(H444="","",IF(SUMPRODUCT(--(H$10:H444=H444))=1,SUMPRODUCT(--(H$10:H$609&lt;H444))+1,""))</f>
        <v/>
      </c>
      <c r="J444" t="str">
        <f>IFERROR(INDEX(tblY8[Class],ROWS(J$10:J444))&amp;"","")</f>
        <v/>
      </c>
      <c r="K444" t="str">
        <f>IF(J444="","",IF(SUMPRODUCT(--(J$10:J444=J444))=1,SUMPRODUCT(--(J$10:J$609&lt;J444))+1,""))</f>
        <v/>
      </c>
      <c r="L444" t="str">
        <f>IFERROR(INDEX(tblY9[Class],ROWS(L$10:L444))&amp;"","")</f>
        <v/>
      </c>
      <c r="M444" t="str">
        <f>IF(L444="","",IF(SUMPRODUCT(--(L$10:L444=L444))=1,SUMPRODUCT(--(L$10:L$609&lt;L444))+1,""))</f>
        <v/>
      </c>
      <c r="N444" t="str">
        <f>IFERROR(INDEX(tblY10[Class],ROWS(N$10:N444))&amp;"","")</f>
        <v/>
      </c>
      <c r="O444" t="str">
        <f>IF(N444="","",IF(SUMPRODUCT(--(N$10:N444=N444))=1,SUMPRODUCT(--(N$10:N$609&lt;N444))+1,""))</f>
        <v/>
      </c>
      <c r="P444" t="str">
        <f>IFERROR(INDEX(tblY11[Class],ROWS(P$10:P444))&amp;"","")</f>
        <v/>
      </c>
      <c r="Q444" t="str">
        <f>IF(P444="","",IF(SUMPRODUCT(--(P$10:P444=P444))=1,SUMPRODUCT(--(P$10:P$609&lt;P444))+1,""))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IFERROR(INDEX(tblY7[Class],ROWS(H$10:H445))&amp;"","")</f>
        <v/>
      </c>
      <c r="I445" t="str">
        <f>IF(H445="","",IF(SUMPRODUCT(--(H$10:H445=H445))=1,SUMPRODUCT(--(H$10:H$609&lt;H445))+1,""))</f>
        <v/>
      </c>
      <c r="J445" t="str">
        <f>IFERROR(INDEX(tblY8[Class],ROWS(J$10:J445))&amp;"","")</f>
        <v/>
      </c>
      <c r="K445" t="str">
        <f>IF(J445="","",IF(SUMPRODUCT(--(J$10:J445=J445))=1,SUMPRODUCT(--(J$10:J$609&lt;J445))+1,""))</f>
        <v/>
      </c>
      <c r="L445" t="str">
        <f>IFERROR(INDEX(tblY9[Class],ROWS(L$10:L445))&amp;"","")</f>
        <v/>
      </c>
      <c r="M445" t="str">
        <f>IF(L445="","",IF(SUMPRODUCT(--(L$10:L445=L445))=1,SUMPRODUCT(--(L$10:L$609&lt;L445))+1,""))</f>
        <v/>
      </c>
      <c r="N445" t="str">
        <f>IFERROR(INDEX(tblY10[Class],ROWS(N$10:N445))&amp;"","")</f>
        <v/>
      </c>
      <c r="O445" t="str">
        <f>IF(N445="","",IF(SUMPRODUCT(--(N$10:N445=N445))=1,SUMPRODUCT(--(N$10:N$609&lt;N445))+1,""))</f>
        <v/>
      </c>
      <c r="P445" t="str">
        <f>IFERROR(INDEX(tblY11[Class],ROWS(P$10:P445))&amp;"","")</f>
        <v/>
      </c>
      <c r="Q445" t="str">
        <f>IF(P445="","",IF(SUMPRODUCT(--(P$10:P445=P445))=1,SUMPRODUCT(--(P$10:P$609&lt;P445))+1,""))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IFERROR(INDEX(tblY7[Class],ROWS(H$10:H446))&amp;"","")</f>
        <v/>
      </c>
      <c r="I446" t="str">
        <f>IF(H446="","",IF(SUMPRODUCT(--(H$10:H446=H446))=1,SUMPRODUCT(--(H$10:H$609&lt;H446))+1,""))</f>
        <v/>
      </c>
      <c r="J446" t="str">
        <f>IFERROR(INDEX(tblY8[Class],ROWS(J$10:J446))&amp;"","")</f>
        <v/>
      </c>
      <c r="K446" t="str">
        <f>IF(J446="","",IF(SUMPRODUCT(--(J$10:J446=J446))=1,SUMPRODUCT(--(J$10:J$609&lt;J446))+1,""))</f>
        <v/>
      </c>
      <c r="L446" t="str">
        <f>IFERROR(INDEX(tblY9[Class],ROWS(L$10:L446))&amp;"","")</f>
        <v/>
      </c>
      <c r="M446" t="str">
        <f>IF(L446="","",IF(SUMPRODUCT(--(L$10:L446=L446))=1,SUMPRODUCT(--(L$10:L$609&lt;L446))+1,""))</f>
        <v/>
      </c>
      <c r="N446" t="str">
        <f>IFERROR(INDEX(tblY10[Class],ROWS(N$10:N446))&amp;"","")</f>
        <v/>
      </c>
      <c r="O446" t="str">
        <f>IF(N446="","",IF(SUMPRODUCT(--(N$10:N446=N446))=1,SUMPRODUCT(--(N$10:N$609&lt;N446))+1,""))</f>
        <v/>
      </c>
      <c r="P446" t="str">
        <f>IFERROR(INDEX(tblY11[Class],ROWS(P$10:P446))&amp;"","")</f>
        <v/>
      </c>
      <c r="Q446" t="str">
        <f>IF(P446="","",IF(SUMPRODUCT(--(P$10:P446=P446))=1,SUMPRODUCT(--(P$10:P$609&lt;P446))+1,""))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IFERROR(INDEX(tblY7[Class],ROWS(H$10:H447))&amp;"","")</f>
        <v/>
      </c>
      <c r="I447" t="str">
        <f>IF(H447="","",IF(SUMPRODUCT(--(H$10:H447=H447))=1,SUMPRODUCT(--(H$10:H$609&lt;H447))+1,""))</f>
        <v/>
      </c>
      <c r="J447" t="str">
        <f>IFERROR(INDEX(tblY8[Class],ROWS(J$10:J447))&amp;"","")</f>
        <v/>
      </c>
      <c r="K447" t="str">
        <f>IF(J447="","",IF(SUMPRODUCT(--(J$10:J447=J447))=1,SUMPRODUCT(--(J$10:J$609&lt;J447))+1,""))</f>
        <v/>
      </c>
      <c r="L447" t="str">
        <f>IFERROR(INDEX(tblY9[Class],ROWS(L$10:L447))&amp;"","")</f>
        <v/>
      </c>
      <c r="M447" t="str">
        <f>IF(L447="","",IF(SUMPRODUCT(--(L$10:L447=L447))=1,SUMPRODUCT(--(L$10:L$609&lt;L447))+1,""))</f>
        <v/>
      </c>
      <c r="N447" t="str">
        <f>IFERROR(INDEX(tblY10[Class],ROWS(N$10:N447))&amp;"","")</f>
        <v/>
      </c>
      <c r="O447" t="str">
        <f>IF(N447="","",IF(SUMPRODUCT(--(N$10:N447=N447))=1,SUMPRODUCT(--(N$10:N$609&lt;N447))+1,""))</f>
        <v/>
      </c>
      <c r="P447" t="str">
        <f>IFERROR(INDEX(tblY11[Class],ROWS(P$10:P447))&amp;"","")</f>
        <v/>
      </c>
      <c r="Q447" t="str">
        <f>IF(P447="","",IF(SUMPRODUCT(--(P$10:P447=P447))=1,SUMPRODUCT(--(P$10:P$609&lt;P447))+1,""))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IFERROR(INDEX(tblY7[Class],ROWS(H$10:H448))&amp;"","")</f>
        <v/>
      </c>
      <c r="I448" t="str">
        <f>IF(H448="","",IF(SUMPRODUCT(--(H$10:H448=H448))=1,SUMPRODUCT(--(H$10:H$609&lt;H448))+1,""))</f>
        <v/>
      </c>
      <c r="J448" t="str">
        <f>IFERROR(INDEX(tblY8[Class],ROWS(J$10:J448))&amp;"","")</f>
        <v/>
      </c>
      <c r="K448" t="str">
        <f>IF(J448="","",IF(SUMPRODUCT(--(J$10:J448=J448))=1,SUMPRODUCT(--(J$10:J$609&lt;J448))+1,""))</f>
        <v/>
      </c>
      <c r="L448" t="str">
        <f>IFERROR(INDEX(tblY9[Class],ROWS(L$10:L448))&amp;"","")</f>
        <v/>
      </c>
      <c r="M448" t="str">
        <f>IF(L448="","",IF(SUMPRODUCT(--(L$10:L448=L448))=1,SUMPRODUCT(--(L$10:L$609&lt;L448))+1,""))</f>
        <v/>
      </c>
      <c r="N448" t="str">
        <f>IFERROR(INDEX(tblY10[Class],ROWS(N$10:N448))&amp;"","")</f>
        <v/>
      </c>
      <c r="O448" t="str">
        <f>IF(N448="","",IF(SUMPRODUCT(--(N$10:N448=N448))=1,SUMPRODUCT(--(N$10:N$609&lt;N448))+1,""))</f>
        <v/>
      </c>
      <c r="P448" t="str">
        <f>IFERROR(INDEX(tblY11[Class],ROWS(P$10:P448))&amp;"","")</f>
        <v/>
      </c>
      <c r="Q448" t="str">
        <f>IF(P448="","",IF(SUMPRODUCT(--(P$10:P448=P448))=1,SUMPRODUCT(--(P$10:P$609&lt;P448))+1,""))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IFERROR(INDEX(tblY7[Class],ROWS(H$10:H449))&amp;"","")</f>
        <v/>
      </c>
      <c r="I449" t="str">
        <f>IF(H449="","",IF(SUMPRODUCT(--(H$10:H449=H449))=1,SUMPRODUCT(--(H$10:H$609&lt;H449))+1,""))</f>
        <v/>
      </c>
      <c r="J449" t="str">
        <f>IFERROR(INDEX(tblY8[Class],ROWS(J$10:J449))&amp;"","")</f>
        <v/>
      </c>
      <c r="K449" t="str">
        <f>IF(J449="","",IF(SUMPRODUCT(--(J$10:J449=J449))=1,SUMPRODUCT(--(J$10:J$609&lt;J449))+1,""))</f>
        <v/>
      </c>
      <c r="L449" t="str">
        <f>IFERROR(INDEX(tblY9[Class],ROWS(L$10:L449))&amp;"","")</f>
        <v/>
      </c>
      <c r="M449" t="str">
        <f>IF(L449="","",IF(SUMPRODUCT(--(L$10:L449=L449))=1,SUMPRODUCT(--(L$10:L$609&lt;L449))+1,""))</f>
        <v/>
      </c>
      <c r="N449" t="str">
        <f>IFERROR(INDEX(tblY10[Class],ROWS(N$10:N449))&amp;"","")</f>
        <v/>
      </c>
      <c r="O449" t="str">
        <f>IF(N449="","",IF(SUMPRODUCT(--(N$10:N449=N449))=1,SUMPRODUCT(--(N$10:N$609&lt;N449))+1,""))</f>
        <v/>
      </c>
      <c r="P449" t="str">
        <f>IFERROR(INDEX(tblY11[Class],ROWS(P$10:P449))&amp;"","")</f>
        <v/>
      </c>
      <c r="Q449" t="str">
        <f>IF(P449="","",IF(SUMPRODUCT(--(P$10:P449=P449))=1,SUMPRODUCT(--(P$10:P$609&lt;P449))+1,""))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IFERROR(INDEX(tblY7[Class],ROWS(H$10:H450))&amp;"","")</f>
        <v/>
      </c>
      <c r="I450" t="str">
        <f>IF(H450="","",IF(SUMPRODUCT(--(H$10:H450=H450))=1,SUMPRODUCT(--(H$10:H$609&lt;H450))+1,""))</f>
        <v/>
      </c>
      <c r="J450" t="str">
        <f>IFERROR(INDEX(tblY8[Class],ROWS(J$10:J450))&amp;"","")</f>
        <v/>
      </c>
      <c r="K450" t="str">
        <f>IF(J450="","",IF(SUMPRODUCT(--(J$10:J450=J450))=1,SUMPRODUCT(--(J$10:J$609&lt;J450))+1,""))</f>
        <v/>
      </c>
      <c r="L450" t="str">
        <f>IFERROR(INDEX(tblY9[Class],ROWS(L$10:L450))&amp;"","")</f>
        <v/>
      </c>
      <c r="M450" t="str">
        <f>IF(L450="","",IF(SUMPRODUCT(--(L$10:L450=L450))=1,SUMPRODUCT(--(L$10:L$609&lt;L450))+1,""))</f>
        <v/>
      </c>
      <c r="N450" t="str">
        <f>IFERROR(INDEX(tblY10[Class],ROWS(N$10:N450))&amp;"","")</f>
        <v/>
      </c>
      <c r="O450" t="str">
        <f>IF(N450="","",IF(SUMPRODUCT(--(N$10:N450=N450))=1,SUMPRODUCT(--(N$10:N$609&lt;N450))+1,""))</f>
        <v/>
      </c>
      <c r="P450" t="str">
        <f>IFERROR(INDEX(tblY11[Class],ROWS(P$10:P450))&amp;"","")</f>
        <v/>
      </c>
      <c r="Q450" t="str">
        <f>IF(P450="","",IF(SUMPRODUCT(--(P$10:P450=P450))=1,SUMPRODUCT(--(P$10:P$609&lt;P450))+1,""))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IFERROR(INDEX(tblY7[Class],ROWS(H$10:H451))&amp;"","")</f>
        <v/>
      </c>
      <c r="I451" t="str">
        <f>IF(H451="","",IF(SUMPRODUCT(--(H$10:H451=H451))=1,SUMPRODUCT(--(H$10:H$609&lt;H451))+1,""))</f>
        <v/>
      </c>
      <c r="J451" t="str">
        <f>IFERROR(INDEX(tblY8[Class],ROWS(J$10:J451))&amp;"","")</f>
        <v/>
      </c>
      <c r="K451" t="str">
        <f>IF(J451="","",IF(SUMPRODUCT(--(J$10:J451=J451))=1,SUMPRODUCT(--(J$10:J$609&lt;J451))+1,""))</f>
        <v/>
      </c>
      <c r="L451" t="str">
        <f>IFERROR(INDEX(tblY9[Class],ROWS(L$10:L451))&amp;"","")</f>
        <v/>
      </c>
      <c r="M451" t="str">
        <f>IF(L451="","",IF(SUMPRODUCT(--(L$10:L451=L451))=1,SUMPRODUCT(--(L$10:L$609&lt;L451))+1,""))</f>
        <v/>
      </c>
      <c r="N451" t="str">
        <f>IFERROR(INDEX(tblY10[Class],ROWS(N$10:N451))&amp;"","")</f>
        <v/>
      </c>
      <c r="O451" t="str">
        <f>IF(N451="","",IF(SUMPRODUCT(--(N$10:N451=N451))=1,SUMPRODUCT(--(N$10:N$609&lt;N451))+1,""))</f>
        <v/>
      </c>
      <c r="P451" t="str">
        <f>IFERROR(INDEX(tblY11[Class],ROWS(P$10:P451))&amp;"","")</f>
        <v/>
      </c>
      <c r="Q451" t="str">
        <f>IF(P451="","",IF(SUMPRODUCT(--(P$10:P451=P451))=1,SUMPRODUCT(--(P$10:P$609&lt;P451))+1,""))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IFERROR(INDEX(tblY7[Class],ROWS(H$10:H452))&amp;"","")</f>
        <v/>
      </c>
      <c r="I452" t="str">
        <f>IF(H452="","",IF(SUMPRODUCT(--(H$10:H452=H452))=1,SUMPRODUCT(--(H$10:H$609&lt;H452))+1,""))</f>
        <v/>
      </c>
      <c r="J452" t="str">
        <f>IFERROR(INDEX(tblY8[Class],ROWS(J$10:J452))&amp;"","")</f>
        <v/>
      </c>
      <c r="K452" t="str">
        <f>IF(J452="","",IF(SUMPRODUCT(--(J$10:J452=J452))=1,SUMPRODUCT(--(J$10:J$609&lt;J452))+1,""))</f>
        <v/>
      </c>
      <c r="L452" t="str">
        <f>IFERROR(INDEX(tblY9[Class],ROWS(L$10:L452))&amp;"","")</f>
        <v/>
      </c>
      <c r="M452" t="str">
        <f>IF(L452="","",IF(SUMPRODUCT(--(L$10:L452=L452))=1,SUMPRODUCT(--(L$10:L$609&lt;L452))+1,""))</f>
        <v/>
      </c>
      <c r="N452" t="str">
        <f>IFERROR(INDEX(tblY10[Class],ROWS(N$10:N452))&amp;"","")</f>
        <v/>
      </c>
      <c r="O452" t="str">
        <f>IF(N452="","",IF(SUMPRODUCT(--(N$10:N452=N452))=1,SUMPRODUCT(--(N$10:N$609&lt;N452))+1,""))</f>
        <v/>
      </c>
      <c r="P452" t="str">
        <f>IFERROR(INDEX(tblY11[Class],ROWS(P$10:P452))&amp;"","")</f>
        <v/>
      </c>
      <c r="Q452" t="str">
        <f>IF(P452="","",IF(SUMPRODUCT(--(P$10:P452=P452))=1,SUMPRODUCT(--(P$10:P$609&lt;P452))+1,""))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IFERROR(INDEX(tblY7[Class],ROWS(H$10:H453))&amp;"","")</f>
        <v/>
      </c>
      <c r="I453" t="str">
        <f>IF(H453="","",IF(SUMPRODUCT(--(H$10:H453=H453))=1,SUMPRODUCT(--(H$10:H$609&lt;H453))+1,""))</f>
        <v/>
      </c>
      <c r="J453" t="str">
        <f>IFERROR(INDEX(tblY8[Class],ROWS(J$10:J453))&amp;"","")</f>
        <v/>
      </c>
      <c r="K453" t="str">
        <f>IF(J453="","",IF(SUMPRODUCT(--(J$10:J453=J453))=1,SUMPRODUCT(--(J$10:J$609&lt;J453))+1,""))</f>
        <v/>
      </c>
      <c r="L453" t="str">
        <f>IFERROR(INDEX(tblY9[Class],ROWS(L$10:L453))&amp;"","")</f>
        <v/>
      </c>
      <c r="M453" t="str">
        <f>IF(L453="","",IF(SUMPRODUCT(--(L$10:L453=L453))=1,SUMPRODUCT(--(L$10:L$609&lt;L453))+1,""))</f>
        <v/>
      </c>
      <c r="N453" t="str">
        <f>IFERROR(INDEX(tblY10[Class],ROWS(N$10:N453))&amp;"","")</f>
        <v/>
      </c>
      <c r="O453" t="str">
        <f>IF(N453="","",IF(SUMPRODUCT(--(N$10:N453=N453))=1,SUMPRODUCT(--(N$10:N$609&lt;N453))+1,""))</f>
        <v/>
      </c>
      <c r="P453" t="str">
        <f>IFERROR(INDEX(tblY11[Class],ROWS(P$10:P453))&amp;"","")</f>
        <v/>
      </c>
      <c r="Q453" t="str">
        <f>IF(P453="","",IF(SUMPRODUCT(--(P$10:P453=P453))=1,SUMPRODUCT(--(P$10:P$609&lt;P453))+1,""))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IFERROR(INDEX(tblY7[Class],ROWS(H$10:H454))&amp;"","")</f>
        <v/>
      </c>
      <c r="I454" t="str">
        <f>IF(H454="","",IF(SUMPRODUCT(--(H$10:H454=H454))=1,SUMPRODUCT(--(H$10:H$609&lt;H454))+1,""))</f>
        <v/>
      </c>
      <c r="J454" t="str">
        <f>IFERROR(INDEX(tblY8[Class],ROWS(J$10:J454))&amp;"","")</f>
        <v/>
      </c>
      <c r="K454" t="str">
        <f>IF(J454="","",IF(SUMPRODUCT(--(J$10:J454=J454))=1,SUMPRODUCT(--(J$10:J$609&lt;J454))+1,""))</f>
        <v/>
      </c>
      <c r="L454" t="str">
        <f>IFERROR(INDEX(tblY9[Class],ROWS(L$10:L454))&amp;"","")</f>
        <v/>
      </c>
      <c r="M454" t="str">
        <f>IF(L454="","",IF(SUMPRODUCT(--(L$10:L454=L454))=1,SUMPRODUCT(--(L$10:L$609&lt;L454))+1,""))</f>
        <v/>
      </c>
      <c r="N454" t="str">
        <f>IFERROR(INDEX(tblY10[Class],ROWS(N$10:N454))&amp;"","")</f>
        <v/>
      </c>
      <c r="O454" t="str">
        <f>IF(N454="","",IF(SUMPRODUCT(--(N$10:N454=N454))=1,SUMPRODUCT(--(N$10:N$609&lt;N454))+1,""))</f>
        <v/>
      </c>
      <c r="P454" t="str">
        <f>IFERROR(INDEX(tblY11[Class],ROWS(P$10:P454))&amp;"","")</f>
        <v/>
      </c>
      <c r="Q454" t="str">
        <f>IF(P454="","",IF(SUMPRODUCT(--(P$10:P454=P454))=1,SUMPRODUCT(--(P$10:P$609&lt;P454))+1,""))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IFERROR(INDEX(tblY7[Class],ROWS(H$10:H455))&amp;"","")</f>
        <v/>
      </c>
      <c r="I455" t="str">
        <f>IF(H455="","",IF(SUMPRODUCT(--(H$10:H455=H455))=1,SUMPRODUCT(--(H$10:H$609&lt;H455))+1,""))</f>
        <v/>
      </c>
      <c r="J455" t="str">
        <f>IFERROR(INDEX(tblY8[Class],ROWS(J$10:J455))&amp;"","")</f>
        <v/>
      </c>
      <c r="K455" t="str">
        <f>IF(J455="","",IF(SUMPRODUCT(--(J$10:J455=J455))=1,SUMPRODUCT(--(J$10:J$609&lt;J455))+1,""))</f>
        <v/>
      </c>
      <c r="L455" t="str">
        <f>IFERROR(INDEX(tblY9[Class],ROWS(L$10:L455))&amp;"","")</f>
        <v/>
      </c>
      <c r="M455" t="str">
        <f>IF(L455="","",IF(SUMPRODUCT(--(L$10:L455=L455))=1,SUMPRODUCT(--(L$10:L$609&lt;L455))+1,""))</f>
        <v/>
      </c>
      <c r="N455" t="str">
        <f>IFERROR(INDEX(tblY10[Class],ROWS(N$10:N455))&amp;"","")</f>
        <v/>
      </c>
      <c r="O455" t="str">
        <f>IF(N455="","",IF(SUMPRODUCT(--(N$10:N455=N455))=1,SUMPRODUCT(--(N$10:N$609&lt;N455))+1,""))</f>
        <v/>
      </c>
      <c r="P455" t="str">
        <f>IFERROR(INDEX(tblY11[Class],ROWS(P$10:P455))&amp;"","")</f>
        <v/>
      </c>
      <c r="Q455" t="str">
        <f>IF(P455="","",IF(SUMPRODUCT(--(P$10:P455=P455))=1,SUMPRODUCT(--(P$10:P$609&lt;P455))+1,""))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IFERROR(INDEX(tblY7[Class],ROWS(H$10:H456))&amp;"","")</f>
        <v/>
      </c>
      <c r="I456" t="str">
        <f>IF(H456="","",IF(SUMPRODUCT(--(H$10:H456=H456))=1,SUMPRODUCT(--(H$10:H$609&lt;H456))+1,""))</f>
        <v/>
      </c>
      <c r="J456" t="str">
        <f>IFERROR(INDEX(tblY8[Class],ROWS(J$10:J456))&amp;"","")</f>
        <v/>
      </c>
      <c r="K456" t="str">
        <f>IF(J456="","",IF(SUMPRODUCT(--(J$10:J456=J456))=1,SUMPRODUCT(--(J$10:J$609&lt;J456))+1,""))</f>
        <v/>
      </c>
      <c r="L456" t="str">
        <f>IFERROR(INDEX(tblY9[Class],ROWS(L$10:L456))&amp;"","")</f>
        <v/>
      </c>
      <c r="M456" t="str">
        <f>IF(L456="","",IF(SUMPRODUCT(--(L$10:L456=L456))=1,SUMPRODUCT(--(L$10:L$609&lt;L456))+1,""))</f>
        <v/>
      </c>
      <c r="N456" t="str">
        <f>IFERROR(INDEX(tblY10[Class],ROWS(N$10:N456))&amp;"","")</f>
        <v/>
      </c>
      <c r="O456" t="str">
        <f>IF(N456="","",IF(SUMPRODUCT(--(N$10:N456=N456))=1,SUMPRODUCT(--(N$10:N$609&lt;N456))+1,""))</f>
        <v/>
      </c>
      <c r="P456" t="str">
        <f>IFERROR(INDEX(tblY11[Class],ROWS(P$10:P456))&amp;"","")</f>
        <v/>
      </c>
      <c r="Q456" t="str">
        <f>IF(P456="","",IF(SUMPRODUCT(--(P$10:P456=P456))=1,SUMPRODUCT(--(P$10:P$609&lt;P456))+1,""))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IFERROR(INDEX(tblY7[Class],ROWS(H$10:H457))&amp;"","")</f>
        <v/>
      </c>
      <c r="I457" t="str">
        <f>IF(H457="","",IF(SUMPRODUCT(--(H$10:H457=H457))=1,SUMPRODUCT(--(H$10:H$609&lt;H457))+1,""))</f>
        <v/>
      </c>
      <c r="J457" t="str">
        <f>IFERROR(INDEX(tblY8[Class],ROWS(J$10:J457))&amp;"","")</f>
        <v/>
      </c>
      <c r="K457" t="str">
        <f>IF(J457="","",IF(SUMPRODUCT(--(J$10:J457=J457))=1,SUMPRODUCT(--(J$10:J$609&lt;J457))+1,""))</f>
        <v/>
      </c>
      <c r="L457" t="str">
        <f>IFERROR(INDEX(tblY9[Class],ROWS(L$10:L457))&amp;"","")</f>
        <v/>
      </c>
      <c r="M457" t="str">
        <f>IF(L457="","",IF(SUMPRODUCT(--(L$10:L457=L457))=1,SUMPRODUCT(--(L$10:L$609&lt;L457))+1,""))</f>
        <v/>
      </c>
      <c r="N457" t="str">
        <f>IFERROR(INDEX(tblY10[Class],ROWS(N$10:N457))&amp;"","")</f>
        <v/>
      </c>
      <c r="O457" t="str">
        <f>IF(N457="","",IF(SUMPRODUCT(--(N$10:N457=N457))=1,SUMPRODUCT(--(N$10:N$609&lt;N457))+1,""))</f>
        <v/>
      </c>
      <c r="P457" t="str">
        <f>IFERROR(INDEX(tblY11[Class],ROWS(P$10:P457))&amp;"","")</f>
        <v/>
      </c>
      <c r="Q457" t="str">
        <f>IF(P457="","",IF(SUMPRODUCT(--(P$10:P457=P457))=1,SUMPRODUCT(--(P$10:P$609&lt;P457))+1,""))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IFERROR(INDEX(tblY7[Class],ROWS(H$10:H458))&amp;"","")</f>
        <v/>
      </c>
      <c r="I458" t="str">
        <f>IF(H458="","",IF(SUMPRODUCT(--(H$10:H458=H458))=1,SUMPRODUCT(--(H$10:H$609&lt;H458))+1,""))</f>
        <v/>
      </c>
      <c r="J458" t="str">
        <f>IFERROR(INDEX(tblY8[Class],ROWS(J$10:J458))&amp;"","")</f>
        <v/>
      </c>
      <c r="K458" t="str">
        <f>IF(J458="","",IF(SUMPRODUCT(--(J$10:J458=J458))=1,SUMPRODUCT(--(J$10:J$609&lt;J458))+1,""))</f>
        <v/>
      </c>
      <c r="L458" t="str">
        <f>IFERROR(INDEX(tblY9[Class],ROWS(L$10:L458))&amp;"","")</f>
        <v/>
      </c>
      <c r="M458" t="str">
        <f>IF(L458="","",IF(SUMPRODUCT(--(L$10:L458=L458))=1,SUMPRODUCT(--(L$10:L$609&lt;L458))+1,""))</f>
        <v/>
      </c>
      <c r="N458" t="str">
        <f>IFERROR(INDEX(tblY10[Class],ROWS(N$10:N458))&amp;"","")</f>
        <v/>
      </c>
      <c r="O458" t="str">
        <f>IF(N458="","",IF(SUMPRODUCT(--(N$10:N458=N458))=1,SUMPRODUCT(--(N$10:N$609&lt;N458))+1,""))</f>
        <v/>
      </c>
      <c r="P458" t="str">
        <f>IFERROR(INDEX(tblY11[Class],ROWS(P$10:P458))&amp;"","")</f>
        <v/>
      </c>
      <c r="Q458" t="str">
        <f>IF(P458="","",IF(SUMPRODUCT(--(P$10:P458=P458))=1,SUMPRODUCT(--(P$10:P$609&lt;P458))+1,""))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IFERROR(INDEX(tblY7[Class],ROWS(H$10:H459))&amp;"","")</f>
        <v/>
      </c>
      <c r="I459" t="str">
        <f>IF(H459="","",IF(SUMPRODUCT(--(H$10:H459=H459))=1,SUMPRODUCT(--(H$10:H$609&lt;H459))+1,""))</f>
        <v/>
      </c>
      <c r="J459" t="str">
        <f>IFERROR(INDEX(tblY8[Class],ROWS(J$10:J459))&amp;"","")</f>
        <v/>
      </c>
      <c r="K459" t="str">
        <f>IF(J459="","",IF(SUMPRODUCT(--(J$10:J459=J459))=1,SUMPRODUCT(--(J$10:J$609&lt;J459))+1,""))</f>
        <v/>
      </c>
      <c r="L459" t="str">
        <f>IFERROR(INDEX(tblY9[Class],ROWS(L$10:L459))&amp;"","")</f>
        <v/>
      </c>
      <c r="M459" t="str">
        <f>IF(L459="","",IF(SUMPRODUCT(--(L$10:L459=L459))=1,SUMPRODUCT(--(L$10:L$609&lt;L459))+1,""))</f>
        <v/>
      </c>
      <c r="N459" t="str">
        <f>IFERROR(INDEX(tblY10[Class],ROWS(N$10:N459))&amp;"","")</f>
        <v/>
      </c>
      <c r="O459" t="str">
        <f>IF(N459="","",IF(SUMPRODUCT(--(N$10:N459=N459))=1,SUMPRODUCT(--(N$10:N$609&lt;N459))+1,""))</f>
        <v/>
      </c>
      <c r="P459" t="str">
        <f>IFERROR(INDEX(tblY11[Class],ROWS(P$10:P459))&amp;"","")</f>
        <v/>
      </c>
      <c r="Q459" t="str">
        <f>IF(P459="","",IF(SUMPRODUCT(--(P$10:P459=P459))=1,SUMPRODUCT(--(P$10:P$609&lt;P459))+1,""))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IFERROR(INDEX(tblY7[Class],ROWS(H$10:H460))&amp;"","")</f>
        <v/>
      </c>
      <c r="I460" t="str">
        <f>IF(H460="","",IF(SUMPRODUCT(--(H$10:H460=H460))=1,SUMPRODUCT(--(H$10:H$609&lt;H460))+1,""))</f>
        <v/>
      </c>
      <c r="J460" t="str">
        <f>IFERROR(INDEX(tblY8[Class],ROWS(J$10:J460))&amp;"","")</f>
        <v/>
      </c>
      <c r="K460" t="str">
        <f>IF(J460="","",IF(SUMPRODUCT(--(J$10:J460=J460))=1,SUMPRODUCT(--(J$10:J$609&lt;J460))+1,""))</f>
        <v/>
      </c>
      <c r="L460" t="str">
        <f>IFERROR(INDEX(tblY9[Class],ROWS(L$10:L460))&amp;"","")</f>
        <v/>
      </c>
      <c r="M460" t="str">
        <f>IF(L460="","",IF(SUMPRODUCT(--(L$10:L460=L460))=1,SUMPRODUCT(--(L$10:L$609&lt;L460))+1,""))</f>
        <v/>
      </c>
      <c r="N460" t="str">
        <f>IFERROR(INDEX(tblY10[Class],ROWS(N$10:N460))&amp;"","")</f>
        <v/>
      </c>
      <c r="O460" t="str">
        <f>IF(N460="","",IF(SUMPRODUCT(--(N$10:N460=N460))=1,SUMPRODUCT(--(N$10:N$609&lt;N460))+1,""))</f>
        <v/>
      </c>
      <c r="P460" t="str">
        <f>IFERROR(INDEX(tblY11[Class],ROWS(P$10:P460))&amp;"","")</f>
        <v/>
      </c>
      <c r="Q460" t="str">
        <f>IF(P460="","",IF(SUMPRODUCT(--(P$10:P460=P460))=1,SUMPRODUCT(--(P$10:P$609&lt;P460))+1,""))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IFERROR(INDEX(tblY7[Class],ROWS(H$10:H461))&amp;"","")</f>
        <v/>
      </c>
      <c r="I461" t="str">
        <f>IF(H461="","",IF(SUMPRODUCT(--(H$10:H461=H461))=1,SUMPRODUCT(--(H$10:H$609&lt;H461))+1,""))</f>
        <v/>
      </c>
      <c r="J461" t="str">
        <f>IFERROR(INDEX(tblY8[Class],ROWS(J$10:J461))&amp;"","")</f>
        <v/>
      </c>
      <c r="K461" t="str">
        <f>IF(J461="","",IF(SUMPRODUCT(--(J$10:J461=J461))=1,SUMPRODUCT(--(J$10:J$609&lt;J461))+1,""))</f>
        <v/>
      </c>
      <c r="L461" t="str">
        <f>IFERROR(INDEX(tblY9[Class],ROWS(L$10:L461))&amp;"","")</f>
        <v/>
      </c>
      <c r="M461" t="str">
        <f>IF(L461="","",IF(SUMPRODUCT(--(L$10:L461=L461))=1,SUMPRODUCT(--(L$10:L$609&lt;L461))+1,""))</f>
        <v/>
      </c>
      <c r="N461" t="str">
        <f>IFERROR(INDEX(tblY10[Class],ROWS(N$10:N461))&amp;"","")</f>
        <v/>
      </c>
      <c r="O461" t="str">
        <f>IF(N461="","",IF(SUMPRODUCT(--(N$10:N461=N461))=1,SUMPRODUCT(--(N$10:N$609&lt;N461))+1,""))</f>
        <v/>
      </c>
      <c r="P461" t="str">
        <f>IFERROR(INDEX(tblY11[Class],ROWS(P$10:P461))&amp;"","")</f>
        <v/>
      </c>
      <c r="Q461" t="str">
        <f>IF(P461="","",IF(SUMPRODUCT(--(P$10:P461=P461))=1,SUMPRODUCT(--(P$10:P$609&lt;P461))+1,""))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IFERROR(INDEX(tblY7[Class],ROWS(H$10:H462))&amp;"","")</f>
        <v/>
      </c>
      <c r="I462" t="str">
        <f>IF(H462="","",IF(SUMPRODUCT(--(H$10:H462=H462))=1,SUMPRODUCT(--(H$10:H$609&lt;H462))+1,""))</f>
        <v/>
      </c>
      <c r="J462" t="str">
        <f>IFERROR(INDEX(tblY8[Class],ROWS(J$10:J462))&amp;"","")</f>
        <v/>
      </c>
      <c r="K462" t="str">
        <f>IF(J462="","",IF(SUMPRODUCT(--(J$10:J462=J462))=1,SUMPRODUCT(--(J$10:J$609&lt;J462))+1,""))</f>
        <v/>
      </c>
      <c r="L462" t="str">
        <f>IFERROR(INDEX(tblY9[Class],ROWS(L$10:L462))&amp;"","")</f>
        <v/>
      </c>
      <c r="M462" t="str">
        <f>IF(L462="","",IF(SUMPRODUCT(--(L$10:L462=L462))=1,SUMPRODUCT(--(L$10:L$609&lt;L462))+1,""))</f>
        <v/>
      </c>
      <c r="N462" t="str">
        <f>IFERROR(INDEX(tblY10[Class],ROWS(N$10:N462))&amp;"","")</f>
        <v/>
      </c>
      <c r="O462" t="str">
        <f>IF(N462="","",IF(SUMPRODUCT(--(N$10:N462=N462))=1,SUMPRODUCT(--(N$10:N$609&lt;N462))+1,""))</f>
        <v/>
      </c>
      <c r="P462" t="str">
        <f>IFERROR(INDEX(tblY11[Class],ROWS(P$10:P462))&amp;"","")</f>
        <v/>
      </c>
      <c r="Q462" t="str">
        <f>IF(P462="","",IF(SUMPRODUCT(--(P$10:P462=P462))=1,SUMPRODUCT(--(P$10:P$609&lt;P462))+1,""))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IFERROR(INDEX(tblY7[Class],ROWS(H$10:H463))&amp;"","")</f>
        <v/>
      </c>
      <c r="I463" t="str">
        <f>IF(H463="","",IF(SUMPRODUCT(--(H$10:H463=H463))=1,SUMPRODUCT(--(H$10:H$609&lt;H463))+1,""))</f>
        <v/>
      </c>
      <c r="J463" t="str">
        <f>IFERROR(INDEX(tblY8[Class],ROWS(J$10:J463))&amp;"","")</f>
        <v/>
      </c>
      <c r="K463" t="str">
        <f>IF(J463="","",IF(SUMPRODUCT(--(J$10:J463=J463))=1,SUMPRODUCT(--(J$10:J$609&lt;J463))+1,""))</f>
        <v/>
      </c>
      <c r="L463" t="str">
        <f>IFERROR(INDEX(tblY9[Class],ROWS(L$10:L463))&amp;"","")</f>
        <v/>
      </c>
      <c r="M463" t="str">
        <f>IF(L463="","",IF(SUMPRODUCT(--(L$10:L463=L463))=1,SUMPRODUCT(--(L$10:L$609&lt;L463))+1,""))</f>
        <v/>
      </c>
      <c r="N463" t="str">
        <f>IFERROR(INDEX(tblY10[Class],ROWS(N$10:N463))&amp;"","")</f>
        <v/>
      </c>
      <c r="O463" t="str">
        <f>IF(N463="","",IF(SUMPRODUCT(--(N$10:N463=N463))=1,SUMPRODUCT(--(N$10:N$609&lt;N463))+1,""))</f>
        <v/>
      </c>
      <c r="P463" t="str">
        <f>IFERROR(INDEX(tblY11[Class],ROWS(P$10:P463))&amp;"","")</f>
        <v/>
      </c>
      <c r="Q463" t="str">
        <f>IF(P463="","",IF(SUMPRODUCT(--(P$10:P463=P463))=1,SUMPRODUCT(--(P$10:P$609&lt;P463))+1,""))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IFERROR(INDEX(tblY7[Class],ROWS(H$10:H464))&amp;"","")</f>
        <v/>
      </c>
      <c r="I464" t="str">
        <f>IF(H464="","",IF(SUMPRODUCT(--(H$10:H464=H464))=1,SUMPRODUCT(--(H$10:H$609&lt;H464))+1,""))</f>
        <v/>
      </c>
      <c r="J464" t="str">
        <f>IFERROR(INDEX(tblY8[Class],ROWS(J$10:J464))&amp;"","")</f>
        <v/>
      </c>
      <c r="K464" t="str">
        <f>IF(J464="","",IF(SUMPRODUCT(--(J$10:J464=J464))=1,SUMPRODUCT(--(J$10:J$609&lt;J464))+1,""))</f>
        <v/>
      </c>
      <c r="L464" t="str">
        <f>IFERROR(INDEX(tblY9[Class],ROWS(L$10:L464))&amp;"","")</f>
        <v/>
      </c>
      <c r="M464" t="str">
        <f>IF(L464="","",IF(SUMPRODUCT(--(L$10:L464=L464))=1,SUMPRODUCT(--(L$10:L$609&lt;L464))+1,""))</f>
        <v/>
      </c>
      <c r="N464" t="str">
        <f>IFERROR(INDEX(tblY10[Class],ROWS(N$10:N464))&amp;"","")</f>
        <v/>
      </c>
      <c r="O464" t="str">
        <f>IF(N464="","",IF(SUMPRODUCT(--(N$10:N464=N464))=1,SUMPRODUCT(--(N$10:N$609&lt;N464))+1,""))</f>
        <v/>
      </c>
      <c r="P464" t="str">
        <f>IFERROR(INDEX(tblY11[Class],ROWS(P$10:P464))&amp;"","")</f>
        <v/>
      </c>
      <c r="Q464" t="str">
        <f>IF(P464="","",IF(SUMPRODUCT(--(P$10:P464=P464))=1,SUMPRODUCT(--(P$10:P$609&lt;P464))+1,""))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IFERROR(INDEX(tblY7[Class],ROWS(H$10:H465))&amp;"","")</f>
        <v/>
      </c>
      <c r="I465" t="str">
        <f>IF(H465="","",IF(SUMPRODUCT(--(H$10:H465=H465))=1,SUMPRODUCT(--(H$10:H$609&lt;H465))+1,""))</f>
        <v/>
      </c>
      <c r="J465" t="str">
        <f>IFERROR(INDEX(tblY8[Class],ROWS(J$10:J465))&amp;"","")</f>
        <v/>
      </c>
      <c r="K465" t="str">
        <f>IF(J465="","",IF(SUMPRODUCT(--(J$10:J465=J465))=1,SUMPRODUCT(--(J$10:J$609&lt;J465))+1,""))</f>
        <v/>
      </c>
      <c r="L465" t="str">
        <f>IFERROR(INDEX(tblY9[Class],ROWS(L$10:L465))&amp;"","")</f>
        <v/>
      </c>
      <c r="M465" t="str">
        <f>IF(L465="","",IF(SUMPRODUCT(--(L$10:L465=L465))=1,SUMPRODUCT(--(L$10:L$609&lt;L465))+1,""))</f>
        <v/>
      </c>
      <c r="N465" t="str">
        <f>IFERROR(INDEX(tblY10[Class],ROWS(N$10:N465))&amp;"","")</f>
        <v/>
      </c>
      <c r="O465" t="str">
        <f>IF(N465="","",IF(SUMPRODUCT(--(N$10:N465=N465))=1,SUMPRODUCT(--(N$10:N$609&lt;N465))+1,""))</f>
        <v/>
      </c>
      <c r="P465" t="str">
        <f>IFERROR(INDEX(tblY11[Class],ROWS(P$10:P465))&amp;"","")</f>
        <v/>
      </c>
      <c r="Q465" t="str">
        <f>IF(P465="","",IF(SUMPRODUCT(--(P$10:P465=P465))=1,SUMPRODUCT(--(P$10:P$609&lt;P465))+1,""))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IFERROR(INDEX(tblY7[Class],ROWS(H$10:H466))&amp;"","")</f>
        <v/>
      </c>
      <c r="I466" t="str">
        <f>IF(H466="","",IF(SUMPRODUCT(--(H$10:H466=H466))=1,SUMPRODUCT(--(H$10:H$609&lt;H466))+1,""))</f>
        <v/>
      </c>
      <c r="J466" t="str">
        <f>IFERROR(INDEX(tblY8[Class],ROWS(J$10:J466))&amp;"","")</f>
        <v/>
      </c>
      <c r="K466" t="str">
        <f>IF(J466="","",IF(SUMPRODUCT(--(J$10:J466=J466))=1,SUMPRODUCT(--(J$10:J$609&lt;J466))+1,""))</f>
        <v/>
      </c>
      <c r="L466" t="str">
        <f>IFERROR(INDEX(tblY9[Class],ROWS(L$10:L466))&amp;"","")</f>
        <v/>
      </c>
      <c r="M466" t="str">
        <f>IF(L466="","",IF(SUMPRODUCT(--(L$10:L466=L466))=1,SUMPRODUCT(--(L$10:L$609&lt;L466))+1,""))</f>
        <v/>
      </c>
      <c r="N466" t="str">
        <f>IFERROR(INDEX(tblY10[Class],ROWS(N$10:N466))&amp;"","")</f>
        <v/>
      </c>
      <c r="O466" t="str">
        <f>IF(N466="","",IF(SUMPRODUCT(--(N$10:N466=N466))=1,SUMPRODUCT(--(N$10:N$609&lt;N466))+1,""))</f>
        <v/>
      </c>
      <c r="P466" t="str">
        <f>IFERROR(INDEX(tblY11[Class],ROWS(P$10:P466))&amp;"","")</f>
        <v/>
      </c>
      <c r="Q466" t="str">
        <f>IF(P466="","",IF(SUMPRODUCT(--(P$10:P466=P466))=1,SUMPRODUCT(--(P$10:P$609&lt;P466))+1,""))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IFERROR(INDEX(tblY7[Class],ROWS(H$10:H467))&amp;"","")</f>
        <v/>
      </c>
      <c r="I467" t="str">
        <f>IF(H467="","",IF(SUMPRODUCT(--(H$10:H467=H467))=1,SUMPRODUCT(--(H$10:H$609&lt;H467))+1,""))</f>
        <v/>
      </c>
      <c r="J467" t="str">
        <f>IFERROR(INDEX(tblY8[Class],ROWS(J$10:J467))&amp;"","")</f>
        <v/>
      </c>
      <c r="K467" t="str">
        <f>IF(J467="","",IF(SUMPRODUCT(--(J$10:J467=J467))=1,SUMPRODUCT(--(J$10:J$609&lt;J467))+1,""))</f>
        <v/>
      </c>
      <c r="L467" t="str">
        <f>IFERROR(INDEX(tblY9[Class],ROWS(L$10:L467))&amp;"","")</f>
        <v/>
      </c>
      <c r="M467" t="str">
        <f>IF(L467="","",IF(SUMPRODUCT(--(L$10:L467=L467))=1,SUMPRODUCT(--(L$10:L$609&lt;L467))+1,""))</f>
        <v/>
      </c>
      <c r="N467" t="str">
        <f>IFERROR(INDEX(tblY10[Class],ROWS(N$10:N467))&amp;"","")</f>
        <v/>
      </c>
      <c r="O467" t="str">
        <f>IF(N467="","",IF(SUMPRODUCT(--(N$10:N467=N467))=1,SUMPRODUCT(--(N$10:N$609&lt;N467))+1,""))</f>
        <v/>
      </c>
      <c r="P467" t="str">
        <f>IFERROR(INDEX(tblY11[Class],ROWS(P$10:P467))&amp;"","")</f>
        <v/>
      </c>
      <c r="Q467" t="str">
        <f>IF(P467="","",IF(SUMPRODUCT(--(P$10:P467=P467))=1,SUMPRODUCT(--(P$10:P$609&lt;P467))+1,""))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IFERROR(INDEX(tblY7[Class],ROWS(H$10:H468))&amp;"","")</f>
        <v/>
      </c>
      <c r="I468" t="str">
        <f>IF(H468="","",IF(SUMPRODUCT(--(H$10:H468=H468))=1,SUMPRODUCT(--(H$10:H$609&lt;H468))+1,""))</f>
        <v/>
      </c>
      <c r="J468" t="str">
        <f>IFERROR(INDEX(tblY8[Class],ROWS(J$10:J468))&amp;"","")</f>
        <v/>
      </c>
      <c r="K468" t="str">
        <f>IF(J468="","",IF(SUMPRODUCT(--(J$10:J468=J468))=1,SUMPRODUCT(--(J$10:J$609&lt;J468))+1,""))</f>
        <v/>
      </c>
      <c r="L468" t="str">
        <f>IFERROR(INDEX(tblY9[Class],ROWS(L$10:L468))&amp;"","")</f>
        <v/>
      </c>
      <c r="M468" t="str">
        <f>IF(L468="","",IF(SUMPRODUCT(--(L$10:L468=L468))=1,SUMPRODUCT(--(L$10:L$609&lt;L468))+1,""))</f>
        <v/>
      </c>
      <c r="N468" t="str">
        <f>IFERROR(INDEX(tblY10[Class],ROWS(N$10:N468))&amp;"","")</f>
        <v/>
      </c>
      <c r="O468" t="str">
        <f>IF(N468="","",IF(SUMPRODUCT(--(N$10:N468=N468))=1,SUMPRODUCT(--(N$10:N$609&lt;N468))+1,""))</f>
        <v/>
      </c>
      <c r="P468" t="str">
        <f>IFERROR(INDEX(tblY11[Class],ROWS(P$10:P468))&amp;"","")</f>
        <v/>
      </c>
      <c r="Q468" t="str">
        <f>IF(P468="","",IF(SUMPRODUCT(--(P$10:P468=P468))=1,SUMPRODUCT(--(P$10:P$609&lt;P468))+1,""))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IFERROR(INDEX(tblY7[Class],ROWS(H$10:H469))&amp;"","")</f>
        <v/>
      </c>
      <c r="I469" t="str">
        <f>IF(H469="","",IF(SUMPRODUCT(--(H$10:H469=H469))=1,SUMPRODUCT(--(H$10:H$609&lt;H469))+1,""))</f>
        <v/>
      </c>
      <c r="J469" t="str">
        <f>IFERROR(INDEX(tblY8[Class],ROWS(J$10:J469))&amp;"","")</f>
        <v/>
      </c>
      <c r="K469" t="str">
        <f>IF(J469="","",IF(SUMPRODUCT(--(J$10:J469=J469))=1,SUMPRODUCT(--(J$10:J$609&lt;J469))+1,""))</f>
        <v/>
      </c>
      <c r="L469" t="str">
        <f>IFERROR(INDEX(tblY9[Class],ROWS(L$10:L469))&amp;"","")</f>
        <v/>
      </c>
      <c r="M469" t="str">
        <f>IF(L469="","",IF(SUMPRODUCT(--(L$10:L469=L469))=1,SUMPRODUCT(--(L$10:L$609&lt;L469))+1,""))</f>
        <v/>
      </c>
      <c r="N469" t="str">
        <f>IFERROR(INDEX(tblY10[Class],ROWS(N$10:N469))&amp;"","")</f>
        <v/>
      </c>
      <c r="O469" t="str">
        <f>IF(N469="","",IF(SUMPRODUCT(--(N$10:N469=N469))=1,SUMPRODUCT(--(N$10:N$609&lt;N469))+1,""))</f>
        <v/>
      </c>
      <c r="P469" t="str">
        <f>IFERROR(INDEX(tblY11[Class],ROWS(P$10:P469))&amp;"","")</f>
        <v/>
      </c>
      <c r="Q469" t="str">
        <f>IF(P469="","",IF(SUMPRODUCT(--(P$10:P469=P469))=1,SUMPRODUCT(--(P$10:P$609&lt;P469))+1,""))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IFERROR(INDEX(tblY7[Class],ROWS(H$10:H470))&amp;"","")</f>
        <v/>
      </c>
      <c r="I470" t="str">
        <f>IF(H470="","",IF(SUMPRODUCT(--(H$10:H470=H470))=1,SUMPRODUCT(--(H$10:H$609&lt;H470))+1,""))</f>
        <v/>
      </c>
      <c r="J470" t="str">
        <f>IFERROR(INDEX(tblY8[Class],ROWS(J$10:J470))&amp;"","")</f>
        <v/>
      </c>
      <c r="K470" t="str">
        <f>IF(J470="","",IF(SUMPRODUCT(--(J$10:J470=J470))=1,SUMPRODUCT(--(J$10:J$609&lt;J470))+1,""))</f>
        <v/>
      </c>
      <c r="L470" t="str">
        <f>IFERROR(INDEX(tblY9[Class],ROWS(L$10:L470))&amp;"","")</f>
        <v/>
      </c>
      <c r="M470" t="str">
        <f>IF(L470="","",IF(SUMPRODUCT(--(L$10:L470=L470))=1,SUMPRODUCT(--(L$10:L$609&lt;L470))+1,""))</f>
        <v/>
      </c>
      <c r="N470" t="str">
        <f>IFERROR(INDEX(tblY10[Class],ROWS(N$10:N470))&amp;"","")</f>
        <v/>
      </c>
      <c r="O470" t="str">
        <f>IF(N470="","",IF(SUMPRODUCT(--(N$10:N470=N470))=1,SUMPRODUCT(--(N$10:N$609&lt;N470))+1,""))</f>
        <v/>
      </c>
      <c r="P470" t="str">
        <f>IFERROR(INDEX(tblY11[Class],ROWS(P$10:P470))&amp;"","")</f>
        <v/>
      </c>
      <c r="Q470" t="str">
        <f>IF(P470="","",IF(SUMPRODUCT(--(P$10:P470=P470))=1,SUMPRODUCT(--(P$10:P$609&lt;P470))+1,""))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IFERROR(INDEX(tblY7[Class],ROWS(H$10:H471))&amp;"","")</f>
        <v/>
      </c>
      <c r="I471" t="str">
        <f>IF(H471="","",IF(SUMPRODUCT(--(H$10:H471=H471))=1,SUMPRODUCT(--(H$10:H$609&lt;H471))+1,""))</f>
        <v/>
      </c>
      <c r="J471" t="str">
        <f>IFERROR(INDEX(tblY8[Class],ROWS(J$10:J471))&amp;"","")</f>
        <v/>
      </c>
      <c r="K471" t="str">
        <f>IF(J471="","",IF(SUMPRODUCT(--(J$10:J471=J471))=1,SUMPRODUCT(--(J$10:J$609&lt;J471))+1,""))</f>
        <v/>
      </c>
      <c r="L471" t="str">
        <f>IFERROR(INDEX(tblY9[Class],ROWS(L$10:L471))&amp;"","")</f>
        <v/>
      </c>
      <c r="M471" t="str">
        <f>IF(L471="","",IF(SUMPRODUCT(--(L$10:L471=L471))=1,SUMPRODUCT(--(L$10:L$609&lt;L471))+1,""))</f>
        <v/>
      </c>
      <c r="N471" t="str">
        <f>IFERROR(INDEX(tblY10[Class],ROWS(N$10:N471))&amp;"","")</f>
        <v/>
      </c>
      <c r="O471" t="str">
        <f>IF(N471="","",IF(SUMPRODUCT(--(N$10:N471=N471))=1,SUMPRODUCT(--(N$10:N$609&lt;N471))+1,""))</f>
        <v/>
      </c>
      <c r="P471" t="str">
        <f>IFERROR(INDEX(tblY11[Class],ROWS(P$10:P471))&amp;"","")</f>
        <v/>
      </c>
      <c r="Q471" t="str">
        <f>IF(P471="","",IF(SUMPRODUCT(--(P$10:P471=P471))=1,SUMPRODUCT(--(P$10:P$609&lt;P471))+1,""))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IFERROR(INDEX(tblY7[Class],ROWS(H$10:H472))&amp;"","")</f>
        <v/>
      </c>
      <c r="I472" t="str">
        <f>IF(H472="","",IF(SUMPRODUCT(--(H$10:H472=H472))=1,SUMPRODUCT(--(H$10:H$609&lt;H472))+1,""))</f>
        <v/>
      </c>
      <c r="J472" t="str">
        <f>IFERROR(INDEX(tblY8[Class],ROWS(J$10:J472))&amp;"","")</f>
        <v/>
      </c>
      <c r="K472" t="str">
        <f>IF(J472="","",IF(SUMPRODUCT(--(J$10:J472=J472))=1,SUMPRODUCT(--(J$10:J$609&lt;J472))+1,""))</f>
        <v/>
      </c>
      <c r="L472" t="str">
        <f>IFERROR(INDEX(tblY9[Class],ROWS(L$10:L472))&amp;"","")</f>
        <v/>
      </c>
      <c r="M472" t="str">
        <f>IF(L472="","",IF(SUMPRODUCT(--(L$10:L472=L472))=1,SUMPRODUCT(--(L$10:L$609&lt;L472))+1,""))</f>
        <v/>
      </c>
      <c r="N472" t="str">
        <f>IFERROR(INDEX(tblY10[Class],ROWS(N$10:N472))&amp;"","")</f>
        <v/>
      </c>
      <c r="O472" t="str">
        <f>IF(N472="","",IF(SUMPRODUCT(--(N$10:N472=N472))=1,SUMPRODUCT(--(N$10:N$609&lt;N472))+1,""))</f>
        <v/>
      </c>
      <c r="P472" t="str">
        <f>IFERROR(INDEX(tblY11[Class],ROWS(P$10:P472))&amp;"","")</f>
        <v/>
      </c>
      <c r="Q472" t="str">
        <f>IF(P472="","",IF(SUMPRODUCT(--(P$10:P472=P472))=1,SUMPRODUCT(--(P$10:P$609&lt;P472))+1,""))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IFERROR(INDEX(tblY7[Class],ROWS(H$10:H473))&amp;"","")</f>
        <v/>
      </c>
      <c r="I473" t="str">
        <f>IF(H473="","",IF(SUMPRODUCT(--(H$10:H473=H473))=1,SUMPRODUCT(--(H$10:H$609&lt;H473))+1,""))</f>
        <v/>
      </c>
      <c r="J473" t="str">
        <f>IFERROR(INDEX(tblY8[Class],ROWS(J$10:J473))&amp;"","")</f>
        <v/>
      </c>
      <c r="K473" t="str">
        <f>IF(J473="","",IF(SUMPRODUCT(--(J$10:J473=J473))=1,SUMPRODUCT(--(J$10:J$609&lt;J473))+1,""))</f>
        <v/>
      </c>
      <c r="L473" t="str">
        <f>IFERROR(INDEX(tblY9[Class],ROWS(L$10:L473))&amp;"","")</f>
        <v/>
      </c>
      <c r="M473" t="str">
        <f>IF(L473="","",IF(SUMPRODUCT(--(L$10:L473=L473))=1,SUMPRODUCT(--(L$10:L$609&lt;L473))+1,""))</f>
        <v/>
      </c>
      <c r="N473" t="str">
        <f>IFERROR(INDEX(tblY10[Class],ROWS(N$10:N473))&amp;"","")</f>
        <v/>
      </c>
      <c r="O473" t="str">
        <f>IF(N473="","",IF(SUMPRODUCT(--(N$10:N473=N473))=1,SUMPRODUCT(--(N$10:N$609&lt;N473))+1,""))</f>
        <v/>
      </c>
      <c r="P473" t="str">
        <f>IFERROR(INDEX(tblY11[Class],ROWS(P$10:P473))&amp;"","")</f>
        <v/>
      </c>
      <c r="Q473" t="str">
        <f>IF(P473="","",IF(SUMPRODUCT(--(P$10:P473=P473))=1,SUMPRODUCT(--(P$10:P$609&lt;P473))+1,""))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IFERROR(INDEX(tblY7[Class],ROWS(H$10:H474))&amp;"","")</f>
        <v/>
      </c>
      <c r="I474" t="str">
        <f>IF(H474="","",IF(SUMPRODUCT(--(H$10:H474=H474))=1,SUMPRODUCT(--(H$10:H$609&lt;H474))+1,""))</f>
        <v/>
      </c>
      <c r="J474" t="str">
        <f>IFERROR(INDEX(tblY8[Class],ROWS(J$10:J474))&amp;"","")</f>
        <v/>
      </c>
      <c r="K474" t="str">
        <f>IF(J474="","",IF(SUMPRODUCT(--(J$10:J474=J474))=1,SUMPRODUCT(--(J$10:J$609&lt;J474))+1,""))</f>
        <v/>
      </c>
      <c r="L474" t="str">
        <f>IFERROR(INDEX(tblY9[Class],ROWS(L$10:L474))&amp;"","")</f>
        <v/>
      </c>
      <c r="M474" t="str">
        <f>IF(L474="","",IF(SUMPRODUCT(--(L$10:L474=L474))=1,SUMPRODUCT(--(L$10:L$609&lt;L474))+1,""))</f>
        <v/>
      </c>
      <c r="N474" t="str">
        <f>IFERROR(INDEX(tblY10[Class],ROWS(N$10:N474))&amp;"","")</f>
        <v/>
      </c>
      <c r="O474" t="str">
        <f>IF(N474="","",IF(SUMPRODUCT(--(N$10:N474=N474))=1,SUMPRODUCT(--(N$10:N$609&lt;N474))+1,""))</f>
        <v/>
      </c>
      <c r="P474" t="str">
        <f>IFERROR(INDEX(tblY11[Class],ROWS(P$10:P474))&amp;"","")</f>
        <v/>
      </c>
      <c r="Q474" t="str">
        <f>IF(P474="","",IF(SUMPRODUCT(--(P$10:P474=P474))=1,SUMPRODUCT(--(P$10:P$609&lt;P474))+1,""))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IFERROR(INDEX(tblY7[Class],ROWS(H$10:H475))&amp;"","")</f>
        <v/>
      </c>
      <c r="I475" t="str">
        <f>IF(H475="","",IF(SUMPRODUCT(--(H$10:H475=H475))=1,SUMPRODUCT(--(H$10:H$609&lt;H475))+1,""))</f>
        <v/>
      </c>
      <c r="J475" t="str">
        <f>IFERROR(INDEX(tblY8[Class],ROWS(J$10:J475))&amp;"","")</f>
        <v/>
      </c>
      <c r="K475" t="str">
        <f>IF(J475="","",IF(SUMPRODUCT(--(J$10:J475=J475))=1,SUMPRODUCT(--(J$10:J$609&lt;J475))+1,""))</f>
        <v/>
      </c>
      <c r="L475" t="str">
        <f>IFERROR(INDEX(tblY9[Class],ROWS(L$10:L475))&amp;"","")</f>
        <v/>
      </c>
      <c r="M475" t="str">
        <f>IF(L475="","",IF(SUMPRODUCT(--(L$10:L475=L475))=1,SUMPRODUCT(--(L$10:L$609&lt;L475))+1,""))</f>
        <v/>
      </c>
      <c r="N475" t="str">
        <f>IFERROR(INDEX(tblY10[Class],ROWS(N$10:N475))&amp;"","")</f>
        <v/>
      </c>
      <c r="O475" t="str">
        <f>IF(N475="","",IF(SUMPRODUCT(--(N$10:N475=N475))=1,SUMPRODUCT(--(N$10:N$609&lt;N475))+1,""))</f>
        <v/>
      </c>
      <c r="P475" t="str">
        <f>IFERROR(INDEX(tblY11[Class],ROWS(P$10:P475))&amp;"","")</f>
        <v/>
      </c>
      <c r="Q475" t="str">
        <f>IF(P475="","",IF(SUMPRODUCT(--(P$10:P475=P475))=1,SUMPRODUCT(--(P$10:P$609&lt;P475))+1,""))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IFERROR(INDEX(tblY7[Class],ROWS(H$10:H476))&amp;"","")</f>
        <v/>
      </c>
      <c r="I476" t="str">
        <f>IF(H476="","",IF(SUMPRODUCT(--(H$10:H476=H476))=1,SUMPRODUCT(--(H$10:H$609&lt;H476))+1,""))</f>
        <v/>
      </c>
      <c r="J476" t="str">
        <f>IFERROR(INDEX(tblY8[Class],ROWS(J$10:J476))&amp;"","")</f>
        <v/>
      </c>
      <c r="K476" t="str">
        <f>IF(J476="","",IF(SUMPRODUCT(--(J$10:J476=J476))=1,SUMPRODUCT(--(J$10:J$609&lt;J476))+1,""))</f>
        <v/>
      </c>
      <c r="L476" t="str">
        <f>IFERROR(INDEX(tblY9[Class],ROWS(L$10:L476))&amp;"","")</f>
        <v/>
      </c>
      <c r="M476" t="str">
        <f>IF(L476="","",IF(SUMPRODUCT(--(L$10:L476=L476))=1,SUMPRODUCT(--(L$10:L$609&lt;L476))+1,""))</f>
        <v/>
      </c>
      <c r="N476" t="str">
        <f>IFERROR(INDEX(tblY10[Class],ROWS(N$10:N476))&amp;"","")</f>
        <v/>
      </c>
      <c r="O476" t="str">
        <f>IF(N476="","",IF(SUMPRODUCT(--(N$10:N476=N476))=1,SUMPRODUCT(--(N$10:N$609&lt;N476))+1,""))</f>
        <v/>
      </c>
      <c r="P476" t="str">
        <f>IFERROR(INDEX(tblY11[Class],ROWS(P$10:P476))&amp;"","")</f>
        <v/>
      </c>
      <c r="Q476" t="str">
        <f>IF(P476="","",IF(SUMPRODUCT(--(P$10:P476=P476))=1,SUMPRODUCT(--(P$10:P$609&lt;P476))+1,""))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IFERROR(INDEX(tblY7[Class],ROWS(H$10:H477))&amp;"","")</f>
        <v/>
      </c>
      <c r="I477" t="str">
        <f>IF(H477="","",IF(SUMPRODUCT(--(H$10:H477=H477))=1,SUMPRODUCT(--(H$10:H$609&lt;H477))+1,""))</f>
        <v/>
      </c>
      <c r="J477" t="str">
        <f>IFERROR(INDEX(tblY8[Class],ROWS(J$10:J477))&amp;"","")</f>
        <v/>
      </c>
      <c r="K477" t="str">
        <f>IF(J477="","",IF(SUMPRODUCT(--(J$10:J477=J477))=1,SUMPRODUCT(--(J$10:J$609&lt;J477))+1,""))</f>
        <v/>
      </c>
      <c r="L477" t="str">
        <f>IFERROR(INDEX(tblY9[Class],ROWS(L$10:L477))&amp;"","")</f>
        <v/>
      </c>
      <c r="M477" t="str">
        <f>IF(L477="","",IF(SUMPRODUCT(--(L$10:L477=L477))=1,SUMPRODUCT(--(L$10:L$609&lt;L477))+1,""))</f>
        <v/>
      </c>
      <c r="N477" t="str">
        <f>IFERROR(INDEX(tblY10[Class],ROWS(N$10:N477))&amp;"","")</f>
        <v/>
      </c>
      <c r="O477" t="str">
        <f>IF(N477="","",IF(SUMPRODUCT(--(N$10:N477=N477))=1,SUMPRODUCT(--(N$10:N$609&lt;N477))+1,""))</f>
        <v/>
      </c>
      <c r="P477" t="str">
        <f>IFERROR(INDEX(tblY11[Class],ROWS(P$10:P477))&amp;"","")</f>
        <v/>
      </c>
      <c r="Q477" t="str">
        <f>IF(P477="","",IF(SUMPRODUCT(--(P$10:P477=P477))=1,SUMPRODUCT(--(P$10:P$609&lt;P477))+1,""))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IFERROR(INDEX(tblY7[Class],ROWS(H$10:H478))&amp;"","")</f>
        <v/>
      </c>
      <c r="I478" t="str">
        <f>IF(H478="","",IF(SUMPRODUCT(--(H$10:H478=H478))=1,SUMPRODUCT(--(H$10:H$609&lt;H478))+1,""))</f>
        <v/>
      </c>
      <c r="J478" t="str">
        <f>IFERROR(INDEX(tblY8[Class],ROWS(J$10:J478))&amp;"","")</f>
        <v/>
      </c>
      <c r="K478" t="str">
        <f>IF(J478="","",IF(SUMPRODUCT(--(J$10:J478=J478))=1,SUMPRODUCT(--(J$10:J$609&lt;J478))+1,""))</f>
        <v/>
      </c>
      <c r="L478" t="str">
        <f>IFERROR(INDEX(tblY9[Class],ROWS(L$10:L478))&amp;"","")</f>
        <v/>
      </c>
      <c r="M478" t="str">
        <f>IF(L478="","",IF(SUMPRODUCT(--(L$10:L478=L478))=1,SUMPRODUCT(--(L$10:L$609&lt;L478))+1,""))</f>
        <v/>
      </c>
      <c r="N478" t="str">
        <f>IFERROR(INDEX(tblY10[Class],ROWS(N$10:N478))&amp;"","")</f>
        <v/>
      </c>
      <c r="O478" t="str">
        <f>IF(N478="","",IF(SUMPRODUCT(--(N$10:N478=N478))=1,SUMPRODUCT(--(N$10:N$609&lt;N478))+1,""))</f>
        <v/>
      </c>
      <c r="P478" t="str">
        <f>IFERROR(INDEX(tblY11[Class],ROWS(P$10:P478))&amp;"","")</f>
        <v/>
      </c>
      <c r="Q478" t="str">
        <f>IF(P478="","",IF(SUMPRODUCT(--(P$10:P478=P478))=1,SUMPRODUCT(--(P$10:P$609&lt;P478))+1,""))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IFERROR(INDEX(tblY7[Class],ROWS(H$10:H479))&amp;"","")</f>
        <v/>
      </c>
      <c r="I479" t="str">
        <f>IF(H479="","",IF(SUMPRODUCT(--(H$10:H479=H479))=1,SUMPRODUCT(--(H$10:H$609&lt;H479))+1,""))</f>
        <v/>
      </c>
      <c r="J479" t="str">
        <f>IFERROR(INDEX(tblY8[Class],ROWS(J$10:J479))&amp;"","")</f>
        <v/>
      </c>
      <c r="K479" t="str">
        <f>IF(J479="","",IF(SUMPRODUCT(--(J$10:J479=J479))=1,SUMPRODUCT(--(J$10:J$609&lt;J479))+1,""))</f>
        <v/>
      </c>
      <c r="L479" t="str">
        <f>IFERROR(INDEX(tblY9[Class],ROWS(L$10:L479))&amp;"","")</f>
        <v/>
      </c>
      <c r="M479" t="str">
        <f>IF(L479="","",IF(SUMPRODUCT(--(L$10:L479=L479))=1,SUMPRODUCT(--(L$10:L$609&lt;L479))+1,""))</f>
        <v/>
      </c>
      <c r="N479" t="str">
        <f>IFERROR(INDEX(tblY10[Class],ROWS(N$10:N479))&amp;"","")</f>
        <v/>
      </c>
      <c r="O479" t="str">
        <f>IF(N479="","",IF(SUMPRODUCT(--(N$10:N479=N479))=1,SUMPRODUCT(--(N$10:N$609&lt;N479))+1,""))</f>
        <v/>
      </c>
      <c r="P479" t="str">
        <f>IFERROR(INDEX(tblY11[Class],ROWS(P$10:P479))&amp;"","")</f>
        <v/>
      </c>
      <c r="Q479" t="str">
        <f>IF(P479="","",IF(SUMPRODUCT(--(P$10:P479=P479))=1,SUMPRODUCT(--(P$10:P$609&lt;P479))+1,""))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IFERROR(INDEX(tblY7[Class],ROWS(H$10:H480))&amp;"","")</f>
        <v/>
      </c>
      <c r="I480" t="str">
        <f>IF(H480="","",IF(SUMPRODUCT(--(H$10:H480=H480))=1,SUMPRODUCT(--(H$10:H$609&lt;H480))+1,""))</f>
        <v/>
      </c>
      <c r="J480" t="str">
        <f>IFERROR(INDEX(tblY8[Class],ROWS(J$10:J480))&amp;"","")</f>
        <v/>
      </c>
      <c r="K480" t="str">
        <f>IF(J480="","",IF(SUMPRODUCT(--(J$10:J480=J480))=1,SUMPRODUCT(--(J$10:J$609&lt;J480))+1,""))</f>
        <v/>
      </c>
      <c r="L480" t="str">
        <f>IFERROR(INDEX(tblY9[Class],ROWS(L$10:L480))&amp;"","")</f>
        <v/>
      </c>
      <c r="M480" t="str">
        <f>IF(L480="","",IF(SUMPRODUCT(--(L$10:L480=L480))=1,SUMPRODUCT(--(L$10:L$609&lt;L480))+1,""))</f>
        <v/>
      </c>
      <c r="N480" t="str">
        <f>IFERROR(INDEX(tblY10[Class],ROWS(N$10:N480))&amp;"","")</f>
        <v/>
      </c>
      <c r="O480" t="str">
        <f>IF(N480="","",IF(SUMPRODUCT(--(N$10:N480=N480))=1,SUMPRODUCT(--(N$10:N$609&lt;N480))+1,""))</f>
        <v/>
      </c>
      <c r="P480" t="str">
        <f>IFERROR(INDEX(tblY11[Class],ROWS(P$10:P480))&amp;"","")</f>
        <v/>
      </c>
      <c r="Q480" t="str">
        <f>IF(P480="","",IF(SUMPRODUCT(--(P$10:P480=P480))=1,SUMPRODUCT(--(P$10:P$609&lt;P480))+1,""))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IFERROR(INDEX(tblY7[Class],ROWS(H$10:H481))&amp;"","")</f>
        <v/>
      </c>
      <c r="I481" t="str">
        <f>IF(H481="","",IF(SUMPRODUCT(--(H$10:H481=H481))=1,SUMPRODUCT(--(H$10:H$609&lt;H481))+1,""))</f>
        <v/>
      </c>
      <c r="J481" t="str">
        <f>IFERROR(INDEX(tblY8[Class],ROWS(J$10:J481))&amp;"","")</f>
        <v/>
      </c>
      <c r="K481" t="str">
        <f>IF(J481="","",IF(SUMPRODUCT(--(J$10:J481=J481))=1,SUMPRODUCT(--(J$10:J$609&lt;J481))+1,""))</f>
        <v/>
      </c>
      <c r="L481" t="str">
        <f>IFERROR(INDEX(tblY9[Class],ROWS(L$10:L481))&amp;"","")</f>
        <v/>
      </c>
      <c r="M481" t="str">
        <f>IF(L481="","",IF(SUMPRODUCT(--(L$10:L481=L481))=1,SUMPRODUCT(--(L$10:L$609&lt;L481))+1,""))</f>
        <v/>
      </c>
      <c r="N481" t="str">
        <f>IFERROR(INDEX(tblY10[Class],ROWS(N$10:N481))&amp;"","")</f>
        <v/>
      </c>
      <c r="O481" t="str">
        <f>IF(N481="","",IF(SUMPRODUCT(--(N$10:N481=N481))=1,SUMPRODUCT(--(N$10:N$609&lt;N481))+1,""))</f>
        <v/>
      </c>
      <c r="P481" t="str">
        <f>IFERROR(INDEX(tblY11[Class],ROWS(P$10:P481))&amp;"","")</f>
        <v/>
      </c>
      <c r="Q481" t="str">
        <f>IF(P481="","",IF(SUMPRODUCT(--(P$10:P481=P481))=1,SUMPRODUCT(--(P$10:P$609&lt;P481))+1,""))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IFERROR(INDEX(tblY7[Class],ROWS(H$10:H482))&amp;"","")</f>
        <v/>
      </c>
      <c r="I482" t="str">
        <f>IF(H482="","",IF(SUMPRODUCT(--(H$10:H482=H482))=1,SUMPRODUCT(--(H$10:H$609&lt;H482))+1,""))</f>
        <v/>
      </c>
      <c r="J482" t="str">
        <f>IFERROR(INDEX(tblY8[Class],ROWS(J$10:J482))&amp;"","")</f>
        <v/>
      </c>
      <c r="K482" t="str">
        <f>IF(J482="","",IF(SUMPRODUCT(--(J$10:J482=J482))=1,SUMPRODUCT(--(J$10:J$609&lt;J482))+1,""))</f>
        <v/>
      </c>
      <c r="L482" t="str">
        <f>IFERROR(INDEX(tblY9[Class],ROWS(L$10:L482))&amp;"","")</f>
        <v/>
      </c>
      <c r="M482" t="str">
        <f>IF(L482="","",IF(SUMPRODUCT(--(L$10:L482=L482))=1,SUMPRODUCT(--(L$10:L$609&lt;L482))+1,""))</f>
        <v/>
      </c>
      <c r="N482" t="str">
        <f>IFERROR(INDEX(tblY10[Class],ROWS(N$10:N482))&amp;"","")</f>
        <v/>
      </c>
      <c r="O482" t="str">
        <f>IF(N482="","",IF(SUMPRODUCT(--(N$10:N482=N482))=1,SUMPRODUCT(--(N$10:N$609&lt;N482))+1,""))</f>
        <v/>
      </c>
      <c r="P482" t="str">
        <f>IFERROR(INDEX(tblY11[Class],ROWS(P$10:P482))&amp;"","")</f>
        <v/>
      </c>
      <c r="Q482" t="str">
        <f>IF(P482="","",IF(SUMPRODUCT(--(P$10:P482=P482))=1,SUMPRODUCT(--(P$10:P$609&lt;P482))+1,""))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IFERROR(INDEX(tblY7[Class],ROWS(H$10:H483))&amp;"","")</f>
        <v/>
      </c>
      <c r="I483" t="str">
        <f>IF(H483="","",IF(SUMPRODUCT(--(H$10:H483=H483))=1,SUMPRODUCT(--(H$10:H$609&lt;H483))+1,""))</f>
        <v/>
      </c>
      <c r="J483" t="str">
        <f>IFERROR(INDEX(tblY8[Class],ROWS(J$10:J483))&amp;"","")</f>
        <v/>
      </c>
      <c r="K483" t="str">
        <f>IF(J483="","",IF(SUMPRODUCT(--(J$10:J483=J483))=1,SUMPRODUCT(--(J$10:J$609&lt;J483))+1,""))</f>
        <v/>
      </c>
      <c r="L483" t="str">
        <f>IFERROR(INDEX(tblY9[Class],ROWS(L$10:L483))&amp;"","")</f>
        <v/>
      </c>
      <c r="M483" t="str">
        <f>IF(L483="","",IF(SUMPRODUCT(--(L$10:L483=L483))=1,SUMPRODUCT(--(L$10:L$609&lt;L483))+1,""))</f>
        <v/>
      </c>
      <c r="N483" t="str">
        <f>IFERROR(INDEX(tblY10[Class],ROWS(N$10:N483))&amp;"","")</f>
        <v/>
      </c>
      <c r="O483" t="str">
        <f>IF(N483="","",IF(SUMPRODUCT(--(N$10:N483=N483))=1,SUMPRODUCT(--(N$10:N$609&lt;N483))+1,""))</f>
        <v/>
      </c>
      <c r="P483" t="str">
        <f>IFERROR(INDEX(tblY11[Class],ROWS(P$10:P483))&amp;"","")</f>
        <v/>
      </c>
      <c r="Q483" t="str">
        <f>IF(P483="","",IF(SUMPRODUCT(--(P$10:P483=P483))=1,SUMPRODUCT(--(P$10:P$609&lt;P483))+1,""))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IFERROR(INDEX(tblY7[Class],ROWS(H$10:H484))&amp;"","")</f>
        <v/>
      </c>
      <c r="I484" t="str">
        <f>IF(H484="","",IF(SUMPRODUCT(--(H$10:H484=H484))=1,SUMPRODUCT(--(H$10:H$609&lt;H484))+1,""))</f>
        <v/>
      </c>
      <c r="J484" t="str">
        <f>IFERROR(INDEX(tblY8[Class],ROWS(J$10:J484))&amp;"","")</f>
        <v/>
      </c>
      <c r="K484" t="str">
        <f>IF(J484="","",IF(SUMPRODUCT(--(J$10:J484=J484))=1,SUMPRODUCT(--(J$10:J$609&lt;J484))+1,""))</f>
        <v/>
      </c>
      <c r="L484" t="str">
        <f>IFERROR(INDEX(tblY9[Class],ROWS(L$10:L484))&amp;"","")</f>
        <v/>
      </c>
      <c r="M484" t="str">
        <f>IF(L484="","",IF(SUMPRODUCT(--(L$10:L484=L484))=1,SUMPRODUCT(--(L$10:L$609&lt;L484))+1,""))</f>
        <v/>
      </c>
      <c r="N484" t="str">
        <f>IFERROR(INDEX(tblY10[Class],ROWS(N$10:N484))&amp;"","")</f>
        <v/>
      </c>
      <c r="O484" t="str">
        <f>IF(N484="","",IF(SUMPRODUCT(--(N$10:N484=N484))=1,SUMPRODUCT(--(N$10:N$609&lt;N484))+1,""))</f>
        <v/>
      </c>
      <c r="P484" t="str">
        <f>IFERROR(INDEX(tblY11[Class],ROWS(P$10:P484))&amp;"","")</f>
        <v/>
      </c>
      <c r="Q484" t="str">
        <f>IF(P484="","",IF(SUMPRODUCT(--(P$10:P484=P484))=1,SUMPRODUCT(--(P$10:P$609&lt;P484))+1,""))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IFERROR(INDEX(tblY7[Class],ROWS(H$10:H485))&amp;"","")</f>
        <v/>
      </c>
      <c r="I485" t="str">
        <f>IF(H485="","",IF(SUMPRODUCT(--(H$10:H485=H485))=1,SUMPRODUCT(--(H$10:H$609&lt;H485))+1,""))</f>
        <v/>
      </c>
      <c r="J485" t="str">
        <f>IFERROR(INDEX(tblY8[Class],ROWS(J$10:J485))&amp;"","")</f>
        <v/>
      </c>
      <c r="K485" t="str">
        <f>IF(J485="","",IF(SUMPRODUCT(--(J$10:J485=J485))=1,SUMPRODUCT(--(J$10:J$609&lt;J485))+1,""))</f>
        <v/>
      </c>
      <c r="L485" t="str">
        <f>IFERROR(INDEX(tblY9[Class],ROWS(L$10:L485))&amp;"","")</f>
        <v/>
      </c>
      <c r="M485" t="str">
        <f>IF(L485="","",IF(SUMPRODUCT(--(L$10:L485=L485))=1,SUMPRODUCT(--(L$10:L$609&lt;L485))+1,""))</f>
        <v/>
      </c>
      <c r="N485" t="str">
        <f>IFERROR(INDEX(tblY10[Class],ROWS(N$10:N485))&amp;"","")</f>
        <v/>
      </c>
      <c r="O485" t="str">
        <f>IF(N485="","",IF(SUMPRODUCT(--(N$10:N485=N485))=1,SUMPRODUCT(--(N$10:N$609&lt;N485))+1,""))</f>
        <v/>
      </c>
      <c r="P485" t="str">
        <f>IFERROR(INDEX(tblY11[Class],ROWS(P$10:P485))&amp;"","")</f>
        <v/>
      </c>
      <c r="Q485" t="str">
        <f>IF(P485="","",IF(SUMPRODUCT(--(P$10:P485=P485))=1,SUMPRODUCT(--(P$10:P$609&lt;P485))+1,""))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IFERROR(INDEX(tblY7[Class],ROWS(H$10:H486))&amp;"","")</f>
        <v/>
      </c>
      <c r="I486" t="str">
        <f>IF(H486="","",IF(SUMPRODUCT(--(H$10:H486=H486))=1,SUMPRODUCT(--(H$10:H$609&lt;H486))+1,""))</f>
        <v/>
      </c>
      <c r="J486" t="str">
        <f>IFERROR(INDEX(tblY8[Class],ROWS(J$10:J486))&amp;"","")</f>
        <v/>
      </c>
      <c r="K486" t="str">
        <f>IF(J486="","",IF(SUMPRODUCT(--(J$10:J486=J486))=1,SUMPRODUCT(--(J$10:J$609&lt;J486))+1,""))</f>
        <v/>
      </c>
      <c r="L486" t="str">
        <f>IFERROR(INDEX(tblY9[Class],ROWS(L$10:L486))&amp;"","")</f>
        <v/>
      </c>
      <c r="M486" t="str">
        <f>IF(L486="","",IF(SUMPRODUCT(--(L$10:L486=L486))=1,SUMPRODUCT(--(L$10:L$609&lt;L486))+1,""))</f>
        <v/>
      </c>
      <c r="N486" t="str">
        <f>IFERROR(INDEX(tblY10[Class],ROWS(N$10:N486))&amp;"","")</f>
        <v/>
      </c>
      <c r="O486" t="str">
        <f>IF(N486="","",IF(SUMPRODUCT(--(N$10:N486=N486))=1,SUMPRODUCT(--(N$10:N$609&lt;N486))+1,""))</f>
        <v/>
      </c>
      <c r="P486" t="str">
        <f>IFERROR(INDEX(tblY11[Class],ROWS(P$10:P486))&amp;"","")</f>
        <v/>
      </c>
      <c r="Q486" t="str">
        <f>IF(P486="","",IF(SUMPRODUCT(--(P$10:P486=P486))=1,SUMPRODUCT(--(P$10:P$609&lt;P486))+1,""))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IFERROR(INDEX(tblY7[Class],ROWS(H$10:H487))&amp;"","")</f>
        <v/>
      </c>
      <c r="I487" t="str">
        <f>IF(H487="","",IF(SUMPRODUCT(--(H$10:H487=H487))=1,SUMPRODUCT(--(H$10:H$609&lt;H487))+1,""))</f>
        <v/>
      </c>
      <c r="J487" t="str">
        <f>IFERROR(INDEX(tblY8[Class],ROWS(J$10:J487))&amp;"","")</f>
        <v/>
      </c>
      <c r="K487" t="str">
        <f>IF(J487="","",IF(SUMPRODUCT(--(J$10:J487=J487))=1,SUMPRODUCT(--(J$10:J$609&lt;J487))+1,""))</f>
        <v/>
      </c>
      <c r="L487" t="str">
        <f>IFERROR(INDEX(tblY9[Class],ROWS(L$10:L487))&amp;"","")</f>
        <v/>
      </c>
      <c r="M487" t="str">
        <f>IF(L487="","",IF(SUMPRODUCT(--(L$10:L487=L487))=1,SUMPRODUCT(--(L$10:L$609&lt;L487))+1,""))</f>
        <v/>
      </c>
      <c r="N487" t="str">
        <f>IFERROR(INDEX(tblY10[Class],ROWS(N$10:N487))&amp;"","")</f>
        <v/>
      </c>
      <c r="O487" t="str">
        <f>IF(N487="","",IF(SUMPRODUCT(--(N$10:N487=N487))=1,SUMPRODUCT(--(N$10:N$609&lt;N487))+1,""))</f>
        <v/>
      </c>
      <c r="P487" t="str">
        <f>IFERROR(INDEX(tblY11[Class],ROWS(P$10:P487))&amp;"","")</f>
        <v/>
      </c>
      <c r="Q487" t="str">
        <f>IF(P487="","",IF(SUMPRODUCT(--(P$10:P487=P487))=1,SUMPRODUCT(--(P$10:P$609&lt;P487))+1,""))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IFERROR(INDEX(tblY7[Class],ROWS(H$10:H488))&amp;"","")</f>
        <v/>
      </c>
      <c r="I488" t="str">
        <f>IF(H488="","",IF(SUMPRODUCT(--(H$10:H488=H488))=1,SUMPRODUCT(--(H$10:H$609&lt;H488))+1,""))</f>
        <v/>
      </c>
      <c r="J488" t="str">
        <f>IFERROR(INDEX(tblY8[Class],ROWS(J$10:J488))&amp;"","")</f>
        <v/>
      </c>
      <c r="K488" t="str">
        <f>IF(J488="","",IF(SUMPRODUCT(--(J$10:J488=J488))=1,SUMPRODUCT(--(J$10:J$609&lt;J488))+1,""))</f>
        <v/>
      </c>
      <c r="L488" t="str">
        <f>IFERROR(INDEX(tblY9[Class],ROWS(L$10:L488))&amp;"","")</f>
        <v/>
      </c>
      <c r="M488" t="str">
        <f>IF(L488="","",IF(SUMPRODUCT(--(L$10:L488=L488))=1,SUMPRODUCT(--(L$10:L$609&lt;L488))+1,""))</f>
        <v/>
      </c>
      <c r="N488" t="str">
        <f>IFERROR(INDEX(tblY10[Class],ROWS(N$10:N488))&amp;"","")</f>
        <v/>
      </c>
      <c r="O488" t="str">
        <f>IF(N488="","",IF(SUMPRODUCT(--(N$10:N488=N488))=1,SUMPRODUCT(--(N$10:N$609&lt;N488))+1,""))</f>
        <v/>
      </c>
      <c r="P488" t="str">
        <f>IFERROR(INDEX(tblY11[Class],ROWS(P$10:P488))&amp;"","")</f>
        <v/>
      </c>
      <c r="Q488" t="str">
        <f>IF(P488="","",IF(SUMPRODUCT(--(P$10:P488=P488))=1,SUMPRODUCT(--(P$10:P$609&lt;P488))+1,""))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IFERROR(INDEX(tblY7[Class],ROWS(H$10:H489))&amp;"","")</f>
        <v/>
      </c>
      <c r="I489" t="str">
        <f>IF(H489="","",IF(SUMPRODUCT(--(H$10:H489=H489))=1,SUMPRODUCT(--(H$10:H$609&lt;H489))+1,""))</f>
        <v/>
      </c>
      <c r="J489" t="str">
        <f>IFERROR(INDEX(tblY8[Class],ROWS(J$10:J489))&amp;"","")</f>
        <v/>
      </c>
      <c r="K489" t="str">
        <f>IF(J489="","",IF(SUMPRODUCT(--(J$10:J489=J489))=1,SUMPRODUCT(--(J$10:J$609&lt;J489))+1,""))</f>
        <v/>
      </c>
      <c r="L489" t="str">
        <f>IFERROR(INDEX(tblY9[Class],ROWS(L$10:L489))&amp;"","")</f>
        <v/>
      </c>
      <c r="M489" t="str">
        <f>IF(L489="","",IF(SUMPRODUCT(--(L$10:L489=L489))=1,SUMPRODUCT(--(L$10:L$609&lt;L489))+1,""))</f>
        <v/>
      </c>
      <c r="N489" t="str">
        <f>IFERROR(INDEX(tblY10[Class],ROWS(N$10:N489))&amp;"","")</f>
        <v/>
      </c>
      <c r="O489" t="str">
        <f>IF(N489="","",IF(SUMPRODUCT(--(N$10:N489=N489))=1,SUMPRODUCT(--(N$10:N$609&lt;N489))+1,""))</f>
        <v/>
      </c>
      <c r="P489" t="str">
        <f>IFERROR(INDEX(tblY11[Class],ROWS(P$10:P489))&amp;"","")</f>
        <v/>
      </c>
      <c r="Q489" t="str">
        <f>IF(P489="","",IF(SUMPRODUCT(--(P$10:P489=P489))=1,SUMPRODUCT(--(P$10:P$609&lt;P489))+1,""))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IFERROR(INDEX(tblY7[Class],ROWS(H$10:H490))&amp;"","")</f>
        <v/>
      </c>
      <c r="I490" t="str">
        <f>IF(H490="","",IF(SUMPRODUCT(--(H$10:H490=H490))=1,SUMPRODUCT(--(H$10:H$609&lt;H490))+1,""))</f>
        <v/>
      </c>
      <c r="J490" t="str">
        <f>IFERROR(INDEX(tblY8[Class],ROWS(J$10:J490))&amp;"","")</f>
        <v/>
      </c>
      <c r="K490" t="str">
        <f>IF(J490="","",IF(SUMPRODUCT(--(J$10:J490=J490))=1,SUMPRODUCT(--(J$10:J$609&lt;J490))+1,""))</f>
        <v/>
      </c>
      <c r="L490" t="str">
        <f>IFERROR(INDEX(tblY9[Class],ROWS(L$10:L490))&amp;"","")</f>
        <v/>
      </c>
      <c r="M490" t="str">
        <f>IF(L490="","",IF(SUMPRODUCT(--(L$10:L490=L490))=1,SUMPRODUCT(--(L$10:L$609&lt;L490))+1,""))</f>
        <v/>
      </c>
      <c r="N490" t="str">
        <f>IFERROR(INDEX(tblY10[Class],ROWS(N$10:N490))&amp;"","")</f>
        <v/>
      </c>
      <c r="O490" t="str">
        <f>IF(N490="","",IF(SUMPRODUCT(--(N$10:N490=N490))=1,SUMPRODUCT(--(N$10:N$609&lt;N490))+1,""))</f>
        <v/>
      </c>
      <c r="P490" t="str">
        <f>IFERROR(INDEX(tblY11[Class],ROWS(P$10:P490))&amp;"","")</f>
        <v/>
      </c>
      <c r="Q490" t="str">
        <f>IF(P490="","",IF(SUMPRODUCT(--(P$10:P490=P490))=1,SUMPRODUCT(--(P$10:P$609&lt;P490))+1,""))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IFERROR(INDEX(tblY7[Class],ROWS(H$10:H491))&amp;"","")</f>
        <v/>
      </c>
      <c r="I491" t="str">
        <f>IF(H491="","",IF(SUMPRODUCT(--(H$10:H491=H491))=1,SUMPRODUCT(--(H$10:H$609&lt;H491))+1,""))</f>
        <v/>
      </c>
      <c r="J491" t="str">
        <f>IFERROR(INDEX(tblY8[Class],ROWS(J$10:J491))&amp;"","")</f>
        <v/>
      </c>
      <c r="K491" t="str">
        <f>IF(J491="","",IF(SUMPRODUCT(--(J$10:J491=J491))=1,SUMPRODUCT(--(J$10:J$609&lt;J491))+1,""))</f>
        <v/>
      </c>
      <c r="L491" t="str">
        <f>IFERROR(INDEX(tblY9[Class],ROWS(L$10:L491))&amp;"","")</f>
        <v/>
      </c>
      <c r="M491" t="str">
        <f>IF(L491="","",IF(SUMPRODUCT(--(L$10:L491=L491))=1,SUMPRODUCT(--(L$10:L$609&lt;L491))+1,""))</f>
        <v/>
      </c>
      <c r="N491" t="str">
        <f>IFERROR(INDEX(tblY10[Class],ROWS(N$10:N491))&amp;"","")</f>
        <v/>
      </c>
      <c r="O491" t="str">
        <f>IF(N491="","",IF(SUMPRODUCT(--(N$10:N491=N491))=1,SUMPRODUCT(--(N$10:N$609&lt;N491))+1,""))</f>
        <v/>
      </c>
      <c r="P491" t="str">
        <f>IFERROR(INDEX(tblY11[Class],ROWS(P$10:P491))&amp;"","")</f>
        <v/>
      </c>
      <c r="Q491" t="str">
        <f>IF(P491="","",IF(SUMPRODUCT(--(P$10:P491=P491))=1,SUMPRODUCT(--(P$10:P$609&lt;P491))+1,""))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IFERROR(INDEX(tblY7[Class],ROWS(H$10:H492))&amp;"","")</f>
        <v/>
      </c>
      <c r="I492" t="str">
        <f>IF(H492="","",IF(SUMPRODUCT(--(H$10:H492=H492))=1,SUMPRODUCT(--(H$10:H$609&lt;H492))+1,""))</f>
        <v/>
      </c>
      <c r="J492" t="str">
        <f>IFERROR(INDEX(tblY8[Class],ROWS(J$10:J492))&amp;"","")</f>
        <v/>
      </c>
      <c r="K492" t="str">
        <f>IF(J492="","",IF(SUMPRODUCT(--(J$10:J492=J492))=1,SUMPRODUCT(--(J$10:J$609&lt;J492))+1,""))</f>
        <v/>
      </c>
      <c r="L492" t="str">
        <f>IFERROR(INDEX(tblY9[Class],ROWS(L$10:L492))&amp;"","")</f>
        <v/>
      </c>
      <c r="M492" t="str">
        <f>IF(L492="","",IF(SUMPRODUCT(--(L$10:L492=L492))=1,SUMPRODUCT(--(L$10:L$609&lt;L492))+1,""))</f>
        <v/>
      </c>
      <c r="N492" t="str">
        <f>IFERROR(INDEX(tblY10[Class],ROWS(N$10:N492))&amp;"","")</f>
        <v/>
      </c>
      <c r="O492" t="str">
        <f>IF(N492="","",IF(SUMPRODUCT(--(N$10:N492=N492))=1,SUMPRODUCT(--(N$10:N$609&lt;N492))+1,""))</f>
        <v/>
      </c>
      <c r="P492" t="str">
        <f>IFERROR(INDEX(tblY11[Class],ROWS(P$10:P492))&amp;"","")</f>
        <v/>
      </c>
      <c r="Q492" t="str">
        <f>IF(P492="","",IF(SUMPRODUCT(--(P$10:P492=P492))=1,SUMPRODUCT(--(P$10:P$609&lt;P492))+1,""))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IFERROR(INDEX(tblY7[Class],ROWS(H$10:H493))&amp;"","")</f>
        <v/>
      </c>
      <c r="I493" t="str">
        <f>IF(H493="","",IF(SUMPRODUCT(--(H$10:H493=H493))=1,SUMPRODUCT(--(H$10:H$609&lt;H493))+1,""))</f>
        <v/>
      </c>
      <c r="J493" t="str">
        <f>IFERROR(INDEX(tblY8[Class],ROWS(J$10:J493))&amp;"","")</f>
        <v/>
      </c>
      <c r="K493" t="str">
        <f>IF(J493="","",IF(SUMPRODUCT(--(J$10:J493=J493))=1,SUMPRODUCT(--(J$10:J$609&lt;J493))+1,""))</f>
        <v/>
      </c>
      <c r="L493" t="str">
        <f>IFERROR(INDEX(tblY9[Class],ROWS(L$10:L493))&amp;"","")</f>
        <v/>
      </c>
      <c r="M493" t="str">
        <f>IF(L493="","",IF(SUMPRODUCT(--(L$10:L493=L493))=1,SUMPRODUCT(--(L$10:L$609&lt;L493))+1,""))</f>
        <v/>
      </c>
      <c r="N493" t="str">
        <f>IFERROR(INDEX(tblY10[Class],ROWS(N$10:N493))&amp;"","")</f>
        <v/>
      </c>
      <c r="O493" t="str">
        <f>IF(N493="","",IF(SUMPRODUCT(--(N$10:N493=N493))=1,SUMPRODUCT(--(N$10:N$609&lt;N493))+1,""))</f>
        <v/>
      </c>
      <c r="P493" t="str">
        <f>IFERROR(INDEX(tblY11[Class],ROWS(P$10:P493))&amp;"","")</f>
        <v/>
      </c>
      <c r="Q493" t="str">
        <f>IF(P493="","",IF(SUMPRODUCT(--(P$10:P493=P493))=1,SUMPRODUCT(--(P$10:P$609&lt;P493))+1,""))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IFERROR(INDEX(tblY7[Class],ROWS(H$10:H494))&amp;"","")</f>
        <v/>
      </c>
      <c r="I494" t="str">
        <f>IF(H494="","",IF(SUMPRODUCT(--(H$10:H494=H494))=1,SUMPRODUCT(--(H$10:H$609&lt;H494))+1,""))</f>
        <v/>
      </c>
      <c r="J494" t="str">
        <f>IFERROR(INDEX(tblY8[Class],ROWS(J$10:J494))&amp;"","")</f>
        <v/>
      </c>
      <c r="K494" t="str">
        <f>IF(J494="","",IF(SUMPRODUCT(--(J$10:J494=J494))=1,SUMPRODUCT(--(J$10:J$609&lt;J494))+1,""))</f>
        <v/>
      </c>
      <c r="L494" t="str">
        <f>IFERROR(INDEX(tblY9[Class],ROWS(L$10:L494))&amp;"","")</f>
        <v/>
      </c>
      <c r="M494" t="str">
        <f>IF(L494="","",IF(SUMPRODUCT(--(L$10:L494=L494))=1,SUMPRODUCT(--(L$10:L$609&lt;L494))+1,""))</f>
        <v/>
      </c>
      <c r="N494" t="str">
        <f>IFERROR(INDEX(tblY10[Class],ROWS(N$10:N494))&amp;"","")</f>
        <v/>
      </c>
      <c r="O494" t="str">
        <f>IF(N494="","",IF(SUMPRODUCT(--(N$10:N494=N494))=1,SUMPRODUCT(--(N$10:N$609&lt;N494))+1,""))</f>
        <v/>
      </c>
      <c r="P494" t="str">
        <f>IFERROR(INDEX(tblY11[Class],ROWS(P$10:P494))&amp;"","")</f>
        <v/>
      </c>
      <c r="Q494" t="str">
        <f>IF(P494="","",IF(SUMPRODUCT(--(P$10:P494=P494))=1,SUMPRODUCT(--(P$10:P$609&lt;P494))+1,""))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IFERROR(INDEX(tblY7[Class],ROWS(H$10:H495))&amp;"","")</f>
        <v/>
      </c>
      <c r="I495" t="str">
        <f>IF(H495="","",IF(SUMPRODUCT(--(H$10:H495=H495))=1,SUMPRODUCT(--(H$10:H$609&lt;H495))+1,""))</f>
        <v/>
      </c>
      <c r="J495" t="str">
        <f>IFERROR(INDEX(tblY8[Class],ROWS(J$10:J495))&amp;"","")</f>
        <v/>
      </c>
      <c r="K495" t="str">
        <f>IF(J495="","",IF(SUMPRODUCT(--(J$10:J495=J495))=1,SUMPRODUCT(--(J$10:J$609&lt;J495))+1,""))</f>
        <v/>
      </c>
      <c r="L495" t="str">
        <f>IFERROR(INDEX(tblY9[Class],ROWS(L$10:L495))&amp;"","")</f>
        <v/>
      </c>
      <c r="M495" t="str">
        <f>IF(L495="","",IF(SUMPRODUCT(--(L$10:L495=L495))=1,SUMPRODUCT(--(L$10:L$609&lt;L495))+1,""))</f>
        <v/>
      </c>
      <c r="N495" t="str">
        <f>IFERROR(INDEX(tblY10[Class],ROWS(N$10:N495))&amp;"","")</f>
        <v/>
      </c>
      <c r="O495" t="str">
        <f>IF(N495="","",IF(SUMPRODUCT(--(N$10:N495=N495))=1,SUMPRODUCT(--(N$10:N$609&lt;N495))+1,""))</f>
        <v/>
      </c>
      <c r="P495" t="str">
        <f>IFERROR(INDEX(tblY11[Class],ROWS(P$10:P495))&amp;"","")</f>
        <v/>
      </c>
      <c r="Q495" t="str">
        <f>IF(P495="","",IF(SUMPRODUCT(--(P$10:P495=P495))=1,SUMPRODUCT(--(P$10:P$609&lt;P495))+1,""))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IFERROR(INDEX(tblY7[Class],ROWS(H$10:H496))&amp;"","")</f>
        <v/>
      </c>
      <c r="I496" t="str">
        <f>IF(H496="","",IF(SUMPRODUCT(--(H$10:H496=H496))=1,SUMPRODUCT(--(H$10:H$609&lt;H496))+1,""))</f>
        <v/>
      </c>
      <c r="J496" t="str">
        <f>IFERROR(INDEX(tblY8[Class],ROWS(J$10:J496))&amp;"","")</f>
        <v/>
      </c>
      <c r="K496" t="str">
        <f>IF(J496="","",IF(SUMPRODUCT(--(J$10:J496=J496))=1,SUMPRODUCT(--(J$10:J$609&lt;J496))+1,""))</f>
        <v/>
      </c>
      <c r="L496" t="str">
        <f>IFERROR(INDEX(tblY9[Class],ROWS(L$10:L496))&amp;"","")</f>
        <v/>
      </c>
      <c r="M496" t="str">
        <f>IF(L496="","",IF(SUMPRODUCT(--(L$10:L496=L496))=1,SUMPRODUCT(--(L$10:L$609&lt;L496))+1,""))</f>
        <v/>
      </c>
      <c r="N496" t="str">
        <f>IFERROR(INDEX(tblY10[Class],ROWS(N$10:N496))&amp;"","")</f>
        <v/>
      </c>
      <c r="O496" t="str">
        <f>IF(N496="","",IF(SUMPRODUCT(--(N$10:N496=N496))=1,SUMPRODUCT(--(N$10:N$609&lt;N496))+1,""))</f>
        <v/>
      </c>
      <c r="P496" t="str">
        <f>IFERROR(INDEX(tblY11[Class],ROWS(P$10:P496))&amp;"","")</f>
        <v/>
      </c>
      <c r="Q496" t="str">
        <f>IF(P496="","",IF(SUMPRODUCT(--(P$10:P496=P496))=1,SUMPRODUCT(--(P$10:P$609&lt;P496))+1,""))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IFERROR(INDEX(tblY7[Class],ROWS(H$10:H497))&amp;"","")</f>
        <v/>
      </c>
      <c r="I497" t="str">
        <f>IF(H497="","",IF(SUMPRODUCT(--(H$10:H497=H497))=1,SUMPRODUCT(--(H$10:H$609&lt;H497))+1,""))</f>
        <v/>
      </c>
      <c r="J497" t="str">
        <f>IFERROR(INDEX(tblY8[Class],ROWS(J$10:J497))&amp;"","")</f>
        <v/>
      </c>
      <c r="K497" t="str">
        <f>IF(J497="","",IF(SUMPRODUCT(--(J$10:J497=J497))=1,SUMPRODUCT(--(J$10:J$609&lt;J497))+1,""))</f>
        <v/>
      </c>
      <c r="L497" t="str">
        <f>IFERROR(INDEX(tblY9[Class],ROWS(L$10:L497))&amp;"","")</f>
        <v/>
      </c>
      <c r="M497" t="str">
        <f>IF(L497="","",IF(SUMPRODUCT(--(L$10:L497=L497))=1,SUMPRODUCT(--(L$10:L$609&lt;L497))+1,""))</f>
        <v/>
      </c>
      <c r="N497" t="str">
        <f>IFERROR(INDEX(tblY10[Class],ROWS(N$10:N497))&amp;"","")</f>
        <v/>
      </c>
      <c r="O497" t="str">
        <f>IF(N497="","",IF(SUMPRODUCT(--(N$10:N497=N497))=1,SUMPRODUCT(--(N$10:N$609&lt;N497))+1,""))</f>
        <v/>
      </c>
      <c r="P497" t="str">
        <f>IFERROR(INDEX(tblY11[Class],ROWS(P$10:P497))&amp;"","")</f>
        <v/>
      </c>
      <c r="Q497" t="str">
        <f>IF(P497="","",IF(SUMPRODUCT(--(P$10:P497=P497))=1,SUMPRODUCT(--(P$10:P$609&lt;P497))+1,""))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IFERROR(INDEX(tblY7[Class],ROWS(H$10:H498))&amp;"","")</f>
        <v/>
      </c>
      <c r="I498" t="str">
        <f>IF(H498="","",IF(SUMPRODUCT(--(H$10:H498=H498))=1,SUMPRODUCT(--(H$10:H$609&lt;H498))+1,""))</f>
        <v/>
      </c>
      <c r="J498" t="str">
        <f>IFERROR(INDEX(tblY8[Class],ROWS(J$10:J498))&amp;"","")</f>
        <v/>
      </c>
      <c r="K498" t="str">
        <f>IF(J498="","",IF(SUMPRODUCT(--(J$10:J498=J498))=1,SUMPRODUCT(--(J$10:J$609&lt;J498))+1,""))</f>
        <v/>
      </c>
      <c r="L498" t="str">
        <f>IFERROR(INDEX(tblY9[Class],ROWS(L$10:L498))&amp;"","")</f>
        <v/>
      </c>
      <c r="M498" t="str">
        <f>IF(L498="","",IF(SUMPRODUCT(--(L$10:L498=L498))=1,SUMPRODUCT(--(L$10:L$609&lt;L498))+1,""))</f>
        <v/>
      </c>
      <c r="N498" t="str">
        <f>IFERROR(INDEX(tblY10[Class],ROWS(N$10:N498))&amp;"","")</f>
        <v/>
      </c>
      <c r="O498" t="str">
        <f>IF(N498="","",IF(SUMPRODUCT(--(N$10:N498=N498))=1,SUMPRODUCT(--(N$10:N$609&lt;N498))+1,""))</f>
        <v/>
      </c>
      <c r="P498" t="str">
        <f>IFERROR(INDEX(tblY11[Class],ROWS(P$10:P498))&amp;"","")</f>
        <v/>
      </c>
      <c r="Q498" t="str">
        <f>IF(P498="","",IF(SUMPRODUCT(--(P$10:P498=P498))=1,SUMPRODUCT(--(P$10:P$609&lt;P498))+1,""))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IFERROR(INDEX(tblY7[Class],ROWS(H$10:H499))&amp;"","")</f>
        <v/>
      </c>
      <c r="I499" t="str">
        <f>IF(H499="","",IF(SUMPRODUCT(--(H$10:H499=H499))=1,SUMPRODUCT(--(H$10:H$609&lt;H499))+1,""))</f>
        <v/>
      </c>
      <c r="J499" t="str">
        <f>IFERROR(INDEX(tblY8[Class],ROWS(J$10:J499))&amp;"","")</f>
        <v/>
      </c>
      <c r="K499" t="str">
        <f>IF(J499="","",IF(SUMPRODUCT(--(J$10:J499=J499))=1,SUMPRODUCT(--(J$10:J$609&lt;J499))+1,""))</f>
        <v/>
      </c>
      <c r="L499" t="str">
        <f>IFERROR(INDEX(tblY9[Class],ROWS(L$10:L499))&amp;"","")</f>
        <v/>
      </c>
      <c r="M499" t="str">
        <f>IF(L499="","",IF(SUMPRODUCT(--(L$10:L499=L499))=1,SUMPRODUCT(--(L$10:L$609&lt;L499))+1,""))</f>
        <v/>
      </c>
      <c r="N499" t="str">
        <f>IFERROR(INDEX(tblY10[Class],ROWS(N$10:N499))&amp;"","")</f>
        <v/>
      </c>
      <c r="O499" t="str">
        <f>IF(N499="","",IF(SUMPRODUCT(--(N$10:N499=N499))=1,SUMPRODUCT(--(N$10:N$609&lt;N499))+1,""))</f>
        <v/>
      </c>
      <c r="P499" t="str">
        <f>IFERROR(INDEX(tblY11[Class],ROWS(P$10:P499))&amp;"","")</f>
        <v/>
      </c>
      <c r="Q499" t="str">
        <f>IF(P499="","",IF(SUMPRODUCT(--(P$10:P499=P499))=1,SUMPRODUCT(--(P$10:P$609&lt;P499))+1,""))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IFERROR(INDEX(tblY7[Class],ROWS(H$10:H500))&amp;"","")</f>
        <v/>
      </c>
      <c r="I500" t="str">
        <f>IF(H500="","",IF(SUMPRODUCT(--(H$10:H500=H500))=1,SUMPRODUCT(--(H$10:H$609&lt;H500))+1,""))</f>
        <v/>
      </c>
      <c r="J500" t="str">
        <f>IFERROR(INDEX(tblY8[Class],ROWS(J$10:J500))&amp;"","")</f>
        <v/>
      </c>
      <c r="K500" t="str">
        <f>IF(J500="","",IF(SUMPRODUCT(--(J$10:J500=J500))=1,SUMPRODUCT(--(J$10:J$609&lt;J500))+1,""))</f>
        <v/>
      </c>
      <c r="L500" t="str">
        <f>IFERROR(INDEX(tblY9[Class],ROWS(L$10:L500))&amp;"","")</f>
        <v/>
      </c>
      <c r="M500" t="str">
        <f>IF(L500="","",IF(SUMPRODUCT(--(L$10:L500=L500))=1,SUMPRODUCT(--(L$10:L$609&lt;L500))+1,""))</f>
        <v/>
      </c>
      <c r="N500" t="str">
        <f>IFERROR(INDEX(tblY10[Class],ROWS(N$10:N500))&amp;"","")</f>
        <v/>
      </c>
      <c r="O500" t="str">
        <f>IF(N500="","",IF(SUMPRODUCT(--(N$10:N500=N500))=1,SUMPRODUCT(--(N$10:N$609&lt;N500))+1,""))</f>
        <v/>
      </c>
      <c r="P500" t="str">
        <f>IFERROR(INDEX(tblY11[Class],ROWS(P$10:P500))&amp;"","")</f>
        <v/>
      </c>
      <c r="Q500" t="str">
        <f>IF(P500="","",IF(SUMPRODUCT(--(P$10:P500=P500))=1,SUMPRODUCT(--(P$10:P$609&lt;P500))+1,""))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IFERROR(INDEX(tblY7[Class],ROWS(H$10:H501))&amp;"","")</f>
        <v/>
      </c>
      <c r="I501" t="str">
        <f>IF(H501="","",IF(SUMPRODUCT(--(H$10:H501=H501))=1,SUMPRODUCT(--(H$10:H$609&lt;H501))+1,""))</f>
        <v/>
      </c>
      <c r="J501" t="str">
        <f>IFERROR(INDEX(tblY8[Class],ROWS(J$10:J501))&amp;"","")</f>
        <v/>
      </c>
      <c r="K501" t="str">
        <f>IF(J501="","",IF(SUMPRODUCT(--(J$10:J501=J501))=1,SUMPRODUCT(--(J$10:J$609&lt;J501))+1,""))</f>
        <v/>
      </c>
      <c r="L501" t="str">
        <f>IFERROR(INDEX(tblY9[Class],ROWS(L$10:L501))&amp;"","")</f>
        <v/>
      </c>
      <c r="M501" t="str">
        <f>IF(L501="","",IF(SUMPRODUCT(--(L$10:L501=L501))=1,SUMPRODUCT(--(L$10:L$609&lt;L501))+1,""))</f>
        <v/>
      </c>
      <c r="N501" t="str">
        <f>IFERROR(INDEX(tblY10[Class],ROWS(N$10:N501))&amp;"","")</f>
        <v/>
      </c>
      <c r="O501" t="str">
        <f>IF(N501="","",IF(SUMPRODUCT(--(N$10:N501=N501))=1,SUMPRODUCT(--(N$10:N$609&lt;N501))+1,""))</f>
        <v/>
      </c>
      <c r="P501" t="str">
        <f>IFERROR(INDEX(tblY11[Class],ROWS(P$10:P501))&amp;"","")</f>
        <v/>
      </c>
      <c r="Q501" t="str">
        <f>IF(P501="","",IF(SUMPRODUCT(--(P$10:P501=P501))=1,SUMPRODUCT(--(P$10:P$609&lt;P501))+1,""))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IFERROR(INDEX(tblY7[Class],ROWS(H$10:H502))&amp;"","")</f>
        <v/>
      </c>
      <c r="I502" t="str">
        <f>IF(H502="","",IF(SUMPRODUCT(--(H$10:H502=H502))=1,SUMPRODUCT(--(H$10:H$609&lt;H502))+1,""))</f>
        <v/>
      </c>
      <c r="J502" t="str">
        <f>IFERROR(INDEX(tblY8[Class],ROWS(J$10:J502))&amp;"","")</f>
        <v/>
      </c>
      <c r="K502" t="str">
        <f>IF(J502="","",IF(SUMPRODUCT(--(J$10:J502=J502))=1,SUMPRODUCT(--(J$10:J$609&lt;J502))+1,""))</f>
        <v/>
      </c>
      <c r="L502" t="str">
        <f>IFERROR(INDEX(tblY9[Class],ROWS(L$10:L502))&amp;"","")</f>
        <v/>
      </c>
      <c r="M502" t="str">
        <f>IF(L502="","",IF(SUMPRODUCT(--(L$10:L502=L502))=1,SUMPRODUCT(--(L$10:L$609&lt;L502))+1,""))</f>
        <v/>
      </c>
      <c r="N502" t="str">
        <f>IFERROR(INDEX(tblY10[Class],ROWS(N$10:N502))&amp;"","")</f>
        <v/>
      </c>
      <c r="O502" t="str">
        <f>IF(N502="","",IF(SUMPRODUCT(--(N$10:N502=N502))=1,SUMPRODUCT(--(N$10:N$609&lt;N502))+1,""))</f>
        <v/>
      </c>
      <c r="P502" t="str">
        <f>IFERROR(INDEX(tblY11[Class],ROWS(P$10:P502))&amp;"","")</f>
        <v/>
      </c>
      <c r="Q502" t="str">
        <f>IF(P502="","",IF(SUMPRODUCT(--(P$10:P502=P502))=1,SUMPRODUCT(--(P$10:P$609&lt;P502))+1,""))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IFERROR(INDEX(tblY7[Class],ROWS(H$10:H503))&amp;"","")</f>
        <v/>
      </c>
      <c r="I503" t="str">
        <f>IF(H503="","",IF(SUMPRODUCT(--(H$10:H503=H503))=1,SUMPRODUCT(--(H$10:H$609&lt;H503))+1,""))</f>
        <v/>
      </c>
      <c r="J503" t="str">
        <f>IFERROR(INDEX(tblY8[Class],ROWS(J$10:J503))&amp;"","")</f>
        <v/>
      </c>
      <c r="K503" t="str">
        <f>IF(J503="","",IF(SUMPRODUCT(--(J$10:J503=J503))=1,SUMPRODUCT(--(J$10:J$609&lt;J503))+1,""))</f>
        <v/>
      </c>
      <c r="L503" t="str">
        <f>IFERROR(INDEX(tblY9[Class],ROWS(L$10:L503))&amp;"","")</f>
        <v/>
      </c>
      <c r="M503" t="str">
        <f>IF(L503="","",IF(SUMPRODUCT(--(L$10:L503=L503))=1,SUMPRODUCT(--(L$10:L$609&lt;L503))+1,""))</f>
        <v/>
      </c>
      <c r="N503" t="str">
        <f>IFERROR(INDEX(tblY10[Class],ROWS(N$10:N503))&amp;"","")</f>
        <v/>
      </c>
      <c r="O503" t="str">
        <f>IF(N503="","",IF(SUMPRODUCT(--(N$10:N503=N503))=1,SUMPRODUCT(--(N$10:N$609&lt;N503))+1,""))</f>
        <v/>
      </c>
      <c r="P503" t="str">
        <f>IFERROR(INDEX(tblY11[Class],ROWS(P$10:P503))&amp;"","")</f>
        <v/>
      </c>
      <c r="Q503" t="str">
        <f>IF(P503="","",IF(SUMPRODUCT(--(P$10:P503=P503))=1,SUMPRODUCT(--(P$10:P$609&lt;P503))+1,""))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IFERROR(INDEX(tblY7[Class],ROWS(H$10:H504))&amp;"","")</f>
        <v/>
      </c>
      <c r="I504" t="str">
        <f>IF(H504="","",IF(SUMPRODUCT(--(H$10:H504=H504))=1,SUMPRODUCT(--(H$10:H$609&lt;H504))+1,""))</f>
        <v/>
      </c>
      <c r="J504" t="str">
        <f>IFERROR(INDEX(tblY8[Class],ROWS(J$10:J504))&amp;"","")</f>
        <v/>
      </c>
      <c r="K504" t="str">
        <f>IF(J504="","",IF(SUMPRODUCT(--(J$10:J504=J504))=1,SUMPRODUCT(--(J$10:J$609&lt;J504))+1,""))</f>
        <v/>
      </c>
      <c r="L504" t="str">
        <f>IFERROR(INDEX(tblY9[Class],ROWS(L$10:L504))&amp;"","")</f>
        <v/>
      </c>
      <c r="M504" t="str">
        <f>IF(L504="","",IF(SUMPRODUCT(--(L$10:L504=L504))=1,SUMPRODUCT(--(L$10:L$609&lt;L504))+1,""))</f>
        <v/>
      </c>
      <c r="N504" t="str">
        <f>IFERROR(INDEX(tblY10[Class],ROWS(N$10:N504))&amp;"","")</f>
        <v/>
      </c>
      <c r="O504" t="str">
        <f>IF(N504="","",IF(SUMPRODUCT(--(N$10:N504=N504))=1,SUMPRODUCT(--(N$10:N$609&lt;N504))+1,""))</f>
        <v/>
      </c>
      <c r="P504" t="str">
        <f>IFERROR(INDEX(tblY11[Class],ROWS(P$10:P504))&amp;"","")</f>
        <v/>
      </c>
      <c r="Q504" t="str">
        <f>IF(P504="","",IF(SUMPRODUCT(--(P$10:P504=P504))=1,SUMPRODUCT(--(P$10:P$609&lt;P504))+1,""))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IFERROR(INDEX(tblY7[Class],ROWS(H$10:H505))&amp;"","")</f>
        <v/>
      </c>
      <c r="I505" t="str">
        <f>IF(H505="","",IF(SUMPRODUCT(--(H$10:H505=H505))=1,SUMPRODUCT(--(H$10:H$609&lt;H505))+1,""))</f>
        <v/>
      </c>
      <c r="J505" t="str">
        <f>IFERROR(INDEX(tblY8[Class],ROWS(J$10:J505))&amp;"","")</f>
        <v/>
      </c>
      <c r="K505" t="str">
        <f>IF(J505="","",IF(SUMPRODUCT(--(J$10:J505=J505))=1,SUMPRODUCT(--(J$10:J$609&lt;J505))+1,""))</f>
        <v/>
      </c>
      <c r="L505" t="str">
        <f>IFERROR(INDEX(tblY9[Class],ROWS(L$10:L505))&amp;"","")</f>
        <v/>
      </c>
      <c r="M505" t="str">
        <f>IF(L505="","",IF(SUMPRODUCT(--(L$10:L505=L505))=1,SUMPRODUCT(--(L$10:L$609&lt;L505))+1,""))</f>
        <v/>
      </c>
      <c r="N505" t="str">
        <f>IFERROR(INDEX(tblY10[Class],ROWS(N$10:N505))&amp;"","")</f>
        <v/>
      </c>
      <c r="O505" t="str">
        <f>IF(N505="","",IF(SUMPRODUCT(--(N$10:N505=N505))=1,SUMPRODUCT(--(N$10:N$609&lt;N505))+1,""))</f>
        <v/>
      </c>
      <c r="P505" t="str">
        <f>IFERROR(INDEX(tblY11[Class],ROWS(P$10:P505))&amp;"","")</f>
        <v/>
      </c>
      <c r="Q505" t="str">
        <f>IF(P505="","",IF(SUMPRODUCT(--(P$10:P505=P505))=1,SUMPRODUCT(--(P$10:P$609&lt;P505))+1,""))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IFERROR(INDEX(tblY7[Class],ROWS(H$10:H506))&amp;"","")</f>
        <v/>
      </c>
      <c r="I506" t="str">
        <f>IF(H506="","",IF(SUMPRODUCT(--(H$10:H506=H506))=1,SUMPRODUCT(--(H$10:H$609&lt;H506))+1,""))</f>
        <v/>
      </c>
      <c r="J506" t="str">
        <f>IFERROR(INDEX(tblY8[Class],ROWS(J$10:J506))&amp;"","")</f>
        <v/>
      </c>
      <c r="K506" t="str">
        <f>IF(J506="","",IF(SUMPRODUCT(--(J$10:J506=J506))=1,SUMPRODUCT(--(J$10:J$609&lt;J506))+1,""))</f>
        <v/>
      </c>
      <c r="L506" t="str">
        <f>IFERROR(INDEX(tblY9[Class],ROWS(L$10:L506))&amp;"","")</f>
        <v/>
      </c>
      <c r="M506" t="str">
        <f>IF(L506="","",IF(SUMPRODUCT(--(L$10:L506=L506))=1,SUMPRODUCT(--(L$10:L$609&lt;L506))+1,""))</f>
        <v/>
      </c>
      <c r="N506" t="str">
        <f>IFERROR(INDEX(tblY10[Class],ROWS(N$10:N506))&amp;"","")</f>
        <v/>
      </c>
      <c r="O506" t="str">
        <f>IF(N506="","",IF(SUMPRODUCT(--(N$10:N506=N506))=1,SUMPRODUCT(--(N$10:N$609&lt;N506))+1,""))</f>
        <v/>
      </c>
      <c r="P506" t="str">
        <f>IFERROR(INDEX(tblY11[Class],ROWS(P$10:P506))&amp;"","")</f>
        <v/>
      </c>
      <c r="Q506" t="str">
        <f>IF(P506="","",IF(SUMPRODUCT(--(P$10:P506=P506))=1,SUMPRODUCT(--(P$10:P$609&lt;P506))+1,""))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IFERROR(INDEX(tblY7[Class],ROWS(H$10:H507))&amp;"","")</f>
        <v/>
      </c>
      <c r="I507" t="str">
        <f>IF(H507="","",IF(SUMPRODUCT(--(H$10:H507=H507))=1,SUMPRODUCT(--(H$10:H$609&lt;H507))+1,""))</f>
        <v/>
      </c>
      <c r="J507" t="str">
        <f>IFERROR(INDEX(tblY8[Class],ROWS(J$10:J507))&amp;"","")</f>
        <v/>
      </c>
      <c r="K507" t="str">
        <f>IF(J507="","",IF(SUMPRODUCT(--(J$10:J507=J507))=1,SUMPRODUCT(--(J$10:J$609&lt;J507))+1,""))</f>
        <v/>
      </c>
      <c r="L507" t="str">
        <f>IFERROR(INDEX(tblY9[Class],ROWS(L$10:L507))&amp;"","")</f>
        <v/>
      </c>
      <c r="M507" t="str">
        <f>IF(L507="","",IF(SUMPRODUCT(--(L$10:L507=L507))=1,SUMPRODUCT(--(L$10:L$609&lt;L507))+1,""))</f>
        <v/>
      </c>
      <c r="N507" t="str">
        <f>IFERROR(INDEX(tblY10[Class],ROWS(N$10:N507))&amp;"","")</f>
        <v/>
      </c>
      <c r="O507" t="str">
        <f>IF(N507="","",IF(SUMPRODUCT(--(N$10:N507=N507))=1,SUMPRODUCT(--(N$10:N$609&lt;N507))+1,""))</f>
        <v/>
      </c>
      <c r="P507" t="str">
        <f>IFERROR(INDEX(tblY11[Class],ROWS(P$10:P507))&amp;"","")</f>
        <v/>
      </c>
      <c r="Q507" t="str">
        <f>IF(P507="","",IF(SUMPRODUCT(--(P$10:P507=P507))=1,SUMPRODUCT(--(P$10:P$609&lt;P507))+1,""))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IFERROR(INDEX(tblY7[Class],ROWS(H$10:H508))&amp;"","")</f>
        <v/>
      </c>
      <c r="I508" t="str">
        <f>IF(H508="","",IF(SUMPRODUCT(--(H$10:H508=H508))=1,SUMPRODUCT(--(H$10:H$609&lt;H508))+1,""))</f>
        <v/>
      </c>
      <c r="J508" t="str">
        <f>IFERROR(INDEX(tblY8[Class],ROWS(J$10:J508))&amp;"","")</f>
        <v/>
      </c>
      <c r="K508" t="str">
        <f>IF(J508="","",IF(SUMPRODUCT(--(J$10:J508=J508))=1,SUMPRODUCT(--(J$10:J$609&lt;J508))+1,""))</f>
        <v/>
      </c>
      <c r="L508" t="str">
        <f>IFERROR(INDEX(tblY9[Class],ROWS(L$10:L508))&amp;"","")</f>
        <v/>
      </c>
      <c r="M508" t="str">
        <f>IF(L508="","",IF(SUMPRODUCT(--(L$10:L508=L508))=1,SUMPRODUCT(--(L$10:L$609&lt;L508))+1,""))</f>
        <v/>
      </c>
      <c r="N508" t="str">
        <f>IFERROR(INDEX(tblY10[Class],ROWS(N$10:N508))&amp;"","")</f>
        <v/>
      </c>
      <c r="O508" t="str">
        <f>IF(N508="","",IF(SUMPRODUCT(--(N$10:N508=N508))=1,SUMPRODUCT(--(N$10:N$609&lt;N508))+1,""))</f>
        <v/>
      </c>
      <c r="P508" t="str">
        <f>IFERROR(INDEX(tblY11[Class],ROWS(P$10:P508))&amp;"","")</f>
        <v/>
      </c>
      <c r="Q508" t="str">
        <f>IF(P508="","",IF(SUMPRODUCT(--(P$10:P508=P508))=1,SUMPRODUCT(--(P$10:P$609&lt;P508))+1,""))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IFERROR(INDEX(tblY7[Class],ROWS(H$10:H509))&amp;"","")</f>
        <v/>
      </c>
      <c r="I509" t="str">
        <f>IF(H509="","",IF(SUMPRODUCT(--(H$10:H509=H509))=1,SUMPRODUCT(--(H$10:H$609&lt;H509))+1,""))</f>
        <v/>
      </c>
      <c r="J509" t="str">
        <f>IFERROR(INDEX(tblY8[Class],ROWS(J$10:J509))&amp;"","")</f>
        <v/>
      </c>
      <c r="K509" t="str">
        <f>IF(J509="","",IF(SUMPRODUCT(--(J$10:J509=J509))=1,SUMPRODUCT(--(J$10:J$609&lt;J509))+1,""))</f>
        <v/>
      </c>
      <c r="L509" t="str">
        <f>IFERROR(INDEX(tblY9[Class],ROWS(L$10:L509))&amp;"","")</f>
        <v/>
      </c>
      <c r="M509" t="str">
        <f>IF(L509="","",IF(SUMPRODUCT(--(L$10:L509=L509))=1,SUMPRODUCT(--(L$10:L$609&lt;L509))+1,""))</f>
        <v/>
      </c>
      <c r="N509" t="str">
        <f>IFERROR(INDEX(tblY10[Class],ROWS(N$10:N509))&amp;"","")</f>
        <v/>
      </c>
      <c r="O509" t="str">
        <f>IF(N509="","",IF(SUMPRODUCT(--(N$10:N509=N509))=1,SUMPRODUCT(--(N$10:N$609&lt;N509))+1,""))</f>
        <v/>
      </c>
      <c r="P509" t="str">
        <f>IFERROR(INDEX(tblY11[Class],ROWS(P$10:P509))&amp;"","")</f>
        <v/>
      </c>
      <c r="Q509" t="str">
        <f>IF(P509="","",IF(SUMPRODUCT(--(P$10:P509=P509))=1,SUMPRODUCT(--(P$10:P$609&lt;P509))+1,""))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IFERROR(INDEX(tblY7[Class],ROWS(H$10:H510))&amp;"","")</f>
        <v/>
      </c>
      <c r="I510" t="str">
        <f>IF(H510="","",IF(SUMPRODUCT(--(H$10:H510=H510))=1,SUMPRODUCT(--(H$10:H$609&lt;H510))+1,""))</f>
        <v/>
      </c>
      <c r="J510" t="str">
        <f>IFERROR(INDEX(tblY8[Class],ROWS(J$10:J510))&amp;"","")</f>
        <v/>
      </c>
      <c r="K510" t="str">
        <f>IF(J510="","",IF(SUMPRODUCT(--(J$10:J510=J510))=1,SUMPRODUCT(--(J$10:J$609&lt;J510))+1,""))</f>
        <v/>
      </c>
      <c r="L510" t="str">
        <f>IFERROR(INDEX(tblY9[Class],ROWS(L$10:L510))&amp;"","")</f>
        <v/>
      </c>
      <c r="M510" t="str">
        <f>IF(L510="","",IF(SUMPRODUCT(--(L$10:L510=L510))=1,SUMPRODUCT(--(L$10:L$609&lt;L510))+1,""))</f>
        <v/>
      </c>
      <c r="N510" t="str">
        <f>IFERROR(INDEX(tblY10[Class],ROWS(N$10:N510))&amp;"","")</f>
        <v/>
      </c>
      <c r="O510" t="str">
        <f>IF(N510="","",IF(SUMPRODUCT(--(N$10:N510=N510))=1,SUMPRODUCT(--(N$10:N$609&lt;N510))+1,""))</f>
        <v/>
      </c>
      <c r="P510" t="str">
        <f>IFERROR(INDEX(tblY11[Class],ROWS(P$10:P510))&amp;"","")</f>
        <v/>
      </c>
      <c r="Q510" t="str">
        <f>IF(P510="","",IF(SUMPRODUCT(--(P$10:P510=P510))=1,SUMPRODUCT(--(P$10:P$609&lt;P510))+1,""))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IFERROR(INDEX(tblY7[Class],ROWS(H$10:H511))&amp;"","")</f>
        <v/>
      </c>
      <c r="I511" t="str">
        <f>IF(H511="","",IF(SUMPRODUCT(--(H$10:H511=H511))=1,SUMPRODUCT(--(H$10:H$609&lt;H511))+1,""))</f>
        <v/>
      </c>
      <c r="J511" t="str">
        <f>IFERROR(INDEX(tblY8[Class],ROWS(J$10:J511))&amp;"","")</f>
        <v/>
      </c>
      <c r="K511" t="str">
        <f>IF(J511="","",IF(SUMPRODUCT(--(J$10:J511=J511))=1,SUMPRODUCT(--(J$10:J$609&lt;J511))+1,""))</f>
        <v/>
      </c>
      <c r="L511" t="str">
        <f>IFERROR(INDEX(tblY9[Class],ROWS(L$10:L511))&amp;"","")</f>
        <v/>
      </c>
      <c r="M511" t="str">
        <f>IF(L511="","",IF(SUMPRODUCT(--(L$10:L511=L511))=1,SUMPRODUCT(--(L$10:L$609&lt;L511))+1,""))</f>
        <v/>
      </c>
      <c r="N511" t="str">
        <f>IFERROR(INDEX(tblY10[Class],ROWS(N$10:N511))&amp;"","")</f>
        <v/>
      </c>
      <c r="O511" t="str">
        <f>IF(N511="","",IF(SUMPRODUCT(--(N$10:N511=N511))=1,SUMPRODUCT(--(N$10:N$609&lt;N511))+1,""))</f>
        <v/>
      </c>
      <c r="P511" t="str">
        <f>IFERROR(INDEX(tblY11[Class],ROWS(P$10:P511))&amp;"","")</f>
        <v/>
      </c>
      <c r="Q511" t="str">
        <f>IF(P511="","",IF(SUMPRODUCT(--(P$10:P511=P511))=1,SUMPRODUCT(--(P$10:P$609&lt;P511))+1,""))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IFERROR(INDEX(tblY7[Class],ROWS(H$10:H512))&amp;"","")</f>
        <v/>
      </c>
      <c r="I512" t="str">
        <f>IF(H512="","",IF(SUMPRODUCT(--(H$10:H512=H512))=1,SUMPRODUCT(--(H$10:H$609&lt;H512))+1,""))</f>
        <v/>
      </c>
      <c r="J512" t="str">
        <f>IFERROR(INDEX(tblY8[Class],ROWS(J$10:J512))&amp;"","")</f>
        <v/>
      </c>
      <c r="K512" t="str">
        <f>IF(J512="","",IF(SUMPRODUCT(--(J$10:J512=J512))=1,SUMPRODUCT(--(J$10:J$609&lt;J512))+1,""))</f>
        <v/>
      </c>
      <c r="L512" t="str">
        <f>IFERROR(INDEX(tblY9[Class],ROWS(L$10:L512))&amp;"","")</f>
        <v/>
      </c>
      <c r="M512" t="str">
        <f>IF(L512="","",IF(SUMPRODUCT(--(L$10:L512=L512))=1,SUMPRODUCT(--(L$10:L$609&lt;L512))+1,""))</f>
        <v/>
      </c>
      <c r="N512" t="str">
        <f>IFERROR(INDEX(tblY10[Class],ROWS(N$10:N512))&amp;"","")</f>
        <v/>
      </c>
      <c r="O512" t="str">
        <f>IF(N512="","",IF(SUMPRODUCT(--(N$10:N512=N512))=1,SUMPRODUCT(--(N$10:N$609&lt;N512))+1,""))</f>
        <v/>
      </c>
      <c r="P512" t="str">
        <f>IFERROR(INDEX(tblY11[Class],ROWS(P$10:P512))&amp;"","")</f>
        <v/>
      </c>
      <c r="Q512" t="str">
        <f>IF(P512="","",IF(SUMPRODUCT(--(P$10:P512=P512))=1,SUMPRODUCT(--(P$10:P$609&lt;P512))+1,""))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IFERROR(INDEX(tblY7[Class],ROWS(H$10:H513))&amp;"","")</f>
        <v/>
      </c>
      <c r="I513" t="str">
        <f>IF(H513="","",IF(SUMPRODUCT(--(H$10:H513=H513))=1,SUMPRODUCT(--(H$10:H$609&lt;H513))+1,""))</f>
        <v/>
      </c>
      <c r="J513" t="str">
        <f>IFERROR(INDEX(tblY8[Class],ROWS(J$10:J513))&amp;"","")</f>
        <v/>
      </c>
      <c r="K513" t="str">
        <f>IF(J513="","",IF(SUMPRODUCT(--(J$10:J513=J513))=1,SUMPRODUCT(--(J$10:J$609&lt;J513))+1,""))</f>
        <v/>
      </c>
      <c r="L513" t="str">
        <f>IFERROR(INDEX(tblY9[Class],ROWS(L$10:L513))&amp;"","")</f>
        <v/>
      </c>
      <c r="M513" t="str">
        <f>IF(L513="","",IF(SUMPRODUCT(--(L$10:L513=L513))=1,SUMPRODUCT(--(L$10:L$609&lt;L513))+1,""))</f>
        <v/>
      </c>
      <c r="N513" t="str">
        <f>IFERROR(INDEX(tblY10[Class],ROWS(N$10:N513))&amp;"","")</f>
        <v/>
      </c>
      <c r="O513" t="str">
        <f>IF(N513="","",IF(SUMPRODUCT(--(N$10:N513=N513))=1,SUMPRODUCT(--(N$10:N$609&lt;N513))+1,""))</f>
        <v/>
      </c>
      <c r="P513" t="str">
        <f>IFERROR(INDEX(tblY11[Class],ROWS(P$10:P513))&amp;"","")</f>
        <v/>
      </c>
      <c r="Q513" t="str">
        <f>IF(P513="","",IF(SUMPRODUCT(--(P$10:P513=P513))=1,SUMPRODUCT(--(P$10:P$609&lt;P513))+1,""))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IFERROR(INDEX(tblY7[Class],ROWS(H$10:H514))&amp;"","")</f>
        <v/>
      </c>
      <c r="I514" t="str">
        <f>IF(H514="","",IF(SUMPRODUCT(--(H$10:H514=H514))=1,SUMPRODUCT(--(H$10:H$609&lt;H514))+1,""))</f>
        <v/>
      </c>
      <c r="J514" t="str">
        <f>IFERROR(INDEX(tblY8[Class],ROWS(J$10:J514))&amp;"","")</f>
        <v/>
      </c>
      <c r="K514" t="str">
        <f>IF(J514="","",IF(SUMPRODUCT(--(J$10:J514=J514))=1,SUMPRODUCT(--(J$10:J$609&lt;J514))+1,""))</f>
        <v/>
      </c>
      <c r="L514" t="str">
        <f>IFERROR(INDEX(tblY9[Class],ROWS(L$10:L514))&amp;"","")</f>
        <v/>
      </c>
      <c r="M514" t="str">
        <f>IF(L514="","",IF(SUMPRODUCT(--(L$10:L514=L514))=1,SUMPRODUCT(--(L$10:L$609&lt;L514))+1,""))</f>
        <v/>
      </c>
      <c r="N514" t="str">
        <f>IFERROR(INDEX(tblY10[Class],ROWS(N$10:N514))&amp;"","")</f>
        <v/>
      </c>
      <c r="O514" t="str">
        <f>IF(N514="","",IF(SUMPRODUCT(--(N$10:N514=N514))=1,SUMPRODUCT(--(N$10:N$609&lt;N514))+1,""))</f>
        <v/>
      </c>
      <c r="P514" t="str">
        <f>IFERROR(INDEX(tblY11[Class],ROWS(P$10:P514))&amp;"","")</f>
        <v/>
      </c>
      <c r="Q514" t="str">
        <f>IF(P514="","",IF(SUMPRODUCT(--(P$10:P514=P514))=1,SUMPRODUCT(--(P$10:P$609&lt;P514))+1,""))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IFERROR(INDEX(tblY7[Class],ROWS(H$10:H515))&amp;"","")</f>
        <v/>
      </c>
      <c r="I515" t="str">
        <f>IF(H515="","",IF(SUMPRODUCT(--(H$10:H515=H515))=1,SUMPRODUCT(--(H$10:H$609&lt;H515))+1,""))</f>
        <v/>
      </c>
      <c r="J515" t="str">
        <f>IFERROR(INDEX(tblY8[Class],ROWS(J$10:J515))&amp;"","")</f>
        <v/>
      </c>
      <c r="K515" t="str">
        <f>IF(J515="","",IF(SUMPRODUCT(--(J$10:J515=J515))=1,SUMPRODUCT(--(J$10:J$609&lt;J515))+1,""))</f>
        <v/>
      </c>
      <c r="L515" t="str">
        <f>IFERROR(INDEX(tblY9[Class],ROWS(L$10:L515))&amp;"","")</f>
        <v/>
      </c>
      <c r="M515" t="str">
        <f>IF(L515="","",IF(SUMPRODUCT(--(L$10:L515=L515))=1,SUMPRODUCT(--(L$10:L$609&lt;L515))+1,""))</f>
        <v/>
      </c>
      <c r="N515" t="str">
        <f>IFERROR(INDEX(tblY10[Class],ROWS(N$10:N515))&amp;"","")</f>
        <v/>
      </c>
      <c r="O515" t="str">
        <f>IF(N515="","",IF(SUMPRODUCT(--(N$10:N515=N515))=1,SUMPRODUCT(--(N$10:N$609&lt;N515))+1,""))</f>
        <v/>
      </c>
      <c r="P515" t="str">
        <f>IFERROR(INDEX(tblY11[Class],ROWS(P$10:P515))&amp;"","")</f>
        <v/>
      </c>
      <c r="Q515" t="str">
        <f>IF(P515="","",IF(SUMPRODUCT(--(P$10:P515=P515))=1,SUMPRODUCT(--(P$10:P$609&lt;P515))+1,""))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IFERROR(INDEX(tblY7[Class],ROWS(H$10:H516))&amp;"","")</f>
        <v/>
      </c>
      <c r="I516" t="str">
        <f>IF(H516="","",IF(SUMPRODUCT(--(H$10:H516=H516))=1,SUMPRODUCT(--(H$10:H$609&lt;H516))+1,""))</f>
        <v/>
      </c>
      <c r="J516" t="str">
        <f>IFERROR(INDEX(tblY8[Class],ROWS(J$10:J516))&amp;"","")</f>
        <v/>
      </c>
      <c r="K516" t="str">
        <f>IF(J516="","",IF(SUMPRODUCT(--(J$10:J516=J516))=1,SUMPRODUCT(--(J$10:J$609&lt;J516))+1,""))</f>
        <v/>
      </c>
      <c r="L516" t="str">
        <f>IFERROR(INDEX(tblY9[Class],ROWS(L$10:L516))&amp;"","")</f>
        <v/>
      </c>
      <c r="M516" t="str">
        <f>IF(L516="","",IF(SUMPRODUCT(--(L$10:L516=L516))=1,SUMPRODUCT(--(L$10:L$609&lt;L516))+1,""))</f>
        <v/>
      </c>
      <c r="N516" t="str">
        <f>IFERROR(INDEX(tblY10[Class],ROWS(N$10:N516))&amp;"","")</f>
        <v/>
      </c>
      <c r="O516" t="str">
        <f>IF(N516="","",IF(SUMPRODUCT(--(N$10:N516=N516))=1,SUMPRODUCT(--(N$10:N$609&lt;N516))+1,""))</f>
        <v/>
      </c>
      <c r="P516" t="str">
        <f>IFERROR(INDEX(tblY11[Class],ROWS(P$10:P516))&amp;"","")</f>
        <v/>
      </c>
      <c r="Q516" t="str">
        <f>IF(P516="","",IF(SUMPRODUCT(--(P$10:P516=P516))=1,SUMPRODUCT(--(P$10:P$609&lt;P516))+1,""))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IFERROR(INDEX(tblY7[Class],ROWS(H$10:H517))&amp;"","")</f>
        <v/>
      </c>
      <c r="I517" t="str">
        <f>IF(H517="","",IF(SUMPRODUCT(--(H$10:H517=H517))=1,SUMPRODUCT(--(H$10:H$609&lt;H517))+1,""))</f>
        <v/>
      </c>
      <c r="J517" t="str">
        <f>IFERROR(INDEX(tblY8[Class],ROWS(J$10:J517))&amp;"","")</f>
        <v/>
      </c>
      <c r="K517" t="str">
        <f>IF(J517="","",IF(SUMPRODUCT(--(J$10:J517=J517))=1,SUMPRODUCT(--(J$10:J$609&lt;J517))+1,""))</f>
        <v/>
      </c>
      <c r="L517" t="str">
        <f>IFERROR(INDEX(tblY9[Class],ROWS(L$10:L517))&amp;"","")</f>
        <v/>
      </c>
      <c r="M517" t="str">
        <f>IF(L517="","",IF(SUMPRODUCT(--(L$10:L517=L517))=1,SUMPRODUCT(--(L$10:L$609&lt;L517))+1,""))</f>
        <v/>
      </c>
      <c r="N517" t="str">
        <f>IFERROR(INDEX(tblY10[Class],ROWS(N$10:N517))&amp;"","")</f>
        <v/>
      </c>
      <c r="O517" t="str">
        <f>IF(N517="","",IF(SUMPRODUCT(--(N$10:N517=N517))=1,SUMPRODUCT(--(N$10:N$609&lt;N517))+1,""))</f>
        <v/>
      </c>
      <c r="P517" t="str">
        <f>IFERROR(INDEX(tblY11[Class],ROWS(P$10:P517))&amp;"","")</f>
        <v/>
      </c>
      <c r="Q517" t="str">
        <f>IF(P517="","",IF(SUMPRODUCT(--(P$10:P517=P517))=1,SUMPRODUCT(--(P$10:P$609&lt;P517))+1,""))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IFERROR(INDEX(tblY7[Class],ROWS(H$10:H518))&amp;"","")</f>
        <v/>
      </c>
      <c r="I518" t="str">
        <f>IF(H518="","",IF(SUMPRODUCT(--(H$10:H518=H518))=1,SUMPRODUCT(--(H$10:H$609&lt;H518))+1,""))</f>
        <v/>
      </c>
      <c r="J518" t="str">
        <f>IFERROR(INDEX(tblY8[Class],ROWS(J$10:J518))&amp;"","")</f>
        <v/>
      </c>
      <c r="K518" t="str">
        <f>IF(J518="","",IF(SUMPRODUCT(--(J$10:J518=J518))=1,SUMPRODUCT(--(J$10:J$609&lt;J518))+1,""))</f>
        <v/>
      </c>
      <c r="L518" t="str">
        <f>IFERROR(INDEX(tblY9[Class],ROWS(L$10:L518))&amp;"","")</f>
        <v/>
      </c>
      <c r="M518" t="str">
        <f>IF(L518="","",IF(SUMPRODUCT(--(L$10:L518=L518))=1,SUMPRODUCT(--(L$10:L$609&lt;L518))+1,""))</f>
        <v/>
      </c>
      <c r="N518" t="str">
        <f>IFERROR(INDEX(tblY10[Class],ROWS(N$10:N518))&amp;"","")</f>
        <v/>
      </c>
      <c r="O518" t="str">
        <f>IF(N518="","",IF(SUMPRODUCT(--(N$10:N518=N518))=1,SUMPRODUCT(--(N$10:N$609&lt;N518))+1,""))</f>
        <v/>
      </c>
      <c r="P518" t="str">
        <f>IFERROR(INDEX(tblY11[Class],ROWS(P$10:P518))&amp;"","")</f>
        <v/>
      </c>
      <c r="Q518" t="str">
        <f>IF(P518="","",IF(SUMPRODUCT(--(P$10:P518=P518))=1,SUMPRODUCT(--(P$10:P$609&lt;P518))+1,""))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IFERROR(INDEX(tblY7[Class],ROWS(H$10:H519))&amp;"","")</f>
        <v/>
      </c>
      <c r="I519" t="str">
        <f>IF(H519="","",IF(SUMPRODUCT(--(H$10:H519=H519))=1,SUMPRODUCT(--(H$10:H$609&lt;H519))+1,""))</f>
        <v/>
      </c>
      <c r="J519" t="str">
        <f>IFERROR(INDEX(tblY8[Class],ROWS(J$10:J519))&amp;"","")</f>
        <v/>
      </c>
      <c r="K519" t="str">
        <f>IF(J519="","",IF(SUMPRODUCT(--(J$10:J519=J519))=1,SUMPRODUCT(--(J$10:J$609&lt;J519))+1,""))</f>
        <v/>
      </c>
      <c r="L519" t="str">
        <f>IFERROR(INDEX(tblY9[Class],ROWS(L$10:L519))&amp;"","")</f>
        <v/>
      </c>
      <c r="M519" t="str">
        <f>IF(L519="","",IF(SUMPRODUCT(--(L$10:L519=L519))=1,SUMPRODUCT(--(L$10:L$609&lt;L519))+1,""))</f>
        <v/>
      </c>
      <c r="N519" t="str">
        <f>IFERROR(INDEX(tblY10[Class],ROWS(N$10:N519))&amp;"","")</f>
        <v/>
      </c>
      <c r="O519" t="str">
        <f>IF(N519="","",IF(SUMPRODUCT(--(N$10:N519=N519))=1,SUMPRODUCT(--(N$10:N$609&lt;N519))+1,""))</f>
        <v/>
      </c>
      <c r="P519" t="str">
        <f>IFERROR(INDEX(tblY11[Class],ROWS(P$10:P519))&amp;"","")</f>
        <v/>
      </c>
      <c r="Q519" t="str">
        <f>IF(P519="","",IF(SUMPRODUCT(--(P$10:P519=P519))=1,SUMPRODUCT(--(P$10:P$609&lt;P519))+1,""))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IFERROR(INDEX(tblY7[Class],ROWS(H$10:H520))&amp;"","")</f>
        <v/>
      </c>
      <c r="I520" t="str">
        <f>IF(H520="","",IF(SUMPRODUCT(--(H$10:H520=H520))=1,SUMPRODUCT(--(H$10:H$609&lt;H520))+1,""))</f>
        <v/>
      </c>
      <c r="J520" t="str">
        <f>IFERROR(INDEX(tblY8[Class],ROWS(J$10:J520))&amp;"","")</f>
        <v/>
      </c>
      <c r="K520" t="str">
        <f>IF(J520="","",IF(SUMPRODUCT(--(J$10:J520=J520))=1,SUMPRODUCT(--(J$10:J$609&lt;J520))+1,""))</f>
        <v/>
      </c>
      <c r="L520" t="str">
        <f>IFERROR(INDEX(tblY9[Class],ROWS(L$10:L520))&amp;"","")</f>
        <v/>
      </c>
      <c r="M520" t="str">
        <f>IF(L520="","",IF(SUMPRODUCT(--(L$10:L520=L520))=1,SUMPRODUCT(--(L$10:L$609&lt;L520))+1,""))</f>
        <v/>
      </c>
      <c r="N520" t="str">
        <f>IFERROR(INDEX(tblY10[Class],ROWS(N$10:N520))&amp;"","")</f>
        <v/>
      </c>
      <c r="O520" t="str">
        <f>IF(N520="","",IF(SUMPRODUCT(--(N$10:N520=N520))=1,SUMPRODUCT(--(N$10:N$609&lt;N520))+1,""))</f>
        <v/>
      </c>
      <c r="P520" t="str">
        <f>IFERROR(INDEX(tblY11[Class],ROWS(P$10:P520))&amp;"","")</f>
        <v/>
      </c>
      <c r="Q520" t="str">
        <f>IF(P520="","",IF(SUMPRODUCT(--(P$10:P520=P520))=1,SUMPRODUCT(--(P$10:P$609&lt;P520))+1,""))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IFERROR(INDEX(tblY7[Class],ROWS(H$10:H521))&amp;"","")</f>
        <v/>
      </c>
      <c r="I521" t="str">
        <f>IF(H521="","",IF(SUMPRODUCT(--(H$10:H521=H521))=1,SUMPRODUCT(--(H$10:H$609&lt;H521))+1,""))</f>
        <v/>
      </c>
      <c r="J521" t="str">
        <f>IFERROR(INDEX(tblY8[Class],ROWS(J$10:J521))&amp;"","")</f>
        <v/>
      </c>
      <c r="K521" t="str">
        <f>IF(J521="","",IF(SUMPRODUCT(--(J$10:J521=J521))=1,SUMPRODUCT(--(J$10:J$609&lt;J521))+1,""))</f>
        <v/>
      </c>
      <c r="L521" t="str">
        <f>IFERROR(INDEX(tblY9[Class],ROWS(L$10:L521))&amp;"","")</f>
        <v/>
      </c>
      <c r="M521" t="str">
        <f>IF(L521="","",IF(SUMPRODUCT(--(L$10:L521=L521))=1,SUMPRODUCT(--(L$10:L$609&lt;L521))+1,""))</f>
        <v/>
      </c>
      <c r="N521" t="str">
        <f>IFERROR(INDEX(tblY10[Class],ROWS(N$10:N521))&amp;"","")</f>
        <v/>
      </c>
      <c r="O521" t="str">
        <f>IF(N521="","",IF(SUMPRODUCT(--(N$10:N521=N521))=1,SUMPRODUCT(--(N$10:N$609&lt;N521))+1,""))</f>
        <v/>
      </c>
      <c r="P521" t="str">
        <f>IFERROR(INDEX(tblY11[Class],ROWS(P$10:P521))&amp;"","")</f>
        <v/>
      </c>
      <c r="Q521" t="str">
        <f>IF(P521="","",IF(SUMPRODUCT(--(P$10:P521=P521))=1,SUMPRODUCT(--(P$10:P$609&lt;P521))+1,""))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IFERROR(INDEX(tblY7[Class],ROWS(H$10:H522))&amp;"","")</f>
        <v/>
      </c>
      <c r="I522" t="str">
        <f>IF(H522="","",IF(SUMPRODUCT(--(H$10:H522=H522))=1,SUMPRODUCT(--(H$10:H$609&lt;H522))+1,""))</f>
        <v/>
      </c>
      <c r="J522" t="str">
        <f>IFERROR(INDEX(tblY8[Class],ROWS(J$10:J522))&amp;"","")</f>
        <v/>
      </c>
      <c r="K522" t="str">
        <f>IF(J522="","",IF(SUMPRODUCT(--(J$10:J522=J522))=1,SUMPRODUCT(--(J$10:J$609&lt;J522))+1,""))</f>
        <v/>
      </c>
      <c r="L522" t="str">
        <f>IFERROR(INDEX(tblY9[Class],ROWS(L$10:L522))&amp;"","")</f>
        <v/>
      </c>
      <c r="M522" t="str">
        <f>IF(L522="","",IF(SUMPRODUCT(--(L$10:L522=L522))=1,SUMPRODUCT(--(L$10:L$609&lt;L522))+1,""))</f>
        <v/>
      </c>
      <c r="N522" t="str">
        <f>IFERROR(INDEX(tblY10[Class],ROWS(N$10:N522))&amp;"","")</f>
        <v/>
      </c>
      <c r="O522" t="str">
        <f>IF(N522="","",IF(SUMPRODUCT(--(N$10:N522=N522))=1,SUMPRODUCT(--(N$10:N$609&lt;N522))+1,""))</f>
        <v/>
      </c>
      <c r="P522" t="str">
        <f>IFERROR(INDEX(tblY11[Class],ROWS(P$10:P522))&amp;"","")</f>
        <v/>
      </c>
      <c r="Q522" t="str">
        <f>IF(P522="","",IF(SUMPRODUCT(--(P$10:P522=P522))=1,SUMPRODUCT(--(P$10:P$609&lt;P522))+1,""))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IFERROR(INDEX(tblY7[Class],ROWS(H$10:H523))&amp;"","")</f>
        <v/>
      </c>
      <c r="I523" t="str">
        <f>IF(H523="","",IF(SUMPRODUCT(--(H$10:H523=H523))=1,SUMPRODUCT(--(H$10:H$609&lt;H523))+1,""))</f>
        <v/>
      </c>
      <c r="J523" t="str">
        <f>IFERROR(INDEX(tblY8[Class],ROWS(J$10:J523))&amp;"","")</f>
        <v/>
      </c>
      <c r="K523" t="str">
        <f>IF(J523="","",IF(SUMPRODUCT(--(J$10:J523=J523))=1,SUMPRODUCT(--(J$10:J$609&lt;J523))+1,""))</f>
        <v/>
      </c>
      <c r="L523" t="str">
        <f>IFERROR(INDEX(tblY9[Class],ROWS(L$10:L523))&amp;"","")</f>
        <v/>
      </c>
      <c r="M523" t="str">
        <f>IF(L523="","",IF(SUMPRODUCT(--(L$10:L523=L523))=1,SUMPRODUCT(--(L$10:L$609&lt;L523))+1,""))</f>
        <v/>
      </c>
      <c r="N523" t="str">
        <f>IFERROR(INDEX(tblY10[Class],ROWS(N$10:N523))&amp;"","")</f>
        <v/>
      </c>
      <c r="O523" t="str">
        <f>IF(N523="","",IF(SUMPRODUCT(--(N$10:N523=N523))=1,SUMPRODUCT(--(N$10:N$609&lt;N523))+1,""))</f>
        <v/>
      </c>
      <c r="P523" t="str">
        <f>IFERROR(INDEX(tblY11[Class],ROWS(P$10:P523))&amp;"","")</f>
        <v/>
      </c>
      <c r="Q523" t="str">
        <f>IF(P523="","",IF(SUMPRODUCT(--(P$10:P523=P523))=1,SUMPRODUCT(--(P$10:P$609&lt;P523))+1,""))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IFERROR(INDEX(tblY7[Class],ROWS(H$10:H524))&amp;"","")</f>
        <v/>
      </c>
      <c r="I524" t="str">
        <f>IF(H524="","",IF(SUMPRODUCT(--(H$10:H524=H524))=1,SUMPRODUCT(--(H$10:H$609&lt;H524))+1,""))</f>
        <v/>
      </c>
      <c r="J524" t="str">
        <f>IFERROR(INDEX(tblY8[Class],ROWS(J$10:J524))&amp;"","")</f>
        <v/>
      </c>
      <c r="K524" t="str">
        <f>IF(J524="","",IF(SUMPRODUCT(--(J$10:J524=J524))=1,SUMPRODUCT(--(J$10:J$609&lt;J524))+1,""))</f>
        <v/>
      </c>
      <c r="L524" t="str">
        <f>IFERROR(INDEX(tblY9[Class],ROWS(L$10:L524))&amp;"","")</f>
        <v/>
      </c>
      <c r="M524" t="str">
        <f>IF(L524="","",IF(SUMPRODUCT(--(L$10:L524=L524))=1,SUMPRODUCT(--(L$10:L$609&lt;L524))+1,""))</f>
        <v/>
      </c>
      <c r="N524" t="str">
        <f>IFERROR(INDEX(tblY10[Class],ROWS(N$10:N524))&amp;"","")</f>
        <v/>
      </c>
      <c r="O524" t="str">
        <f>IF(N524="","",IF(SUMPRODUCT(--(N$10:N524=N524))=1,SUMPRODUCT(--(N$10:N$609&lt;N524))+1,""))</f>
        <v/>
      </c>
      <c r="P524" t="str">
        <f>IFERROR(INDEX(tblY11[Class],ROWS(P$10:P524))&amp;"","")</f>
        <v/>
      </c>
      <c r="Q524" t="str">
        <f>IF(P524="","",IF(SUMPRODUCT(--(P$10:P524=P524))=1,SUMPRODUCT(--(P$10:P$609&lt;P524))+1,""))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IFERROR(INDEX(tblY7[Class],ROWS(H$10:H525))&amp;"","")</f>
        <v/>
      </c>
      <c r="I525" t="str">
        <f>IF(H525="","",IF(SUMPRODUCT(--(H$10:H525=H525))=1,SUMPRODUCT(--(H$10:H$609&lt;H525))+1,""))</f>
        <v/>
      </c>
      <c r="J525" t="str">
        <f>IFERROR(INDEX(tblY8[Class],ROWS(J$10:J525))&amp;"","")</f>
        <v/>
      </c>
      <c r="K525" t="str">
        <f>IF(J525="","",IF(SUMPRODUCT(--(J$10:J525=J525))=1,SUMPRODUCT(--(J$10:J$609&lt;J525))+1,""))</f>
        <v/>
      </c>
      <c r="L525" t="str">
        <f>IFERROR(INDEX(tblY9[Class],ROWS(L$10:L525))&amp;"","")</f>
        <v/>
      </c>
      <c r="M525" t="str">
        <f>IF(L525="","",IF(SUMPRODUCT(--(L$10:L525=L525))=1,SUMPRODUCT(--(L$10:L$609&lt;L525))+1,""))</f>
        <v/>
      </c>
      <c r="N525" t="str">
        <f>IFERROR(INDEX(tblY10[Class],ROWS(N$10:N525))&amp;"","")</f>
        <v/>
      </c>
      <c r="O525" t="str">
        <f>IF(N525="","",IF(SUMPRODUCT(--(N$10:N525=N525))=1,SUMPRODUCT(--(N$10:N$609&lt;N525))+1,""))</f>
        <v/>
      </c>
      <c r="P525" t="str">
        <f>IFERROR(INDEX(tblY11[Class],ROWS(P$10:P525))&amp;"","")</f>
        <v/>
      </c>
      <c r="Q525" t="str">
        <f>IF(P525="","",IF(SUMPRODUCT(--(P$10:P525=P525))=1,SUMPRODUCT(--(P$10:P$609&lt;P525))+1,""))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IFERROR(INDEX(tblY7[Class],ROWS(H$10:H526))&amp;"","")</f>
        <v/>
      </c>
      <c r="I526" t="str">
        <f>IF(H526="","",IF(SUMPRODUCT(--(H$10:H526=H526))=1,SUMPRODUCT(--(H$10:H$609&lt;H526))+1,""))</f>
        <v/>
      </c>
      <c r="J526" t="str">
        <f>IFERROR(INDEX(tblY8[Class],ROWS(J$10:J526))&amp;"","")</f>
        <v/>
      </c>
      <c r="K526" t="str">
        <f>IF(J526="","",IF(SUMPRODUCT(--(J$10:J526=J526))=1,SUMPRODUCT(--(J$10:J$609&lt;J526))+1,""))</f>
        <v/>
      </c>
      <c r="L526" t="str">
        <f>IFERROR(INDEX(tblY9[Class],ROWS(L$10:L526))&amp;"","")</f>
        <v/>
      </c>
      <c r="M526" t="str">
        <f>IF(L526="","",IF(SUMPRODUCT(--(L$10:L526=L526))=1,SUMPRODUCT(--(L$10:L$609&lt;L526))+1,""))</f>
        <v/>
      </c>
      <c r="N526" t="str">
        <f>IFERROR(INDEX(tblY10[Class],ROWS(N$10:N526))&amp;"","")</f>
        <v/>
      </c>
      <c r="O526" t="str">
        <f>IF(N526="","",IF(SUMPRODUCT(--(N$10:N526=N526))=1,SUMPRODUCT(--(N$10:N$609&lt;N526))+1,""))</f>
        <v/>
      </c>
      <c r="P526" t="str">
        <f>IFERROR(INDEX(tblY11[Class],ROWS(P$10:P526))&amp;"","")</f>
        <v/>
      </c>
      <c r="Q526" t="str">
        <f>IF(P526="","",IF(SUMPRODUCT(--(P$10:P526=P526))=1,SUMPRODUCT(--(P$10:P$609&lt;P526))+1,""))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IFERROR(INDEX(tblY7[Class],ROWS(H$10:H527))&amp;"","")</f>
        <v/>
      </c>
      <c r="I527" t="str">
        <f>IF(H527="","",IF(SUMPRODUCT(--(H$10:H527=H527))=1,SUMPRODUCT(--(H$10:H$609&lt;H527))+1,""))</f>
        <v/>
      </c>
      <c r="J527" t="str">
        <f>IFERROR(INDEX(tblY8[Class],ROWS(J$10:J527))&amp;"","")</f>
        <v/>
      </c>
      <c r="K527" t="str">
        <f>IF(J527="","",IF(SUMPRODUCT(--(J$10:J527=J527))=1,SUMPRODUCT(--(J$10:J$609&lt;J527))+1,""))</f>
        <v/>
      </c>
      <c r="L527" t="str">
        <f>IFERROR(INDEX(tblY9[Class],ROWS(L$10:L527))&amp;"","")</f>
        <v/>
      </c>
      <c r="M527" t="str">
        <f>IF(L527="","",IF(SUMPRODUCT(--(L$10:L527=L527))=1,SUMPRODUCT(--(L$10:L$609&lt;L527))+1,""))</f>
        <v/>
      </c>
      <c r="N527" t="str">
        <f>IFERROR(INDEX(tblY10[Class],ROWS(N$10:N527))&amp;"","")</f>
        <v/>
      </c>
      <c r="O527" t="str">
        <f>IF(N527="","",IF(SUMPRODUCT(--(N$10:N527=N527))=1,SUMPRODUCT(--(N$10:N$609&lt;N527))+1,""))</f>
        <v/>
      </c>
      <c r="P527" t="str">
        <f>IFERROR(INDEX(tblY11[Class],ROWS(P$10:P527))&amp;"","")</f>
        <v/>
      </c>
      <c r="Q527" t="str">
        <f>IF(P527="","",IF(SUMPRODUCT(--(P$10:P527=P527))=1,SUMPRODUCT(--(P$10:P$609&lt;P527))+1,""))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IFERROR(INDEX(tblY7[Class],ROWS(H$10:H528))&amp;"","")</f>
        <v/>
      </c>
      <c r="I528" t="str">
        <f>IF(H528="","",IF(SUMPRODUCT(--(H$10:H528=H528))=1,SUMPRODUCT(--(H$10:H$609&lt;H528))+1,""))</f>
        <v/>
      </c>
      <c r="J528" t="str">
        <f>IFERROR(INDEX(tblY8[Class],ROWS(J$10:J528))&amp;"","")</f>
        <v/>
      </c>
      <c r="K528" t="str">
        <f>IF(J528="","",IF(SUMPRODUCT(--(J$10:J528=J528))=1,SUMPRODUCT(--(J$10:J$609&lt;J528))+1,""))</f>
        <v/>
      </c>
      <c r="L528" t="str">
        <f>IFERROR(INDEX(tblY9[Class],ROWS(L$10:L528))&amp;"","")</f>
        <v/>
      </c>
      <c r="M528" t="str">
        <f>IF(L528="","",IF(SUMPRODUCT(--(L$10:L528=L528))=1,SUMPRODUCT(--(L$10:L$609&lt;L528))+1,""))</f>
        <v/>
      </c>
      <c r="N528" t="str">
        <f>IFERROR(INDEX(tblY10[Class],ROWS(N$10:N528))&amp;"","")</f>
        <v/>
      </c>
      <c r="O528" t="str">
        <f>IF(N528="","",IF(SUMPRODUCT(--(N$10:N528=N528))=1,SUMPRODUCT(--(N$10:N$609&lt;N528))+1,""))</f>
        <v/>
      </c>
      <c r="P528" t="str">
        <f>IFERROR(INDEX(tblY11[Class],ROWS(P$10:P528))&amp;"","")</f>
        <v/>
      </c>
      <c r="Q528" t="str">
        <f>IF(P528="","",IF(SUMPRODUCT(--(P$10:P528=P528))=1,SUMPRODUCT(--(P$10:P$609&lt;P528))+1,""))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IFERROR(INDEX(tblY7[Class],ROWS(H$10:H529))&amp;"","")</f>
        <v/>
      </c>
      <c r="I529" t="str">
        <f>IF(H529="","",IF(SUMPRODUCT(--(H$10:H529=H529))=1,SUMPRODUCT(--(H$10:H$609&lt;H529))+1,""))</f>
        <v/>
      </c>
      <c r="J529" t="str">
        <f>IFERROR(INDEX(tblY8[Class],ROWS(J$10:J529))&amp;"","")</f>
        <v/>
      </c>
      <c r="K529" t="str">
        <f>IF(J529="","",IF(SUMPRODUCT(--(J$10:J529=J529))=1,SUMPRODUCT(--(J$10:J$609&lt;J529))+1,""))</f>
        <v/>
      </c>
      <c r="L529" t="str">
        <f>IFERROR(INDEX(tblY9[Class],ROWS(L$10:L529))&amp;"","")</f>
        <v/>
      </c>
      <c r="M529" t="str">
        <f>IF(L529="","",IF(SUMPRODUCT(--(L$10:L529=L529))=1,SUMPRODUCT(--(L$10:L$609&lt;L529))+1,""))</f>
        <v/>
      </c>
      <c r="N529" t="str">
        <f>IFERROR(INDEX(tblY10[Class],ROWS(N$10:N529))&amp;"","")</f>
        <v/>
      </c>
      <c r="O529" t="str">
        <f>IF(N529="","",IF(SUMPRODUCT(--(N$10:N529=N529))=1,SUMPRODUCT(--(N$10:N$609&lt;N529))+1,""))</f>
        <v/>
      </c>
      <c r="P529" t="str">
        <f>IFERROR(INDEX(tblY11[Class],ROWS(P$10:P529))&amp;"","")</f>
        <v/>
      </c>
      <c r="Q529" t="str">
        <f>IF(P529="","",IF(SUMPRODUCT(--(P$10:P529=P529))=1,SUMPRODUCT(--(P$10:P$609&lt;P529))+1,""))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IFERROR(INDEX(tblY7[Class],ROWS(H$10:H530))&amp;"","")</f>
        <v/>
      </c>
      <c r="I530" t="str">
        <f>IF(H530="","",IF(SUMPRODUCT(--(H$10:H530=H530))=1,SUMPRODUCT(--(H$10:H$609&lt;H530))+1,""))</f>
        <v/>
      </c>
      <c r="J530" t="str">
        <f>IFERROR(INDEX(tblY8[Class],ROWS(J$10:J530))&amp;"","")</f>
        <v/>
      </c>
      <c r="K530" t="str">
        <f>IF(J530="","",IF(SUMPRODUCT(--(J$10:J530=J530))=1,SUMPRODUCT(--(J$10:J$609&lt;J530))+1,""))</f>
        <v/>
      </c>
      <c r="L530" t="str">
        <f>IFERROR(INDEX(tblY9[Class],ROWS(L$10:L530))&amp;"","")</f>
        <v/>
      </c>
      <c r="M530" t="str">
        <f>IF(L530="","",IF(SUMPRODUCT(--(L$10:L530=L530))=1,SUMPRODUCT(--(L$10:L$609&lt;L530))+1,""))</f>
        <v/>
      </c>
      <c r="N530" t="str">
        <f>IFERROR(INDEX(tblY10[Class],ROWS(N$10:N530))&amp;"","")</f>
        <v/>
      </c>
      <c r="O530" t="str">
        <f>IF(N530="","",IF(SUMPRODUCT(--(N$10:N530=N530))=1,SUMPRODUCT(--(N$10:N$609&lt;N530))+1,""))</f>
        <v/>
      </c>
      <c r="P530" t="str">
        <f>IFERROR(INDEX(tblY11[Class],ROWS(P$10:P530))&amp;"","")</f>
        <v/>
      </c>
      <c r="Q530" t="str">
        <f>IF(P530="","",IF(SUMPRODUCT(--(P$10:P530=P530))=1,SUMPRODUCT(--(P$10:P$609&lt;P530))+1,""))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IFERROR(INDEX(tblY7[Class],ROWS(H$10:H531))&amp;"","")</f>
        <v/>
      </c>
      <c r="I531" t="str">
        <f>IF(H531="","",IF(SUMPRODUCT(--(H$10:H531=H531))=1,SUMPRODUCT(--(H$10:H$609&lt;H531))+1,""))</f>
        <v/>
      </c>
      <c r="J531" t="str">
        <f>IFERROR(INDEX(tblY8[Class],ROWS(J$10:J531))&amp;"","")</f>
        <v/>
      </c>
      <c r="K531" t="str">
        <f>IF(J531="","",IF(SUMPRODUCT(--(J$10:J531=J531))=1,SUMPRODUCT(--(J$10:J$609&lt;J531))+1,""))</f>
        <v/>
      </c>
      <c r="L531" t="str">
        <f>IFERROR(INDEX(tblY9[Class],ROWS(L$10:L531))&amp;"","")</f>
        <v/>
      </c>
      <c r="M531" t="str">
        <f>IF(L531="","",IF(SUMPRODUCT(--(L$10:L531=L531))=1,SUMPRODUCT(--(L$10:L$609&lt;L531))+1,""))</f>
        <v/>
      </c>
      <c r="N531" t="str">
        <f>IFERROR(INDEX(tblY10[Class],ROWS(N$10:N531))&amp;"","")</f>
        <v/>
      </c>
      <c r="O531" t="str">
        <f>IF(N531="","",IF(SUMPRODUCT(--(N$10:N531=N531))=1,SUMPRODUCT(--(N$10:N$609&lt;N531))+1,""))</f>
        <v/>
      </c>
      <c r="P531" t="str">
        <f>IFERROR(INDEX(tblY11[Class],ROWS(P$10:P531))&amp;"","")</f>
        <v/>
      </c>
      <c r="Q531" t="str">
        <f>IF(P531="","",IF(SUMPRODUCT(--(P$10:P531=P531))=1,SUMPRODUCT(--(P$10:P$609&lt;P531))+1,""))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IFERROR(INDEX(tblY7[Class],ROWS(H$10:H532))&amp;"","")</f>
        <v/>
      </c>
      <c r="I532" t="str">
        <f>IF(H532="","",IF(SUMPRODUCT(--(H$10:H532=H532))=1,SUMPRODUCT(--(H$10:H$609&lt;H532))+1,""))</f>
        <v/>
      </c>
      <c r="J532" t="str">
        <f>IFERROR(INDEX(tblY8[Class],ROWS(J$10:J532))&amp;"","")</f>
        <v/>
      </c>
      <c r="K532" t="str">
        <f>IF(J532="","",IF(SUMPRODUCT(--(J$10:J532=J532))=1,SUMPRODUCT(--(J$10:J$609&lt;J532))+1,""))</f>
        <v/>
      </c>
      <c r="L532" t="str">
        <f>IFERROR(INDEX(tblY9[Class],ROWS(L$10:L532))&amp;"","")</f>
        <v/>
      </c>
      <c r="M532" t="str">
        <f>IF(L532="","",IF(SUMPRODUCT(--(L$10:L532=L532))=1,SUMPRODUCT(--(L$10:L$609&lt;L532))+1,""))</f>
        <v/>
      </c>
      <c r="N532" t="str">
        <f>IFERROR(INDEX(tblY10[Class],ROWS(N$10:N532))&amp;"","")</f>
        <v/>
      </c>
      <c r="O532" t="str">
        <f>IF(N532="","",IF(SUMPRODUCT(--(N$10:N532=N532))=1,SUMPRODUCT(--(N$10:N$609&lt;N532))+1,""))</f>
        <v/>
      </c>
      <c r="P532" t="str">
        <f>IFERROR(INDEX(tblY11[Class],ROWS(P$10:P532))&amp;"","")</f>
        <v/>
      </c>
      <c r="Q532" t="str">
        <f>IF(P532="","",IF(SUMPRODUCT(--(P$10:P532=P532))=1,SUMPRODUCT(--(P$10:P$609&lt;P532))+1,""))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IFERROR(INDEX(tblY7[Class],ROWS(H$10:H533))&amp;"","")</f>
        <v/>
      </c>
      <c r="I533" t="str">
        <f>IF(H533="","",IF(SUMPRODUCT(--(H$10:H533=H533))=1,SUMPRODUCT(--(H$10:H$609&lt;H533))+1,""))</f>
        <v/>
      </c>
      <c r="J533" t="str">
        <f>IFERROR(INDEX(tblY8[Class],ROWS(J$10:J533))&amp;"","")</f>
        <v/>
      </c>
      <c r="K533" t="str">
        <f>IF(J533="","",IF(SUMPRODUCT(--(J$10:J533=J533))=1,SUMPRODUCT(--(J$10:J$609&lt;J533))+1,""))</f>
        <v/>
      </c>
      <c r="L533" t="str">
        <f>IFERROR(INDEX(tblY9[Class],ROWS(L$10:L533))&amp;"","")</f>
        <v/>
      </c>
      <c r="M533" t="str">
        <f>IF(L533="","",IF(SUMPRODUCT(--(L$10:L533=L533))=1,SUMPRODUCT(--(L$10:L$609&lt;L533))+1,""))</f>
        <v/>
      </c>
      <c r="N533" t="str">
        <f>IFERROR(INDEX(tblY10[Class],ROWS(N$10:N533))&amp;"","")</f>
        <v/>
      </c>
      <c r="O533" t="str">
        <f>IF(N533="","",IF(SUMPRODUCT(--(N$10:N533=N533))=1,SUMPRODUCT(--(N$10:N$609&lt;N533))+1,""))</f>
        <v/>
      </c>
      <c r="P533" t="str">
        <f>IFERROR(INDEX(tblY11[Class],ROWS(P$10:P533))&amp;"","")</f>
        <v/>
      </c>
      <c r="Q533" t="str">
        <f>IF(P533="","",IF(SUMPRODUCT(--(P$10:P533=P533))=1,SUMPRODUCT(--(P$10:P$609&lt;P533))+1,""))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IFERROR(INDEX(tblY7[Class],ROWS(H$10:H534))&amp;"","")</f>
        <v/>
      </c>
      <c r="I534" t="str">
        <f>IF(H534="","",IF(SUMPRODUCT(--(H$10:H534=H534))=1,SUMPRODUCT(--(H$10:H$609&lt;H534))+1,""))</f>
        <v/>
      </c>
      <c r="J534" t="str">
        <f>IFERROR(INDEX(tblY8[Class],ROWS(J$10:J534))&amp;"","")</f>
        <v/>
      </c>
      <c r="K534" t="str">
        <f>IF(J534="","",IF(SUMPRODUCT(--(J$10:J534=J534))=1,SUMPRODUCT(--(J$10:J$609&lt;J534))+1,""))</f>
        <v/>
      </c>
      <c r="L534" t="str">
        <f>IFERROR(INDEX(tblY9[Class],ROWS(L$10:L534))&amp;"","")</f>
        <v/>
      </c>
      <c r="M534" t="str">
        <f>IF(L534="","",IF(SUMPRODUCT(--(L$10:L534=L534))=1,SUMPRODUCT(--(L$10:L$609&lt;L534))+1,""))</f>
        <v/>
      </c>
      <c r="N534" t="str">
        <f>IFERROR(INDEX(tblY10[Class],ROWS(N$10:N534))&amp;"","")</f>
        <v/>
      </c>
      <c r="O534" t="str">
        <f>IF(N534="","",IF(SUMPRODUCT(--(N$10:N534=N534))=1,SUMPRODUCT(--(N$10:N$609&lt;N534))+1,""))</f>
        <v/>
      </c>
      <c r="P534" t="str">
        <f>IFERROR(INDEX(tblY11[Class],ROWS(P$10:P534))&amp;"","")</f>
        <v/>
      </c>
      <c r="Q534" t="str">
        <f>IF(P534="","",IF(SUMPRODUCT(--(P$10:P534=P534))=1,SUMPRODUCT(--(P$10:P$609&lt;P534))+1,""))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IFERROR(INDEX(tblY7[Class],ROWS(H$10:H535))&amp;"","")</f>
        <v/>
      </c>
      <c r="I535" t="str">
        <f>IF(H535="","",IF(SUMPRODUCT(--(H$10:H535=H535))=1,SUMPRODUCT(--(H$10:H$609&lt;H535))+1,""))</f>
        <v/>
      </c>
      <c r="J535" t="str">
        <f>IFERROR(INDEX(tblY8[Class],ROWS(J$10:J535))&amp;"","")</f>
        <v/>
      </c>
      <c r="K535" t="str">
        <f>IF(J535="","",IF(SUMPRODUCT(--(J$10:J535=J535))=1,SUMPRODUCT(--(J$10:J$609&lt;J535))+1,""))</f>
        <v/>
      </c>
      <c r="L535" t="str">
        <f>IFERROR(INDEX(tblY9[Class],ROWS(L$10:L535))&amp;"","")</f>
        <v/>
      </c>
      <c r="M535" t="str">
        <f>IF(L535="","",IF(SUMPRODUCT(--(L$10:L535=L535))=1,SUMPRODUCT(--(L$10:L$609&lt;L535))+1,""))</f>
        <v/>
      </c>
      <c r="N535" t="str">
        <f>IFERROR(INDEX(tblY10[Class],ROWS(N$10:N535))&amp;"","")</f>
        <v/>
      </c>
      <c r="O535" t="str">
        <f>IF(N535="","",IF(SUMPRODUCT(--(N$10:N535=N535))=1,SUMPRODUCT(--(N$10:N$609&lt;N535))+1,""))</f>
        <v/>
      </c>
      <c r="P535" t="str">
        <f>IFERROR(INDEX(tblY11[Class],ROWS(P$10:P535))&amp;"","")</f>
        <v/>
      </c>
      <c r="Q535" t="str">
        <f>IF(P535="","",IF(SUMPRODUCT(--(P$10:P535=P535))=1,SUMPRODUCT(--(P$10:P$609&lt;P535))+1,""))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IFERROR(INDEX(tblY7[Class],ROWS(H$10:H536))&amp;"","")</f>
        <v/>
      </c>
      <c r="I536" t="str">
        <f>IF(H536="","",IF(SUMPRODUCT(--(H$10:H536=H536))=1,SUMPRODUCT(--(H$10:H$609&lt;H536))+1,""))</f>
        <v/>
      </c>
      <c r="J536" t="str">
        <f>IFERROR(INDEX(tblY8[Class],ROWS(J$10:J536))&amp;"","")</f>
        <v/>
      </c>
      <c r="K536" t="str">
        <f>IF(J536="","",IF(SUMPRODUCT(--(J$10:J536=J536))=1,SUMPRODUCT(--(J$10:J$609&lt;J536))+1,""))</f>
        <v/>
      </c>
      <c r="L536" t="str">
        <f>IFERROR(INDEX(tblY9[Class],ROWS(L$10:L536))&amp;"","")</f>
        <v/>
      </c>
      <c r="M536" t="str">
        <f>IF(L536="","",IF(SUMPRODUCT(--(L$10:L536=L536))=1,SUMPRODUCT(--(L$10:L$609&lt;L536))+1,""))</f>
        <v/>
      </c>
      <c r="N536" t="str">
        <f>IFERROR(INDEX(tblY10[Class],ROWS(N$10:N536))&amp;"","")</f>
        <v/>
      </c>
      <c r="O536" t="str">
        <f>IF(N536="","",IF(SUMPRODUCT(--(N$10:N536=N536))=1,SUMPRODUCT(--(N$10:N$609&lt;N536))+1,""))</f>
        <v/>
      </c>
      <c r="P536" t="str">
        <f>IFERROR(INDEX(tblY11[Class],ROWS(P$10:P536))&amp;"","")</f>
        <v/>
      </c>
      <c r="Q536" t="str">
        <f>IF(P536="","",IF(SUMPRODUCT(--(P$10:P536=P536))=1,SUMPRODUCT(--(P$10:P$609&lt;P536))+1,""))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IFERROR(INDEX(tblY7[Class],ROWS(H$10:H537))&amp;"","")</f>
        <v/>
      </c>
      <c r="I537" t="str">
        <f>IF(H537="","",IF(SUMPRODUCT(--(H$10:H537=H537))=1,SUMPRODUCT(--(H$10:H$609&lt;H537))+1,""))</f>
        <v/>
      </c>
      <c r="J537" t="str">
        <f>IFERROR(INDEX(tblY8[Class],ROWS(J$10:J537))&amp;"","")</f>
        <v/>
      </c>
      <c r="K537" t="str">
        <f>IF(J537="","",IF(SUMPRODUCT(--(J$10:J537=J537))=1,SUMPRODUCT(--(J$10:J$609&lt;J537))+1,""))</f>
        <v/>
      </c>
      <c r="L537" t="str">
        <f>IFERROR(INDEX(tblY9[Class],ROWS(L$10:L537))&amp;"","")</f>
        <v/>
      </c>
      <c r="M537" t="str">
        <f>IF(L537="","",IF(SUMPRODUCT(--(L$10:L537=L537))=1,SUMPRODUCT(--(L$10:L$609&lt;L537))+1,""))</f>
        <v/>
      </c>
      <c r="N537" t="str">
        <f>IFERROR(INDEX(tblY10[Class],ROWS(N$10:N537))&amp;"","")</f>
        <v/>
      </c>
      <c r="O537" t="str">
        <f>IF(N537="","",IF(SUMPRODUCT(--(N$10:N537=N537))=1,SUMPRODUCT(--(N$10:N$609&lt;N537))+1,""))</f>
        <v/>
      </c>
      <c r="P537" t="str">
        <f>IFERROR(INDEX(tblY11[Class],ROWS(P$10:P537))&amp;"","")</f>
        <v/>
      </c>
      <c r="Q537" t="str">
        <f>IF(P537="","",IF(SUMPRODUCT(--(P$10:P537=P537))=1,SUMPRODUCT(--(P$10:P$609&lt;P537))+1,""))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IFERROR(INDEX(tblY7[Class],ROWS(H$10:H538))&amp;"","")</f>
        <v/>
      </c>
      <c r="I538" t="str">
        <f>IF(H538="","",IF(SUMPRODUCT(--(H$10:H538=H538))=1,SUMPRODUCT(--(H$10:H$609&lt;H538))+1,""))</f>
        <v/>
      </c>
      <c r="J538" t="str">
        <f>IFERROR(INDEX(tblY8[Class],ROWS(J$10:J538))&amp;"","")</f>
        <v/>
      </c>
      <c r="K538" t="str">
        <f>IF(J538="","",IF(SUMPRODUCT(--(J$10:J538=J538))=1,SUMPRODUCT(--(J$10:J$609&lt;J538))+1,""))</f>
        <v/>
      </c>
      <c r="L538" t="str">
        <f>IFERROR(INDEX(tblY9[Class],ROWS(L$10:L538))&amp;"","")</f>
        <v/>
      </c>
      <c r="M538" t="str">
        <f>IF(L538="","",IF(SUMPRODUCT(--(L$10:L538=L538))=1,SUMPRODUCT(--(L$10:L$609&lt;L538))+1,""))</f>
        <v/>
      </c>
      <c r="N538" t="str">
        <f>IFERROR(INDEX(tblY10[Class],ROWS(N$10:N538))&amp;"","")</f>
        <v/>
      </c>
      <c r="O538" t="str">
        <f>IF(N538="","",IF(SUMPRODUCT(--(N$10:N538=N538))=1,SUMPRODUCT(--(N$10:N$609&lt;N538))+1,""))</f>
        <v/>
      </c>
      <c r="P538" t="str">
        <f>IFERROR(INDEX(tblY11[Class],ROWS(P$10:P538))&amp;"","")</f>
        <v/>
      </c>
      <c r="Q538" t="str">
        <f>IF(P538="","",IF(SUMPRODUCT(--(P$10:P538=P538))=1,SUMPRODUCT(--(P$10:P$609&lt;P538))+1,""))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IFERROR(INDEX(tblY7[Class],ROWS(H$10:H539))&amp;"","")</f>
        <v/>
      </c>
      <c r="I539" t="str">
        <f>IF(H539="","",IF(SUMPRODUCT(--(H$10:H539=H539))=1,SUMPRODUCT(--(H$10:H$609&lt;H539))+1,""))</f>
        <v/>
      </c>
      <c r="J539" t="str">
        <f>IFERROR(INDEX(tblY8[Class],ROWS(J$10:J539))&amp;"","")</f>
        <v/>
      </c>
      <c r="K539" t="str">
        <f>IF(J539="","",IF(SUMPRODUCT(--(J$10:J539=J539))=1,SUMPRODUCT(--(J$10:J$609&lt;J539))+1,""))</f>
        <v/>
      </c>
      <c r="L539" t="str">
        <f>IFERROR(INDEX(tblY9[Class],ROWS(L$10:L539))&amp;"","")</f>
        <v/>
      </c>
      <c r="M539" t="str">
        <f>IF(L539="","",IF(SUMPRODUCT(--(L$10:L539=L539))=1,SUMPRODUCT(--(L$10:L$609&lt;L539))+1,""))</f>
        <v/>
      </c>
      <c r="N539" t="str">
        <f>IFERROR(INDEX(tblY10[Class],ROWS(N$10:N539))&amp;"","")</f>
        <v/>
      </c>
      <c r="O539" t="str">
        <f>IF(N539="","",IF(SUMPRODUCT(--(N$10:N539=N539))=1,SUMPRODUCT(--(N$10:N$609&lt;N539))+1,""))</f>
        <v/>
      </c>
      <c r="P539" t="str">
        <f>IFERROR(INDEX(tblY11[Class],ROWS(P$10:P539))&amp;"","")</f>
        <v/>
      </c>
      <c r="Q539" t="str">
        <f>IF(P539="","",IF(SUMPRODUCT(--(P$10:P539=P539))=1,SUMPRODUCT(--(P$10:P$609&lt;P539))+1,""))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IFERROR(INDEX(tblY7[Class],ROWS(H$10:H540))&amp;"","")</f>
        <v/>
      </c>
      <c r="I540" t="str">
        <f>IF(H540="","",IF(SUMPRODUCT(--(H$10:H540=H540))=1,SUMPRODUCT(--(H$10:H$609&lt;H540))+1,""))</f>
        <v/>
      </c>
      <c r="J540" t="str">
        <f>IFERROR(INDEX(tblY8[Class],ROWS(J$10:J540))&amp;"","")</f>
        <v/>
      </c>
      <c r="K540" t="str">
        <f>IF(J540="","",IF(SUMPRODUCT(--(J$10:J540=J540))=1,SUMPRODUCT(--(J$10:J$609&lt;J540))+1,""))</f>
        <v/>
      </c>
      <c r="L540" t="str">
        <f>IFERROR(INDEX(tblY9[Class],ROWS(L$10:L540))&amp;"","")</f>
        <v/>
      </c>
      <c r="M540" t="str">
        <f>IF(L540="","",IF(SUMPRODUCT(--(L$10:L540=L540))=1,SUMPRODUCT(--(L$10:L$609&lt;L540))+1,""))</f>
        <v/>
      </c>
      <c r="N540" t="str">
        <f>IFERROR(INDEX(tblY10[Class],ROWS(N$10:N540))&amp;"","")</f>
        <v/>
      </c>
      <c r="O540" t="str">
        <f>IF(N540="","",IF(SUMPRODUCT(--(N$10:N540=N540))=1,SUMPRODUCT(--(N$10:N$609&lt;N540))+1,""))</f>
        <v/>
      </c>
      <c r="P540" t="str">
        <f>IFERROR(INDEX(tblY11[Class],ROWS(P$10:P540))&amp;"","")</f>
        <v/>
      </c>
      <c r="Q540" t="str">
        <f>IF(P540="","",IF(SUMPRODUCT(--(P$10:P540=P540))=1,SUMPRODUCT(--(P$10:P$609&lt;P540))+1,""))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IFERROR(INDEX(tblY7[Class],ROWS(H$10:H541))&amp;"","")</f>
        <v/>
      </c>
      <c r="I541" t="str">
        <f>IF(H541="","",IF(SUMPRODUCT(--(H$10:H541=H541))=1,SUMPRODUCT(--(H$10:H$609&lt;H541))+1,""))</f>
        <v/>
      </c>
      <c r="J541" t="str">
        <f>IFERROR(INDEX(tblY8[Class],ROWS(J$10:J541))&amp;"","")</f>
        <v/>
      </c>
      <c r="K541" t="str">
        <f>IF(J541="","",IF(SUMPRODUCT(--(J$10:J541=J541))=1,SUMPRODUCT(--(J$10:J$609&lt;J541))+1,""))</f>
        <v/>
      </c>
      <c r="L541" t="str">
        <f>IFERROR(INDEX(tblY9[Class],ROWS(L$10:L541))&amp;"","")</f>
        <v/>
      </c>
      <c r="M541" t="str">
        <f>IF(L541="","",IF(SUMPRODUCT(--(L$10:L541=L541))=1,SUMPRODUCT(--(L$10:L$609&lt;L541))+1,""))</f>
        <v/>
      </c>
      <c r="N541" t="str">
        <f>IFERROR(INDEX(tblY10[Class],ROWS(N$10:N541))&amp;"","")</f>
        <v/>
      </c>
      <c r="O541" t="str">
        <f>IF(N541="","",IF(SUMPRODUCT(--(N$10:N541=N541))=1,SUMPRODUCT(--(N$10:N$609&lt;N541))+1,""))</f>
        <v/>
      </c>
      <c r="P541" t="str">
        <f>IFERROR(INDEX(tblY11[Class],ROWS(P$10:P541))&amp;"","")</f>
        <v/>
      </c>
      <c r="Q541" t="str">
        <f>IF(P541="","",IF(SUMPRODUCT(--(P$10:P541=P541))=1,SUMPRODUCT(--(P$10:P$609&lt;P541))+1,""))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IFERROR(INDEX(tblY7[Class],ROWS(H$10:H542))&amp;"","")</f>
        <v/>
      </c>
      <c r="I542" t="str">
        <f>IF(H542="","",IF(SUMPRODUCT(--(H$10:H542=H542))=1,SUMPRODUCT(--(H$10:H$609&lt;H542))+1,""))</f>
        <v/>
      </c>
      <c r="J542" t="str">
        <f>IFERROR(INDEX(tblY8[Class],ROWS(J$10:J542))&amp;"","")</f>
        <v/>
      </c>
      <c r="K542" t="str">
        <f>IF(J542="","",IF(SUMPRODUCT(--(J$10:J542=J542))=1,SUMPRODUCT(--(J$10:J$609&lt;J542))+1,""))</f>
        <v/>
      </c>
      <c r="L542" t="str">
        <f>IFERROR(INDEX(tblY9[Class],ROWS(L$10:L542))&amp;"","")</f>
        <v/>
      </c>
      <c r="M542" t="str">
        <f>IF(L542="","",IF(SUMPRODUCT(--(L$10:L542=L542))=1,SUMPRODUCT(--(L$10:L$609&lt;L542))+1,""))</f>
        <v/>
      </c>
      <c r="N542" t="str">
        <f>IFERROR(INDEX(tblY10[Class],ROWS(N$10:N542))&amp;"","")</f>
        <v/>
      </c>
      <c r="O542" t="str">
        <f>IF(N542="","",IF(SUMPRODUCT(--(N$10:N542=N542))=1,SUMPRODUCT(--(N$10:N$609&lt;N542))+1,""))</f>
        <v/>
      </c>
      <c r="P542" t="str">
        <f>IFERROR(INDEX(tblY11[Class],ROWS(P$10:P542))&amp;"","")</f>
        <v/>
      </c>
      <c r="Q542" t="str">
        <f>IF(P542="","",IF(SUMPRODUCT(--(P$10:P542=P542))=1,SUMPRODUCT(--(P$10:P$609&lt;P542))+1,""))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IFERROR(INDEX(tblY7[Class],ROWS(H$10:H543))&amp;"","")</f>
        <v/>
      </c>
      <c r="I543" t="str">
        <f>IF(H543="","",IF(SUMPRODUCT(--(H$10:H543=H543))=1,SUMPRODUCT(--(H$10:H$609&lt;H543))+1,""))</f>
        <v/>
      </c>
      <c r="J543" t="str">
        <f>IFERROR(INDEX(tblY8[Class],ROWS(J$10:J543))&amp;"","")</f>
        <v/>
      </c>
      <c r="K543" t="str">
        <f>IF(J543="","",IF(SUMPRODUCT(--(J$10:J543=J543))=1,SUMPRODUCT(--(J$10:J$609&lt;J543))+1,""))</f>
        <v/>
      </c>
      <c r="L543" t="str">
        <f>IFERROR(INDEX(tblY9[Class],ROWS(L$10:L543))&amp;"","")</f>
        <v/>
      </c>
      <c r="M543" t="str">
        <f>IF(L543="","",IF(SUMPRODUCT(--(L$10:L543=L543))=1,SUMPRODUCT(--(L$10:L$609&lt;L543))+1,""))</f>
        <v/>
      </c>
      <c r="N543" t="str">
        <f>IFERROR(INDEX(tblY10[Class],ROWS(N$10:N543))&amp;"","")</f>
        <v/>
      </c>
      <c r="O543" t="str">
        <f>IF(N543="","",IF(SUMPRODUCT(--(N$10:N543=N543))=1,SUMPRODUCT(--(N$10:N$609&lt;N543))+1,""))</f>
        <v/>
      </c>
      <c r="P543" t="str">
        <f>IFERROR(INDEX(tblY11[Class],ROWS(P$10:P543))&amp;"","")</f>
        <v/>
      </c>
      <c r="Q543" t="str">
        <f>IF(P543="","",IF(SUMPRODUCT(--(P$10:P543=P543))=1,SUMPRODUCT(--(P$10:P$609&lt;P543))+1,""))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IFERROR(INDEX(tblY7[Class],ROWS(H$10:H544))&amp;"","")</f>
        <v/>
      </c>
      <c r="I544" t="str">
        <f>IF(H544="","",IF(SUMPRODUCT(--(H$10:H544=H544))=1,SUMPRODUCT(--(H$10:H$609&lt;H544))+1,""))</f>
        <v/>
      </c>
      <c r="J544" t="str">
        <f>IFERROR(INDEX(tblY8[Class],ROWS(J$10:J544))&amp;"","")</f>
        <v/>
      </c>
      <c r="K544" t="str">
        <f>IF(J544="","",IF(SUMPRODUCT(--(J$10:J544=J544))=1,SUMPRODUCT(--(J$10:J$609&lt;J544))+1,""))</f>
        <v/>
      </c>
      <c r="L544" t="str">
        <f>IFERROR(INDEX(tblY9[Class],ROWS(L$10:L544))&amp;"","")</f>
        <v/>
      </c>
      <c r="M544" t="str">
        <f>IF(L544="","",IF(SUMPRODUCT(--(L$10:L544=L544))=1,SUMPRODUCT(--(L$10:L$609&lt;L544))+1,""))</f>
        <v/>
      </c>
      <c r="N544" t="str">
        <f>IFERROR(INDEX(tblY10[Class],ROWS(N$10:N544))&amp;"","")</f>
        <v/>
      </c>
      <c r="O544" t="str">
        <f>IF(N544="","",IF(SUMPRODUCT(--(N$10:N544=N544))=1,SUMPRODUCT(--(N$10:N$609&lt;N544))+1,""))</f>
        <v/>
      </c>
      <c r="P544" t="str">
        <f>IFERROR(INDEX(tblY11[Class],ROWS(P$10:P544))&amp;"","")</f>
        <v/>
      </c>
      <c r="Q544" t="str">
        <f>IF(P544="","",IF(SUMPRODUCT(--(P$10:P544=P544))=1,SUMPRODUCT(--(P$10:P$609&lt;P544))+1,""))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IFERROR(INDEX(tblY7[Class],ROWS(H$10:H545))&amp;"","")</f>
        <v/>
      </c>
      <c r="I545" t="str">
        <f>IF(H545="","",IF(SUMPRODUCT(--(H$10:H545=H545))=1,SUMPRODUCT(--(H$10:H$609&lt;H545))+1,""))</f>
        <v/>
      </c>
      <c r="J545" t="str">
        <f>IFERROR(INDEX(tblY8[Class],ROWS(J$10:J545))&amp;"","")</f>
        <v/>
      </c>
      <c r="K545" t="str">
        <f>IF(J545="","",IF(SUMPRODUCT(--(J$10:J545=J545))=1,SUMPRODUCT(--(J$10:J$609&lt;J545))+1,""))</f>
        <v/>
      </c>
      <c r="L545" t="str">
        <f>IFERROR(INDEX(tblY9[Class],ROWS(L$10:L545))&amp;"","")</f>
        <v/>
      </c>
      <c r="M545" t="str">
        <f>IF(L545="","",IF(SUMPRODUCT(--(L$10:L545=L545))=1,SUMPRODUCT(--(L$10:L$609&lt;L545))+1,""))</f>
        <v/>
      </c>
      <c r="N545" t="str">
        <f>IFERROR(INDEX(tblY10[Class],ROWS(N$10:N545))&amp;"","")</f>
        <v/>
      </c>
      <c r="O545" t="str">
        <f>IF(N545="","",IF(SUMPRODUCT(--(N$10:N545=N545))=1,SUMPRODUCT(--(N$10:N$609&lt;N545))+1,""))</f>
        <v/>
      </c>
      <c r="P545" t="str">
        <f>IFERROR(INDEX(tblY11[Class],ROWS(P$10:P545))&amp;"","")</f>
        <v/>
      </c>
      <c r="Q545" t="str">
        <f>IF(P545="","",IF(SUMPRODUCT(--(P$10:P545=P545))=1,SUMPRODUCT(--(P$10:P$609&lt;P545))+1,""))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IFERROR(INDEX(tblY7[Class],ROWS(H$10:H546))&amp;"","")</f>
        <v/>
      </c>
      <c r="I546" t="str">
        <f>IF(H546="","",IF(SUMPRODUCT(--(H$10:H546=H546))=1,SUMPRODUCT(--(H$10:H$609&lt;H546))+1,""))</f>
        <v/>
      </c>
      <c r="J546" t="str">
        <f>IFERROR(INDEX(tblY8[Class],ROWS(J$10:J546))&amp;"","")</f>
        <v/>
      </c>
      <c r="K546" t="str">
        <f>IF(J546="","",IF(SUMPRODUCT(--(J$10:J546=J546))=1,SUMPRODUCT(--(J$10:J$609&lt;J546))+1,""))</f>
        <v/>
      </c>
      <c r="L546" t="str">
        <f>IFERROR(INDEX(tblY9[Class],ROWS(L$10:L546))&amp;"","")</f>
        <v/>
      </c>
      <c r="M546" t="str">
        <f>IF(L546="","",IF(SUMPRODUCT(--(L$10:L546=L546))=1,SUMPRODUCT(--(L$10:L$609&lt;L546))+1,""))</f>
        <v/>
      </c>
      <c r="N546" t="str">
        <f>IFERROR(INDEX(tblY10[Class],ROWS(N$10:N546))&amp;"","")</f>
        <v/>
      </c>
      <c r="O546" t="str">
        <f>IF(N546="","",IF(SUMPRODUCT(--(N$10:N546=N546))=1,SUMPRODUCT(--(N$10:N$609&lt;N546))+1,""))</f>
        <v/>
      </c>
      <c r="P546" t="str">
        <f>IFERROR(INDEX(tblY11[Class],ROWS(P$10:P546))&amp;"","")</f>
        <v/>
      </c>
      <c r="Q546" t="str">
        <f>IF(P546="","",IF(SUMPRODUCT(--(P$10:P546=P546))=1,SUMPRODUCT(--(P$10:P$609&lt;P546))+1,""))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IFERROR(INDEX(tblY7[Class],ROWS(H$10:H547))&amp;"","")</f>
        <v/>
      </c>
      <c r="I547" t="str">
        <f>IF(H547="","",IF(SUMPRODUCT(--(H$10:H547=H547))=1,SUMPRODUCT(--(H$10:H$609&lt;H547))+1,""))</f>
        <v/>
      </c>
      <c r="J547" t="str">
        <f>IFERROR(INDEX(tblY8[Class],ROWS(J$10:J547))&amp;"","")</f>
        <v/>
      </c>
      <c r="K547" t="str">
        <f>IF(J547="","",IF(SUMPRODUCT(--(J$10:J547=J547))=1,SUMPRODUCT(--(J$10:J$609&lt;J547))+1,""))</f>
        <v/>
      </c>
      <c r="L547" t="str">
        <f>IFERROR(INDEX(tblY9[Class],ROWS(L$10:L547))&amp;"","")</f>
        <v/>
      </c>
      <c r="M547" t="str">
        <f>IF(L547="","",IF(SUMPRODUCT(--(L$10:L547=L547))=1,SUMPRODUCT(--(L$10:L$609&lt;L547))+1,""))</f>
        <v/>
      </c>
      <c r="N547" t="str">
        <f>IFERROR(INDEX(tblY10[Class],ROWS(N$10:N547))&amp;"","")</f>
        <v/>
      </c>
      <c r="O547" t="str">
        <f>IF(N547="","",IF(SUMPRODUCT(--(N$10:N547=N547))=1,SUMPRODUCT(--(N$10:N$609&lt;N547))+1,""))</f>
        <v/>
      </c>
      <c r="P547" t="str">
        <f>IFERROR(INDEX(tblY11[Class],ROWS(P$10:P547))&amp;"","")</f>
        <v/>
      </c>
      <c r="Q547" t="str">
        <f>IF(P547="","",IF(SUMPRODUCT(--(P$10:P547=P547))=1,SUMPRODUCT(--(P$10:P$609&lt;P547))+1,""))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IFERROR(INDEX(tblY7[Class],ROWS(H$10:H548))&amp;"","")</f>
        <v/>
      </c>
      <c r="I548" t="str">
        <f>IF(H548="","",IF(SUMPRODUCT(--(H$10:H548=H548))=1,SUMPRODUCT(--(H$10:H$609&lt;H548))+1,""))</f>
        <v/>
      </c>
      <c r="J548" t="str">
        <f>IFERROR(INDEX(tblY8[Class],ROWS(J$10:J548))&amp;"","")</f>
        <v/>
      </c>
      <c r="K548" t="str">
        <f>IF(J548="","",IF(SUMPRODUCT(--(J$10:J548=J548))=1,SUMPRODUCT(--(J$10:J$609&lt;J548))+1,""))</f>
        <v/>
      </c>
      <c r="L548" t="str">
        <f>IFERROR(INDEX(tblY9[Class],ROWS(L$10:L548))&amp;"","")</f>
        <v/>
      </c>
      <c r="M548" t="str">
        <f>IF(L548="","",IF(SUMPRODUCT(--(L$10:L548=L548))=1,SUMPRODUCT(--(L$10:L$609&lt;L548))+1,""))</f>
        <v/>
      </c>
      <c r="N548" t="str">
        <f>IFERROR(INDEX(tblY10[Class],ROWS(N$10:N548))&amp;"","")</f>
        <v/>
      </c>
      <c r="O548" t="str">
        <f>IF(N548="","",IF(SUMPRODUCT(--(N$10:N548=N548))=1,SUMPRODUCT(--(N$10:N$609&lt;N548))+1,""))</f>
        <v/>
      </c>
      <c r="P548" t="str">
        <f>IFERROR(INDEX(tblY11[Class],ROWS(P$10:P548))&amp;"","")</f>
        <v/>
      </c>
      <c r="Q548" t="str">
        <f>IF(P548="","",IF(SUMPRODUCT(--(P$10:P548=P548))=1,SUMPRODUCT(--(P$10:P$609&lt;P548))+1,""))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IFERROR(INDEX(tblY7[Class],ROWS(H$10:H549))&amp;"","")</f>
        <v/>
      </c>
      <c r="I549" t="str">
        <f>IF(H549="","",IF(SUMPRODUCT(--(H$10:H549=H549))=1,SUMPRODUCT(--(H$10:H$609&lt;H549))+1,""))</f>
        <v/>
      </c>
      <c r="J549" t="str">
        <f>IFERROR(INDEX(tblY8[Class],ROWS(J$10:J549))&amp;"","")</f>
        <v/>
      </c>
      <c r="K549" t="str">
        <f>IF(J549="","",IF(SUMPRODUCT(--(J$10:J549=J549))=1,SUMPRODUCT(--(J$10:J$609&lt;J549))+1,""))</f>
        <v/>
      </c>
      <c r="L549" t="str">
        <f>IFERROR(INDEX(tblY9[Class],ROWS(L$10:L549))&amp;"","")</f>
        <v/>
      </c>
      <c r="M549" t="str">
        <f>IF(L549="","",IF(SUMPRODUCT(--(L$10:L549=L549))=1,SUMPRODUCT(--(L$10:L$609&lt;L549))+1,""))</f>
        <v/>
      </c>
      <c r="N549" t="str">
        <f>IFERROR(INDEX(tblY10[Class],ROWS(N$10:N549))&amp;"","")</f>
        <v/>
      </c>
      <c r="O549" t="str">
        <f>IF(N549="","",IF(SUMPRODUCT(--(N$10:N549=N549))=1,SUMPRODUCT(--(N$10:N$609&lt;N549))+1,""))</f>
        <v/>
      </c>
      <c r="P549" t="str">
        <f>IFERROR(INDEX(tblY11[Class],ROWS(P$10:P549))&amp;"","")</f>
        <v/>
      </c>
      <c r="Q549" t="str">
        <f>IF(P549="","",IF(SUMPRODUCT(--(P$10:P549=P549))=1,SUMPRODUCT(--(P$10:P$609&lt;P549))+1,""))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IFERROR(INDEX(tblY7[Class],ROWS(H$10:H550))&amp;"","")</f>
        <v/>
      </c>
      <c r="I550" t="str">
        <f>IF(H550="","",IF(SUMPRODUCT(--(H$10:H550=H550))=1,SUMPRODUCT(--(H$10:H$609&lt;H550))+1,""))</f>
        <v/>
      </c>
      <c r="J550" t="str">
        <f>IFERROR(INDEX(tblY8[Class],ROWS(J$10:J550))&amp;"","")</f>
        <v/>
      </c>
      <c r="K550" t="str">
        <f>IF(J550="","",IF(SUMPRODUCT(--(J$10:J550=J550))=1,SUMPRODUCT(--(J$10:J$609&lt;J550))+1,""))</f>
        <v/>
      </c>
      <c r="L550" t="str">
        <f>IFERROR(INDEX(tblY9[Class],ROWS(L$10:L550))&amp;"","")</f>
        <v/>
      </c>
      <c r="M550" t="str">
        <f>IF(L550="","",IF(SUMPRODUCT(--(L$10:L550=L550))=1,SUMPRODUCT(--(L$10:L$609&lt;L550))+1,""))</f>
        <v/>
      </c>
      <c r="N550" t="str">
        <f>IFERROR(INDEX(tblY10[Class],ROWS(N$10:N550))&amp;"","")</f>
        <v/>
      </c>
      <c r="O550" t="str">
        <f>IF(N550="","",IF(SUMPRODUCT(--(N$10:N550=N550))=1,SUMPRODUCT(--(N$10:N$609&lt;N550))+1,""))</f>
        <v/>
      </c>
      <c r="P550" t="str">
        <f>IFERROR(INDEX(tblY11[Class],ROWS(P$10:P550))&amp;"","")</f>
        <v/>
      </c>
      <c r="Q550" t="str">
        <f>IF(P550="","",IF(SUMPRODUCT(--(P$10:P550=P550))=1,SUMPRODUCT(--(P$10:P$609&lt;P550))+1,""))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IFERROR(INDEX(tblY7[Class],ROWS(H$10:H551))&amp;"","")</f>
        <v/>
      </c>
      <c r="I551" t="str">
        <f>IF(H551="","",IF(SUMPRODUCT(--(H$10:H551=H551))=1,SUMPRODUCT(--(H$10:H$609&lt;H551))+1,""))</f>
        <v/>
      </c>
      <c r="J551" t="str">
        <f>IFERROR(INDEX(tblY8[Class],ROWS(J$10:J551))&amp;"","")</f>
        <v/>
      </c>
      <c r="K551" t="str">
        <f>IF(J551="","",IF(SUMPRODUCT(--(J$10:J551=J551))=1,SUMPRODUCT(--(J$10:J$609&lt;J551))+1,""))</f>
        <v/>
      </c>
      <c r="L551" t="str">
        <f>IFERROR(INDEX(tblY9[Class],ROWS(L$10:L551))&amp;"","")</f>
        <v/>
      </c>
      <c r="M551" t="str">
        <f>IF(L551="","",IF(SUMPRODUCT(--(L$10:L551=L551))=1,SUMPRODUCT(--(L$10:L$609&lt;L551))+1,""))</f>
        <v/>
      </c>
      <c r="N551" t="str">
        <f>IFERROR(INDEX(tblY10[Class],ROWS(N$10:N551))&amp;"","")</f>
        <v/>
      </c>
      <c r="O551" t="str">
        <f>IF(N551="","",IF(SUMPRODUCT(--(N$10:N551=N551))=1,SUMPRODUCT(--(N$10:N$609&lt;N551))+1,""))</f>
        <v/>
      </c>
      <c r="P551" t="str">
        <f>IFERROR(INDEX(tblY11[Class],ROWS(P$10:P551))&amp;"","")</f>
        <v/>
      </c>
      <c r="Q551" t="str">
        <f>IF(P551="","",IF(SUMPRODUCT(--(P$10:P551=P551))=1,SUMPRODUCT(--(P$10:P$609&lt;P551))+1,""))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IFERROR(INDEX(tblY7[Class],ROWS(H$10:H552))&amp;"","")</f>
        <v/>
      </c>
      <c r="I552" t="str">
        <f>IF(H552="","",IF(SUMPRODUCT(--(H$10:H552=H552))=1,SUMPRODUCT(--(H$10:H$609&lt;H552))+1,""))</f>
        <v/>
      </c>
      <c r="J552" t="str">
        <f>IFERROR(INDEX(tblY8[Class],ROWS(J$10:J552))&amp;"","")</f>
        <v/>
      </c>
      <c r="K552" t="str">
        <f>IF(J552="","",IF(SUMPRODUCT(--(J$10:J552=J552))=1,SUMPRODUCT(--(J$10:J$609&lt;J552))+1,""))</f>
        <v/>
      </c>
      <c r="L552" t="str">
        <f>IFERROR(INDEX(tblY9[Class],ROWS(L$10:L552))&amp;"","")</f>
        <v/>
      </c>
      <c r="M552" t="str">
        <f>IF(L552="","",IF(SUMPRODUCT(--(L$10:L552=L552))=1,SUMPRODUCT(--(L$10:L$609&lt;L552))+1,""))</f>
        <v/>
      </c>
      <c r="N552" t="str">
        <f>IFERROR(INDEX(tblY10[Class],ROWS(N$10:N552))&amp;"","")</f>
        <v/>
      </c>
      <c r="O552" t="str">
        <f>IF(N552="","",IF(SUMPRODUCT(--(N$10:N552=N552))=1,SUMPRODUCT(--(N$10:N$609&lt;N552))+1,""))</f>
        <v/>
      </c>
      <c r="P552" t="str">
        <f>IFERROR(INDEX(tblY11[Class],ROWS(P$10:P552))&amp;"","")</f>
        <v/>
      </c>
      <c r="Q552" t="str">
        <f>IF(P552="","",IF(SUMPRODUCT(--(P$10:P552=P552))=1,SUMPRODUCT(--(P$10:P$609&lt;P552))+1,""))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IFERROR(INDEX(tblY7[Class],ROWS(H$10:H553))&amp;"","")</f>
        <v/>
      </c>
      <c r="I553" t="str">
        <f>IF(H553="","",IF(SUMPRODUCT(--(H$10:H553=H553))=1,SUMPRODUCT(--(H$10:H$609&lt;H553))+1,""))</f>
        <v/>
      </c>
      <c r="J553" t="str">
        <f>IFERROR(INDEX(tblY8[Class],ROWS(J$10:J553))&amp;"","")</f>
        <v/>
      </c>
      <c r="K553" t="str">
        <f>IF(J553="","",IF(SUMPRODUCT(--(J$10:J553=J553))=1,SUMPRODUCT(--(J$10:J$609&lt;J553))+1,""))</f>
        <v/>
      </c>
      <c r="L553" t="str">
        <f>IFERROR(INDEX(tblY9[Class],ROWS(L$10:L553))&amp;"","")</f>
        <v/>
      </c>
      <c r="M553" t="str">
        <f>IF(L553="","",IF(SUMPRODUCT(--(L$10:L553=L553))=1,SUMPRODUCT(--(L$10:L$609&lt;L553))+1,""))</f>
        <v/>
      </c>
      <c r="N553" t="str">
        <f>IFERROR(INDEX(tblY10[Class],ROWS(N$10:N553))&amp;"","")</f>
        <v/>
      </c>
      <c r="O553" t="str">
        <f>IF(N553="","",IF(SUMPRODUCT(--(N$10:N553=N553))=1,SUMPRODUCT(--(N$10:N$609&lt;N553))+1,""))</f>
        <v/>
      </c>
      <c r="P553" t="str">
        <f>IFERROR(INDEX(tblY11[Class],ROWS(P$10:P553))&amp;"","")</f>
        <v/>
      </c>
      <c r="Q553" t="str">
        <f>IF(P553="","",IF(SUMPRODUCT(--(P$10:P553=P553))=1,SUMPRODUCT(--(P$10:P$609&lt;P553))+1,""))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IFERROR(INDEX(tblY7[Class],ROWS(H$10:H554))&amp;"","")</f>
        <v/>
      </c>
      <c r="I554" t="str">
        <f>IF(H554="","",IF(SUMPRODUCT(--(H$10:H554=H554))=1,SUMPRODUCT(--(H$10:H$609&lt;H554))+1,""))</f>
        <v/>
      </c>
      <c r="J554" t="str">
        <f>IFERROR(INDEX(tblY8[Class],ROWS(J$10:J554))&amp;"","")</f>
        <v/>
      </c>
      <c r="K554" t="str">
        <f>IF(J554="","",IF(SUMPRODUCT(--(J$10:J554=J554))=1,SUMPRODUCT(--(J$10:J$609&lt;J554))+1,""))</f>
        <v/>
      </c>
      <c r="L554" t="str">
        <f>IFERROR(INDEX(tblY9[Class],ROWS(L$10:L554))&amp;"","")</f>
        <v/>
      </c>
      <c r="M554" t="str">
        <f>IF(L554="","",IF(SUMPRODUCT(--(L$10:L554=L554))=1,SUMPRODUCT(--(L$10:L$609&lt;L554))+1,""))</f>
        <v/>
      </c>
      <c r="N554" t="str">
        <f>IFERROR(INDEX(tblY10[Class],ROWS(N$10:N554))&amp;"","")</f>
        <v/>
      </c>
      <c r="O554" t="str">
        <f>IF(N554="","",IF(SUMPRODUCT(--(N$10:N554=N554))=1,SUMPRODUCT(--(N$10:N$609&lt;N554))+1,""))</f>
        <v/>
      </c>
      <c r="P554" t="str">
        <f>IFERROR(INDEX(tblY11[Class],ROWS(P$10:P554))&amp;"","")</f>
        <v/>
      </c>
      <c r="Q554" t="str">
        <f>IF(P554="","",IF(SUMPRODUCT(--(P$10:P554=P554))=1,SUMPRODUCT(--(P$10:P$609&lt;P554))+1,""))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IFERROR(INDEX(tblY7[Class],ROWS(H$10:H555))&amp;"","")</f>
        <v/>
      </c>
      <c r="I555" t="str">
        <f>IF(H555="","",IF(SUMPRODUCT(--(H$10:H555=H555))=1,SUMPRODUCT(--(H$10:H$609&lt;H555))+1,""))</f>
        <v/>
      </c>
      <c r="J555" t="str">
        <f>IFERROR(INDEX(tblY8[Class],ROWS(J$10:J555))&amp;"","")</f>
        <v/>
      </c>
      <c r="K555" t="str">
        <f>IF(J555="","",IF(SUMPRODUCT(--(J$10:J555=J555))=1,SUMPRODUCT(--(J$10:J$609&lt;J555))+1,""))</f>
        <v/>
      </c>
      <c r="L555" t="str">
        <f>IFERROR(INDEX(tblY9[Class],ROWS(L$10:L555))&amp;"","")</f>
        <v/>
      </c>
      <c r="M555" t="str">
        <f>IF(L555="","",IF(SUMPRODUCT(--(L$10:L555=L555))=1,SUMPRODUCT(--(L$10:L$609&lt;L555))+1,""))</f>
        <v/>
      </c>
      <c r="N555" t="str">
        <f>IFERROR(INDEX(tblY10[Class],ROWS(N$10:N555))&amp;"","")</f>
        <v/>
      </c>
      <c r="O555" t="str">
        <f>IF(N555="","",IF(SUMPRODUCT(--(N$10:N555=N555))=1,SUMPRODUCT(--(N$10:N$609&lt;N555))+1,""))</f>
        <v/>
      </c>
      <c r="P555" t="str">
        <f>IFERROR(INDEX(tblY11[Class],ROWS(P$10:P555))&amp;"","")</f>
        <v/>
      </c>
      <c r="Q555" t="str">
        <f>IF(P555="","",IF(SUMPRODUCT(--(P$10:P555=P555))=1,SUMPRODUCT(--(P$10:P$609&lt;P555))+1,""))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IFERROR(INDEX(tblY7[Class],ROWS(H$10:H556))&amp;"","")</f>
        <v/>
      </c>
      <c r="I556" t="str">
        <f>IF(H556="","",IF(SUMPRODUCT(--(H$10:H556=H556))=1,SUMPRODUCT(--(H$10:H$609&lt;H556))+1,""))</f>
        <v/>
      </c>
      <c r="J556" t="str">
        <f>IFERROR(INDEX(tblY8[Class],ROWS(J$10:J556))&amp;"","")</f>
        <v/>
      </c>
      <c r="K556" t="str">
        <f>IF(J556="","",IF(SUMPRODUCT(--(J$10:J556=J556))=1,SUMPRODUCT(--(J$10:J$609&lt;J556))+1,""))</f>
        <v/>
      </c>
      <c r="L556" t="str">
        <f>IFERROR(INDEX(tblY9[Class],ROWS(L$10:L556))&amp;"","")</f>
        <v/>
      </c>
      <c r="M556" t="str">
        <f>IF(L556="","",IF(SUMPRODUCT(--(L$10:L556=L556))=1,SUMPRODUCT(--(L$10:L$609&lt;L556))+1,""))</f>
        <v/>
      </c>
      <c r="N556" t="str">
        <f>IFERROR(INDEX(tblY10[Class],ROWS(N$10:N556))&amp;"","")</f>
        <v/>
      </c>
      <c r="O556" t="str">
        <f>IF(N556="","",IF(SUMPRODUCT(--(N$10:N556=N556))=1,SUMPRODUCT(--(N$10:N$609&lt;N556))+1,""))</f>
        <v/>
      </c>
      <c r="P556" t="str">
        <f>IFERROR(INDEX(tblY11[Class],ROWS(P$10:P556))&amp;"","")</f>
        <v/>
      </c>
      <c r="Q556" t="str">
        <f>IF(P556="","",IF(SUMPRODUCT(--(P$10:P556=P556))=1,SUMPRODUCT(--(P$10:P$609&lt;P556))+1,""))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IFERROR(INDEX(tblY7[Class],ROWS(H$10:H557))&amp;"","")</f>
        <v/>
      </c>
      <c r="I557" t="str">
        <f>IF(H557="","",IF(SUMPRODUCT(--(H$10:H557=H557))=1,SUMPRODUCT(--(H$10:H$609&lt;H557))+1,""))</f>
        <v/>
      </c>
      <c r="J557" t="str">
        <f>IFERROR(INDEX(tblY8[Class],ROWS(J$10:J557))&amp;"","")</f>
        <v/>
      </c>
      <c r="K557" t="str">
        <f>IF(J557="","",IF(SUMPRODUCT(--(J$10:J557=J557))=1,SUMPRODUCT(--(J$10:J$609&lt;J557))+1,""))</f>
        <v/>
      </c>
      <c r="L557" t="str">
        <f>IFERROR(INDEX(tblY9[Class],ROWS(L$10:L557))&amp;"","")</f>
        <v/>
      </c>
      <c r="M557" t="str">
        <f>IF(L557="","",IF(SUMPRODUCT(--(L$10:L557=L557))=1,SUMPRODUCT(--(L$10:L$609&lt;L557))+1,""))</f>
        <v/>
      </c>
      <c r="N557" t="str">
        <f>IFERROR(INDEX(tblY10[Class],ROWS(N$10:N557))&amp;"","")</f>
        <v/>
      </c>
      <c r="O557" t="str">
        <f>IF(N557="","",IF(SUMPRODUCT(--(N$10:N557=N557))=1,SUMPRODUCT(--(N$10:N$609&lt;N557))+1,""))</f>
        <v/>
      </c>
      <c r="P557" t="str">
        <f>IFERROR(INDEX(tblY11[Class],ROWS(P$10:P557))&amp;"","")</f>
        <v/>
      </c>
      <c r="Q557" t="str">
        <f>IF(P557="","",IF(SUMPRODUCT(--(P$10:P557=P557))=1,SUMPRODUCT(--(P$10:P$609&lt;P557))+1,""))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IFERROR(INDEX(tblY7[Class],ROWS(H$10:H558))&amp;"","")</f>
        <v/>
      </c>
      <c r="I558" t="str">
        <f>IF(H558="","",IF(SUMPRODUCT(--(H$10:H558=H558))=1,SUMPRODUCT(--(H$10:H$609&lt;H558))+1,""))</f>
        <v/>
      </c>
      <c r="J558" t="str">
        <f>IFERROR(INDEX(tblY8[Class],ROWS(J$10:J558))&amp;"","")</f>
        <v/>
      </c>
      <c r="K558" t="str">
        <f>IF(J558="","",IF(SUMPRODUCT(--(J$10:J558=J558))=1,SUMPRODUCT(--(J$10:J$609&lt;J558))+1,""))</f>
        <v/>
      </c>
      <c r="L558" t="str">
        <f>IFERROR(INDEX(tblY9[Class],ROWS(L$10:L558))&amp;"","")</f>
        <v/>
      </c>
      <c r="M558" t="str">
        <f>IF(L558="","",IF(SUMPRODUCT(--(L$10:L558=L558))=1,SUMPRODUCT(--(L$10:L$609&lt;L558))+1,""))</f>
        <v/>
      </c>
      <c r="N558" t="str">
        <f>IFERROR(INDEX(tblY10[Class],ROWS(N$10:N558))&amp;"","")</f>
        <v/>
      </c>
      <c r="O558" t="str">
        <f>IF(N558="","",IF(SUMPRODUCT(--(N$10:N558=N558))=1,SUMPRODUCT(--(N$10:N$609&lt;N558))+1,""))</f>
        <v/>
      </c>
      <c r="P558" t="str">
        <f>IFERROR(INDEX(tblY11[Class],ROWS(P$10:P558))&amp;"","")</f>
        <v/>
      </c>
      <c r="Q558" t="str">
        <f>IF(P558="","",IF(SUMPRODUCT(--(P$10:P558=P558))=1,SUMPRODUCT(--(P$10:P$609&lt;P558))+1,""))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IFERROR(INDEX(tblY7[Class],ROWS(H$10:H559))&amp;"","")</f>
        <v/>
      </c>
      <c r="I559" t="str">
        <f>IF(H559="","",IF(SUMPRODUCT(--(H$10:H559=H559))=1,SUMPRODUCT(--(H$10:H$609&lt;H559))+1,""))</f>
        <v/>
      </c>
      <c r="J559" t="str">
        <f>IFERROR(INDEX(tblY8[Class],ROWS(J$10:J559))&amp;"","")</f>
        <v/>
      </c>
      <c r="K559" t="str">
        <f>IF(J559="","",IF(SUMPRODUCT(--(J$10:J559=J559))=1,SUMPRODUCT(--(J$10:J$609&lt;J559))+1,""))</f>
        <v/>
      </c>
      <c r="L559" t="str">
        <f>IFERROR(INDEX(tblY9[Class],ROWS(L$10:L559))&amp;"","")</f>
        <v/>
      </c>
      <c r="M559" t="str">
        <f>IF(L559="","",IF(SUMPRODUCT(--(L$10:L559=L559))=1,SUMPRODUCT(--(L$10:L$609&lt;L559))+1,""))</f>
        <v/>
      </c>
      <c r="N559" t="str">
        <f>IFERROR(INDEX(tblY10[Class],ROWS(N$10:N559))&amp;"","")</f>
        <v/>
      </c>
      <c r="O559" t="str">
        <f>IF(N559="","",IF(SUMPRODUCT(--(N$10:N559=N559))=1,SUMPRODUCT(--(N$10:N$609&lt;N559))+1,""))</f>
        <v/>
      </c>
      <c r="P559" t="str">
        <f>IFERROR(INDEX(tblY11[Class],ROWS(P$10:P559))&amp;"","")</f>
        <v/>
      </c>
      <c r="Q559" t="str">
        <f>IF(P559="","",IF(SUMPRODUCT(--(P$10:P559=P559))=1,SUMPRODUCT(--(P$10:P$609&lt;P559))+1,""))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IFERROR(INDEX(tblY7[Class],ROWS(H$10:H560))&amp;"","")</f>
        <v/>
      </c>
      <c r="I560" t="str">
        <f>IF(H560="","",IF(SUMPRODUCT(--(H$10:H560=H560))=1,SUMPRODUCT(--(H$10:H$609&lt;H560))+1,""))</f>
        <v/>
      </c>
      <c r="J560" t="str">
        <f>IFERROR(INDEX(tblY8[Class],ROWS(J$10:J560))&amp;"","")</f>
        <v/>
      </c>
      <c r="K560" t="str">
        <f>IF(J560="","",IF(SUMPRODUCT(--(J$10:J560=J560))=1,SUMPRODUCT(--(J$10:J$609&lt;J560))+1,""))</f>
        <v/>
      </c>
      <c r="L560" t="str">
        <f>IFERROR(INDEX(tblY9[Class],ROWS(L$10:L560))&amp;"","")</f>
        <v/>
      </c>
      <c r="M560" t="str">
        <f>IF(L560="","",IF(SUMPRODUCT(--(L$10:L560=L560))=1,SUMPRODUCT(--(L$10:L$609&lt;L560))+1,""))</f>
        <v/>
      </c>
      <c r="N560" t="str">
        <f>IFERROR(INDEX(tblY10[Class],ROWS(N$10:N560))&amp;"","")</f>
        <v/>
      </c>
      <c r="O560" t="str">
        <f>IF(N560="","",IF(SUMPRODUCT(--(N$10:N560=N560))=1,SUMPRODUCT(--(N$10:N$609&lt;N560))+1,""))</f>
        <v/>
      </c>
      <c r="P560" t="str">
        <f>IFERROR(INDEX(tblY11[Class],ROWS(P$10:P560))&amp;"","")</f>
        <v/>
      </c>
      <c r="Q560" t="str">
        <f>IF(P560="","",IF(SUMPRODUCT(--(P$10:P560=P560))=1,SUMPRODUCT(--(P$10:P$609&lt;P560))+1,""))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IFERROR(INDEX(tblY7[Class],ROWS(H$10:H561))&amp;"","")</f>
        <v/>
      </c>
      <c r="I561" t="str">
        <f>IF(H561="","",IF(SUMPRODUCT(--(H$10:H561=H561))=1,SUMPRODUCT(--(H$10:H$609&lt;H561))+1,""))</f>
        <v/>
      </c>
      <c r="J561" t="str">
        <f>IFERROR(INDEX(tblY8[Class],ROWS(J$10:J561))&amp;"","")</f>
        <v/>
      </c>
      <c r="K561" t="str">
        <f>IF(J561="","",IF(SUMPRODUCT(--(J$10:J561=J561))=1,SUMPRODUCT(--(J$10:J$609&lt;J561))+1,""))</f>
        <v/>
      </c>
      <c r="L561" t="str">
        <f>IFERROR(INDEX(tblY9[Class],ROWS(L$10:L561))&amp;"","")</f>
        <v/>
      </c>
      <c r="M561" t="str">
        <f>IF(L561="","",IF(SUMPRODUCT(--(L$10:L561=L561))=1,SUMPRODUCT(--(L$10:L$609&lt;L561))+1,""))</f>
        <v/>
      </c>
      <c r="N561" t="str">
        <f>IFERROR(INDEX(tblY10[Class],ROWS(N$10:N561))&amp;"","")</f>
        <v/>
      </c>
      <c r="O561" t="str">
        <f>IF(N561="","",IF(SUMPRODUCT(--(N$10:N561=N561))=1,SUMPRODUCT(--(N$10:N$609&lt;N561))+1,""))</f>
        <v/>
      </c>
      <c r="P561" t="str">
        <f>IFERROR(INDEX(tblY11[Class],ROWS(P$10:P561))&amp;"","")</f>
        <v/>
      </c>
      <c r="Q561" t="str">
        <f>IF(P561="","",IF(SUMPRODUCT(--(P$10:P561=P561))=1,SUMPRODUCT(--(P$10:P$609&lt;P561))+1,""))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IFERROR(INDEX(tblY7[Class],ROWS(H$10:H562))&amp;"","")</f>
        <v/>
      </c>
      <c r="I562" t="str">
        <f>IF(H562="","",IF(SUMPRODUCT(--(H$10:H562=H562))=1,SUMPRODUCT(--(H$10:H$609&lt;H562))+1,""))</f>
        <v/>
      </c>
      <c r="J562" t="str">
        <f>IFERROR(INDEX(tblY8[Class],ROWS(J$10:J562))&amp;"","")</f>
        <v/>
      </c>
      <c r="K562" t="str">
        <f>IF(J562="","",IF(SUMPRODUCT(--(J$10:J562=J562))=1,SUMPRODUCT(--(J$10:J$609&lt;J562))+1,""))</f>
        <v/>
      </c>
      <c r="L562" t="str">
        <f>IFERROR(INDEX(tblY9[Class],ROWS(L$10:L562))&amp;"","")</f>
        <v/>
      </c>
      <c r="M562" t="str">
        <f>IF(L562="","",IF(SUMPRODUCT(--(L$10:L562=L562))=1,SUMPRODUCT(--(L$10:L$609&lt;L562))+1,""))</f>
        <v/>
      </c>
      <c r="N562" t="str">
        <f>IFERROR(INDEX(tblY10[Class],ROWS(N$10:N562))&amp;"","")</f>
        <v/>
      </c>
      <c r="O562" t="str">
        <f>IF(N562="","",IF(SUMPRODUCT(--(N$10:N562=N562))=1,SUMPRODUCT(--(N$10:N$609&lt;N562))+1,""))</f>
        <v/>
      </c>
      <c r="P562" t="str">
        <f>IFERROR(INDEX(tblY11[Class],ROWS(P$10:P562))&amp;"","")</f>
        <v/>
      </c>
      <c r="Q562" t="str">
        <f>IF(P562="","",IF(SUMPRODUCT(--(P$10:P562=P562))=1,SUMPRODUCT(--(P$10:P$609&lt;P562))+1,""))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IFERROR(INDEX(tblY7[Class],ROWS(H$10:H563))&amp;"","")</f>
        <v/>
      </c>
      <c r="I563" t="str">
        <f>IF(H563="","",IF(SUMPRODUCT(--(H$10:H563=H563))=1,SUMPRODUCT(--(H$10:H$609&lt;H563))+1,""))</f>
        <v/>
      </c>
      <c r="J563" t="str">
        <f>IFERROR(INDEX(tblY8[Class],ROWS(J$10:J563))&amp;"","")</f>
        <v/>
      </c>
      <c r="K563" t="str">
        <f>IF(J563="","",IF(SUMPRODUCT(--(J$10:J563=J563))=1,SUMPRODUCT(--(J$10:J$609&lt;J563))+1,""))</f>
        <v/>
      </c>
      <c r="L563" t="str">
        <f>IFERROR(INDEX(tblY9[Class],ROWS(L$10:L563))&amp;"","")</f>
        <v/>
      </c>
      <c r="M563" t="str">
        <f>IF(L563="","",IF(SUMPRODUCT(--(L$10:L563=L563))=1,SUMPRODUCT(--(L$10:L$609&lt;L563))+1,""))</f>
        <v/>
      </c>
      <c r="N563" t="str">
        <f>IFERROR(INDEX(tblY10[Class],ROWS(N$10:N563))&amp;"","")</f>
        <v/>
      </c>
      <c r="O563" t="str">
        <f>IF(N563="","",IF(SUMPRODUCT(--(N$10:N563=N563))=1,SUMPRODUCT(--(N$10:N$609&lt;N563))+1,""))</f>
        <v/>
      </c>
      <c r="P563" t="str">
        <f>IFERROR(INDEX(tblY11[Class],ROWS(P$10:P563))&amp;"","")</f>
        <v/>
      </c>
      <c r="Q563" t="str">
        <f>IF(P563="","",IF(SUMPRODUCT(--(P$10:P563=P563))=1,SUMPRODUCT(--(P$10:P$609&lt;P563))+1,""))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IFERROR(INDEX(tblY7[Class],ROWS(H$10:H564))&amp;"","")</f>
        <v/>
      </c>
      <c r="I564" t="str">
        <f>IF(H564="","",IF(SUMPRODUCT(--(H$10:H564=H564))=1,SUMPRODUCT(--(H$10:H$609&lt;H564))+1,""))</f>
        <v/>
      </c>
      <c r="J564" t="str">
        <f>IFERROR(INDEX(tblY8[Class],ROWS(J$10:J564))&amp;"","")</f>
        <v/>
      </c>
      <c r="K564" t="str">
        <f>IF(J564="","",IF(SUMPRODUCT(--(J$10:J564=J564))=1,SUMPRODUCT(--(J$10:J$609&lt;J564))+1,""))</f>
        <v/>
      </c>
      <c r="L564" t="str">
        <f>IFERROR(INDEX(tblY9[Class],ROWS(L$10:L564))&amp;"","")</f>
        <v/>
      </c>
      <c r="M564" t="str">
        <f>IF(L564="","",IF(SUMPRODUCT(--(L$10:L564=L564))=1,SUMPRODUCT(--(L$10:L$609&lt;L564))+1,""))</f>
        <v/>
      </c>
      <c r="N564" t="str">
        <f>IFERROR(INDEX(tblY10[Class],ROWS(N$10:N564))&amp;"","")</f>
        <v/>
      </c>
      <c r="O564" t="str">
        <f>IF(N564="","",IF(SUMPRODUCT(--(N$10:N564=N564))=1,SUMPRODUCT(--(N$10:N$609&lt;N564))+1,""))</f>
        <v/>
      </c>
      <c r="P564" t="str">
        <f>IFERROR(INDEX(tblY11[Class],ROWS(P$10:P564))&amp;"","")</f>
        <v/>
      </c>
      <c r="Q564" t="str">
        <f>IF(P564="","",IF(SUMPRODUCT(--(P$10:P564=P564))=1,SUMPRODUCT(--(P$10:P$609&lt;P564))+1,""))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IFERROR(INDEX(tblY7[Class],ROWS(H$10:H565))&amp;"","")</f>
        <v/>
      </c>
      <c r="I565" t="str">
        <f>IF(H565="","",IF(SUMPRODUCT(--(H$10:H565=H565))=1,SUMPRODUCT(--(H$10:H$609&lt;H565))+1,""))</f>
        <v/>
      </c>
      <c r="J565" t="str">
        <f>IFERROR(INDEX(tblY8[Class],ROWS(J$10:J565))&amp;"","")</f>
        <v/>
      </c>
      <c r="K565" t="str">
        <f>IF(J565="","",IF(SUMPRODUCT(--(J$10:J565=J565))=1,SUMPRODUCT(--(J$10:J$609&lt;J565))+1,""))</f>
        <v/>
      </c>
      <c r="L565" t="str">
        <f>IFERROR(INDEX(tblY9[Class],ROWS(L$10:L565))&amp;"","")</f>
        <v/>
      </c>
      <c r="M565" t="str">
        <f>IF(L565="","",IF(SUMPRODUCT(--(L$10:L565=L565))=1,SUMPRODUCT(--(L$10:L$609&lt;L565))+1,""))</f>
        <v/>
      </c>
      <c r="N565" t="str">
        <f>IFERROR(INDEX(tblY10[Class],ROWS(N$10:N565))&amp;"","")</f>
        <v/>
      </c>
      <c r="O565" t="str">
        <f>IF(N565="","",IF(SUMPRODUCT(--(N$10:N565=N565))=1,SUMPRODUCT(--(N$10:N$609&lt;N565))+1,""))</f>
        <v/>
      </c>
      <c r="P565" t="str">
        <f>IFERROR(INDEX(tblY11[Class],ROWS(P$10:P565))&amp;"","")</f>
        <v/>
      </c>
      <c r="Q565" t="str">
        <f>IF(P565="","",IF(SUMPRODUCT(--(P$10:P565=P565))=1,SUMPRODUCT(--(P$10:P$609&lt;P565))+1,""))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IFERROR(INDEX(tblY7[Class],ROWS(H$10:H566))&amp;"","")</f>
        <v/>
      </c>
      <c r="I566" t="str">
        <f>IF(H566="","",IF(SUMPRODUCT(--(H$10:H566=H566))=1,SUMPRODUCT(--(H$10:H$609&lt;H566))+1,""))</f>
        <v/>
      </c>
      <c r="J566" t="str">
        <f>IFERROR(INDEX(tblY8[Class],ROWS(J$10:J566))&amp;"","")</f>
        <v/>
      </c>
      <c r="K566" t="str">
        <f>IF(J566="","",IF(SUMPRODUCT(--(J$10:J566=J566))=1,SUMPRODUCT(--(J$10:J$609&lt;J566))+1,""))</f>
        <v/>
      </c>
      <c r="L566" t="str">
        <f>IFERROR(INDEX(tblY9[Class],ROWS(L$10:L566))&amp;"","")</f>
        <v/>
      </c>
      <c r="M566" t="str">
        <f>IF(L566="","",IF(SUMPRODUCT(--(L$10:L566=L566))=1,SUMPRODUCT(--(L$10:L$609&lt;L566))+1,""))</f>
        <v/>
      </c>
      <c r="N566" t="str">
        <f>IFERROR(INDEX(tblY10[Class],ROWS(N$10:N566))&amp;"","")</f>
        <v/>
      </c>
      <c r="O566" t="str">
        <f>IF(N566="","",IF(SUMPRODUCT(--(N$10:N566=N566))=1,SUMPRODUCT(--(N$10:N$609&lt;N566))+1,""))</f>
        <v/>
      </c>
      <c r="P566" t="str">
        <f>IFERROR(INDEX(tblY11[Class],ROWS(P$10:P566))&amp;"","")</f>
        <v/>
      </c>
      <c r="Q566" t="str">
        <f>IF(P566="","",IF(SUMPRODUCT(--(P$10:P566=P566))=1,SUMPRODUCT(--(P$10:P$609&lt;P566))+1,""))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IFERROR(INDEX(tblY7[Class],ROWS(H$10:H567))&amp;"","")</f>
        <v/>
      </c>
      <c r="I567" t="str">
        <f>IF(H567="","",IF(SUMPRODUCT(--(H$10:H567=H567))=1,SUMPRODUCT(--(H$10:H$609&lt;H567))+1,""))</f>
        <v/>
      </c>
      <c r="J567" t="str">
        <f>IFERROR(INDEX(tblY8[Class],ROWS(J$10:J567))&amp;"","")</f>
        <v/>
      </c>
      <c r="K567" t="str">
        <f>IF(J567="","",IF(SUMPRODUCT(--(J$10:J567=J567))=1,SUMPRODUCT(--(J$10:J$609&lt;J567))+1,""))</f>
        <v/>
      </c>
      <c r="L567" t="str">
        <f>IFERROR(INDEX(tblY9[Class],ROWS(L$10:L567))&amp;"","")</f>
        <v/>
      </c>
      <c r="M567" t="str">
        <f>IF(L567="","",IF(SUMPRODUCT(--(L$10:L567=L567))=1,SUMPRODUCT(--(L$10:L$609&lt;L567))+1,""))</f>
        <v/>
      </c>
      <c r="N567" t="str">
        <f>IFERROR(INDEX(tblY10[Class],ROWS(N$10:N567))&amp;"","")</f>
        <v/>
      </c>
      <c r="O567" t="str">
        <f>IF(N567="","",IF(SUMPRODUCT(--(N$10:N567=N567))=1,SUMPRODUCT(--(N$10:N$609&lt;N567))+1,""))</f>
        <v/>
      </c>
      <c r="P567" t="str">
        <f>IFERROR(INDEX(tblY11[Class],ROWS(P$10:P567))&amp;"","")</f>
        <v/>
      </c>
      <c r="Q567" t="str">
        <f>IF(P567="","",IF(SUMPRODUCT(--(P$10:P567=P567))=1,SUMPRODUCT(--(P$10:P$609&lt;P567))+1,""))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IFERROR(INDEX(tblY7[Class],ROWS(H$10:H568))&amp;"","")</f>
        <v/>
      </c>
      <c r="I568" t="str">
        <f>IF(H568="","",IF(SUMPRODUCT(--(H$10:H568=H568))=1,SUMPRODUCT(--(H$10:H$609&lt;H568))+1,""))</f>
        <v/>
      </c>
      <c r="J568" t="str">
        <f>IFERROR(INDEX(tblY8[Class],ROWS(J$10:J568))&amp;"","")</f>
        <v/>
      </c>
      <c r="K568" t="str">
        <f>IF(J568="","",IF(SUMPRODUCT(--(J$10:J568=J568))=1,SUMPRODUCT(--(J$10:J$609&lt;J568))+1,""))</f>
        <v/>
      </c>
      <c r="L568" t="str">
        <f>IFERROR(INDEX(tblY9[Class],ROWS(L$10:L568))&amp;"","")</f>
        <v/>
      </c>
      <c r="M568" t="str">
        <f>IF(L568="","",IF(SUMPRODUCT(--(L$10:L568=L568))=1,SUMPRODUCT(--(L$10:L$609&lt;L568))+1,""))</f>
        <v/>
      </c>
      <c r="N568" t="str">
        <f>IFERROR(INDEX(tblY10[Class],ROWS(N$10:N568))&amp;"","")</f>
        <v/>
      </c>
      <c r="O568" t="str">
        <f>IF(N568="","",IF(SUMPRODUCT(--(N$10:N568=N568))=1,SUMPRODUCT(--(N$10:N$609&lt;N568))+1,""))</f>
        <v/>
      </c>
      <c r="P568" t="str">
        <f>IFERROR(INDEX(tblY11[Class],ROWS(P$10:P568))&amp;"","")</f>
        <v/>
      </c>
      <c r="Q568" t="str">
        <f>IF(P568="","",IF(SUMPRODUCT(--(P$10:P568=P568))=1,SUMPRODUCT(--(P$10:P$609&lt;P568))+1,""))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IFERROR(INDEX(tblY7[Class],ROWS(H$10:H569))&amp;"","")</f>
        <v/>
      </c>
      <c r="I569" t="str">
        <f>IF(H569="","",IF(SUMPRODUCT(--(H$10:H569=H569))=1,SUMPRODUCT(--(H$10:H$609&lt;H569))+1,""))</f>
        <v/>
      </c>
      <c r="J569" t="str">
        <f>IFERROR(INDEX(tblY8[Class],ROWS(J$10:J569))&amp;"","")</f>
        <v/>
      </c>
      <c r="K569" t="str">
        <f>IF(J569="","",IF(SUMPRODUCT(--(J$10:J569=J569))=1,SUMPRODUCT(--(J$10:J$609&lt;J569))+1,""))</f>
        <v/>
      </c>
      <c r="L569" t="str">
        <f>IFERROR(INDEX(tblY9[Class],ROWS(L$10:L569))&amp;"","")</f>
        <v/>
      </c>
      <c r="M569" t="str">
        <f>IF(L569="","",IF(SUMPRODUCT(--(L$10:L569=L569))=1,SUMPRODUCT(--(L$10:L$609&lt;L569))+1,""))</f>
        <v/>
      </c>
      <c r="N569" t="str">
        <f>IFERROR(INDEX(tblY10[Class],ROWS(N$10:N569))&amp;"","")</f>
        <v/>
      </c>
      <c r="O569" t="str">
        <f>IF(N569="","",IF(SUMPRODUCT(--(N$10:N569=N569))=1,SUMPRODUCT(--(N$10:N$609&lt;N569))+1,""))</f>
        <v/>
      </c>
      <c r="P569" t="str">
        <f>IFERROR(INDEX(tblY11[Class],ROWS(P$10:P569))&amp;"","")</f>
        <v/>
      </c>
      <c r="Q569" t="str">
        <f>IF(P569="","",IF(SUMPRODUCT(--(P$10:P569=P569))=1,SUMPRODUCT(--(P$10:P$609&lt;P569))+1,""))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IFERROR(INDEX(tblY7[Class],ROWS(H$10:H570))&amp;"","")</f>
        <v/>
      </c>
      <c r="I570" t="str">
        <f>IF(H570="","",IF(SUMPRODUCT(--(H$10:H570=H570))=1,SUMPRODUCT(--(H$10:H$609&lt;H570))+1,""))</f>
        <v/>
      </c>
      <c r="J570" t="str">
        <f>IFERROR(INDEX(tblY8[Class],ROWS(J$10:J570))&amp;"","")</f>
        <v/>
      </c>
      <c r="K570" t="str">
        <f>IF(J570="","",IF(SUMPRODUCT(--(J$10:J570=J570))=1,SUMPRODUCT(--(J$10:J$609&lt;J570))+1,""))</f>
        <v/>
      </c>
      <c r="L570" t="str">
        <f>IFERROR(INDEX(tblY9[Class],ROWS(L$10:L570))&amp;"","")</f>
        <v/>
      </c>
      <c r="M570" t="str">
        <f>IF(L570="","",IF(SUMPRODUCT(--(L$10:L570=L570))=1,SUMPRODUCT(--(L$10:L$609&lt;L570))+1,""))</f>
        <v/>
      </c>
      <c r="N570" t="str">
        <f>IFERROR(INDEX(tblY10[Class],ROWS(N$10:N570))&amp;"","")</f>
        <v/>
      </c>
      <c r="O570" t="str">
        <f>IF(N570="","",IF(SUMPRODUCT(--(N$10:N570=N570))=1,SUMPRODUCT(--(N$10:N$609&lt;N570))+1,""))</f>
        <v/>
      </c>
      <c r="P570" t="str">
        <f>IFERROR(INDEX(tblY11[Class],ROWS(P$10:P570))&amp;"","")</f>
        <v/>
      </c>
      <c r="Q570" t="str">
        <f>IF(P570="","",IF(SUMPRODUCT(--(P$10:P570=P570))=1,SUMPRODUCT(--(P$10:P$609&lt;P570))+1,""))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IFERROR(INDEX(tblY7[Class],ROWS(H$10:H571))&amp;"","")</f>
        <v/>
      </c>
      <c r="I571" t="str">
        <f>IF(H571="","",IF(SUMPRODUCT(--(H$10:H571=H571))=1,SUMPRODUCT(--(H$10:H$609&lt;H571))+1,""))</f>
        <v/>
      </c>
      <c r="J571" t="str">
        <f>IFERROR(INDEX(tblY8[Class],ROWS(J$10:J571))&amp;"","")</f>
        <v/>
      </c>
      <c r="K571" t="str">
        <f>IF(J571="","",IF(SUMPRODUCT(--(J$10:J571=J571))=1,SUMPRODUCT(--(J$10:J$609&lt;J571))+1,""))</f>
        <v/>
      </c>
      <c r="L571" t="str">
        <f>IFERROR(INDEX(tblY9[Class],ROWS(L$10:L571))&amp;"","")</f>
        <v/>
      </c>
      <c r="M571" t="str">
        <f>IF(L571="","",IF(SUMPRODUCT(--(L$10:L571=L571))=1,SUMPRODUCT(--(L$10:L$609&lt;L571))+1,""))</f>
        <v/>
      </c>
      <c r="N571" t="str">
        <f>IFERROR(INDEX(tblY10[Class],ROWS(N$10:N571))&amp;"","")</f>
        <v/>
      </c>
      <c r="O571" t="str">
        <f>IF(N571="","",IF(SUMPRODUCT(--(N$10:N571=N571))=1,SUMPRODUCT(--(N$10:N$609&lt;N571))+1,""))</f>
        <v/>
      </c>
      <c r="P571" t="str">
        <f>IFERROR(INDEX(tblY11[Class],ROWS(P$10:P571))&amp;"","")</f>
        <v/>
      </c>
      <c r="Q571" t="str">
        <f>IF(P571="","",IF(SUMPRODUCT(--(P$10:P571=P571))=1,SUMPRODUCT(--(P$10:P$609&lt;P571))+1,""))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IFERROR(INDEX(tblY7[Class],ROWS(H$10:H572))&amp;"","")</f>
        <v/>
      </c>
      <c r="I572" t="str">
        <f>IF(H572="","",IF(SUMPRODUCT(--(H$10:H572=H572))=1,SUMPRODUCT(--(H$10:H$609&lt;H572))+1,""))</f>
        <v/>
      </c>
      <c r="J572" t="str">
        <f>IFERROR(INDEX(tblY8[Class],ROWS(J$10:J572))&amp;"","")</f>
        <v/>
      </c>
      <c r="K572" t="str">
        <f>IF(J572="","",IF(SUMPRODUCT(--(J$10:J572=J572))=1,SUMPRODUCT(--(J$10:J$609&lt;J572))+1,""))</f>
        <v/>
      </c>
      <c r="L572" t="str">
        <f>IFERROR(INDEX(tblY9[Class],ROWS(L$10:L572))&amp;"","")</f>
        <v/>
      </c>
      <c r="M572" t="str">
        <f>IF(L572="","",IF(SUMPRODUCT(--(L$10:L572=L572))=1,SUMPRODUCT(--(L$10:L$609&lt;L572))+1,""))</f>
        <v/>
      </c>
      <c r="N572" t="str">
        <f>IFERROR(INDEX(tblY10[Class],ROWS(N$10:N572))&amp;"","")</f>
        <v/>
      </c>
      <c r="O572" t="str">
        <f>IF(N572="","",IF(SUMPRODUCT(--(N$10:N572=N572))=1,SUMPRODUCT(--(N$10:N$609&lt;N572))+1,""))</f>
        <v/>
      </c>
      <c r="P572" t="str">
        <f>IFERROR(INDEX(tblY11[Class],ROWS(P$10:P572))&amp;"","")</f>
        <v/>
      </c>
      <c r="Q572" t="str">
        <f>IF(P572="","",IF(SUMPRODUCT(--(P$10:P572=P572))=1,SUMPRODUCT(--(P$10:P$609&lt;P572))+1,""))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IFERROR(INDEX(tblY7[Class],ROWS(H$10:H573))&amp;"","")</f>
        <v/>
      </c>
      <c r="I573" t="str">
        <f>IF(H573="","",IF(SUMPRODUCT(--(H$10:H573=H573))=1,SUMPRODUCT(--(H$10:H$609&lt;H573))+1,""))</f>
        <v/>
      </c>
      <c r="J573" t="str">
        <f>IFERROR(INDEX(tblY8[Class],ROWS(J$10:J573))&amp;"","")</f>
        <v/>
      </c>
      <c r="K573" t="str">
        <f>IF(J573="","",IF(SUMPRODUCT(--(J$10:J573=J573))=1,SUMPRODUCT(--(J$10:J$609&lt;J573))+1,""))</f>
        <v/>
      </c>
      <c r="L573" t="str">
        <f>IFERROR(INDEX(tblY9[Class],ROWS(L$10:L573))&amp;"","")</f>
        <v/>
      </c>
      <c r="M573" t="str">
        <f>IF(L573="","",IF(SUMPRODUCT(--(L$10:L573=L573))=1,SUMPRODUCT(--(L$10:L$609&lt;L573))+1,""))</f>
        <v/>
      </c>
      <c r="N573" t="str">
        <f>IFERROR(INDEX(tblY10[Class],ROWS(N$10:N573))&amp;"","")</f>
        <v/>
      </c>
      <c r="O573" t="str">
        <f>IF(N573="","",IF(SUMPRODUCT(--(N$10:N573=N573))=1,SUMPRODUCT(--(N$10:N$609&lt;N573))+1,""))</f>
        <v/>
      </c>
      <c r="P573" t="str">
        <f>IFERROR(INDEX(tblY11[Class],ROWS(P$10:P573))&amp;"","")</f>
        <v/>
      </c>
      <c r="Q573" t="str">
        <f>IF(P573="","",IF(SUMPRODUCT(--(P$10:P573=P573))=1,SUMPRODUCT(--(P$10:P$609&lt;P573))+1,""))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IFERROR(INDEX(tblY7[Class],ROWS(H$10:H574))&amp;"","")</f>
        <v/>
      </c>
      <c r="I574" t="str">
        <f>IF(H574="","",IF(SUMPRODUCT(--(H$10:H574=H574))=1,SUMPRODUCT(--(H$10:H$609&lt;H574))+1,""))</f>
        <v/>
      </c>
      <c r="J574" t="str">
        <f>IFERROR(INDEX(tblY8[Class],ROWS(J$10:J574))&amp;"","")</f>
        <v/>
      </c>
      <c r="K574" t="str">
        <f>IF(J574="","",IF(SUMPRODUCT(--(J$10:J574=J574))=1,SUMPRODUCT(--(J$10:J$609&lt;J574))+1,""))</f>
        <v/>
      </c>
      <c r="L574" t="str">
        <f>IFERROR(INDEX(tblY9[Class],ROWS(L$10:L574))&amp;"","")</f>
        <v/>
      </c>
      <c r="M574" t="str">
        <f>IF(L574="","",IF(SUMPRODUCT(--(L$10:L574=L574))=1,SUMPRODUCT(--(L$10:L$609&lt;L574))+1,""))</f>
        <v/>
      </c>
      <c r="N574" t="str">
        <f>IFERROR(INDEX(tblY10[Class],ROWS(N$10:N574))&amp;"","")</f>
        <v/>
      </c>
      <c r="O574" t="str">
        <f>IF(N574="","",IF(SUMPRODUCT(--(N$10:N574=N574))=1,SUMPRODUCT(--(N$10:N$609&lt;N574))+1,""))</f>
        <v/>
      </c>
      <c r="P574" t="str">
        <f>IFERROR(INDEX(tblY11[Class],ROWS(P$10:P574))&amp;"","")</f>
        <v/>
      </c>
      <c r="Q574" t="str">
        <f>IF(P574="","",IF(SUMPRODUCT(--(P$10:P574=P574))=1,SUMPRODUCT(--(P$10:P$609&lt;P574))+1,""))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IFERROR(INDEX(tblY7[Class],ROWS(H$10:H575))&amp;"","")</f>
        <v/>
      </c>
      <c r="I575" t="str">
        <f>IF(H575="","",IF(SUMPRODUCT(--(H$10:H575=H575))=1,SUMPRODUCT(--(H$10:H$609&lt;H575))+1,""))</f>
        <v/>
      </c>
      <c r="J575" t="str">
        <f>IFERROR(INDEX(tblY8[Class],ROWS(J$10:J575))&amp;"","")</f>
        <v/>
      </c>
      <c r="K575" t="str">
        <f>IF(J575="","",IF(SUMPRODUCT(--(J$10:J575=J575))=1,SUMPRODUCT(--(J$10:J$609&lt;J575))+1,""))</f>
        <v/>
      </c>
      <c r="L575" t="str">
        <f>IFERROR(INDEX(tblY9[Class],ROWS(L$10:L575))&amp;"","")</f>
        <v/>
      </c>
      <c r="M575" t="str">
        <f>IF(L575="","",IF(SUMPRODUCT(--(L$10:L575=L575))=1,SUMPRODUCT(--(L$10:L$609&lt;L575))+1,""))</f>
        <v/>
      </c>
      <c r="N575" t="str">
        <f>IFERROR(INDEX(tblY10[Class],ROWS(N$10:N575))&amp;"","")</f>
        <v/>
      </c>
      <c r="O575" t="str">
        <f>IF(N575="","",IF(SUMPRODUCT(--(N$10:N575=N575))=1,SUMPRODUCT(--(N$10:N$609&lt;N575))+1,""))</f>
        <v/>
      </c>
      <c r="P575" t="str">
        <f>IFERROR(INDEX(tblY11[Class],ROWS(P$10:P575))&amp;"","")</f>
        <v/>
      </c>
      <c r="Q575" t="str">
        <f>IF(P575="","",IF(SUMPRODUCT(--(P$10:P575=P575))=1,SUMPRODUCT(--(P$10:P$609&lt;P575))+1,""))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IFERROR(INDEX(tblY7[Class],ROWS(H$10:H576))&amp;"","")</f>
        <v/>
      </c>
      <c r="I576" t="str">
        <f>IF(H576="","",IF(SUMPRODUCT(--(H$10:H576=H576))=1,SUMPRODUCT(--(H$10:H$609&lt;H576))+1,""))</f>
        <v/>
      </c>
      <c r="J576" t="str">
        <f>IFERROR(INDEX(tblY8[Class],ROWS(J$10:J576))&amp;"","")</f>
        <v/>
      </c>
      <c r="K576" t="str">
        <f>IF(J576="","",IF(SUMPRODUCT(--(J$10:J576=J576))=1,SUMPRODUCT(--(J$10:J$609&lt;J576))+1,""))</f>
        <v/>
      </c>
      <c r="L576" t="str">
        <f>IFERROR(INDEX(tblY9[Class],ROWS(L$10:L576))&amp;"","")</f>
        <v/>
      </c>
      <c r="M576" t="str">
        <f>IF(L576="","",IF(SUMPRODUCT(--(L$10:L576=L576))=1,SUMPRODUCT(--(L$10:L$609&lt;L576))+1,""))</f>
        <v/>
      </c>
      <c r="N576" t="str">
        <f>IFERROR(INDEX(tblY10[Class],ROWS(N$10:N576))&amp;"","")</f>
        <v/>
      </c>
      <c r="O576" t="str">
        <f>IF(N576="","",IF(SUMPRODUCT(--(N$10:N576=N576))=1,SUMPRODUCT(--(N$10:N$609&lt;N576))+1,""))</f>
        <v/>
      </c>
      <c r="P576" t="str">
        <f>IFERROR(INDEX(tblY11[Class],ROWS(P$10:P576))&amp;"","")</f>
        <v/>
      </c>
      <c r="Q576" t="str">
        <f>IF(P576="","",IF(SUMPRODUCT(--(P$10:P576=P576))=1,SUMPRODUCT(--(P$10:P$609&lt;P576))+1,""))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IFERROR(INDEX(tblY7[Class],ROWS(H$10:H577))&amp;"","")</f>
        <v/>
      </c>
      <c r="I577" t="str">
        <f>IF(H577="","",IF(SUMPRODUCT(--(H$10:H577=H577))=1,SUMPRODUCT(--(H$10:H$609&lt;H577))+1,""))</f>
        <v/>
      </c>
      <c r="J577" t="str">
        <f>IFERROR(INDEX(tblY8[Class],ROWS(J$10:J577))&amp;"","")</f>
        <v/>
      </c>
      <c r="K577" t="str">
        <f>IF(J577="","",IF(SUMPRODUCT(--(J$10:J577=J577))=1,SUMPRODUCT(--(J$10:J$609&lt;J577))+1,""))</f>
        <v/>
      </c>
      <c r="L577" t="str">
        <f>IFERROR(INDEX(tblY9[Class],ROWS(L$10:L577))&amp;"","")</f>
        <v/>
      </c>
      <c r="M577" t="str">
        <f>IF(L577="","",IF(SUMPRODUCT(--(L$10:L577=L577))=1,SUMPRODUCT(--(L$10:L$609&lt;L577))+1,""))</f>
        <v/>
      </c>
      <c r="N577" t="str">
        <f>IFERROR(INDEX(tblY10[Class],ROWS(N$10:N577))&amp;"","")</f>
        <v/>
      </c>
      <c r="O577" t="str">
        <f>IF(N577="","",IF(SUMPRODUCT(--(N$10:N577=N577))=1,SUMPRODUCT(--(N$10:N$609&lt;N577))+1,""))</f>
        <v/>
      </c>
      <c r="P577" t="str">
        <f>IFERROR(INDEX(tblY11[Class],ROWS(P$10:P577))&amp;"","")</f>
        <v/>
      </c>
      <c r="Q577" t="str">
        <f>IF(P577="","",IF(SUMPRODUCT(--(P$10:P577=P577))=1,SUMPRODUCT(--(P$10:P$609&lt;P577))+1,""))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IFERROR(INDEX(tblY7[Class],ROWS(H$10:H578))&amp;"","")</f>
        <v/>
      </c>
      <c r="I578" t="str">
        <f>IF(H578="","",IF(SUMPRODUCT(--(H$10:H578=H578))=1,SUMPRODUCT(--(H$10:H$609&lt;H578))+1,""))</f>
        <v/>
      </c>
      <c r="J578" t="str">
        <f>IFERROR(INDEX(tblY8[Class],ROWS(J$10:J578))&amp;"","")</f>
        <v/>
      </c>
      <c r="K578" t="str">
        <f>IF(J578="","",IF(SUMPRODUCT(--(J$10:J578=J578))=1,SUMPRODUCT(--(J$10:J$609&lt;J578))+1,""))</f>
        <v/>
      </c>
      <c r="L578" t="str">
        <f>IFERROR(INDEX(tblY9[Class],ROWS(L$10:L578))&amp;"","")</f>
        <v/>
      </c>
      <c r="M578" t="str">
        <f>IF(L578="","",IF(SUMPRODUCT(--(L$10:L578=L578))=1,SUMPRODUCT(--(L$10:L$609&lt;L578))+1,""))</f>
        <v/>
      </c>
      <c r="N578" t="str">
        <f>IFERROR(INDEX(tblY10[Class],ROWS(N$10:N578))&amp;"","")</f>
        <v/>
      </c>
      <c r="O578" t="str">
        <f>IF(N578="","",IF(SUMPRODUCT(--(N$10:N578=N578))=1,SUMPRODUCT(--(N$10:N$609&lt;N578))+1,""))</f>
        <v/>
      </c>
      <c r="P578" t="str">
        <f>IFERROR(INDEX(tblY11[Class],ROWS(P$10:P578))&amp;"","")</f>
        <v/>
      </c>
      <c r="Q578" t="str">
        <f>IF(P578="","",IF(SUMPRODUCT(--(P$10:P578=P578))=1,SUMPRODUCT(--(P$10:P$609&lt;P578))+1,""))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IFERROR(INDEX(tblY7[Class],ROWS(H$10:H579))&amp;"","")</f>
        <v/>
      </c>
      <c r="I579" t="str">
        <f>IF(H579="","",IF(SUMPRODUCT(--(H$10:H579=H579))=1,SUMPRODUCT(--(H$10:H$609&lt;H579))+1,""))</f>
        <v/>
      </c>
      <c r="J579" t="str">
        <f>IFERROR(INDEX(tblY8[Class],ROWS(J$10:J579))&amp;"","")</f>
        <v/>
      </c>
      <c r="K579" t="str">
        <f>IF(J579="","",IF(SUMPRODUCT(--(J$10:J579=J579))=1,SUMPRODUCT(--(J$10:J$609&lt;J579))+1,""))</f>
        <v/>
      </c>
      <c r="L579" t="str">
        <f>IFERROR(INDEX(tblY9[Class],ROWS(L$10:L579))&amp;"","")</f>
        <v/>
      </c>
      <c r="M579" t="str">
        <f>IF(L579="","",IF(SUMPRODUCT(--(L$10:L579=L579))=1,SUMPRODUCT(--(L$10:L$609&lt;L579))+1,""))</f>
        <v/>
      </c>
      <c r="N579" t="str">
        <f>IFERROR(INDEX(tblY10[Class],ROWS(N$10:N579))&amp;"","")</f>
        <v/>
      </c>
      <c r="O579" t="str">
        <f>IF(N579="","",IF(SUMPRODUCT(--(N$10:N579=N579))=1,SUMPRODUCT(--(N$10:N$609&lt;N579))+1,""))</f>
        <v/>
      </c>
      <c r="P579" t="str">
        <f>IFERROR(INDEX(tblY11[Class],ROWS(P$10:P579))&amp;"","")</f>
        <v/>
      </c>
      <c r="Q579" t="str">
        <f>IF(P579="","",IF(SUMPRODUCT(--(P$10:P579=P579))=1,SUMPRODUCT(--(P$10:P$609&lt;P579))+1,""))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IFERROR(INDEX(tblY7[Class],ROWS(H$10:H580))&amp;"","")</f>
        <v/>
      </c>
      <c r="I580" t="str">
        <f>IF(H580="","",IF(SUMPRODUCT(--(H$10:H580=H580))=1,SUMPRODUCT(--(H$10:H$609&lt;H580))+1,""))</f>
        <v/>
      </c>
      <c r="J580" t="str">
        <f>IFERROR(INDEX(tblY8[Class],ROWS(J$10:J580))&amp;"","")</f>
        <v/>
      </c>
      <c r="K580" t="str">
        <f>IF(J580="","",IF(SUMPRODUCT(--(J$10:J580=J580))=1,SUMPRODUCT(--(J$10:J$609&lt;J580))+1,""))</f>
        <v/>
      </c>
      <c r="L580" t="str">
        <f>IFERROR(INDEX(tblY9[Class],ROWS(L$10:L580))&amp;"","")</f>
        <v/>
      </c>
      <c r="M580" t="str">
        <f>IF(L580="","",IF(SUMPRODUCT(--(L$10:L580=L580))=1,SUMPRODUCT(--(L$10:L$609&lt;L580))+1,""))</f>
        <v/>
      </c>
      <c r="N580" t="str">
        <f>IFERROR(INDEX(tblY10[Class],ROWS(N$10:N580))&amp;"","")</f>
        <v/>
      </c>
      <c r="O580" t="str">
        <f>IF(N580="","",IF(SUMPRODUCT(--(N$10:N580=N580))=1,SUMPRODUCT(--(N$10:N$609&lt;N580))+1,""))</f>
        <v/>
      </c>
      <c r="P580" t="str">
        <f>IFERROR(INDEX(tblY11[Class],ROWS(P$10:P580))&amp;"","")</f>
        <v/>
      </c>
      <c r="Q580" t="str">
        <f>IF(P580="","",IF(SUMPRODUCT(--(P$10:P580=P580))=1,SUMPRODUCT(--(P$10:P$609&lt;P580))+1,""))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IFERROR(INDEX(tblY7[Class],ROWS(H$10:H581))&amp;"","")</f>
        <v/>
      </c>
      <c r="I581" t="str">
        <f>IF(H581="","",IF(SUMPRODUCT(--(H$10:H581=H581))=1,SUMPRODUCT(--(H$10:H$609&lt;H581))+1,""))</f>
        <v/>
      </c>
      <c r="J581" t="str">
        <f>IFERROR(INDEX(tblY8[Class],ROWS(J$10:J581))&amp;"","")</f>
        <v/>
      </c>
      <c r="K581" t="str">
        <f>IF(J581="","",IF(SUMPRODUCT(--(J$10:J581=J581))=1,SUMPRODUCT(--(J$10:J$609&lt;J581))+1,""))</f>
        <v/>
      </c>
      <c r="L581" t="str">
        <f>IFERROR(INDEX(tblY9[Class],ROWS(L$10:L581))&amp;"","")</f>
        <v/>
      </c>
      <c r="M581" t="str">
        <f>IF(L581="","",IF(SUMPRODUCT(--(L$10:L581=L581))=1,SUMPRODUCT(--(L$10:L$609&lt;L581))+1,""))</f>
        <v/>
      </c>
      <c r="N581" t="str">
        <f>IFERROR(INDEX(tblY10[Class],ROWS(N$10:N581))&amp;"","")</f>
        <v/>
      </c>
      <c r="O581" t="str">
        <f>IF(N581="","",IF(SUMPRODUCT(--(N$10:N581=N581))=1,SUMPRODUCT(--(N$10:N$609&lt;N581))+1,""))</f>
        <v/>
      </c>
      <c r="P581" t="str">
        <f>IFERROR(INDEX(tblY11[Class],ROWS(P$10:P581))&amp;"","")</f>
        <v/>
      </c>
      <c r="Q581" t="str">
        <f>IF(P581="","",IF(SUMPRODUCT(--(P$10:P581=P581))=1,SUMPRODUCT(--(P$10:P$609&lt;P581))+1,""))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IFERROR(INDEX(tblY7[Class],ROWS(H$10:H582))&amp;"","")</f>
        <v/>
      </c>
      <c r="I582" t="str">
        <f>IF(H582="","",IF(SUMPRODUCT(--(H$10:H582=H582))=1,SUMPRODUCT(--(H$10:H$609&lt;H582))+1,""))</f>
        <v/>
      </c>
      <c r="J582" t="str">
        <f>IFERROR(INDEX(tblY8[Class],ROWS(J$10:J582))&amp;"","")</f>
        <v/>
      </c>
      <c r="K582" t="str">
        <f>IF(J582="","",IF(SUMPRODUCT(--(J$10:J582=J582))=1,SUMPRODUCT(--(J$10:J$609&lt;J582))+1,""))</f>
        <v/>
      </c>
      <c r="L582" t="str">
        <f>IFERROR(INDEX(tblY9[Class],ROWS(L$10:L582))&amp;"","")</f>
        <v/>
      </c>
      <c r="M582" t="str">
        <f>IF(L582="","",IF(SUMPRODUCT(--(L$10:L582=L582))=1,SUMPRODUCT(--(L$10:L$609&lt;L582))+1,""))</f>
        <v/>
      </c>
      <c r="N582" t="str">
        <f>IFERROR(INDEX(tblY10[Class],ROWS(N$10:N582))&amp;"","")</f>
        <v/>
      </c>
      <c r="O582" t="str">
        <f>IF(N582="","",IF(SUMPRODUCT(--(N$10:N582=N582))=1,SUMPRODUCT(--(N$10:N$609&lt;N582))+1,""))</f>
        <v/>
      </c>
      <c r="P582" t="str">
        <f>IFERROR(INDEX(tblY11[Class],ROWS(P$10:P582))&amp;"","")</f>
        <v/>
      </c>
      <c r="Q582" t="str">
        <f>IF(P582="","",IF(SUMPRODUCT(--(P$10:P582=P582))=1,SUMPRODUCT(--(P$10:P$609&lt;P582))+1,""))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IFERROR(INDEX(tblY7[Class],ROWS(H$10:H583))&amp;"","")</f>
        <v/>
      </c>
      <c r="I583" t="str">
        <f>IF(H583="","",IF(SUMPRODUCT(--(H$10:H583=H583))=1,SUMPRODUCT(--(H$10:H$609&lt;H583))+1,""))</f>
        <v/>
      </c>
      <c r="J583" t="str">
        <f>IFERROR(INDEX(tblY8[Class],ROWS(J$10:J583))&amp;"","")</f>
        <v/>
      </c>
      <c r="K583" t="str">
        <f>IF(J583="","",IF(SUMPRODUCT(--(J$10:J583=J583))=1,SUMPRODUCT(--(J$10:J$609&lt;J583))+1,""))</f>
        <v/>
      </c>
      <c r="L583" t="str">
        <f>IFERROR(INDEX(tblY9[Class],ROWS(L$10:L583))&amp;"","")</f>
        <v/>
      </c>
      <c r="M583" t="str">
        <f>IF(L583="","",IF(SUMPRODUCT(--(L$10:L583=L583))=1,SUMPRODUCT(--(L$10:L$609&lt;L583))+1,""))</f>
        <v/>
      </c>
      <c r="N583" t="str">
        <f>IFERROR(INDEX(tblY10[Class],ROWS(N$10:N583))&amp;"","")</f>
        <v/>
      </c>
      <c r="O583" t="str">
        <f>IF(N583="","",IF(SUMPRODUCT(--(N$10:N583=N583))=1,SUMPRODUCT(--(N$10:N$609&lt;N583))+1,""))</f>
        <v/>
      </c>
      <c r="P583" t="str">
        <f>IFERROR(INDEX(tblY11[Class],ROWS(P$10:P583))&amp;"","")</f>
        <v/>
      </c>
      <c r="Q583" t="str">
        <f>IF(P583="","",IF(SUMPRODUCT(--(P$10:P583=P583))=1,SUMPRODUCT(--(P$10:P$609&lt;P583))+1,""))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IFERROR(INDEX(tblY7[Class],ROWS(H$10:H584))&amp;"","")</f>
        <v/>
      </c>
      <c r="I584" t="str">
        <f>IF(H584="","",IF(SUMPRODUCT(--(H$10:H584=H584))=1,SUMPRODUCT(--(H$10:H$609&lt;H584))+1,""))</f>
        <v/>
      </c>
      <c r="J584" t="str">
        <f>IFERROR(INDEX(tblY8[Class],ROWS(J$10:J584))&amp;"","")</f>
        <v/>
      </c>
      <c r="K584" t="str">
        <f>IF(J584="","",IF(SUMPRODUCT(--(J$10:J584=J584))=1,SUMPRODUCT(--(J$10:J$609&lt;J584))+1,""))</f>
        <v/>
      </c>
      <c r="L584" t="str">
        <f>IFERROR(INDEX(tblY9[Class],ROWS(L$10:L584))&amp;"","")</f>
        <v/>
      </c>
      <c r="M584" t="str">
        <f>IF(L584="","",IF(SUMPRODUCT(--(L$10:L584=L584))=1,SUMPRODUCT(--(L$10:L$609&lt;L584))+1,""))</f>
        <v/>
      </c>
      <c r="N584" t="str">
        <f>IFERROR(INDEX(tblY10[Class],ROWS(N$10:N584))&amp;"","")</f>
        <v/>
      </c>
      <c r="O584" t="str">
        <f>IF(N584="","",IF(SUMPRODUCT(--(N$10:N584=N584))=1,SUMPRODUCT(--(N$10:N$609&lt;N584))+1,""))</f>
        <v/>
      </c>
      <c r="P584" t="str">
        <f>IFERROR(INDEX(tblY11[Class],ROWS(P$10:P584))&amp;"","")</f>
        <v/>
      </c>
      <c r="Q584" t="str">
        <f>IF(P584="","",IF(SUMPRODUCT(--(P$10:P584=P584))=1,SUMPRODUCT(--(P$10:P$609&lt;P584))+1,""))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IFERROR(INDEX(tblY7[Class],ROWS(H$10:H585))&amp;"","")</f>
        <v/>
      </c>
      <c r="I585" t="str">
        <f>IF(H585="","",IF(SUMPRODUCT(--(H$10:H585=H585))=1,SUMPRODUCT(--(H$10:H$609&lt;H585))+1,""))</f>
        <v/>
      </c>
      <c r="J585" t="str">
        <f>IFERROR(INDEX(tblY8[Class],ROWS(J$10:J585))&amp;"","")</f>
        <v/>
      </c>
      <c r="K585" t="str">
        <f>IF(J585="","",IF(SUMPRODUCT(--(J$10:J585=J585))=1,SUMPRODUCT(--(J$10:J$609&lt;J585))+1,""))</f>
        <v/>
      </c>
      <c r="L585" t="str">
        <f>IFERROR(INDEX(tblY9[Class],ROWS(L$10:L585))&amp;"","")</f>
        <v/>
      </c>
      <c r="M585" t="str">
        <f>IF(L585="","",IF(SUMPRODUCT(--(L$10:L585=L585))=1,SUMPRODUCT(--(L$10:L$609&lt;L585))+1,""))</f>
        <v/>
      </c>
      <c r="N585" t="str">
        <f>IFERROR(INDEX(tblY10[Class],ROWS(N$10:N585))&amp;"","")</f>
        <v/>
      </c>
      <c r="O585" t="str">
        <f>IF(N585="","",IF(SUMPRODUCT(--(N$10:N585=N585))=1,SUMPRODUCT(--(N$10:N$609&lt;N585))+1,""))</f>
        <v/>
      </c>
      <c r="P585" t="str">
        <f>IFERROR(INDEX(tblY11[Class],ROWS(P$10:P585))&amp;"","")</f>
        <v/>
      </c>
      <c r="Q585" t="str">
        <f>IF(P585="","",IF(SUMPRODUCT(--(P$10:P585=P585))=1,SUMPRODUCT(--(P$10:P$609&lt;P585))+1,""))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IFERROR(INDEX(tblY7[Class],ROWS(H$10:H586))&amp;"","")</f>
        <v/>
      </c>
      <c r="I586" t="str">
        <f>IF(H586="","",IF(SUMPRODUCT(--(H$10:H586=H586))=1,SUMPRODUCT(--(H$10:H$609&lt;H586))+1,""))</f>
        <v/>
      </c>
      <c r="J586" t="str">
        <f>IFERROR(INDEX(tblY8[Class],ROWS(J$10:J586))&amp;"","")</f>
        <v/>
      </c>
      <c r="K586" t="str">
        <f>IF(J586="","",IF(SUMPRODUCT(--(J$10:J586=J586))=1,SUMPRODUCT(--(J$10:J$609&lt;J586))+1,""))</f>
        <v/>
      </c>
      <c r="L586" t="str">
        <f>IFERROR(INDEX(tblY9[Class],ROWS(L$10:L586))&amp;"","")</f>
        <v/>
      </c>
      <c r="M586" t="str">
        <f>IF(L586="","",IF(SUMPRODUCT(--(L$10:L586=L586))=1,SUMPRODUCT(--(L$10:L$609&lt;L586))+1,""))</f>
        <v/>
      </c>
      <c r="N586" t="str">
        <f>IFERROR(INDEX(tblY10[Class],ROWS(N$10:N586))&amp;"","")</f>
        <v/>
      </c>
      <c r="O586" t="str">
        <f>IF(N586="","",IF(SUMPRODUCT(--(N$10:N586=N586))=1,SUMPRODUCT(--(N$10:N$609&lt;N586))+1,""))</f>
        <v/>
      </c>
      <c r="P586" t="str">
        <f>IFERROR(INDEX(tblY11[Class],ROWS(P$10:P586))&amp;"","")</f>
        <v/>
      </c>
      <c r="Q586" t="str">
        <f>IF(P586="","",IF(SUMPRODUCT(--(P$10:P586=P586))=1,SUMPRODUCT(--(P$10:P$609&lt;P586))+1,""))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IFERROR(INDEX(tblY7[Class],ROWS(H$10:H587))&amp;"","")</f>
        <v/>
      </c>
      <c r="I587" t="str">
        <f>IF(H587="","",IF(SUMPRODUCT(--(H$10:H587=H587))=1,SUMPRODUCT(--(H$10:H$609&lt;H587))+1,""))</f>
        <v/>
      </c>
      <c r="J587" t="str">
        <f>IFERROR(INDEX(tblY8[Class],ROWS(J$10:J587))&amp;"","")</f>
        <v/>
      </c>
      <c r="K587" t="str">
        <f>IF(J587="","",IF(SUMPRODUCT(--(J$10:J587=J587))=1,SUMPRODUCT(--(J$10:J$609&lt;J587))+1,""))</f>
        <v/>
      </c>
      <c r="L587" t="str">
        <f>IFERROR(INDEX(tblY9[Class],ROWS(L$10:L587))&amp;"","")</f>
        <v/>
      </c>
      <c r="M587" t="str">
        <f>IF(L587="","",IF(SUMPRODUCT(--(L$10:L587=L587))=1,SUMPRODUCT(--(L$10:L$609&lt;L587))+1,""))</f>
        <v/>
      </c>
      <c r="N587" t="str">
        <f>IFERROR(INDEX(tblY10[Class],ROWS(N$10:N587))&amp;"","")</f>
        <v/>
      </c>
      <c r="O587" t="str">
        <f>IF(N587="","",IF(SUMPRODUCT(--(N$10:N587=N587))=1,SUMPRODUCT(--(N$10:N$609&lt;N587))+1,""))</f>
        <v/>
      </c>
      <c r="P587" t="str">
        <f>IFERROR(INDEX(tblY11[Class],ROWS(P$10:P587))&amp;"","")</f>
        <v/>
      </c>
      <c r="Q587" t="str">
        <f>IF(P587="","",IF(SUMPRODUCT(--(P$10:P587=P587))=1,SUMPRODUCT(--(P$10:P$609&lt;P587))+1,""))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IFERROR(INDEX(tblY7[Class],ROWS(H$10:H588))&amp;"","")</f>
        <v/>
      </c>
      <c r="I588" t="str">
        <f>IF(H588="","",IF(SUMPRODUCT(--(H$10:H588=H588))=1,SUMPRODUCT(--(H$10:H$609&lt;H588))+1,""))</f>
        <v/>
      </c>
      <c r="J588" t="str">
        <f>IFERROR(INDEX(tblY8[Class],ROWS(J$10:J588))&amp;"","")</f>
        <v/>
      </c>
      <c r="K588" t="str">
        <f>IF(J588="","",IF(SUMPRODUCT(--(J$10:J588=J588))=1,SUMPRODUCT(--(J$10:J$609&lt;J588))+1,""))</f>
        <v/>
      </c>
      <c r="L588" t="str">
        <f>IFERROR(INDEX(tblY9[Class],ROWS(L$10:L588))&amp;"","")</f>
        <v/>
      </c>
      <c r="M588" t="str">
        <f>IF(L588="","",IF(SUMPRODUCT(--(L$10:L588=L588))=1,SUMPRODUCT(--(L$10:L$609&lt;L588))+1,""))</f>
        <v/>
      </c>
      <c r="N588" t="str">
        <f>IFERROR(INDEX(tblY10[Class],ROWS(N$10:N588))&amp;"","")</f>
        <v/>
      </c>
      <c r="O588" t="str">
        <f>IF(N588="","",IF(SUMPRODUCT(--(N$10:N588=N588))=1,SUMPRODUCT(--(N$10:N$609&lt;N588))+1,""))</f>
        <v/>
      </c>
      <c r="P588" t="str">
        <f>IFERROR(INDEX(tblY11[Class],ROWS(P$10:P588))&amp;"","")</f>
        <v/>
      </c>
      <c r="Q588" t="str">
        <f>IF(P588="","",IF(SUMPRODUCT(--(P$10:P588=P588))=1,SUMPRODUCT(--(P$10:P$609&lt;P588))+1,""))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IFERROR(INDEX(tblY7[Class],ROWS(H$10:H589))&amp;"","")</f>
        <v/>
      </c>
      <c r="I589" t="str">
        <f>IF(H589="","",IF(SUMPRODUCT(--(H$10:H589=H589))=1,SUMPRODUCT(--(H$10:H$609&lt;H589))+1,""))</f>
        <v/>
      </c>
      <c r="J589" t="str">
        <f>IFERROR(INDEX(tblY8[Class],ROWS(J$10:J589))&amp;"","")</f>
        <v/>
      </c>
      <c r="K589" t="str">
        <f>IF(J589="","",IF(SUMPRODUCT(--(J$10:J589=J589))=1,SUMPRODUCT(--(J$10:J$609&lt;J589))+1,""))</f>
        <v/>
      </c>
      <c r="L589" t="str">
        <f>IFERROR(INDEX(tblY9[Class],ROWS(L$10:L589))&amp;"","")</f>
        <v/>
      </c>
      <c r="M589" t="str">
        <f>IF(L589="","",IF(SUMPRODUCT(--(L$10:L589=L589))=1,SUMPRODUCT(--(L$10:L$609&lt;L589))+1,""))</f>
        <v/>
      </c>
      <c r="N589" t="str">
        <f>IFERROR(INDEX(tblY10[Class],ROWS(N$10:N589))&amp;"","")</f>
        <v/>
      </c>
      <c r="O589" t="str">
        <f>IF(N589="","",IF(SUMPRODUCT(--(N$10:N589=N589))=1,SUMPRODUCT(--(N$10:N$609&lt;N589))+1,""))</f>
        <v/>
      </c>
      <c r="P589" t="str">
        <f>IFERROR(INDEX(tblY11[Class],ROWS(P$10:P589))&amp;"","")</f>
        <v/>
      </c>
      <c r="Q589" t="str">
        <f>IF(P589="","",IF(SUMPRODUCT(--(P$10:P589=P589))=1,SUMPRODUCT(--(P$10:P$609&lt;P589))+1,""))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IFERROR(INDEX(tblY7[Class],ROWS(H$10:H590))&amp;"","")</f>
        <v/>
      </c>
      <c r="I590" t="str">
        <f>IF(H590="","",IF(SUMPRODUCT(--(H$10:H590=H590))=1,SUMPRODUCT(--(H$10:H$609&lt;H590))+1,""))</f>
        <v/>
      </c>
      <c r="J590" t="str">
        <f>IFERROR(INDEX(tblY8[Class],ROWS(J$10:J590))&amp;"","")</f>
        <v/>
      </c>
      <c r="K590" t="str">
        <f>IF(J590="","",IF(SUMPRODUCT(--(J$10:J590=J590))=1,SUMPRODUCT(--(J$10:J$609&lt;J590))+1,""))</f>
        <v/>
      </c>
      <c r="L590" t="str">
        <f>IFERROR(INDEX(tblY9[Class],ROWS(L$10:L590))&amp;"","")</f>
        <v/>
      </c>
      <c r="M590" t="str">
        <f>IF(L590="","",IF(SUMPRODUCT(--(L$10:L590=L590))=1,SUMPRODUCT(--(L$10:L$609&lt;L590))+1,""))</f>
        <v/>
      </c>
      <c r="N590" t="str">
        <f>IFERROR(INDEX(tblY10[Class],ROWS(N$10:N590))&amp;"","")</f>
        <v/>
      </c>
      <c r="O590" t="str">
        <f>IF(N590="","",IF(SUMPRODUCT(--(N$10:N590=N590))=1,SUMPRODUCT(--(N$10:N$609&lt;N590))+1,""))</f>
        <v/>
      </c>
      <c r="P590" t="str">
        <f>IFERROR(INDEX(tblY11[Class],ROWS(P$10:P590))&amp;"","")</f>
        <v/>
      </c>
      <c r="Q590" t="str">
        <f>IF(P590="","",IF(SUMPRODUCT(--(P$10:P590=P590))=1,SUMPRODUCT(--(P$10:P$609&lt;P590))+1,""))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IFERROR(INDEX(tblY7[Class],ROWS(H$10:H591))&amp;"","")</f>
        <v/>
      </c>
      <c r="I591" t="str">
        <f>IF(H591="","",IF(SUMPRODUCT(--(H$10:H591=H591))=1,SUMPRODUCT(--(H$10:H$609&lt;H591))+1,""))</f>
        <v/>
      </c>
      <c r="J591" t="str">
        <f>IFERROR(INDEX(tblY8[Class],ROWS(J$10:J591))&amp;"","")</f>
        <v/>
      </c>
      <c r="K591" t="str">
        <f>IF(J591="","",IF(SUMPRODUCT(--(J$10:J591=J591))=1,SUMPRODUCT(--(J$10:J$609&lt;J591))+1,""))</f>
        <v/>
      </c>
      <c r="L591" t="str">
        <f>IFERROR(INDEX(tblY9[Class],ROWS(L$10:L591))&amp;"","")</f>
        <v/>
      </c>
      <c r="M591" t="str">
        <f>IF(L591="","",IF(SUMPRODUCT(--(L$10:L591=L591))=1,SUMPRODUCT(--(L$10:L$609&lt;L591))+1,""))</f>
        <v/>
      </c>
      <c r="N591" t="str">
        <f>IFERROR(INDEX(tblY10[Class],ROWS(N$10:N591))&amp;"","")</f>
        <v/>
      </c>
      <c r="O591" t="str">
        <f>IF(N591="","",IF(SUMPRODUCT(--(N$10:N591=N591))=1,SUMPRODUCT(--(N$10:N$609&lt;N591))+1,""))</f>
        <v/>
      </c>
      <c r="P591" t="str">
        <f>IFERROR(INDEX(tblY11[Class],ROWS(P$10:P591))&amp;"","")</f>
        <v/>
      </c>
      <c r="Q591" t="str">
        <f>IF(P591="","",IF(SUMPRODUCT(--(P$10:P591=P591))=1,SUMPRODUCT(--(P$10:P$609&lt;P591))+1,""))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IFERROR(INDEX(tblY7[Class],ROWS(H$10:H592))&amp;"","")</f>
        <v/>
      </c>
      <c r="I592" t="str">
        <f>IF(H592="","",IF(SUMPRODUCT(--(H$10:H592=H592))=1,SUMPRODUCT(--(H$10:H$609&lt;H592))+1,""))</f>
        <v/>
      </c>
      <c r="J592" t="str">
        <f>IFERROR(INDEX(tblY8[Class],ROWS(J$10:J592))&amp;"","")</f>
        <v/>
      </c>
      <c r="K592" t="str">
        <f>IF(J592="","",IF(SUMPRODUCT(--(J$10:J592=J592))=1,SUMPRODUCT(--(J$10:J$609&lt;J592))+1,""))</f>
        <v/>
      </c>
      <c r="L592" t="str">
        <f>IFERROR(INDEX(tblY9[Class],ROWS(L$10:L592))&amp;"","")</f>
        <v/>
      </c>
      <c r="M592" t="str">
        <f>IF(L592="","",IF(SUMPRODUCT(--(L$10:L592=L592))=1,SUMPRODUCT(--(L$10:L$609&lt;L592))+1,""))</f>
        <v/>
      </c>
      <c r="N592" t="str">
        <f>IFERROR(INDEX(tblY10[Class],ROWS(N$10:N592))&amp;"","")</f>
        <v/>
      </c>
      <c r="O592" t="str">
        <f>IF(N592="","",IF(SUMPRODUCT(--(N$10:N592=N592))=1,SUMPRODUCT(--(N$10:N$609&lt;N592))+1,""))</f>
        <v/>
      </c>
      <c r="P592" t="str">
        <f>IFERROR(INDEX(tblY11[Class],ROWS(P$10:P592))&amp;"","")</f>
        <v/>
      </c>
      <c r="Q592" t="str">
        <f>IF(P592="","",IF(SUMPRODUCT(--(P$10:P592=P592))=1,SUMPRODUCT(--(P$10:P$609&lt;P592))+1,""))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IFERROR(INDEX(tblY7[Class],ROWS(H$10:H593))&amp;"","")</f>
        <v/>
      </c>
      <c r="I593" t="str">
        <f>IF(H593="","",IF(SUMPRODUCT(--(H$10:H593=H593))=1,SUMPRODUCT(--(H$10:H$609&lt;H593))+1,""))</f>
        <v/>
      </c>
      <c r="J593" t="str">
        <f>IFERROR(INDEX(tblY8[Class],ROWS(J$10:J593))&amp;"","")</f>
        <v/>
      </c>
      <c r="K593" t="str">
        <f>IF(J593="","",IF(SUMPRODUCT(--(J$10:J593=J593))=1,SUMPRODUCT(--(J$10:J$609&lt;J593))+1,""))</f>
        <v/>
      </c>
      <c r="L593" t="str">
        <f>IFERROR(INDEX(tblY9[Class],ROWS(L$10:L593))&amp;"","")</f>
        <v/>
      </c>
      <c r="M593" t="str">
        <f>IF(L593="","",IF(SUMPRODUCT(--(L$10:L593=L593))=1,SUMPRODUCT(--(L$10:L$609&lt;L593))+1,""))</f>
        <v/>
      </c>
      <c r="N593" t="str">
        <f>IFERROR(INDEX(tblY10[Class],ROWS(N$10:N593))&amp;"","")</f>
        <v/>
      </c>
      <c r="O593" t="str">
        <f>IF(N593="","",IF(SUMPRODUCT(--(N$10:N593=N593))=1,SUMPRODUCT(--(N$10:N$609&lt;N593))+1,""))</f>
        <v/>
      </c>
      <c r="P593" t="str">
        <f>IFERROR(INDEX(tblY11[Class],ROWS(P$10:P593))&amp;"","")</f>
        <v/>
      </c>
      <c r="Q593" t="str">
        <f>IF(P593="","",IF(SUMPRODUCT(--(P$10:P593=P593))=1,SUMPRODUCT(--(P$10:P$609&lt;P593))+1,""))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IFERROR(INDEX(tblY7[Class],ROWS(H$10:H594))&amp;"","")</f>
        <v/>
      </c>
      <c r="I594" t="str">
        <f>IF(H594="","",IF(SUMPRODUCT(--(H$10:H594=H594))=1,SUMPRODUCT(--(H$10:H$609&lt;H594))+1,""))</f>
        <v/>
      </c>
      <c r="J594" t="str">
        <f>IFERROR(INDEX(tblY8[Class],ROWS(J$10:J594))&amp;"","")</f>
        <v/>
      </c>
      <c r="K594" t="str">
        <f>IF(J594="","",IF(SUMPRODUCT(--(J$10:J594=J594))=1,SUMPRODUCT(--(J$10:J$609&lt;J594))+1,""))</f>
        <v/>
      </c>
      <c r="L594" t="str">
        <f>IFERROR(INDEX(tblY9[Class],ROWS(L$10:L594))&amp;"","")</f>
        <v/>
      </c>
      <c r="M594" t="str">
        <f>IF(L594="","",IF(SUMPRODUCT(--(L$10:L594=L594))=1,SUMPRODUCT(--(L$10:L$609&lt;L594))+1,""))</f>
        <v/>
      </c>
      <c r="N594" t="str">
        <f>IFERROR(INDEX(tblY10[Class],ROWS(N$10:N594))&amp;"","")</f>
        <v/>
      </c>
      <c r="O594" t="str">
        <f>IF(N594="","",IF(SUMPRODUCT(--(N$10:N594=N594))=1,SUMPRODUCT(--(N$10:N$609&lt;N594))+1,""))</f>
        <v/>
      </c>
      <c r="P594" t="str">
        <f>IFERROR(INDEX(tblY11[Class],ROWS(P$10:P594))&amp;"","")</f>
        <v/>
      </c>
      <c r="Q594" t="str">
        <f>IF(P594="","",IF(SUMPRODUCT(--(P$10:P594=P594))=1,SUMPRODUCT(--(P$10:P$609&lt;P594))+1,""))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IFERROR(INDEX(tblY7[Class],ROWS(H$10:H595))&amp;"","")</f>
        <v/>
      </c>
      <c r="I595" t="str">
        <f>IF(H595="","",IF(SUMPRODUCT(--(H$10:H595=H595))=1,SUMPRODUCT(--(H$10:H$609&lt;H595))+1,""))</f>
        <v/>
      </c>
      <c r="J595" t="str">
        <f>IFERROR(INDEX(tblY8[Class],ROWS(J$10:J595))&amp;"","")</f>
        <v/>
      </c>
      <c r="K595" t="str">
        <f>IF(J595="","",IF(SUMPRODUCT(--(J$10:J595=J595))=1,SUMPRODUCT(--(J$10:J$609&lt;J595))+1,""))</f>
        <v/>
      </c>
      <c r="L595" t="str">
        <f>IFERROR(INDEX(tblY9[Class],ROWS(L$10:L595))&amp;"","")</f>
        <v/>
      </c>
      <c r="M595" t="str">
        <f>IF(L595="","",IF(SUMPRODUCT(--(L$10:L595=L595))=1,SUMPRODUCT(--(L$10:L$609&lt;L595))+1,""))</f>
        <v/>
      </c>
      <c r="N595" t="str">
        <f>IFERROR(INDEX(tblY10[Class],ROWS(N$10:N595))&amp;"","")</f>
        <v/>
      </c>
      <c r="O595" t="str">
        <f>IF(N595="","",IF(SUMPRODUCT(--(N$10:N595=N595))=1,SUMPRODUCT(--(N$10:N$609&lt;N595))+1,""))</f>
        <v/>
      </c>
      <c r="P595" t="str">
        <f>IFERROR(INDEX(tblY11[Class],ROWS(P$10:P595))&amp;"","")</f>
        <v/>
      </c>
      <c r="Q595" t="str">
        <f>IF(P595="","",IF(SUMPRODUCT(--(P$10:P595=P595))=1,SUMPRODUCT(--(P$10:P$609&lt;P595))+1,""))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IFERROR(INDEX(tblY7[Class],ROWS(H$10:H596))&amp;"","")</f>
        <v/>
      </c>
      <c r="I596" t="str">
        <f>IF(H596="","",IF(SUMPRODUCT(--(H$10:H596=H596))=1,SUMPRODUCT(--(H$10:H$609&lt;H596))+1,""))</f>
        <v/>
      </c>
      <c r="J596" t="str">
        <f>IFERROR(INDEX(tblY8[Class],ROWS(J$10:J596))&amp;"","")</f>
        <v/>
      </c>
      <c r="K596" t="str">
        <f>IF(J596="","",IF(SUMPRODUCT(--(J$10:J596=J596))=1,SUMPRODUCT(--(J$10:J$609&lt;J596))+1,""))</f>
        <v/>
      </c>
      <c r="L596" t="str">
        <f>IFERROR(INDEX(tblY9[Class],ROWS(L$10:L596))&amp;"","")</f>
        <v/>
      </c>
      <c r="M596" t="str">
        <f>IF(L596="","",IF(SUMPRODUCT(--(L$10:L596=L596))=1,SUMPRODUCT(--(L$10:L$609&lt;L596))+1,""))</f>
        <v/>
      </c>
      <c r="N596" t="str">
        <f>IFERROR(INDEX(tblY10[Class],ROWS(N$10:N596))&amp;"","")</f>
        <v/>
      </c>
      <c r="O596" t="str">
        <f>IF(N596="","",IF(SUMPRODUCT(--(N$10:N596=N596))=1,SUMPRODUCT(--(N$10:N$609&lt;N596))+1,""))</f>
        <v/>
      </c>
      <c r="P596" t="str">
        <f>IFERROR(INDEX(tblY11[Class],ROWS(P$10:P596))&amp;"","")</f>
        <v/>
      </c>
      <c r="Q596" t="str">
        <f>IF(P596="","",IF(SUMPRODUCT(--(P$10:P596=P596))=1,SUMPRODUCT(--(P$10:P$609&lt;P596))+1,""))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IFERROR(INDEX(tblY7[Class],ROWS(H$10:H597))&amp;"","")</f>
        <v/>
      </c>
      <c r="I597" t="str">
        <f>IF(H597="","",IF(SUMPRODUCT(--(H$10:H597=H597))=1,SUMPRODUCT(--(H$10:H$609&lt;H597))+1,""))</f>
        <v/>
      </c>
      <c r="J597" t="str">
        <f>IFERROR(INDEX(tblY8[Class],ROWS(J$10:J597))&amp;"","")</f>
        <v/>
      </c>
      <c r="K597" t="str">
        <f>IF(J597="","",IF(SUMPRODUCT(--(J$10:J597=J597))=1,SUMPRODUCT(--(J$10:J$609&lt;J597))+1,""))</f>
        <v/>
      </c>
      <c r="L597" t="str">
        <f>IFERROR(INDEX(tblY9[Class],ROWS(L$10:L597))&amp;"","")</f>
        <v/>
      </c>
      <c r="M597" t="str">
        <f>IF(L597="","",IF(SUMPRODUCT(--(L$10:L597=L597))=1,SUMPRODUCT(--(L$10:L$609&lt;L597))+1,""))</f>
        <v/>
      </c>
      <c r="N597" t="str">
        <f>IFERROR(INDEX(tblY10[Class],ROWS(N$10:N597))&amp;"","")</f>
        <v/>
      </c>
      <c r="O597" t="str">
        <f>IF(N597="","",IF(SUMPRODUCT(--(N$10:N597=N597))=1,SUMPRODUCT(--(N$10:N$609&lt;N597))+1,""))</f>
        <v/>
      </c>
      <c r="P597" t="str">
        <f>IFERROR(INDEX(tblY11[Class],ROWS(P$10:P597))&amp;"","")</f>
        <v/>
      </c>
      <c r="Q597" t="str">
        <f>IF(P597="","",IF(SUMPRODUCT(--(P$10:P597=P597))=1,SUMPRODUCT(--(P$10:P$609&lt;P597))+1,""))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IFERROR(INDEX(tblY7[Class],ROWS(H$10:H598))&amp;"","")</f>
        <v/>
      </c>
      <c r="I598" t="str">
        <f>IF(H598="","",IF(SUMPRODUCT(--(H$10:H598=H598))=1,SUMPRODUCT(--(H$10:H$609&lt;H598))+1,""))</f>
        <v/>
      </c>
      <c r="J598" t="str">
        <f>IFERROR(INDEX(tblY8[Class],ROWS(J$10:J598))&amp;"","")</f>
        <v/>
      </c>
      <c r="K598" t="str">
        <f>IF(J598="","",IF(SUMPRODUCT(--(J$10:J598=J598))=1,SUMPRODUCT(--(J$10:J$609&lt;J598))+1,""))</f>
        <v/>
      </c>
      <c r="L598" t="str">
        <f>IFERROR(INDEX(tblY9[Class],ROWS(L$10:L598))&amp;"","")</f>
        <v/>
      </c>
      <c r="M598" t="str">
        <f>IF(L598="","",IF(SUMPRODUCT(--(L$10:L598=L598))=1,SUMPRODUCT(--(L$10:L$609&lt;L598))+1,""))</f>
        <v/>
      </c>
      <c r="N598" t="str">
        <f>IFERROR(INDEX(tblY10[Class],ROWS(N$10:N598))&amp;"","")</f>
        <v/>
      </c>
      <c r="O598" t="str">
        <f>IF(N598="","",IF(SUMPRODUCT(--(N$10:N598=N598))=1,SUMPRODUCT(--(N$10:N$609&lt;N598))+1,""))</f>
        <v/>
      </c>
      <c r="P598" t="str">
        <f>IFERROR(INDEX(tblY11[Class],ROWS(P$10:P598))&amp;"","")</f>
        <v/>
      </c>
      <c r="Q598" t="str">
        <f>IF(P598="","",IF(SUMPRODUCT(--(P$10:P598=P598))=1,SUMPRODUCT(--(P$10:P$609&lt;P598))+1,""))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IFERROR(INDEX(tblY7[Class],ROWS(H$10:H599))&amp;"","")</f>
        <v/>
      </c>
      <c r="I599" t="str">
        <f>IF(H599="","",IF(SUMPRODUCT(--(H$10:H599=H599))=1,SUMPRODUCT(--(H$10:H$609&lt;H599))+1,""))</f>
        <v/>
      </c>
      <c r="J599" t="str">
        <f>IFERROR(INDEX(tblY8[Class],ROWS(J$10:J599))&amp;"","")</f>
        <v/>
      </c>
      <c r="K599" t="str">
        <f>IF(J599="","",IF(SUMPRODUCT(--(J$10:J599=J599))=1,SUMPRODUCT(--(J$10:J$609&lt;J599))+1,""))</f>
        <v/>
      </c>
      <c r="L599" t="str">
        <f>IFERROR(INDEX(tblY9[Class],ROWS(L$10:L599))&amp;"","")</f>
        <v/>
      </c>
      <c r="M599" t="str">
        <f>IF(L599="","",IF(SUMPRODUCT(--(L$10:L599=L599))=1,SUMPRODUCT(--(L$10:L$609&lt;L599))+1,""))</f>
        <v/>
      </c>
      <c r="N599" t="str">
        <f>IFERROR(INDEX(tblY10[Class],ROWS(N$10:N599))&amp;"","")</f>
        <v/>
      </c>
      <c r="O599" t="str">
        <f>IF(N599="","",IF(SUMPRODUCT(--(N$10:N599=N599))=1,SUMPRODUCT(--(N$10:N$609&lt;N599))+1,""))</f>
        <v/>
      </c>
      <c r="P599" t="str">
        <f>IFERROR(INDEX(tblY11[Class],ROWS(P$10:P599))&amp;"","")</f>
        <v/>
      </c>
      <c r="Q599" t="str">
        <f>IF(P599="","",IF(SUMPRODUCT(--(P$10:P599=P599))=1,SUMPRODUCT(--(P$10:P$609&lt;P599))+1,""))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IFERROR(INDEX(tblY7[Class],ROWS(H$10:H600))&amp;"","")</f>
        <v/>
      </c>
      <c r="I600" t="str">
        <f>IF(H600="","",IF(SUMPRODUCT(--(H$10:H600=H600))=1,SUMPRODUCT(--(H$10:H$609&lt;H600))+1,""))</f>
        <v/>
      </c>
      <c r="J600" t="str">
        <f>IFERROR(INDEX(tblY8[Class],ROWS(J$10:J600))&amp;"","")</f>
        <v/>
      </c>
      <c r="K600" t="str">
        <f>IF(J600="","",IF(SUMPRODUCT(--(J$10:J600=J600))=1,SUMPRODUCT(--(J$10:J$609&lt;J600))+1,""))</f>
        <v/>
      </c>
      <c r="L600" t="str">
        <f>IFERROR(INDEX(tblY9[Class],ROWS(L$10:L600))&amp;"","")</f>
        <v/>
      </c>
      <c r="M600" t="str">
        <f>IF(L600="","",IF(SUMPRODUCT(--(L$10:L600=L600))=1,SUMPRODUCT(--(L$10:L$609&lt;L600))+1,""))</f>
        <v/>
      </c>
      <c r="N600" t="str">
        <f>IFERROR(INDEX(tblY10[Class],ROWS(N$10:N600))&amp;"","")</f>
        <v/>
      </c>
      <c r="O600" t="str">
        <f>IF(N600="","",IF(SUMPRODUCT(--(N$10:N600=N600))=1,SUMPRODUCT(--(N$10:N$609&lt;N600))+1,""))</f>
        <v/>
      </c>
      <c r="P600" t="str">
        <f>IFERROR(INDEX(tblY11[Class],ROWS(P$10:P600))&amp;"","")</f>
        <v/>
      </c>
      <c r="Q600" t="str">
        <f>IF(P600="","",IF(SUMPRODUCT(--(P$10:P600=P600))=1,SUMPRODUCT(--(P$10:P$609&lt;P600))+1,""))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IFERROR(INDEX(tblY7[Class],ROWS(H$10:H601))&amp;"","")</f>
        <v/>
      </c>
      <c r="I601" t="str">
        <f>IF(H601="","",IF(SUMPRODUCT(--(H$10:H601=H601))=1,SUMPRODUCT(--(H$10:H$609&lt;H601))+1,""))</f>
        <v/>
      </c>
      <c r="J601" t="str">
        <f>IFERROR(INDEX(tblY8[Class],ROWS(J$10:J601))&amp;"","")</f>
        <v/>
      </c>
      <c r="K601" t="str">
        <f>IF(J601="","",IF(SUMPRODUCT(--(J$10:J601=J601))=1,SUMPRODUCT(--(J$10:J$609&lt;J601))+1,""))</f>
        <v/>
      </c>
      <c r="L601" t="str">
        <f>IFERROR(INDEX(tblY9[Class],ROWS(L$10:L601))&amp;"","")</f>
        <v/>
      </c>
      <c r="M601" t="str">
        <f>IF(L601="","",IF(SUMPRODUCT(--(L$10:L601=L601))=1,SUMPRODUCT(--(L$10:L$609&lt;L601))+1,""))</f>
        <v/>
      </c>
      <c r="N601" t="str">
        <f>IFERROR(INDEX(tblY10[Class],ROWS(N$10:N601))&amp;"","")</f>
        <v/>
      </c>
      <c r="O601" t="str">
        <f>IF(N601="","",IF(SUMPRODUCT(--(N$10:N601=N601))=1,SUMPRODUCT(--(N$10:N$609&lt;N601))+1,""))</f>
        <v/>
      </c>
      <c r="P601" t="str">
        <f>IFERROR(INDEX(tblY11[Class],ROWS(P$10:P601))&amp;"","")</f>
        <v/>
      </c>
      <c r="Q601" t="str">
        <f>IF(P601="","",IF(SUMPRODUCT(--(P$10:P601=P601))=1,SUMPRODUCT(--(P$10:P$609&lt;P601))+1,""))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IFERROR(INDEX(tblY7[Class],ROWS(H$10:H602))&amp;"","")</f>
        <v/>
      </c>
      <c r="I602" t="str">
        <f>IF(H602="","",IF(SUMPRODUCT(--(H$10:H602=H602))=1,SUMPRODUCT(--(H$10:H$609&lt;H602))+1,""))</f>
        <v/>
      </c>
      <c r="J602" t="str">
        <f>IFERROR(INDEX(tblY8[Class],ROWS(J$10:J602))&amp;"","")</f>
        <v/>
      </c>
      <c r="K602" t="str">
        <f>IF(J602="","",IF(SUMPRODUCT(--(J$10:J602=J602))=1,SUMPRODUCT(--(J$10:J$609&lt;J602))+1,""))</f>
        <v/>
      </c>
      <c r="L602" t="str">
        <f>IFERROR(INDEX(tblY9[Class],ROWS(L$10:L602))&amp;"","")</f>
        <v/>
      </c>
      <c r="M602" t="str">
        <f>IF(L602="","",IF(SUMPRODUCT(--(L$10:L602=L602))=1,SUMPRODUCT(--(L$10:L$609&lt;L602))+1,""))</f>
        <v/>
      </c>
      <c r="N602" t="str">
        <f>IFERROR(INDEX(tblY10[Class],ROWS(N$10:N602))&amp;"","")</f>
        <v/>
      </c>
      <c r="O602" t="str">
        <f>IF(N602="","",IF(SUMPRODUCT(--(N$10:N602=N602))=1,SUMPRODUCT(--(N$10:N$609&lt;N602))+1,""))</f>
        <v/>
      </c>
      <c r="P602" t="str">
        <f>IFERROR(INDEX(tblY11[Class],ROWS(P$10:P602))&amp;"","")</f>
        <v/>
      </c>
      <c r="Q602" t="str">
        <f>IF(P602="","",IF(SUMPRODUCT(--(P$10:P602=P602))=1,SUMPRODUCT(--(P$10:P$609&lt;P602))+1,""))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IFERROR(INDEX(tblY7[Class],ROWS(H$10:H603))&amp;"","")</f>
        <v/>
      </c>
      <c r="I603" t="str">
        <f>IF(H603="","",IF(SUMPRODUCT(--(H$10:H603=H603))=1,SUMPRODUCT(--(H$10:H$609&lt;H603))+1,""))</f>
        <v/>
      </c>
      <c r="J603" t="str">
        <f>IFERROR(INDEX(tblY8[Class],ROWS(J$10:J603))&amp;"","")</f>
        <v/>
      </c>
      <c r="K603" t="str">
        <f>IF(J603="","",IF(SUMPRODUCT(--(J$10:J603=J603))=1,SUMPRODUCT(--(J$10:J$609&lt;J603))+1,""))</f>
        <v/>
      </c>
      <c r="L603" t="str">
        <f>IFERROR(INDEX(tblY9[Class],ROWS(L$10:L603))&amp;"","")</f>
        <v/>
      </c>
      <c r="M603" t="str">
        <f>IF(L603="","",IF(SUMPRODUCT(--(L$10:L603=L603))=1,SUMPRODUCT(--(L$10:L$609&lt;L603))+1,""))</f>
        <v/>
      </c>
      <c r="N603" t="str">
        <f>IFERROR(INDEX(tblY10[Class],ROWS(N$10:N603))&amp;"","")</f>
        <v/>
      </c>
      <c r="O603" t="str">
        <f>IF(N603="","",IF(SUMPRODUCT(--(N$10:N603=N603))=1,SUMPRODUCT(--(N$10:N$609&lt;N603))+1,""))</f>
        <v/>
      </c>
      <c r="P603" t="str">
        <f>IFERROR(INDEX(tblY11[Class],ROWS(P$10:P603))&amp;"","")</f>
        <v/>
      </c>
      <c r="Q603" t="str">
        <f>IF(P603="","",IF(SUMPRODUCT(--(P$10:P603=P603))=1,SUMPRODUCT(--(P$10:P$609&lt;P603))+1,""))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IFERROR(INDEX(tblY7[Class],ROWS(H$10:H604))&amp;"","")</f>
        <v/>
      </c>
      <c r="I604" t="str">
        <f>IF(H604="","",IF(SUMPRODUCT(--(H$10:H604=H604))=1,SUMPRODUCT(--(H$10:H$609&lt;H604))+1,""))</f>
        <v/>
      </c>
      <c r="J604" t="str">
        <f>IFERROR(INDEX(tblY8[Class],ROWS(J$10:J604))&amp;"","")</f>
        <v/>
      </c>
      <c r="K604" t="str">
        <f>IF(J604="","",IF(SUMPRODUCT(--(J$10:J604=J604))=1,SUMPRODUCT(--(J$10:J$609&lt;J604))+1,""))</f>
        <v/>
      </c>
      <c r="L604" t="str">
        <f>IFERROR(INDEX(tblY9[Class],ROWS(L$10:L604))&amp;"","")</f>
        <v/>
      </c>
      <c r="M604" t="str">
        <f>IF(L604="","",IF(SUMPRODUCT(--(L$10:L604=L604))=1,SUMPRODUCT(--(L$10:L$609&lt;L604))+1,""))</f>
        <v/>
      </c>
      <c r="N604" t="str">
        <f>IFERROR(INDEX(tblY10[Class],ROWS(N$10:N604))&amp;"","")</f>
        <v/>
      </c>
      <c r="O604" t="str">
        <f>IF(N604="","",IF(SUMPRODUCT(--(N$10:N604=N604))=1,SUMPRODUCT(--(N$10:N$609&lt;N604))+1,""))</f>
        <v/>
      </c>
      <c r="P604" t="str">
        <f>IFERROR(INDEX(tblY11[Class],ROWS(P$10:P604))&amp;"","")</f>
        <v/>
      </c>
      <c r="Q604" t="str">
        <f>IF(P604="","",IF(SUMPRODUCT(--(P$10:P604=P604))=1,SUMPRODUCT(--(P$10:P$609&lt;P604))+1,""))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IFERROR(INDEX(tblY7[Class],ROWS(H$10:H605))&amp;"","")</f>
        <v/>
      </c>
      <c r="I605" t="str">
        <f>IF(H605="","",IF(SUMPRODUCT(--(H$10:H605=H605))=1,SUMPRODUCT(--(H$10:H$609&lt;H605))+1,""))</f>
        <v/>
      </c>
      <c r="J605" t="str">
        <f>IFERROR(INDEX(tblY8[Class],ROWS(J$10:J605))&amp;"","")</f>
        <v/>
      </c>
      <c r="K605" t="str">
        <f>IF(J605="","",IF(SUMPRODUCT(--(J$10:J605=J605))=1,SUMPRODUCT(--(J$10:J$609&lt;J605))+1,""))</f>
        <v/>
      </c>
      <c r="L605" t="str">
        <f>IFERROR(INDEX(tblY9[Class],ROWS(L$10:L605))&amp;"","")</f>
        <v/>
      </c>
      <c r="M605" t="str">
        <f>IF(L605="","",IF(SUMPRODUCT(--(L$10:L605=L605))=1,SUMPRODUCT(--(L$10:L$609&lt;L605))+1,""))</f>
        <v/>
      </c>
      <c r="N605" t="str">
        <f>IFERROR(INDEX(tblY10[Class],ROWS(N$10:N605))&amp;"","")</f>
        <v/>
      </c>
      <c r="O605" t="str">
        <f>IF(N605="","",IF(SUMPRODUCT(--(N$10:N605=N605))=1,SUMPRODUCT(--(N$10:N$609&lt;N605))+1,""))</f>
        <v/>
      </c>
      <c r="P605" t="str">
        <f>IFERROR(INDEX(tblY11[Class],ROWS(P$10:P605))&amp;"","")</f>
        <v/>
      </c>
      <c r="Q605" t="str">
        <f>IF(P605="","",IF(SUMPRODUCT(--(P$10:P605=P605))=1,SUMPRODUCT(--(P$10:P$609&lt;P605))+1,""))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IFERROR(INDEX(tblY7[Class],ROWS(H$10:H606))&amp;"","")</f>
        <v/>
      </c>
      <c r="I606" t="str">
        <f>IF(H606="","",IF(SUMPRODUCT(--(H$10:H606=H606))=1,SUMPRODUCT(--(H$10:H$609&lt;H606))+1,""))</f>
        <v/>
      </c>
      <c r="J606" t="str">
        <f>IFERROR(INDEX(tblY8[Class],ROWS(J$10:J606))&amp;"","")</f>
        <v/>
      </c>
      <c r="K606" t="str">
        <f>IF(J606="","",IF(SUMPRODUCT(--(J$10:J606=J606))=1,SUMPRODUCT(--(J$10:J$609&lt;J606))+1,""))</f>
        <v/>
      </c>
      <c r="L606" t="str">
        <f>IFERROR(INDEX(tblY9[Class],ROWS(L$10:L606))&amp;"","")</f>
        <v/>
      </c>
      <c r="M606" t="str">
        <f>IF(L606="","",IF(SUMPRODUCT(--(L$10:L606=L606))=1,SUMPRODUCT(--(L$10:L$609&lt;L606))+1,""))</f>
        <v/>
      </c>
      <c r="N606" t="str">
        <f>IFERROR(INDEX(tblY10[Class],ROWS(N$10:N606))&amp;"","")</f>
        <v/>
      </c>
      <c r="O606" t="str">
        <f>IF(N606="","",IF(SUMPRODUCT(--(N$10:N606=N606))=1,SUMPRODUCT(--(N$10:N$609&lt;N606))+1,""))</f>
        <v/>
      </c>
      <c r="P606" t="str">
        <f>IFERROR(INDEX(tblY11[Class],ROWS(P$10:P606))&amp;"","")</f>
        <v/>
      </c>
      <c r="Q606" t="str">
        <f>IF(P606="","",IF(SUMPRODUCT(--(P$10:P606=P606))=1,SUMPRODUCT(--(P$10:P$609&lt;P606))+1,""))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IFERROR(INDEX(tblY7[Class],ROWS(H$10:H607))&amp;"","")</f>
        <v/>
      </c>
      <c r="I607" t="str">
        <f>IF(H607="","",IF(SUMPRODUCT(--(H$10:H607=H607))=1,SUMPRODUCT(--(H$10:H$609&lt;H607))+1,""))</f>
        <v/>
      </c>
      <c r="J607" t="str">
        <f>IFERROR(INDEX(tblY8[Class],ROWS(J$10:J607))&amp;"","")</f>
        <v/>
      </c>
      <c r="K607" t="str">
        <f>IF(J607="","",IF(SUMPRODUCT(--(J$10:J607=J607))=1,SUMPRODUCT(--(J$10:J$609&lt;J607))+1,""))</f>
        <v/>
      </c>
      <c r="L607" t="str">
        <f>IFERROR(INDEX(tblY9[Class],ROWS(L$10:L607))&amp;"","")</f>
        <v/>
      </c>
      <c r="M607" t="str">
        <f>IF(L607="","",IF(SUMPRODUCT(--(L$10:L607=L607))=1,SUMPRODUCT(--(L$10:L$609&lt;L607))+1,""))</f>
        <v/>
      </c>
      <c r="N607" t="str">
        <f>IFERROR(INDEX(tblY10[Class],ROWS(N$10:N607))&amp;"","")</f>
        <v/>
      </c>
      <c r="O607" t="str">
        <f>IF(N607="","",IF(SUMPRODUCT(--(N$10:N607=N607))=1,SUMPRODUCT(--(N$10:N$609&lt;N607))+1,""))</f>
        <v/>
      </c>
      <c r="P607" t="str">
        <f>IFERROR(INDEX(tblY11[Class],ROWS(P$10:P607))&amp;"","")</f>
        <v/>
      </c>
      <c r="Q607" t="str">
        <f>IF(P607="","",IF(SUMPRODUCT(--(P$10:P607=P607))=1,SUMPRODUCT(--(P$10:P$609&lt;P607))+1,""))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IFERROR(INDEX(tblY7[Class],ROWS(H$10:H608))&amp;"","")</f>
        <v/>
      </c>
      <c r="I608" t="str">
        <f>IF(H608="","",IF(SUMPRODUCT(--(H$10:H608=H608))=1,SUMPRODUCT(--(H$10:H$609&lt;H608))+1,""))</f>
        <v/>
      </c>
      <c r="J608" t="str">
        <f>IFERROR(INDEX(tblY8[Class],ROWS(J$10:J608))&amp;"","")</f>
        <v/>
      </c>
      <c r="K608" t="str">
        <f>IF(J608="","",IF(SUMPRODUCT(--(J$10:J608=J608))=1,SUMPRODUCT(--(J$10:J$609&lt;J608))+1,""))</f>
        <v/>
      </c>
      <c r="L608" t="str">
        <f>IFERROR(INDEX(tblY9[Class],ROWS(L$10:L608))&amp;"","")</f>
        <v/>
      </c>
      <c r="M608" t="str">
        <f>IF(L608="","",IF(SUMPRODUCT(--(L$10:L608=L608))=1,SUMPRODUCT(--(L$10:L$609&lt;L608))+1,""))</f>
        <v/>
      </c>
      <c r="N608" t="str">
        <f>IFERROR(INDEX(tblY10[Class],ROWS(N$10:N608))&amp;"","")</f>
        <v/>
      </c>
      <c r="O608" t="str">
        <f>IF(N608="","",IF(SUMPRODUCT(--(N$10:N608=N608))=1,SUMPRODUCT(--(N$10:N$609&lt;N608))+1,""))</f>
        <v/>
      </c>
      <c r="P608" t="str">
        <f>IFERROR(INDEX(tblY11[Class],ROWS(P$10:P608))&amp;"","")</f>
        <v/>
      </c>
      <c r="Q608" t="str">
        <f>IF(P608="","",IF(SUMPRODUCT(--(P$10:P608=P608))=1,SUMPRODUCT(--(P$10:P$609&lt;P608))+1,""))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IFERROR(INDEX(tblY7[Class],ROWS(H$10:H609))&amp;"","")</f>
        <v/>
      </c>
      <c r="I609" t="str">
        <f>IF(H609="","",IF(SUMPRODUCT(--(H$10:H609=H609))=1,SUMPRODUCT(--(H$10:H$609&lt;H609))+1,""))</f>
        <v/>
      </c>
      <c r="J609" t="str">
        <f>IFERROR(INDEX(tblY8[Class],ROWS(J$10:J609))&amp;"","")</f>
        <v/>
      </c>
      <c r="K609" t="str">
        <f>IF(J609="","",IF(SUMPRODUCT(--(J$10:J609=J609))=1,SUMPRODUCT(--(J$10:J$609&lt;J609))+1,""))</f>
        <v/>
      </c>
      <c r="L609" t="str">
        <f>IFERROR(INDEX(tblY9[Class],ROWS(L$10:L609))&amp;"","")</f>
        <v/>
      </c>
      <c r="M609" t="str">
        <f>IF(L609="","",IF(SUMPRODUCT(--(L$10:L609=L609))=1,SUMPRODUCT(--(L$10:L$609&lt;L609))+1,""))</f>
        <v/>
      </c>
      <c r="N609" t="str">
        <f>IFERROR(INDEX(tblY10[Class],ROWS(N$10:N609))&amp;"","")</f>
        <v/>
      </c>
      <c r="O609" t="str">
        <f>IF(N609="","",IF(SUMPRODUCT(--(N$10:N609=N609))=1,SUMPRODUCT(--(N$10:N$609&lt;N609))+1,""))</f>
        <v/>
      </c>
      <c r="P609" t="str">
        <f>IFERROR(INDEX(tblY11[Class],ROWS(P$10:P609))&amp;"","")</f>
        <v/>
      </c>
      <c r="Q609" t="str">
        <f>IF(P609="","",IF(SUMPRODUCT(--(P$10:P609=P609))=1,SUMPRODUCT(--(P$10:P$609&lt;P609))+1,""))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Years 7 to 11, 2026-27</dc:subject>
  <dcterms:created xmlns:dcterms="http://purl.org/dc/terms/" xmlns:xsi="http://www.w3.org/2001/XMLSchema-instance" xsi:type="dcterms:W3CDTF">2026-09-29T19:11:25Z</dcterms:created>
  <dcterms:modified xmlns:dcterms="http://purl.org/dc/terms/" xmlns:xsi="http://www.w3.org/2001/XMLSchema-instance" xsi:type="dcterms:W3CDTF">2026-09-29T19:11:26Z</dcterms:modified>
  <cp:lastModifiedBy>Mastery Quiz Tracker generator</cp:lastModifiedBy>
  <cp:keywords>stanine; mastery quiz; KS3; KS4; science</cp:keywords>
</cp:coreProperties>
</file>